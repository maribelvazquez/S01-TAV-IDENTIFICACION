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ABLA SANCIONES" sheetId="2" state="visible" r:id="rId2"/>
    <sheet xmlns:r="http://schemas.openxmlformats.org/officeDocument/2006/relationships" name="CALCULADORA" sheetId="3" state="visible" r:id="rId3"/>
    <sheet xmlns:r="http://schemas.openxmlformats.org/officeDocument/2006/relationships" name="UMBRALES ART. 17" sheetId="4" state="visible" r:id="rId4"/>
  </sheets>
  <definedNames>
    <definedName name="ART55" hidden="0" function="0" vbProcedure="0">CONFIG!$C$14</definedName>
    <definedName name="N1_MAX" hidden="0" function="0" vbProcedure="0">CONFIG!$C$7</definedName>
    <definedName name="N1_MIN" hidden="0" function="0" vbProcedure="0">CONFIG!$C$6</definedName>
    <definedName name="N2_MAX" hidden="0" function="0" vbProcedure="0">CONFIG!$C$9</definedName>
    <definedName name="N2_MIN" hidden="0" function="0" vbProcedure="0">CONFIG!$C$8</definedName>
    <definedName name="N3_MAX" hidden="0" function="0" vbProcedure="0">CONFIG!$C$11</definedName>
    <definedName name="N3_MIN" hidden="0" function="0" vbProcedure="0">CONFIG!$C$10</definedName>
    <definedName name="N3_PMAX" hidden="0" function="0" vbProcedure="0">CONFIG!$C$13</definedName>
    <definedName name="N3_PMIN" hidden="0" function="0" vbProcedure="0">CONFIG!$C$12</definedName>
    <definedName name="UMA" hidden="0" function="0" vbProcedure="0">CONFIG!$C$5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8B"/>
      <sz val="10"/>
    </font>
    <font>
      <name val="Arial"/>
      <charset val="1"/>
      <family val="0"/>
      <color rgb="FF555555"/>
      <sz val="10"/>
    </font>
    <font>
      <name val="Arial"/>
      <charset val="1"/>
      <family val="0"/>
      <i val="1"/>
      <color rgb="FF5B4800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D97706"/>
      <sz val="10"/>
    </font>
    <font>
      <name val="Arial"/>
      <charset val="1"/>
      <family val="0"/>
      <color rgb="FF444444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7F1D1D"/>
      <sz val="10"/>
    </font>
    <font>
      <name val="Arial"/>
      <charset val="1"/>
      <family val="0"/>
      <i val="1"/>
      <color rgb="FF8B0000"/>
      <sz val="9"/>
    </font>
    <font>
      <name val="Arial"/>
      <charset val="1"/>
      <family val="0"/>
      <i val="1"/>
      <color rgb="FF166534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8B"/>
      <sz val="11"/>
    </font>
    <font>
      <name val="Arial"/>
      <charset val="1"/>
      <family val="0"/>
      <b val="1"/>
      <color rgb="FFD97706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7F1D1D"/>
      <sz val="10"/>
    </font>
    <font>
      <name val="Arial"/>
      <charset val="1"/>
      <family val="0"/>
      <color rgb="FF166534"/>
      <sz val="10"/>
    </font>
    <font>
      <name val="Arial"/>
      <charset val="1"/>
      <family val="0"/>
      <b val="1"/>
      <color rgb="FF166534"/>
      <sz val="10"/>
    </font>
    <font>
      <name val="Arial"/>
      <charset val="1"/>
      <family val="0"/>
      <color rgb="FFD97706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b val="1"/>
      <color rgb="FF0D2137"/>
      <sz val="10"/>
    </font>
    <font>
      <name val="Arial"/>
      <charset val="1"/>
      <family val="0"/>
      <color rgb="FF888888"/>
      <sz val="10"/>
    </font>
    <font>
      <name val="Arial"/>
      <charset val="1"/>
      <family val="0"/>
      <color rgb="FF666666"/>
      <sz val="10"/>
    </font>
  </fonts>
  <fills count="15">
    <fill>
      <patternFill/>
    </fill>
    <fill>
      <patternFill patternType="gray125"/>
    </fill>
    <fill>
      <patternFill patternType="solid">
        <fgColor rgb="FF7F1D1D"/>
        <bgColor rgb="FF800000"/>
      </patternFill>
    </fill>
    <fill>
      <patternFill patternType="solid">
        <fgColor rgb="FF0D2137"/>
        <bgColor rgb="FF1C3557"/>
      </patternFill>
    </fill>
    <fill>
      <patternFill patternType="solid">
        <fgColor rgb="FF1C3557"/>
        <bgColor rgb="FF0D2137"/>
      </patternFill>
    </fill>
    <fill>
      <patternFill patternType="solid">
        <fgColor rgb="FFF5F7FA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BEB"/>
        <bgColor rgb="FFFAFAFA"/>
      </patternFill>
    </fill>
    <fill>
      <patternFill patternType="solid">
        <fgColor rgb="FFFEF9C3"/>
        <bgColor rgb="FFFFFBEB"/>
      </patternFill>
    </fill>
    <fill>
      <patternFill patternType="solid">
        <fgColor rgb="FFFAFAFA"/>
        <bgColor rgb="FFF5F7FA"/>
      </patternFill>
    </fill>
    <fill>
      <patternFill patternType="solid">
        <fgColor rgb="FFFEF2F2"/>
        <bgColor rgb="FFFFF0F0"/>
      </patternFill>
    </fill>
    <fill>
      <patternFill patternType="solid">
        <fgColor rgb="FFFFF0F0"/>
        <bgColor rgb="FFFEF2F2"/>
      </patternFill>
    </fill>
    <fill>
      <patternFill patternType="solid">
        <fgColor rgb="FFDCFCE7"/>
        <bgColor rgb="FFF5F7FA"/>
      </patternFill>
    </fill>
    <fill>
      <patternFill patternType="solid">
        <fgColor rgb="FFC0392B"/>
        <bgColor rgb="FF993366"/>
      </patternFill>
    </fill>
    <fill>
      <patternFill patternType="solid">
        <fgColor rgb="FF0E7490"/>
        <bgColor rgb="FF008080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164" fontId="14" fillId="9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center" vertical="center" wrapText="1"/>
    </xf>
    <xf numFmtId="164" fontId="15" fillId="6" borderId="1" applyAlignment="1" pivotButton="0" quotePrefix="0" xfId="0">
      <alignment horizontal="right" vertical="center"/>
    </xf>
    <xf numFmtId="164" fontId="15" fillId="9" borderId="1" applyAlignment="1" pivotButton="0" quotePrefix="0" xfId="0">
      <alignment horizontal="right" vertical="center"/>
    </xf>
    <xf numFmtId="0" fontId="16" fillId="11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7" borderId="3" applyAlignment="1" pivotButton="0" quotePrefix="0" xfId="0">
      <alignment horizontal="center" vertical="center"/>
    </xf>
    <xf numFmtId="3" fontId="19" fillId="7" borderId="3" applyAlignment="1" pivotButton="0" quotePrefix="0" xfId="0">
      <alignment horizontal="center" vertical="center"/>
    </xf>
    <xf numFmtId="164" fontId="19" fillId="7" borderId="3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164" fontId="21" fillId="6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right" vertical="center"/>
    </xf>
    <xf numFmtId="164" fontId="21" fillId="10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164" fontId="14" fillId="10" borderId="2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0" fontId="18" fillId="14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22" fillId="10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164" fontId="23" fillId="12" borderId="2" applyAlignment="1" pivotButton="0" quotePrefix="0" xfId="0">
      <alignment horizontal="right" vertical="center"/>
    </xf>
    <xf numFmtId="164" fontId="24" fillId="1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4" fontId="25" fillId="8" borderId="2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 wrapText="1"/>
    </xf>
    <xf numFmtId="164" fontId="15" fillId="10" borderId="2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 wrapText="1"/>
    </xf>
    <xf numFmtId="164" fontId="24" fillId="12" borderId="2" applyAlignment="1" pivotButton="0" quotePrefix="0" xfId="0">
      <alignment horizontal="right" vertical="center"/>
    </xf>
    <xf numFmtId="164" fontId="12" fillId="8" borderId="2" applyAlignment="1" pivotButton="0" quotePrefix="0" xfId="0">
      <alignment horizontal="right" vertical="center"/>
    </xf>
    <xf numFmtId="0" fontId="26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11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164" fontId="14" fillId="9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center" vertical="center" wrapText="1"/>
    </xf>
    <xf numFmtId="164" fontId="15" fillId="6" borderId="1" applyAlignment="1" pivotButton="0" quotePrefix="0" xfId="0">
      <alignment horizontal="right" vertical="center"/>
    </xf>
    <xf numFmtId="164" fontId="15" fillId="9" borderId="1" applyAlignment="1" pivotButton="0" quotePrefix="0" xfId="0">
      <alignment horizontal="right" vertical="center"/>
    </xf>
    <xf numFmtId="0" fontId="16" fillId="11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9" fillId="7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3" fontId="19" fillId="7" borderId="3" applyAlignment="1" pivotButton="0" quotePrefix="0" xfId="0">
      <alignment horizontal="center" vertical="center"/>
    </xf>
    <xf numFmtId="164" fontId="19" fillId="7" borderId="3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164" fontId="21" fillId="6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right" vertical="center"/>
    </xf>
    <xf numFmtId="164" fontId="21" fillId="10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164" fontId="7" fillId="6" borderId="2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164" fontId="14" fillId="10" borderId="2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  <xf numFmtId="0" fontId="18" fillId="14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22" fillId="10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164" fontId="23" fillId="12" borderId="2" applyAlignment="1" pivotButton="0" quotePrefix="0" xfId="0">
      <alignment horizontal="right" vertical="center"/>
    </xf>
    <xf numFmtId="164" fontId="24" fillId="1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4" fontId="25" fillId="8" borderId="2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 wrapText="1"/>
    </xf>
    <xf numFmtId="164" fontId="15" fillId="10" borderId="2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 wrapText="1"/>
    </xf>
    <xf numFmtId="164" fontId="24" fillId="12" borderId="2" applyAlignment="1" pivotButton="0" quotePrefix="0" xfId="0">
      <alignment horizontal="right" vertical="center"/>
    </xf>
    <xf numFmtId="164" fontId="12" fillId="8" borderId="2" applyAlignment="1" pivotButton="0" quotePrefix="0" xfId="0">
      <alignment horizontal="right" vertical="center"/>
    </xf>
    <xf numFmtId="0" fontId="26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center" vertical="center" wrapText="1"/>
    </xf>
    <xf numFmtId="164" fontId="23" fillId="6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66534"/>
      <rgbColor rgb="FF00008B"/>
      <rgbColor rgb="FF808000"/>
      <rgbColor rgb="FF800080"/>
      <rgbColor rgb="FF0E7490"/>
      <rgbColor rgb="FFCCCCCC"/>
      <rgbColor rgb="FF888888"/>
      <rgbColor rgb="FF9999FF"/>
      <rgbColor rgb="FFC0392B"/>
      <rgbColor rgb="FFFEF9C3"/>
      <rgbColor rgb="FFDCFCE7"/>
      <rgbColor rgb="FF660066"/>
      <rgbColor rgb="FFFF8080"/>
      <rgbColor rgb="FF0066CC"/>
      <rgbColor rgb="FFFF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FAFAFA"/>
      <rgbColor rgb="FFFFFBEB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D97706"/>
      <rgbColor rgb="FF666666"/>
      <rgbColor rgb="FF969696"/>
      <rgbColor rgb="FF1C3557"/>
      <rgbColor rgb="FF339966"/>
      <rgbColor rgb="FF0D2137"/>
      <rgbColor rgb="FF5B4800"/>
      <rgbColor rgb="FF7F1D1D"/>
      <rgbColor rgb="FF993366"/>
      <rgbColor rgb="FF555555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80" min="1" max="1"/>
    <col width="32" customWidth="1" style="80" min="2" max="2"/>
    <col width="18" customWidth="1" style="80" min="3" max="3"/>
    <col width="22" customWidth="1" style="80" min="4" max="4"/>
    <col width="30" customWidth="1" style="80" min="5" max="5"/>
  </cols>
  <sheetData>
    <row r="1" ht="31.5" customHeight="1" s="81">
      <c r="B1" s="82" t="inlineStr">
        <is>
          <t>CALCULADORA DE SANCIONES LFPIORPI 2026 — CONSORCIO PEREDO</t>
        </is>
      </c>
    </row>
    <row r="2" ht="18" customHeight="1" s="81">
      <c r="B2" s="83" t="inlineStr">
        <is>
          <t>Parámetros Base  ·  Fuente: LFPIORPI DOF 16-07-2025  ·  Art. 54</t>
        </is>
      </c>
    </row>
    <row r="3" ht="9.75" customHeight="1" s="81"/>
    <row r="4" ht="21.75" customHeight="1" s="81">
      <c r="B4" s="84" t="inlineStr">
        <is>
          <t>PARÁMETRO</t>
        </is>
      </c>
      <c r="C4" s="84" t="inlineStr">
        <is>
          <t>VALOR</t>
        </is>
      </c>
      <c r="D4" s="84" t="inlineStr">
        <is>
          <t>UNIDAD</t>
        </is>
      </c>
      <c r="E4" s="84" t="inlineStr">
        <is>
          <t>FUENTE / NOTA</t>
        </is>
      </c>
    </row>
    <row r="5" ht="18" customHeight="1" s="81">
      <c r="B5" s="85" t="inlineStr">
        <is>
          <t>UMA diaria 2026</t>
        </is>
      </c>
      <c r="C5" s="86" t="n">
        <v>117.31</v>
      </c>
      <c r="D5" s="87" t="inlineStr">
        <is>
          <t>$MXN/día</t>
        </is>
      </c>
      <c r="E5" s="88" t="inlineStr">
        <is>
          <t>INEGI — vigente desde el 1 de febrero de 2026</t>
        </is>
      </c>
    </row>
    <row r="6" ht="18" customHeight="1" s="81">
      <c r="B6" s="89" t="inlineStr">
        <is>
          <t>Nivel 1 — mínimo (UMA)</t>
        </is>
      </c>
      <c r="C6" s="90" t="n">
        <v>200</v>
      </c>
      <c r="D6" s="91" t="inlineStr">
        <is>
          <t>UMA</t>
        </is>
      </c>
      <c r="E6" s="92" t="inlineStr">
        <is>
          <t>Art. 54, Fracc. I LFPIORPI</t>
        </is>
      </c>
    </row>
    <row r="7" ht="18" customHeight="1" s="81">
      <c r="B7" s="85" t="inlineStr">
        <is>
          <t>Nivel 1 — máximo (UMA)</t>
        </is>
      </c>
      <c r="C7" s="93" t="n">
        <v>2000</v>
      </c>
      <c r="D7" s="87" t="inlineStr">
        <is>
          <t>UMA</t>
        </is>
      </c>
      <c r="E7" s="88" t="inlineStr">
        <is>
          <t>Art. 54, Fracc. I LFPIORPI</t>
        </is>
      </c>
    </row>
    <row r="8" ht="18" customHeight="1" s="81">
      <c r="B8" s="89" t="inlineStr">
        <is>
          <t>Nivel 2 — mínimo (UMA)</t>
        </is>
      </c>
      <c r="C8" s="90" t="n">
        <v>2000</v>
      </c>
      <c r="D8" s="91" t="inlineStr">
        <is>
          <t>UMA</t>
        </is>
      </c>
      <c r="E8" s="92" t="inlineStr">
        <is>
          <t>Art. 54, Fracc. II LFPIORPI</t>
        </is>
      </c>
    </row>
    <row r="9" ht="18" customHeight="1" s="81">
      <c r="B9" s="85" t="inlineStr">
        <is>
          <t>Nivel 2 — máximo (UMA)</t>
        </is>
      </c>
      <c r="C9" s="93" t="n">
        <v>10000</v>
      </c>
      <c r="D9" s="87" t="inlineStr">
        <is>
          <t>UMA</t>
        </is>
      </c>
      <c r="E9" s="88" t="inlineStr">
        <is>
          <t>Art. 54, Fracc. II LFPIORPI</t>
        </is>
      </c>
    </row>
    <row r="10" ht="18" customHeight="1" s="81">
      <c r="B10" s="89" t="inlineStr">
        <is>
          <t>Nivel 3 — mínimo (UMA)</t>
        </is>
      </c>
      <c r="C10" s="90" t="n">
        <v>10000</v>
      </c>
      <c r="D10" s="91" t="inlineStr">
        <is>
          <t>UMA</t>
        </is>
      </c>
      <c r="E10" s="92" t="inlineStr">
        <is>
          <t>Art. 54, Fracc. III LFPIORPI</t>
        </is>
      </c>
    </row>
    <row r="11" ht="18" customHeight="1" s="81">
      <c r="B11" s="85" t="inlineStr">
        <is>
          <t>Nivel 3 — máximo (UMA)</t>
        </is>
      </c>
      <c r="C11" s="93" t="n">
        <v>65000</v>
      </c>
      <c r="D11" s="87" t="inlineStr">
        <is>
          <t>UMA</t>
        </is>
      </c>
      <c r="E11" s="88" t="inlineStr">
        <is>
          <t>Art. 54, Fracc. III LFPIORPI</t>
        </is>
      </c>
    </row>
    <row r="12" ht="18" customHeight="1" s="81">
      <c r="B12" s="89" t="inlineStr">
        <is>
          <t>Nivel 3 — % mínimo operación</t>
        </is>
      </c>
      <c r="C12" s="90" t="n">
        <v>10</v>
      </c>
      <c r="D12" s="91" t="inlineStr">
        <is>
          <t>%</t>
        </is>
      </c>
      <c r="E12" s="92" t="inlineStr">
        <is>
          <t>Art. 54, Fracc. III LFPIORPI</t>
        </is>
      </c>
    </row>
    <row r="13" ht="18" customHeight="1" s="81">
      <c r="B13" s="85" t="inlineStr">
        <is>
          <t>Nivel 3 — % máximo operación</t>
        </is>
      </c>
      <c r="C13" s="93" t="n">
        <v>100</v>
      </c>
      <c r="D13" s="87" t="inlineStr">
        <is>
          <t>%</t>
        </is>
      </c>
      <c r="E13" s="88" t="inlineStr">
        <is>
          <t>Art. 54, Fracc. III LFPIORPI</t>
        </is>
      </c>
    </row>
    <row r="14" ht="18" customHeight="1" s="81">
      <c r="B14" s="89" t="inlineStr">
        <is>
          <t>Reducción Art. 55 (espontáneo subsecuente) — HASTA</t>
        </is>
      </c>
      <c r="C14" s="90" t="n">
        <v>50</v>
      </c>
      <c r="D14" s="91" t="inlineStr">
        <is>
          <t>%</t>
        </is>
      </c>
      <c r="E14" s="92" t="inlineStr">
        <is>
          <t>Art. 55 LFPIORPI — 2ª+ ocasión</t>
        </is>
      </c>
    </row>
    <row r="15" ht="9.75" customHeight="1" s="81"/>
    <row r="16" ht="27.75" customHeight="1" s="81">
      <c r="B16" s="94" t="inlineStr">
        <is>
          <t>★ Celdas en AZUL OSCURO son los únicos valores a actualizar cuando cambie la UMA. Todos los demás cálculos de esta calculadora se actualizan automáticamente.</t>
        </is>
      </c>
      <c r="C16" s="95" t="n"/>
      <c r="D16" s="95" t="n"/>
      <c r="E16" s="95" t="n"/>
    </row>
  </sheetData>
  <mergeCells count="3">
    <mergeCell ref="B1:E1"/>
    <mergeCell ref="B2:E2"/>
    <mergeCell ref="B16:E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0" min="1" max="1"/>
    <col width="8" customWidth="1" style="80" min="2" max="2"/>
    <col width="38" customWidth="1" style="80" min="3" max="3"/>
    <col width="16" customWidth="1" style="80" min="4" max="5"/>
    <col width="20" customWidth="1" style="80" min="6" max="7"/>
    <col width="28" customWidth="1" style="80" min="8" max="8"/>
  </cols>
  <sheetData>
    <row r="1" ht="30" customHeight="1" s="81">
      <c r="B1" s="96" t="inlineStr">
        <is>
          <t>TABLA DE SANCIONES — Art. 53 y 54 LFPIORPI  ·  Referencia rápida  ·  UMA 2026 = $117.31/día</t>
        </is>
      </c>
    </row>
    <row r="2" ht="7.5" customHeight="1" s="81"/>
    <row r="3" ht="24" customHeight="1" s="81">
      <c r="B3" s="97" t="inlineStr">
        <is>
          <t>NIVEL</t>
        </is>
      </c>
      <c r="C3" s="97" t="inlineStr">
        <is>
          <t>INFRACCIÓN (Art. 53)</t>
        </is>
      </c>
      <c r="D3" s="97" t="inlineStr">
        <is>
          <t>MÍN (UMA)</t>
        </is>
      </c>
      <c r="E3" s="97" t="inlineStr">
        <is>
          <t>MÁX (UMA)</t>
        </is>
      </c>
      <c r="F3" s="97" t="inlineStr">
        <is>
          <t>MÍNIMO EN PESOS</t>
        </is>
      </c>
      <c r="G3" s="97" t="inlineStr">
        <is>
          <t>MÁXIMO EN PESOS</t>
        </is>
      </c>
      <c r="H3" s="97" t="inlineStr">
        <is>
          <t>OBSERVACIÓN CLAVE</t>
        </is>
      </c>
    </row>
    <row r="4" ht="36" customHeight="1" s="81">
      <c r="B4" s="98" t="inlineStr">
        <is>
          <t>Nivel 1</t>
        </is>
      </c>
      <c r="C4" s="99" t="inlineStr">
        <is>
          <t>Art. 53 Fracc. I — Negativa a cumplir requerimientos de la SHCP</t>
        </is>
      </c>
      <c r="D4" s="100">
        <f>N1_MIN</f>
        <v/>
      </c>
      <c r="E4" s="100">
        <f>N1_MAX</f>
        <v/>
      </c>
      <c r="F4" s="101">
        <f>N1_MIN*UMA</f>
        <v/>
      </c>
      <c r="G4" s="102">
        <f>N1_MAX*UMA</f>
        <v/>
      </c>
      <c r="H4" s="103" t="inlineStr">
        <is>
          <t>Por cada requerimiento incumplido</t>
        </is>
      </c>
    </row>
    <row r="5" ht="36" customHeight="1" s="81">
      <c r="B5" s="98" t="inlineStr">
        <is>
          <t>Nivel 1</t>
        </is>
      </c>
      <c r="C5" s="89" t="inlineStr">
        <is>
          <t>Art. 53 Fracc. II — Incumplimiento de CUALQUIER obligación del Art. 18 (identificación, BC, conservación 10 años, Padrón, Avisos)</t>
        </is>
      </c>
      <c r="D5" s="104">
        <f>N1_MIN</f>
        <v/>
      </c>
      <c r="E5" s="104">
        <f>N1_MAX</f>
        <v/>
      </c>
      <c r="F5" s="105">
        <f>N1_MIN*UMA</f>
        <v/>
      </c>
      <c r="G5" s="106">
        <f>N1_MAX*UMA</f>
        <v/>
      </c>
      <c r="H5" s="107" t="inlineStr">
        <is>
          <t>Por cada obligación incumplida</t>
        </is>
      </c>
    </row>
    <row r="6" ht="36" customHeight="1" s="81">
      <c r="B6" s="98" t="inlineStr">
        <is>
          <t>Nivel 1</t>
        </is>
      </c>
      <c r="C6" s="99" t="inlineStr">
        <is>
          <t>Art. 53 Fracc. III — Aviso extemporáneo (entre 1 y 30 días de retraso)</t>
        </is>
      </c>
      <c r="D6" s="100">
        <f>N1_MIN</f>
        <v/>
      </c>
      <c r="E6" s="100">
        <f>N1_MAX</f>
        <v/>
      </c>
      <c r="F6" s="101">
        <f>N1_MIN*UMA</f>
        <v/>
      </c>
      <c r="G6" s="102">
        <f>N1_MAX*UMA</f>
        <v/>
      </c>
      <c r="H6" s="103" t="inlineStr">
        <is>
          <t>El retraso no excede 30 días</t>
        </is>
      </c>
    </row>
    <row r="7" ht="36" customHeight="1" s="81">
      <c r="B7" s="98" t="inlineStr">
        <is>
          <t>Nivel 1</t>
        </is>
      </c>
      <c r="C7" s="89" t="inlineStr">
        <is>
          <t>Art. 53 Fracc. IV — Aviso con errores de forma o sin requisitos</t>
        </is>
      </c>
      <c r="D7" s="104">
        <f>N1_MIN</f>
        <v/>
      </c>
      <c r="E7" s="104">
        <f>N1_MAX</f>
        <v/>
      </c>
      <c r="F7" s="105">
        <f>N1_MIN*UMA</f>
        <v/>
      </c>
      <c r="G7" s="106">
        <f>N1_MAX*UMA</f>
        <v/>
      </c>
      <c r="H7" s="107" t="inlineStr">
        <is>
          <t>Por cada aviso con defectos formales</t>
        </is>
      </c>
    </row>
    <row r="8" ht="36" customHeight="1" s="81">
      <c r="B8" s="108" t="inlineStr">
        <is>
          <t>Nivel 2</t>
        </is>
      </c>
      <c r="C8" s="99" t="inlineStr">
        <is>
          <t>Art. 53 Fracc. V — Arts. 33, 33 Bis y 33 Ter: forma de pago en instrumentos de fe pública y Beneficiario Controlador de las sociedades mercantiles</t>
        </is>
      </c>
      <c r="D8" s="100">
        <f>N2_MIN</f>
        <v/>
      </c>
      <c r="E8" s="100">
        <f>N2_MAX</f>
        <v/>
      </c>
      <c r="F8" s="101">
        <f>N2_MIN*UMA</f>
        <v/>
      </c>
      <c r="G8" s="109">
        <f>N2_MAX*UMA</f>
        <v/>
      </c>
      <c r="H8" s="103" t="inlineStr">
        <is>
          <t>Nueva prioridad de fiscalización SHCP 2025</t>
        </is>
      </c>
    </row>
    <row r="9" ht="36" customHeight="1" s="81">
      <c r="B9" s="110" t="inlineStr">
        <is>
          <t>Nivel 3</t>
        </is>
      </c>
      <c r="C9" s="89" t="inlineStr">
        <is>
          <t>Art. 53 Fracc. VI — Omisión total de aviso O retraso mayor a 30 días</t>
        </is>
      </c>
      <c r="D9" s="104">
        <f>N3_MIN</f>
        <v/>
      </c>
      <c r="E9" s="104">
        <f>N3_MAX</f>
        <v/>
      </c>
      <c r="F9" s="105">
        <f>N3_MIN*UMA</f>
        <v/>
      </c>
      <c r="G9" s="111">
        <f>N3_MAX*UMA</f>
        <v/>
      </c>
      <c r="H9" s="107" t="inlineStr">
        <is>
          <t>O 10%–100% del valor de la op., lo que resulte MAYOR</t>
        </is>
      </c>
    </row>
    <row r="10" ht="36" customHeight="1" s="81">
      <c r="B10" s="110" t="inlineStr">
        <is>
          <t>Nivel 3</t>
        </is>
      </c>
      <c r="C10" s="99" t="inlineStr">
        <is>
          <t>Art. 53 Fracc. VII — Operaciones prohibidas con efectivo o metales (Art. 32)</t>
        </is>
      </c>
      <c r="D10" s="100">
        <f>N3_MIN</f>
        <v/>
      </c>
      <c r="E10" s="100">
        <f>N3_MAX</f>
        <v/>
      </c>
      <c r="F10" s="101">
        <f>N3_MIN*UMA</f>
        <v/>
      </c>
      <c r="G10" s="112">
        <f>N3_MAX*UMA</f>
        <v/>
      </c>
      <c r="H10" s="103" t="inlineStr">
        <is>
          <t>O 10%–100% del valor de la op., lo que resulte MAYOR</t>
        </is>
      </c>
    </row>
    <row r="11"/>
    <row r="12" ht="27.75" customHeight="1" s="81">
      <c r="B12" s="113" t="inlineStr">
        <is>
          <t>Art. 54 Bis (NUEVO 2025): Adicionalmente, la SHCP puede ordenar SUSPENSIÓN TEMPORAL de operaciones con clientes específicos mientras dure el procedimiento de verificación.</t>
        </is>
      </c>
      <c r="C12" s="95" t="n"/>
      <c r="D12" s="95" t="n"/>
      <c r="E12" s="95" t="n"/>
      <c r="F12" s="95" t="n"/>
      <c r="G12" s="95" t="n"/>
      <c r="H12" s="95" t="n"/>
    </row>
    <row r="13" ht="27.75" customHeight="1" s="81">
      <c r="B13" s="114" t="inlineStr">
        <is>
          <t>Art. 55 — Cumplimiento espontáneo ANTES de que la SHCP inicie verificación: 1ª ocasión = 100% de condonación  |  Ocasiones subsecuentes = 50% de reducción sobre la multa calculada.</t>
        </is>
      </c>
      <c r="C13" s="95" t="n"/>
      <c r="D13" s="95" t="n"/>
      <c r="E13" s="95" t="n"/>
      <c r="F13" s="95" t="n"/>
      <c r="G13" s="95" t="n"/>
      <c r="H13" s="95" t="n"/>
    </row>
  </sheetData>
  <mergeCells count="3">
    <mergeCell ref="B1:H1"/>
    <mergeCell ref="B13:H13"/>
    <mergeCell ref="B12:H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0" min="1" max="1"/>
    <col width="32" customWidth="1" style="80" min="2" max="2"/>
    <col width="22" customWidth="1" style="80" min="3" max="5"/>
    <col width="24" customWidth="1" style="80" min="6" max="6"/>
  </cols>
  <sheetData>
    <row r="1" ht="31.5" customHeight="1" s="81">
      <c r="B1" s="82" t="inlineStr">
        <is>
          <t>CALCULADORA INTERACTIVA DE SANCIONES  ·  LFPIORPI 2026</t>
        </is>
      </c>
    </row>
    <row r="2" ht="18" customHeight="1" s="81">
      <c r="B2" s="115" t="inlineStr">
        <is>
          <t>Complete las celdas en AMARILLO. Los resultados se calculan automáticamente.</t>
        </is>
      </c>
    </row>
    <row r="3" ht="7.5" customHeight="1" s="81"/>
    <row r="4" ht="21.75" customHeight="1" s="81">
      <c r="B4" s="116" t="inlineStr">
        <is>
          <t>A  |  DATOS DE LA OPERACIÓN</t>
        </is>
      </c>
    </row>
    <row r="5" ht="21.75" customHeight="1" s="81">
      <c r="B5" s="85" t="inlineStr">
        <is>
          <t>Empresa del grupo involucrada</t>
        </is>
      </c>
      <c r="C5" s="117" t="inlineStr">
        <is>
          <t>ÁBACO / DINAMO / Otra</t>
        </is>
      </c>
      <c r="D5" s="118" t="n"/>
      <c r="E5" s="118" t="n"/>
      <c r="F5" s="119" t="n"/>
    </row>
    <row r="6" ht="21.75" customHeight="1" s="81">
      <c r="B6" s="85" t="inlineStr">
        <is>
          <t>Tipo de infracción (ver menú)</t>
        </is>
      </c>
      <c r="C6" s="117" t="inlineStr">
        <is>
          <t>Seleccionar</t>
        </is>
      </c>
      <c r="D6" s="118" t="n"/>
      <c r="E6" s="118" t="n"/>
      <c r="F6" s="119" t="n"/>
    </row>
    <row r="7" ht="21.75" customHeight="1" s="81">
      <c r="B7" s="85" t="inlineStr">
        <is>
          <t>Número de infracciones del mismo tipo</t>
        </is>
      </c>
      <c r="C7" s="120" t="n">
        <v>1</v>
      </c>
      <c r="D7" s="118" t="n"/>
      <c r="E7" s="118" t="n"/>
      <c r="F7" s="119" t="n"/>
    </row>
    <row r="8" ht="21.75" customHeight="1" s="81">
      <c r="B8" s="85" t="inlineStr">
        <is>
          <t>Valor total de la operación no reportada o prohibida ($MXN)</t>
        </is>
      </c>
      <c r="C8" s="121" t="n">
        <v>0</v>
      </c>
      <c r="D8" s="118" t="n"/>
      <c r="E8" s="118" t="n"/>
      <c r="F8" s="119" t="n"/>
    </row>
    <row r="9" ht="21.75" customHeight="1" s="81">
      <c r="B9" s="85" t="inlineStr">
        <is>
          <t>¿Es la 1ª vez que se regulariza espontáneamente? (SÍ / NO)</t>
        </is>
      </c>
      <c r="C9" s="117" t="inlineStr">
        <is>
          <t>SÍ</t>
        </is>
      </c>
      <c r="D9" s="118" t="n"/>
      <c r="E9" s="118" t="n"/>
      <c r="F9" s="119" t="n"/>
    </row>
    <row r="10" ht="21.75" customHeight="1" s="81">
      <c r="B10" s="85" t="inlineStr">
        <is>
          <t>¿Se está regularizando ANTES de que la SHCP inicie verificación? (SÍ / NO)</t>
        </is>
      </c>
      <c r="C10" s="117" t="inlineStr">
        <is>
          <t>SÍ</t>
        </is>
      </c>
      <c r="D10" s="118" t="n"/>
      <c r="E10" s="118" t="n"/>
      <c r="F10" s="119" t="n"/>
    </row>
    <row r="11" ht="7.5" customHeight="1" s="81"/>
    <row r="12" ht="21.75" customHeight="1" s="81">
      <c r="B12" s="116" t="inlineStr">
        <is>
          <t>B  |  NIVEL Y RANGO BASE DE SANCIÓN</t>
        </is>
      </c>
    </row>
    <row r="13" ht="24" customHeight="1" s="81">
      <c r="B13" s="85" t="inlineStr">
        <is>
          <t>Nivel detectado automáticamente</t>
        </is>
      </c>
      <c r="C13" s="122">
        <f>IF(ISNUMBER(SEARCH("Nivel 1",C6)),"Nivel 1",IF(ISNUMBER(SEARCH("Nivel 2",C6)),"Nivel 2",IF(ISNUMBER(SEARCH("Nivel 3",C6)),"Nivel 3","—")))</f>
        <v/>
      </c>
      <c r="D13" s="95" t="n"/>
      <c r="E13" s="95" t="n"/>
      <c r="F13" s="95" t="n"/>
    </row>
    <row r="14" ht="21.75" customHeight="1" s="81">
      <c r="B14" s="84" t="inlineStr">
        <is>
          <t>CONCEPTO</t>
        </is>
      </c>
      <c r="C14" s="84" t="inlineStr">
        <is>
          <t>MÍNIMO (UMA)</t>
        </is>
      </c>
      <c r="D14" s="84" t="inlineStr">
        <is>
          <t>MÁXIMO (UMA)</t>
        </is>
      </c>
      <c r="E14" s="84" t="inlineStr">
        <is>
          <t>MÍNIMO ($MXN)</t>
        </is>
      </c>
      <c r="F14" s="84" t="inlineStr">
        <is>
          <t>MÁXIMO ($MXN)</t>
        </is>
      </c>
    </row>
    <row r="15" ht="19.5" customHeight="1" s="81">
      <c r="B15" s="85" t="inlineStr">
        <is>
          <t>Rango por infracción (Art. 54)</t>
        </is>
      </c>
      <c r="C15" s="104">
        <f>IF(ISNUMBER(SEARCH("Nivel 1",C6)),N1_MIN,IF(ISNUMBER(SEARCH("Nivel 2",C6)),N2_MIN,IF(ISNUMBER(SEARCH("Nivel 3",C6)),N3_MIN,0)))</f>
        <v/>
      </c>
      <c r="D15" s="104">
        <f>IF(ISNUMBER(SEARCH("Nivel 1",C6)),N1_MAX,IF(ISNUMBER(SEARCH("Nivel 2",C6)),N2_MAX,IF(ISNUMBER(SEARCH("Nivel 3",C6)),N3_MAX,0)))</f>
        <v/>
      </c>
      <c r="E15" s="105">
        <f>C15*UMA</f>
        <v/>
      </c>
      <c r="F15" s="123">
        <f>D15*UMA</f>
        <v/>
      </c>
    </row>
    <row r="16" ht="19.5" customHeight="1" s="81">
      <c r="B16" s="85" t="inlineStr">
        <is>
          <t>Nivel 3: comparativo % del valor de la operación</t>
        </is>
      </c>
      <c r="C16" s="124">
        <f>IF(ISNUMBER(SEARCH("Nivel 3",C6)),N3_PMIN&amp;"% del valor","N/A")</f>
        <v/>
      </c>
      <c r="D16" s="124">
        <f>IF(ISNUMBER(SEARCH("Nivel 3",C6)),N3_PMAX&amp;"% del valor","N/A")</f>
        <v/>
      </c>
      <c r="E16" s="125">
        <f>IF(ISNUMBER(SEARCH("Nivel 3",C6)),C8*(N3_PMIN/100),0)</f>
        <v/>
      </c>
      <c r="F16" s="126">
        <f>IF(ISNUMBER(SEARCH("Nivel 3",C6)),C8*(N3_PMAX/100),0)</f>
        <v/>
      </c>
    </row>
    <row r="17" ht="7.5" customHeight="1" s="81"/>
    <row r="18" ht="21.75" customHeight="1" s="81">
      <c r="B18" s="116" t="inlineStr">
        <is>
          <t>C  |  CÁLCULO TOTAL (considerando número de infracciones)</t>
        </is>
      </c>
    </row>
    <row r="19" ht="21.75" customHeight="1" s="81">
      <c r="B19" s="127" t="inlineStr">
        <is>
          <t>CONCEPTO</t>
        </is>
      </c>
      <c r="C19" s="127" t="inlineStr">
        <is>
          <t>CANTIDAD</t>
        </is>
      </c>
      <c r="D19" s="128" t="inlineStr">
        <is>
          <t>MULTA MÍNIMA TOTAL</t>
        </is>
      </c>
      <c r="E19" s="95" t="n"/>
      <c r="F19" s="127" t="inlineStr">
        <is>
          <t>MULTA MÁXIMA TOTAL</t>
        </is>
      </c>
    </row>
    <row r="20" ht="19.5" customHeight="1" s="81">
      <c r="B20" s="85" t="inlineStr">
        <is>
          <t>Multa base por infracción (Art. 54)</t>
        </is>
      </c>
      <c r="C20" s="87" t="inlineStr">
        <is>
          <t>×1</t>
        </is>
      </c>
      <c r="D20" s="129">
        <f>IF(ISNUMBER(SEARCH("Nivel 3",C6)),MAX(C15*UMA, C8*(N3_PMIN/100)),C15*UMA)</f>
        <v/>
      </c>
      <c r="E20" s="95" t="n"/>
      <c r="F20" s="123">
        <f>IF(ISNUMBER(SEARCH("Nivel 3",C6)),MAX(D15*UMA, C8*(N3_PMAX/100)),D15*UMA)</f>
        <v/>
      </c>
    </row>
    <row r="21" ht="21.75" customHeight="1" s="81">
      <c r="B21" s="85" t="inlineStr">
        <is>
          <t>Número de infracciones ingresadas</t>
        </is>
      </c>
      <c r="C21" s="130">
        <f>C7</f>
        <v/>
      </c>
      <c r="D21" s="131">
        <f>D20*C7</f>
        <v/>
      </c>
      <c r="E21" s="95" t="n"/>
      <c r="F21" s="132">
        <f>F20*C7</f>
        <v/>
      </c>
    </row>
    <row r="22" ht="7.5" customHeight="1" s="81"/>
    <row r="23" ht="21.75" customHeight="1" s="81">
      <c r="B23" s="133" t="inlineStr">
        <is>
          <t>D  |  EFECTO DEL CUMPLIMIENTO ESPONTÁNEO (Art. 55)</t>
        </is>
      </c>
    </row>
    <row r="24" ht="21.75" customHeight="1" s="81">
      <c r="B24" s="134" t="inlineStr">
        <is>
          <t>ESCENARIO</t>
        </is>
      </c>
      <c r="C24" s="134" t="inlineStr">
        <is>
          <t>CONDICIÓN</t>
        </is>
      </c>
      <c r="D24" s="135" t="inlineStr">
        <is>
          <t>MULTA MÍNIMA EFECTIVA</t>
        </is>
      </c>
      <c r="E24" s="95" t="n"/>
      <c r="F24" s="134" t="inlineStr">
        <is>
          <t>MULTA MÁXIMA EFECTIVA</t>
        </is>
      </c>
    </row>
    <row r="25" ht="21.75" customHeight="1" s="81">
      <c r="B25" s="136" t="inlineStr">
        <is>
          <t>Sin regularizar (SHCP detecta)</t>
        </is>
      </c>
      <c r="C25" s="137" t="inlineStr">
        <is>
          <t>No aplica Art. 55</t>
        </is>
      </c>
      <c r="D25" s="138">
        <f>D21</f>
        <v/>
      </c>
      <c r="E25" s="95" t="n"/>
      <c r="F25" s="132">
        <f>F21</f>
        <v/>
      </c>
    </row>
    <row r="26" ht="21.75" customHeight="1" s="81">
      <c r="B26" s="89" t="inlineStr">
        <is>
          <t>Art. 55 — 1ª ocasión espontánea</t>
        </is>
      </c>
      <c r="C26" s="139">
        <f>IF(AND(C10="SÍ",C9="SÍ"),"Aplica — 100% condonado","No aplica")</f>
        <v/>
      </c>
      <c r="D26" s="140">
        <f>IF(AND(C10="SÍ",C9="SÍ"),0,D21)</f>
        <v/>
      </c>
      <c r="E26" s="95" t="n"/>
      <c r="F26" s="141">
        <f>IF(AND(C10="SÍ",C9="SÍ"),0,F21)</f>
        <v/>
      </c>
    </row>
    <row r="27" ht="21.75" customHeight="1" s="81">
      <c r="B27" s="85" t="inlineStr">
        <is>
          <t>Art. 55 — Subsecuentes espontáneas</t>
        </is>
      </c>
      <c r="C27" s="142">
        <f>IF(AND(C10="SÍ",C9="NO"),"Aplica — 50% de reducción","No aplica")</f>
        <v/>
      </c>
      <c r="D27" s="143">
        <f>IF(AND(C10="SÍ",C9="NO"),D21*(1-ART55/100),D21)</f>
        <v/>
      </c>
      <c r="E27" s="95" t="n"/>
      <c r="F27" s="144">
        <f>IF(AND(C10="SÍ",C9="NO"),F21*(1-ART55/100),F21)</f>
        <v/>
      </c>
    </row>
    <row r="28" ht="7.5" customHeight="1" s="81"/>
    <row r="29" ht="21.75" customHeight="1" s="81">
      <c r="B29" s="116" t="inlineStr">
        <is>
          <t>E  |  RESUMEN EJECUTIVO</t>
        </is>
      </c>
    </row>
    <row r="30" ht="24" customHeight="1" s="81">
      <c r="B30" s="145" t="inlineStr">
        <is>
          <t>CONCEPTO</t>
        </is>
      </c>
      <c r="C30" s="146" t="inlineStr">
        <is>
          <t>MULTA MÍNIMA</t>
        </is>
      </c>
      <c r="D30" s="95" t="n"/>
      <c r="E30" s="146" t="inlineStr">
        <is>
          <t>MULTA MÁXIMA</t>
        </is>
      </c>
      <c r="F30" s="95" t="n"/>
    </row>
    <row r="31" ht="24" customHeight="1" s="81">
      <c r="B31" s="136" t="inlineStr">
        <is>
          <t>Escenario A — SHCP detecta (sin Art. 55)</t>
        </is>
      </c>
      <c r="C31" s="147">
        <f>D25</f>
        <v/>
      </c>
      <c r="D31" s="95" t="n"/>
      <c r="E31" s="147">
        <f>F25</f>
        <v/>
      </c>
      <c r="F31" s="95" t="n"/>
    </row>
    <row r="32" ht="24" customHeight="1" s="81">
      <c r="B32" s="148" t="inlineStr">
        <is>
          <t>Escenario B — Art. 55, 1ª vez espontáneo</t>
        </is>
      </c>
      <c r="C32" s="149">
        <f>D26</f>
        <v/>
      </c>
      <c r="D32" s="95" t="n"/>
      <c r="E32" s="149">
        <f>F26</f>
        <v/>
      </c>
      <c r="F32" s="95" t="n"/>
    </row>
    <row r="33" ht="24" customHeight="1" s="81">
      <c r="B33" s="136" t="inlineStr">
        <is>
          <t>Escenario C — Art. 55, subsecuente</t>
        </is>
      </c>
      <c r="C33" s="150">
        <f>D27</f>
        <v/>
      </c>
      <c r="D33" s="95" t="n"/>
      <c r="E33" s="150">
        <f>F27</f>
        <v/>
      </c>
      <c r="F33" s="95" t="n"/>
    </row>
    <row r="34" ht="7.5" customHeight="1" s="81"/>
    <row r="35" ht="18" customHeight="1" s="81">
      <c r="B35" s="151" t="inlineStr">
        <is>
          <t>Fuente: Art. 53, 54, 54 Bis, 55 LFPIORPI — DOF 16-07-2025  ·  UMA 2026 = $117.31/día  ·  Calculadora elaborada por GMC360 / 360EDUCA — Maribel Vázquez Menchaca</t>
        </is>
      </c>
    </row>
  </sheetData>
  <mergeCells count="30">
    <mergeCell ref="B4:F4"/>
    <mergeCell ref="D20:E20"/>
    <mergeCell ref="C30:D30"/>
    <mergeCell ref="C8:F8"/>
    <mergeCell ref="D19:E19"/>
    <mergeCell ref="C33:D33"/>
    <mergeCell ref="E33:F33"/>
    <mergeCell ref="C7:F7"/>
    <mergeCell ref="B18:F18"/>
    <mergeCell ref="D21:E21"/>
    <mergeCell ref="C13:F13"/>
    <mergeCell ref="B12:F12"/>
    <mergeCell ref="B2:F2"/>
    <mergeCell ref="D27:E27"/>
    <mergeCell ref="C6:F6"/>
    <mergeCell ref="B23:F23"/>
    <mergeCell ref="B1:F1"/>
    <mergeCell ref="C31:D31"/>
    <mergeCell ref="C5:F5"/>
    <mergeCell ref="E31:F31"/>
    <mergeCell ref="B29:F29"/>
    <mergeCell ref="E30:F30"/>
    <mergeCell ref="C10:F10"/>
    <mergeCell ref="D25:E25"/>
    <mergeCell ref="C9:F9"/>
    <mergeCell ref="C32:D32"/>
    <mergeCell ref="D24:E24"/>
    <mergeCell ref="E32:F32"/>
    <mergeCell ref="D26:E26"/>
    <mergeCell ref="B35:F35"/>
  </mergeCells>
  <dataValidations count="2">
    <dataValidation sqref="C6" showDropDown="0" showInputMessage="0" showErrorMessage="1" allowBlank="0" type="list" errorStyle="stop" operator="between">
      <formula1>"Nivel 1 — Fracc. I (requerimiento SHCP),Nivel 1 — Fracc. II (Art. 18 incumplido),Nivel 1 — Fracc. III (aviso tardío ≤30 días),Nivel 1 — Fracc. IV (aviso con errores),Nivel 2 — Fracc. V (Beneficiario Controlador),Nivel 3 — Fracc. VI (omisión total / &gt;30 dí"</formula1>
      <formula2>0</formula2>
    </dataValidation>
    <dataValidation sqref="C9:C10" showDropDown="0" showInputMessage="0" showErrorMessage="0" allowBlank="0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80" min="1" max="1"/>
    <col width="8" customWidth="1" style="80" min="2" max="2"/>
    <col width="30" customWidth="1" style="80" min="3" max="3"/>
    <col width="22" customWidth="1" style="80" min="4" max="7"/>
    <col width="20" customWidth="1" style="80" min="8" max="8"/>
  </cols>
  <sheetData>
    <row r="1" ht="30" customHeight="1" s="81">
      <c r="B1" s="152" t="inlineStr">
        <is>
          <t>UMBRALES DE IDENTIFICACIÓN, AVISO Y PROHIBICIÓN — Art. 17 LFPIORPI  ·  UMA 2026 = $117.31/día</t>
        </is>
      </c>
    </row>
    <row r="2" ht="7.5" customHeight="1" s="81"/>
    <row r="3" ht="24" customHeight="1" s="81">
      <c r="B3" s="84" t="inlineStr">
        <is>
          <t>FRACC.</t>
        </is>
      </c>
      <c r="C3" s="84" t="inlineStr">
        <is>
          <t>ACTIVIDAD</t>
        </is>
      </c>
      <c r="D3" s="84" t="inlineStr">
        <is>
          <t>IDENTIFICACIÓN (UMA)</t>
        </is>
      </c>
      <c r="E3" s="84" t="inlineStr">
        <is>
          <t>AVISO (UMA)</t>
        </is>
      </c>
      <c r="F3" s="84" t="inlineStr">
        <is>
          <t>IDENTIFICACIÓN ($MXN)</t>
        </is>
      </c>
      <c r="G3" s="84" t="inlineStr">
        <is>
          <t>AVISO ($MXN)</t>
        </is>
      </c>
      <c r="H3" s="84" t="inlineStr">
        <is>
          <t>PROHIB. EFECTIVO</t>
        </is>
      </c>
    </row>
    <row r="4" ht="30" customHeight="1" s="81">
      <c r="B4" s="153" t="inlineStr">
        <is>
          <t>II</t>
        </is>
      </c>
      <c r="C4" s="85" t="inlineStr">
        <is>
          <t>Tarjetas de crédito/servicios (gasto mensual)</t>
        </is>
      </c>
      <c r="D4" s="87" t="inlineStr">
        <is>
          <t>≥ 805 UMA/mes</t>
        </is>
      </c>
      <c r="E4" s="87" t="inlineStr">
        <is>
          <t>≥ 1,285 UMA/mes</t>
        </is>
      </c>
      <c r="F4" s="154">
        <f>805*UMA</f>
        <v/>
      </c>
      <c r="G4" s="154">
        <f>1285*UMA</f>
        <v/>
      </c>
      <c r="H4" s="155" t="inlineStr">
        <is>
          <t>No aplica específicamente</t>
        </is>
      </c>
    </row>
    <row r="5" ht="30" customHeight="1" s="81">
      <c r="B5" s="156" t="inlineStr">
        <is>
          <t>II</t>
        </is>
      </c>
      <c r="C5" s="89" t="inlineStr">
        <is>
          <t>Tarjetas prepagadas y monederos electrónicos (por operación)</t>
        </is>
      </c>
      <c r="D5" s="91" t="inlineStr">
        <is>
          <t>≥ 645 UMA/op</t>
        </is>
      </c>
      <c r="E5" s="91" t="inlineStr">
        <is>
          <t>≥ 645 UMA/op</t>
        </is>
      </c>
      <c r="F5" s="157">
        <f>645*UMA</f>
        <v/>
      </c>
      <c r="G5" s="157">
        <f>645*UMA</f>
        <v/>
      </c>
      <c r="H5" s="158" t="inlineStr">
        <is>
          <t>No aplica específicamente</t>
        </is>
      </c>
    </row>
    <row r="6" ht="30" customHeight="1" s="81">
      <c r="B6" s="153" t="inlineStr">
        <is>
          <t>IV</t>
        </is>
      </c>
      <c r="C6" s="85" t="inlineStr">
        <is>
          <t>Mutuo, garantía, crédito y préstamos (no entidades financieras)</t>
        </is>
      </c>
      <c r="D6" s="87" t="inlineStr">
        <is>
          <t>Toda op. habitual</t>
        </is>
      </c>
      <c r="E6" s="87" t="inlineStr">
        <is>
          <t>≥ 1,605 UMA</t>
        </is>
      </c>
      <c r="F6" s="159" t="inlineStr">
        <is>
          <t>Toda op. habitual</t>
        </is>
      </c>
      <c r="G6" s="154">
        <f>1605*UMA</f>
        <v/>
      </c>
      <c r="H6" s="155" t="inlineStr">
        <is>
          <t>No aplica específicamente</t>
        </is>
      </c>
    </row>
    <row r="7" ht="30" customHeight="1" s="81">
      <c r="B7" s="156" t="inlineStr">
        <is>
          <t>V</t>
        </is>
      </c>
      <c r="C7" s="89" t="inlineStr">
        <is>
          <t>Construcción, desarrollo e intermediación de inmuebles</t>
        </is>
      </c>
      <c r="D7" s="91" t="inlineStr">
        <is>
          <t>Toda op. habitual</t>
        </is>
      </c>
      <c r="E7" s="91" t="inlineStr">
        <is>
          <t>≥ 8,025 UMA</t>
        </is>
      </c>
      <c r="F7" s="160" t="inlineStr">
        <is>
          <t>Toda op. habitual</t>
        </is>
      </c>
      <c r="G7" s="157">
        <f>8025*UMA</f>
        <v/>
      </c>
      <c r="H7" s="161" t="inlineStr">
        <is>
          <t>≥ 8,025 UMA</t>
        </is>
      </c>
    </row>
    <row r="8" ht="30" customHeight="1" s="81">
      <c r="B8" s="110" t="inlineStr">
        <is>
          <t>V Bis</t>
        </is>
      </c>
      <c r="C8" s="85" t="inlineStr">
        <is>
          <t>Desarrollo inmobiliario — recepción de recursos (NUEVA 2025)</t>
        </is>
      </c>
      <c r="D8" s="87" t="inlineStr">
        <is>
          <t>Toda recepción</t>
        </is>
      </c>
      <c r="E8" s="87" t="inlineStr">
        <is>
          <t>≥ 8,025 UMA</t>
        </is>
      </c>
      <c r="F8" s="159" t="inlineStr">
        <is>
          <t>Toda recepción</t>
        </is>
      </c>
      <c r="G8" s="154">
        <f>8025*UMA</f>
        <v/>
      </c>
      <c r="H8" s="162" t="inlineStr">
        <is>
          <t>≥ 8,025 UMA</t>
        </is>
      </c>
    </row>
    <row r="9" ht="30" customHeight="1" s="81">
      <c r="B9" s="163" t="inlineStr">
        <is>
          <t>VIII</t>
        </is>
      </c>
      <c r="C9" s="89" t="inlineStr">
        <is>
          <t>Vehículos — ÁBACO (autos) · DINAMO (motos)</t>
        </is>
      </c>
      <c r="D9" s="91" t="inlineStr">
        <is>
          <t>≥ 3,210 UMA</t>
        </is>
      </c>
      <c r="E9" s="91" t="inlineStr">
        <is>
          <t>≥ 6,420 UMA</t>
        </is>
      </c>
      <c r="F9" s="157">
        <f>3210*UMA</f>
        <v/>
      </c>
      <c r="G9" s="157">
        <f>6420*UMA</f>
        <v/>
      </c>
      <c r="H9" s="161" t="inlineStr">
        <is>
          <t>≥ 3,210 UMA (Art. 32)</t>
        </is>
      </c>
    </row>
    <row r="10" ht="30" customHeight="1" s="81">
      <c r="B10" s="153" t="inlineStr">
        <is>
          <t>XV</t>
        </is>
      </c>
      <c r="C10" s="85" t="inlineStr">
        <is>
          <t>Arrendamiento de inmuebles</t>
        </is>
      </c>
      <c r="D10" s="87" t="inlineStr">
        <is>
          <t>&gt; 1,605 UMA/mes</t>
        </is>
      </c>
      <c r="E10" s="87" t="inlineStr">
        <is>
          <t>≥ 3,210 UMA/mes</t>
        </is>
      </c>
      <c r="F10" s="154">
        <f>1605*UMA</f>
        <v/>
      </c>
      <c r="G10" s="154">
        <f>3210*UMA</f>
        <v/>
      </c>
      <c r="H10" s="155" t="inlineStr">
        <is>
          <t>No aplica específicamente</t>
        </is>
      </c>
    </row>
    <row r="11"/>
    <row r="12" ht="24" customHeight="1" s="81">
      <c r="B12" s="94" t="inlineStr">
        <is>
          <t>★ Los valores en $MXN se recalculan automáticamente si se actualiza la UMA en la hoja CONFIG (celda C5).  Fuente: Art. 17 LFPIORPI DOF 16-07-2025</t>
        </is>
      </c>
      <c r="C12" s="95" t="n"/>
      <c r="D12" s="95" t="n"/>
      <c r="E12" s="95" t="n"/>
      <c r="F12" s="95" t="n"/>
      <c r="G12" s="95" t="n"/>
      <c r="H12" s="95" t="n"/>
    </row>
  </sheetData>
  <mergeCells count="2">
    <mergeCell ref="B1:H1"/>
    <mergeCell ref="B12:H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2026-03-11T17:13:47Z</dcterms:created>
  <dcterms:modified xmlns:dcterms="http://purl.org/dc/terms/" xmlns:xsi="http://www.w3.org/2001/XMLSchema-instance" xsi:type="dcterms:W3CDTF">2026-08-11T21:05:34Z</dcterms:modified>
  <cp:revision>0</cp:revision>
</cp:coreProperties>
</file>