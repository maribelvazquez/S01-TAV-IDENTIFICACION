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drawings/drawing3.xml" ContentType="application/vnd.openxmlformats-officedocument.drawing+xml"/>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ÍA" sheetId="1" state="visible" r:id="rId3"/>
    <sheet name="TABLERO" sheetId="2" state="visible" r:id="rId4"/>
    <sheet name="OPERACIONES" sheetId="3" state="visible" r:id="rId5"/>
    <sheet name="CLIENTES" sheetId="4" state="visible" r:id="rId6"/>
    <sheet name="AVISOS_24H" sheetId="5" state="visible" r:id="rId7"/>
    <sheet name="CALENDARIO" sheetId="6" state="visible" r:id="rId8"/>
    <sheet name="CONSULTA" sheetId="7" state="visible" r:id="rId9"/>
    <sheet name="OBLIGACIONES" sheetId="8" state="visible" r:id="rId10"/>
    <sheet name="ALERTAS" sheetId="9" state="visible" r:id="rId11"/>
    <sheet name="CATÁLOGO" sheetId="10" state="visible" r:id="rId12"/>
    <sheet name="CONFIG" sheetId="11" state="visible" r:id="rId13"/>
  </sheets>
  <definedNames>
    <definedName function="false" hidden="true" localSheetId="8" name="_xlnm._FilterDatabase" vbProcedure="false">ALERTAS!$A$4:$I$397</definedName>
    <definedName function="false" hidden="true" localSheetId="9" name="_xlnm._FilterDatabase" vbProcedure="false">CATÁLOGO!$A$4:$Q$39</definedName>
    <definedName function="false" hidden="true" localSheetId="3" name="_xlnm._FilterDatabase" vbProcedure="false">CLIENTES!$A$5:$AF$305</definedName>
    <definedName function="false" hidden="true" localSheetId="2" name="_xlnm._FilterDatabase" vbProcedure="false">OPERACIONES!$A$5:$X$505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Fecha de la operación, en orden cronológico. En juegos con apuesta (fr. I) captura también la hora (dd/mm/aaaa hh:mm) para aplicar la regla de 24 horas (R 21 Bis).</t>
        </r>
      </text>
    </comment>
    <comment ref="E5" authorId="0">
      <text>
        <r>
          <rPr>
            <sz val="10"/>
            <rFont val="Arial"/>
            <family val="2"/>
          </rPr>
          <t xml:space="preserve">Valor del acto u operación SIN contribuciones ni accesorios (IVA, etc.). Con este monto se decide si hay identificación, acumulación y Aviso (Reglamento, art. 6, primer párrafo). En comercio exterior, el valor en aduana (art. 6, segundo párrafo).</t>
        </r>
      </text>
    </comment>
    <comment ref="F5" authorId="0">
      <text>
        <r>
          <rPr>
            <sz val="10"/>
            <rFont val="Arial"/>
            <family val="2"/>
          </rPr>
          <t xml:space="preserve">Parte pagada en efectivo, CON contribuciones y accesorios: así se mide la prohibición del Art. 32 (Reglamento, art. 6, tercer párrafo).</t>
        </r>
      </text>
    </comment>
    <comment ref="M5" authorId="0">
      <text>
        <r>
          <rPr>
            <sz val="10"/>
            <rFont val="Arial"/>
            <family val="2"/>
          </rPr>
          <t xml:space="preserve">Art. 7 del Reglamento: sólo se acumulan las operaciones que en lo individual alcanzan el umbral de identificación; si la actividad se identifica siempre, se acumulan todas. Actividades que no acumulan (RCG 19): cada operación se evalúa sola.</t>
        </r>
      </text>
    </comment>
    <comment ref="N5" authorId="0">
      <text>
        <r>
          <rPr>
            <sz val="10"/>
            <rFont val="Arial"/>
            <family val="2"/>
          </rPr>
          <t xml:space="preserve">RCG 19: el periodo de acumulación es de hasta 6 meses y arranca con la primera operación. Criterio del libro: después de un Aviso, o si la operación cae 6 meses o más después del inicio, abre periodo nuevo.</t>
        </r>
      </text>
    </comment>
    <comment ref="P5" authorId="0">
      <text>
        <r>
          <rPr>
            <sz val="10"/>
            <rFont val="Arial"/>
            <family val="2"/>
          </rPr>
          <t xml:space="preserve">AVISO = esta operación origina Aviso (por sí sola o porque con ella el acumulado alcanza el umbral).</t>
        </r>
      </text>
    </comment>
    <comment ref="Q5" authorId="0">
      <text>
        <r>
          <rPr>
            <sz val="10"/>
            <rFont val="Arial"/>
            <family val="2"/>
          </rPr>
          <t xml:space="preserve">Ley art. 23: a más tardar el día 17 del mes siguiente al de la operación que originó el Aviso.</t>
        </r>
      </text>
    </comment>
    <comment ref="T5" authorId="0">
      <text>
        <r>
          <rPr>
            <sz val="10"/>
            <rFont val="Arial"/>
            <family val="2"/>
          </rPr>
          <t xml:space="preserve">Captura "Presentado" cuando envíes el Aviso en el SPPLD, y la fecha en la columna siguiente.</t>
        </r>
      </text>
    </comment>
    <comment ref="W5" authorId="0">
      <text>
        <r>
          <rPr>
            <sz val="10"/>
            <rFont val="Arial"/>
            <family val="2"/>
          </rPr>
          <t xml:space="preserve">Monto total de los pagos recibidos, incluidas las contribuciones, sin desglosarlas: es la cifra que se reporta en el Aviso (Reglamento, art. 6, primer párrafo). Sólo se captura en operaciones con Aviso.</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Persona física / Persona moral / Fideicomiso (Ley 3 fr. III Bis).</t>
        </r>
      </text>
    </comment>
    <comment ref="G5" authorId="0">
      <text>
        <r>
          <rPr>
            <sz val="10"/>
            <rFont val="Arial"/>
            <family val="2"/>
          </rPr>
          <t xml:space="preserve">Países que la legislación mexicana considera con regímenes fiscales preferentes o que GAFI u otros organismos señalan sin medidas o con medidas deficientes. Lista en el Portal de la UIF (RCG 23 Bis 4).</t>
        </r>
      </text>
    </comment>
    <comment ref="H5" authorId="0">
      <text>
        <r>
          <rPr>
            <sz val="10"/>
            <rFont val="Arial"/>
            <family val="2"/>
          </rPr>
          <t xml:space="preserve">RCG 23 Quáter: incluye cónyuge, concubinos, parientes hasta segundo grado y socios; y hasta un año después de dejar el cargo. Consulta PEP 2.0: RCG 23 Quáter 1.</t>
        </r>
      </text>
    </comment>
    <comment ref="I5" authorId="0">
      <text>
        <r>
          <rPr>
            <sz val="10"/>
            <rFont val="Arial"/>
            <family val="2"/>
          </rPr>
          <t xml:space="preserve">Listas de personas bloqueadas u otras listas oficiales (RCG 37 Bis fr. IX).</t>
        </r>
      </text>
    </comment>
    <comment ref="M5" authorId="0">
      <text>
        <r>
          <rPr>
            <sz val="10"/>
            <rFont val="Arial"/>
            <family val="2"/>
          </rPr>
          <t xml:space="preserve">RCG 23 Ter 1: monto máximo mensual que el cliente estima operar; forma el perfil inicial por al menos seis meses.</t>
        </r>
      </text>
    </comment>
    <comment ref="Q5" authorId="0">
      <text>
        <r>
          <rPr>
            <sz val="10"/>
            <rFont val="Arial"/>
            <family val="2"/>
          </rPr>
          <t xml:space="preserve">Persona moral o fideicomiso: identificarlo (desde el 30-nov-2026 ya no basta la declaración). Persona física: su declaración escrita.</t>
        </r>
      </text>
    </comment>
    <comment ref="S5" authorId="0">
      <text>
        <r>
          <rPr>
            <sz val="10"/>
            <rFont val="Arial"/>
            <family val="2"/>
          </rPr>
          <t xml:space="preserve">RCG 21: al menos una vez al año, verificar que los expedientes con Relación de negocios estén completos y actualizados.</t>
        </r>
      </text>
    </comment>
    <comment ref="T5" authorId="0">
      <text>
        <r>
          <rPr>
            <sz val="10"/>
            <rFont val="Arial"/>
            <family val="2"/>
          </rPr>
          <t xml:space="preserve">Opcional. Sólo si tu criterio profesional difiere del modelo. Nunca baja un ALTO obligatorio. Documenta por qué.</t>
        </r>
      </text>
    </comment>
    <comment ref="Z5" authorId="0">
      <text>
        <r>
          <rPr>
            <sz val="10"/>
            <rFont val="Arial"/>
            <family val="2"/>
          </rPr>
          <t xml:space="preserve">Grado que usa todo el libro. ALTO obligatorio si es PEP extranjera o no residente vinculado a jurisdicción de riesgo (RCG 23 Bis 4).</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Se toma de la tabla de UMA por año (columnas H e I). La UMA de cada año rige del 1 de febrero al 31 de enero siguiente.</t>
        </r>
      </text>
    </comment>
    <comment ref="B5" authorId="0">
      <text>
        <r>
          <rPr>
            <sz val="10"/>
            <rFont val="Arial"/>
            <family val="2"/>
          </rPr>
          <t xml:space="preserve">Déjala vacía para usar la fecha de hoy. Captúrala sólo si quieres ver el tablero "como estaba" en otra fecha.</t>
        </r>
      </text>
    </comment>
    <comment ref="B10" authorId="0">
      <text>
        <r>
          <rPr>
            <sz val="10"/>
            <rFont val="Arial"/>
            <family val="2"/>
          </rPr>
          <t xml:space="preserve">Año que muestra la hoja CALENDARIO.</t>
        </r>
      </text>
    </comment>
    <comment ref="B11" authorId="0">
      <text>
        <r>
          <rPr>
            <sz val="10"/>
            <rFont val="Arial"/>
            <family val="2"/>
          </rPr>
          <t xml:space="preserve">Opcional. Los meses anteriores del CALENDARIO se marcan "Antes del inicio" en lugar de vencidos.</t>
        </r>
      </text>
    </comment>
    <comment ref="B13" authorId="0">
      <text>
        <r>
          <rPr>
            <sz val="10"/>
            <rFont val="Arial"/>
            <family val="2"/>
          </rPr>
          <t xml:space="preserve">Umbrales del modelo base. Calíbralos con tu metodología (RCG 23 Bis: el modelo de cliente debe ser coherente con la evaluación del Cap. II Quáter).</t>
        </r>
      </text>
    </comment>
    <comment ref="B14" authorId="0">
      <text>
        <r>
          <rPr>
            <sz val="10"/>
            <rFont val="Arial"/>
            <family val="2"/>
          </rPr>
          <t xml:space="preserve">Arriba de este puntaje, el cliente es de grado ALTO.</t>
        </r>
      </text>
    </comment>
    <comment ref="B16" authorId="0">
      <text>
        <r>
          <rPr>
            <sz val="10"/>
            <rFont val="Arial"/>
            <family val="2"/>
          </rPr>
          <t xml:space="preserve">RCG 23 Bis 1: al menos cada seis meses.</t>
        </r>
      </text>
    </comment>
    <comment ref="B18" authorId="0">
      <text>
        <r>
          <rPr>
            <sz val="10"/>
            <rFont val="Arial"/>
            <family val="2"/>
          </rPr>
          <t xml:space="preserve">RCG 23 Bis 1: mayor frecuencia a mayor grado. Los 3 meses son criterio; ajústalo.</t>
        </r>
      </text>
    </comment>
    <comment ref="B20" authorId="0">
      <text>
        <r>
          <rPr>
            <sz val="10"/>
            <rFont val="Arial"/>
            <family val="2"/>
          </rPr>
          <t xml:space="preserve">Factores transaccionales (RCG 23 Bis 2 fr. II). Se calculan solos con la hoja OPERACIONES.</t>
        </r>
      </text>
    </comment>
    <comment ref="B22" authorId="0">
      <text>
        <r>
          <rPr>
            <sz val="10"/>
            <rFont val="Arial"/>
            <family val="2"/>
          </rPr>
          <t xml:space="preserve">RCG 23 Ter 1: perfil transaccional con el monto máximo mensual que el cliente estima.</t>
        </r>
      </text>
    </comment>
  </commentList>
</comments>
</file>

<file path=xl/sharedStrings.xml><?xml version="1.0" encoding="utf-8"?>
<sst xmlns="http://schemas.openxmlformats.org/spreadsheetml/2006/main" count="3599" uniqueCount="941">
  <si>
    <t xml:space="preserve">CONSOLA DEL REPRESENTANTE ENCARGADO DE CUMPLIMIENTO · Actividades Vulnerables</t>
  </si>
  <si>
    <t xml:space="preserve">Herramienta de trabajo diario para quien cumple la LFPIORPI. Actualizada con la Ley (DOF 16-jul-2025), el Reglamento (DOF 27-mar-2026) y las Reglas de Carácter General con el Acuerdo 115/2026 (DOF 7-ago-2026). GMC360 · 360educa.</t>
  </si>
  <si>
    <t xml:space="preserve">1. PRIMERA VEZ (15 minutos)</t>
  </si>
  <si>
    <t xml:space="preserve">1) CONFIG: revisa la tabla de UMA por año y captura el nombre del sujeto obligado, el RFC y el nombre de la persona Representante Encargada de Cumplimiento.</t>
  </si>
  <si>
    <t xml:space="preserve">2) CLIENTES: borra el renglón EJEMPLO-01 y da de alta a tus clientes con sus factores de riesgo, su perfil transaccional y las fechas del expediente.</t>
  </si>
  <si>
    <t xml:space="preserve">3) OPERACIONES: borra el renglón de ejemplo y empieza a registrar operaciones en orden de fecha.</t>
  </si>
  <si>
    <t xml:space="preserve">2. LA RUTINA DEL REC</t>
  </si>
  <si>
    <t xml:space="preserve">CADA DÍA</t>
  </si>
  <si>
    <t xml:space="preserve">• Registra cada operación en OPERACIONES (fecha, cliente, actividad, monto, efectivo). El motor te dice si identificas, si acumula, si ya hay Aviso y su fecha límite, y si el efectivo está prohibido.</t>
  </si>
  <si>
    <t xml:space="preserve">• Lee la columna ALERTAS: exceso de perfil, tercero que paga, cliente de riesgo alto (debida diligencia reforzada), PEP, efectivo prohibido.</t>
  </si>
  <si>
    <t xml:space="preserve">• Si algo te huele mal, regístralo en AVISOS_24H en ese momento: el reloj de 24 horas empieza a correr.</t>
  </si>
  <si>
    <t xml:space="preserve">• ¿Duda rápida antes de cerrar una venta? Hoja CONSULTA.</t>
  </si>
  <si>
    <t xml:space="preserve">CADA SEMANA</t>
  </si>
  <si>
    <t xml:space="preserve">• TABLERO: todo lo que esté en rojo es un pendiente.</t>
  </si>
  <si>
    <t xml:space="preserve">• CLIENTES: filtra la columna Semáforo = "Revisar".</t>
  </si>
  <si>
    <t xml:space="preserve">CADA MES (antes del día 17)</t>
  </si>
  <si>
    <t xml:space="preserve">• CALENDARIO: presenta los Avisos del mes anterior en el SPPLD, márcalos "Presentado" en OPERACIONES con la fecha; si no hubo Avisos, presenta el informe en ceros (RCG 25) y márcalo en CALENDARIO.</t>
  </si>
  <si>
    <t xml:space="preserve">CADA SEIS MESES (o antes si es de riesgo alto)</t>
  </si>
  <si>
    <t xml:space="preserve">• Reevalúa el grado de riesgo de cada cliente (RCG 23 Bis 1) y el perfil transaccional (RCG 23 Ter 1): actualiza la "Fecha última evaluación de riesgo".</t>
  </si>
  <si>
    <t xml:space="preserve">CADA AÑO</t>
  </si>
  <si>
    <t xml:space="preserve">• Verifica los expedientes (RCG 21) y actualiza la fecha de verificación. En febrero, cambia la UMA en CONFIG. Revisa OBLIGACIONES (capacitación, auditoría, Manual).</t>
  </si>
  <si>
    <t xml:space="preserve">3. CÓMO FUNCIONA EL MOTOR DE ACUMULACIÓN</t>
  </si>
  <si>
    <t xml:space="preserve">• Identificación: operación por operación, contra el umbral de identificación de la actividad. Si el umbral es "Siempre", se identifica en toda operación.</t>
  </si>
  <si>
    <t xml:space="preserve">• Acumulación: por cliente y por actividad (Art. 7 del Reglamento: "por tipo de acto u operación"). Sólo se suman las operaciones que por sí solas alcanzan el umbral de identificación; si la actividad no tiene umbral de identificación, se suman todas.</t>
  </si>
  <si>
    <t xml:space="preserve">• Periodo: de hasta 6 meses, desde la primera operación que cuenta (RCG 19). El Aviso procede con la operación que alcanza el umbral, aunque no se haya agotado el periodo (Art. 7).</t>
  </si>
  <si>
    <t xml:space="preserve">• Criterio del libro: después de un Aviso, la siguiente operación abre periodo nuevo; y una operación que cae 6 meses o más después del inicio también lo abre. Documenta en tu Manual el criterio que adoptes.</t>
  </si>
  <si>
    <t xml:space="preserve">• Actividades que NO acumulan (RCG 19): tarjetas prepagadas, servicios profesionales (fr. XI), notarios en poderes y mutuo, todo corredores (Apartado B) y comercio exterior (fr. XIV). Cada operación se compara sola contra el umbral de Aviso.</t>
  </si>
  <si>
    <t xml:space="preserve">• Fecha límite del Aviso: día 17 del mes siguiente al de la operación que lo origina (Ley art. 23).</t>
  </si>
  <si>
    <t xml:space="preserve">• IVA y accesorios (Reglamento, art. 6): para decidir si hay identificación, acumulación o Aviso, el monto va SIN contribuciones ni accesorios (primer párrafo). En el Aviso se reporta el total recibido CON contribuciones, sin desglosar (primer párrafo): captúralo en la columna W. Para la prohibición de efectivo del Art. 32 se cuenta CON contribuciones y accesorios (tercer párrafo): así se captura la columna F. En comercio exterior, el valor en aduana (segundo párrafo).</t>
  </si>
  <si>
    <t xml:space="preserve">• UMA por fecha: cada operación usa la UMA vigente en su fecha (tabla en CONFIG). Cambiar de año no mueve los Avisos ya calculados.</t>
  </si>
  <si>
    <t xml:space="preserve">• Juegos con apuesta (fr. I): dos o más operaciones del mismo cliente que sumen 325 UMA en 24 horas obligan a identificar aunque cada una quede abajo (R 21 Bis). El motor suma las 24 horas previas a cada operación: captura la hora.</t>
  </si>
  <si>
    <t xml:space="preserve">• Servicios profesionales (fr. XI): elige "prepara la operación" (identificas, sin Aviso) o "la ejecuta en nombre y representación" (Aviso), según tu papel (Ley 17 XI).</t>
  </si>
  <si>
    <t xml:space="preserve">• Activos virtuales: cada comisión se compara sola contra 4 UMA (RCG 24 Bis 5). Si el mismo día y con el mismo cliente la operación ya generó Aviso por el inciso a), la comisión va en ese Aviso (R 31 Bis; criterio del libro: mismo cliente y mismo día).</t>
  </si>
  <si>
    <t xml:space="preserve">• Comercio exterior (fr. XIV): el Aviso se cumple con el pedimento (R 16). El motor lo marca y no lo cuenta como pendiente del SPPLD.</t>
  </si>
  <si>
    <t xml:space="preserve">• Las operaciones deben ir en orden de fecha. El motor lo verifica y te avisa en la columna ALERTAS.</t>
  </si>
  <si>
    <t xml:space="preserve">• Capacidad: 500 operaciones, 300 clientes y 100 registros de 24 h. Para ampliar, copia hacia abajo el último renglón con fórmulas de cada hoja.</t>
  </si>
  <si>
    <t xml:space="preserve">4. EL GRADO DE RIESGO DEL CLIENTE</t>
  </si>
  <si>
    <t xml:space="preserve">• El modelo suma puntos por factores inherentes (tipo de persona, residencia, nacionalidad, jurisdicción, PEP, listas, actividad económica, canal, origen de recursos) y transaccionales (efectivo, exceso de perfil, terceros), conforme al RCG 23 Bis 2. Los puntos y los cortes se editan en CONFIG.</t>
  </si>
  <si>
    <t xml:space="preserve">• ALTO obligatorio sin importar los puntos: PEP extranjera, y no residente vinculado a jurisdicción de riesgo (RCG 23 Bis 4). Persona en listas: ALTO por criterio del libro.</t>
  </si>
  <si>
    <t xml:space="preserve">• Puedes ajustar el grado con tu criterio (columna "Ajuste del REC"), con justificación escrita. Nunca baja un ALTO obligatorio.</t>
  </si>
  <si>
    <t xml:space="preserve">• Importante: es un MODELO BASE. Las RCG piden que el modelo de clientes sea coherente con tu evaluación de riesgo del negocio (Cap. II Quáter, RCG 23 Bis). Calíbralo con tu metodología antes del 1-mar-2027.</t>
  </si>
  <si>
    <t xml:space="preserve">5. COLORES</t>
  </si>
  <si>
    <t xml:space="preserve">• Amarillo con texto azul: lo que capturas. Todo lo demás son fórmulas: no las sobrescribas.</t>
  </si>
  <si>
    <t xml:space="preserve">• Encabezado verde: columnas de captura. Encabezado negro: columnas calculadas.</t>
  </si>
  <si>
    <t xml:space="preserve">• Rojo: Aviso, vencido, prohibido o riesgo alto. Ámbar: identificar, acumulando, por vencer o riesgo medio. Verde claro: al día o riesgo bajo.</t>
  </si>
  <si>
    <t xml:space="preserve">• Las columnas ocultas de OPERACIONES (AA en adelante) son el motor. No las borres.</t>
  </si>
  <si>
    <t xml:space="preserve">6. LO QUE ESTE LIBRO NO HACE</t>
  </si>
  <si>
    <t xml:space="preserve">• No presenta Avisos: el envío es en el SPPLD del SAT. Aquí llevas el control y la evidencia.</t>
  </si>
  <si>
    <t xml:space="preserve">• No sustituye tu metodología de evaluación de riesgo del negocio (RCG 10 Septies a 10 Septies 6) ni tu Manual de Políticas Internas.</t>
  </si>
  <si>
    <t xml:space="preserve">• La decisión final de identificar, avisar o no operar es de la persona Representante Encargada de Cumplimiento, con el contexto completo del cliente y la operación.</t>
  </si>
  <si>
    <t xml:space="preserve">Fuentes: LFPIORPI (DOF 16-jul-2025) · Reglamento (DOF 27-mar-2026) · RCG, Acuerdo 115/2026 (DOF 7-ago-2026) · UMA INEGI (DOF 9-ene-2026). Material de apoyo; no constituye asesoría legal específica.</t>
  </si>
  <si>
    <t xml:space="preserve">TABLERO DEL REPRESENTANTE DE CUMPLIMIENTO</t>
  </si>
  <si>
    <t xml:space="preserve">AVISOS Y OPERACIONES</t>
  </si>
  <si>
    <t xml:space="preserve">CLIENTES</t>
  </si>
  <si>
    <t xml:space="preserve">AVISOS DE 24 HORAS Y RCG</t>
  </si>
  <si>
    <t xml:space="preserve">Operaciones del mes en curso</t>
  </si>
  <si>
    <t xml:space="preserve">Clientes registrados</t>
  </si>
  <si>
    <t xml:space="preserve">Registros de 24 h pendientes</t>
  </si>
  <si>
    <t xml:space="preserve">Monto operado en el mes</t>
  </si>
  <si>
    <t xml:space="preserve">Grado ALTO</t>
  </si>
  <si>
    <t xml:space="preserve">Registros de 24 h VENCIDOS</t>
  </si>
  <si>
    <t xml:space="preserve">Avisos pendientes de presentar</t>
  </si>
  <si>
    <t xml:space="preserve">Grado MEDIO</t>
  </si>
  <si>
    <t xml:space="preserve">Avance obligaciones RCG</t>
  </si>
  <si>
    <t xml:space="preserve">Avisos VENCIDOS</t>
  </si>
  <si>
    <t xml:space="preserve">Grado BAJO</t>
  </si>
  <si>
    <t xml:space="preserve">Días al 1-mar-2027 (evaluación de riesgo)</t>
  </si>
  <si>
    <t xml:space="preserve">Próximo vencimiento de Aviso</t>
  </si>
  <si>
    <t xml:space="preserve">PEP (nacionales y extranjeras)</t>
  </si>
  <si>
    <t xml:space="preserve">Días al 1-jun-2027 (mecanismos automatizados)</t>
  </si>
  <si>
    <t xml:space="preserve">Operaciones con efectivo prohibido (Art. 32)</t>
  </si>
  <si>
    <t xml:space="preserve">Clientes con pendientes</t>
  </si>
  <si>
    <t xml:space="preserve">Operaciones que exceden el perfil</t>
  </si>
  <si>
    <t xml:space="preserve">Evaluaciones de riesgo vencidas</t>
  </si>
  <si>
    <t xml:space="preserve">Operaciones pagadas por un tercero</t>
  </si>
  <si>
    <t xml:space="preserve">Expedientes incompletos</t>
  </si>
  <si>
    <t xml:space="preserve">Meses con Avisos o informe VENCIDO</t>
  </si>
  <si>
    <t xml:space="preserve">Beneficiario Controlador pendiente</t>
  </si>
  <si>
    <t xml:space="preserve">Cómo leerlo: todo lo que aparece en rojo es un pendiente. Ve a la hoja indicada y filtra por la columna de semáforo o alertas.</t>
  </si>
  <si>
    <t xml:space="preserve">Grado</t>
  </si>
  <si>
    <t xml:space="preserve">Clientes</t>
  </si>
  <si>
    <t xml:space="preserve">Bajo</t>
  </si>
  <si>
    <t xml:space="preserve">Medio</t>
  </si>
  <si>
    <t xml:space="preserve">Alto</t>
  </si>
  <si>
    <t xml:space="preserve">OPERACIONES — Bitácora y motor de identificación, acumulación y Aviso</t>
  </si>
  <si>
    <t xml:space="preserve">Un renglón por operación, de TODOS los clientes, en orden de fecha. El motor acumula por cliente y por actividad (Art. 7 del Reglamento y RCG 19): sólo suma las operaciones que por sí solas alcanzan el umbral de identificación, en periodos de hasta 6 meses desde la primera. Captura lo amarillo; el renglón 6 es un EJEMPLO, bórralo.</t>
  </si>
  <si>
    <t xml:space="preserve">Folio</t>
  </si>
  <si>
    <t xml:space="preserve">Fecha</t>
  </si>
  <si>
    <t xml:space="preserve">ID cliente</t>
  </si>
  <si>
    <t xml:space="preserve">Actividad (Fr. - Actividad)</t>
  </si>
  <si>
    <t xml:space="preserve">Monto SIN IVA ni accesorios</t>
  </si>
  <si>
    <t xml:space="preserve">Pagado en efectivo (CON IVA y accesorios)</t>
  </si>
  <si>
    <t xml:space="preserve">Instrumento de pago</t>
  </si>
  <si>
    <t xml:space="preserve">¿Paga un tercero?</t>
  </si>
  <si>
    <t xml:space="preserve">Cliente</t>
  </si>
  <si>
    <t xml:space="preserve">Grado del cliente</t>
  </si>
  <si>
    <t xml:space="preserve">¿Identificar?</t>
  </si>
  <si>
    <t xml:space="preserve">Acumulación</t>
  </si>
  <si>
    <t xml:space="preserve">¿Cuenta para acumular?</t>
  </si>
  <si>
    <t xml:space="preserve">Inicio del periodo</t>
  </si>
  <si>
    <t xml:space="preserve">Acumulado del periodo</t>
  </si>
  <si>
    <t xml:space="preserve">AVISO</t>
  </si>
  <si>
    <t xml:space="preserve">Fecha límite del Aviso</t>
  </si>
  <si>
    <t xml:space="preserve">Efectivo (Art. 32)</t>
  </si>
  <si>
    <t xml:space="preserve">Alertas</t>
  </si>
  <si>
    <t xml:space="preserve">Estatus del Aviso</t>
  </si>
  <si>
    <t xml:space="preserve">Fecha en que se presentó</t>
  </si>
  <si>
    <t xml:space="preserve">Semáforo del Aviso</t>
  </si>
  <si>
    <t xml:space="preserve">Cifra a reportar en el Aviso (total CON IVA)</t>
  </si>
  <si>
    <t xml:space="preserve">Observaciones</t>
  </si>
  <si>
    <t xml:space="preserve">aux categoría</t>
  </si>
  <si>
    <t xml:space="preserve">aux id UMA</t>
  </si>
  <si>
    <t xml:space="preserve">aux id $</t>
  </si>
  <si>
    <t xml:space="preserve">aux aviso UMA</t>
  </si>
  <si>
    <t xml:space="preserve">aux aviso $</t>
  </si>
  <si>
    <t xml:space="preserve">aux art32 UMA</t>
  </si>
  <si>
    <t xml:space="preserve">aux art32 $</t>
  </si>
  <si>
    <t xml:space="preserve">aux llave</t>
  </si>
  <si>
    <t xml:space="preserve">aux fila previa</t>
  </si>
  <si>
    <t xml:space="preserve">aux inicio</t>
  </si>
  <si>
    <t xml:space="preserve">aux acumulado</t>
  </si>
  <si>
    <t xml:space="preserve">aux periodo nuevo</t>
  </si>
  <si>
    <t xml:space="preserve">aux índice cat</t>
  </si>
  <si>
    <t xml:space="preserve">aux periodo abierto</t>
  </si>
  <si>
    <t xml:space="preserve">aux monto mes cliente</t>
  </si>
  <si>
    <t xml:space="preserve">aux perfil</t>
  </si>
  <si>
    <t xml:space="preserve">aux excede</t>
  </si>
  <si>
    <t xml:space="preserve">aux orden</t>
  </si>
  <si>
    <t xml:space="preserve">aux PEP</t>
  </si>
  <si>
    <t xml:space="preserve">aux vence</t>
  </si>
  <si>
    <t xml:space="preserve">aux Aviso inciso a)</t>
  </si>
  <si>
    <t xml:space="preserve">aux UMA de la fecha</t>
  </si>
  <si>
    <t xml:space="preserve">aux suma 24 h juegos</t>
  </si>
  <si>
    <t xml:space="preserve">aux estatus</t>
  </si>
  <si>
    <t xml:space="preserve">EJEMPLO-01</t>
  </si>
  <si>
    <t xml:space="preserve">VI - Piedras y metales preciosos, joyas</t>
  </si>
  <si>
    <t xml:space="preserve">Transferencia</t>
  </si>
  <si>
    <t xml:space="preserve">No</t>
  </si>
  <si>
    <t xml:space="preserve">CLIENTES — Expediente, perfil y grado de riesgo</t>
  </si>
  <si>
    <t xml:space="preserve">Un renglón por cliente. Captura lo amarillo; el grado de riesgo, la próxima evaluación, la verificación anual y los pendientes se calculan solos (RCG 12, 21, 23 Bis a 23 Ter 1 y 23 Quinquies). El renglón EJEMPLO-01 muestra el formato: bórralo cuando captures tus clientes.</t>
  </si>
  <si>
    <t xml:space="preserve">Nombre o razón social</t>
  </si>
  <si>
    <t xml:space="preserve">Tipo de persona</t>
  </si>
  <si>
    <t xml:space="preserve">RFC</t>
  </si>
  <si>
    <t xml:space="preserve">Residencia</t>
  </si>
  <si>
    <t xml:space="preserve">Nacionalidad</t>
  </si>
  <si>
    <t xml:space="preserve">¿Vinculado a jurisdicción de riesgo?</t>
  </si>
  <si>
    <t xml:space="preserve">PEP</t>
  </si>
  <si>
    <t xml:space="preserve">¿En listas?</t>
  </si>
  <si>
    <t xml:space="preserve">Riesgo de su actividad económica</t>
  </si>
  <si>
    <t xml:space="preserve">Canal</t>
  </si>
  <si>
    <t xml:space="preserve">Origen de recursos documentado</t>
  </si>
  <si>
    <t xml:space="preserve">Perfil: monto máximo mensual declarado</t>
  </si>
  <si>
    <t xml:space="preserve">Fecha de alta</t>
  </si>
  <si>
    <t xml:space="preserve">Fecha última evaluación de riesgo</t>
  </si>
  <si>
    <t xml:space="preserve">¿Expediente completo?</t>
  </si>
  <si>
    <t xml:space="preserve">Beneficiario Controlador</t>
  </si>
  <si>
    <t xml:space="preserve">Fecha comprobante de domicilio</t>
  </si>
  <si>
    <t xml:space="preserve">Fecha última verificación anual</t>
  </si>
  <si>
    <t xml:space="preserve">Ajuste del REC (opcional)</t>
  </si>
  <si>
    <t xml:space="preserve">Justificación del ajuste</t>
  </si>
  <si>
    <t xml:space="preserve">Puntaje inherente</t>
  </si>
  <si>
    <t xml:space="preserve">Puntaje transaccional</t>
  </si>
  <si>
    <t xml:space="preserve">Puntaje total</t>
  </si>
  <si>
    <t xml:space="preserve">Grado calculado</t>
  </si>
  <si>
    <t xml:space="preserve">GRADO FINAL</t>
  </si>
  <si>
    <t xml:space="preserve">Motivo del grado</t>
  </si>
  <si>
    <t xml:space="preserve">Próxima evaluación de riesgo</t>
  </si>
  <si>
    <t xml:space="preserve">Próxima verificación del expediente</t>
  </si>
  <si>
    <t xml:space="preserve">Pendientes</t>
  </si>
  <si>
    <t xml:space="preserve">Semáforo</t>
  </si>
  <si>
    <t xml:space="preserve">Operaciones / monto</t>
  </si>
  <si>
    <t xml:space="preserve">Comercializadora Ejemplo, S.A. de C.V.</t>
  </si>
  <si>
    <t xml:space="preserve">Persona moral</t>
  </si>
  <si>
    <t xml:space="preserve">CEJ200101AB1</t>
  </si>
  <si>
    <t xml:space="preserve">Residente en México</t>
  </si>
  <si>
    <t xml:space="preserve">Mexicana</t>
  </si>
  <si>
    <t xml:space="preserve">Presencial</t>
  </si>
  <si>
    <t xml:space="preserve">Sí</t>
  </si>
  <si>
    <t xml:space="preserve">Identificado</t>
  </si>
  <si>
    <t xml:space="preserve">AVISOS_24H — Registro de sospechas, hechos o indicios e intentos</t>
  </si>
  <si>
    <t xml:space="preserve">Ley 18 fr. VI y RCG 26 Bis a 26 Bis 2: el Aviso va dentro de las 24 horas siguientes, aunque la operación no alcance el monto o no se haya concretado, si hay datos para identificar a quien la intentó. El envío arranca seis meses después de que se publique el formato oficial (Trans. Quinto): mientras, este registro es tu evidencia.</t>
  </si>
  <si>
    <t xml:space="preserve">Fecha y hora en que lo detectaste</t>
  </si>
  <si>
    <t xml:space="preserve">Persona o cliente</t>
  </si>
  <si>
    <t xml:space="preserve">ID cliente (si existe)</t>
  </si>
  <si>
    <t xml:space="preserve">Tipo de Aviso</t>
  </si>
  <si>
    <t xml:space="preserve">¿Se concretó la operación?</t>
  </si>
  <si>
    <t xml:space="preserve">¿Tienes datos para identificarla?</t>
  </si>
  <si>
    <t xml:space="preserve">Qué pasó (hechos, montos, por qué es inusual)</t>
  </si>
  <si>
    <t xml:space="preserve">Límite (24 h)</t>
  </si>
  <si>
    <t xml:space="preserve">Estatus</t>
  </si>
  <si>
    <t xml:space="preserve">Fecha y hora de envío</t>
  </si>
  <si>
    <t xml:space="preserve">CALENDARIO — Avisos mensuales e informe en ceros</t>
  </si>
  <si>
    <t xml:space="preserve">Ley art. 23: los Avisos se presentan a más tardar el día 17 del mes siguiente. RCG 25: si en el mes no hubo operaciones objeto de Aviso, se presenta un informe (en ceros). El año se cambia en CONFIG!B10. Captura en amarillo cuando lo presentes.</t>
  </si>
  <si>
    <t xml:space="preserve">Mes</t>
  </si>
  <si>
    <t xml:space="preserve">Inicio</t>
  </si>
  <si>
    <t xml:space="preserve">Operaciones</t>
  </si>
  <si>
    <t xml:space="preserve">Avisos que se generan</t>
  </si>
  <si>
    <t xml:space="preserve">Avisos presentados</t>
  </si>
  <si>
    <t xml:space="preserve">Avisos pendientes</t>
  </si>
  <si>
    <t xml:space="preserve">Avisos de 24 h registrados</t>
  </si>
  <si>
    <t xml:space="preserve">¿Informe en ceros?</t>
  </si>
  <si>
    <t xml:space="preserve">Fecha límite</t>
  </si>
  <si>
    <t xml:space="preserve">Estatus del mes (lo capturas)</t>
  </si>
  <si>
    <t xml:space="preserve">Enero</t>
  </si>
  <si>
    <t xml:space="preserve">Febrero</t>
  </si>
  <si>
    <t xml:space="preserve">Marzo</t>
  </si>
  <si>
    <t xml:space="preserve">Abril</t>
  </si>
  <si>
    <t xml:space="preserve">Mayo</t>
  </si>
  <si>
    <t xml:space="preserve">Junio</t>
  </si>
  <si>
    <t xml:space="preserve">Julio</t>
  </si>
  <si>
    <t xml:space="preserve">Agosto</t>
  </si>
  <si>
    <t xml:space="preserve">Septiembre</t>
  </si>
  <si>
    <t xml:space="preserve">Octubre</t>
  </si>
  <si>
    <t xml:space="preserve">Noviembre</t>
  </si>
  <si>
    <t xml:space="preserve">Diciembre</t>
  </si>
  <si>
    <t xml:space="preserve">Nota: los Avisos de comercio exterior (fr. XIV) se cumplen con el pedimento (R 16) y no se cuentan aquí. Si capturas en CONFIG el mes en que empezaste a usar la consola, los meses anteriores salen como "Antes del inicio". El semáforo marca "Cumplido" cuando todos los Avisos del mes están presentados (hoja OPERACIONES) o, si no hubo Avisos, cuando capturas "Presentado" para el informe en ceros. La fecha límite del informe en ceros se toma igual a la de los Avisos (día 17): criterio del libro.</t>
  </si>
  <si>
    <t xml:space="preserve">CONSULTA — ¿Esta operación me obliga?</t>
  </si>
  <si>
    <t xml:space="preserve">Respuesta rápida para una operación suelta, antes de registrarla. No acumula: para eso está OPERACIONES.</t>
  </si>
  <si>
    <t xml:space="preserve">Actividad</t>
  </si>
  <si>
    <t xml:space="preserve">VIII - Distribución/comercialización vehículos</t>
  </si>
  <si>
    <t xml:space="preserve">Fracción</t>
  </si>
  <si>
    <t xml:space="preserve">Umbral de identificación</t>
  </si>
  <si>
    <t xml:space="preserve">Umbral de Aviso</t>
  </si>
  <si>
    <t xml:space="preserve">Límite de efectivo (Art. 32)</t>
  </si>
  <si>
    <t xml:space="preserve">¿Aviso por esta operación sola?</t>
  </si>
  <si>
    <t xml:space="preserve">¿Acumula?</t>
  </si>
  <si>
    <t xml:space="preserve">¿Puedo recibir ese efectivo?</t>
  </si>
  <si>
    <t xml:space="preserve">Riesgo ALTO en esta actividad cuando…</t>
  </si>
  <si>
    <t xml:space="preserve">Riesgo MEDIO cuando…</t>
  </si>
  <si>
    <t xml:space="preserve">Riesgo BAJO cuando…</t>
  </si>
  <si>
    <t xml:space="preserve">Evento típico de lavado</t>
  </si>
  <si>
    <t xml:space="preserve">Esta consulta usa la UMA vigente a la fecha de corte. Juegos (fr. I): varias operaciones del mismo cliente que sumen 325 UMA en 24 horas también obligan a identificar (R 21 Bis): regístralas en OPERACIONES. Si algo te huele mal, el Aviso de 24 horas procede sin importar el monto (hoja AVISOS_24H).</t>
  </si>
  <si>
    <t xml:space="preserve">OBLIGACIONES — Lo que piden las RCG 2026 y desde cuándo</t>
  </si>
  <si>
    <t xml:space="preserve">Checklist del Acuerdo 115/2026 (DOF 7-ago-2026). Captura estatus, responsable y evidencia. La columna F cuenta los días contra la fecha de CONFIG.</t>
  </si>
  <si>
    <t xml:space="preserve">Avance:</t>
  </si>
  <si>
    <t xml:space="preserve">#</t>
  </si>
  <si>
    <t xml:space="preserve">Obligación</t>
  </si>
  <si>
    <t xml:space="preserve">Qué te piden</t>
  </si>
  <si>
    <t xml:space="preserve">Fundamento</t>
  </si>
  <si>
    <t xml:space="preserve">Exigible desde</t>
  </si>
  <si>
    <t xml:space="preserve">¿Cuánto falta?</t>
  </si>
  <si>
    <t xml:space="preserve">Responsable</t>
  </si>
  <si>
    <t xml:space="preserve">Evidencia / notas</t>
  </si>
  <si>
    <t xml:space="preserve">Entrada en vigor de las RCG</t>
  </si>
  <si>
    <t xml:space="preserve">Rige el Acuerdo 115/2026, salvo las excepciones de sus transitorios.</t>
  </si>
  <si>
    <t xml:space="preserve">RCG Trans. Primero</t>
  </si>
  <si>
    <t xml:space="preserve">Pendiente</t>
  </si>
  <si>
    <t xml:space="preserve">Dueño real en personas morales y fideicomisos: identificar, no sólo recabar la declaración</t>
  </si>
  <si>
    <t xml:space="preserve">Ya no basta la constancia de lo que declaró el cliente: hay que identificar al Beneficiario Controlador. En persona física sigue la declaración.</t>
  </si>
  <si>
    <t xml:space="preserve">L 3 fr. III; RCG 12 fr. VII y Anexos 4, 6 y 8; Trans. Primero</t>
  </si>
  <si>
    <t xml:space="preserve">Evaluación de riesgo del negocio (metodología)</t>
  </si>
  <si>
    <t xml:space="preserve">Metodología escrita con datos de al menos 12 meses (clientes, operaciones y monto); cuatro elementos: actos u operaciones, tipo de clientes, países y áreas geográficas, transacciones y canales; doble ponderación; Mitigantes y su efectiva aplicación; indicadores de CPF 139 Quáter y 400 Bis por elemento. A disposición con datos del año anterior.</t>
  </si>
  <si>
    <t xml:space="preserve">L 18 fr. VII; RCG 10 Septies a 10 Septies 6; Trans. Segundo</t>
  </si>
  <si>
    <t xml:space="preserve">Manual de Políticas Internas con la metodología</t>
  </si>
  <si>
    <t xml:space="preserve">Catorce contenidos mínimos, incluida la metodología de riesgo y los criterios de apertura, limitación o terminación de relaciones.</t>
  </si>
  <si>
    <t xml:space="preserve">L 18 fr. VIII; RCG 37 y 37 Bis; Trans. Tercero</t>
  </si>
  <si>
    <t xml:space="preserve">Grado de Riesgo de cada cliente</t>
  </si>
  <si>
    <t xml:space="preserve">Al menos tres grados (bajo, medio, alto); grado inicial y reevaluación cada 6 meses; PEP extranjeras y no residentes ligados a jurisdicciones de riesgo = alto.</t>
  </si>
  <si>
    <t xml:space="preserve">RCG 23 Bis a 23 Bis 4; Trans. Cuarto</t>
  </si>
  <si>
    <t xml:space="preserve">Conocimiento del cliente y perfil transaccional</t>
  </si>
  <si>
    <t xml:space="preserve">Política basada en el grado de riesgo; perfil (monto, frecuencia, origen y destino); evaluación semestral; sistema de alertas.</t>
  </si>
  <si>
    <t xml:space="preserve">RCG 23 Ter a 23 Ter 2; Trans. Cuarto</t>
  </si>
  <si>
    <t xml:space="preserve">Debida diligencia reforzada</t>
  </si>
  <si>
    <t xml:space="preserve">Riesgo alto: más información, monitoreo estricto, cuestionario de origen y destino, datos de cónyuge, dependientes o accionistas. PEP + riesgo alto: aprobación de un directivo.</t>
  </si>
  <si>
    <t xml:space="preserve">RCG 23 Ter 3, 23 Ter 4 y 23 Ter 5; Trans. Cuarto</t>
  </si>
  <si>
    <t xml:space="preserve">Beneficiario Controlador: orden de prelación</t>
  </si>
  <si>
    <t xml:space="preserve">1) 25% o más del capital; 2) control por otros medios; 3) alta dirección. Fideicomisos: control efectivo, subiendo por la cadena. Identificación previa a la operación.</t>
  </si>
  <si>
    <t xml:space="preserve">RCG 23 Quinquies a 23 Quinquies 3; Trans. Cuarto</t>
  </si>
  <si>
    <t xml:space="preserve">Selección de personal</t>
  </si>
  <si>
    <t xml:space="preserve">Procedimientos de selección y declaración firmada de cada empleado nuevo.</t>
  </si>
  <si>
    <t xml:space="preserve">L 18 fr. IX; RCG 39 Bis 2; Trans. Sexto</t>
  </si>
  <si>
    <t xml:space="preserve">Capacitación anual</t>
  </si>
  <si>
    <t xml:space="preserve">Al menos una vez al año, con temas coherentes con la evaluación de riesgo, evaluación y constancia; instructor con 5 años de experiencia; evidencia 10 años. Primer periodo: 1-ene al 31-dic-2027.</t>
  </si>
  <si>
    <t xml:space="preserve">L 18 fr. IX; RCG 39 Bis y 39 Bis 1; Trans. Séptimo</t>
  </si>
  <si>
    <t xml:space="preserve">Mecanismos automatizados</t>
  </si>
  <si>
    <t xml:space="preserve">Expediente, base consolidada y acumulación, información para la metodología, modelo de grado de riesgo con histórico 10 años, alertas (alto riesgo, PEP, listas, jurisdicciones), monitoreo de efectivo.</t>
  </si>
  <si>
    <t xml:space="preserve">L 18 fr. X; RCG 41; Trans. Noveno</t>
  </si>
  <si>
    <t xml:space="preserve">Consulta PEP 2.0</t>
  </si>
  <si>
    <t xml:space="preserve">Consulta de PEP nacionales en la aplicación de la UIF con e.firma.</t>
  </si>
  <si>
    <t xml:space="preserve">RCG 23 Quáter 1; Trans. Décimo (9 meses después del 30-nov-2026)</t>
  </si>
  <si>
    <t xml:space="preserve">Auditoría anual de efectividad</t>
  </si>
  <si>
    <t xml:space="preserve">Riesgo bajo o medio: auditoría o control interno independiente; riesgo alto (o por elección): auditor externo certificado por la UIF. Primer periodo auditado: 2028; dictamen a más tardar el último día hábil de marzo de 2029.</t>
  </si>
  <si>
    <t xml:space="preserve">L 18 fr. XI; RCG 42 a 50; Trans. Octavo</t>
  </si>
  <si>
    <t xml:space="preserve">Avisos de 24 horas (sospecha, hechos o indicios)</t>
  </si>
  <si>
    <t xml:space="preserve">Dentro de 24 horas, aunque no se alcance el monto o no se concrete la operación, si hay datos para identificar a quien la intentó. Mientras sale el formato: registro interno.</t>
  </si>
  <si>
    <t xml:space="preserve">L 18 fr. VI; R 7 Bis; RCG 26 Bis a 26 Bis 2; Trans. Quinto</t>
  </si>
  <si>
    <t xml:space="preserve">Formato pendiente</t>
  </si>
  <si>
    <t xml:space="preserve">6 meses después del formato</t>
  </si>
  <si>
    <t xml:space="preserve">La fecha de la Consulta PEP 2.0 es un cómputo (nueve meses desde el 30-nov-2026): verifica la que publique la autoridad.</t>
  </si>
  <si>
    <t xml:space="preserve">ALERTAS — Catálogo de 393 indicadores por actividad</t>
  </si>
  <si>
    <t xml:space="preserve">Consulta: filtra por actividad o nivel de riesgo para saber qué vigilar. La clasificación Alto/Medio/Bajo es una propuesta analítica que el REC debe calibrar.</t>
  </si>
  <si>
    <t xml:space="preserve">Clave</t>
  </si>
  <si>
    <t xml:space="preserve">Indicador de alerta</t>
  </si>
  <si>
    <t xml:space="preserve">Tipo</t>
  </si>
  <si>
    <t xml:space="preserve">Elemento</t>
  </si>
  <si>
    <t xml:space="preserve">¿Cómo se detecta?</t>
  </si>
  <si>
    <t xml:space="preserve">Nivel de riesgo</t>
  </si>
  <si>
    <t xml:space="preserve">Patrón</t>
  </si>
  <si>
    <t xml:space="preserve">Recurrencia</t>
  </si>
  <si>
    <t xml:space="preserve">I. Juegos y Sorteos</t>
  </si>
  <si>
    <t xml:space="preserve">El cliente o usuario realiza la compra de crédito o fichas en efectivo y solicita el reintegro por medio de un cheque o transferencia.</t>
  </si>
  <si>
    <t xml:space="preserve">Uso de efectivo</t>
  </si>
  <si>
    <t xml:space="preserve">Transacciones</t>
  </si>
  <si>
    <t xml:space="preserve">Sistema automatizado</t>
  </si>
  <si>
    <t xml:space="preserve">Colocación de efectivo</t>
  </si>
  <si>
    <t xml:space="preserve">El cliente o usuario solicita que el pago de un premio o fichas sea realizado por medio de una combinación de efectivo, cheques o transferencias.</t>
  </si>
  <si>
    <t xml:space="preserve">El cliente o usuario insiste en liquidar o pagar la operación en efectivo rebasando el umbral permitido en la Ley.</t>
  </si>
  <si>
    <t xml:space="preserve">II.1 Tarjetas Cred o Serv</t>
  </si>
  <si>
    <t xml:space="preserve">El cliente recurrentemente realiza el pago del saldo de la tarjeta en efectivo por cantidades elevadas por medio de canales no bancarios.</t>
  </si>
  <si>
    <t xml:space="preserve">El cliente realiza una compra por un valor significativamente elevado, pagando en la fecha de corte dicha operación en efectivo.</t>
  </si>
  <si>
    <t xml:space="preserve">II.2 Tarjetas Prep</t>
  </si>
  <si>
    <t xml:space="preserve">El cliente o usuario realiza la operación de carga o recarga por montos elevados liquidando en efectivo</t>
  </si>
  <si>
    <t xml:space="preserve">II.3 Tarjetas Dev y Rwd</t>
  </si>
  <si>
    <t xml:space="preserve">El cliente o usuario realiza una o más compras por un valor significativamente elevado sin lógica aparente, con el objeto de retirar efectivo con las recompensas ganadas.</t>
  </si>
  <si>
    <t xml:space="preserve">III. Ch. Viajero</t>
  </si>
  <si>
    <t xml:space="preserve">El cliente o usuario realiza la operación de compra o venta de cheques de viajero por monto elevados llevando a cabo su liquidando en efectivo</t>
  </si>
  <si>
    <t xml:space="preserve">IV. Mutuo y Crédito</t>
  </si>
  <si>
    <t xml:space="preserve">El cliente o usuario realiza operaciones de manera periódica en las que se liquida el total del monto del préstamo otorgado en efectivo al poco tiempo de haberlo adquirido.</t>
  </si>
  <si>
    <t xml:space="preserve">IX. Blindaje</t>
  </si>
  <si>
    <t xml:space="preserve">V. Des Inmobiliario</t>
  </si>
  <si>
    <t xml:space="preserve">La(s) persona(s) que participa(n) en la operación insiste(n) en realizar sus aportaciones en efectivo por montos elevados.</t>
  </si>
  <si>
    <t xml:space="preserve">V. Inmuebles</t>
  </si>
  <si>
    <t xml:space="preserve">El cliente insiste en liquidar o pagar la operación en efectivo rebasando el umbral permitido en la Ley.</t>
  </si>
  <si>
    <t xml:space="preserve">VI. Joyas</t>
  </si>
  <si>
    <t xml:space="preserve">VII. Obras de arte</t>
  </si>
  <si>
    <t xml:space="preserve">El cliente realiza múltiples compras liquidándolas en efectivo por montos elevados sin justificación aparente.</t>
  </si>
  <si>
    <t xml:space="preserve">El cliente solicita que la factura refleje un precio mucho menor del pactado, y el resto liquidarlo en efectivo.</t>
  </si>
  <si>
    <t xml:space="preserve">VIII. Vehículos</t>
  </si>
  <si>
    <t xml:space="preserve">El cliente o usuario insiste en liquidar/pagar la operación en efectivo rebasando el umbral permitido en la Ley.</t>
  </si>
  <si>
    <t xml:space="preserve">X. Traslado Val</t>
  </si>
  <si>
    <t xml:space="preserve">Clientes o usuarios personas morales que solicitan traslado de efectivo que sean recogidos o entregados en casas habitación u oficinas virtuales.</t>
  </si>
  <si>
    <t xml:space="preserve">XIII. Donativos</t>
  </si>
  <si>
    <t xml:space="preserve">El donativo se realiza en efectivo por un monto elevado.</t>
  </si>
  <si>
    <t xml:space="preserve">El donante realiza un elevado número de donaciones en efectivo y en cantidades elevadas mensualmente, o en periodos identificablemente cortos.</t>
  </si>
  <si>
    <t xml:space="preserve">XV. Arrendamiento</t>
  </si>
  <si>
    <t xml:space="preserve">El cliente o usuario paga u ofrece pagar en efectivo, y por adelantado, las rentas correspondientes a un periodo largo de tiempo sin justificación lógica para ello.</t>
  </si>
  <si>
    <t xml:space="preserve">El cliente o usuario paga por adelantado las rentas de un periodo largo de tiempo en efectivo y posteriormente pide la cancelación del contrato y solicita el reembolso del monto pagado por medio de otro instrumento monetario diferente al efectivo.</t>
  </si>
  <si>
    <t xml:space="preserve">Al cliente o usuario parece no importarle pagar precios superiores a los del mercado con la finalidad de que la operación se realice fuera de los parámetros establecidos.</t>
  </si>
  <si>
    <t xml:space="preserve">Precios fuera de mercado</t>
  </si>
  <si>
    <t xml:space="preserve">Productos</t>
  </si>
  <si>
    <t xml:space="preserve">Análisis de área de cumplimiento.</t>
  </si>
  <si>
    <t xml:space="preserve">Sobre/sub-valuación</t>
  </si>
  <si>
    <t xml:space="preserve">Al cliente parece no importarle pagar precios superiores a los del mercado con la finalidad de que la operación se realice fuera de los parámetros establecidos.</t>
  </si>
  <si>
    <t xml:space="preserve">La operación se lleva acabo a un valor de venta o compra significativamente diferente (mucho mayor o mucho menor) a partir del valor real de la propiedad o a los valores de mercado.</t>
  </si>
  <si>
    <t xml:space="preserve">El cliente o usuario compra pedacería de metales preciosos por cantidades bajas a precios que exceden los de mercado o viceversa.</t>
  </si>
  <si>
    <t xml:space="preserve">La operación se lleva acabo a un valor de venta o compra significativamente diferente (mucho mayor o mucho menor) a partir del precio estimado de la obra o a los valores de mercado.</t>
  </si>
  <si>
    <t xml:space="preserve">El cliente o usuario vende su vehículo a precios muy por debajo del precio de mercado (aplica para Sujetos Obligados que se dedican a la compra de autos).</t>
  </si>
  <si>
    <t xml:space="preserve">El cliente o usuario parece no importarle pagar precios superiores a los del mercado con el fin de que el servicio se realice fuera de los parámetros establecidos.</t>
  </si>
  <si>
    <t xml:space="preserve">El cliente o usuario es menor de edad y no cuenta con la capacidad de decisión ni la documentación necesaria para realizar la operación.</t>
  </si>
  <si>
    <t xml:space="preserve">Menor de edad</t>
  </si>
  <si>
    <t xml:space="preserve">Clientes o usuarios</t>
  </si>
  <si>
    <t xml:space="preserve">Uso de identidad vulnerable</t>
  </si>
  <si>
    <t xml:space="preserve">XVI. Activos Virtuales</t>
  </si>
  <si>
    <t xml:space="preserve">El cliente es una Persona Políticamente Expuesta identificado como de alto riesgo.</t>
  </si>
  <si>
    <t xml:space="preserve">PEP (Persona Expuesta Políticamente)</t>
  </si>
  <si>
    <t xml:space="preserve">Corrupción / PEP</t>
  </si>
  <si>
    <t xml:space="preserve">La operación de mutuo o crédito se lleva a cabo por medio de una garantía poco usual o que no corresponde con la actividad o ingresos del cliente o usuario.</t>
  </si>
  <si>
    <t xml:space="preserve">Garantías inusuales</t>
  </si>
  <si>
    <t xml:space="preserve">Estructura de operación inusual</t>
  </si>
  <si>
    <t xml:space="preserve">Uso de divisas en efectivo sin justificación alguna.</t>
  </si>
  <si>
    <t xml:space="preserve">Divisas en efectivo</t>
  </si>
  <si>
    <t xml:space="preserve">El cliente insiste liquidar el saldo de la tarjeta en efectivo en divisas diferentes a la moneda nacional, a pesar de indicarle que esto no está permitido.</t>
  </si>
  <si>
    <t xml:space="preserve">Uso de divisas en efectivo para la adquisición de un bien con el único propósito de obtener la devolución en moneda nacional en un período corto de tiempo.</t>
  </si>
  <si>
    <t xml:space="preserve">Uso de divisas en efectivo en montos elevados o de poco uso sin que la ocupación del cliente o usuario lo justifique</t>
  </si>
  <si>
    <t xml:space="preserve">El cliente o usuario liquida la mayoría de sus operaciones con otras divisas, sin que su actividad lo justifique.</t>
  </si>
  <si>
    <t xml:space="preserve">El donativo se realiza usando divisas en efectivo en montos elevados</t>
  </si>
  <si>
    <t xml:space="preserve">El cliente o usuario realiza pagos mediante el uso de divisas en efectivo sin justificación alguna.</t>
  </si>
  <si>
    <t xml:space="preserve">Hay indicios, o certeza, de que los bienes empeñados son robados o provienen de una actividad ilícita.</t>
  </si>
  <si>
    <t xml:space="preserve">Indicios o certeza de origen ilícito</t>
  </si>
  <si>
    <t xml:space="preserve">1era línea de defensa.</t>
  </si>
  <si>
    <t xml:space="preserve">Origen ilícito directo</t>
  </si>
  <si>
    <t xml:space="preserve">Hay indicios o certeza de que los recursos solicitados se están utilizando para fines distintos a los declarados por el cliente o usuario.</t>
  </si>
  <si>
    <t xml:space="preserve">Hay indicios o certeza de que los vehículos adquiridos son para exportación.</t>
  </si>
  <si>
    <t xml:space="preserve">XI. Ser Prof</t>
  </si>
  <si>
    <t xml:space="preserve">Hay indicios de que posterior a la constitución de la empresa, hubo un periodo largo de inactividad seguido de un aumento repentino e inexplicable de las actividades financieras.</t>
  </si>
  <si>
    <t xml:space="preserve">XII. Notarios</t>
  </si>
  <si>
    <t xml:space="preserve">Hay indicios, o certeza de que una de las partes involucradas está siendo presionada para que realice la operación.</t>
  </si>
  <si>
    <t xml:space="preserve">Hay indicios de que existe suplantación de identidad de alguna de las partes involucradas en la operación.</t>
  </si>
  <si>
    <t xml:space="preserve">Hay indicios, o certeza, de que los bienes donados provienen de actividades ilícitas.</t>
  </si>
  <si>
    <t xml:space="preserve">Hay indicios, o certeza, de que el inmueble arrendado no está siendo utilizado para el propósito expresado por el cliente o usuario, sino para posibles actividades ilícitas.</t>
  </si>
  <si>
    <t xml:space="preserve">Hay indicios de que los recursos pudieran provenir de una actividad Ilícita (Ej. noticias, relación con persona sentenciada con actividades ilícitas,etc.).</t>
  </si>
  <si>
    <t xml:space="preserve">Se conoce un historial criminal del cliente o usuario, de algún familiar directo o persona relacionada con él</t>
  </si>
  <si>
    <t xml:space="preserve">Historial o listas negras</t>
  </si>
  <si>
    <t xml:space="preserve">Vínculo con actividades ilícitas</t>
  </si>
  <si>
    <t xml:space="preserve">El nombre del cliente se encuentra en listas negras emitidas por organismos nacionales o internacionales (ONU, OFAC).</t>
  </si>
  <si>
    <t xml:space="preserve">El identificador de la transacción coincide con alguna lista nacional o internacional de cadenas identificadas con relación a actividades ilícitas (OFAC).</t>
  </si>
  <si>
    <t xml:space="preserve">El cliente o usuario solicita el pago del crédito o premio por medio de varios cheques al portador.</t>
  </si>
  <si>
    <t xml:space="preserve">Cheque al portador</t>
  </si>
  <si>
    <t xml:space="preserve">Ocultamiento de origen</t>
  </si>
  <si>
    <t xml:space="preserve">La operación no es acorde con la actividad económica o giro mercantil declarado por el cliente o usuario.</t>
  </si>
  <si>
    <t xml:space="preserve">Incongruencia actividad/ingresos</t>
  </si>
  <si>
    <t xml:space="preserve">Incongruencia económica</t>
  </si>
  <si>
    <t xml:space="preserve">El monto de las operaciones realizadas con la tarjeta no es acorde con la actividad económica o giro mercantil declarado por el cliente.</t>
  </si>
  <si>
    <t xml:space="preserve">El monto de carga o recarga no es acorde con la actividad económica o giro mercantil declarado por el cliente o usuario.</t>
  </si>
  <si>
    <t xml:space="preserve">El monto disponible en la tarjeta no es acorde con la actividad económica o giro mercantil declarado por el cliente o usuario.</t>
  </si>
  <si>
    <t xml:space="preserve">De acuerdo con la ocupación del cliente o usuario, el monto de compra o venta de cheques de viajero parece estar fuera de su alcance</t>
  </si>
  <si>
    <t xml:space="preserve">De acuerdo con los ingresos declarados por el cliente o usuario, el monto de compra o venta de cheques de viajero parece estar fuera de su alcance</t>
  </si>
  <si>
    <t xml:space="preserve">Operaciones con organizaciones sin fines de lucro, cuando las características de la transacción no coinciden con los objetivos de la entidad</t>
  </si>
  <si>
    <t xml:space="preserve">El servicio de blindaje no es acorde con la actividad económica o giro mercantil declarado por el cliente o usuario.</t>
  </si>
  <si>
    <t xml:space="preserve">La operación no es acorde con la actividad económica o giro mercantil declarado por la(s) persona(s) que participa(n) en la operación.</t>
  </si>
  <si>
    <t xml:space="preserve">La operación no es acorde con la actividad económica o giro mercantil declarado por el cliente.</t>
  </si>
  <si>
    <t xml:space="preserve">El cliente o usuario realiza compras indiscriminadas de mercancía (sin importar tamaño, color, precio) de metales preciosos, piedras preciosas, joyas y/o relojes, sin que estén asociadas a su actividad.</t>
  </si>
  <si>
    <t xml:space="preserve">El cliente o usuario vende pedacería de metales preciosos que podría provenir de actividades ilícitas como el robo.</t>
  </si>
  <si>
    <t xml:space="preserve">Custodia o traslado de bienes poco comunes o que no coinciden con la actividad económica o giro mercantil del cliente o usuario.</t>
  </si>
  <si>
    <t xml:space="preserve">El cliente o usuario solicita, en su mayoría y de forma continua, traslado de metales preciosos sin que su actividad lo justifique</t>
  </si>
  <si>
    <t xml:space="preserve">El monto del numerario o valores trasladados no corresponde a la magnitud del negocio o la actividad declarada del cliente.</t>
  </si>
  <si>
    <t xml:space="preserve">El cliente hace uso de un intermediario para realizar operaciones no acordes con la actividad económica o giro mercantil del cliente.</t>
  </si>
  <si>
    <t xml:space="preserve">El cliente es una persona moral que se describe como un negocio comercial, sin embargo no es posible corroborar esta información en fuentes abiertas.</t>
  </si>
  <si>
    <t xml:space="preserve">El cliente (persona moral) está registrado con un nombre que indica actividades o servicios distintos a los que realiza.</t>
  </si>
  <si>
    <t xml:space="preserve">El cliente (personas físicas y morales), declara una ocupación o actividad distinta a la que aparece en su Cédula de Identificación Fiscal.</t>
  </si>
  <si>
    <t xml:space="preserve">El donante intenta o realiza un donativo en especie de bienes poco usuales o sin relación con el objeto de la organización.</t>
  </si>
  <si>
    <t xml:space="preserve">El monto donado no es acorde con la actividad económica o giro mercantil del donante.</t>
  </si>
  <si>
    <t xml:space="preserve">Se tiene sospecha de que el inmueble es utilizado como centro que brinda ayuda a la comunidad o grupos vulnerables que pudieran estar vinculados con actividades u organizaciones delictivas.</t>
  </si>
  <si>
    <t xml:space="preserve">Ingresos no acorde al perfil transaccional o a la actividad económica del cliente.</t>
  </si>
  <si>
    <t xml:space="preserve">El cliente no puede justificar el origen de los recursos o es diferente al declarado al inicio de la relación comercial.</t>
  </si>
  <si>
    <t xml:space="preserve">Hay indicios, o certeza, que el cliente o usuario no está actuando en nombre propio y está tratando de ocultar la identidad del cliente o usuario real.</t>
  </si>
  <si>
    <t xml:space="preserve">Terceros involucrados</t>
  </si>
  <si>
    <t xml:space="preserve">Lavado por terceros / prestanombres</t>
  </si>
  <si>
    <t xml:space="preserve">El cliente o usuario solicita que el pago de los premios sea realizado a la cuenta bancaria de una tercera persona.</t>
  </si>
  <si>
    <t xml:space="preserve">La operación la paga un tercero sin relación aparente con el cliente o usuario.</t>
  </si>
  <si>
    <t xml:space="preserve">Hay indicios, o certeza, que las partes no están actuando en nombre propio y están tratando de ocultar la identidad del cliente real.</t>
  </si>
  <si>
    <t xml:space="preserve">La tarjeta es pagada por un tercero sin relación aparente con el cliente.</t>
  </si>
  <si>
    <t xml:space="preserve">Hay indicios, o certeza, que las partes no están actuando en nombre propio y están tratando de ocultar la identidad del cliente o usuario real</t>
  </si>
  <si>
    <t xml:space="preserve">Hay indicios, o certeza, que las partes no están actuando en nombre propio y están tratando de ocultar la identidad del cliente o usuario real.</t>
  </si>
  <si>
    <t xml:space="preserve">La operación la realiza un tercero sin relación aparente con el cliente o usuario.</t>
  </si>
  <si>
    <t xml:space="preserve">El servicio otorgado es pagado por un tercero sin relación aparente con el cliente o usuario.</t>
  </si>
  <si>
    <t xml:space="preserve">El nombre del solicitante del servicio es diferente al nombre del dueño real del bien a blindarse.</t>
  </si>
  <si>
    <t xml:space="preserve">El pago en preventa por el inmueble es realizado por un tercero sin relación aparente con el cliente.</t>
  </si>
  <si>
    <t xml:space="preserve">Hay indicios, o certeza, que las partes no están actuando en nombre propio y están tratando de ocultar la identidad de quien aporta los recursos.</t>
  </si>
  <si>
    <t xml:space="preserve">El pago por el inmueble es realizado por un tercero sin relación aparente con el cliente.</t>
  </si>
  <si>
    <t xml:space="preserve">Se tiene sospecha de que algunos intermediarios dentro del sistema financiero están coludidos con el cliente.</t>
  </si>
  <si>
    <t xml:space="preserve">El cliente opera en grupos sin que exista algún parentesco o relación entre ellos.</t>
  </si>
  <si>
    <t xml:space="preserve">El cliente o usuario opera en grupos, sin que exista algún parentesco entre ellos.</t>
  </si>
  <si>
    <t xml:space="preserve">La operación la paga un tercero sin relación aparente con el cliente.</t>
  </si>
  <si>
    <t xml:space="preserve">La operación es pagada, en parte o en su totalidad, por uno o más terceros sin relación aparente con el cliente o usuario.</t>
  </si>
  <si>
    <t xml:space="preserve">El cliente solicita que los honorarios del servicio sean pagados por un tercero que no participó en la operación.</t>
  </si>
  <si>
    <t xml:space="preserve">Se tiene una cantidad inusualmente grande de beneficiarios y participantes mayoritarios.</t>
  </si>
  <si>
    <t xml:space="preserve">Se tienen indicios de que el cliente involucra a múltiples profesionales para facilitar (o relacionar) aspectos de una transacción sin una razón que lo justifique.</t>
  </si>
  <si>
    <t xml:space="preserve">La operación involucra a dos personas morales con directores, accionistas o beneficiarios finales similares o idénticos.</t>
  </si>
  <si>
    <t xml:space="preserve">Hay indicios, o certeza, que los sujetos o partes involucradas no están actuando en nombre propio y están tratando de ocultar la identidad del beneficiario o controlador real.</t>
  </si>
  <si>
    <t xml:space="preserve">Los sujetos o partes involucradas hacen uso de un intermediario (ejemplo: apoderado o representante legal) para realizar la operación o acto sin que exista una causa que lo justifique.</t>
  </si>
  <si>
    <t xml:space="preserve">Se constituye una Sociedad por Acciones Simplificadas (SAS), en la que no hay forma de corroborar la identidad de los accionistas.</t>
  </si>
  <si>
    <t xml:space="preserve">El pago de la operación es realizado por un tercero sin relación aparente con el cliente o alguna de las partes involucradas.</t>
  </si>
  <si>
    <t xml:space="preserve">Hay indicios, o certeza, que las partes no están actuando en nombre propio y están tratando de ocultar la identidad del donante real.</t>
  </si>
  <si>
    <t xml:space="preserve">El pago de las rentas del inmueble es realizado por un tercero sin relación aparente con el cliente o usuario.</t>
  </si>
  <si>
    <t xml:space="preserve">Un mismo representante legal solicita arrendamiento a nombre de distintas personas (físicas o morales) que no pertenecen al mismo grupo.</t>
  </si>
  <si>
    <t xml:space="preserve">El cliente actúa a nombre de un tercero sin haberlo declarado previamente.</t>
  </si>
  <si>
    <t xml:space="preserve">Recepción de recursos de la cuenta de un tercero sin justificación aparente.</t>
  </si>
  <si>
    <t xml:space="preserve">Envío de recursos a una cuenta a nombre de un tercero sin justificación aparente.</t>
  </si>
  <si>
    <t xml:space="preserve">Hay indicios o certeza de que el cliente no está actuando en nombre propio y está tratando de ocultar la identidad del propietario real.</t>
  </si>
  <si>
    <t xml:space="preserve">El cliente o usuario realiza operaciones frecuentes por debajo del umbral de identificación o aviso.</t>
  </si>
  <si>
    <t xml:space="preserve">Debajo de umbral</t>
  </si>
  <si>
    <t xml:space="preserve">Estructuración (smurfing)</t>
  </si>
  <si>
    <t xml:space="preserve">El cliente realiza operaciones fraccionadas por debajo del umbral para evitar que se presente el Aviso correspondiente.</t>
  </si>
  <si>
    <t xml:space="preserve">Arriba de umbral</t>
  </si>
  <si>
    <t xml:space="preserve">Operación de alto valor</t>
  </si>
  <si>
    <t xml:space="preserve">El cliente o usuario realiza operaciones de carga en diferentes tarjetas de forma periódica rebasando el umbral de aviso.</t>
  </si>
  <si>
    <t xml:space="preserve">Se observa que el cliente o usuario realiza operaciones de carga o recarga por montos por arriba del umbral de identificación utilizando diversas tarjetas</t>
  </si>
  <si>
    <t xml:space="preserve">Se observa que diferentes clientes o usuarios realizan operaciones de carga o recarga por arriba del umbral de identificación en la misma tarjeta.</t>
  </si>
  <si>
    <t xml:space="preserve">Se observa que se realizan operaciones de carga o recarga en diferentes localidades, estados o jurisdicciones por arriba del umbral de identificación en la misma tarjeta</t>
  </si>
  <si>
    <t xml:space="preserve">El cliente de la preventa no muestra tener interés en las características de la propiedad objeto de la operación, o en el precio y condiciones de la transacción.</t>
  </si>
  <si>
    <t xml:space="preserve">No muestra interés en la operación</t>
  </si>
  <si>
    <t xml:space="preserve">Operación atípica</t>
  </si>
  <si>
    <t xml:space="preserve">El cliente no muestra tener interés en las características de la obra, el autor de la misma o en el precio y condiciones de la transacción.</t>
  </si>
  <si>
    <t xml:space="preserve">El cliente no muestra interés en la estructura de la(s) empresa(s) que se está(n) constituyendo.</t>
  </si>
  <si>
    <t xml:space="preserve">El cliente o usuario no muestra tener interés en las características del inmueble objeto de arrendamiento, o en el monto de la renta y condiciones del contrato.</t>
  </si>
  <si>
    <t xml:space="preserve">Compra y venta de activos virtuales sin importar pérdidas o ganancias.</t>
  </si>
  <si>
    <t xml:space="preserve">De acuerdo con medios informativos u otras fuentes de información pública, se tiene conocimiento o sospecha de que el cliente, un familiar o persona relacionada, está vinculado con actividades ilícitas o se encuentra bajo proceso de investigación.</t>
  </si>
  <si>
    <t xml:space="preserve">Información en medios</t>
  </si>
  <si>
    <t xml:space="preserve">El cliente o usuario se rehúsa a proporcionar documentos personales que lo identifiquen.</t>
  </si>
  <si>
    <t xml:space="preserve">Rehúsa dar información</t>
  </si>
  <si>
    <t xml:space="preserve">Ocultamiento de identidad</t>
  </si>
  <si>
    <t xml:space="preserve">El cliente o usuario no quiere ser relacionado con la operación realizada.</t>
  </si>
  <si>
    <t xml:space="preserve">El cliente se rehúsa a proporcionar documentos personales que lo identifiquen.</t>
  </si>
  <si>
    <t xml:space="preserve">El cliente o usuario se rehúsa a proporcionar documentos personales que lo identifiquen</t>
  </si>
  <si>
    <t xml:space="preserve">El cliente o usuario no quiere ser relacionado con la operación realizada</t>
  </si>
  <si>
    <t xml:space="preserve">El cliente o usuario no quiere ser relacionado con la contratación del servicio.</t>
  </si>
  <si>
    <t xml:space="preserve">La(s) persona(s) que participa(n) en la operación se rehúsa(n) a proporcionar documentos personales que lo(s) identifiquen.</t>
  </si>
  <si>
    <t xml:space="preserve">La(s) persona(s) que participa(n) en la operación no quiere(n) ser relacionada(s) con el desarrollo del inmueble.</t>
  </si>
  <si>
    <t xml:space="preserve">El cliente no quiere ser relacionado con la compra del inmueble.</t>
  </si>
  <si>
    <t xml:space="preserve">El cliente es un Fideicomiso y se niega a proporcionar información sobre el beneficiario controlador.</t>
  </si>
  <si>
    <t xml:space="preserve">El cliente no quiere ser relacionado con la compra de la obra.</t>
  </si>
  <si>
    <t xml:space="preserve">El agente que vende la obra a la casa de subastas se niega a proporcionar el nombre del propietario real al que representa.</t>
  </si>
  <si>
    <t xml:space="preserve">El cliente o usuario no quiere ser relacionado con la compra del vehículo.</t>
  </si>
  <si>
    <t xml:space="preserve">El cliente o usuario se rehúsa a revelar cuáles son los bienes transportados o custodiados sin razón aparente</t>
  </si>
  <si>
    <t xml:space="preserve">El cliente evita que el domicilio exacto de recepción o entrega de los valores quede registrado, proporcionando la información por otros medios (teléfono, correo electrónico, etc.).</t>
  </si>
  <si>
    <t xml:space="preserve">El cliente no quiere ser relacionado con la operación realizada.</t>
  </si>
  <si>
    <t xml:space="preserve">El cliente se rehúsa a proporcionar información sobre la identidad del beneficiario final.</t>
  </si>
  <si>
    <t xml:space="preserve">Los sujetos o partes involucradas se rehúsan a proporcionar documentos personales que los identifiquen.</t>
  </si>
  <si>
    <t xml:space="preserve">El cliente o partes involucradas no quiere(n) ser relacionado(s) con la operación realizada.</t>
  </si>
  <si>
    <t xml:space="preserve">El donante se rehúsa a proporcionar documentos personales que lo identifiquen.</t>
  </si>
  <si>
    <t xml:space="preserve">El donante no quiere ser relacionado con el donativo.</t>
  </si>
  <si>
    <t xml:space="preserve">El cliente o usuario se niega a dar información sobre el uso que se dará al inmueble por arrendar.</t>
  </si>
  <si>
    <t xml:space="preserve">El cliente o usuario no quiere ser relacionado con la operación de arrendamiento.</t>
  </si>
  <si>
    <t xml:space="preserve">El cliente se niega a entregar documentación que lo identifique.</t>
  </si>
  <si>
    <t xml:space="preserve">La información y documentación presentada por el cliente o usuario es inconsistente o de difícil verificación por parte del Sujeto Obligado.</t>
  </si>
  <si>
    <t xml:space="preserve">Información inconsistente</t>
  </si>
  <si>
    <t xml:space="preserve">La información y documentación presentada por el cliente es inconsistente o de difícil verificación por parte del Sujeto Obligado.</t>
  </si>
  <si>
    <t xml:space="preserve">El cliente o usuario proporcionó datos falsos o documentos apócrifos al realizar la operación</t>
  </si>
  <si>
    <t xml:space="preserve">La información y documentación presentada por la(s) persona(s) que participa(n) en la operación es inconsistente o de difícil verificación por parte del Sujeto Obligado.</t>
  </si>
  <si>
    <t xml:space="preserve">La información y documentación presentada por las partes involucradas es inconsistente o de difícil verificación por parte del Sujeto Obligado.</t>
  </si>
  <si>
    <t xml:space="preserve">La información y documentación presentada por el donante es inconsistente o de difícil verificación por parte del Sujeto Obligado.</t>
  </si>
  <si>
    <t xml:space="preserve">Los datos proporcionados por el cliente no coinciden con los datos de los documentos de identificación.</t>
  </si>
  <si>
    <t xml:space="preserve">El cliente o usuario solicita los pagos del crédito de diversas máquinas por un monto elevado.</t>
  </si>
  <si>
    <t xml:space="preserve">Montos elevados</t>
  </si>
  <si>
    <t xml:space="preserve">Integración de fondos</t>
  </si>
  <si>
    <t xml:space="preserve">El cliente o usuario frecuentemente realiza reclamaciones de premios de alto valor ganados por sorteos.</t>
  </si>
  <si>
    <t xml:space="preserve">El cliente o usuario realiza diversas operaciones de carga o recarga por montos elevados en un periodo corto de tiempo.</t>
  </si>
  <si>
    <t xml:space="preserve">El cliente o usuario realiza una o más compras por un valor significativamente elevado, con el objeto de obtener la devolución del monto pagado.</t>
  </si>
  <si>
    <t xml:space="preserve">El cliente o usuario realiza diversas operación de compra o venta de cheques de viajero por montos elevados en un periodo corto de tiempo sin justificación aparente</t>
  </si>
  <si>
    <t xml:space="preserve">El donante otorga uno o varios donativos por un monto elevado sin mostrar interés en el objeto de la organización.</t>
  </si>
  <si>
    <t xml:space="preserve">El cliente o usuario o personas relacionadas con él realizan múltiples operaciones en un periodo muy corto sin razón aparente.</t>
  </si>
  <si>
    <t xml:space="preserve">Corto periodo</t>
  </si>
  <si>
    <t xml:space="preserve">El cliente o usuario muestra fuerte interés en la realización de la transacción con rapidez, sin que exista causa justificada</t>
  </si>
  <si>
    <t xml:space="preserve">El cliente o usuario realiza varias operaciones en un periodo corto de tiempo en las que se desconoce el origen de los objetos empeñados.</t>
  </si>
  <si>
    <t xml:space="preserve">El cliente o usuario solicita múltiples servicios en diversos vehículos y/o inmuebles en un periodo muy corto de tiempo sin que su actividad lo justifique.</t>
  </si>
  <si>
    <t xml:space="preserve">La(s) persona(s) que participa(n) en la operación realiza(n) múltiples aportaciones en un periodo muy corto de tiempo sin razón aparente.</t>
  </si>
  <si>
    <t xml:space="preserve">El cliente o personas relacionadas con él realizan múltiples operaciones en un periodo muy corto sin razón aparente.</t>
  </si>
  <si>
    <t xml:space="preserve">Transacciones sucesivas de compra y venta de la misma propiedad en un periodo corto de tiempo, con cambios injustificados del valor de la misma</t>
  </si>
  <si>
    <t xml:space="preserve">El cliente o usuario o personas relacionadas con él realizan diversas operaciones de compra o venta de grandes cantidades de metales preciosas, piedras preciosas, joyas y/o relojes en un periodo muy corto de tiempo sin justificación aparente.</t>
  </si>
  <si>
    <t xml:space="preserve">Transacciones sucesivas de compra y venta de la misma obra en un periodo corto de tiempo, con cambios injustificados del valor de la misma.</t>
  </si>
  <si>
    <t xml:space="preserve">El cliente o usuario compra múltiples vehículos en un periodo muy corto de tiempo, sin tener la preocupación sobre el costo, condiciones o tipo de vehículos.</t>
  </si>
  <si>
    <t xml:space="preserve">El cliente o usuario o personas relacionadas con él realizan múltiples operaciones en un periodo muy corto de tiempo sin razón aparente.</t>
  </si>
  <si>
    <t xml:space="preserve">Los sujetos o partes involucradas realizan múltiples operaciones en un periodo muy corto de tiempo sin justificación aparente.</t>
  </si>
  <si>
    <t xml:space="preserve">El cliente realiza múltiples operaciones de constitución de personas morales en un periodo corto de tiempo.</t>
  </si>
  <si>
    <t xml:space="preserve">El cliente o usuario o personas relacionadas con él, realizan múltiples operaciones de arrendamiento con el mismo Sujeto Obligado, en un periodo muy corto de tiempo y sin razón aparente.</t>
  </si>
  <si>
    <t xml:space="preserve">La tarjeta registra la mayoría de sus operaciones en lugares distantes de donde se tiene domiciliada sin razón aparente.</t>
  </si>
  <si>
    <t xml:space="preserve">Domicilios atípicos</t>
  </si>
  <si>
    <t xml:space="preserve">Zonas Geográficas</t>
  </si>
  <si>
    <t xml:space="preserve">El cliente o usuario registra domicilios distintos cada vez que solicita un préstamo o crédito.</t>
  </si>
  <si>
    <t xml:space="preserve">El cliente o usuario registra el mismo domicilio que otros clientes sin que exista relación aparente entre ellos.</t>
  </si>
  <si>
    <t xml:space="preserve">Traslado habitual de valores a nombre de diferentes personas en el mismo domicilio de entrega, sin causa que lo justifique</t>
  </si>
  <si>
    <t xml:space="preserve">La dirección proporcionada por el cliente es la misma que han indicado otros clientes (personas físicas y morales), sin que formen parte de un mismo grupo empresarial).</t>
  </si>
  <si>
    <t xml:space="preserve">El cliente o usuario solicita el pago de premios o fichas sin que se tenga registro de que dicho cliente o usuario haya comprado billetes de lotería, crédito o fichas para jugar.</t>
  </si>
  <si>
    <t xml:space="preserve">Operación sin justificación</t>
  </si>
  <si>
    <t xml:space="preserve">El cliente mantiene de manera regular saldo a favor en su cuenta sin justificación aparente.</t>
  </si>
  <si>
    <t xml:space="preserve">El cliente solicita varias tarjetas con características similares sin que exista justificación para ello.</t>
  </si>
  <si>
    <t xml:space="preserve">Otorgamiento de múltiples tarjetas adicionales o suplementarias sin causa justificada.</t>
  </si>
  <si>
    <t xml:space="preserve">El cliente o usuario realiza operaciones de compra o venta de cheques de viajero de forma periódica sin razón aparente</t>
  </si>
  <si>
    <t xml:space="preserve">El cliente o usuario solicita condiciones especiales poco usuales en la realización de la operación</t>
  </si>
  <si>
    <t xml:space="preserve">El cliente o usuario contrata el servicio vía remota (ej. teléfono/internet) y da justificaciones para evitar ir a la agencia.</t>
  </si>
  <si>
    <t xml:space="preserve">El cliente solicita que se realice la operación por medio de un contrato privado, donde no hay intención de registrarlo ante notario, o cuando esta intención se expresa, no se lleva a cabo finalmente.</t>
  </si>
  <si>
    <t xml:space="preserve">El cliente o usuario compra o vende grandes cantidades de metales preciosos, piedras preciosas, joyas y/o relojes sin justificar su procedencia.</t>
  </si>
  <si>
    <t xml:space="preserve">Se conoce que el cliente o usuario recolecta metales preciosos (ej. oro) y después lo funde con la intención de venderlo con una calidad diferente a la declarada.</t>
  </si>
  <si>
    <t xml:space="preserve">Exporta e importa joyería, relojes, metales y piedras preciosas de países riesgosos sin que haya justificación aparente.</t>
  </si>
  <si>
    <t xml:space="preserve">El cliente o usuario solicita que el pago le sea depositado en diferentes cuentas sin razón aparente.</t>
  </si>
  <si>
    <t xml:space="preserve">El cliente o usuario hace uso de servicios de paquetería para entregar la mercancía vendida.</t>
  </si>
  <si>
    <t xml:space="preserve">El cliente o usuario solicita que la operación se realice en un lugar distinto al establecimiento sin que exista causa justificada.</t>
  </si>
  <si>
    <t xml:space="preserve">El cliente insiste en contratar los servicios de un intermediario en todas sus transacciones, evitando el trato personal, sin causa que lo justifique.</t>
  </si>
  <si>
    <t xml:space="preserve">El cliente es el firmante de las cuentas de la persona moral sin que exista causa que justifique el servicio profesional.</t>
  </si>
  <si>
    <t xml:space="preserve">La administración de recursos del cliente permite identificar que usa múltiples cuentas bancarias sin justificación aparente.</t>
  </si>
  <si>
    <t xml:space="preserve">El donante condiciona o pretende condicionar el otorgamiento del donativo a la imposición de ciertas condiciones poco usuales para el uso del mismo.</t>
  </si>
  <si>
    <t xml:space="preserve">El cliente o usuario realiza los pagos con cheques de caja, sin causa que lo justifique.</t>
  </si>
  <si>
    <t xml:space="preserve">Rápido movimiento de recursos sin justificación aparente.</t>
  </si>
  <si>
    <t xml:space="preserve">Poca permanencia de los recursos en la plataforma sin justificación aparente.</t>
  </si>
  <si>
    <t xml:space="preserve">Cuentas inactivas por largo periodo de tiempo que empiezan a operar altos volúmenes de forma repentina sin justificación aparente.</t>
  </si>
  <si>
    <t xml:space="preserve">Cambios repentinos en el perfil transaccional del cliente sin aparente justificación.</t>
  </si>
  <si>
    <t xml:space="preserve">Inactividad en la cuenta tras grandes volúmenes de operación sin justificación aparente.</t>
  </si>
  <si>
    <t xml:space="preserve">El cliente es identificado con múltiples cuentas con perfiles de operación similares sin aparente justificación.</t>
  </si>
  <si>
    <t xml:space="preserve">Realización de operaciones desde una dirección IP o un dispositivo distinto a la actividad normal, sin justificación aparente.</t>
  </si>
  <si>
    <t xml:space="preserve">Se observa un cambio drástico en el patrón de gasto o apuesta del cliente o usuario.</t>
  </si>
  <si>
    <t xml:space="preserve">Cambios en comportamiento</t>
  </si>
  <si>
    <t xml:space="preserve">El cliente realiza operaciones que salen de su perfil transaccional.</t>
  </si>
  <si>
    <t xml:space="preserve">El monto trasladado excede significativamente el promedio de los servicios solicitados por el cliente con anterioridad.</t>
  </si>
  <si>
    <t xml:space="preserve">El cliente o usuario es una persona moral que cambia constantemente de razón social o de representante legal.</t>
  </si>
  <si>
    <t xml:space="preserve">El cliente o usuario introduce fondos en las máquinas de juego y de inmediato pide la devolución de los mismos en forma de créditos.</t>
  </si>
  <si>
    <t xml:space="preserve">Devolución o liquidación anticipada</t>
  </si>
  <si>
    <t xml:space="preserve">Liquidación atípica</t>
  </si>
  <si>
    <t xml:space="preserve">El cliente o usuario solicita el pago del crédito de una máquina de juego sin haber ganado un premio.</t>
  </si>
  <si>
    <t xml:space="preserve">El cliente o usuario realiza apuestas en juegos en los que cubre ambos lados de la apuesta de manera recurrente.</t>
  </si>
  <si>
    <t xml:space="preserve">El cliente o usuario compra fichas o crédito para jugar y solicita el reintegro después de haber tenido poca actividad de juego.</t>
  </si>
  <si>
    <t xml:space="preserve">El cliente o usuario realiza múltiples retiros de crédito o solicitudes de reintegro de fichas en el mismo día.</t>
  </si>
  <si>
    <t xml:space="preserve">El cliente o usuario liquida la operación por medio de una transferencia proveniente de un país extranjero.</t>
  </si>
  <si>
    <t xml:space="preserve">La tarjeta se liquida por medio de una transferencia proveniente de un país extranjero.</t>
  </si>
  <si>
    <t xml:space="preserve">La operación se liquida por medio de una transferencia internacional sin que la ocupación, perfil o nacionalidad del cliente o usuario lo justifique</t>
  </si>
  <si>
    <t xml:space="preserve">La operación se liquida por medio de una transferencia internacional proveniente de un país considerado como paraíso fiscal o de alto riesgo</t>
  </si>
  <si>
    <t xml:space="preserve">El cliente pretende liquidar la operación con monedas virtuales.</t>
  </si>
  <si>
    <t xml:space="preserve">El cliente o usuario pretende liquidar o pagar la operación con monedas virtuales.</t>
  </si>
  <si>
    <t xml:space="preserve">El cliente liquida la operación por medio de una transferencia proveniente de un país extranjero.</t>
  </si>
  <si>
    <t xml:space="preserve">El cliente pretende pagar o liquidar la operación con monedas virtuales.</t>
  </si>
  <si>
    <t xml:space="preserve">La operación se liquida a través de cheques de caja con la intención de ocultar el origen de los recursos.</t>
  </si>
  <si>
    <t xml:space="preserve">Para liquidar sus operaciones el cliente o usuario utiliza recursos de diferentes cuentas, instituciones financieras, denominaciones o con diversos instrumentos monetarios, con la intención de dificultar el rastreo de los recursos.</t>
  </si>
  <si>
    <t xml:space="preserve">El cliente o usuario solicita el reembolso del pago del vehículo poco tiempo después de ser adquirido.</t>
  </si>
  <si>
    <t xml:space="preserve">El cliente o usuario pretende liquidar la operación con monedas virtuales.</t>
  </si>
  <si>
    <t xml:space="preserve">El cliente o usuario liquida la operación por medio de una transferencia proveniente de un país extranjero, cuando no existe justificación para ello.</t>
  </si>
  <si>
    <t xml:space="preserve">El cliente desea liquidar la operación con monedas virtuales.</t>
  </si>
  <si>
    <t xml:space="preserve">El cliente o usuario intenta sobornar, extorsionar o amenaza con el fin de realizar la operación fuera de los parámetros establecidos, o con la finalidad de evitar el envío del Aviso.</t>
  </si>
  <si>
    <t xml:space="preserve">Soborno o amenaza</t>
  </si>
  <si>
    <t xml:space="preserve">Corrupción / coacción</t>
  </si>
  <si>
    <t xml:space="preserve">El cliente intenta sobornar, extorsionar o amenaza al promotor con el fin de que se otorgue la tarjeta fuera de los parámetros establecidos, o con la finalidad de evitar el envío del Aviso.</t>
  </si>
  <si>
    <t xml:space="preserve">El cliente o usuario intenta sobornar, extorsionar o amenaza al vendedor con el fin de realizar la operación fuera de los parámetros establecidos, o con la finalidad de evitar el envío del Aviso.</t>
  </si>
  <si>
    <t xml:space="preserve">El cliente o usuario intenta sobornar o extorsionar al vendedor con el fin de realizar la operación de forma irregular</t>
  </si>
  <si>
    <t xml:space="preserve">La(s) persona(s) que participa(n) en la operación intenta(n) sobornar, extorsionar o amenaza(n) con el fin de realizar la operación fuera de los parámetros establecidos, o con la finalidad de evitar el envío del Aviso.</t>
  </si>
  <si>
    <t xml:space="preserve">El cliente intenta sobornar, extorsionar o amenaza al vendedor con el fin de realizar la operación fuera de los parámetros establecidos, o con la finalidad de evitar el envío del Aviso.</t>
  </si>
  <si>
    <t xml:space="preserve">El cliente intenta sobornar, extorsionar o amenaza con el fin de realizar la operación fuera de los parámetros establecidos, o con la finalidad de evitar el envío del Aviso.</t>
  </si>
  <si>
    <t xml:space="preserve">Los sujetos o partes involucradas intentan sobornar, extorsionar o amenazan con el fin de realizar la operación fuera de los parámetros establecidos, o con la finalidad de evitar el envío del Aviso.</t>
  </si>
  <si>
    <t xml:space="preserve">El donante intenta sobornar, extorsionar o amenaza a la institución con el fin de realizar la donación fuera de los parámetros establecidos, o con la finalidad de evitar el envío del Aviso.</t>
  </si>
  <si>
    <t xml:space="preserve">El cliente o usuario intenta sobornar, extorsionar o amenaza al intermediario o dueño del inmueble con el fin de realizar la operación fuera de los parámetros establecidos, o con la finalidad de evitar el envío del Aviso.</t>
  </si>
  <si>
    <t xml:space="preserve">El cliente o usuario, su representante o personas ajenas a estos, intenta(n) sobornar o amenazar al Sujeto Obligado o al intermediario para que se agregue una cláusula de subarrendamiento al contrato, sin justificación lógica.</t>
  </si>
  <si>
    <t xml:space="preserve">Transferencias internacionales</t>
  </si>
  <si>
    <t xml:space="preserve">Flujo transfronterizo</t>
  </si>
  <si>
    <t xml:space="preserve">Varios clientes o usuarios solicitan el pago del crédito obtenido por medio de una transferencia o cheque a nombre de un mismo sujeto.</t>
  </si>
  <si>
    <t xml:space="preserve">Se conoce que las aportaciones se realizan por medio de transferencia(s) proveniente(s) de un país extranjero.</t>
  </si>
  <si>
    <t xml:space="preserve">El donativo se realiza por medio de una transferencia proveniente de un país extranjero.</t>
  </si>
  <si>
    <t xml:space="preserve">El cliente o usuario realiza pagos por medio de transferencia (s) proveniente(s) de un país extranjero.</t>
  </si>
  <si>
    <t xml:space="preserve">El cliente envía o recibe recursos de una cuenta en algún país de alto riesgo.</t>
  </si>
  <si>
    <t xml:space="preserve">CATÁLOGO — Actividades Vulnerables, umbrales, conversión a pesos y características de riesgo</t>
  </si>
  <si>
    <t xml:space="preserve">Fuente única de umbrales del libro (Ley art. 17, art. 32 y RCG 19). Los pesos se calculan con la UMA de CONFIG. Las listas usan la etiqueta "Fracción - Actividad" de la matriz EBR de la sesión 2, y las características, el evento típico, la causa y la consecuencia vienen de esa misma matriz. No se captura nada aquí.</t>
  </si>
  <si>
    <t xml:space="preserve">Fr.</t>
  </si>
  <si>
    <t xml:space="preserve">Actividad (la que eliges en las listas)</t>
  </si>
  <si>
    <t xml:space="preserve">Acumulación (RCG 19)</t>
  </si>
  <si>
    <t xml:space="preserve">Identificación (UMA)</t>
  </si>
  <si>
    <t xml:space="preserve">Aviso (UMA)</t>
  </si>
  <si>
    <t xml:space="preserve">Límite efectivo Art. 32 (UMA)</t>
  </si>
  <si>
    <t xml:space="preserve">Identificación ($)</t>
  </si>
  <si>
    <t xml:space="preserve">Aviso ($)</t>
  </si>
  <si>
    <t xml:space="preserve">Límite efectivo ($)</t>
  </si>
  <si>
    <t xml:space="preserve">Notas</t>
  </si>
  <si>
    <t xml:space="preserve">Características de riesgo ALTO</t>
  </si>
  <si>
    <t xml:space="preserve">Características de riesgo MEDIO</t>
  </si>
  <si>
    <t xml:space="preserve">Características de riesgo BAJO</t>
  </si>
  <si>
    <t xml:space="preserve">Evento típico</t>
  </si>
  <si>
    <t xml:space="preserve">Causa</t>
  </si>
  <si>
    <t xml:space="preserve">Consecuencia</t>
  </si>
  <si>
    <t xml:space="preserve">I</t>
  </si>
  <si>
    <t xml:space="preserve">Juegos con apuesta</t>
  </si>
  <si>
    <t xml:space="preserve">I - Juegos con apuesta</t>
  </si>
  <si>
    <t xml:space="preserve">ACUMULA</t>
  </si>
  <si>
    <t xml:space="preserve">Apuestas en efectivo de alto monto, clientes no frecuentes o extranjeros, apuestas en línea sin trazabilidad clara.</t>
  </si>
  <si>
    <t xml:space="preserve">Apuestas mixtas (efectivo y transferencia), montos moderados, clientes recurrentes.</t>
  </si>
  <si>
    <t xml:space="preserve">Apuestas con tarjeta bancaria o monederos electrónicos, montos bajos y clientes identificables.</t>
  </si>
  <si>
    <t xml:space="preserve">Introducción de efectivo ilícito en casinos o plataformas.</t>
  </si>
  <si>
    <t xml:space="preserve">Uso intensivo de efectivo, dispersión de apuestas.</t>
  </si>
  <si>
    <t xml:space="preserve">Integración de dinero ilícito, multas (arts. 53 a 55) y revocación del permiso (art. 56).</t>
  </si>
  <si>
    <t xml:space="preserve">II</t>
  </si>
  <si>
    <t xml:space="preserve">Tarjetas de crédito o servicios</t>
  </si>
  <si>
    <t xml:space="preserve">II - Tarjetas de crédito o servicios</t>
  </si>
  <si>
    <t xml:space="preserve">No aplica</t>
  </si>
  <si>
    <t xml:space="preserve">Uso de tarjetas emitidas en el extranjero o con líneas de crédito inusualmente altas.</t>
  </si>
  <si>
    <t xml:space="preserve">Tarjetas nacionales con uso mixto (efectivo/transferencias) y movimientos atípicos.</t>
  </si>
  <si>
    <t xml:space="preserve">Tarjetas nacionales de clientes con historial crediticio claro y montos habituales.</t>
  </si>
  <si>
    <t xml:space="preserve">Uso de tarjetas para dispersar fondos ilícitos o triangular pagos.</t>
  </si>
  <si>
    <t xml:space="preserve">Montos elevados sin justificación económica.</t>
  </si>
  <si>
    <t xml:space="preserve">Detección por la UIF y multas (arts. 53 a 55).</t>
  </si>
  <si>
    <t xml:space="preserve">Tarjetas prepagadas y monederos electrónicos</t>
  </si>
  <si>
    <t xml:space="preserve">II - Tarjetas prepagadas y monederos electrónicos</t>
  </si>
  <si>
    <t xml:space="preserve">NO ACUMULA</t>
  </si>
  <si>
    <t xml:space="preserve">Tarjetas recargables en efectivo de alto monto, adquiridas de forma masiva.</t>
  </si>
  <si>
    <t xml:space="preserve">Tarjetas con recargas mixtas (efectivo y transferencia), uso en varios comercios.</t>
  </si>
  <si>
    <t xml:space="preserve">Tarjetas con recarga en cuenta bancaria, límites bajos y trazables.</t>
  </si>
  <si>
    <t xml:space="preserve">Uso de monederos para dispersión y anonimato en transacciones.</t>
  </si>
  <si>
    <t xml:space="preserve">Bajo nivel de identificación en productos masivos.</t>
  </si>
  <si>
    <t xml:space="preserve">Riesgo de operaciones estructuradas y financiamiento ilícito.</t>
  </si>
  <si>
    <t xml:space="preserve">III</t>
  </si>
  <si>
    <t xml:space="preserve">Cheques de viajero</t>
  </si>
  <si>
    <t xml:space="preserve">III - Cheques de viajero</t>
  </si>
  <si>
    <t xml:space="preserve">Siempre</t>
  </si>
  <si>
    <t xml:space="preserve">Emisión o adquisición en efectivo, altos montos, operaciones internacionales.</t>
  </si>
  <si>
    <t xml:space="preserve">Cheques adquiridos con mezcla de efectivo y transferencias, uso ocasional.</t>
  </si>
  <si>
    <t xml:space="preserve">Cheques adquiridos con transferencias desde cuentas bancarias de clientes identificados.</t>
  </si>
  <si>
    <t xml:space="preserve">Introducción de recursos ilícitos vía instrumentos internacionales.</t>
  </si>
  <si>
    <t xml:space="preserve">Facilidad de portabilidad y canje en múltiples países.</t>
  </si>
  <si>
    <t xml:space="preserve">Riesgo transfronterizo y multas (arts. 53 a 55).</t>
  </si>
  <si>
    <t xml:space="preserve">IV</t>
  </si>
  <si>
    <t xml:space="preserve">Préstamos o créditos</t>
  </si>
  <si>
    <t xml:space="preserve">IV - Préstamos o créditos</t>
  </si>
  <si>
    <t xml:space="preserve">Créditos en efectivo, sin garantía real, de monto elevado o a corto plazo, susceptibles de ser liquidados anticipadamente.</t>
  </si>
  <si>
    <t xml:space="preserve">Créditos personales o comerciales de mediano plazo, con garantía parcial o con pagos mixtos (efectivo y transferencia).</t>
  </si>
  <si>
    <t xml:space="preserve">Créditos hipotecarios, automotrices o empresariales con garantías reales, pagos periódicos y trazables vía sistema financiero.</t>
  </si>
  <si>
    <t xml:space="preserve">Uso del crédito para inyectar recursos ilícitos y justificar flujos financieros.</t>
  </si>
  <si>
    <t xml:space="preserve">Flexibilidad de los productos de crédito, posibilidad de pagos en efectivo.</t>
  </si>
  <si>
    <t xml:space="preserve">Riesgo de introducir fondos ilícitos disfrazados de financiamiento.</t>
  </si>
  <si>
    <t xml:space="preserve">V</t>
  </si>
  <si>
    <t xml:space="preserve">Construcción/comercialización inmuebles</t>
  </si>
  <si>
    <t xml:space="preserve">V - Construcción/comercialización inmuebles</t>
  </si>
  <si>
    <t xml:space="preserve">Venta de inmuebles de lujo o múltiples operaciones en preventa con pagos en efectivo.</t>
  </si>
  <si>
    <t xml:space="preserve">Venta de inmuebles de valor medio con esquema de pagos mixtos (efectivo + transferencias).</t>
  </si>
  <si>
    <t xml:space="preserve">Venta de inmuebles de interés social o vivienda regulada con créditos hipotecarios bancarios.</t>
  </si>
  <si>
    <t xml:space="preserve">Uso de operaciones inmobiliarias para introducir o estratificar fondos ilícitos.</t>
  </si>
  <si>
    <t xml:space="preserve">Altos montos y posibilidad de pagos fragmentados.</t>
  </si>
  <si>
    <t xml:space="preserve">Riesgo de sobrevaluación, lavado de activos y sanciones.</t>
  </si>
  <si>
    <t xml:space="preserve">V Bis</t>
  </si>
  <si>
    <t xml:space="preserve">Recepción recursos desarrollo inmobiliario</t>
  </si>
  <si>
    <t xml:space="preserve">V Bis - Recepción recursos desarrollo inmobiliario</t>
  </si>
  <si>
    <t xml:space="preserve">NUEVA AV (Ley, DOF 16-jul-2025). Art. 17 Fr. V Bis.</t>
  </si>
  <si>
    <t xml:space="preserve">Recepción de aportaciones en efectivo o de múltiples inversionistas no identificados.</t>
  </si>
  <si>
    <t xml:space="preserve">Recursos mixtos (transferencias + efectivo) en proyectos medianos.</t>
  </si>
  <si>
    <t xml:space="preserve">Recursos canalizados vía instituciones financieras con trazabilidad plena y contratos formalizados.</t>
  </si>
  <si>
    <t xml:space="preserve">Canalización de recursos ilícitos a proyectos inmobiliarios.</t>
  </si>
  <si>
    <t xml:space="preserve">Participación de múltiples inversionistas, dificultad en verificar origen de fondos.</t>
  </si>
  <si>
    <t xml:space="preserve">Riesgo de cooptación de proyectos para blanqueo de capitales.</t>
  </si>
  <si>
    <t xml:space="preserve">VI</t>
  </si>
  <si>
    <t xml:space="preserve">Piedras y metales preciosos, joyas</t>
  </si>
  <si>
    <t xml:space="preserve">Ya NO se limita a efectivo.</t>
  </si>
  <si>
    <t xml:space="preserve">Operaciones en efectivo, piezas de alto valor unitario, transacciones frecuentes en mercados informales.</t>
  </si>
  <si>
    <t xml:space="preserve">Operaciones con combinación de pagos (efectivo + transferencia), piezas de valor medio, ventas a consignación.</t>
  </si>
  <si>
    <t xml:space="preserve">Ventas con factura a través de establecimientos formales, pagos vía sistema bancario.</t>
  </si>
  <si>
    <t xml:space="preserve">Uso de joyas, metales y piedras para mover y ocultar valor ilícito.</t>
  </si>
  <si>
    <t xml:space="preserve">Portabilidad, alta liquidez y difícil trazabilidad de estos bienes.</t>
  </si>
  <si>
    <t xml:space="preserve">Riesgo de blanqueo transfronterizo y sanciones.</t>
  </si>
  <si>
    <t xml:space="preserve">VII</t>
  </si>
  <si>
    <t xml:space="preserve">Subasta/comercialización obras de arte</t>
  </si>
  <si>
    <t xml:space="preserve">VII - Subasta/comercialización obras de arte</t>
  </si>
  <si>
    <t xml:space="preserve">Obras de alto valor, subastas internacionales, piezas sin trazabilidad de propiedad.</t>
  </si>
  <si>
    <t xml:space="preserve">Obras de valor intermedio, galerías locales, pagos mixtos.</t>
  </si>
  <si>
    <t xml:space="preserve">Venta de arte contemporáneo o decorativo de bajo valor con facturación completa.</t>
  </si>
  <si>
    <t xml:space="preserve">Uso del arte para justificar incrementos patrimoniales o transferencias internacionales.</t>
  </si>
  <si>
    <t xml:space="preserve">Valor subjetivo y dificultad en tasación de obras.</t>
  </si>
  <si>
    <t xml:space="preserve">Riesgo de sobrevaluación, subdeclaración y financiamiento ilícito.</t>
  </si>
  <si>
    <t xml:space="preserve">VIII</t>
  </si>
  <si>
    <t xml:space="preserve">Distribución/comercialización vehículos</t>
  </si>
  <si>
    <t xml:space="preserve">Venta de vehículos de lujo o coleccionables, pagos en efectivo, operaciones múltiples en corto plazo.</t>
  </si>
  <si>
    <t xml:space="preserve">Venta de vehículos de gama media con esquemas de financiamiento parcial.</t>
  </si>
  <si>
    <t xml:space="preserve">Venta de vehículos económicos a través de agencias con pagos bancarios y crédito formal.</t>
  </si>
  <si>
    <t xml:space="preserve">Adquisición de vehículos para ocultar origen ilícito de fondos.</t>
  </si>
  <si>
    <t xml:space="preserve">Alto valor de los bienes y posibilidad de liquidación en efectivo.</t>
  </si>
  <si>
    <t xml:space="preserve">Riesgo de acumulación patrimonial ilícita y decomiso.</t>
  </si>
  <si>
    <t xml:space="preserve">IX</t>
  </si>
  <si>
    <t xml:space="preserve">Servicios de blindaje</t>
  </si>
  <si>
    <t xml:space="preserve">IX - Servicios de blindaje</t>
  </si>
  <si>
    <t xml:space="preserve">Blindaje de vehículos de lujo y bienes inmuebles con pagos en efectivo.</t>
  </si>
  <si>
    <t xml:space="preserve">Blindaje de vehículos medianos con pagos mixtos.</t>
  </si>
  <si>
    <t xml:space="preserve">Blindaje contratado por empresas reguladas con pagos vía sistema financiero.</t>
  </si>
  <si>
    <t xml:space="preserve">Blindaje usado para protección de recursos ilícitos.</t>
  </si>
  <si>
    <t xml:space="preserve">Alta demanda de efectivo y bienes de alto valor.</t>
  </si>
  <si>
    <t xml:space="preserve">Vínculo con delincuencia organizada, multas y revocación del permiso (art. 56).</t>
  </si>
  <si>
    <t xml:space="preserve">X</t>
  </si>
  <si>
    <t xml:space="preserve">Transporte y custodia de valores</t>
  </si>
  <si>
    <t xml:space="preserve">X - Transporte y custodia de valores</t>
  </si>
  <si>
    <t xml:space="preserve">Si no se puede determinar el monto: Aviso siempre.</t>
  </si>
  <si>
    <t xml:space="preserve">Custodia o traslado de valores en efectivo de alto volumen o bienes de alto valor</t>
  </si>
  <si>
    <t xml:space="preserve">Custodia de valores mixtos (efectivo y documentos)</t>
  </si>
  <si>
    <t xml:space="preserve">Custodia de valores financieros documentados (títulos, cheques, transferencias)</t>
  </si>
  <si>
    <t xml:space="preserve">Movilización de efectivo ilícito.</t>
  </si>
  <si>
    <t xml:space="preserve">Dificultad de control en traslado físico.</t>
  </si>
  <si>
    <t xml:space="preserve">Multas, revocación del permiso (art. 56) y decomiso en la vía penal.</t>
  </si>
  <si>
    <t xml:space="preserve">XI</t>
  </si>
  <si>
    <t xml:space="preserve">Servicios Profesionales</t>
  </si>
  <si>
    <t xml:space="preserve">XI - Servicios profesionales: prepara la operación</t>
  </si>
  <si>
    <t xml:space="preserve">Identificas siempre. Si sólo preparas la operación, no hay Aviso (Ley 17 XI).</t>
  </si>
  <si>
    <t xml:space="preserve">Servicios que implican estructuración patrimonial o fiscal compleja</t>
  </si>
  <si>
    <t xml:space="preserve">Servicios especializados de valor intermedio (contratos mercantiles, trámites específicos)</t>
  </si>
  <si>
    <t xml:space="preserve">Servicios rutinarios o administrativos (contabilidad básica, asesoría legal común)</t>
  </si>
  <si>
    <t xml:space="preserve">Profesionales usados para dar apariencia de legalidad.</t>
  </si>
  <si>
    <t xml:space="preserve">Posibilidad de diseñar esquemas opacos.</t>
  </si>
  <si>
    <t xml:space="preserve">Corresponsabilidad legal.</t>
  </si>
  <si>
    <t xml:space="preserve">XI - Servicios profesionales: la ejecuta en nombre y representación</t>
  </si>
  <si>
    <t xml:space="preserve">Aviso cuando realizas, en nombre y representación del cliente, una operación financiera relacionada (Ley 17 XI, último párrafo).</t>
  </si>
  <si>
    <t xml:space="preserve">XII</t>
  </si>
  <si>
    <t xml:space="preserve">NOTARIOS: Transmisión de inmuebles</t>
  </si>
  <si>
    <t xml:space="preserve">XII - NOTARIOS: Transmisión de inmuebles</t>
  </si>
  <si>
    <t xml:space="preserve">Aviso 8,000 UMA (Ley 17 XII A). Ojo: el límite de efectivo del Art. 32 es 8,025 UMA, y el notario identifica la forma de pago desde ese monto (art. 33).</t>
  </si>
  <si>
    <t xml:space="preserve">Transmisión de inmuebles de alto valor</t>
  </si>
  <si>
    <t xml:space="preserve">Transmisiones de inmuebles de valor intermedio</t>
  </si>
  <si>
    <t xml:space="preserve">Transmisiones de inmuebles de bajo valor o vivienda social</t>
  </si>
  <si>
    <t xml:space="preserve">Uso de escrituras para legitimar recursos ilícitos.</t>
  </si>
  <si>
    <t xml:space="preserve">Alto valor de operaciones notariales.</t>
  </si>
  <si>
    <t xml:space="preserve">Multas y procedimiento ante la autoridad que supervisa la fe pública por notorias deficiencias (art. 58).</t>
  </si>
  <si>
    <t xml:space="preserve">NOTARIOS: Poderes irrevocables</t>
  </si>
  <si>
    <t xml:space="preserve">XII - NOTARIOS: Poderes irrevocables</t>
  </si>
  <si>
    <t xml:space="preserve">Poderes generales con facultades amplias y sin limitación temporal</t>
  </si>
  <si>
    <t xml:space="preserve">Poderes especiales de gestión con vigencia determinada</t>
  </si>
  <si>
    <t xml:space="preserve">Poderes notariales limitados a actos concretos y de valor reducido</t>
  </si>
  <si>
    <t xml:space="preserve">Uso de poderes para ocultar beneficiario final.</t>
  </si>
  <si>
    <t xml:space="preserve">Amplio acceso a actos jurídicos sin límite económico.</t>
  </si>
  <si>
    <t xml:space="preserve">Riesgo de facilitar control ilícito de activos.</t>
  </si>
  <si>
    <t xml:space="preserve">NOTARIOS: Const. o modif. patrimonial</t>
  </si>
  <si>
    <t xml:space="preserve">XII - NOTARIOS: Const. o modif. patrimonial</t>
  </si>
  <si>
    <t xml:space="preserve">Aviso SIEMPRE (Ley 17 XII A inciso c). Corregido sep-2026.</t>
  </si>
  <si>
    <t xml:space="preserve">Constitución de sociedades patrimoniales con aportaciones significativas</t>
  </si>
  <si>
    <t xml:space="preserve">Modificación parcial de sociedades con capital intermedio</t>
  </si>
  <si>
    <t xml:space="preserve">Ajustes patrimoniales menores y documentados</t>
  </si>
  <si>
    <t xml:space="preserve">Uso de sociedades para canalizar fondos ilícitos.</t>
  </si>
  <si>
    <t xml:space="preserve">Flexibilidad de estructuras societarias.</t>
  </si>
  <si>
    <t xml:space="preserve">Riesgo de sobrevaluación y evasión.</t>
  </si>
  <si>
    <t xml:space="preserve">NOTARIOS: Const. o modif. fideicomisos</t>
  </si>
  <si>
    <t xml:space="preserve">XII - NOTARIOS: Const. o modif. fideicomisos</t>
  </si>
  <si>
    <t xml:space="preserve">Antes 8,025 → ahora 4,000 UMA.</t>
  </si>
  <si>
    <t xml:space="preserve">Fideicomisos de inversión de gran valor</t>
  </si>
  <si>
    <t xml:space="preserve">Fideicomisos de inversión o administración con montos intermedios</t>
  </si>
  <si>
    <t xml:space="preserve">Fideicomisos patrimoniales familiares con montos bajos</t>
  </si>
  <si>
    <t xml:space="preserve">Uso de fideicomisos para ocultar recursos ilícitos.</t>
  </si>
  <si>
    <t xml:space="preserve">Complejidad de instrumentos fiduciarios.</t>
  </si>
  <si>
    <t xml:space="preserve">Riesgo de ocultar beneficiarios finales.</t>
  </si>
  <si>
    <t xml:space="preserve">NOTARIOS: Mutuo con no financiero</t>
  </si>
  <si>
    <t xml:space="preserve">XII - NOTARIOS: Mutuo con no financiero</t>
  </si>
  <si>
    <t xml:space="preserve">Mutuos de gran monto entre particulares</t>
  </si>
  <si>
    <t xml:space="preserve">Mutuos de valor intermedio</t>
  </si>
  <si>
    <t xml:space="preserve">Mutuos de bajo monto, formalizados y documentados</t>
  </si>
  <si>
    <t xml:space="preserve">Préstamos usados para circular recursos ilícitos.</t>
  </si>
  <si>
    <t xml:space="preserve">Flexibilidad del contrato civil.</t>
  </si>
  <si>
    <t xml:space="preserve">Riesgo de simulación de operaciones.</t>
  </si>
  <si>
    <t xml:space="preserve">CORREDORES: Avalúos</t>
  </si>
  <si>
    <t xml:space="preserve">XII - CORREDORES: Avalúos</t>
  </si>
  <si>
    <t xml:space="preserve">No acumula: el RCG 19 excluye todo el Apartado B.</t>
  </si>
  <si>
    <t xml:space="preserve">Avalúos de bienes de alto valor</t>
  </si>
  <si>
    <t xml:space="preserve">Avalúos de bienes de valor intermedio</t>
  </si>
  <si>
    <t xml:space="preserve">Avalúos de bienes de bajo valor o de vivienda social</t>
  </si>
  <si>
    <t xml:space="preserve">Uso de avalúos para inflar patrimonio.</t>
  </si>
  <si>
    <t xml:space="preserve">Valoración subjetiva de bienes.</t>
  </si>
  <si>
    <t xml:space="preserve">Justificación ilícita de activos, multas y cancelación de la habilitación por reincidencia (art. 57).</t>
  </si>
  <si>
    <t xml:space="preserve">CORREDORES: Const. o modif. patrimonial</t>
  </si>
  <si>
    <t xml:space="preserve">XII - CORREDORES: Const. o modif. patrimonial</t>
  </si>
  <si>
    <t xml:space="preserve">Constitución de sociedades patrimoniales de alto valor</t>
  </si>
  <si>
    <t xml:space="preserve">Modificaciones societarias de valor intermedio</t>
  </si>
  <si>
    <t xml:space="preserve">Ajustes menores en sociedades pequeñas</t>
  </si>
  <si>
    <t xml:space="preserve">Uso de sociedades mercantiles para blanquear recursos.</t>
  </si>
  <si>
    <t xml:space="preserve">Flexibilidad del marco mercantil.</t>
  </si>
  <si>
    <t xml:space="preserve">Riesgo de opacidad en beneficiarios.</t>
  </si>
  <si>
    <t xml:space="preserve">CORREDORES: Modif. o cesión fideicomiso</t>
  </si>
  <si>
    <t xml:space="preserve">XII - CORREDORES: Modif. o cesión fideicomiso</t>
  </si>
  <si>
    <t xml:space="preserve">Cesión de derechos fiduciarios de alto valor</t>
  </si>
  <si>
    <t xml:space="preserve">Cesiones parciales de derechos de valor intermedio</t>
  </si>
  <si>
    <t xml:space="preserve">Cesiones de bajo valor o entre familiares</t>
  </si>
  <si>
    <t xml:space="preserve">Cesión usada para ocultar transferencia ilícita.</t>
  </si>
  <si>
    <t xml:space="preserve">Complejidad fiduciaria.</t>
  </si>
  <si>
    <t xml:space="preserve">Riesgo de lavado mediante cesiones.</t>
  </si>
  <si>
    <t xml:space="preserve">CORREDORES: Mutuo mercantil</t>
  </si>
  <si>
    <t xml:space="preserve">XII - CORREDORES: Mutuo mercantil</t>
  </si>
  <si>
    <t xml:space="preserve">Mutuos mercantiles de alto valor</t>
  </si>
  <si>
    <t xml:space="preserve">Mutuos mercantiles de valor intermedio</t>
  </si>
  <si>
    <t xml:space="preserve">Mutuos mercantiles de bajo valor, documentados</t>
  </si>
  <si>
    <t xml:space="preserve">Simulación de préstamos para circular fondos ilícitos.</t>
  </si>
  <si>
    <t xml:space="preserve">Flexibilidad contractual.</t>
  </si>
  <si>
    <t xml:space="preserve">Riesgo de simulación patrimonial.</t>
  </si>
  <si>
    <t xml:space="preserve">FACILITADORES: Solución de controversias</t>
  </si>
  <si>
    <t xml:space="preserve">XII - FACILITADORES: Transmisión de inmuebles</t>
  </si>
  <si>
    <t xml:space="preserve">Apartado D: mismos actos y umbrales que notarios (Apartado A). Inmuebles: Aviso 8,000 UMA.</t>
  </si>
  <si>
    <t xml:space="preserve">Soluciones de controversias internacionales de alto valor económico</t>
  </si>
  <si>
    <t xml:space="preserve">Controversias nacionales de valor intermedio</t>
  </si>
  <si>
    <t xml:space="preserve">Controversias de bajo valor económico</t>
  </si>
  <si>
    <t xml:space="preserve">Uso de servicios legales para legitimar flujos.</t>
  </si>
  <si>
    <t xml:space="preserve">Pago de honorarios difícil de trazar.</t>
  </si>
  <si>
    <t xml:space="preserve">Riesgo de corresponsabilidad.</t>
  </si>
  <si>
    <t xml:space="preserve">Facilitadores</t>
  </si>
  <si>
    <t xml:space="preserve">XII - FACILITADORES: Poderes irrevocables</t>
  </si>
  <si>
    <t xml:space="preserve">Apartado D: remite al acto equivalente de notarios (Apartado A).</t>
  </si>
  <si>
    <t xml:space="preserve">XII - FACILITADORES: Const. o modif. patrimonial</t>
  </si>
  <si>
    <t xml:space="preserve">XII - FACILITADORES: Const. o modif. fideicomisos</t>
  </si>
  <si>
    <t xml:space="preserve">XII - FACILITADORES: Mutuo con no financiero</t>
  </si>
  <si>
    <t xml:space="preserve">XIII</t>
  </si>
  <si>
    <t xml:space="preserve">Recepción de donativos</t>
  </si>
  <si>
    <t xml:space="preserve">XIII - Recepción de donativos</t>
  </si>
  <si>
    <t xml:space="preserve">Donativos de gran valor económico</t>
  </si>
  <si>
    <t xml:space="preserve">Donativos de valor intermedio</t>
  </si>
  <si>
    <t xml:space="preserve">Donativos de bajo valor, frecuentes en asociaciones pequeñas</t>
  </si>
  <si>
    <t xml:space="preserve">Uso de asociaciones para canalizar fondos ilícitos.</t>
  </si>
  <si>
    <t xml:space="preserve">Flexibilidad en recepción de recursos.</t>
  </si>
  <si>
    <t xml:space="preserve">Riesgo de infiltración criminal.</t>
  </si>
  <si>
    <t xml:space="preserve">XIV</t>
  </si>
  <si>
    <t xml:space="preserve">CEXT: Joyas, metales, piedras preciosas</t>
  </si>
  <si>
    <t xml:space="preserve">XIV - CEXT: Joyas, metales, piedras preciosas</t>
  </si>
  <si>
    <t xml:space="preserve">No acumula: el RCG 19 no incluye la fr. XIV. El Aviso se cumple con el pedimento (R 16), no en el SPPLD.</t>
  </si>
  <si>
    <t xml:space="preserve">Transacciones internacionales de alto valor</t>
  </si>
  <si>
    <t xml:space="preserve">Operaciones nacionales de valor intermedio</t>
  </si>
  <si>
    <t xml:space="preserve">Operaciones nacionales de bajo valor con documentación</t>
  </si>
  <si>
    <t xml:space="preserve">Uso de comercio exterior para mover valor ilícito.</t>
  </si>
  <si>
    <t xml:space="preserve">Portabilidad y liquidez.</t>
  </si>
  <si>
    <t xml:space="preserve">Contrabando, multas y cancelación de la autorización aduanal (art. 59).</t>
  </si>
  <si>
    <t xml:space="preserve">CEXT: Obras de arte</t>
  </si>
  <si>
    <t xml:space="preserve">XIV - CEXT: Obras de arte</t>
  </si>
  <si>
    <t xml:space="preserve">Subastas internacionales de alto valor</t>
  </si>
  <si>
    <t xml:space="preserve">Ventas nacionales de valor intermedio</t>
  </si>
  <si>
    <t xml:space="preserve">Obras de bajo valor con factura</t>
  </si>
  <si>
    <t xml:space="preserve">Uso de arte en comercio exterior para justificar flujos ilícitos.</t>
  </si>
  <si>
    <t xml:space="preserve">Valor subjetivo y mercado opaco.</t>
  </si>
  <si>
    <t xml:space="preserve">Riesgo de sobre/subvaluación.</t>
  </si>
  <si>
    <t xml:space="preserve">CEXT: Vehículos, máquinas, blindaje, etc.</t>
  </si>
  <si>
    <t xml:space="preserve">XIV - CEXT: Vehículos, máquinas, blindaje, etc.</t>
  </si>
  <si>
    <t xml:space="preserve">Nuevo: despacho sin agente aduanal. El Aviso se cumple con el pedimento (R 16), no en el SPPLD.</t>
  </si>
  <si>
    <t xml:space="preserve">Importación/exportación de bienes de lujo</t>
  </si>
  <si>
    <t xml:space="preserve">Comercialización de bienes de valor intermedio</t>
  </si>
  <si>
    <t xml:space="preserve">Bienes de uso común con documentación completa</t>
  </si>
  <si>
    <t xml:space="preserve">Comercio exterior usado para estratificación.</t>
  </si>
  <si>
    <t xml:space="preserve">Alto valor de mercancías.</t>
  </si>
  <si>
    <t xml:space="preserve">XV</t>
  </si>
  <si>
    <t xml:space="preserve">Arrendamiento de bienes inmuebles (uso o goce)</t>
  </si>
  <si>
    <t xml:space="preserve">XV - Arrendamiento de bienes inmuebles (uso o goce)</t>
  </si>
  <si>
    <t xml:space="preserve">Arrendamiento de inmuebles de alto valor mensual, pagos en efectivo, arrendatarios de dificil identificacion o giro sensible.</t>
  </si>
  <si>
    <t xml:space="preserve">Arrendamiento de valor intermedio con pagos mixtos (efectivo y transferencia).</t>
  </si>
  <si>
    <t xml:space="preserve">Arrendamiento de bajo valor mensual, contrato formal y pagos trazables.</t>
  </si>
  <si>
    <t xml:space="preserve">Uso del arrendamiento como fachada o para introducir recursos ilicitos.</t>
  </si>
  <si>
    <t xml:space="preserve">Falta de verificacion del giro real del arrendatario y del origen de los pagos.</t>
  </si>
  <si>
    <t xml:space="preserve">Riesgo legal y reputacional; local usado para actividades ilicitas.</t>
  </si>
  <si>
    <t xml:space="preserve">XVI</t>
  </si>
  <si>
    <t xml:space="preserve">Activos virtuales (PSAV): operación de intercambio/transferencia</t>
  </si>
  <si>
    <t xml:space="preserve">XVI - Activos virtuales (PSAV): operación de intercambio/transferencia</t>
  </si>
  <si>
    <t xml:space="preserve">Umbrales más bajos del régimen.</t>
  </si>
  <si>
    <t xml:space="preserve">Intercambio/transferencia de activos virtuales con clientes no identificados, operaciones transfronterizas, montos elevados o anonimato on-chain.</t>
  </si>
  <si>
    <t xml:space="preserve">Operaciones con identificacion parcial y montos moderados.</t>
  </si>
  <si>
    <t xml:space="preserve">Operaciones con KYC completo, trazabilidad on-chain y montos bajos en MXN.</t>
  </si>
  <si>
    <t xml:space="preserve">Uso de activos virtuales para estratificar u ocultar el origen de recursos.</t>
  </si>
  <si>
    <t xml:space="preserve">Anonimato y dificultad de trazabilidad; operacion transfronteriza.</t>
  </si>
  <si>
    <t xml:space="preserve">Riesgo de LD/FT, multas y detección por la UIF.</t>
  </si>
  <si>
    <t xml:space="preserve">Activos virtuales (PSAV): cobro de contraprestación (comisión) por el servicio</t>
  </si>
  <si>
    <t xml:space="preserve">XVI - Activos virtuales (PSAV): cobro de contraprestación (comisión) por el servicio</t>
  </si>
  <si>
    <t xml:space="preserve">Cada comisión se compara sola contra 4 UMA: no se acumula (RCG 24 Bis 5). Si en la misma operación también hay Aviso por el inciso a), va un solo Aviso (R 31 Bis).</t>
  </si>
  <si>
    <t xml:space="preserve">Cobro de comisiones a clientes de alto riesgo o en efectivo, sin trazabilidad del pago.</t>
  </si>
  <si>
    <t xml:space="preserve">Comisiones con pagos mixtos e identificacion parcial.</t>
  </si>
  <si>
    <t xml:space="preserve">Comisiones cobradas por medios trazables con cliente identificado.</t>
  </si>
  <si>
    <t xml:space="preserve">Uso del cobro de comisiones para justificar flujos o fragmentar operaciones.</t>
  </si>
  <si>
    <t xml:space="preserve">Falta de trazabilidad en el cobro y bajo umbral de deteccion (4 UMA).</t>
  </si>
  <si>
    <t xml:space="preserve">Riesgo de simulacion y de omitir operaciones sujetas a aviso.</t>
  </si>
  <si>
    <t xml:space="preserve">CONFIG — Parámetros del libro</t>
  </si>
  <si>
    <t xml:space="preserve">Lo único que se captura aquí: la UMA de cada año, los datos del sujeto obligado y, si quieres calibrarlo, el modelo de puntos del grado de riesgo del cliente. Todo lo amarillo es editable.</t>
  </si>
  <si>
    <t xml:space="preserve">GENERALES</t>
  </si>
  <si>
    <t xml:space="preserve">PUNTOS POR FACTOR (inherentes, RCG 23 Bis 2 fr. I)</t>
  </si>
  <si>
    <t xml:space="preserve">UMA POR AÑO</t>
  </si>
  <si>
    <t xml:space="preserve">UMA diaria vigente a la fecha de corte</t>
  </si>
  <si>
    <t xml:space="preserve">Factor</t>
  </si>
  <si>
    <t xml:space="preserve">Opción</t>
  </si>
  <si>
    <t xml:space="preserve">Puntos</t>
  </si>
  <si>
    <t xml:space="preserve">Año</t>
  </si>
  <si>
    <t xml:space="preserve">UMA diaria</t>
  </si>
  <si>
    <t xml:space="preserve">Fecha de corte (opcional)</t>
  </si>
  <si>
    <t xml:space="preserve">Persona física</t>
  </si>
  <si>
    <t xml:space="preserve">Fecha que usa el libro (HOY)</t>
  </si>
  <si>
    <t xml:space="preserve">Sujeto obligado (nombre o razón social)</t>
  </si>
  <si>
    <t xml:space="preserve">Fideicomiso</t>
  </si>
  <si>
    <t xml:space="preserve">Persona Representante Encargada de Cumplimiento</t>
  </si>
  <si>
    <t xml:space="preserve">No residente</t>
  </si>
  <si>
    <t xml:space="preserve">Año del calendario de Avisos</t>
  </si>
  <si>
    <t xml:space="preserve">Mes en que empezaste a usar la consola</t>
  </si>
  <si>
    <t xml:space="preserve">Extranjera</t>
  </si>
  <si>
    <t xml:space="preserve">MODELO DE GRADO DE RIESGO DEL CLIENTE</t>
  </si>
  <si>
    <t xml:space="preserve">Jurisdicción de riesgo</t>
  </si>
  <si>
    <t xml:space="preserve">Grado BAJO si el puntaje es menor o igual a</t>
  </si>
  <si>
    <t xml:space="preserve">Grado MEDIO si el puntaje es menor o igual a</t>
  </si>
  <si>
    <t xml:space="preserve">Nacional</t>
  </si>
  <si>
    <t xml:space="preserve">Cada operación usa la UMA de su fecha: cambiar de año no altera los Avisos ya calculados. Captura la UMA nueva cada enero, cuando la publique el INEGI.</t>
  </si>
  <si>
    <t xml:space="preserve">Meses entre evaluaciones: grado BAJO</t>
  </si>
  <si>
    <t xml:space="preserve">Meses entre evaluaciones: grado MEDIO</t>
  </si>
  <si>
    <t xml:space="preserve">En listas</t>
  </si>
  <si>
    <t xml:space="preserve">Meses entre evaluaciones: grado ALTO</t>
  </si>
  <si>
    <t xml:space="preserve">Puntos: más del 50% del monto operado en efectivo</t>
  </si>
  <si>
    <t xml:space="preserve">Puntos: algún pago en efectivo (hasta 50%)</t>
  </si>
  <si>
    <t xml:space="preserve">Puntos: alguna operación excede el perfil declarado</t>
  </si>
  <si>
    <t xml:space="preserve">Puntos: alguna operación la paga un tercero</t>
  </si>
  <si>
    <t xml:space="preserve">No presencial</t>
  </si>
  <si>
    <t xml:space="preserve">Parcial</t>
  </si>
  <si>
    <t xml:space="preserve">Grado ALTO obligatorio, sin importar el puntaje: PEP extranjera, y no residente vinculado a jurisdicción de riesgo (RCG 23 Bis 4). Persona en listas: ALTO por criterio del libro.</t>
  </si>
</sst>
</file>

<file path=xl/styles.xml><?xml version="1.0" encoding="utf-8"?>
<styleSheet xmlns="http://schemas.openxmlformats.org/spreadsheetml/2006/main">
  <numFmts count="8">
    <numFmt numFmtId="164" formatCode="General"/>
    <numFmt numFmtId="165" formatCode="0"/>
    <numFmt numFmtId="166" formatCode="\$#,##0.00"/>
    <numFmt numFmtId="167" formatCode="0%"/>
    <numFmt numFmtId="168" formatCode="dd/mm/yyyy"/>
    <numFmt numFmtId="169" formatCode="General"/>
    <numFmt numFmtId="170" formatCode="0.00"/>
    <numFmt numFmtId="171" formatCode="dd/mm/yyyy\ hh:mm"/>
  </numFmts>
  <fonts count="22">
    <font>
      <sz val="11"/>
      <color theme="1"/>
      <name val="Calibri"/>
      <family val="2"/>
      <charset val="1"/>
    </font>
    <font>
      <sz val="10"/>
      <name val="Arial"/>
      <family val="0"/>
    </font>
    <font>
      <sz val="10"/>
      <name val="Arial"/>
      <family val="0"/>
    </font>
    <font>
      <sz val="10"/>
      <name val="Arial"/>
      <family val="0"/>
    </font>
    <font>
      <b val="true"/>
      <sz val="16"/>
      <color rgb="FF1B1B1E"/>
      <name val="Arial"/>
      <family val="0"/>
      <charset val="1"/>
    </font>
    <font>
      <sz val="10"/>
      <color rgb="FF1B1B1E"/>
      <name val="Arial"/>
      <family val="0"/>
      <charset val="1"/>
    </font>
    <font>
      <b val="true"/>
      <sz val="11"/>
      <color rgb="FFFFFFFF"/>
      <name val="Arial"/>
      <family val="0"/>
      <charset val="1"/>
    </font>
    <font>
      <b val="true"/>
      <sz val="10"/>
      <color rgb="FF64C27B"/>
      <name val="Arial"/>
      <family val="0"/>
      <charset val="1"/>
    </font>
    <font>
      <sz val="10"/>
      <color rgb="FF4D4D4D"/>
      <name val="Arial"/>
      <family val="0"/>
      <charset val="1"/>
    </font>
    <font>
      <b val="true"/>
      <sz val="10"/>
      <color rgb="FFFFFFFF"/>
      <name val="Arial"/>
      <family val="0"/>
      <charset val="1"/>
    </font>
    <font>
      <b val="true"/>
      <sz val="12"/>
      <color rgb="FF1B1B1E"/>
      <name val="Arial"/>
      <family val="0"/>
      <charset val="1"/>
    </font>
    <font>
      <i val="true"/>
      <sz val="9"/>
      <color rgb="FF4D4D4D"/>
      <name val="Arial"/>
      <family val="0"/>
      <charset val="1"/>
    </font>
    <font>
      <sz val="9"/>
      <color rgb="FF4D4D4D"/>
      <name val="Arial"/>
      <family val="0"/>
      <charset val="1"/>
    </font>
    <font>
      <b val="true"/>
      <sz val="18"/>
      <color rgb="FF000000"/>
      <name val="Calibri"/>
      <family val="2"/>
    </font>
    <font>
      <sz val="10"/>
      <color rgb="FF000000"/>
      <name val="Calibri"/>
      <family val="2"/>
    </font>
    <font>
      <sz val="8"/>
      <color rgb="FF4D4D4D"/>
      <name val="Arial"/>
      <family val="0"/>
      <charset val="1"/>
    </font>
    <font>
      <sz val="10"/>
      <color rgb="FF0070C0"/>
      <name val="Arial"/>
      <family val="0"/>
      <charset val="1"/>
    </font>
    <font>
      <b val="true"/>
      <sz val="10"/>
      <color rgb="FF1B1B1E"/>
      <name val="Arial"/>
      <family val="0"/>
      <charset val="1"/>
    </font>
    <font>
      <sz val="10"/>
      <name val="Arial"/>
      <family val="2"/>
    </font>
    <font>
      <b val="true"/>
      <sz val="11"/>
      <color rgb="FF1B1B1E"/>
      <name val="Arial"/>
      <family val="0"/>
      <charset val="1"/>
    </font>
    <font>
      <b val="true"/>
      <sz val="12"/>
      <color rgb="FFC00000"/>
      <name val="Arial"/>
      <family val="0"/>
      <charset val="1"/>
    </font>
    <font>
      <b val="true"/>
      <sz val="11"/>
      <color rgb="FF64C27B"/>
      <name val="Arial"/>
      <family val="0"/>
      <charset val="1"/>
    </font>
  </fonts>
  <fills count="5">
    <fill>
      <patternFill patternType="none"/>
    </fill>
    <fill>
      <patternFill patternType="gray125"/>
    </fill>
    <fill>
      <patternFill patternType="solid">
        <fgColor rgb="FF64C27B"/>
        <bgColor rgb="FF87D895"/>
      </patternFill>
    </fill>
    <fill>
      <patternFill patternType="solid">
        <fgColor rgb="FF1B1B1E"/>
        <bgColor rgb="FF333300"/>
      </patternFill>
    </fill>
    <fill>
      <patternFill patternType="solid">
        <fgColor rgb="FFFFF9C4"/>
        <bgColor rgb="FFFFFF99"/>
      </patternFill>
    </fill>
  </fills>
  <borders count="3">
    <border diagonalUp="false" diagonalDown="false">
      <left/>
      <right/>
      <top/>
      <bottom/>
      <diagonal/>
    </border>
    <border diagonalUp="false" diagonalDown="false">
      <left/>
      <right/>
      <top/>
      <bottom style="thick">
        <color rgb="FF64C27B"/>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right" vertical="bottom" textRotation="0" wrapText="false" indent="0" shrinkToFit="false"/>
      <protection locked="true" hidden="false"/>
    </xf>
    <xf numFmtId="166" fontId="10" fillId="0" borderId="2" xfId="0" applyFont="true" applyBorder="true" applyAlignment="true" applyProtection="false">
      <alignment horizontal="right" vertical="bottom" textRotation="0" wrapText="false" indent="0" shrinkToFit="false"/>
      <protection locked="true" hidden="false"/>
    </xf>
    <xf numFmtId="167" fontId="10" fillId="0" borderId="2" xfId="0" applyFont="true" applyBorder="true" applyAlignment="true" applyProtection="false">
      <alignment horizontal="right" vertical="bottom" textRotation="0" wrapText="false" indent="0" shrinkToFit="false"/>
      <protection locked="true" hidden="false"/>
    </xf>
    <xf numFmtId="168" fontId="10" fillId="0" borderId="2"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8" fontId="16" fillId="4" borderId="2" xfId="0" applyFont="true" applyBorder="true" applyAlignment="false" applyProtection="false">
      <alignment horizontal="general" vertical="bottom" textRotation="0" wrapText="false" indent="0" shrinkToFit="false"/>
      <protection locked="true" hidden="false"/>
    </xf>
    <xf numFmtId="164" fontId="16" fillId="4" borderId="2" xfId="0" applyFont="true" applyBorder="true" applyAlignment="false" applyProtection="false">
      <alignment horizontal="general" vertical="bottom" textRotation="0" wrapText="false" indent="0" shrinkToFit="false"/>
      <protection locked="true" hidden="false"/>
    </xf>
    <xf numFmtId="166" fontId="16" fillId="4" borderId="2" xfId="0" applyFont="true" applyBorder="true" applyAlignment="false" applyProtection="false">
      <alignment horizontal="general" vertical="bottom" textRotation="0" wrapText="false" indent="0" shrinkToFit="false"/>
      <protection locked="true" hidden="false"/>
    </xf>
    <xf numFmtId="168"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16" fillId="4" borderId="2" xfId="0" applyFont="true" applyBorder="true" applyAlignment="false" applyProtection="false">
      <alignment horizontal="general" vertical="bottom" textRotation="0" wrapText="false" indent="0" shrinkToFit="false"/>
      <protection locked="true" hidden="false"/>
    </xf>
    <xf numFmtId="164" fontId="16" fillId="4" borderId="2" xfId="0" applyFont="true" applyBorder="true" applyAlignment="true" applyProtection="false">
      <alignment horizontal="general" vertical="top" textRotation="0" wrapText="true" indent="0" shrinkToFit="false"/>
      <protection locked="true" hidden="false"/>
    </xf>
    <xf numFmtId="171" fontId="5" fillId="0" borderId="2"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6" fontId="19" fillId="0" borderId="2" xfId="0" applyFont="true" applyBorder="tru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0" fontId="10" fillId="0" borderId="2" xfId="0" applyFont="true" applyBorder="true" applyAlignment="false" applyProtection="false">
      <alignment horizontal="general" vertical="bottom" textRotation="0" wrapText="false" indent="0" shrinkToFit="false"/>
      <protection locked="true" hidden="false"/>
    </xf>
    <xf numFmtId="165" fontId="16" fillId="4"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70" fontId="16" fillId="4" borderId="2" xfId="0" applyFont="true" applyBorder="true" applyAlignment="false" applyProtection="false">
      <alignment horizontal="general" vertical="bottom" textRotation="0" wrapText="false" indent="0" shrinkToFit="false"/>
      <protection locked="true" hidden="false"/>
    </xf>
    <xf numFmtId="168" fontId="17"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C00000"/>
      </font>
      <fill>
        <patternFill>
          <bgColor rgb="FFF8D7DA"/>
        </patternFill>
      </fill>
    </dxf>
    <dxf>
      <fill>
        <patternFill patternType="solid">
          <fgColor rgb="FF64C27B"/>
          <bgColor rgb="FF000000"/>
        </patternFill>
      </fill>
    </dxf>
    <dxf>
      <fill>
        <patternFill patternType="solid">
          <bgColor rgb="FF000000"/>
        </patternFill>
      </fill>
    </dxf>
    <dxf>
      <fill>
        <patternFill patternType="solid">
          <fgColor rgb="FF1B1B1E"/>
          <bgColor rgb="FF000000"/>
        </patternFill>
      </fill>
    </dxf>
    <dxf>
      <fill>
        <patternFill patternType="solid">
          <fgColor rgb="FFFFFFFF"/>
          <bgColor rgb="FF000000"/>
        </patternFill>
      </fill>
    </dxf>
    <dxf>
      <fill>
        <patternFill patternType="solid">
          <fgColor rgb="FFFFF9C4"/>
          <bgColor rgb="FF000000"/>
        </patternFill>
      </fill>
    </dxf>
    <dxf>
      <fill>
        <patternFill patternType="solid">
          <fgColor rgb="FF0070C0"/>
          <bgColor rgb="FF000000"/>
        </patternFill>
      </fill>
    </dxf>
    <dxf>
      <fill>
        <patternFill patternType="solid">
          <fgColor rgb="FFFFC000"/>
          <bgColor rgb="FF000000"/>
        </patternFill>
      </fill>
    </dxf>
    <dxf>
      <font>
        <name val="Arial"/>
        <charset val="1"/>
        <family val="0"/>
        <b val="1"/>
        <color rgb="FFFFFFFF"/>
      </font>
      <fill>
        <patternFill>
          <bgColor rgb="FFC00000"/>
        </patternFill>
      </fill>
    </dxf>
    <dxf>
      <font>
        <name val="Arial"/>
        <charset val="1"/>
        <family val="0"/>
        <b val="1"/>
        <color rgb="FF1B1B1E"/>
      </font>
      <fill>
        <patternFill>
          <bgColor rgb="FFFFC000"/>
        </patternFill>
      </fill>
    </dxf>
    <dxf>
      <font>
        <name val="Arial"/>
        <charset val="1"/>
        <family val="0"/>
        <b val="1"/>
        <color rgb="FFC00000"/>
      </font>
    </dxf>
    <dxf>
      <fill>
        <patternFill patternType="solid">
          <fgColor rgb="FFC00000"/>
          <bgColor rgb="FF000000"/>
        </patternFill>
      </fill>
    </dxf>
    <dxf>
      <font>
        <name val="Arial"/>
        <charset val="1"/>
        <family val="0"/>
        <b val="1"/>
        <color rgb="FF1B1B1E"/>
      </font>
      <fill>
        <patternFill>
          <bgColor rgb="FF87D895"/>
        </patternFill>
      </fill>
    </dxf>
    <dxf>
      <fill>
        <patternFill patternType="solid">
          <fgColor rgb="FF87D895"/>
          <bgColor rgb="FF000000"/>
        </patternFill>
      </fill>
    </dxf>
    <dxf>
      <fill>
        <patternFill patternType="solid">
          <fgColor rgb="FFD9D9D9"/>
          <bgColor rgb="FF000000"/>
        </patternFill>
      </fill>
    </dxf>
    <dxf>
      <font>
        <name val="Arial"/>
        <charset val="1"/>
        <family val="0"/>
        <b val="1"/>
        <color rgb="FF1B1B1E"/>
      </font>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9C4"/>
      <rgbColor rgb="FFCCFFFF"/>
      <rgbColor rgb="FF660066"/>
      <rgbColor rgb="FFFF8080"/>
      <rgbColor rgb="FF0070C0"/>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87D895"/>
      <rgbColor rgb="FFFF99CC"/>
      <rgbColor rgb="FFCC99FF"/>
      <rgbColor rgb="FFF8D7DA"/>
      <rgbColor rgb="FF3366FF"/>
      <rgbColor rgb="FF64C27B"/>
      <rgbColor rgb="FF99CC00"/>
      <rgbColor rgb="FFFFC000"/>
      <rgbColor rgb="FFFF9900"/>
      <rgbColor rgb="FFED7D31"/>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Clientes por grado de riesgo</a:t>
            </a:r>
          </a:p>
        </c:rich>
      </c:tx>
      <c:overlay val="0"/>
      <c:spPr>
        <a:noFill/>
        <a:ln w="0">
          <a:noFill/>
        </a:ln>
      </c:spPr>
    </c:title>
    <c:autoTitleDeleted val="0"/>
    <c:plotArea>
      <c:barChart>
        <c:barDir val="col"/>
        <c:grouping val="clustered"/>
        <c:varyColors val="0"/>
        <c:ser>
          <c:idx val="0"/>
          <c:order val="0"/>
          <c:tx>
            <c:strRef>
              <c:f>TABLERO!H16</c:f>
              <c:strCache>
                <c:ptCount val="1"/>
                <c:pt idx="0">
                  <c:v>Clientes</c:v>
                </c:pt>
              </c:strCache>
            </c:strRef>
          </c:tx>
          <c:spPr>
            <a:solidFill>
              <a:srgbClr val="64c27b"/>
            </a:solidFill>
            <a:ln w="0">
              <a:solidFill>
                <a:srgbClr val="64c27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TABLERO!$G$17:$G$19</c:f>
              <c:strCache>
                <c:ptCount val="3"/>
                <c:pt idx="0">
                  <c:v>Bajo</c:v>
                </c:pt>
                <c:pt idx="1">
                  <c:v>Medio</c:v>
                </c:pt>
                <c:pt idx="2">
                  <c:v>Alto</c:v>
                </c:pt>
              </c:strCache>
            </c:strRef>
          </c:cat>
          <c:val>
            <c:numRef>
              <c:f>TABLERO!$H$17:$H$19</c:f>
              <c:numCache>
                <c:formatCode>0</c:formatCode>
                <c:ptCount val="3"/>
                <c:pt idx="0">
                  <c:v>0</c:v>
                </c:pt>
                <c:pt idx="1">
                  <c:v>1</c:v>
                </c:pt>
                <c:pt idx="2">
                  <c:v>0</c:v>
                </c:pt>
              </c:numCache>
            </c:numRef>
          </c:val>
        </c:ser>
        <c:gapWidth val="150"/>
        <c:overlap val="0"/>
        <c:axId val="10734534"/>
        <c:axId val="83866143"/>
      </c:barChart>
      <c:catAx>
        <c:axId val="107345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866143"/>
        <c:crosses val="autoZero"/>
        <c:auto val="1"/>
        <c:lblAlgn val="ctr"/>
        <c:lblOffset val="100"/>
        <c:noMultiLvlLbl val="0"/>
      </c:catAx>
      <c:valAx>
        <c:axId val="83866143"/>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73453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3</xdr:col>
      <xdr:colOff>951480</xdr:colOff>
      <xdr:row>29</xdr:row>
      <xdr:rowOff>43200</xdr:rowOff>
    </xdr:to>
    <xdr:graphicFrame>
      <xdr:nvGraphicFramePr>
        <xdr:cNvPr id="0" name="Chart 1"/>
        <xdr:cNvGraphicFramePr/>
      </xdr:nvGraphicFramePr>
      <xdr:xfrm>
        <a:off x="0" y="355284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B1E"/>
    <pageSetUpPr fitToPage="true"/>
  </sheetPr>
  <dimension ref="A1:A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30" hidden="false" customHeight="tru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4" t="s">
        <v>7</v>
      </c>
    </row>
    <row r="11" customFormat="false" ht="23.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4"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4" t="s">
        <v>15</v>
      </c>
    </row>
    <row r="19" customFormat="false" ht="23.85" hidden="false" customHeight="false" outlineLevel="0" collapsed="false">
      <c r="A19" s="2" t="s">
        <v>16</v>
      </c>
    </row>
    <row r="20" customFormat="false" ht="15" hidden="false" customHeight="false" outlineLevel="0" collapsed="false">
      <c r="A20" s="4" t="s">
        <v>17</v>
      </c>
    </row>
    <row r="21" customFormat="false" ht="23.85" hidden="false" customHeight="false" outlineLevel="0" collapsed="false">
      <c r="A21" s="2" t="s">
        <v>18</v>
      </c>
    </row>
    <row r="22" customFormat="false" ht="15" hidden="false" customHeight="false" outlineLevel="0" collapsed="false">
      <c r="A22" s="4" t="s">
        <v>19</v>
      </c>
    </row>
    <row r="23" customFormat="false" ht="23.85" hidden="false" customHeight="false" outlineLevel="0" collapsed="false">
      <c r="A23" s="2" t="s">
        <v>20</v>
      </c>
    </row>
    <row r="24" customFormat="false" ht="15" hidden="false" customHeight="false" outlineLevel="0" collapsed="false">
      <c r="A24" s="2"/>
    </row>
    <row r="25" customFormat="false" ht="15" hidden="false" customHeight="false" outlineLevel="0" collapsed="false">
      <c r="A25" s="3" t="s">
        <v>21</v>
      </c>
    </row>
    <row r="26" customFormat="false" ht="15" hidden="false" customHeight="false" outlineLevel="0" collapsed="false">
      <c r="A26" s="2" t="s">
        <v>22</v>
      </c>
    </row>
    <row r="27" customFormat="false" ht="23.85" hidden="false" customHeight="false" outlineLevel="0" collapsed="false">
      <c r="A27" s="2" t="s">
        <v>23</v>
      </c>
    </row>
    <row r="28" customFormat="false" ht="23.85" hidden="false" customHeight="false" outlineLevel="0" collapsed="false">
      <c r="A28" s="2" t="s">
        <v>24</v>
      </c>
    </row>
    <row r="29" customFormat="false" ht="23.85" hidden="false" customHeight="false" outlineLevel="0" collapsed="false">
      <c r="A29" s="2" t="s">
        <v>25</v>
      </c>
    </row>
    <row r="30" customFormat="false" ht="23.85" hidden="false" customHeight="false" outlineLevel="0" collapsed="false">
      <c r="A30" s="2" t="s">
        <v>26</v>
      </c>
    </row>
    <row r="31" customFormat="false" ht="15" hidden="false" customHeight="false" outlineLevel="0" collapsed="false">
      <c r="A31" s="2" t="s">
        <v>27</v>
      </c>
    </row>
    <row r="32" customFormat="false" ht="46.25" hidden="false" customHeight="false" outlineLevel="0" collapsed="false">
      <c r="A32" s="2" t="s">
        <v>28</v>
      </c>
    </row>
    <row r="33" customFormat="false" ht="15" hidden="false" customHeight="false" outlineLevel="0" collapsed="false">
      <c r="A33" s="2" t="s">
        <v>29</v>
      </c>
    </row>
    <row r="34" customFormat="false" ht="23.85" hidden="false" customHeight="false" outlineLevel="0" collapsed="false">
      <c r="A34" s="2" t="s">
        <v>30</v>
      </c>
    </row>
    <row r="35" customFormat="false" ht="23.85" hidden="false" customHeight="false" outlineLevel="0" collapsed="false">
      <c r="A35" s="2" t="s">
        <v>31</v>
      </c>
    </row>
    <row r="36" customFormat="false" ht="23.85" hidden="false" customHeight="false" outlineLevel="0" collapsed="false">
      <c r="A36" s="2" t="s">
        <v>32</v>
      </c>
    </row>
    <row r="37" customFormat="false" ht="15" hidden="false" customHeight="false" outlineLevel="0" collapsed="false">
      <c r="A37" s="2" t="s">
        <v>33</v>
      </c>
    </row>
    <row r="38" customFormat="false" ht="15" hidden="false" customHeight="false" outlineLevel="0" collapsed="false">
      <c r="A38" s="2" t="s">
        <v>34</v>
      </c>
    </row>
    <row r="39" customFormat="false" ht="15" hidden="false" customHeight="false" outlineLevel="0" collapsed="false">
      <c r="A39" s="2" t="s">
        <v>35</v>
      </c>
    </row>
    <row r="40" customFormat="false" ht="15" hidden="false" customHeight="false" outlineLevel="0" collapsed="false">
      <c r="A40" s="2"/>
    </row>
    <row r="41" customFormat="false" ht="15" hidden="false" customHeight="false" outlineLevel="0" collapsed="false">
      <c r="A41" s="3" t="s">
        <v>36</v>
      </c>
    </row>
    <row r="42" customFormat="false" ht="23.85" hidden="false" customHeight="false" outlineLevel="0" collapsed="false">
      <c r="A42" s="2" t="s">
        <v>37</v>
      </c>
    </row>
    <row r="43" customFormat="false" ht="23.85" hidden="false" customHeight="false" outlineLevel="0" collapsed="false">
      <c r="A43" s="2" t="s">
        <v>38</v>
      </c>
    </row>
    <row r="44" customFormat="false" ht="15" hidden="false" customHeight="false" outlineLevel="0" collapsed="false">
      <c r="A44" s="2" t="s">
        <v>39</v>
      </c>
    </row>
    <row r="45" customFormat="false" ht="23.85" hidden="false" customHeight="false" outlineLevel="0" collapsed="false">
      <c r="A45" s="2" t="s">
        <v>40</v>
      </c>
    </row>
    <row r="46" customFormat="false" ht="15" hidden="false" customHeight="false" outlineLevel="0" collapsed="false">
      <c r="A46" s="2"/>
    </row>
    <row r="47" customFormat="false" ht="15" hidden="false" customHeight="false" outlineLevel="0" collapsed="false">
      <c r="A47" s="3" t="s">
        <v>41</v>
      </c>
    </row>
    <row r="48" customFormat="false" ht="15" hidden="false" customHeight="false" outlineLevel="0" collapsed="false">
      <c r="A48" s="2" t="s">
        <v>42</v>
      </c>
    </row>
    <row r="49" customFormat="false" ht="15" hidden="false" customHeight="false" outlineLevel="0" collapsed="false">
      <c r="A49" s="2" t="s">
        <v>43</v>
      </c>
    </row>
    <row r="50" customFormat="false" ht="15" hidden="false" customHeight="false" outlineLevel="0" collapsed="false">
      <c r="A50" s="2" t="s">
        <v>44</v>
      </c>
    </row>
    <row r="51" customFormat="false" ht="15" hidden="false" customHeight="false" outlineLevel="0" collapsed="false">
      <c r="A51" s="2" t="s">
        <v>45</v>
      </c>
    </row>
    <row r="52" customFormat="false" ht="15" hidden="false" customHeight="false" outlineLevel="0" collapsed="false">
      <c r="A52" s="2"/>
    </row>
    <row r="53" customFormat="false" ht="15" hidden="false" customHeight="false" outlineLevel="0" collapsed="false">
      <c r="A53" s="3" t="s">
        <v>46</v>
      </c>
    </row>
    <row r="54" customFormat="false" ht="15" hidden="false" customHeight="false" outlineLevel="0" collapsed="false">
      <c r="A54" s="2" t="s">
        <v>47</v>
      </c>
    </row>
    <row r="55" customFormat="false" ht="15" hidden="false" customHeight="false" outlineLevel="0" collapsed="false">
      <c r="A55" s="2" t="s">
        <v>48</v>
      </c>
    </row>
    <row r="56" customFormat="false" ht="23.85" hidden="false" customHeight="false" outlineLevel="0" collapsed="false">
      <c r="A56" s="2" t="s">
        <v>49</v>
      </c>
    </row>
    <row r="57" customFormat="false" ht="15" hidden="false" customHeight="false" outlineLevel="0" collapsed="false">
      <c r="A57" s="2"/>
    </row>
    <row r="58" customFormat="false" ht="23.85" hidden="false" customHeight="false" outlineLevel="0" collapsed="false">
      <c r="A58" s="2" t="s">
        <v>50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C27B"/>
    <pageSetUpPr fitToPage="tru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4"/>
    <col collapsed="false" customWidth="true" hidden="false" outlineLevel="0" max="4" min="4" style="0" width="40"/>
    <col collapsed="false" customWidth="true" hidden="false" outlineLevel="0" max="5" min="5" style="0" width="14"/>
    <col collapsed="false" customWidth="true" hidden="false" outlineLevel="0" max="6" min="6" style="0" width="4"/>
    <col collapsed="false" customWidth="true" hidden="false" outlineLevel="0" max="7" min="7" style="0" width="30"/>
    <col collapsed="false" customWidth="true" hidden="false" outlineLevel="0" max="8" min="8" style="0" width="14"/>
  </cols>
  <sheetData>
    <row r="1" customFormat="false" ht="27.75" hidden="false" customHeight="true" outlineLevel="0" collapsed="false">
      <c r="A1" s="5" t="s">
        <v>51</v>
      </c>
      <c r="B1" s="5"/>
      <c r="C1" s="5"/>
      <c r="D1" s="5"/>
      <c r="E1" s="5"/>
      <c r="F1" s="5"/>
      <c r="G1" s="5"/>
      <c r="H1" s="5"/>
    </row>
    <row r="2" customFormat="false" ht="42" hidden="false" customHeight="true" outlineLevel="0" collapsed="false">
      <c r="A2" s="6" t="str">
        <f aca="false">"Corte: "&amp;DAY(CONFIG!$B$6)&amp;"/"&amp;MONTH(CONFIG!$B$6)&amp;"/"&amp;YEAR(CONFIG!$B$6)&amp;"   ·   "&amp;IF(CONFIG!$B$7="","(captura tus datos en CONFIG)",CONFIG!$B$7&amp;"   ·   REC: "&amp;CONFIG!$B$9)</f>
        <v>Corte: 21/9/2026   ·   (captura tus datos en CONFIG)</v>
      </c>
      <c r="B2" s="6"/>
      <c r="C2" s="6"/>
      <c r="D2" s="6"/>
      <c r="E2" s="6"/>
      <c r="F2" s="6"/>
      <c r="G2" s="6"/>
      <c r="H2" s="6"/>
    </row>
    <row r="4" customFormat="false" ht="15" hidden="false" customHeight="false" outlineLevel="0" collapsed="false">
      <c r="A4" s="7" t="s">
        <v>52</v>
      </c>
      <c r="B4" s="8"/>
      <c r="D4" s="7" t="s">
        <v>53</v>
      </c>
      <c r="E4" s="8"/>
      <c r="G4" s="7" t="s">
        <v>54</v>
      </c>
      <c r="H4" s="8"/>
    </row>
    <row r="5" customFormat="false" ht="15" hidden="false" customHeight="false" outlineLevel="0" collapsed="false">
      <c r="A5" s="9" t="s">
        <v>55</v>
      </c>
      <c r="B5" s="10" t="n">
        <f aca="false">COUNTIFS(OPERACIONES!$B$6:$B$505,"&gt;="&amp;DATE(YEAR(CONFIG!$B$6),MONTH(CONFIG!$B$6),1),OPERACIONES!$B$6:$B$505,"&lt;"&amp;EDATE(DATE(YEAR(CONFIG!$B$6),MONTH(CONFIG!$B$6),1),1))</f>
        <v>0</v>
      </c>
      <c r="D5" s="9" t="s">
        <v>56</v>
      </c>
      <c r="E5" s="10" t="n">
        <f aca="false">COUNTA(CLIENTES!$A$6:$A$305)</f>
        <v>1</v>
      </c>
      <c r="G5" s="9" t="s">
        <v>57</v>
      </c>
      <c r="H5" s="10" t="n">
        <f aca="false">COUNTIF(AVISOS_24H!$J$6:$J$105,"Pendiente")</f>
        <v>0</v>
      </c>
    </row>
    <row r="6" customFormat="false" ht="15" hidden="false" customHeight="false" outlineLevel="0" collapsed="false">
      <c r="A6" s="9" t="s">
        <v>58</v>
      </c>
      <c r="B6" s="11" t="n">
        <f aca="false">SUMIFS(OPERACIONES!$E$6:$E$505,OPERACIONES!$B$6:$B$505,"&gt;="&amp;DATE(YEAR(CONFIG!$B$6),MONTH(CONFIG!$B$6),1),OPERACIONES!$B$6:$B$505,"&lt;"&amp;EDATE(DATE(YEAR(CONFIG!$B$6),MONTH(CONFIG!$B$6),1),1))</f>
        <v>0</v>
      </c>
      <c r="D6" s="9" t="s">
        <v>59</v>
      </c>
      <c r="E6" s="10" t="n">
        <f aca="false">COUNTIF(CLIENTES!$Z$6:$Z$305,"Alto")</f>
        <v>0</v>
      </c>
      <c r="G6" s="9" t="s">
        <v>60</v>
      </c>
      <c r="H6" s="10" t="n">
        <f aca="false">COUNTIF(AVISOS_24H!$L$6:$L$105,"VENCIDO")</f>
        <v>0</v>
      </c>
    </row>
    <row r="7" customFormat="false" ht="15" hidden="false" customHeight="false" outlineLevel="0" collapsed="false">
      <c r="A7" s="9" t="s">
        <v>61</v>
      </c>
      <c r="B7" s="10" t="n">
        <f aca="false">COUNTIFS(OPERACIONES!$P$6:$P$505,"AVISO*",OPERACIONES!$T$6:$T$505,"&lt;&gt;Presentado")</f>
        <v>0</v>
      </c>
      <c r="D7" s="9" t="s">
        <v>62</v>
      </c>
      <c r="E7" s="10" t="n">
        <f aca="false">COUNTIF(CLIENTES!$Z$6:$Z$305,"Medio")</f>
        <v>1</v>
      </c>
      <c r="G7" s="9" t="s">
        <v>63</v>
      </c>
      <c r="H7" s="12" t="n">
        <f aca="false">OBLIGACIONES!$B$3</f>
        <v>0</v>
      </c>
    </row>
    <row r="8" customFormat="false" ht="15" hidden="false" customHeight="false" outlineLevel="0" collapsed="false">
      <c r="A8" s="9" t="s">
        <v>64</v>
      </c>
      <c r="B8" s="10" t="n">
        <f aca="false">COUNTIF(OPERACIONES!$V$6:$V$505,"VENCIDO")</f>
        <v>0</v>
      </c>
      <c r="D8" s="9" t="s">
        <v>65</v>
      </c>
      <c r="E8" s="10" t="n">
        <f aca="false">COUNTIF(CLIENTES!$Z$6:$Z$305,"Bajo")</f>
        <v>0</v>
      </c>
      <c r="G8" s="9" t="s">
        <v>66</v>
      </c>
      <c r="H8" s="10" t="n">
        <f aca="false">MAX(0,DATE(2027,3,1)-CONFIG!$B$6)</f>
        <v>161</v>
      </c>
    </row>
    <row r="9" customFormat="false" ht="15" hidden="false" customHeight="false" outlineLevel="0" collapsed="false">
      <c r="A9" s="9" t="s">
        <v>67</v>
      </c>
      <c r="B9" s="13" t="str">
        <f aca="false">IF(MIN(OPERACIONES!$AT$6:$AT$505)=0,"—",MIN(OPERACIONES!$AT$6:$AT$505))</f>
        <v>—</v>
      </c>
      <c r="D9" s="9" t="s">
        <v>68</v>
      </c>
      <c r="E9" s="10" t="n">
        <f aca="false">COUNTIF(CLIENTES!$H$6:$H$305,"Nacional")+COUNTIF(CLIENTES!$H$6:$H$305,"Extranjera")</f>
        <v>0</v>
      </c>
      <c r="G9" s="9" t="s">
        <v>69</v>
      </c>
      <c r="H9" s="10" t="n">
        <f aca="false">MAX(0,DATE(2027,6,1)-CONFIG!$B$6)</f>
        <v>253</v>
      </c>
    </row>
    <row r="10" customFormat="false" ht="15" hidden="false" customHeight="false" outlineLevel="0" collapsed="false">
      <c r="A10" s="9" t="s">
        <v>70</v>
      </c>
      <c r="B10" s="10" t="n">
        <f aca="false">COUNTIF(OPERACIONES!$R$6:$R$505,"PROHIBIDO")</f>
        <v>0</v>
      </c>
      <c r="D10" s="9" t="s">
        <v>71</v>
      </c>
      <c r="E10" s="10" t="n">
        <f aca="false">COUNTIF(CLIENTES!$AE$6:$AE$305,"Revisar")</f>
        <v>1</v>
      </c>
    </row>
    <row r="11" customFormat="false" ht="15" hidden="false" customHeight="false" outlineLevel="0" collapsed="false">
      <c r="A11" s="9" t="s">
        <v>72</v>
      </c>
      <c r="B11" s="10" t="n">
        <f aca="false">SUM(OPERACIONES!$AQ$6:$AQ$505)</f>
        <v>0</v>
      </c>
      <c r="D11" s="9" t="s">
        <v>73</v>
      </c>
      <c r="E11" s="10" t="n">
        <f aca="false">COUNTIF(CLIENTES!$AB$6:$AB$305,"&lt;"&amp;CONFIG!$B$6)</f>
        <v>1</v>
      </c>
    </row>
    <row r="12" customFormat="false" ht="15" hidden="false" customHeight="false" outlineLevel="0" collapsed="false">
      <c r="A12" s="9" t="s">
        <v>74</v>
      </c>
      <c r="B12" s="10" t="n">
        <f aca="false">COUNTIF(OPERACIONES!$H$6:$H$505,"Sí")</f>
        <v>0</v>
      </c>
      <c r="D12" s="9" t="s">
        <v>75</v>
      </c>
      <c r="E12" s="10" t="n">
        <f aca="false">COUNTIF(CLIENTES!$P$6:$P$305,"No")</f>
        <v>0</v>
      </c>
    </row>
    <row r="13" customFormat="false" ht="15" hidden="false" customHeight="false" outlineLevel="0" collapsed="false">
      <c r="A13" s="9" t="s">
        <v>76</v>
      </c>
      <c r="B13" s="10" t="n">
        <f aca="false">COUNTIF(CALENDARIO!$K$6:$K$17,"VENCIDO")</f>
        <v>8</v>
      </c>
      <c r="D13" s="9" t="s">
        <v>77</v>
      </c>
      <c r="E13" s="10" t="n">
        <f aca="false">COUNTIF(CLIENTES!$Q$6:$Q$305,"Pendiente")</f>
        <v>0</v>
      </c>
    </row>
    <row r="15" customFormat="false" ht="15" hidden="false" customHeight="false" outlineLevel="0" collapsed="false">
      <c r="A15" s="14" t="s">
        <v>78</v>
      </c>
    </row>
    <row r="16" customFormat="false" ht="15" hidden="false" customHeight="false" outlineLevel="0" collapsed="false">
      <c r="G16" s="15" t="s">
        <v>79</v>
      </c>
      <c r="H16" s="15" t="s">
        <v>80</v>
      </c>
    </row>
    <row r="17" customFormat="false" ht="15" hidden="false" customHeight="false" outlineLevel="0" collapsed="false">
      <c r="G17" s="15" t="s">
        <v>81</v>
      </c>
      <c r="H17" s="16" t="n">
        <f aca="false">E8</f>
        <v>0</v>
      </c>
    </row>
    <row r="18" customFormat="false" ht="15" hidden="false" customHeight="false" outlineLevel="0" collapsed="false">
      <c r="G18" s="15" t="s">
        <v>82</v>
      </c>
      <c r="H18" s="16" t="n">
        <f aca="false">E7</f>
        <v>1</v>
      </c>
    </row>
    <row r="19" customFormat="false" ht="15" hidden="false" customHeight="false" outlineLevel="0" collapsed="false">
      <c r="G19" s="15" t="s">
        <v>83</v>
      </c>
      <c r="H19" s="16" t="n">
        <f aca="false">E6</f>
        <v>0</v>
      </c>
    </row>
  </sheetData>
  <mergeCells count="2">
    <mergeCell ref="A1:H1"/>
    <mergeCell ref="A2:H2"/>
  </mergeCells>
  <conditionalFormatting sqref="B7">
    <cfRule type="expression" priority="2" aboveAverage="0" equalAverage="0" bottom="0" percent="0" rank="0" text="" dxfId="0">
      <formula>AND(ISNUMBER(B7),B7&gt;0)</formula>
    </cfRule>
  </conditionalFormatting>
  <conditionalFormatting sqref="B8">
    <cfRule type="expression" priority="3" aboveAverage="0" equalAverage="0" bottom="0" percent="0" rank="0" text="" dxfId="0">
      <formula>AND(ISNUMBER(B8),B8&gt;0)</formula>
    </cfRule>
  </conditionalFormatting>
  <conditionalFormatting sqref="B10">
    <cfRule type="expression" priority="4" aboveAverage="0" equalAverage="0" bottom="0" percent="0" rank="0" text="" dxfId="0">
      <formula>AND(ISNUMBER(B10),B10&gt;0)</formula>
    </cfRule>
  </conditionalFormatting>
  <conditionalFormatting sqref="B11">
    <cfRule type="expression" priority="5" aboveAverage="0" equalAverage="0" bottom="0" percent="0" rank="0" text="" dxfId="0">
      <formula>AND(ISNUMBER(B11),B11&gt;0)</formula>
    </cfRule>
  </conditionalFormatting>
  <conditionalFormatting sqref="B13">
    <cfRule type="expression" priority="6" aboveAverage="0" equalAverage="0" bottom="0" percent="0" rank="0" text="" dxfId="0">
      <formula>AND(ISNUMBER(B13),B13&gt;0)</formula>
    </cfRule>
  </conditionalFormatting>
  <conditionalFormatting sqref="E10">
    <cfRule type="expression" priority="7" aboveAverage="0" equalAverage="0" bottom="0" percent="0" rank="0" text="" dxfId="0">
      <formula>AND(ISNUMBER(E10),E10&gt;0)</formula>
    </cfRule>
  </conditionalFormatting>
  <conditionalFormatting sqref="E11">
    <cfRule type="expression" priority="8" aboveAverage="0" equalAverage="0" bottom="0" percent="0" rank="0" text="" dxfId="0">
      <formula>AND(ISNUMBER(E11),E11&gt;0)</formula>
    </cfRule>
  </conditionalFormatting>
  <conditionalFormatting sqref="E12">
    <cfRule type="expression" priority="9" aboveAverage="0" equalAverage="0" bottom="0" percent="0" rank="0" text="" dxfId="0">
      <formula>AND(ISNUMBER(E12),E12&gt;0)</formula>
    </cfRule>
  </conditionalFormatting>
  <conditionalFormatting sqref="E13">
    <cfRule type="expression" priority="10" aboveAverage="0" equalAverage="0" bottom="0" percent="0" rank="0" text="" dxfId="0">
      <formula>AND(ISNUMBER(E13),E13&gt;0)</formula>
    </cfRule>
  </conditionalFormatting>
  <conditionalFormatting sqref="H5">
    <cfRule type="expression" priority="11" aboveAverage="0" equalAverage="0" bottom="0" percent="0" rank="0" text="" dxfId="0">
      <formula>AND(ISNUMBER(H5),H5&gt;0)</formula>
    </cfRule>
  </conditionalFormatting>
  <conditionalFormatting sqref="H6">
    <cfRule type="expression" priority="12" aboveAverage="0" equalAverage="0" bottom="0" percent="0" rank="0" text="" dxfId="0">
      <formula>AND(ISNUMBER(H6),H6&gt;0)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C27B"/>
    <pageSetUpPr fitToPage="true"/>
  </sheetPr>
  <dimension ref="A1:AX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2"/>
    <col collapsed="false" customWidth="true" hidden="false" outlineLevel="0" max="4" min="4" style="0" width="34"/>
    <col collapsed="false" customWidth="true" hidden="false" outlineLevel="0" max="6" min="5" style="0" width="14"/>
    <col collapsed="false" customWidth="true" hidden="false" outlineLevel="0" max="7" min="7" style="0" width="13"/>
    <col collapsed="false" customWidth="true" hidden="false" outlineLevel="0" max="8" min="8" style="0" width="9"/>
    <col collapsed="false" customWidth="true" hidden="false" outlineLevel="0" max="9" min="9" style="0" width="24"/>
    <col collapsed="false" customWidth="true" hidden="false" outlineLevel="0" max="11" min="10" style="0" width="9"/>
    <col collapsed="false" customWidth="true" hidden="false" outlineLevel="0" max="12" min="12" style="0" width="11"/>
    <col collapsed="false" customWidth="true" hidden="false" outlineLevel="0" max="13" min="13" style="0" width="10"/>
    <col collapsed="false" customWidth="true" hidden="false" outlineLevel="0" max="14" min="14" style="0" width="11"/>
    <col collapsed="false" customWidth="true" hidden="false" outlineLevel="0" max="15" min="15" style="0" width="14"/>
    <col collapsed="false" customWidth="true" hidden="false" outlineLevel="0" max="16" min="16" style="0" width="13"/>
    <col collapsed="false" customWidth="true" hidden="false" outlineLevel="0" max="18" min="17" style="0" width="11"/>
    <col collapsed="false" customWidth="true" hidden="false" outlineLevel="0" max="19" min="19" style="0" width="34"/>
    <col collapsed="false" customWidth="true" hidden="false" outlineLevel="0" max="21" min="20" style="0" width="11"/>
    <col collapsed="false" customWidth="true" hidden="false" outlineLevel="0" max="22" min="22" style="0" width="16"/>
    <col collapsed="false" customWidth="true" hidden="false" outlineLevel="0" max="23" min="23" style="0" width="15"/>
    <col collapsed="false" customWidth="true" hidden="false" outlineLevel="0" max="24" min="24" style="0" width="28"/>
    <col collapsed="false" customWidth="true" hidden="false" outlineLevel="0" max="26" min="25" style="0" width="2"/>
    <col collapsed="false" customWidth="true" hidden="true" outlineLevel="0" max="50" min="27" style="0" width="13"/>
  </cols>
  <sheetData>
    <row r="1" customFormat="false" ht="27.75" hidden="false" customHeight="true" outlineLevel="0" collapsed="false">
      <c r="A1" s="5" t="s">
        <v>84</v>
      </c>
      <c r="B1" s="5"/>
      <c r="C1" s="5"/>
      <c r="D1" s="5"/>
      <c r="E1" s="5"/>
      <c r="F1" s="5"/>
      <c r="G1" s="5"/>
      <c r="H1" s="5"/>
      <c r="I1" s="5"/>
      <c r="J1" s="5"/>
      <c r="K1" s="5"/>
      <c r="L1" s="5"/>
      <c r="M1" s="5"/>
      <c r="N1" s="5"/>
      <c r="O1" s="5"/>
      <c r="P1" s="5"/>
      <c r="Q1" s="5"/>
      <c r="R1" s="5"/>
      <c r="S1" s="5"/>
      <c r="T1" s="5"/>
      <c r="U1" s="5"/>
      <c r="V1" s="5"/>
      <c r="W1" s="5"/>
    </row>
    <row r="2" customFormat="false" ht="42" hidden="false" customHeight="true" outlineLevel="0" collapsed="false">
      <c r="A2" s="6" t="s">
        <v>85</v>
      </c>
      <c r="B2" s="6"/>
      <c r="C2" s="6"/>
      <c r="D2" s="6"/>
      <c r="E2" s="6"/>
      <c r="F2" s="6"/>
      <c r="G2" s="6"/>
      <c r="H2" s="6"/>
      <c r="I2" s="6"/>
      <c r="J2" s="6"/>
      <c r="K2" s="6"/>
      <c r="L2" s="6"/>
      <c r="M2" s="6"/>
      <c r="N2" s="6"/>
      <c r="O2" s="6"/>
      <c r="P2" s="6"/>
      <c r="Q2" s="6"/>
      <c r="R2" s="6"/>
      <c r="S2" s="6"/>
      <c r="T2" s="6"/>
      <c r="U2" s="6"/>
      <c r="V2" s="6"/>
      <c r="W2" s="6"/>
    </row>
    <row r="5" customFormat="false" ht="42" hidden="false" customHeight="true" outlineLevel="0" collapsed="false">
      <c r="A5" s="17" t="s">
        <v>86</v>
      </c>
      <c r="B5" s="17" t="s">
        <v>87</v>
      </c>
      <c r="C5" s="17" t="s">
        <v>88</v>
      </c>
      <c r="D5" s="17" t="s">
        <v>89</v>
      </c>
      <c r="E5" s="17" t="s">
        <v>90</v>
      </c>
      <c r="F5" s="17" t="s">
        <v>91</v>
      </c>
      <c r="G5" s="17" t="s">
        <v>92</v>
      </c>
      <c r="H5" s="17" t="s">
        <v>93</v>
      </c>
      <c r="I5" s="18" t="s">
        <v>94</v>
      </c>
      <c r="J5" s="18" t="s">
        <v>95</v>
      </c>
      <c r="K5" s="18" t="s">
        <v>96</v>
      </c>
      <c r="L5" s="18" t="s">
        <v>97</v>
      </c>
      <c r="M5" s="18" t="s">
        <v>98</v>
      </c>
      <c r="N5" s="18" t="s">
        <v>99</v>
      </c>
      <c r="O5" s="18" t="s">
        <v>100</v>
      </c>
      <c r="P5" s="18" t="s">
        <v>101</v>
      </c>
      <c r="Q5" s="18" t="s">
        <v>102</v>
      </c>
      <c r="R5" s="18" t="s">
        <v>103</v>
      </c>
      <c r="S5" s="18" t="s">
        <v>104</v>
      </c>
      <c r="T5" s="17" t="s">
        <v>105</v>
      </c>
      <c r="U5" s="17" t="s">
        <v>106</v>
      </c>
      <c r="V5" s="18" t="s">
        <v>107</v>
      </c>
      <c r="W5" s="17" t="s">
        <v>108</v>
      </c>
      <c r="X5" s="17" t="s">
        <v>109</v>
      </c>
      <c r="AA5" s="19" t="s">
        <v>110</v>
      </c>
      <c r="AB5" s="19" t="s">
        <v>111</v>
      </c>
      <c r="AC5" s="19" t="s">
        <v>112</v>
      </c>
      <c r="AD5" s="19" t="s">
        <v>113</v>
      </c>
      <c r="AE5" s="19" t="s">
        <v>114</v>
      </c>
      <c r="AF5" s="19" t="s">
        <v>115</v>
      </c>
      <c r="AG5" s="19" t="s">
        <v>116</v>
      </c>
      <c r="AH5" s="19" t="s">
        <v>117</v>
      </c>
      <c r="AI5" s="19" t="s">
        <v>118</v>
      </c>
      <c r="AJ5" s="19" t="s">
        <v>119</v>
      </c>
      <c r="AK5" s="19" t="s">
        <v>120</v>
      </c>
      <c r="AL5" s="19" t="s">
        <v>121</v>
      </c>
      <c r="AM5" s="19" t="s">
        <v>122</v>
      </c>
      <c r="AN5" s="19" t="s">
        <v>123</v>
      </c>
      <c r="AO5" s="19" t="s">
        <v>124</v>
      </c>
      <c r="AP5" s="19" t="s">
        <v>125</v>
      </c>
      <c r="AQ5" s="19" t="s">
        <v>126</v>
      </c>
      <c r="AR5" s="19" t="s">
        <v>127</v>
      </c>
      <c r="AS5" s="19" t="s">
        <v>128</v>
      </c>
      <c r="AT5" s="19" t="s">
        <v>129</v>
      </c>
      <c r="AU5" s="19" t="s">
        <v>130</v>
      </c>
      <c r="AV5" s="19" t="s">
        <v>131</v>
      </c>
      <c r="AW5" s="19" t="s">
        <v>132</v>
      </c>
      <c r="AX5" s="19" t="s">
        <v>133</v>
      </c>
    </row>
    <row r="6" customFormat="false" ht="15" hidden="false" customHeight="false" outlineLevel="0" collapsed="false">
      <c r="A6" s="9" t="n">
        <f aca="false">IF(E6="","",ROW()-5)</f>
        <v>1</v>
      </c>
      <c r="B6" s="20" t="n">
        <v>46086</v>
      </c>
      <c r="C6" s="21" t="s">
        <v>134</v>
      </c>
      <c r="D6" s="21" t="s">
        <v>135</v>
      </c>
      <c r="E6" s="22" t="n">
        <v>120000</v>
      </c>
      <c r="F6" s="22" t="n">
        <v>0</v>
      </c>
      <c r="G6" s="21" t="s">
        <v>136</v>
      </c>
      <c r="H6" s="21" t="s">
        <v>137</v>
      </c>
      <c r="I6" s="9" t="str">
        <f aca="false">IF(C6="","",IFERROR(INDEX(CLIENTES!$B$6:$B$305,MATCH(C6,CLIENTES!$A$6:$A$305,0)),"⚠ ID no registrado"))</f>
        <v>Comercializadora Ejemplo, S.A. de C.V.</v>
      </c>
      <c r="J6" s="9" t="str">
        <f aca="false">IF(C6="","",IFERROR(INDEX(CLIENTES!$Z$6:$Z$305,MATCH(C6,CLIENTES!$A$6:$A$305,0)),""))</f>
        <v>Medio</v>
      </c>
      <c r="K6" s="9" t="str">
        <f aca="false">IF(E6="","",IF(AB6="Siempre","Sí",IF(ISNUMBER(AC6),IF(E6&gt;=AC6,"Sí",IF(AW6&gt;=AC6,"Sí (serie 24 h)","No")),"")))</f>
        <v>Sí</v>
      </c>
      <c r="L6" s="9" t="str">
        <f aca="false">IF(E6="","",AA6)</f>
        <v>ACUMULA</v>
      </c>
      <c r="M6" s="9" t="str">
        <f aca="false">IF(E6="","",IF(AA6&lt;&gt;"ACUMULA","No aplica",IF(LEFT(K6,2)="Sí","Sí","No")))</f>
        <v>Sí</v>
      </c>
      <c r="N6" s="23" t="n">
        <f aca="false">IF(M6="Sí",AJ6,"")</f>
        <v>46086</v>
      </c>
      <c r="O6" s="24" t="n">
        <f aca="false">IF(M6="Sí",AK6,"")</f>
        <v>120000</v>
      </c>
      <c r="P6" s="25" t="str">
        <f aca="false">IF(AND(LEFT(D6,6)="XIV - ",LEFT(AX6,5)="AVISO"),"Pedimento (R 16): no va al SPPLD",AX6)</f>
        <v>Acumulando</v>
      </c>
      <c r="Q6" s="23" t="str">
        <f aca="false">IF(LEFT(P6,5)="AVISO",IF(ISNUMBER(B6),DATE(YEAR(B6),MONTH(B6)+1,17),"Falta fecha"),"")</f>
        <v/>
      </c>
      <c r="R6" s="9" t="str">
        <f aca="false">IF(OR(F6="",F6=0),"",IF(ISNUMBER(AG6),IF(F6&gt;=AG6,"PROHIBIDO","Dentro del límite"),"No aplica"))</f>
        <v/>
      </c>
      <c r="S6" s="26" t="str">
        <f aca="false">IF(E6="","",MID(IF(AQ6=1," · Excede el perfil declarado","")&amp;IF(H6="Sí"," · Paga un tercero","")&amp;IF(J6="Alto"," · Cliente de riesgo alto: DDR (RCG 23 Ter 3 y 4)","")&amp;IF(AND(AS6&lt;&gt;"",AS6&lt;&gt;"No",AS6&lt;&gt;0)," · PEP","")&amp;IF(R6="PROHIBIDO"," · Efectivo prohibido: no lo recibas (Art. 32)","")&amp;IF(AR6=1," · ⚠ Fecha fuera de orden","")&amp;IF(LEFT(I6,1)="⚠"," · ⚠ Cliente no registrado","")&amp;IF(D6=""," · ⚠ Falta la actividad","")&amp;IF(AND(LEFT(P6,5)="AVISO",W6="")," · Captura la cifra total con IVA para el Aviso","")&amp;IF(AND(ISNUMBER(W6),W6&lt;E6)," · ⚠ La cifra con IVA es menor que el monto sin IVA",""),4,400))</f>
        <v/>
      </c>
      <c r="T6" s="21"/>
      <c r="U6" s="20"/>
      <c r="V6" s="9" t="str">
        <f aca="false">IF(LEFT(P6,5)&lt;&gt;"AVISO","",IF(T6="Presentado",IF(AND(ISNUMBER(U6),ISNUMBER(Q6),U6&gt;Q6),"Presentado tarde","Presentado"),IF(NOT(ISNUMBER(Q6)),"Falta fecha",IF(Q6&lt;CONFIG!$B$6,"VENCIDO","Vence en "&amp;(Q6-CONFIG!$B$6)&amp;" días"))))</f>
        <v/>
      </c>
      <c r="W6" s="22"/>
      <c r="X6" s="21"/>
      <c r="AA6" s="0" t="str">
        <f aca="false">IF(AM6="","",INDEX(CATÁLOGO!$D$5:$D$39,AM6))</f>
        <v>ACUMULA</v>
      </c>
      <c r="AB6" s="27" t="n">
        <f aca="false">IF(AM6="","",INDEX(CATÁLOGO!$E$5:$E$39,AM6))</f>
        <v>805</v>
      </c>
      <c r="AC6" s="27" t="n">
        <f aca="false">IF(AB6="","",IF(ISNUMBER(AB6),AB6*AV6,AB6))</f>
        <v>94434.55</v>
      </c>
      <c r="AD6" s="27" t="n">
        <f aca="false">IF(AM6="","",INDEX(CATÁLOGO!$F$5:$F$39,AM6))</f>
        <v>1605</v>
      </c>
      <c r="AE6" s="27" t="n">
        <f aca="false">IF(AD6="","",IF(ISNUMBER(AD6),AD6*AV6,AD6))</f>
        <v>188282.55</v>
      </c>
      <c r="AF6" s="27" t="n">
        <f aca="false">IF(AM6="","",INDEX(CATÁLOGO!$G$5:$G$39,AM6))</f>
        <v>3210</v>
      </c>
      <c r="AG6" s="27" t="n">
        <f aca="false">IF(AF6="","",IF(ISNUMBER(AF6),AF6*AV6,AF6))</f>
        <v>376565.1</v>
      </c>
      <c r="AH6" s="0" t="str">
        <f aca="false">IF(E6="","",C6&amp;"|"&amp;D6)</f>
        <v>EJEMPLO-01|VI - Piedras y metales preciosos, joyas</v>
      </c>
      <c r="AI6" s="27" t="n">
        <f aca="false">IF(M6&lt;&gt;"Sí",0,SUMPRODUCT(MAX(($AH$5:AH5=AH6)*($M$5:M5="Sí")*ROW($AH$5:AH5))))</f>
        <v>0</v>
      </c>
      <c r="AJ6" s="28" t="n">
        <f aca="false">IF(M6&lt;&gt;"Sí","",IF(AL6=1,B6,INDEX($AJ:$AJ,AI6)))</f>
        <v>46086</v>
      </c>
      <c r="AK6" s="29" t="n">
        <f aca="false">IF(M6&lt;&gt;"Sí","",IF(AL6=1,E6,INDEX($AK:$AK,AI6)+E6))</f>
        <v>120000</v>
      </c>
      <c r="AL6" s="27" t="n">
        <f aca="false">IF(M6&lt;&gt;"Sí","",IF(AI6=0,1,IF(INDEX($AN:$AN,AI6)=0,1,IF(B6&gt;=EDATE(INDEX($AJ:$AJ,AI6),6),1,0))))</f>
        <v>1</v>
      </c>
      <c r="AM6" s="27" t="n">
        <f aca="false">IF(D6="","",IFERROR(MATCH(D6,CATÁLOGO!$C$5:$C$39,0),""))</f>
        <v>8</v>
      </c>
      <c r="AN6" s="27" t="n">
        <f aca="false">IF(M6&lt;&gt;"Sí","",IF(AND(ISNUMBER(AE6),AK6&gt;=AE6),0,1))</f>
        <v>1</v>
      </c>
      <c r="AO6" s="27" t="n">
        <f aca="false">IF(OR(E6="",C6="",NOT(ISNUMBER(B6))),"",SUMIFS($E$6:$E$505,$C$6:$C$505,C6,$B$6:$B$505,"&gt;="&amp;DATE(YEAR(B6),MONTH(B6),1),$B$6:$B$505,"&lt;"&amp;DATE(YEAR(B6),MONTH(B6)+1,1)))</f>
        <v>120000</v>
      </c>
      <c r="AP6" s="29" t="n">
        <f aca="false">IF(C6="","",IFERROR(INDEX(CLIENTES!$M$6:$M$305,MATCH(C6,CLIENTES!$A$6:$A$305,0)),""))</f>
        <v>250000</v>
      </c>
      <c r="AQ6" s="27" t="n">
        <f aca="false">IF(AND(ISNUMBER(AO6),ISNUMBER(AP6)),IF(AND(AP6&gt;0,AO6&gt;AP6),1,0),0)</f>
        <v>0</v>
      </c>
      <c r="AR6" s="27" t="n">
        <f aca="false">IF(NOT(ISNUMBER(B6)),0,IF(B6&lt;MAX($B$5:B5),1,0))</f>
        <v>0</v>
      </c>
      <c r="AS6" s="0" t="str">
        <f aca="false">IF(C6="","",IFERROR(INDEX(CLIENTES!$H$6:$H$305,MATCH(C6,CLIENTES!$A$6:$A$305,0)),""))</f>
        <v>No</v>
      </c>
      <c r="AT6" s="0" t="str">
        <f aca="false">IF(AND(LEFT(P6,5)="AVISO",T6&lt;&gt;"Presentado",ISNUMBER(Q6)),Q6,"")</f>
        <v/>
      </c>
      <c r="AU6" s="27" t="n">
        <f aca="false">IF(AND(D6="XVI - Activos virtuales (PSAV): operación de intercambio/transferencia",M6="Sí",ISNUMBER(AE6)),IF(AK6&gt;=AE6,1,0),0)</f>
        <v>0</v>
      </c>
      <c r="AV6" s="30" t="n">
        <f aca="false">IF(NOT(ISNUMBER(B6)),CONFIG!$B$4,IFERROR(INDEX(CONFIG!$I$5:$I$14,MATCH(IF(MONTH(B6)=1,YEAR(B6)-1,YEAR(B6)),CONFIG!$H$5:$H$14,0)),CONFIG!$B$4))</f>
        <v>117.31</v>
      </c>
      <c r="AW6" s="27" t="n">
        <f aca="false">IF(AND(LEFT(D6,4)="I - ",ISNUMBER(B6),C6&lt;&gt;""),SUMIFS($E$6:$E$505,$C$6:$C$505,C6,$D$6:$D$505,D6,$B$6:$B$505,"&gt;"&amp;(B6-1),$B$6:$B$505,"&lt;="&amp;B6),0)</f>
        <v>0</v>
      </c>
      <c r="AX6" s="0" t="str">
        <f aca="false">IF(E6="","",IF(AD6="Siempre","AVISO (siempre)",IF(AD6="No aplica","Sin Aviso (sólo preparas: Ley 17 XI)",IF(NOT(ISNUMBER(AE6)),"",IF(AA6&lt;&gt;"ACUMULA",IF(E6&gt;=AE6,IF(AND(D6="XVI - Activos virtuales (PSAV): cobro de contraprestación (comisión) por el servicio",COUNTIFS($C$6:$C$505,C6,$B$6:$B$505,"&gt;="&amp;INT(B6),$B$6:$B$505,"&lt;"&amp;(INT(B6)+1),$AU$6:$AU$505,1)&gt;0),"En el Aviso del inciso a) (R 31 Bis)","AVISO"),"—"),IF(M6&lt;&gt;"Sí","—",IF(AK6&gt;=AE6,IF(AK6=E6,"AVISO","AVISO (acumulado)"),"Acumulando")))))))</f>
        <v>Acumulando</v>
      </c>
    </row>
    <row r="7" customFormat="false" ht="15" hidden="false" customHeight="false" outlineLevel="0" collapsed="false">
      <c r="A7" s="9" t="str">
        <f aca="false">IF(E7="","",ROW()-5)</f>
        <v/>
      </c>
      <c r="B7" s="20"/>
      <c r="C7" s="21"/>
      <c r="D7" s="21"/>
      <c r="E7" s="22"/>
      <c r="F7" s="22"/>
      <c r="G7" s="21"/>
      <c r="H7" s="21"/>
      <c r="I7" s="9" t="str">
        <f aca="false">IF(C7="","",IFERROR(INDEX(CLIENTES!$B$6:$B$305,MATCH(C7,CLIENTES!$A$6:$A$305,0)),"⚠ ID no registrado"))</f>
        <v/>
      </c>
      <c r="J7" s="9" t="str">
        <f aca="false">IF(C7="","",IFERROR(INDEX(CLIENTES!$Z$6:$Z$305,MATCH(C7,CLIENTES!$A$6:$A$305,0)),""))</f>
        <v/>
      </c>
      <c r="K7" s="9" t="str">
        <f aca="false">IF(E7="","",IF(AB7="Siempre","Sí",IF(ISNUMBER(AC7),IF(E7&gt;=AC7,"Sí",IF(AW7&gt;=AC7,"Sí (serie 24 h)","No")),"")))</f>
        <v/>
      </c>
      <c r="L7" s="9" t="str">
        <f aca="false">IF(E7="","",AA7)</f>
        <v/>
      </c>
      <c r="M7" s="9" t="str">
        <f aca="false">IF(E7="","",IF(AA7&lt;&gt;"ACUMULA","No aplica",IF(LEFT(K7,2)="Sí","Sí","No")))</f>
        <v/>
      </c>
      <c r="N7" s="23" t="str">
        <f aca="false">IF(M7="Sí",AJ7,"")</f>
        <v/>
      </c>
      <c r="O7" s="24" t="str">
        <f aca="false">IF(M7="Sí",AK7,"")</f>
        <v/>
      </c>
      <c r="P7" s="25" t="str">
        <f aca="false">IF(AND(LEFT(D7,6)="XIV - ",LEFT(AX7,5)="AVISO"),"Pedimento (R 16): no va al SPPLD",AX7)</f>
        <v/>
      </c>
      <c r="Q7" s="23" t="str">
        <f aca="false">IF(LEFT(P7,5)="AVISO",IF(ISNUMBER(B7),DATE(YEAR(B7),MONTH(B7)+1,17),"Falta fecha"),"")</f>
        <v/>
      </c>
      <c r="R7" s="9" t="str">
        <f aca="false">IF(OR(F7="",F7=0),"",IF(ISNUMBER(AG7),IF(F7&gt;=AG7,"PROHIBIDO","Dentro del límite"),"No aplica"))</f>
        <v/>
      </c>
      <c r="S7" s="26" t="str">
        <f aca="false">IF(E7="","",MID(IF(AQ7=1," · Excede el perfil declarado","")&amp;IF(H7="Sí"," · Paga un tercero","")&amp;IF(J7="Alto"," · Cliente de riesgo alto: DDR (RCG 23 Ter 3 y 4)","")&amp;IF(AND(AS7&lt;&gt;"",AS7&lt;&gt;"No",AS7&lt;&gt;0)," · PEP","")&amp;IF(R7="PROHIBIDO"," · Efectivo prohibido: no lo recibas (Art. 32)","")&amp;IF(AR7=1," · ⚠ Fecha fuera de orden","")&amp;IF(LEFT(I7,1)="⚠"," · ⚠ Cliente no registrado","")&amp;IF(D7=""," · ⚠ Falta la actividad","")&amp;IF(AND(LEFT(P7,5)="AVISO",W7="")," · Captura la cifra total con IVA para el Aviso","")&amp;IF(AND(ISNUMBER(W7),W7&lt;E7)," · ⚠ La cifra con IVA es menor que el monto sin IVA",""),4,400))</f>
        <v/>
      </c>
      <c r="T7" s="21"/>
      <c r="U7" s="20"/>
      <c r="V7" s="9" t="str">
        <f aca="false">IF(LEFT(P7,5)&lt;&gt;"AVISO","",IF(T7="Presentado",IF(AND(ISNUMBER(U7),ISNUMBER(Q7),U7&gt;Q7),"Presentado tarde","Presentado"),IF(NOT(ISNUMBER(Q7)),"Falta fecha",IF(Q7&lt;CONFIG!$B$6,"VENCIDO","Vence en "&amp;(Q7-CONFIG!$B$6)&amp;" días"))))</f>
        <v/>
      </c>
      <c r="W7" s="22"/>
      <c r="X7" s="21"/>
      <c r="AA7" s="0" t="str">
        <f aca="false">IF(AM7="","",INDEX(CATÁLOGO!$D$5:$D$39,AM7))</f>
        <v/>
      </c>
      <c r="AB7" s="0" t="str">
        <f aca="false">IF(AM7="","",INDEX(CATÁLOGO!$E$5:$E$39,AM7))</f>
        <v/>
      </c>
      <c r="AC7" s="0" t="str">
        <f aca="false">IF(AB7="","",IF(ISNUMBER(AB7),AB7*AV7,AB7))</f>
        <v/>
      </c>
      <c r="AD7" s="0" t="str">
        <f aca="false">IF(AM7="","",INDEX(CATÁLOGO!$F$5:$F$39,AM7))</f>
        <v/>
      </c>
      <c r="AE7" s="0" t="str">
        <f aca="false">IF(AD7="","",IF(ISNUMBER(AD7),AD7*AV7,AD7))</f>
        <v/>
      </c>
      <c r="AF7" s="0" t="str">
        <f aca="false">IF(AM7="","",INDEX(CATÁLOGO!$G$5:$G$39,AM7))</f>
        <v/>
      </c>
      <c r="AG7" s="0" t="str">
        <f aca="false">IF(AF7="","",IF(ISNUMBER(AF7),AF7*AV7,AF7))</f>
        <v/>
      </c>
      <c r="AH7" s="0" t="str">
        <f aca="false">IF(E7="","",C7&amp;"|"&amp;D7)</f>
        <v/>
      </c>
      <c r="AI7" s="27" t="n">
        <f aca="false">IF(M7&lt;&gt;"Sí",0,SUMPRODUCT(MAX(($AH$5:AH6=AH7)*($M$5:M6="Sí")*ROW($AH$5:AH6))))</f>
        <v>0</v>
      </c>
      <c r="AJ7" s="0" t="str">
        <f aca="false">IF(M7&lt;&gt;"Sí","",IF(AL7=1,B7,INDEX($AJ:$AJ,AI7)))</f>
        <v/>
      </c>
      <c r="AK7" s="0" t="str">
        <f aca="false">IF(M7&lt;&gt;"Sí","",IF(AL7=1,E7,INDEX($AK:$AK,AI7)+E7))</f>
        <v/>
      </c>
      <c r="AL7" s="0" t="str">
        <f aca="false">IF(M7&lt;&gt;"Sí","",IF(AI7=0,1,IF(INDEX($AN:$AN,AI7)=0,1,IF(B7&gt;=EDATE(INDEX($AJ:$AJ,AI7),6),1,0))))</f>
        <v/>
      </c>
      <c r="AM7" s="0" t="str">
        <f aca="false">IF(D7="","",IFERROR(MATCH(D7,CATÁLOGO!$C$5:$C$39,0),""))</f>
        <v/>
      </c>
      <c r="AN7" s="0" t="str">
        <f aca="false">IF(M7&lt;&gt;"Sí","",IF(AND(ISNUMBER(AE7),AK7&gt;=AE7),0,1))</f>
        <v/>
      </c>
      <c r="AO7" s="0" t="str">
        <f aca="false">IF(OR(E7="",C7="",NOT(ISNUMBER(B7))),"",SUMIFS($E$6:$E$505,$C$6:$C$505,C7,$B$6:$B$505,"&gt;="&amp;DATE(YEAR(B7),MONTH(B7),1),$B$6:$B$505,"&lt;"&amp;DATE(YEAR(B7),MONTH(B7)+1,1)))</f>
        <v/>
      </c>
      <c r="AP7" s="0" t="str">
        <f aca="false">IF(C7="","",IFERROR(INDEX(CLIENTES!$M$6:$M$305,MATCH(C7,CLIENTES!$A$6:$A$305,0)),""))</f>
        <v/>
      </c>
      <c r="AQ7" s="27" t="n">
        <f aca="false">IF(AND(ISNUMBER(AO7),ISNUMBER(AP7)),IF(AND(AP7&gt;0,AO7&gt;AP7),1,0),0)</f>
        <v>0</v>
      </c>
      <c r="AR7" s="27" t="n">
        <f aca="false">IF(NOT(ISNUMBER(B7)),0,IF(B7&lt;MAX($B$5:B6),1,0))</f>
        <v>0</v>
      </c>
      <c r="AS7" s="0" t="str">
        <f aca="false">IF(C7="","",IFERROR(INDEX(CLIENTES!$H$6:$H$305,MATCH(C7,CLIENTES!$A$6:$A$305,0)),""))</f>
        <v/>
      </c>
      <c r="AT7" s="0" t="str">
        <f aca="false">IF(AND(LEFT(P7,5)="AVISO",T7&lt;&gt;"Presentado",ISNUMBER(Q7)),Q7,"")</f>
        <v/>
      </c>
      <c r="AU7" s="27" t="n">
        <f aca="false">IF(AND(D7="XVI - Activos virtuales (PSAV): operación de intercambio/transferencia",M7="Sí",ISNUMBER(AE7)),IF(AK7&gt;=AE7,1,0),0)</f>
        <v>0</v>
      </c>
      <c r="AV7" s="30" t="n">
        <f aca="false">IF(NOT(ISNUMBER(B7)),CONFIG!$B$4,IFERROR(INDEX(CONFIG!$I$5:$I$14,MATCH(IF(MONTH(B7)=1,YEAR(B7)-1,YEAR(B7)),CONFIG!$H$5:$H$14,0)),CONFIG!$B$4))</f>
        <v>117.31</v>
      </c>
      <c r="AW7" s="27" t="n">
        <f aca="false">IF(AND(LEFT(D7,4)="I - ",ISNUMBER(B7),C7&lt;&gt;""),SUMIFS($E$6:$E$505,$C$6:$C$505,C7,$D$6:$D$505,D7,$B$6:$B$505,"&gt;"&amp;(B7-1),$B$6:$B$505,"&lt;="&amp;B7),0)</f>
        <v>0</v>
      </c>
      <c r="AX7" s="0" t="str">
        <f aca="false">IF(E7="","",IF(AD7="Siempre","AVISO (siempre)",IF(AD7="No aplica","Sin Aviso (sólo preparas: Ley 17 XI)",IF(NOT(ISNUMBER(AE7)),"",IF(AA7&lt;&gt;"ACUMULA",IF(E7&gt;=AE7,IF(AND(D7="XVI - Activos virtuales (PSAV): cobro de contraprestación (comisión) por el servicio",COUNTIFS($C$6:$C$505,C7,$B$6:$B$505,"&gt;="&amp;INT(B7),$B$6:$B$505,"&lt;"&amp;(INT(B7)+1),$AU$6:$AU$505,1)&gt;0),"En el Aviso del inciso a) (R 31 Bis)","AVISO"),"—"),IF(M7&lt;&gt;"Sí","—",IF(AK7&gt;=AE7,IF(AK7=E7,"AVISO","AVISO (acumulado)"),"Acumulando")))))))</f>
        <v/>
      </c>
    </row>
    <row r="8" customFormat="false" ht="15" hidden="false" customHeight="false" outlineLevel="0" collapsed="false">
      <c r="A8" s="9" t="str">
        <f aca="false">IF(E8="","",ROW()-5)</f>
        <v/>
      </c>
      <c r="B8" s="20"/>
      <c r="C8" s="21"/>
      <c r="D8" s="21"/>
      <c r="E8" s="22"/>
      <c r="F8" s="22"/>
      <c r="G8" s="21"/>
      <c r="H8" s="21"/>
      <c r="I8" s="9" t="str">
        <f aca="false">IF(C8="","",IFERROR(INDEX(CLIENTES!$B$6:$B$305,MATCH(C8,CLIENTES!$A$6:$A$305,0)),"⚠ ID no registrado"))</f>
        <v/>
      </c>
      <c r="J8" s="9" t="str">
        <f aca="false">IF(C8="","",IFERROR(INDEX(CLIENTES!$Z$6:$Z$305,MATCH(C8,CLIENTES!$A$6:$A$305,0)),""))</f>
        <v/>
      </c>
      <c r="K8" s="9" t="str">
        <f aca="false">IF(E8="","",IF(AB8="Siempre","Sí",IF(ISNUMBER(AC8),IF(E8&gt;=AC8,"Sí",IF(AW8&gt;=AC8,"Sí (serie 24 h)","No")),"")))</f>
        <v/>
      </c>
      <c r="L8" s="9" t="str">
        <f aca="false">IF(E8="","",AA8)</f>
        <v/>
      </c>
      <c r="M8" s="9" t="str">
        <f aca="false">IF(E8="","",IF(AA8&lt;&gt;"ACUMULA","No aplica",IF(LEFT(K8,2)="Sí","Sí","No")))</f>
        <v/>
      </c>
      <c r="N8" s="23" t="str">
        <f aca="false">IF(M8="Sí",AJ8,"")</f>
        <v/>
      </c>
      <c r="O8" s="24" t="str">
        <f aca="false">IF(M8="Sí",AK8,"")</f>
        <v/>
      </c>
      <c r="P8" s="25" t="str">
        <f aca="false">IF(AND(LEFT(D8,6)="XIV - ",LEFT(AX8,5)="AVISO"),"Pedimento (R 16): no va al SPPLD",AX8)</f>
        <v/>
      </c>
      <c r="Q8" s="23" t="str">
        <f aca="false">IF(LEFT(P8,5)="AVISO",IF(ISNUMBER(B8),DATE(YEAR(B8),MONTH(B8)+1,17),"Falta fecha"),"")</f>
        <v/>
      </c>
      <c r="R8" s="9" t="str">
        <f aca="false">IF(OR(F8="",F8=0),"",IF(ISNUMBER(AG8),IF(F8&gt;=AG8,"PROHIBIDO","Dentro del límite"),"No aplica"))</f>
        <v/>
      </c>
      <c r="S8" s="26" t="str">
        <f aca="false">IF(E8="","",MID(IF(AQ8=1," · Excede el perfil declarado","")&amp;IF(H8="Sí"," · Paga un tercero","")&amp;IF(J8="Alto"," · Cliente de riesgo alto: DDR (RCG 23 Ter 3 y 4)","")&amp;IF(AND(AS8&lt;&gt;"",AS8&lt;&gt;"No",AS8&lt;&gt;0)," · PEP","")&amp;IF(R8="PROHIBIDO"," · Efectivo prohibido: no lo recibas (Art. 32)","")&amp;IF(AR8=1," · ⚠ Fecha fuera de orden","")&amp;IF(LEFT(I8,1)="⚠"," · ⚠ Cliente no registrado","")&amp;IF(D8=""," · ⚠ Falta la actividad","")&amp;IF(AND(LEFT(P8,5)="AVISO",W8="")," · Captura la cifra total con IVA para el Aviso","")&amp;IF(AND(ISNUMBER(W8),W8&lt;E8)," · ⚠ La cifra con IVA es menor que el monto sin IVA",""),4,400))</f>
        <v/>
      </c>
      <c r="T8" s="21"/>
      <c r="U8" s="20"/>
      <c r="V8" s="9" t="str">
        <f aca="false">IF(LEFT(P8,5)&lt;&gt;"AVISO","",IF(T8="Presentado",IF(AND(ISNUMBER(U8),ISNUMBER(Q8),U8&gt;Q8),"Presentado tarde","Presentado"),IF(NOT(ISNUMBER(Q8)),"Falta fecha",IF(Q8&lt;CONFIG!$B$6,"VENCIDO","Vence en "&amp;(Q8-CONFIG!$B$6)&amp;" días"))))</f>
        <v/>
      </c>
      <c r="W8" s="22"/>
      <c r="X8" s="21"/>
      <c r="AA8" s="0" t="str">
        <f aca="false">IF(AM8="","",INDEX(CATÁLOGO!$D$5:$D$39,AM8))</f>
        <v/>
      </c>
      <c r="AB8" s="0" t="str">
        <f aca="false">IF(AM8="","",INDEX(CATÁLOGO!$E$5:$E$39,AM8))</f>
        <v/>
      </c>
      <c r="AC8" s="0" t="str">
        <f aca="false">IF(AB8="","",IF(ISNUMBER(AB8),AB8*AV8,AB8))</f>
        <v/>
      </c>
      <c r="AD8" s="0" t="str">
        <f aca="false">IF(AM8="","",INDEX(CATÁLOGO!$F$5:$F$39,AM8))</f>
        <v/>
      </c>
      <c r="AE8" s="0" t="str">
        <f aca="false">IF(AD8="","",IF(ISNUMBER(AD8),AD8*AV8,AD8))</f>
        <v/>
      </c>
      <c r="AF8" s="0" t="str">
        <f aca="false">IF(AM8="","",INDEX(CATÁLOGO!$G$5:$G$39,AM8))</f>
        <v/>
      </c>
      <c r="AG8" s="0" t="str">
        <f aca="false">IF(AF8="","",IF(ISNUMBER(AF8),AF8*AV8,AF8))</f>
        <v/>
      </c>
      <c r="AH8" s="0" t="str">
        <f aca="false">IF(E8="","",C8&amp;"|"&amp;D8)</f>
        <v/>
      </c>
      <c r="AI8" s="27" t="n">
        <f aca="false">IF(M8&lt;&gt;"Sí",0,SUMPRODUCT(MAX(($AH$5:AH7=AH8)*($M$5:M7="Sí")*ROW($AH$5:AH7))))</f>
        <v>0</v>
      </c>
      <c r="AJ8" s="0" t="str">
        <f aca="false">IF(M8&lt;&gt;"Sí","",IF(AL8=1,B8,INDEX($AJ:$AJ,AI8)))</f>
        <v/>
      </c>
      <c r="AK8" s="0" t="str">
        <f aca="false">IF(M8&lt;&gt;"Sí","",IF(AL8=1,E8,INDEX($AK:$AK,AI8)+E8))</f>
        <v/>
      </c>
      <c r="AL8" s="0" t="str">
        <f aca="false">IF(M8&lt;&gt;"Sí","",IF(AI8=0,1,IF(INDEX($AN:$AN,AI8)=0,1,IF(B8&gt;=EDATE(INDEX($AJ:$AJ,AI8),6),1,0))))</f>
        <v/>
      </c>
      <c r="AM8" s="0" t="str">
        <f aca="false">IF(D8="","",IFERROR(MATCH(D8,CATÁLOGO!$C$5:$C$39,0),""))</f>
        <v/>
      </c>
      <c r="AN8" s="0" t="str">
        <f aca="false">IF(M8&lt;&gt;"Sí","",IF(AND(ISNUMBER(AE8),AK8&gt;=AE8),0,1))</f>
        <v/>
      </c>
      <c r="AO8" s="0" t="str">
        <f aca="false">IF(OR(E8="",C8="",NOT(ISNUMBER(B8))),"",SUMIFS($E$6:$E$505,$C$6:$C$505,C8,$B$6:$B$505,"&gt;="&amp;DATE(YEAR(B8),MONTH(B8),1),$B$6:$B$505,"&lt;"&amp;DATE(YEAR(B8),MONTH(B8)+1,1)))</f>
        <v/>
      </c>
      <c r="AP8" s="0" t="str">
        <f aca="false">IF(C8="","",IFERROR(INDEX(CLIENTES!$M$6:$M$305,MATCH(C8,CLIENTES!$A$6:$A$305,0)),""))</f>
        <v/>
      </c>
      <c r="AQ8" s="27" t="n">
        <f aca="false">IF(AND(ISNUMBER(AO8),ISNUMBER(AP8)),IF(AND(AP8&gt;0,AO8&gt;AP8),1,0),0)</f>
        <v>0</v>
      </c>
      <c r="AR8" s="27" t="n">
        <f aca="false">IF(NOT(ISNUMBER(B8)),0,IF(B8&lt;MAX($B$5:B7),1,0))</f>
        <v>0</v>
      </c>
      <c r="AS8" s="0" t="str">
        <f aca="false">IF(C8="","",IFERROR(INDEX(CLIENTES!$H$6:$H$305,MATCH(C8,CLIENTES!$A$6:$A$305,0)),""))</f>
        <v/>
      </c>
      <c r="AT8" s="0" t="str">
        <f aca="false">IF(AND(LEFT(P8,5)="AVISO",T8&lt;&gt;"Presentado",ISNUMBER(Q8)),Q8,"")</f>
        <v/>
      </c>
      <c r="AU8" s="27" t="n">
        <f aca="false">IF(AND(D8="XVI - Activos virtuales (PSAV): operación de intercambio/transferencia",M8="Sí",ISNUMBER(AE8)),IF(AK8&gt;=AE8,1,0),0)</f>
        <v>0</v>
      </c>
      <c r="AV8" s="30" t="n">
        <f aca="false">IF(NOT(ISNUMBER(B8)),CONFIG!$B$4,IFERROR(INDEX(CONFIG!$I$5:$I$14,MATCH(IF(MONTH(B8)=1,YEAR(B8)-1,YEAR(B8)),CONFIG!$H$5:$H$14,0)),CONFIG!$B$4))</f>
        <v>117.31</v>
      </c>
      <c r="AW8" s="27" t="n">
        <f aca="false">IF(AND(LEFT(D8,4)="I - ",ISNUMBER(B8),C8&lt;&gt;""),SUMIFS($E$6:$E$505,$C$6:$C$505,C8,$D$6:$D$505,D8,$B$6:$B$505,"&gt;"&amp;(B8-1),$B$6:$B$505,"&lt;="&amp;B8),0)</f>
        <v>0</v>
      </c>
      <c r="AX8" s="0" t="str">
        <f aca="false">IF(E8="","",IF(AD8="Siempre","AVISO (siempre)",IF(AD8="No aplica","Sin Aviso (sólo preparas: Ley 17 XI)",IF(NOT(ISNUMBER(AE8)),"",IF(AA8&lt;&gt;"ACUMULA",IF(E8&gt;=AE8,IF(AND(D8="XVI - Activos virtuales (PSAV): cobro de contraprestación (comisión) por el servicio",COUNTIFS($C$6:$C$505,C8,$B$6:$B$505,"&gt;="&amp;INT(B8),$B$6:$B$505,"&lt;"&amp;(INT(B8)+1),$AU$6:$AU$505,1)&gt;0),"En el Aviso del inciso a) (R 31 Bis)","AVISO"),"—"),IF(M8&lt;&gt;"Sí","—",IF(AK8&gt;=AE8,IF(AK8=E8,"AVISO","AVISO (acumulado)"),"Acumulando")))))))</f>
        <v/>
      </c>
    </row>
    <row r="9" customFormat="false" ht="15" hidden="false" customHeight="false" outlineLevel="0" collapsed="false">
      <c r="A9" s="9" t="str">
        <f aca="false">IF(E9="","",ROW()-5)</f>
        <v/>
      </c>
      <c r="B9" s="20"/>
      <c r="C9" s="21"/>
      <c r="D9" s="21"/>
      <c r="E9" s="22"/>
      <c r="F9" s="22"/>
      <c r="G9" s="21"/>
      <c r="H9" s="21"/>
      <c r="I9" s="9" t="str">
        <f aca="false">IF(C9="","",IFERROR(INDEX(CLIENTES!$B$6:$B$305,MATCH(C9,CLIENTES!$A$6:$A$305,0)),"⚠ ID no registrado"))</f>
        <v/>
      </c>
      <c r="J9" s="9" t="str">
        <f aca="false">IF(C9="","",IFERROR(INDEX(CLIENTES!$Z$6:$Z$305,MATCH(C9,CLIENTES!$A$6:$A$305,0)),""))</f>
        <v/>
      </c>
      <c r="K9" s="9" t="str">
        <f aca="false">IF(E9="","",IF(AB9="Siempre","Sí",IF(ISNUMBER(AC9),IF(E9&gt;=AC9,"Sí",IF(AW9&gt;=AC9,"Sí (serie 24 h)","No")),"")))</f>
        <v/>
      </c>
      <c r="L9" s="9" t="str">
        <f aca="false">IF(E9="","",AA9)</f>
        <v/>
      </c>
      <c r="M9" s="9" t="str">
        <f aca="false">IF(E9="","",IF(AA9&lt;&gt;"ACUMULA","No aplica",IF(LEFT(K9,2)="Sí","Sí","No")))</f>
        <v/>
      </c>
      <c r="N9" s="23" t="str">
        <f aca="false">IF(M9="Sí",AJ9,"")</f>
        <v/>
      </c>
      <c r="O9" s="24" t="str">
        <f aca="false">IF(M9="Sí",AK9,"")</f>
        <v/>
      </c>
      <c r="P9" s="25" t="str">
        <f aca="false">IF(AND(LEFT(D9,6)="XIV - ",LEFT(AX9,5)="AVISO"),"Pedimento (R 16): no va al SPPLD",AX9)</f>
        <v/>
      </c>
      <c r="Q9" s="23" t="str">
        <f aca="false">IF(LEFT(P9,5)="AVISO",IF(ISNUMBER(B9),DATE(YEAR(B9),MONTH(B9)+1,17),"Falta fecha"),"")</f>
        <v/>
      </c>
      <c r="R9" s="9" t="str">
        <f aca="false">IF(OR(F9="",F9=0),"",IF(ISNUMBER(AG9),IF(F9&gt;=AG9,"PROHIBIDO","Dentro del límite"),"No aplica"))</f>
        <v/>
      </c>
      <c r="S9" s="26" t="str">
        <f aca="false">IF(E9="","",MID(IF(AQ9=1," · Excede el perfil declarado","")&amp;IF(H9="Sí"," · Paga un tercero","")&amp;IF(J9="Alto"," · Cliente de riesgo alto: DDR (RCG 23 Ter 3 y 4)","")&amp;IF(AND(AS9&lt;&gt;"",AS9&lt;&gt;"No",AS9&lt;&gt;0)," · PEP","")&amp;IF(R9="PROHIBIDO"," · Efectivo prohibido: no lo recibas (Art. 32)","")&amp;IF(AR9=1," · ⚠ Fecha fuera de orden","")&amp;IF(LEFT(I9,1)="⚠"," · ⚠ Cliente no registrado","")&amp;IF(D9=""," · ⚠ Falta la actividad","")&amp;IF(AND(LEFT(P9,5)="AVISO",W9="")," · Captura la cifra total con IVA para el Aviso","")&amp;IF(AND(ISNUMBER(W9),W9&lt;E9)," · ⚠ La cifra con IVA es menor que el monto sin IVA",""),4,400))</f>
        <v/>
      </c>
      <c r="T9" s="21"/>
      <c r="U9" s="20"/>
      <c r="V9" s="9" t="str">
        <f aca="false">IF(LEFT(P9,5)&lt;&gt;"AVISO","",IF(T9="Presentado",IF(AND(ISNUMBER(U9),ISNUMBER(Q9),U9&gt;Q9),"Presentado tarde","Presentado"),IF(NOT(ISNUMBER(Q9)),"Falta fecha",IF(Q9&lt;CONFIG!$B$6,"VENCIDO","Vence en "&amp;(Q9-CONFIG!$B$6)&amp;" días"))))</f>
        <v/>
      </c>
      <c r="W9" s="22"/>
      <c r="X9" s="21"/>
      <c r="AA9" s="0" t="str">
        <f aca="false">IF(AM9="","",INDEX(CATÁLOGO!$D$5:$D$39,AM9))</f>
        <v/>
      </c>
      <c r="AB9" s="0" t="str">
        <f aca="false">IF(AM9="","",INDEX(CATÁLOGO!$E$5:$E$39,AM9))</f>
        <v/>
      </c>
      <c r="AC9" s="0" t="str">
        <f aca="false">IF(AB9="","",IF(ISNUMBER(AB9),AB9*AV9,AB9))</f>
        <v/>
      </c>
      <c r="AD9" s="0" t="str">
        <f aca="false">IF(AM9="","",INDEX(CATÁLOGO!$F$5:$F$39,AM9))</f>
        <v/>
      </c>
      <c r="AE9" s="0" t="str">
        <f aca="false">IF(AD9="","",IF(ISNUMBER(AD9),AD9*AV9,AD9))</f>
        <v/>
      </c>
      <c r="AF9" s="0" t="str">
        <f aca="false">IF(AM9="","",INDEX(CATÁLOGO!$G$5:$G$39,AM9))</f>
        <v/>
      </c>
      <c r="AG9" s="0" t="str">
        <f aca="false">IF(AF9="","",IF(ISNUMBER(AF9),AF9*AV9,AF9))</f>
        <v/>
      </c>
      <c r="AH9" s="0" t="str">
        <f aca="false">IF(E9="","",C9&amp;"|"&amp;D9)</f>
        <v/>
      </c>
      <c r="AI9" s="27" t="n">
        <f aca="false">IF(M9&lt;&gt;"Sí",0,SUMPRODUCT(MAX(($AH$5:AH8=AH9)*($M$5:M8="Sí")*ROW($AH$5:AH8))))</f>
        <v>0</v>
      </c>
      <c r="AJ9" s="0" t="str">
        <f aca="false">IF(M9&lt;&gt;"Sí","",IF(AL9=1,B9,INDEX($AJ:$AJ,AI9)))</f>
        <v/>
      </c>
      <c r="AK9" s="0" t="str">
        <f aca="false">IF(M9&lt;&gt;"Sí","",IF(AL9=1,E9,INDEX($AK:$AK,AI9)+E9))</f>
        <v/>
      </c>
      <c r="AL9" s="0" t="str">
        <f aca="false">IF(M9&lt;&gt;"Sí","",IF(AI9=0,1,IF(INDEX($AN:$AN,AI9)=0,1,IF(B9&gt;=EDATE(INDEX($AJ:$AJ,AI9),6),1,0))))</f>
        <v/>
      </c>
      <c r="AM9" s="0" t="str">
        <f aca="false">IF(D9="","",IFERROR(MATCH(D9,CATÁLOGO!$C$5:$C$39,0),""))</f>
        <v/>
      </c>
      <c r="AN9" s="0" t="str">
        <f aca="false">IF(M9&lt;&gt;"Sí","",IF(AND(ISNUMBER(AE9),AK9&gt;=AE9),0,1))</f>
        <v/>
      </c>
      <c r="AO9" s="0" t="str">
        <f aca="false">IF(OR(E9="",C9="",NOT(ISNUMBER(B9))),"",SUMIFS($E$6:$E$505,$C$6:$C$505,C9,$B$6:$B$505,"&gt;="&amp;DATE(YEAR(B9),MONTH(B9),1),$B$6:$B$505,"&lt;"&amp;DATE(YEAR(B9),MONTH(B9)+1,1)))</f>
        <v/>
      </c>
      <c r="AP9" s="0" t="str">
        <f aca="false">IF(C9="","",IFERROR(INDEX(CLIENTES!$M$6:$M$305,MATCH(C9,CLIENTES!$A$6:$A$305,0)),""))</f>
        <v/>
      </c>
      <c r="AQ9" s="27" t="n">
        <f aca="false">IF(AND(ISNUMBER(AO9),ISNUMBER(AP9)),IF(AND(AP9&gt;0,AO9&gt;AP9),1,0),0)</f>
        <v>0</v>
      </c>
      <c r="AR9" s="27" t="n">
        <f aca="false">IF(NOT(ISNUMBER(B9)),0,IF(B9&lt;MAX($B$5:B8),1,0))</f>
        <v>0</v>
      </c>
      <c r="AS9" s="0" t="str">
        <f aca="false">IF(C9="","",IFERROR(INDEX(CLIENTES!$H$6:$H$305,MATCH(C9,CLIENTES!$A$6:$A$305,0)),""))</f>
        <v/>
      </c>
      <c r="AT9" s="0" t="str">
        <f aca="false">IF(AND(LEFT(P9,5)="AVISO",T9&lt;&gt;"Presentado",ISNUMBER(Q9)),Q9,"")</f>
        <v/>
      </c>
      <c r="AU9" s="27" t="n">
        <f aca="false">IF(AND(D9="XVI - Activos virtuales (PSAV): operación de intercambio/transferencia",M9="Sí",ISNUMBER(AE9)),IF(AK9&gt;=AE9,1,0),0)</f>
        <v>0</v>
      </c>
      <c r="AV9" s="30" t="n">
        <f aca="false">IF(NOT(ISNUMBER(B9)),CONFIG!$B$4,IFERROR(INDEX(CONFIG!$I$5:$I$14,MATCH(IF(MONTH(B9)=1,YEAR(B9)-1,YEAR(B9)),CONFIG!$H$5:$H$14,0)),CONFIG!$B$4))</f>
        <v>117.31</v>
      </c>
      <c r="AW9" s="27" t="n">
        <f aca="false">IF(AND(LEFT(D9,4)="I - ",ISNUMBER(B9),C9&lt;&gt;""),SUMIFS($E$6:$E$505,$C$6:$C$505,C9,$D$6:$D$505,D9,$B$6:$B$505,"&gt;"&amp;(B9-1),$B$6:$B$505,"&lt;="&amp;B9),0)</f>
        <v>0</v>
      </c>
      <c r="AX9" s="0" t="str">
        <f aca="false">IF(E9="","",IF(AD9="Siempre","AVISO (siempre)",IF(AD9="No aplica","Sin Aviso (sólo preparas: Ley 17 XI)",IF(NOT(ISNUMBER(AE9)),"",IF(AA9&lt;&gt;"ACUMULA",IF(E9&gt;=AE9,IF(AND(D9="XVI - Activos virtuales (PSAV): cobro de contraprestación (comisión) por el servicio",COUNTIFS($C$6:$C$505,C9,$B$6:$B$505,"&gt;="&amp;INT(B9),$B$6:$B$505,"&lt;"&amp;(INT(B9)+1),$AU$6:$AU$505,1)&gt;0),"En el Aviso del inciso a) (R 31 Bis)","AVISO"),"—"),IF(M9&lt;&gt;"Sí","—",IF(AK9&gt;=AE9,IF(AK9=E9,"AVISO","AVISO (acumulado)"),"Acumulando")))))))</f>
        <v/>
      </c>
    </row>
    <row r="10" customFormat="false" ht="15" hidden="false" customHeight="false" outlineLevel="0" collapsed="false">
      <c r="A10" s="9" t="str">
        <f aca="false">IF(E10="","",ROW()-5)</f>
        <v/>
      </c>
      <c r="B10" s="20"/>
      <c r="C10" s="21"/>
      <c r="D10" s="21"/>
      <c r="E10" s="22"/>
      <c r="F10" s="22"/>
      <c r="G10" s="21"/>
      <c r="H10" s="21"/>
      <c r="I10" s="9" t="str">
        <f aca="false">IF(C10="","",IFERROR(INDEX(CLIENTES!$B$6:$B$305,MATCH(C10,CLIENTES!$A$6:$A$305,0)),"⚠ ID no registrado"))</f>
        <v/>
      </c>
      <c r="J10" s="9" t="str">
        <f aca="false">IF(C10="","",IFERROR(INDEX(CLIENTES!$Z$6:$Z$305,MATCH(C10,CLIENTES!$A$6:$A$305,0)),""))</f>
        <v/>
      </c>
      <c r="K10" s="9" t="str">
        <f aca="false">IF(E10="","",IF(AB10="Siempre","Sí",IF(ISNUMBER(AC10),IF(E10&gt;=AC10,"Sí",IF(AW10&gt;=AC10,"Sí (serie 24 h)","No")),"")))</f>
        <v/>
      </c>
      <c r="L10" s="9" t="str">
        <f aca="false">IF(E10="","",AA10)</f>
        <v/>
      </c>
      <c r="M10" s="9" t="str">
        <f aca="false">IF(E10="","",IF(AA10&lt;&gt;"ACUMULA","No aplica",IF(LEFT(K10,2)="Sí","Sí","No")))</f>
        <v/>
      </c>
      <c r="N10" s="23" t="str">
        <f aca="false">IF(M10="Sí",AJ10,"")</f>
        <v/>
      </c>
      <c r="O10" s="24" t="str">
        <f aca="false">IF(M10="Sí",AK10,"")</f>
        <v/>
      </c>
      <c r="P10" s="25" t="str">
        <f aca="false">IF(AND(LEFT(D10,6)="XIV - ",LEFT(AX10,5)="AVISO"),"Pedimento (R 16): no va al SPPLD",AX10)</f>
        <v/>
      </c>
      <c r="Q10" s="23" t="str">
        <f aca="false">IF(LEFT(P10,5)="AVISO",IF(ISNUMBER(B10),DATE(YEAR(B10),MONTH(B10)+1,17),"Falta fecha"),"")</f>
        <v/>
      </c>
      <c r="R10" s="9" t="str">
        <f aca="false">IF(OR(F10="",F10=0),"",IF(ISNUMBER(AG10),IF(F10&gt;=AG10,"PROHIBIDO","Dentro del límite"),"No aplica"))</f>
        <v/>
      </c>
      <c r="S10" s="26" t="str">
        <f aca="false">IF(E10="","",MID(IF(AQ10=1," · Excede el perfil declarado","")&amp;IF(H10="Sí"," · Paga un tercero","")&amp;IF(J10="Alto"," · Cliente de riesgo alto: DDR (RCG 23 Ter 3 y 4)","")&amp;IF(AND(AS10&lt;&gt;"",AS10&lt;&gt;"No",AS10&lt;&gt;0)," · PEP","")&amp;IF(R10="PROHIBIDO"," · Efectivo prohibido: no lo recibas (Art. 32)","")&amp;IF(AR10=1," · ⚠ Fecha fuera de orden","")&amp;IF(LEFT(I10,1)="⚠"," · ⚠ Cliente no registrado","")&amp;IF(D10=""," · ⚠ Falta la actividad","")&amp;IF(AND(LEFT(P10,5)="AVISO",W10="")," · Captura la cifra total con IVA para el Aviso","")&amp;IF(AND(ISNUMBER(W10),W10&lt;E10)," · ⚠ La cifra con IVA es menor que el monto sin IVA",""),4,400))</f>
        <v/>
      </c>
      <c r="T10" s="21"/>
      <c r="U10" s="20"/>
      <c r="V10" s="9" t="str">
        <f aca="false">IF(LEFT(P10,5)&lt;&gt;"AVISO","",IF(T10="Presentado",IF(AND(ISNUMBER(U10),ISNUMBER(Q10),U10&gt;Q10),"Presentado tarde","Presentado"),IF(NOT(ISNUMBER(Q10)),"Falta fecha",IF(Q10&lt;CONFIG!$B$6,"VENCIDO","Vence en "&amp;(Q10-CONFIG!$B$6)&amp;" días"))))</f>
        <v/>
      </c>
      <c r="W10" s="22"/>
      <c r="X10" s="21"/>
      <c r="AA10" s="0" t="str">
        <f aca="false">IF(AM10="","",INDEX(CATÁLOGO!$D$5:$D$39,AM10))</f>
        <v/>
      </c>
      <c r="AB10" s="0" t="str">
        <f aca="false">IF(AM10="","",INDEX(CATÁLOGO!$E$5:$E$39,AM10))</f>
        <v/>
      </c>
      <c r="AC10" s="0" t="str">
        <f aca="false">IF(AB10="","",IF(ISNUMBER(AB10),AB10*AV10,AB10))</f>
        <v/>
      </c>
      <c r="AD10" s="0" t="str">
        <f aca="false">IF(AM10="","",INDEX(CATÁLOGO!$F$5:$F$39,AM10))</f>
        <v/>
      </c>
      <c r="AE10" s="0" t="str">
        <f aca="false">IF(AD10="","",IF(ISNUMBER(AD10),AD10*AV10,AD10))</f>
        <v/>
      </c>
      <c r="AF10" s="0" t="str">
        <f aca="false">IF(AM10="","",INDEX(CATÁLOGO!$G$5:$G$39,AM10))</f>
        <v/>
      </c>
      <c r="AG10" s="0" t="str">
        <f aca="false">IF(AF10="","",IF(ISNUMBER(AF10),AF10*AV10,AF10))</f>
        <v/>
      </c>
      <c r="AH10" s="0" t="str">
        <f aca="false">IF(E10="","",C10&amp;"|"&amp;D10)</f>
        <v/>
      </c>
      <c r="AI10" s="27" t="n">
        <f aca="false">IF(M10&lt;&gt;"Sí",0,SUMPRODUCT(MAX(($AH$5:AH9=AH10)*($M$5:M9="Sí")*ROW($AH$5:AH9))))</f>
        <v>0</v>
      </c>
      <c r="AJ10" s="0" t="str">
        <f aca="false">IF(M10&lt;&gt;"Sí","",IF(AL10=1,B10,INDEX($AJ:$AJ,AI10)))</f>
        <v/>
      </c>
      <c r="AK10" s="0" t="str">
        <f aca="false">IF(M10&lt;&gt;"Sí","",IF(AL10=1,E10,INDEX($AK:$AK,AI10)+E10))</f>
        <v/>
      </c>
      <c r="AL10" s="0" t="str">
        <f aca="false">IF(M10&lt;&gt;"Sí","",IF(AI10=0,1,IF(INDEX($AN:$AN,AI10)=0,1,IF(B10&gt;=EDATE(INDEX($AJ:$AJ,AI10),6),1,0))))</f>
        <v/>
      </c>
      <c r="AM10" s="0" t="str">
        <f aca="false">IF(D10="","",IFERROR(MATCH(D10,CATÁLOGO!$C$5:$C$39,0),""))</f>
        <v/>
      </c>
      <c r="AN10" s="0" t="str">
        <f aca="false">IF(M10&lt;&gt;"Sí","",IF(AND(ISNUMBER(AE10),AK10&gt;=AE10),0,1))</f>
        <v/>
      </c>
      <c r="AO10" s="0" t="str">
        <f aca="false">IF(OR(E10="",C10="",NOT(ISNUMBER(B10))),"",SUMIFS($E$6:$E$505,$C$6:$C$505,C10,$B$6:$B$505,"&gt;="&amp;DATE(YEAR(B10),MONTH(B10),1),$B$6:$B$505,"&lt;"&amp;DATE(YEAR(B10),MONTH(B10)+1,1)))</f>
        <v/>
      </c>
      <c r="AP10" s="0" t="str">
        <f aca="false">IF(C10="","",IFERROR(INDEX(CLIENTES!$M$6:$M$305,MATCH(C10,CLIENTES!$A$6:$A$305,0)),""))</f>
        <v/>
      </c>
      <c r="AQ10" s="27" t="n">
        <f aca="false">IF(AND(ISNUMBER(AO10),ISNUMBER(AP10)),IF(AND(AP10&gt;0,AO10&gt;AP10),1,0),0)</f>
        <v>0</v>
      </c>
      <c r="AR10" s="27" t="n">
        <f aca="false">IF(NOT(ISNUMBER(B10)),0,IF(B10&lt;MAX($B$5:B9),1,0))</f>
        <v>0</v>
      </c>
      <c r="AS10" s="0" t="str">
        <f aca="false">IF(C10="","",IFERROR(INDEX(CLIENTES!$H$6:$H$305,MATCH(C10,CLIENTES!$A$6:$A$305,0)),""))</f>
        <v/>
      </c>
      <c r="AT10" s="0" t="str">
        <f aca="false">IF(AND(LEFT(P10,5)="AVISO",T10&lt;&gt;"Presentado",ISNUMBER(Q10)),Q10,"")</f>
        <v/>
      </c>
      <c r="AU10" s="27" t="n">
        <f aca="false">IF(AND(D10="XVI - Activos virtuales (PSAV): operación de intercambio/transferencia",M10="Sí",ISNUMBER(AE10)),IF(AK10&gt;=AE10,1,0),0)</f>
        <v>0</v>
      </c>
      <c r="AV10" s="30" t="n">
        <f aca="false">IF(NOT(ISNUMBER(B10)),CONFIG!$B$4,IFERROR(INDEX(CONFIG!$I$5:$I$14,MATCH(IF(MONTH(B10)=1,YEAR(B10)-1,YEAR(B10)),CONFIG!$H$5:$H$14,0)),CONFIG!$B$4))</f>
        <v>117.31</v>
      </c>
      <c r="AW10" s="27" t="n">
        <f aca="false">IF(AND(LEFT(D10,4)="I - ",ISNUMBER(B10),C10&lt;&gt;""),SUMIFS($E$6:$E$505,$C$6:$C$505,C10,$D$6:$D$505,D10,$B$6:$B$505,"&gt;"&amp;(B10-1),$B$6:$B$505,"&lt;="&amp;B10),0)</f>
        <v>0</v>
      </c>
      <c r="AX10" s="0" t="str">
        <f aca="false">IF(E10="","",IF(AD10="Siempre","AVISO (siempre)",IF(AD10="No aplica","Sin Aviso (sólo preparas: Ley 17 XI)",IF(NOT(ISNUMBER(AE10)),"",IF(AA10&lt;&gt;"ACUMULA",IF(E10&gt;=AE10,IF(AND(D10="XVI - Activos virtuales (PSAV): cobro de contraprestación (comisión) por el servicio",COUNTIFS($C$6:$C$505,C10,$B$6:$B$505,"&gt;="&amp;INT(B10),$B$6:$B$505,"&lt;"&amp;(INT(B10)+1),$AU$6:$AU$505,1)&gt;0),"En el Aviso del inciso a) (R 31 Bis)","AVISO"),"—"),IF(M10&lt;&gt;"Sí","—",IF(AK10&gt;=AE10,IF(AK10=E10,"AVISO","AVISO (acumulado)"),"Acumulando")))))))</f>
        <v/>
      </c>
    </row>
    <row r="11" customFormat="false" ht="15" hidden="false" customHeight="false" outlineLevel="0" collapsed="false">
      <c r="A11" s="9" t="str">
        <f aca="false">IF(E11="","",ROW()-5)</f>
        <v/>
      </c>
      <c r="B11" s="20"/>
      <c r="C11" s="21"/>
      <c r="D11" s="21"/>
      <c r="E11" s="22"/>
      <c r="F11" s="22"/>
      <c r="G11" s="21"/>
      <c r="H11" s="21"/>
      <c r="I11" s="9" t="str">
        <f aca="false">IF(C11="","",IFERROR(INDEX(CLIENTES!$B$6:$B$305,MATCH(C11,CLIENTES!$A$6:$A$305,0)),"⚠ ID no registrado"))</f>
        <v/>
      </c>
      <c r="J11" s="9" t="str">
        <f aca="false">IF(C11="","",IFERROR(INDEX(CLIENTES!$Z$6:$Z$305,MATCH(C11,CLIENTES!$A$6:$A$305,0)),""))</f>
        <v/>
      </c>
      <c r="K11" s="9" t="str">
        <f aca="false">IF(E11="","",IF(AB11="Siempre","Sí",IF(ISNUMBER(AC11),IF(E11&gt;=AC11,"Sí",IF(AW11&gt;=AC11,"Sí (serie 24 h)","No")),"")))</f>
        <v/>
      </c>
      <c r="L11" s="9" t="str">
        <f aca="false">IF(E11="","",AA11)</f>
        <v/>
      </c>
      <c r="M11" s="9" t="str">
        <f aca="false">IF(E11="","",IF(AA11&lt;&gt;"ACUMULA","No aplica",IF(LEFT(K11,2)="Sí","Sí","No")))</f>
        <v/>
      </c>
      <c r="N11" s="23" t="str">
        <f aca="false">IF(M11="Sí",AJ11,"")</f>
        <v/>
      </c>
      <c r="O11" s="24" t="str">
        <f aca="false">IF(M11="Sí",AK11,"")</f>
        <v/>
      </c>
      <c r="P11" s="25" t="str">
        <f aca="false">IF(AND(LEFT(D11,6)="XIV - ",LEFT(AX11,5)="AVISO"),"Pedimento (R 16): no va al SPPLD",AX11)</f>
        <v/>
      </c>
      <c r="Q11" s="23" t="str">
        <f aca="false">IF(LEFT(P11,5)="AVISO",IF(ISNUMBER(B11),DATE(YEAR(B11),MONTH(B11)+1,17),"Falta fecha"),"")</f>
        <v/>
      </c>
      <c r="R11" s="9" t="str">
        <f aca="false">IF(OR(F11="",F11=0),"",IF(ISNUMBER(AG11),IF(F11&gt;=AG11,"PROHIBIDO","Dentro del límite"),"No aplica"))</f>
        <v/>
      </c>
      <c r="S11" s="26" t="str">
        <f aca="false">IF(E11="","",MID(IF(AQ11=1," · Excede el perfil declarado","")&amp;IF(H11="Sí"," · Paga un tercero","")&amp;IF(J11="Alto"," · Cliente de riesgo alto: DDR (RCG 23 Ter 3 y 4)","")&amp;IF(AND(AS11&lt;&gt;"",AS11&lt;&gt;"No",AS11&lt;&gt;0)," · PEP","")&amp;IF(R11="PROHIBIDO"," · Efectivo prohibido: no lo recibas (Art. 32)","")&amp;IF(AR11=1," · ⚠ Fecha fuera de orden","")&amp;IF(LEFT(I11,1)="⚠"," · ⚠ Cliente no registrado","")&amp;IF(D11=""," · ⚠ Falta la actividad","")&amp;IF(AND(LEFT(P11,5)="AVISO",W11="")," · Captura la cifra total con IVA para el Aviso","")&amp;IF(AND(ISNUMBER(W11),W11&lt;E11)," · ⚠ La cifra con IVA es menor que el monto sin IVA",""),4,400))</f>
        <v/>
      </c>
      <c r="T11" s="21"/>
      <c r="U11" s="20"/>
      <c r="V11" s="9" t="str">
        <f aca="false">IF(LEFT(P11,5)&lt;&gt;"AVISO","",IF(T11="Presentado",IF(AND(ISNUMBER(U11),ISNUMBER(Q11),U11&gt;Q11),"Presentado tarde","Presentado"),IF(NOT(ISNUMBER(Q11)),"Falta fecha",IF(Q11&lt;CONFIG!$B$6,"VENCIDO","Vence en "&amp;(Q11-CONFIG!$B$6)&amp;" días"))))</f>
        <v/>
      </c>
      <c r="W11" s="22"/>
      <c r="X11" s="21"/>
      <c r="AA11" s="0" t="str">
        <f aca="false">IF(AM11="","",INDEX(CATÁLOGO!$D$5:$D$39,AM11))</f>
        <v/>
      </c>
      <c r="AB11" s="0" t="str">
        <f aca="false">IF(AM11="","",INDEX(CATÁLOGO!$E$5:$E$39,AM11))</f>
        <v/>
      </c>
      <c r="AC11" s="0" t="str">
        <f aca="false">IF(AB11="","",IF(ISNUMBER(AB11),AB11*AV11,AB11))</f>
        <v/>
      </c>
      <c r="AD11" s="0" t="str">
        <f aca="false">IF(AM11="","",INDEX(CATÁLOGO!$F$5:$F$39,AM11))</f>
        <v/>
      </c>
      <c r="AE11" s="0" t="str">
        <f aca="false">IF(AD11="","",IF(ISNUMBER(AD11),AD11*AV11,AD11))</f>
        <v/>
      </c>
      <c r="AF11" s="0" t="str">
        <f aca="false">IF(AM11="","",INDEX(CATÁLOGO!$G$5:$G$39,AM11))</f>
        <v/>
      </c>
      <c r="AG11" s="0" t="str">
        <f aca="false">IF(AF11="","",IF(ISNUMBER(AF11),AF11*AV11,AF11))</f>
        <v/>
      </c>
      <c r="AH11" s="0" t="str">
        <f aca="false">IF(E11="","",C11&amp;"|"&amp;D11)</f>
        <v/>
      </c>
      <c r="AI11" s="27" t="n">
        <f aca="false">IF(M11&lt;&gt;"Sí",0,SUMPRODUCT(MAX(($AH$5:AH10=AH11)*($M$5:M10="Sí")*ROW($AH$5:AH10))))</f>
        <v>0</v>
      </c>
      <c r="AJ11" s="0" t="str">
        <f aca="false">IF(M11&lt;&gt;"Sí","",IF(AL11=1,B11,INDEX($AJ:$AJ,AI11)))</f>
        <v/>
      </c>
      <c r="AK11" s="0" t="str">
        <f aca="false">IF(M11&lt;&gt;"Sí","",IF(AL11=1,E11,INDEX($AK:$AK,AI11)+E11))</f>
        <v/>
      </c>
      <c r="AL11" s="0" t="str">
        <f aca="false">IF(M11&lt;&gt;"Sí","",IF(AI11=0,1,IF(INDEX($AN:$AN,AI11)=0,1,IF(B11&gt;=EDATE(INDEX($AJ:$AJ,AI11),6),1,0))))</f>
        <v/>
      </c>
      <c r="AM11" s="0" t="str">
        <f aca="false">IF(D11="","",IFERROR(MATCH(D11,CATÁLOGO!$C$5:$C$39,0),""))</f>
        <v/>
      </c>
      <c r="AN11" s="0" t="str">
        <f aca="false">IF(M11&lt;&gt;"Sí","",IF(AND(ISNUMBER(AE11),AK11&gt;=AE11),0,1))</f>
        <v/>
      </c>
      <c r="AO11" s="0" t="str">
        <f aca="false">IF(OR(E11="",C11="",NOT(ISNUMBER(B11))),"",SUMIFS($E$6:$E$505,$C$6:$C$505,C11,$B$6:$B$505,"&gt;="&amp;DATE(YEAR(B11),MONTH(B11),1),$B$6:$B$505,"&lt;"&amp;DATE(YEAR(B11),MONTH(B11)+1,1)))</f>
        <v/>
      </c>
      <c r="AP11" s="0" t="str">
        <f aca="false">IF(C11="","",IFERROR(INDEX(CLIENTES!$M$6:$M$305,MATCH(C11,CLIENTES!$A$6:$A$305,0)),""))</f>
        <v/>
      </c>
      <c r="AQ11" s="27" t="n">
        <f aca="false">IF(AND(ISNUMBER(AO11),ISNUMBER(AP11)),IF(AND(AP11&gt;0,AO11&gt;AP11),1,0),0)</f>
        <v>0</v>
      </c>
      <c r="AR11" s="27" t="n">
        <f aca="false">IF(NOT(ISNUMBER(B11)),0,IF(B11&lt;MAX($B$5:B10),1,0))</f>
        <v>0</v>
      </c>
      <c r="AS11" s="0" t="str">
        <f aca="false">IF(C11="","",IFERROR(INDEX(CLIENTES!$H$6:$H$305,MATCH(C11,CLIENTES!$A$6:$A$305,0)),""))</f>
        <v/>
      </c>
      <c r="AT11" s="0" t="str">
        <f aca="false">IF(AND(LEFT(P11,5)="AVISO",T11&lt;&gt;"Presentado",ISNUMBER(Q11)),Q11,"")</f>
        <v/>
      </c>
      <c r="AU11" s="27" t="n">
        <f aca="false">IF(AND(D11="XVI - Activos virtuales (PSAV): operación de intercambio/transferencia",M11="Sí",ISNUMBER(AE11)),IF(AK11&gt;=AE11,1,0),0)</f>
        <v>0</v>
      </c>
      <c r="AV11" s="30" t="n">
        <f aca="false">IF(NOT(ISNUMBER(B11)),CONFIG!$B$4,IFERROR(INDEX(CONFIG!$I$5:$I$14,MATCH(IF(MONTH(B11)=1,YEAR(B11)-1,YEAR(B11)),CONFIG!$H$5:$H$14,0)),CONFIG!$B$4))</f>
        <v>117.31</v>
      </c>
      <c r="AW11" s="27" t="n">
        <f aca="false">IF(AND(LEFT(D11,4)="I - ",ISNUMBER(B11),C11&lt;&gt;""),SUMIFS($E$6:$E$505,$C$6:$C$505,C11,$D$6:$D$505,D11,$B$6:$B$505,"&gt;"&amp;(B11-1),$B$6:$B$505,"&lt;="&amp;B11),0)</f>
        <v>0</v>
      </c>
      <c r="AX11" s="0" t="str">
        <f aca="false">IF(E11="","",IF(AD11="Siempre","AVISO (siempre)",IF(AD11="No aplica","Sin Aviso (sólo preparas: Ley 17 XI)",IF(NOT(ISNUMBER(AE11)),"",IF(AA11&lt;&gt;"ACUMULA",IF(E11&gt;=AE11,IF(AND(D11="XVI - Activos virtuales (PSAV): cobro de contraprestación (comisión) por el servicio",COUNTIFS($C$6:$C$505,C11,$B$6:$B$505,"&gt;="&amp;INT(B11),$B$6:$B$505,"&lt;"&amp;(INT(B11)+1),$AU$6:$AU$505,1)&gt;0),"En el Aviso del inciso a) (R 31 Bis)","AVISO"),"—"),IF(M11&lt;&gt;"Sí","—",IF(AK11&gt;=AE11,IF(AK11=E11,"AVISO","AVISO (acumulado)"),"Acumulando")))))))</f>
        <v/>
      </c>
    </row>
    <row r="12" customFormat="false" ht="15" hidden="false" customHeight="false" outlineLevel="0" collapsed="false">
      <c r="A12" s="9" t="str">
        <f aca="false">IF(E12="","",ROW()-5)</f>
        <v/>
      </c>
      <c r="B12" s="20"/>
      <c r="C12" s="21"/>
      <c r="D12" s="21"/>
      <c r="E12" s="22"/>
      <c r="F12" s="22"/>
      <c r="G12" s="21"/>
      <c r="H12" s="21"/>
      <c r="I12" s="9" t="str">
        <f aca="false">IF(C12="","",IFERROR(INDEX(CLIENTES!$B$6:$B$305,MATCH(C12,CLIENTES!$A$6:$A$305,0)),"⚠ ID no registrado"))</f>
        <v/>
      </c>
      <c r="J12" s="9" t="str">
        <f aca="false">IF(C12="","",IFERROR(INDEX(CLIENTES!$Z$6:$Z$305,MATCH(C12,CLIENTES!$A$6:$A$305,0)),""))</f>
        <v/>
      </c>
      <c r="K12" s="9" t="str">
        <f aca="false">IF(E12="","",IF(AB12="Siempre","Sí",IF(ISNUMBER(AC12),IF(E12&gt;=AC12,"Sí",IF(AW12&gt;=AC12,"Sí (serie 24 h)","No")),"")))</f>
        <v/>
      </c>
      <c r="L12" s="9" t="str">
        <f aca="false">IF(E12="","",AA12)</f>
        <v/>
      </c>
      <c r="M12" s="9" t="str">
        <f aca="false">IF(E12="","",IF(AA12&lt;&gt;"ACUMULA","No aplica",IF(LEFT(K12,2)="Sí","Sí","No")))</f>
        <v/>
      </c>
      <c r="N12" s="23" t="str">
        <f aca="false">IF(M12="Sí",AJ12,"")</f>
        <v/>
      </c>
      <c r="O12" s="24" t="str">
        <f aca="false">IF(M12="Sí",AK12,"")</f>
        <v/>
      </c>
      <c r="P12" s="25" t="str">
        <f aca="false">IF(AND(LEFT(D12,6)="XIV - ",LEFT(AX12,5)="AVISO"),"Pedimento (R 16): no va al SPPLD",AX12)</f>
        <v/>
      </c>
      <c r="Q12" s="23" t="str">
        <f aca="false">IF(LEFT(P12,5)="AVISO",IF(ISNUMBER(B12),DATE(YEAR(B12),MONTH(B12)+1,17),"Falta fecha"),"")</f>
        <v/>
      </c>
      <c r="R12" s="9" t="str">
        <f aca="false">IF(OR(F12="",F12=0),"",IF(ISNUMBER(AG12),IF(F12&gt;=AG12,"PROHIBIDO","Dentro del límite"),"No aplica"))</f>
        <v/>
      </c>
      <c r="S12" s="26" t="str">
        <f aca="false">IF(E12="","",MID(IF(AQ12=1," · Excede el perfil declarado","")&amp;IF(H12="Sí"," · Paga un tercero","")&amp;IF(J12="Alto"," · Cliente de riesgo alto: DDR (RCG 23 Ter 3 y 4)","")&amp;IF(AND(AS12&lt;&gt;"",AS12&lt;&gt;"No",AS12&lt;&gt;0)," · PEP","")&amp;IF(R12="PROHIBIDO"," · Efectivo prohibido: no lo recibas (Art. 32)","")&amp;IF(AR12=1," · ⚠ Fecha fuera de orden","")&amp;IF(LEFT(I12,1)="⚠"," · ⚠ Cliente no registrado","")&amp;IF(D12=""," · ⚠ Falta la actividad","")&amp;IF(AND(LEFT(P12,5)="AVISO",W12="")," · Captura la cifra total con IVA para el Aviso","")&amp;IF(AND(ISNUMBER(W12),W12&lt;E12)," · ⚠ La cifra con IVA es menor que el monto sin IVA",""),4,400))</f>
        <v/>
      </c>
      <c r="T12" s="21"/>
      <c r="U12" s="20"/>
      <c r="V12" s="9" t="str">
        <f aca="false">IF(LEFT(P12,5)&lt;&gt;"AVISO","",IF(T12="Presentado",IF(AND(ISNUMBER(U12),ISNUMBER(Q12),U12&gt;Q12),"Presentado tarde","Presentado"),IF(NOT(ISNUMBER(Q12)),"Falta fecha",IF(Q12&lt;CONFIG!$B$6,"VENCIDO","Vence en "&amp;(Q12-CONFIG!$B$6)&amp;" días"))))</f>
        <v/>
      </c>
      <c r="W12" s="22"/>
      <c r="X12" s="21"/>
      <c r="AA12" s="0" t="str">
        <f aca="false">IF(AM12="","",INDEX(CATÁLOGO!$D$5:$D$39,AM12))</f>
        <v/>
      </c>
      <c r="AB12" s="0" t="str">
        <f aca="false">IF(AM12="","",INDEX(CATÁLOGO!$E$5:$E$39,AM12))</f>
        <v/>
      </c>
      <c r="AC12" s="0" t="str">
        <f aca="false">IF(AB12="","",IF(ISNUMBER(AB12),AB12*AV12,AB12))</f>
        <v/>
      </c>
      <c r="AD12" s="0" t="str">
        <f aca="false">IF(AM12="","",INDEX(CATÁLOGO!$F$5:$F$39,AM12))</f>
        <v/>
      </c>
      <c r="AE12" s="0" t="str">
        <f aca="false">IF(AD12="","",IF(ISNUMBER(AD12),AD12*AV12,AD12))</f>
        <v/>
      </c>
      <c r="AF12" s="0" t="str">
        <f aca="false">IF(AM12="","",INDEX(CATÁLOGO!$G$5:$G$39,AM12))</f>
        <v/>
      </c>
      <c r="AG12" s="0" t="str">
        <f aca="false">IF(AF12="","",IF(ISNUMBER(AF12),AF12*AV12,AF12))</f>
        <v/>
      </c>
      <c r="AH12" s="0" t="str">
        <f aca="false">IF(E12="","",C12&amp;"|"&amp;D12)</f>
        <v/>
      </c>
      <c r="AI12" s="27" t="n">
        <f aca="false">IF(M12&lt;&gt;"Sí",0,SUMPRODUCT(MAX(($AH$5:AH11=AH12)*($M$5:M11="Sí")*ROW($AH$5:AH11))))</f>
        <v>0</v>
      </c>
      <c r="AJ12" s="0" t="str">
        <f aca="false">IF(M12&lt;&gt;"Sí","",IF(AL12=1,B12,INDEX($AJ:$AJ,AI12)))</f>
        <v/>
      </c>
      <c r="AK12" s="0" t="str">
        <f aca="false">IF(M12&lt;&gt;"Sí","",IF(AL12=1,E12,INDEX($AK:$AK,AI12)+E12))</f>
        <v/>
      </c>
      <c r="AL12" s="0" t="str">
        <f aca="false">IF(M12&lt;&gt;"Sí","",IF(AI12=0,1,IF(INDEX($AN:$AN,AI12)=0,1,IF(B12&gt;=EDATE(INDEX($AJ:$AJ,AI12),6),1,0))))</f>
        <v/>
      </c>
      <c r="AM12" s="0" t="str">
        <f aca="false">IF(D12="","",IFERROR(MATCH(D12,CATÁLOGO!$C$5:$C$39,0),""))</f>
        <v/>
      </c>
      <c r="AN12" s="0" t="str">
        <f aca="false">IF(M12&lt;&gt;"Sí","",IF(AND(ISNUMBER(AE12),AK12&gt;=AE12),0,1))</f>
        <v/>
      </c>
      <c r="AO12" s="0" t="str">
        <f aca="false">IF(OR(E12="",C12="",NOT(ISNUMBER(B12))),"",SUMIFS($E$6:$E$505,$C$6:$C$505,C12,$B$6:$B$505,"&gt;="&amp;DATE(YEAR(B12),MONTH(B12),1),$B$6:$B$505,"&lt;"&amp;DATE(YEAR(B12),MONTH(B12)+1,1)))</f>
        <v/>
      </c>
      <c r="AP12" s="0" t="str">
        <f aca="false">IF(C12="","",IFERROR(INDEX(CLIENTES!$M$6:$M$305,MATCH(C12,CLIENTES!$A$6:$A$305,0)),""))</f>
        <v/>
      </c>
      <c r="AQ12" s="27" t="n">
        <f aca="false">IF(AND(ISNUMBER(AO12),ISNUMBER(AP12)),IF(AND(AP12&gt;0,AO12&gt;AP12),1,0),0)</f>
        <v>0</v>
      </c>
      <c r="AR12" s="27" t="n">
        <f aca="false">IF(NOT(ISNUMBER(B12)),0,IF(B12&lt;MAX($B$5:B11),1,0))</f>
        <v>0</v>
      </c>
      <c r="AS12" s="0" t="str">
        <f aca="false">IF(C12="","",IFERROR(INDEX(CLIENTES!$H$6:$H$305,MATCH(C12,CLIENTES!$A$6:$A$305,0)),""))</f>
        <v/>
      </c>
      <c r="AT12" s="0" t="str">
        <f aca="false">IF(AND(LEFT(P12,5)="AVISO",T12&lt;&gt;"Presentado",ISNUMBER(Q12)),Q12,"")</f>
        <v/>
      </c>
      <c r="AU12" s="27" t="n">
        <f aca="false">IF(AND(D12="XVI - Activos virtuales (PSAV): operación de intercambio/transferencia",M12="Sí",ISNUMBER(AE12)),IF(AK12&gt;=AE12,1,0),0)</f>
        <v>0</v>
      </c>
      <c r="AV12" s="30" t="n">
        <f aca="false">IF(NOT(ISNUMBER(B12)),CONFIG!$B$4,IFERROR(INDEX(CONFIG!$I$5:$I$14,MATCH(IF(MONTH(B12)=1,YEAR(B12)-1,YEAR(B12)),CONFIG!$H$5:$H$14,0)),CONFIG!$B$4))</f>
        <v>117.31</v>
      </c>
      <c r="AW12" s="27" t="n">
        <f aca="false">IF(AND(LEFT(D12,4)="I - ",ISNUMBER(B12),C12&lt;&gt;""),SUMIFS($E$6:$E$505,$C$6:$C$505,C12,$D$6:$D$505,D12,$B$6:$B$505,"&gt;"&amp;(B12-1),$B$6:$B$505,"&lt;="&amp;B12),0)</f>
        <v>0</v>
      </c>
      <c r="AX12" s="0" t="str">
        <f aca="false">IF(E12="","",IF(AD12="Siempre","AVISO (siempre)",IF(AD12="No aplica","Sin Aviso (sólo preparas: Ley 17 XI)",IF(NOT(ISNUMBER(AE12)),"",IF(AA12&lt;&gt;"ACUMULA",IF(E12&gt;=AE12,IF(AND(D12="XVI - Activos virtuales (PSAV): cobro de contraprestación (comisión) por el servicio",COUNTIFS($C$6:$C$505,C12,$B$6:$B$505,"&gt;="&amp;INT(B12),$B$6:$B$505,"&lt;"&amp;(INT(B12)+1),$AU$6:$AU$505,1)&gt;0),"En el Aviso del inciso a) (R 31 Bis)","AVISO"),"—"),IF(M12&lt;&gt;"Sí","—",IF(AK12&gt;=AE12,IF(AK12=E12,"AVISO","AVISO (acumulado)"),"Acumulando")))))))</f>
        <v/>
      </c>
    </row>
    <row r="13" customFormat="false" ht="15" hidden="false" customHeight="false" outlineLevel="0" collapsed="false">
      <c r="A13" s="9" t="str">
        <f aca="false">IF(E13="","",ROW()-5)</f>
        <v/>
      </c>
      <c r="B13" s="20"/>
      <c r="C13" s="21"/>
      <c r="D13" s="21"/>
      <c r="E13" s="22"/>
      <c r="F13" s="22"/>
      <c r="G13" s="21"/>
      <c r="H13" s="21"/>
      <c r="I13" s="9" t="str">
        <f aca="false">IF(C13="","",IFERROR(INDEX(CLIENTES!$B$6:$B$305,MATCH(C13,CLIENTES!$A$6:$A$305,0)),"⚠ ID no registrado"))</f>
        <v/>
      </c>
      <c r="J13" s="9" t="str">
        <f aca="false">IF(C13="","",IFERROR(INDEX(CLIENTES!$Z$6:$Z$305,MATCH(C13,CLIENTES!$A$6:$A$305,0)),""))</f>
        <v/>
      </c>
      <c r="K13" s="9" t="str">
        <f aca="false">IF(E13="","",IF(AB13="Siempre","Sí",IF(ISNUMBER(AC13),IF(E13&gt;=AC13,"Sí",IF(AW13&gt;=AC13,"Sí (serie 24 h)","No")),"")))</f>
        <v/>
      </c>
      <c r="L13" s="9" t="str">
        <f aca="false">IF(E13="","",AA13)</f>
        <v/>
      </c>
      <c r="M13" s="9" t="str">
        <f aca="false">IF(E13="","",IF(AA13&lt;&gt;"ACUMULA","No aplica",IF(LEFT(K13,2)="Sí","Sí","No")))</f>
        <v/>
      </c>
      <c r="N13" s="23" t="str">
        <f aca="false">IF(M13="Sí",AJ13,"")</f>
        <v/>
      </c>
      <c r="O13" s="24" t="str">
        <f aca="false">IF(M13="Sí",AK13,"")</f>
        <v/>
      </c>
      <c r="P13" s="25" t="str">
        <f aca="false">IF(AND(LEFT(D13,6)="XIV - ",LEFT(AX13,5)="AVISO"),"Pedimento (R 16): no va al SPPLD",AX13)</f>
        <v/>
      </c>
      <c r="Q13" s="23" t="str">
        <f aca="false">IF(LEFT(P13,5)="AVISO",IF(ISNUMBER(B13),DATE(YEAR(B13),MONTH(B13)+1,17),"Falta fecha"),"")</f>
        <v/>
      </c>
      <c r="R13" s="9" t="str">
        <f aca="false">IF(OR(F13="",F13=0),"",IF(ISNUMBER(AG13),IF(F13&gt;=AG13,"PROHIBIDO","Dentro del límite"),"No aplica"))</f>
        <v/>
      </c>
      <c r="S13" s="26" t="str">
        <f aca="false">IF(E13="","",MID(IF(AQ13=1," · Excede el perfil declarado","")&amp;IF(H13="Sí"," · Paga un tercero","")&amp;IF(J13="Alto"," · Cliente de riesgo alto: DDR (RCG 23 Ter 3 y 4)","")&amp;IF(AND(AS13&lt;&gt;"",AS13&lt;&gt;"No",AS13&lt;&gt;0)," · PEP","")&amp;IF(R13="PROHIBIDO"," · Efectivo prohibido: no lo recibas (Art. 32)","")&amp;IF(AR13=1," · ⚠ Fecha fuera de orden","")&amp;IF(LEFT(I13,1)="⚠"," · ⚠ Cliente no registrado","")&amp;IF(D13=""," · ⚠ Falta la actividad","")&amp;IF(AND(LEFT(P13,5)="AVISO",W13="")," · Captura la cifra total con IVA para el Aviso","")&amp;IF(AND(ISNUMBER(W13),W13&lt;E13)," · ⚠ La cifra con IVA es menor que el monto sin IVA",""),4,400))</f>
        <v/>
      </c>
      <c r="T13" s="21"/>
      <c r="U13" s="20"/>
      <c r="V13" s="9" t="str">
        <f aca="false">IF(LEFT(P13,5)&lt;&gt;"AVISO","",IF(T13="Presentado",IF(AND(ISNUMBER(U13),ISNUMBER(Q13),U13&gt;Q13),"Presentado tarde","Presentado"),IF(NOT(ISNUMBER(Q13)),"Falta fecha",IF(Q13&lt;CONFIG!$B$6,"VENCIDO","Vence en "&amp;(Q13-CONFIG!$B$6)&amp;" días"))))</f>
        <v/>
      </c>
      <c r="W13" s="22"/>
      <c r="X13" s="21"/>
      <c r="AA13" s="0" t="str">
        <f aca="false">IF(AM13="","",INDEX(CATÁLOGO!$D$5:$D$39,AM13))</f>
        <v/>
      </c>
      <c r="AB13" s="0" t="str">
        <f aca="false">IF(AM13="","",INDEX(CATÁLOGO!$E$5:$E$39,AM13))</f>
        <v/>
      </c>
      <c r="AC13" s="0" t="str">
        <f aca="false">IF(AB13="","",IF(ISNUMBER(AB13),AB13*AV13,AB13))</f>
        <v/>
      </c>
      <c r="AD13" s="0" t="str">
        <f aca="false">IF(AM13="","",INDEX(CATÁLOGO!$F$5:$F$39,AM13))</f>
        <v/>
      </c>
      <c r="AE13" s="0" t="str">
        <f aca="false">IF(AD13="","",IF(ISNUMBER(AD13),AD13*AV13,AD13))</f>
        <v/>
      </c>
      <c r="AF13" s="0" t="str">
        <f aca="false">IF(AM13="","",INDEX(CATÁLOGO!$G$5:$G$39,AM13))</f>
        <v/>
      </c>
      <c r="AG13" s="0" t="str">
        <f aca="false">IF(AF13="","",IF(ISNUMBER(AF13),AF13*AV13,AF13))</f>
        <v/>
      </c>
      <c r="AH13" s="0" t="str">
        <f aca="false">IF(E13="","",C13&amp;"|"&amp;D13)</f>
        <v/>
      </c>
      <c r="AI13" s="27" t="n">
        <f aca="false">IF(M13&lt;&gt;"Sí",0,SUMPRODUCT(MAX(($AH$5:AH12=AH13)*($M$5:M12="Sí")*ROW($AH$5:AH12))))</f>
        <v>0</v>
      </c>
      <c r="AJ13" s="0" t="str">
        <f aca="false">IF(M13&lt;&gt;"Sí","",IF(AL13=1,B13,INDEX($AJ:$AJ,AI13)))</f>
        <v/>
      </c>
      <c r="AK13" s="0" t="str">
        <f aca="false">IF(M13&lt;&gt;"Sí","",IF(AL13=1,E13,INDEX($AK:$AK,AI13)+E13))</f>
        <v/>
      </c>
      <c r="AL13" s="0" t="str">
        <f aca="false">IF(M13&lt;&gt;"Sí","",IF(AI13=0,1,IF(INDEX($AN:$AN,AI13)=0,1,IF(B13&gt;=EDATE(INDEX($AJ:$AJ,AI13),6),1,0))))</f>
        <v/>
      </c>
      <c r="AM13" s="0" t="str">
        <f aca="false">IF(D13="","",IFERROR(MATCH(D13,CATÁLOGO!$C$5:$C$39,0),""))</f>
        <v/>
      </c>
      <c r="AN13" s="0" t="str">
        <f aca="false">IF(M13&lt;&gt;"Sí","",IF(AND(ISNUMBER(AE13),AK13&gt;=AE13),0,1))</f>
        <v/>
      </c>
      <c r="AO13" s="0" t="str">
        <f aca="false">IF(OR(E13="",C13="",NOT(ISNUMBER(B13))),"",SUMIFS($E$6:$E$505,$C$6:$C$505,C13,$B$6:$B$505,"&gt;="&amp;DATE(YEAR(B13),MONTH(B13),1),$B$6:$B$505,"&lt;"&amp;DATE(YEAR(B13),MONTH(B13)+1,1)))</f>
        <v/>
      </c>
      <c r="AP13" s="0" t="str">
        <f aca="false">IF(C13="","",IFERROR(INDEX(CLIENTES!$M$6:$M$305,MATCH(C13,CLIENTES!$A$6:$A$305,0)),""))</f>
        <v/>
      </c>
      <c r="AQ13" s="27" t="n">
        <f aca="false">IF(AND(ISNUMBER(AO13),ISNUMBER(AP13)),IF(AND(AP13&gt;0,AO13&gt;AP13),1,0),0)</f>
        <v>0</v>
      </c>
      <c r="AR13" s="27" t="n">
        <f aca="false">IF(NOT(ISNUMBER(B13)),0,IF(B13&lt;MAX($B$5:B12),1,0))</f>
        <v>0</v>
      </c>
      <c r="AS13" s="0" t="str">
        <f aca="false">IF(C13="","",IFERROR(INDEX(CLIENTES!$H$6:$H$305,MATCH(C13,CLIENTES!$A$6:$A$305,0)),""))</f>
        <v/>
      </c>
      <c r="AT13" s="0" t="str">
        <f aca="false">IF(AND(LEFT(P13,5)="AVISO",T13&lt;&gt;"Presentado",ISNUMBER(Q13)),Q13,"")</f>
        <v/>
      </c>
      <c r="AU13" s="27" t="n">
        <f aca="false">IF(AND(D13="XVI - Activos virtuales (PSAV): operación de intercambio/transferencia",M13="Sí",ISNUMBER(AE13)),IF(AK13&gt;=AE13,1,0),0)</f>
        <v>0</v>
      </c>
      <c r="AV13" s="30" t="n">
        <f aca="false">IF(NOT(ISNUMBER(B13)),CONFIG!$B$4,IFERROR(INDEX(CONFIG!$I$5:$I$14,MATCH(IF(MONTH(B13)=1,YEAR(B13)-1,YEAR(B13)),CONFIG!$H$5:$H$14,0)),CONFIG!$B$4))</f>
        <v>117.31</v>
      </c>
      <c r="AW13" s="27" t="n">
        <f aca="false">IF(AND(LEFT(D13,4)="I - ",ISNUMBER(B13),C13&lt;&gt;""),SUMIFS($E$6:$E$505,$C$6:$C$505,C13,$D$6:$D$505,D13,$B$6:$B$505,"&gt;"&amp;(B13-1),$B$6:$B$505,"&lt;="&amp;B13),0)</f>
        <v>0</v>
      </c>
      <c r="AX13" s="0" t="str">
        <f aca="false">IF(E13="","",IF(AD13="Siempre","AVISO (siempre)",IF(AD13="No aplica","Sin Aviso (sólo preparas: Ley 17 XI)",IF(NOT(ISNUMBER(AE13)),"",IF(AA13&lt;&gt;"ACUMULA",IF(E13&gt;=AE13,IF(AND(D13="XVI - Activos virtuales (PSAV): cobro de contraprestación (comisión) por el servicio",COUNTIFS($C$6:$C$505,C13,$B$6:$B$505,"&gt;="&amp;INT(B13),$B$6:$B$505,"&lt;"&amp;(INT(B13)+1),$AU$6:$AU$505,1)&gt;0),"En el Aviso del inciso a) (R 31 Bis)","AVISO"),"—"),IF(M13&lt;&gt;"Sí","—",IF(AK13&gt;=AE13,IF(AK13=E13,"AVISO","AVISO (acumulado)"),"Acumulando")))))))</f>
        <v/>
      </c>
    </row>
    <row r="14" customFormat="false" ht="15" hidden="false" customHeight="false" outlineLevel="0" collapsed="false">
      <c r="A14" s="9" t="str">
        <f aca="false">IF(E14="","",ROW()-5)</f>
        <v/>
      </c>
      <c r="B14" s="20"/>
      <c r="C14" s="21"/>
      <c r="D14" s="21"/>
      <c r="E14" s="22"/>
      <c r="F14" s="22"/>
      <c r="G14" s="21"/>
      <c r="H14" s="21"/>
      <c r="I14" s="9" t="str">
        <f aca="false">IF(C14="","",IFERROR(INDEX(CLIENTES!$B$6:$B$305,MATCH(C14,CLIENTES!$A$6:$A$305,0)),"⚠ ID no registrado"))</f>
        <v/>
      </c>
      <c r="J14" s="9" t="str">
        <f aca="false">IF(C14="","",IFERROR(INDEX(CLIENTES!$Z$6:$Z$305,MATCH(C14,CLIENTES!$A$6:$A$305,0)),""))</f>
        <v/>
      </c>
      <c r="K14" s="9" t="str">
        <f aca="false">IF(E14="","",IF(AB14="Siempre","Sí",IF(ISNUMBER(AC14),IF(E14&gt;=AC14,"Sí",IF(AW14&gt;=AC14,"Sí (serie 24 h)","No")),"")))</f>
        <v/>
      </c>
      <c r="L14" s="9" t="str">
        <f aca="false">IF(E14="","",AA14)</f>
        <v/>
      </c>
      <c r="M14" s="9" t="str">
        <f aca="false">IF(E14="","",IF(AA14&lt;&gt;"ACUMULA","No aplica",IF(LEFT(K14,2)="Sí","Sí","No")))</f>
        <v/>
      </c>
      <c r="N14" s="23" t="str">
        <f aca="false">IF(M14="Sí",AJ14,"")</f>
        <v/>
      </c>
      <c r="O14" s="24" t="str">
        <f aca="false">IF(M14="Sí",AK14,"")</f>
        <v/>
      </c>
      <c r="P14" s="25" t="str">
        <f aca="false">IF(AND(LEFT(D14,6)="XIV - ",LEFT(AX14,5)="AVISO"),"Pedimento (R 16): no va al SPPLD",AX14)</f>
        <v/>
      </c>
      <c r="Q14" s="23" t="str">
        <f aca="false">IF(LEFT(P14,5)="AVISO",IF(ISNUMBER(B14),DATE(YEAR(B14),MONTH(B14)+1,17),"Falta fecha"),"")</f>
        <v/>
      </c>
      <c r="R14" s="9" t="str">
        <f aca="false">IF(OR(F14="",F14=0),"",IF(ISNUMBER(AG14),IF(F14&gt;=AG14,"PROHIBIDO","Dentro del límite"),"No aplica"))</f>
        <v/>
      </c>
      <c r="S14" s="26" t="str">
        <f aca="false">IF(E14="","",MID(IF(AQ14=1," · Excede el perfil declarado","")&amp;IF(H14="Sí"," · Paga un tercero","")&amp;IF(J14="Alto"," · Cliente de riesgo alto: DDR (RCG 23 Ter 3 y 4)","")&amp;IF(AND(AS14&lt;&gt;"",AS14&lt;&gt;"No",AS14&lt;&gt;0)," · PEP","")&amp;IF(R14="PROHIBIDO"," · Efectivo prohibido: no lo recibas (Art. 32)","")&amp;IF(AR14=1," · ⚠ Fecha fuera de orden","")&amp;IF(LEFT(I14,1)="⚠"," · ⚠ Cliente no registrado","")&amp;IF(D14=""," · ⚠ Falta la actividad","")&amp;IF(AND(LEFT(P14,5)="AVISO",W14="")," · Captura la cifra total con IVA para el Aviso","")&amp;IF(AND(ISNUMBER(W14),W14&lt;E14)," · ⚠ La cifra con IVA es menor que el monto sin IVA",""),4,400))</f>
        <v/>
      </c>
      <c r="T14" s="21"/>
      <c r="U14" s="20"/>
      <c r="V14" s="9" t="str">
        <f aca="false">IF(LEFT(P14,5)&lt;&gt;"AVISO","",IF(T14="Presentado",IF(AND(ISNUMBER(U14),ISNUMBER(Q14),U14&gt;Q14),"Presentado tarde","Presentado"),IF(NOT(ISNUMBER(Q14)),"Falta fecha",IF(Q14&lt;CONFIG!$B$6,"VENCIDO","Vence en "&amp;(Q14-CONFIG!$B$6)&amp;" días"))))</f>
        <v/>
      </c>
      <c r="W14" s="22"/>
      <c r="X14" s="21"/>
      <c r="AA14" s="0" t="str">
        <f aca="false">IF(AM14="","",INDEX(CATÁLOGO!$D$5:$D$39,AM14))</f>
        <v/>
      </c>
      <c r="AB14" s="0" t="str">
        <f aca="false">IF(AM14="","",INDEX(CATÁLOGO!$E$5:$E$39,AM14))</f>
        <v/>
      </c>
      <c r="AC14" s="0" t="str">
        <f aca="false">IF(AB14="","",IF(ISNUMBER(AB14),AB14*AV14,AB14))</f>
        <v/>
      </c>
      <c r="AD14" s="0" t="str">
        <f aca="false">IF(AM14="","",INDEX(CATÁLOGO!$F$5:$F$39,AM14))</f>
        <v/>
      </c>
      <c r="AE14" s="0" t="str">
        <f aca="false">IF(AD14="","",IF(ISNUMBER(AD14),AD14*AV14,AD14))</f>
        <v/>
      </c>
      <c r="AF14" s="0" t="str">
        <f aca="false">IF(AM14="","",INDEX(CATÁLOGO!$G$5:$G$39,AM14))</f>
        <v/>
      </c>
      <c r="AG14" s="0" t="str">
        <f aca="false">IF(AF14="","",IF(ISNUMBER(AF14),AF14*AV14,AF14))</f>
        <v/>
      </c>
      <c r="AH14" s="0" t="str">
        <f aca="false">IF(E14="","",C14&amp;"|"&amp;D14)</f>
        <v/>
      </c>
      <c r="AI14" s="27" t="n">
        <f aca="false">IF(M14&lt;&gt;"Sí",0,SUMPRODUCT(MAX(($AH$5:AH13=AH14)*($M$5:M13="Sí")*ROW($AH$5:AH13))))</f>
        <v>0</v>
      </c>
      <c r="AJ14" s="0" t="str">
        <f aca="false">IF(M14&lt;&gt;"Sí","",IF(AL14=1,B14,INDEX($AJ:$AJ,AI14)))</f>
        <v/>
      </c>
      <c r="AK14" s="0" t="str">
        <f aca="false">IF(M14&lt;&gt;"Sí","",IF(AL14=1,E14,INDEX($AK:$AK,AI14)+E14))</f>
        <v/>
      </c>
      <c r="AL14" s="0" t="str">
        <f aca="false">IF(M14&lt;&gt;"Sí","",IF(AI14=0,1,IF(INDEX($AN:$AN,AI14)=0,1,IF(B14&gt;=EDATE(INDEX($AJ:$AJ,AI14),6),1,0))))</f>
        <v/>
      </c>
      <c r="AM14" s="0" t="str">
        <f aca="false">IF(D14="","",IFERROR(MATCH(D14,CATÁLOGO!$C$5:$C$39,0),""))</f>
        <v/>
      </c>
      <c r="AN14" s="0" t="str">
        <f aca="false">IF(M14&lt;&gt;"Sí","",IF(AND(ISNUMBER(AE14),AK14&gt;=AE14),0,1))</f>
        <v/>
      </c>
      <c r="AO14" s="0" t="str">
        <f aca="false">IF(OR(E14="",C14="",NOT(ISNUMBER(B14))),"",SUMIFS($E$6:$E$505,$C$6:$C$505,C14,$B$6:$B$505,"&gt;="&amp;DATE(YEAR(B14),MONTH(B14),1),$B$6:$B$505,"&lt;"&amp;DATE(YEAR(B14),MONTH(B14)+1,1)))</f>
        <v/>
      </c>
      <c r="AP14" s="0" t="str">
        <f aca="false">IF(C14="","",IFERROR(INDEX(CLIENTES!$M$6:$M$305,MATCH(C14,CLIENTES!$A$6:$A$305,0)),""))</f>
        <v/>
      </c>
      <c r="AQ14" s="27" t="n">
        <f aca="false">IF(AND(ISNUMBER(AO14),ISNUMBER(AP14)),IF(AND(AP14&gt;0,AO14&gt;AP14),1,0),0)</f>
        <v>0</v>
      </c>
      <c r="AR14" s="27" t="n">
        <f aca="false">IF(NOT(ISNUMBER(B14)),0,IF(B14&lt;MAX($B$5:B13),1,0))</f>
        <v>0</v>
      </c>
      <c r="AS14" s="0" t="str">
        <f aca="false">IF(C14="","",IFERROR(INDEX(CLIENTES!$H$6:$H$305,MATCH(C14,CLIENTES!$A$6:$A$305,0)),""))</f>
        <v/>
      </c>
      <c r="AT14" s="0" t="str">
        <f aca="false">IF(AND(LEFT(P14,5)="AVISO",T14&lt;&gt;"Presentado",ISNUMBER(Q14)),Q14,"")</f>
        <v/>
      </c>
      <c r="AU14" s="27" t="n">
        <f aca="false">IF(AND(D14="XVI - Activos virtuales (PSAV): operación de intercambio/transferencia",M14="Sí",ISNUMBER(AE14)),IF(AK14&gt;=AE14,1,0),0)</f>
        <v>0</v>
      </c>
      <c r="AV14" s="30" t="n">
        <f aca="false">IF(NOT(ISNUMBER(B14)),CONFIG!$B$4,IFERROR(INDEX(CONFIG!$I$5:$I$14,MATCH(IF(MONTH(B14)=1,YEAR(B14)-1,YEAR(B14)),CONFIG!$H$5:$H$14,0)),CONFIG!$B$4))</f>
        <v>117.31</v>
      </c>
      <c r="AW14" s="27" t="n">
        <f aca="false">IF(AND(LEFT(D14,4)="I - ",ISNUMBER(B14),C14&lt;&gt;""),SUMIFS($E$6:$E$505,$C$6:$C$505,C14,$D$6:$D$505,D14,$B$6:$B$505,"&gt;"&amp;(B14-1),$B$6:$B$505,"&lt;="&amp;B14),0)</f>
        <v>0</v>
      </c>
      <c r="AX14" s="0" t="str">
        <f aca="false">IF(E14="","",IF(AD14="Siempre","AVISO (siempre)",IF(AD14="No aplica","Sin Aviso (sólo preparas: Ley 17 XI)",IF(NOT(ISNUMBER(AE14)),"",IF(AA14&lt;&gt;"ACUMULA",IF(E14&gt;=AE14,IF(AND(D14="XVI - Activos virtuales (PSAV): cobro de contraprestación (comisión) por el servicio",COUNTIFS($C$6:$C$505,C14,$B$6:$B$505,"&gt;="&amp;INT(B14),$B$6:$B$505,"&lt;"&amp;(INT(B14)+1),$AU$6:$AU$505,1)&gt;0),"En el Aviso del inciso a) (R 31 Bis)","AVISO"),"—"),IF(M14&lt;&gt;"Sí","—",IF(AK14&gt;=AE14,IF(AK14=E14,"AVISO","AVISO (acumulado)"),"Acumulando")))))))</f>
        <v/>
      </c>
    </row>
    <row r="15" customFormat="false" ht="15" hidden="false" customHeight="false" outlineLevel="0" collapsed="false">
      <c r="A15" s="9" t="str">
        <f aca="false">IF(E15="","",ROW()-5)</f>
        <v/>
      </c>
      <c r="B15" s="20"/>
      <c r="C15" s="21"/>
      <c r="D15" s="21"/>
      <c r="E15" s="22"/>
      <c r="F15" s="22"/>
      <c r="G15" s="21"/>
      <c r="H15" s="21"/>
      <c r="I15" s="9" t="str">
        <f aca="false">IF(C15="","",IFERROR(INDEX(CLIENTES!$B$6:$B$305,MATCH(C15,CLIENTES!$A$6:$A$305,0)),"⚠ ID no registrado"))</f>
        <v/>
      </c>
      <c r="J15" s="9" t="str">
        <f aca="false">IF(C15="","",IFERROR(INDEX(CLIENTES!$Z$6:$Z$305,MATCH(C15,CLIENTES!$A$6:$A$305,0)),""))</f>
        <v/>
      </c>
      <c r="K15" s="9" t="str">
        <f aca="false">IF(E15="","",IF(AB15="Siempre","Sí",IF(ISNUMBER(AC15),IF(E15&gt;=AC15,"Sí",IF(AW15&gt;=AC15,"Sí (serie 24 h)","No")),"")))</f>
        <v/>
      </c>
      <c r="L15" s="9" t="str">
        <f aca="false">IF(E15="","",AA15)</f>
        <v/>
      </c>
      <c r="M15" s="9" t="str">
        <f aca="false">IF(E15="","",IF(AA15&lt;&gt;"ACUMULA","No aplica",IF(LEFT(K15,2)="Sí","Sí","No")))</f>
        <v/>
      </c>
      <c r="N15" s="23" t="str">
        <f aca="false">IF(M15="Sí",AJ15,"")</f>
        <v/>
      </c>
      <c r="O15" s="24" t="str">
        <f aca="false">IF(M15="Sí",AK15,"")</f>
        <v/>
      </c>
      <c r="P15" s="25" t="str">
        <f aca="false">IF(AND(LEFT(D15,6)="XIV - ",LEFT(AX15,5)="AVISO"),"Pedimento (R 16): no va al SPPLD",AX15)</f>
        <v/>
      </c>
      <c r="Q15" s="23" t="str">
        <f aca="false">IF(LEFT(P15,5)="AVISO",IF(ISNUMBER(B15),DATE(YEAR(B15),MONTH(B15)+1,17),"Falta fecha"),"")</f>
        <v/>
      </c>
      <c r="R15" s="9" t="str">
        <f aca="false">IF(OR(F15="",F15=0),"",IF(ISNUMBER(AG15),IF(F15&gt;=AG15,"PROHIBIDO","Dentro del límite"),"No aplica"))</f>
        <v/>
      </c>
      <c r="S15" s="26" t="str">
        <f aca="false">IF(E15="","",MID(IF(AQ15=1," · Excede el perfil declarado","")&amp;IF(H15="Sí"," · Paga un tercero","")&amp;IF(J15="Alto"," · Cliente de riesgo alto: DDR (RCG 23 Ter 3 y 4)","")&amp;IF(AND(AS15&lt;&gt;"",AS15&lt;&gt;"No",AS15&lt;&gt;0)," · PEP","")&amp;IF(R15="PROHIBIDO"," · Efectivo prohibido: no lo recibas (Art. 32)","")&amp;IF(AR15=1," · ⚠ Fecha fuera de orden","")&amp;IF(LEFT(I15,1)="⚠"," · ⚠ Cliente no registrado","")&amp;IF(D15=""," · ⚠ Falta la actividad","")&amp;IF(AND(LEFT(P15,5)="AVISO",W15="")," · Captura la cifra total con IVA para el Aviso","")&amp;IF(AND(ISNUMBER(W15),W15&lt;E15)," · ⚠ La cifra con IVA es menor que el monto sin IVA",""),4,400))</f>
        <v/>
      </c>
      <c r="T15" s="21"/>
      <c r="U15" s="20"/>
      <c r="V15" s="9" t="str">
        <f aca="false">IF(LEFT(P15,5)&lt;&gt;"AVISO","",IF(T15="Presentado",IF(AND(ISNUMBER(U15),ISNUMBER(Q15),U15&gt;Q15),"Presentado tarde","Presentado"),IF(NOT(ISNUMBER(Q15)),"Falta fecha",IF(Q15&lt;CONFIG!$B$6,"VENCIDO","Vence en "&amp;(Q15-CONFIG!$B$6)&amp;" días"))))</f>
        <v/>
      </c>
      <c r="W15" s="22"/>
      <c r="X15" s="21"/>
      <c r="AA15" s="0" t="str">
        <f aca="false">IF(AM15="","",INDEX(CATÁLOGO!$D$5:$D$39,AM15))</f>
        <v/>
      </c>
      <c r="AB15" s="0" t="str">
        <f aca="false">IF(AM15="","",INDEX(CATÁLOGO!$E$5:$E$39,AM15))</f>
        <v/>
      </c>
      <c r="AC15" s="0" t="str">
        <f aca="false">IF(AB15="","",IF(ISNUMBER(AB15),AB15*AV15,AB15))</f>
        <v/>
      </c>
      <c r="AD15" s="0" t="str">
        <f aca="false">IF(AM15="","",INDEX(CATÁLOGO!$F$5:$F$39,AM15))</f>
        <v/>
      </c>
      <c r="AE15" s="0" t="str">
        <f aca="false">IF(AD15="","",IF(ISNUMBER(AD15),AD15*AV15,AD15))</f>
        <v/>
      </c>
      <c r="AF15" s="0" t="str">
        <f aca="false">IF(AM15="","",INDEX(CATÁLOGO!$G$5:$G$39,AM15))</f>
        <v/>
      </c>
      <c r="AG15" s="0" t="str">
        <f aca="false">IF(AF15="","",IF(ISNUMBER(AF15),AF15*AV15,AF15))</f>
        <v/>
      </c>
      <c r="AH15" s="0" t="str">
        <f aca="false">IF(E15="","",C15&amp;"|"&amp;D15)</f>
        <v/>
      </c>
      <c r="AI15" s="27" t="n">
        <f aca="false">IF(M15&lt;&gt;"Sí",0,SUMPRODUCT(MAX(($AH$5:AH14=AH15)*($M$5:M14="Sí")*ROW($AH$5:AH14))))</f>
        <v>0</v>
      </c>
      <c r="AJ15" s="0" t="str">
        <f aca="false">IF(M15&lt;&gt;"Sí","",IF(AL15=1,B15,INDEX($AJ:$AJ,AI15)))</f>
        <v/>
      </c>
      <c r="AK15" s="0" t="str">
        <f aca="false">IF(M15&lt;&gt;"Sí","",IF(AL15=1,E15,INDEX($AK:$AK,AI15)+E15))</f>
        <v/>
      </c>
      <c r="AL15" s="0" t="str">
        <f aca="false">IF(M15&lt;&gt;"Sí","",IF(AI15=0,1,IF(INDEX($AN:$AN,AI15)=0,1,IF(B15&gt;=EDATE(INDEX($AJ:$AJ,AI15),6),1,0))))</f>
        <v/>
      </c>
      <c r="AM15" s="0" t="str">
        <f aca="false">IF(D15="","",IFERROR(MATCH(D15,CATÁLOGO!$C$5:$C$39,0),""))</f>
        <v/>
      </c>
      <c r="AN15" s="0" t="str">
        <f aca="false">IF(M15&lt;&gt;"Sí","",IF(AND(ISNUMBER(AE15),AK15&gt;=AE15),0,1))</f>
        <v/>
      </c>
      <c r="AO15" s="0" t="str">
        <f aca="false">IF(OR(E15="",C15="",NOT(ISNUMBER(B15))),"",SUMIFS($E$6:$E$505,$C$6:$C$505,C15,$B$6:$B$505,"&gt;="&amp;DATE(YEAR(B15),MONTH(B15),1),$B$6:$B$505,"&lt;"&amp;DATE(YEAR(B15),MONTH(B15)+1,1)))</f>
        <v/>
      </c>
      <c r="AP15" s="0" t="str">
        <f aca="false">IF(C15="","",IFERROR(INDEX(CLIENTES!$M$6:$M$305,MATCH(C15,CLIENTES!$A$6:$A$305,0)),""))</f>
        <v/>
      </c>
      <c r="AQ15" s="27" t="n">
        <f aca="false">IF(AND(ISNUMBER(AO15),ISNUMBER(AP15)),IF(AND(AP15&gt;0,AO15&gt;AP15),1,0),0)</f>
        <v>0</v>
      </c>
      <c r="AR15" s="27" t="n">
        <f aca="false">IF(NOT(ISNUMBER(B15)),0,IF(B15&lt;MAX($B$5:B14),1,0))</f>
        <v>0</v>
      </c>
      <c r="AS15" s="0" t="str">
        <f aca="false">IF(C15="","",IFERROR(INDEX(CLIENTES!$H$6:$H$305,MATCH(C15,CLIENTES!$A$6:$A$305,0)),""))</f>
        <v/>
      </c>
      <c r="AT15" s="0" t="str">
        <f aca="false">IF(AND(LEFT(P15,5)="AVISO",T15&lt;&gt;"Presentado",ISNUMBER(Q15)),Q15,"")</f>
        <v/>
      </c>
      <c r="AU15" s="27" t="n">
        <f aca="false">IF(AND(D15="XVI - Activos virtuales (PSAV): operación de intercambio/transferencia",M15="Sí",ISNUMBER(AE15)),IF(AK15&gt;=AE15,1,0),0)</f>
        <v>0</v>
      </c>
      <c r="AV15" s="30" t="n">
        <f aca="false">IF(NOT(ISNUMBER(B15)),CONFIG!$B$4,IFERROR(INDEX(CONFIG!$I$5:$I$14,MATCH(IF(MONTH(B15)=1,YEAR(B15)-1,YEAR(B15)),CONFIG!$H$5:$H$14,0)),CONFIG!$B$4))</f>
        <v>117.31</v>
      </c>
      <c r="AW15" s="27" t="n">
        <f aca="false">IF(AND(LEFT(D15,4)="I - ",ISNUMBER(B15),C15&lt;&gt;""),SUMIFS($E$6:$E$505,$C$6:$C$505,C15,$D$6:$D$505,D15,$B$6:$B$505,"&gt;"&amp;(B15-1),$B$6:$B$505,"&lt;="&amp;B15),0)</f>
        <v>0</v>
      </c>
      <c r="AX15" s="0" t="str">
        <f aca="false">IF(E15="","",IF(AD15="Siempre","AVISO (siempre)",IF(AD15="No aplica","Sin Aviso (sólo preparas: Ley 17 XI)",IF(NOT(ISNUMBER(AE15)),"",IF(AA15&lt;&gt;"ACUMULA",IF(E15&gt;=AE15,IF(AND(D15="XVI - Activos virtuales (PSAV): cobro de contraprestación (comisión) por el servicio",COUNTIFS($C$6:$C$505,C15,$B$6:$B$505,"&gt;="&amp;INT(B15),$B$6:$B$505,"&lt;"&amp;(INT(B15)+1),$AU$6:$AU$505,1)&gt;0),"En el Aviso del inciso a) (R 31 Bis)","AVISO"),"—"),IF(M15&lt;&gt;"Sí","—",IF(AK15&gt;=AE15,IF(AK15=E15,"AVISO","AVISO (acumulado)"),"Acumulando")))))))</f>
        <v/>
      </c>
    </row>
    <row r="16" customFormat="false" ht="15" hidden="false" customHeight="false" outlineLevel="0" collapsed="false">
      <c r="A16" s="9" t="str">
        <f aca="false">IF(E16="","",ROW()-5)</f>
        <v/>
      </c>
      <c r="B16" s="20"/>
      <c r="C16" s="21"/>
      <c r="D16" s="21"/>
      <c r="E16" s="22"/>
      <c r="F16" s="22"/>
      <c r="G16" s="21"/>
      <c r="H16" s="21"/>
      <c r="I16" s="9" t="str">
        <f aca="false">IF(C16="","",IFERROR(INDEX(CLIENTES!$B$6:$B$305,MATCH(C16,CLIENTES!$A$6:$A$305,0)),"⚠ ID no registrado"))</f>
        <v/>
      </c>
      <c r="J16" s="9" t="str">
        <f aca="false">IF(C16="","",IFERROR(INDEX(CLIENTES!$Z$6:$Z$305,MATCH(C16,CLIENTES!$A$6:$A$305,0)),""))</f>
        <v/>
      </c>
      <c r="K16" s="9" t="str">
        <f aca="false">IF(E16="","",IF(AB16="Siempre","Sí",IF(ISNUMBER(AC16),IF(E16&gt;=AC16,"Sí",IF(AW16&gt;=AC16,"Sí (serie 24 h)","No")),"")))</f>
        <v/>
      </c>
      <c r="L16" s="9" t="str">
        <f aca="false">IF(E16="","",AA16)</f>
        <v/>
      </c>
      <c r="M16" s="9" t="str">
        <f aca="false">IF(E16="","",IF(AA16&lt;&gt;"ACUMULA","No aplica",IF(LEFT(K16,2)="Sí","Sí","No")))</f>
        <v/>
      </c>
      <c r="N16" s="23" t="str">
        <f aca="false">IF(M16="Sí",AJ16,"")</f>
        <v/>
      </c>
      <c r="O16" s="24" t="str">
        <f aca="false">IF(M16="Sí",AK16,"")</f>
        <v/>
      </c>
      <c r="P16" s="25" t="str">
        <f aca="false">IF(AND(LEFT(D16,6)="XIV - ",LEFT(AX16,5)="AVISO"),"Pedimento (R 16): no va al SPPLD",AX16)</f>
        <v/>
      </c>
      <c r="Q16" s="23" t="str">
        <f aca="false">IF(LEFT(P16,5)="AVISO",IF(ISNUMBER(B16),DATE(YEAR(B16),MONTH(B16)+1,17),"Falta fecha"),"")</f>
        <v/>
      </c>
      <c r="R16" s="9" t="str">
        <f aca="false">IF(OR(F16="",F16=0),"",IF(ISNUMBER(AG16),IF(F16&gt;=AG16,"PROHIBIDO","Dentro del límite"),"No aplica"))</f>
        <v/>
      </c>
      <c r="S16" s="26" t="str">
        <f aca="false">IF(E16="","",MID(IF(AQ16=1," · Excede el perfil declarado","")&amp;IF(H16="Sí"," · Paga un tercero","")&amp;IF(J16="Alto"," · Cliente de riesgo alto: DDR (RCG 23 Ter 3 y 4)","")&amp;IF(AND(AS16&lt;&gt;"",AS16&lt;&gt;"No",AS16&lt;&gt;0)," · PEP","")&amp;IF(R16="PROHIBIDO"," · Efectivo prohibido: no lo recibas (Art. 32)","")&amp;IF(AR16=1," · ⚠ Fecha fuera de orden","")&amp;IF(LEFT(I16,1)="⚠"," · ⚠ Cliente no registrado","")&amp;IF(D16=""," · ⚠ Falta la actividad","")&amp;IF(AND(LEFT(P16,5)="AVISO",W16="")," · Captura la cifra total con IVA para el Aviso","")&amp;IF(AND(ISNUMBER(W16),W16&lt;E16)," · ⚠ La cifra con IVA es menor que el monto sin IVA",""),4,400))</f>
        <v/>
      </c>
      <c r="T16" s="21"/>
      <c r="U16" s="20"/>
      <c r="V16" s="9" t="str">
        <f aca="false">IF(LEFT(P16,5)&lt;&gt;"AVISO","",IF(T16="Presentado",IF(AND(ISNUMBER(U16),ISNUMBER(Q16),U16&gt;Q16),"Presentado tarde","Presentado"),IF(NOT(ISNUMBER(Q16)),"Falta fecha",IF(Q16&lt;CONFIG!$B$6,"VENCIDO","Vence en "&amp;(Q16-CONFIG!$B$6)&amp;" días"))))</f>
        <v/>
      </c>
      <c r="W16" s="22"/>
      <c r="X16" s="21"/>
      <c r="AA16" s="0" t="str">
        <f aca="false">IF(AM16="","",INDEX(CATÁLOGO!$D$5:$D$39,AM16))</f>
        <v/>
      </c>
      <c r="AB16" s="0" t="str">
        <f aca="false">IF(AM16="","",INDEX(CATÁLOGO!$E$5:$E$39,AM16))</f>
        <v/>
      </c>
      <c r="AC16" s="0" t="str">
        <f aca="false">IF(AB16="","",IF(ISNUMBER(AB16),AB16*AV16,AB16))</f>
        <v/>
      </c>
      <c r="AD16" s="0" t="str">
        <f aca="false">IF(AM16="","",INDEX(CATÁLOGO!$F$5:$F$39,AM16))</f>
        <v/>
      </c>
      <c r="AE16" s="0" t="str">
        <f aca="false">IF(AD16="","",IF(ISNUMBER(AD16),AD16*AV16,AD16))</f>
        <v/>
      </c>
      <c r="AF16" s="0" t="str">
        <f aca="false">IF(AM16="","",INDEX(CATÁLOGO!$G$5:$G$39,AM16))</f>
        <v/>
      </c>
      <c r="AG16" s="0" t="str">
        <f aca="false">IF(AF16="","",IF(ISNUMBER(AF16),AF16*AV16,AF16))</f>
        <v/>
      </c>
      <c r="AH16" s="0" t="str">
        <f aca="false">IF(E16="","",C16&amp;"|"&amp;D16)</f>
        <v/>
      </c>
      <c r="AI16" s="27" t="n">
        <f aca="false">IF(M16&lt;&gt;"Sí",0,SUMPRODUCT(MAX(($AH$5:AH15=AH16)*($M$5:M15="Sí")*ROW($AH$5:AH15))))</f>
        <v>0</v>
      </c>
      <c r="AJ16" s="0" t="str">
        <f aca="false">IF(M16&lt;&gt;"Sí","",IF(AL16=1,B16,INDEX($AJ:$AJ,AI16)))</f>
        <v/>
      </c>
      <c r="AK16" s="0" t="str">
        <f aca="false">IF(M16&lt;&gt;"Sí","",IF(AL16=1,E16,INDEX($AK:$AK,AI16)+E16))</f>
        <v/>
      </c>
      <c r="AL16" s="0" t="str">
        <f aca="false">IF(M16&lt;&gt;"Sí","",IF(AI16=0,1,IF(INDEX($AN:$AN,AI16)=0,1,IF(B16&gt;=EDATE(INDEX($AJ:$AJ,AI16),6),1,0))))</f>
        <v/>
      </c>
      <c r="AM16" s="0" t="str">
        <f aca="false">IF(D16="","",IFERROR(MATCH(D16,CATÁLOGO!$C$5:$C$39,0),""))</f>
        <v/>
      </c>
      <c r="AN16" s="0" t="str">
        <f aca="false">IF(M16&lt;&gt;"Sí","",IF(AND(ISNUMBER(AE16),AK16&gt;=AE16),0,1))</f>
        <v/>
      </c>
      <c r="AO16" s="0" t="str">
        <f aca="false">IF(OR(E16="",C16="",NOT(ISNUMBER(B16))),"",SUMIFS($E$6:$E$505,$C$6:$C$505,C16,$B$6:$B$505,"&gt;="&amp;DATE(YEAR(B16),MONTH(B16),1),$B$6:$B$505,"&lt;"&amp;DATE(YEAR(B16),MONTH(B16)+1,1)))</f>
        <v/>
      </c>
      <c r="AP16" s="0" t="str">
        <f aca="false">IF(C16="","",IFERROR(INDEX(CLIENTES!$M$6:$M$305,MATCH(C16,CLIENTES!$A$6:$A$305,0)),""))</f>
        <v/>
      </c>
      <c r="AQ16" s="27" t="n">
        <f aca="false">IF(AND(ISNUMBER(AO16),ISNUMBER(AP16)),IF(AND(AP16&gt;0,AO16&gt;AP16),1,0),0)</f>
        <v>0</v>
      </c>
      <c r="AR16" s="27" t="n">
        <f aca="false">IF(NOT(ISNUMBER(B16)),0,IF(B16&lt;MAX($B$5:B15),1,0))</f>
        <v>0</v>
      </c>
      <c r="AS16" s="0" t="str">
        <f aca="false">IF(C16="","",IFERROR(INDEX(CLIENTES!$H$6:$H$305,MATCH(C16,CLIENTES!$A$6:$A$305,0)),""))</f>
        <v/>
      </c>
      <c r="AT16" s="0" t="str">
        <f aca="false">IF(AND(LEFT(P16,5)="AVISO",T16&lt;&gt;"Presentado",ISNUMBER(Q16)),Q16,"")</f>
        <v/>
      </c>
      <c r="AU16" s="27" t="n">
        <f aca="false">IF(AND(D16="XVI - Activos virtuales (PSAV): operación de intercambio/transferencia",M16="Sí",ISNUMBER(AE16)),IF(AK16&gt;=AE16,1,0),0)</f>
        <v>0</v>
      </c>
      <c r="AV16" s="30" t="n">
        <f aca="false">IF(NOT(ISNUMBER(B16)),CONFIG!$B$4,IFERROR(INDEX(CONFIG!$I$5:$I$14,MATCH(IF(MONTH(B16)=1,YEAR(B16)-1,YEAR(B16)),CONFIG!$H$5:$H$14,0)),CONFIG!$B$4))</f>
        <v>117.31</v>
      </c>
      <c r="AW16" s="27" t="n">
        <f aca="false">IF(AND(LEFT(D16,4)="I - ",ISNUMBER(B16),C16&lt;&gt;""),SUMIFS($E$6:$E$505,$C$6:$C$505,C16,$D$6:$D$505,D16,$B$6:$B$505,"&gt;"&amp;(B16-1),$B$6:$B$505,"&lt;="&amp;B16),0)</f>
        <v>0</v>
      </c>
      <c r="AX16" s="0" t="str">
        <f aca="false">IF(E16="","",IF(AD16="Siempre","AVISO (siempre)",IF(AD16="No aplica","Sin Aviso (sólo preparas: Ley 17 XI)",IF(NOT(ISNUMBER(AE16)),"",IF(AA16&lt;&gt;"ACUMULA",IF(E16&gt;=AE16,IF(AND(D16="XVI - Activos virtuales (PSAV): cobro de contraprestación (comisión) por el servicio",COUNTIFS($C$6:$C$505,C16,$B$6:$B$505,"&gt;="&amp;INT(B16),$B$6:$B$505,"&lt;"&amp;(INT(B16)+1),$AU$6:$AU$505,1)&gt;0),"En el Aviso del inciso a) (R 31 Bis)","AVISO"),"—"),IF(M16&lt;&gt;"Sí","—",IF(AK16&gt;=AE16,IF(AK16=E16,"AVISO","AVISO (acumulado)"),"Acumulando")))))))</f>
        <v/>
      </c>
    </row>
    <row r="17" customFormat="false" ht="15" hidden="false" customHeight="false" outlineLevel="0" collapsed="false">
      <c r="A17" s="9" t="str">
        <f aca="false">IF(E17="","",ROW()-5)</f>
        <v/>
      </c>
      <c r="B17" s="20"/>
      <c r="C17" s="21"/>
      <c r="D17" s="21"/>
      <c r="E17" s="22"/>
      <c r="F17" s="22"/>
      <c r="G17" s="21"/>
      <c r="H17" s="21"/>
      <c r="I17" s="9" t="str">
        <f aca="false">IF(C17="","",IFERROR(INDEX(CLIENTES!$B$6:$B$305,MATCH(C17,CLIENTES!$A$6:$A$305,0)),"⚠ ID no registrado"))</f>
        <v/>
      </c>
      <c r="J17" s="9" t="str">
        <f aca="false">IF(C17="","",IFERROR(INDEX(CLIENTES!$Z$6:$Z$305,MATCH(C17,CLIENTES!$A$6:$A$305,0)),""))</f>
        <v/>
      </c>
      <c r="K17" s="9" t="str">
        <f aca="false">IF(E17="","",IF(AB17="Siempre","Sí",IF(ISNUMBER(AC17),IF(E17&gt;=AC17,"Sí",IF(AW17&gt;=AC17,"Sí (serie 24 h)","No")),"")))</f>
        <v/>
      </c>
      <c r="L17" s="9" t="str">
        <f aca="false">IF(E17="","",AA17)</f>
        <v/>
      </c>
      <c r="M17" s="9" t="str">
        <f aca="false">IF(E17="","",IF(AA17&lt;&gt;"ACUMULA","No aplica",IF(LEFT(K17,2)="Sí","Sí","No")))</f>
        <v/>
      </c>
      <c r="N17" s="23" t="str">
        <f aca="false">IF(M17="Sí",AJ17,"")</f>
        <v/>
      </c>
      <c r="O17" s="24" t="str">
        <f aca="false">IF(M17="Sí",AK17,"")</f>
        <v/>
      </c>
      <c r="P17" s="25" t="str">
        <f aca="false">IF(AND(LEFT(D17,6)="XIV - ",LEFT(AX17,5)="AVISO"),"Pedimento (R 16): no va al SPPLD",AX17)</f>
        <v/>
      </c>
      <c r="Q17" s="23" t="str">
        <f aca="false">IF(LEFT(P17,5)="AVISO",IF(ISNUMBER(B17),DATE(YEAR(B17),MONTH(B17)+1,17),"Falta fecha"),"")</f>
        <v/>
      </c>
      <c r="R17" s="9" t="str">
        <f aca="false">IF(OR(F17="",F17=0),"",IF(ISNUMBER(AG17),IF(F17&gt;=AG17,"PROHIBIDO","Dentro del límite"),"No aplica"))</f>
        <v/>
      </c>
      <c r="S17" s="26" t="str">
        <f aca="false">IF(E17="","",MID(IF(AQ17=1," · Excede el perfil declarado","")&amp;IF(H17="Sí"," · Paga un tercero","")&amp;IF(J17="Alto"," · Cliente de riesgo alto: DDR (RCG 23 Ter 3 y 4)","")&amp;IF(AND(AS17&lt;&gt;"",AS17&lt;&gt;"No",AS17&lt;&gt;0)," · PEP","")&amp;IF(R17="PROHIBIDO"," · Efectivo prohibido: no lo recibas (Art. 32)","")&amp;IF(AR17=1," · ⚠ Fecha fuera de orden","")&amp;IF(LEFT(I17,1)="⚠"," · ⚠ Cliente no registrado","")&amp;IF(D17=""," · ⚠ Falta la actividad","")&amp;IF(AND(LEFT(P17,5)="AVISO",W17="")," · Captura la cifra total con IVA para el Aviso","")&amp;IF(AND(ISNUMBER(W17),W17&lt;E17)," · ⚠ La cifra con IVA es menor que el monto sin IVA",""),4,400))</f>
        <v/>
      </c>
      <c r="T17" s="21"/>
      <c r="U17" s="20"/>
      <c r="V17" s="9" t="str">
        <f aca="false">IF(LEFT(P17,5)&lt;&gt;"AVISO","",IF(T17="Presentado",IF(AND(ISNUMBER(U17),ISNUMBER(Q17),U17&gt;Q17),"Presentado tarde","Presentado"),IF(NOT(ISNUMBER(Q17)),"Falta fecha",IF(Q17&lt;CONFIG!$B$6,"VENCIDO","Vence en "&amp;(Q17-CONFIG!$B$6)&amp;" días"))))</f>
        <v/>
      </c>
      <c r="W17" s="22"/>
      <c r="X17" s="21"/>
      <c r="AA17" s="0" t="str">
        <f aca="false">IF(AM17="","",INDEX(CATÁLOGO!$D$5:$D$39,AM17))</f>
        <v/>
      </c>
      <c r="AB17" s="0" t="str">
        <f aca="false">IF(AM17="","",INDEX(CATÁLOGO!$E$5:$E$39,AM17))</f>
        <v/>
      </c>
      <c r="AC17" s="0" t="str">
        <f aca="false">IF(AB17="","",IF(ISNUMBER(AB17),AB17*AV17,AB17))</f>
        <v/>
      </c>
      <c r="AD17" s="0" t="str">
        <f aca="false">IF(AM17="","",INDEX(CATÁLOGO!$F$5:$F$39,AM17))</f>
        <v/>
      </c>
      <c r="AE17" s="0" t="str">
        <f aca="false">IF(AD17="","",IF(ISNUMBER(AD17),AD17*AV17,AD17))</f>
        <v/>
      </c>
      <c r="AF17" s="0" t="str">
        <f aca="false">IF(AM17="","",INDEX(CATÁLOGO!$G$5:$G$39,AM17))</f>
        <v/>
      </c>
      <c r="AG17" s="0" t="str">
        <f aca="false">IF(AF17="","",IF(ISNUMBER(AF17),AF17*AV17,AF17))</f>
        <v/>
      </c>
      <c r="AH17" s="0" t="str">
        <f aca="false">IF(E17="","",C17&amp;"|"&amp;D17)</f>
        <v/>
      </c>
      <c r="AI17" s="27" t="n">
        <f aca="false">IF(M17&lt;&gt;"Sí",0,SUMPRODUCT(MAX(($AH$5:AH16=AH17)*($M$5:M16="Sí")*ROW($AH$5:AH16))))</f>
        <v>0</v>
      </c>
      <c r="AJ17" s="0" t="str">
        <f aca="false">IF(M17&lt;&gt;"Sí","",IF(AL17=1,B17,INDEX($AJ:$AJ,AI17)))</f>
        <v/>
      </c>
      <c r="AK17" s="0" t="str">
        <f aca="false">IF(M17&lt;&gt;"Sí","",IF(AL17=1,E17,INDEX($AK:$AK,AI17)+E17))</f>
        <v/>
      </c>
      <c r="AL17" s="0" t="str">
        <f aca="false">IF(M17&lt;&gt;"Sí","",IF(AI17=0,1,IF(INDEX($AN:$AN,AI17)=0,1,IF(B17&gt;=EDATE(INDEX($AJ:$AJ,AI17),6),1,0))))</f>
        <v/>
      </c>
      <c r="AM17" s="0" t="str">
        <f aca="false">IF(D17="","",IFERROR(MATCH(D17,CATÁLOGO!$C$5:$C$39,0),""))</f>
        <v/>
      </c>
      <c r="AN17" s="0" t="str">
        <f aca="false">IF(M17&lt;&gt;"Sí","",IF(AND(ISNUMBER(AE17),AK17&gt;=AE17),0,1))</f>
        <v/>
      </c>
      <c r="AO17" s="0" t="str">
        <f aca="false">IF(OR(E17="",C17="",NOT(ISNUMBER(B17))),"",SUMIFS($E$6:$E$505,$C$6:$C$505,C17,$B$6:$B$505,"&gt;="&amp;DATE(YEAR(B17),MONTH(B17),1),$B$6:$B$505,"&lt;"&amp;DATE(YEAR(B17),MONTH(B17)+1,1)))</f>
        <v/>
      </c>
      <c r="AP17" s="0" t="str">
        <f aca="false">IF(C17="","",IFERROR(INDEX(CLIENTES!$M$6:$M$305,MATCH(C17,CLIENTES!$A$6:$A$305,0)),""))</f>
        <v/>
      </c>
      <c r="AQ17" s="27" t="n">
        <f aca="false">IF(AND(ISNUMBER(AO17),ISNUMBER(AP17)),IF(AND(AP17&gt;0,AO17&gt;AP17),1,0),0)</f>
        <v>0</v>
      </c>
      <c r="AR17" s="27" t="n">
        <f aca="false">IF(NOT(ISNUMBER(B17)),0,IF(B17&lt;MAX($B$5:B16),1,0))</f>
        <v>0</v>
      </c>
      <c r="AS17" s="0" t="str">
        <f aca="false">IF(C17="","",IFERROR(INDEX(CLIENTES!$H$6:$H$305,MATCH(C17,CLIENTES!$A$6:$A$305,0)),""))</f>
        <v/>
      </c>
      <c r="AT17" s="0" t="str">
        <f aca="false">IF(AND(LEFT(P17,5)="AVISO",T17&lt;&gt;"Presentado",ISNUMBER(Q17)),Q17,"")</f>
        <v/>
      </c>
      <c r="AU17" s="27" t="n">
        <f aca="false">IF(AND(D17="XVI - Activos virtuales (PSAV): operación de intercambio/transferencia",M17="Sí",ISNUMBER(AE17)),IF(AK17&gt;=AE17,1,0),0)</f>
        <v>0</v>
      </c>
      <c r="AV17" s="30" t="n">
        <f aca="false">IF(NOT(ISNUMBER(B17)),CONFIG!$B$4,IFERROR(INDEX(CONFIG!$I$5:$I$14,MATCH(IF(MONTH(B17)=1,YEAR(B17)-1,YEAR(B17)),CONFIG!$H$5:$H$14,0)),CONFIG!$B$4))</f>
        <v>117.31</v>
      </c>
      <c r="AW17" s="27" t="n">
        <f aca="false">IF(AND(LEFT(D17,4)="I - ",ISNUMBER(B17),C17&lt;&gt;""),SUMIFS($E$6:$E$505,$C$6:$C$505,C17,$D$6:$D$505,D17,$B$6:$B$505,"&gt;"&amp;(B17-1),$B$6:$B$505,"&lt;="&amp;B17),0)</f>
        <v>0</v>
      </c>
      <c r="AX17" s="0" t="str">
        <f aca="false">IF(E17="","",IF(AD17="Siempre","AVISO (siempre)",IF(AD17="No aplica","Sin Aviso (sólo preparas: Ley 17 XI)",IF(NOT(ISNUMBER(AE17)),"",IF(AA17&lt;&gt;"ACUMULA",IF(E17&gt;=AE17,IF(AND(D17="XVI - Activos virtuales (PSAV): cobro de contraprestación (comisión) por el servicio",COUNTIFS($C$6:$C$505,C17,$B$6:$B$505,"&gt;="&amp;INT(B17),$B$6:$B$505,"&lt;"&amp;(INT(B17)+1),$AU$6:$AU$505,1)&gt;0),"En el Aviso del inciso a) (R 31 Bis)","AVISO"),"—"),IF(M17&lt;&gt;"Sí","—",IF(AK17&gt;=AE17,IF(AK17=E17,"AVISO","AVISO (acumulado)"),"Acumulando")))))))</f>
        <v/>
      </c>
    </row>
    <row r="18" customFormat="false" ht="15" hidden="false" customHeight="false" outlineLevel="0" collapsed="false">
      <c r="A18" s="9" t="str">
        <f aca="false">IF(E18="","",ROW()-5)</f>
        <v/>
      </c>
      <c r="B18" s="20"/>
      <c r="C18" s="21"/>
      <c r="D18" s="21"/>
      <c r="E18" s="22"/>
      <c r="F18" s="22"/>
      <c r="G18" s="21"/>
      <c r="H18" s="21"/>
      <c r="I18" s="9" t="str">
        <f aca="false">IF(C18="","",IFERROR(INDEX(CLIENTES!$B$6:$B$305,MATCH(C18,CLIENTES!$A$6:$A$305,0)),"⚠ ID no registrado"))</f>
        <v/>
      </c>
      <c r="J18" s="9" t="str">
        <f aca="false">IF(C18="","",IFERROR(INDEX(CLIENTES!$Z$6:$Z$305,MATCH(C18,CLIENTES!$A$6:$A$305,0)),""))</f>
        <v/>
      </c>
      <c r="K18" s="9" t="str">
        <f aca="false">IF(E18="","",IF(AB18="Siempre","Sí",IF(ISNUMBER(AC18),IF(E18&gt;=AC18,"Sí",IF(AW18&gt;=AC18,"Sí (serie 24 h)","No")),"")))</f>
        <v/>
      </c>
      <c r="L18" s="9" t="str">
        <f aca="false">IF(E18="","",AA18)</f>
        <v/>
      </c>
      <c r="M18" s="9" t="str">
        <f aca="false">IF(E18="","",IF(AA18&lt;&gt;"ACUMULA","No aplica",IF(LEFT(K18,2)="Sí","Sí","No")))</f>
        <v/>
      </c>
      <c r="N18" s="23" t="str">
        <f aca="false">IF(M18="Sí",AJ18,"")</f>
        <v/>
      </c>
      <c r="O18" s="24" t="str">
        <f aca="false">IF(M18="Sí",AK18,"")</f>
        <v/>
      </c>
      <c r="P18" s="25" t="str">
        <f aca="false">IF(AND(LEFT(D18,6)="XIV - ",LEFT(AX18,5)="AVISO"),"Pedimento (R 16): no va al SPPLD",AX18)</f>
        <v/>
      </c>
      <c r="Q18" s="23" t="str">
        <f aca="false">IF(LEFT(P18,5)="AVISO",IF(ISNUMBER(B18),DATE(YEAR(B18),MONTH(B18)+1,17),"Falta fecha"),"")</f>
        <v/>
      </c>
      <c r="R18" s="9" t="str">
        <f aca="false">IF(OR(F18="",F18=0),"",IF(ISNUMBER(AG18),IF(F18&gt;=AG18,"PROHIBIDO","Dentro del límite"),"No aplica"))</f>
        <v/>
      </c>
      <c r="S18" s="26" t="str">
        <f aca="false">IF(E18="","",MID(IF(AQ18=1," · Excede el perfil declarado","")&amp;IF(H18="Sí"," · Paga un tercero","")&amp;IF(J18="Alto"," · Cliente de riesgo alto: DDR (RCG 23 Ter 3 y 4)","")&amp;IF(AND(AS18&lt;&gt;"",AS18&lt;&gt;"No",AS18&lt;&gt;0)," · PEP","")&amp;IF(R18="PROHIBIDO"," · Efectivo prohibido: no lo recibas (Art. 32)","")&amp;IF(AR18=1," · ⚠ Fecha fuera de orden","")&amp;IF(LEFT(I18,1)="⚠"," · ⚠ Cliente no registrado","")&amp;IF(D18=""," · ⚠ Falta la actividad","")&amp;IF(AND(LEFT(P18,5)="AVISO",W18="")," · Captura la cifra total con IVA para el Aviso","")&amp;IF(AND(ISNUMBER(W18),W18&lt;E18)," · ⚠ La cifra con IVA es menor que el monto sin IVA",""),4,400))</f>
        <v/>
      </c>
      <c r="T18" s="21"/>
      <c r="U18" s="20"/>
      <c r="V18" s="9" t="str">
        <f aca="false">IF(LEFT(P18,5)&lt;&gt;"AVISO","",IF(T18="Presentado",IF(AND(ISNUMBER(U18),ISNUMBER(Q18),U18&gt;Q18),"Presentado tarde","Presentado"),IF(NOT(ISNUMBER(Q18)),"Falta fecha",IF(Q18&lt;CONFIG!$B$6,"VENCIDO","Vence en "&amp;(Q18-CONFIG!$B$6)&amp;" días"))))</f>
        <v/>
      </c>
      <c r="W18" s="22"/>
      <c r="X18" s="21"/>
      <c r="AA18" s="0" t="str">
        <f aca="false">IF(AM18="","",INDEX(CATÁLOGO!$D$5:$D$39,AM18))</f>
        <v/>
      </c>
      <c r="AB18" s="0" t="str">
        <f aca="false">IF(AM18="","",INDEX(CATÁLOGO!$E$5:$E$39,AM18))</f>
        <v/>
      </c>
      <c r="AC18" s="0" t="str">
        <f aca="false">IF(AB18="","",IF(ISNUMBER(AB18),AB18*AV18,AB18))</f>
        <v/>
      </c>
      <c r="AD18" s="0" t="str">
        <f aca="false">IF(AM18="","",INDEX(CATÁLOGO!$F$5:$F$39,AM18))</f>
        <v/>
      </c>
      <c r="AE18" s="0" t="str">
        <f aca="false">IF(AD18="","",IF(ISNUMBER(AD18),AD18*AV18,AD18))</f>
        <v/>
      </c>
      <c r="AF18" s="0" t="str">
        <f aca="false">IF(AM18="","",INDEX(CATÁLOGO!$G$5:$G$39,AM18))</f>
        <v/>
      </c>
      <c r="AG18" s="0" t="str">
        <f aca="false">IF(AF18="","",IF(ISNUMBER(AF18),AF18*AV18,AF18))</f>
        <v/>
      </c>
      <c r="AH18" s="0" t="str">
        <f aca="false">IF(E18="","",C18&amp;"|"&amp;D18)</f>
        <v/>
      </c>
      <c r="AI18" s="27" t="n">
        <f aca="false">IF(M18&lt;&gt;"Sí",0,SUMPRODUCT(MAX(($AH$5:AH17=AH18)*($M$5:M17="Sí")*ROW($AH$5:AH17))))</f>
        <v>0</v>
      </c>
      <c r="AJ18" s="0" t="str">
        <f aca="false">IF(M18&lt;&gt;"Sí","",IF(AL18=1,B18,INDEX($AJ:$AJ,AI18)))</f>
        <v/>
      </c>
      <c r="AK18" s="0" t="str">
        <f aca="false">IF(M18&lt;&gt;"Sí","",IF(AL18=1,E18,INDEX($AK:$AK,AI18)+E18))</f>
        <v/>
      </c>
      <c r="AL18" s="0" t="str">
        <f aca="false">IF(M18&lt;&gt;"Sí","",IF(AI18=0,1,IF(INDEX($AN:$AN,AI18)=0,1,IF(B18&gt;=EDATE(INDEX($AJ:$AJ,AI18),6),1,0))))</f>
        <v/>
      </c>
      <c r="AM18" s="0" t="str">
        <f aca="false">IF(D18="","",IFERROR(MATCH(D18,CATÁLOGO!$C$5:$C$39,0),""))</f>
        <v/>
      </c>
      <c r="AN18" s="0" t="str">
        <f aca="false">IF(M18&lt;&gt;"Sí","",IF(AND(ISNUMBER(AE18),AK18&gt;=AE18),0,1))</f>
        <v/>
      </c>
      <c r="AO18" s="0" t="str">
        <f aca="false">IF(OR(E18="",C18="",NOT(ISNUMBER(B18))),"",SUMIFS($E$6:$E$505,$C$6:$C$505,C18,$B$6:$B$505,"&gt;="&amp;DATE(YEAR(B18),MONTH(B18),1),$B$6:$B$505,"&lt;"&amp;DATE(YEAR(B18),MONTH(B18)+1,1)))</f>
        <v/>
      </c>
      <c r="AP18" s="0" t="str">
        <f aca="false">IF(C18="","",IFERROR(INDEX(CLIENTES!$M$6:$M$305,MATCH(C18,CLIENTES!$A$6:$A$305,0)),""))</f>
        <v/>
      </c>
      <c r="AQ18" s="27" t="n">
        <f aca="false">IF(AND(ISNUMBER(AO18),ISNUMBER(AP18)),IF(AND(AP18&gt;0,AO18&gt;AP18),1,0),0)</f>
        <v>0</v>
      </c>
      <c r="AR18" s="27" t="n">
        <f aca="false">IF(NOT(ISNUMBER(B18)),0,IF(B18&lt;MAX($B$5:B17),1,0))</f>
        <v>0</v>
      </c>
      <c r="AS18" s="0" t="str">
        <f aca="false">IF(C18="","",IFERROR(INDEX(CLIENTES!$H$6:$H$305,MATCH(C18,CLIENTES!$A$6:$A$305,0)),""))</f>
        <v/>
      </c>
      <c r="AT18" s="0" t="str">
        <f aca="false">IF(AND(LEFT(P18,5)="AVISO",T18&lt;&gt;"Presentado",ISNUMBER(Q18)),Q18,"")</f>
        <v/>
      </c>
      <c r="AU18" s="27" t="n">
        <f aca="false">IF(AND(D18="XVI - Activos virtuales (PSAV): operación de intercambio/transferencia",M18="Sí",ISNUMBER(AE18)),IF(AK18&gt;=AE18,1,0),0)</f>
        <v>0</v>
      </c>
      <c r="AV18" s="30" t="n">
        <f aca="false">IF(NOT(ISNUMBER(B18)),CONFIG!$B$4,IFERROR(INDEX(CONFIG!$I$5:$I$14,MATCH(IF(MONTH(B18)=1,YEAR(B18)-1,YEAR(B18)),CONFIG!$H$5:$H$14,0)),CONFIG!$B$4))</f>
        <v>117.31</v>
      </c>
      <c r="AW18" s="27" t="n">
        <f aca="false">IF(AND(LEFT(D18,4)="I - ",ISNUMBER(B18),C18&lt;&gt;""),SUMIFS($E$6:$E$505,$C$6:$C$505,C18,$D$6:$D$505,D18,$B$6:$B$505,"&gt;"&amp;(B18-1),$B$6:$B$505,"&lt;="&amp;B18),0)</f>
        <v>0</v>
      </c>
      <c r="AX18" s="0" t="str">
        <f aca="false">IF(E18="","",IF(AD18="Siempre","AVISO (siempre)",IF(AD18="No aplica","Sin Aviso (sólo preparas: Ley 17 XI)",IF(NOT(ISNUMBER(AE18)),"",IF(AA18&lt;&gt;"ACUMULA",IF(E18&gt;=AE18,IF(AND(D18="XVI - Activos virtuales (PSAV): cobro de contraprestación (comisión) por el servicio",COUNTIFS($C$6:$C$505,C18,$B$6:$B$505,"&gt;="&amp;INT(B18),$B$6:$B$505,"&lt;"&amp;(INT(B18)+1),$AU$6:$AU$505,1)&gt;0),"En el Aviso del inciso a) (R 31 Bis)","AVISO"),"—"),IF(M18&lt;&gt;"Sí","—",IF(AK18&gt;=AE18,IF(AK18=E18,"AVISO","AVISO (acumulado)"),"Acumulando")))))))</f>
        <v/>
      </c>
    </row>
    <row r="19" customFormat="false" ht="15" hidden="false" customHeight="false" outlineLevel="0" collapsed="false">
      <c r="A19" s="9" t="str">
        <f aca="false">IF(E19="","",ROW()-5)</f>
        <v/>
      </c>
      <c r="B19" s="20"/>
      <c r="C19" s="21"/>
      <c r="D19" s="21"/>
      <c r="E19" s="22"/>
      <c r="F19" s="22"/>
      <c r="G19" s="21"/>
      <c r="H19" s="21"/>
      <c r="I19" s="9" t="str">
        <f aca="false">IF(C19="","",IFERROR(INDEX(CLIENTES!$B$6:$B$305,MATCH(C19,CLIENTES!$A$6:$A$305,0)),"⚠ ID no registrado"))</f>
        <v/>
      </c>
      <c r="J19" s="9" t="str">
        <f aca="false">IF(C19="","",IFERROR(INDEX(CLIENTES!$Z$6:$Z$305,MATCH(C19,CLIENTES!$A$6:$A$305,0)),""))</f>
        <v/>
      </c>
      <c r="K19" s="9" t="str">
        <f aca="false">IF(E19="","",IF(AB19="Siempre","Sí",IF(ISNUMBER(AC19),IF(E19&gt;=AC19,"Sí",IF(AW19&gt;=AC19,"Sí (serie 24 h)","No")),"")))</f>
        <v/>
      </c>
      <c r="L19" s="9" t="str">
        <f aca="false">IF(E19="","",AA19)</f>
        <v/>
      </c>
      <c r="M19" s="9" t="str">
        <f aca="false">IF(E19="","",IF(AA19&lt;&gt;"ACUMULA","No aplica",IF(LEFT(K19,2)="Sí","Sí","No")))</f>
        <v/>
      </c>
      <c r="N19" s="23" t="str">
        <f aca="false">IF(M19="Sí",AJ19,"")</f>
        <v/>
      </c>
      <c r="O19" s="24" t="str">
        <f aca="false">IF(M19="Sí",AK19,"")</f>
        <v/>
      </c>
      <c r="P19" s="25" t="str">
        <f aca="false">IF(AND(LEFT(D19,6)="XIV - ",LEFT(AX19,5)="AVISO"),"Pedimento (R 16): no va al SPPLD",AX19)</f>
        <v/>
      </c>
      <c r="Q19" s="23" t="str">
        <f aca="false">IF(LEFT(P19,5)="AVISO",IF(ISNUMBER(B19),DATE(YEAR(B19),MONTH(B19)+1,17),"Falta fecha"),"")</f>
        <v/>
      </c>
      <c r="R19" s="9" t="str">
        <f aca="false">IF(OR(F19="",F19=0),"",IF(ISNUMBER(AG19),IF(F19&gt;=AG19,"PROHIBIDO","Dentro del límite"),"No aplica"))</f>
        <v/>
      </c>
      <c r="S19" s="26" t="str">
        <f aca="false">IF(E19="","",MID(IF(AQ19=1," · Excede el perfil declarado","")&amp;IF(H19="Sí"," · Paga un tercero","")&amp;IF(J19="Alto"," · Cliente de riesgo alto: DDR (RCG 23 Ter 3 y 4)","")&amp;IF(AND(AS19&lt;&gt;"",AS19&lt;&gt;"No",AS19&lt;&gt;0)," · PEP","")&amp;IF(R19="PROHIBIDO"," · Efectivo prohibido: no lo recibas (Art. 32)","")&amp;IF(AR19=1," · ⚠ Fecha fuera de orden","")&amp;IF(LEFT(I19,1)="⚠"," · ⚠ Cliente no registrado","")&amp;IF(D19=""," · ⚠ Falta la actividad","")&amp;IF(AND(LEFT(P19,5)="AVISO",W19="")," · Captura la cifra total con IVA para el Aviso","")&amp;IF(AND(ISNUMBER(W19),W19&lt;E19)," · ⚠ La cifra con IVA es menor que el monto sin IVA",""),4,400))</f>
        <v/>
      </c>
      <c r="T19" s="21"/>
      <c r="U19" s="20"/>
      <c r="V19" s="9" t="str">
        <f aca="false">IF(LEFT(P19,5)&lt;&gt;"AVISO","",IF(T19="Presentado",IF(AND(ISNUMBER(U19),ISNUMBER(Q19),U19&gt;Q19),"Presentado tarde","Presentado"),IF(NOT(ISNUMBER(Q19)),"Falta fecha",IF(Q19&lt;CONFIG!$B$6,"VENCIDO","Vence en "&amp;(Q19-CONFIG!$B$6)&amp;" días"))))</f>
        <v/>
      </c>
      <c r="W19" s="22"/>
      <c r="X19" s="21"/>
      <c r="AA19" s="0" t="str">
        <f aca="false">IF(AM19="","",INDEX(CATÁLOGO!$D$5:$D$39,AM19))</f>
        <v/>
      </c>
      <c r="AB19" s="0" t="str">
        <f aca="false">IF(AM19="","",INDEX(CATÁLOGO!$E$5:$E$39,AM19))</f>
        <v/>
      </c>
      <c r="AC19" s="0" t="str">
        <f aca="false">IF(AB19="","",IF(ISNUMBER(AB19),AB19*AV19,AB19))</f>
        <v/>
      </c>
      <c r="AD19" s="0" t="str">
        <f aca="false">IF(AM19="","",INDEX(CATÁLOGO!$F$5:$F$39,AM19))</f>
        <v/>
      </c>
      <c r="AE19" s="0" t="str">
        <f aca="false">IF(AD19="","",IF(ISNUMBER(AD19),AD19*AV19,AD19))</f>
        <v/>
      </c>
      <c r="AF19" s="0" t="str">
        <f aca="false">IF(AM19="","",INDEX(CATÁLOGO!$G$5:$G$39,AM19))</f>
        <v/>
      </c>
      <c r="AG19" s="0" t="str">
        <f aca="false">IF(AF19="","",IF(ISNUMBER(AF19),AF19*AV19,AF19))</f>
        <v/>
      </c>
      <c r="AH19" s="0" t="str">
        <f aca="false">IF(E19="","",C19&amp;"|"&amp;D19)</f>
        <v/>
      </c>
      <c r="AI19" s="27" t="n">
        <f aca="false">IF(M19&lt;&gt;"Sí",0,SUMPRODUCT(MAX(($AH$5:AH18=AH19)*($M$5:M18="Sí")*ROW($AH$5:AH18))))</f>
        <v>0</v>
      </c>
      <c r="AJ19" s="0" t="str">
        <f aca="false">IF(M19&lt;&gt;"Sí","",IF(AL19=1,B19,INDEX($AJ:$AJ,AI19)))</f>
        <v/>
      </c>
      <c r="AK19" s="0" t="str">
        <f aca="false">IF(M19&lt;&gt;"Sí","",IF(AL19=1,E19,INDEX($AK:$AK,AI19)+E19))</f>
        <v/>
      </c>
      <c r="AL19" s="0" t="str">
        <f aca="false">IF(M19&lt;&gt;"Sí","",IF(AI19=0,1,IF(INDEX($AN:$AN,AI19)=0,1,IF(B19&gt;=EDATE(INDEX($AJ:$AJ,AI19),6),1,0))))</f>
        <v/>
      </c>
      <c r="AM19" s="0" t="str">
        <f aca="false">IF(D19="","",IFERROR(MATCH(D19,CATÁLOGO!$C$5:$C$39,0),""))</f>
        <v/>
      </c>
      <c r="AN19" s="0" t="str">
        <f aca="false">IF(M19&lt;&gt;"Sí","",IF(AND(ISNUMBER(AE19),AK19&gt;=AE19),0,1))</f>
        <v/>
      </c>
      <c r="AO19" s="0" t="str">
        <f aca="false">IF(OR(E19="",C19="",NOT(ISNUMBER(B19))),"",SUMIFS($E$6:$E$505,$C$6:$C$505,C19,$B$6:$B$505,"&gt;="&amp;DATE(YEAR(B19),MONTH(B19),1),$B$6:$B$505,"&lt;"&amp;DATE(YEAR(B19),MONTH(B19)+1,1)))</f>
        <v/>
      </c>
      <c r="AP19" s="0" t="str">
        <f aca="false">IF(C19="","",IFERROR(INDEX(CLIENTES!$M$6:$M$305,MATCH(C19,CLIENTES!$A$6:$A$305,0)),""))</f>
        <v/>
      </c>
      <c r="AQ19" s="27" t="n">
        <f aca="false">IF(AND(ISNUMBER(AO19),ISNUMBER(AP19)),IF(AND(AP19&gt;0,AO19&gt;AP19),1,0),0)</f>
        <v>0</v>
      </c>
      <c r="AR19" s="27" t="n">
        <f aca="false">IF(NOT(ISNUMBER(B19)),0,IF(B19&lt;MAX($B$5:B18),1,0))</f>
        <v>0</v>
      </c>
      <c r="AS19" s="0" t="str">
        <f aca="false">IF(C19="","",IFERROR(INDEX(CLIENTES!$H$6:$H$305,MATCH(C19,CLIENTES!$A$6:$A$305,0)),""))</f>
        <v/>
      </c>
      <c r="AT19" s="0" t="str">
        <f aca="false">IF(AND(LEFT(P19,5)="AVISO",T19&lt;&gt;"Presentado",ISNUMBER(Q19)),Q19,"")</f>
        <v/>
      </c>
      <c r="AU19" s="27" t="n">
        <f aca="false">IF(AND(D19="XVI - Activos virtuales (PSAV): operación de intercambio/transferencia",M19="Sí",ISNUMBER(AE19)),IF(AK19&gt;=AE19,1,0),0)</f>
        <v>0</v>
      </c>
      <c r="AV19" s="30" t="n">
        <f aca="false">IF(NOT(ISNUMBER(B19)),CONFIG!$B$4,IFERROR(INDEX(CONFIG!$I$5:$I$14,MATCH(IF(MONTH(B19)=1,YEAR(B19)-1,YEAR(B19)),CONFIG!$H$5:$H$14,0)),CONFIG!$B$4))</f>
        <v>117.31</v>
      </c>
      <c r="AW19" s="27" t="n">
        <f aca="false">IF(AND(LEFT(D19,4)="I - ",ISNUMBER(B19),C19&lt;&gt;""),SUMIFS($E$6:$E$505,$C$6:$C$505,C19,$D$6:$D$505,D19,$B$6:$B$505,"&gt;"&amp;(B19-1),$B$6:$B$505,"&lt;="&amp;B19),0)</f>
        <v>0</v>
      </c>
      <c r="AX19" s="0" t="str">
        <f aca="false">IF(E19="","",IF(AD19="Siempre","AVISO (siempre)",IF(AD19="No aplica","Sin Aviso (sólo preparas: Ley 17 XI)",IF(NOT(ISNUMBER(AE19)),"",IF(AA19&lt;&gt;"ACUMULA",IF(E19&gt;=AE19,IF(AND(D19="XVI - Activos virtuales (PSAV): cobro de contraprestación (comisión) por el servicio",COUNTIFS($C$6:$C$505,C19,$B$6:$B$505,"&gt;="&amp;INT(B19),$B$6:$B$505,"&lt;"&amp;(INT(B19)+1),$AU$6:$AU$505,1)&gt;0),"En el Aviso del inciso a) (R 31 Bis)","AVISO"),"—"),IF(M19&lt;&gt;"Sí","—",IF(AK19&gt;=AE19,IF(AK19=E19,"AVISO","AVISO (acumulado)"),"Acumulando")))))))</f>
        <v/>
      </c>
    </row>
    <row r="20" customFormat="false" ht="15" hidden="false" customHeight="false" outlineLevel="0" collapsed="false">
      <c r="A20" s="9" t="str">
        <f aca="false">IF(E20="","",ROW()-5)</f>
        <v/>
      </c>
      <c r="B20" s="20"/>
      <c r="C20" s="21"/>
      <c r="D20" s="21"/>
      <c r="E20" s="22"/>
      <c r="F20" s="22"/>
      <c r="G20" s="21"/>
      <c r="H20" s="21"/>
      <c r="I20" s="9" t="str">
        <f aca="false">IF(C20="","",IFERROR(INDEX(CLIENTES!$B$6:$B$305,MATCH(C20,CLIENTES!$A$6:$A$305,0)),"⚠ ID no registrado"))</f>
        <v/>
      </c>
      <c r="J20" s="9" t="str">
        <f aca="false">IF(C20="","",IFERROR(INDEX(CLIENTES!$Z$6:$Z$305,MATCH(C20,CLIENTES!$A$6:$A$305,0)),""))</f>
        <v/>
      </c>
      <c r="K20" s="9" t="str">
        <f aca="false">IF(E20="","",IF(AB20="Siempre","Sí",IF(ISNUMBER(AC20),IF(E20&gt;=AC20,"Sí",IF(AW20&gt;=AC20,"Sí (serie 24 h)","No")),"")))</f>
        <v/>
      </c>
      <c r="L20" s="9" t="str">
        <f aca="false">IF(E20="","",AA20)</f>
        <v/>
      </c>
      <c r="M20" s="9" t="str">
        <f aca="false">IF(E20="","",IF(AA20&lt;&gt;"ACUMULA","No aplica",IF(LEFT(K20,2)="Sí","Sí","No")))</f>
        <v/>
      </c>
      <c r="N20" s="23" t="str">
        <f aca="false">IF(M20="Sí",AJ20,"")</f>
        <v/>
      </c>
      <c r="O20" s="24" t="str">
        <f aca="false">IF(M20="Sí",AK20,"")</f>
        <v/>
      </c>
      <c r="P20" s="25" t="str">
        <f aca="false">IF(AND(LEFT(D20,6)="XIV - ",LEFT(AX20,5)="AVISO"),"Pedimento (R 16): no va al SPPLD",AX20)</f>
        <v/>
      </c>
      <c r="Q20" s="23" t="str">
        <f aca="false">IF(LEFT(P20,5)="AVISO",IF(ISNUMBER(B20),DATE(YEAR(B20),MONTH(B20)+1,17),"Falta fecha"),"")</f>
        <v/>
      </c>
      <c r="R20" s="9" t="str">
        <f aca="false">IF(OR(F20="",F20=0),"",IF(ISNUMBER(AG20),IF(F20&gt;=AG20,"PROHIBIDO","Dentro del límite"),"No aplica"))</f>
        <v/>
      </c>
      <c r="S20" s="26" t="str">
        <f aca="false">IF(E20="","",MID(IF(AQ20=1," · Excede el perfil declarado","")&amp;IF(H20="Sí"," · Paga un tercero","")&amp;IF(J20="Alto"," · Cliente de riesgo alto: DDR (RCG 23 Ter 3 y 4)","")&amp;IF(AND(AS20&lt;&gt;"",AS20&lt;&gt;"No",AS20&lt;&gt;0)," · PEP","")&amp;IF(R20="PROHIBIDO"," · Efectivo prohibido: no lo recibas (Art. 32)","")&amp;IF(AR20=1," · ⚠ Fecha fuera de orden","")&amp;IF(LEFT(I20,1)="⚠"," · ⚠ Cliente no registrado","")&amp;IF(D20=""," · ⚠ Falta la actividad","")&amp;IF(AND(LEFT(P20,5)="AVISO",W20="")," · Captura la cifra total con IVA para el Aviso","")&amp;IF(AND(ISNUMBER(W20),W20&lt;E20)," · ⚠ La cifra con IVA es menor que el monto sin IVA",""),4,400))</f>
        <v/>
      </c>
      <c r="T20" s="21"/>
      <c r="U20" s="20"/>
      <c r="V20" s="9" t="str">
        <f aca="false">IF(LEFT(P20,5)&lt;&gt;"AVISO","",IF(T20="Presentado",IF(AND(ISNUMBER(U20),ISNUMBER(Q20),U20&gt;Q20),"Presentado tarde","Presentado"),IF(NOT(ISNUMBER(Q20)),"Falta fecha",IF(Q20&lt;CONFIG!$B$6,"VENCIDO","Vence en "&amp;(Q20-CONFIG!$B$6)&amp;" días"))))</f>
        <v/>
      </c>
      <c r="W20" s="22"/>
      <c r="X20" s="21"/>
      <c r="AA20" s="0" t="str">
        <f aca="false">IF(AM20="","",INDEX(CATÁLOGO!$D$5:$D$39,AM20))</f>
        <v/>
      </c>
      <c r="AB20" s="0" t="str">
        <f aca="false">IF(AM20="","",INDEX(CATÁLOGO!$E$5:$E$39,AM20))</f>
        <v/>
      </c>
      <c r="AC20" s="0" t="str">
        <f aca="false">IF(AB20="","",IF(ISNUMBER(AB20),AB20*AV20,AB20))</f>
        <v/>
      </c>
      <c r="AD20" s="0" t="str">
        <f aca="false">IF(AM20="","",INDEX(CATÁLOGO!$F$5:$F$39,AM20))</f>
        <v/>
      </c>
      <c r="AE20" s="0" t="str">
        <f aca="false">IF(AD20="","",IF(ISNUMBER(AD20),AD20*AV20,AD20))</f>
        <v/>
      </c>
      <c r="AF20" s="0" t="str">
        <f aca="false">IF(AM20="","",INDEX(CATÁLOGO!$G$5:$G$39,AM20))</f>
        <v/>
      </c>
      <c r="AG20" s="0" t="str">
        <f aca="false">IF(AF20="","",IF(ISNUMBER(AF20),AF20*AV20,AF20))</f>
        <v/>
      </c>
      <c r="AH20" s="0" t="str">
        <f aca="false">IF(E20="","",C20&amp;"|"&amp;D20)</f>
        <v/>
      </c>
      <c r="AI20" s="27" t="n">
        <f aca="false">IF(M20&lt;&gt;"Sí",0,SUMPRODUCT(MAX(($AH$5:AH19=AH20)*($M$5:M19="Sí")*ROW($AH$5:AH19))))</f>
        <v>0</v>
      </c>
      <c r="AJ20" s="0" t="str">
        <f aca="false">IF(M20&lt;&gt;"Sí","",IF(AL20=1,B20,INDEX($AJ:$AJ,AI20)))</f>
        <v/>
      </c>
      <c r="AK20" s="0" t="str">
        <f aca="false">IF(M20&lt;&gt;"Sí","",IF(AL20=1,E20,INDEX($AK:$AK,AI20)+E20))</f>
        <v/>
      </c>
      <c r="AL20" s="0" t="str">
        <f aca="false">IF(M20&lt;&gt;"Sí","",IF(AI20=0,1,IF(INDEX($AN:$AN,AI20)=0,1,IF(B20&gt;=EDATE(INDEX($AJ:$AJ,AI20),6),1,0))))</f>
        <v/>
      </c>
      <c r="AM20" s="0" t="str">
        <f aca="false">IF(D20="","",IFERROR(MATCH(D20,CATÁLOGO!$C$5:$C$39,0),""))</f>
        <v/>
      </c>
      <c r="AN20" s="0" t="str">
        <f aca="false">IF(M20&lt;&gt;"Sí","",IF(AND(ISNUMBER(AE20),AK20&gt;=AE20),0,1))</f>
        <v/>
      </c>
      <c r="AO20" s="0" t="str">
        <f aca="false">IF(OR(E20="",C20="",NOT(ISNUMBER(B20))),"",SUMIFS($E$6:$E$505,$C$6:$C$505,C20,$B$6:$B$505,"&gt;="&amp;DATE(YEAR(B20),MONTH(B20),1),$B$6:$B$505,"&lt;"&amp;DATE(YEAR(B20),MONTH(B20)+1,1)))</f>
        <v/>
      </c>
      <c r="AP20" s="0" t="str">
        <f aca="false">IF(C20="","",IFERROR(INDEX(CLIENTES!$M$6:$M$305,MATCH(C20,CLIENTES!$A$6:$A$305,0)),""))</f>
        <v/>
      </c>
      <c r="AQ20" s="27" t="n">
        <f aca="false">IF(AND(ISNUMBER(AO20),ISNUMBER(AP20)),IF(AND(AP20&gt;0,AO20&gt;AP20),1,0),0)</f>
        <v>0</v>
      </c>
      <c r="AR20" s="27" t="n">
        <f aca="false">IF(NOT(ISNUMBER(B20)),0,IF(B20&lt;MAX($B$5:B19),1,0))</f>
        <v>0</v>
      </c>
      <c r="AS20" s="0" t="str">
        <f aca="false">IF(C20="","",IFERROR(INDEX(CLIENTES!$H$6:$H$305,MATCH(C20,CLIENTES!$A$6:$A$305,0)),""))</f>
        <v/>
      </c>
      <c r="AT20" s="0" t="str">
        <f aca="false">IF(AND(LEFT(P20,5)="AVISO",T20&lt;&gt;"Presentado",ISNUMBER(Q20)),Q20,"")</f>
        <v/>
      </c>
      <c r="AU20" s="27" t="n">
        <f aca="false">IF(AND(D20="XVI - Activos virtuales (PSAV): operación de intercambio/transferencia",M20="Sí",ISNUMBER(AE20)),IF(AK20&gt;=AE20,1,0),0)</f>
        <v>0</v>
      </c>
      <c r="AV20" s="30" t="n">
        <f aca="false">IF(NOT(ISNUMBER(B20)),CONFIG!$B$4,IFERROR(INDEX(CONFIG!$I$5:$I$14,MATCH(IF(MONTH(B20)=1,YEAR(B20)-1,YEAR(B20)),CONFIG!$H$5:$H$14,0)),CONFIG!$B$4))</f>
        <v>117.31</v>
      </c>
      <c r="AW20" s="27" t="n">
        <f aca="false">IF(AND(LEFT(D20,4)="I - ",ISNUMBER(B20),C20&lt;&gt;""),SUMIFS($E$6:$E$505,$C$6:$C$505,C20,$D$6:$D$505,D20,$B$6:$B$505,"&gt;"&amp;(B20-1),$B$6:$B$505,"&lt;="&amp;B20),0)</f>
        <v>0</v>
      </c>
      <c r="AX20" s="0" t="str">
        <f aca="false">IF(E20="","",IF(AD20="Siempre","AVISO (siempre)",IF(AD20="No aplica","Sin Aviso (sólo preparas: Ley 17 XI)",IF(NOT(ISNUMBER(AE20)),"",IF(AA20&lt;&gt;"ACUMULA",IF(E20&gt;=AE20,IF(AND(D20="XVI - Activos virtuales (PSAV): cobro de contraprestación (comisión) por el servicio",COUNTIFS($C$6:$C$505,C20,$B$6:$B$505,"&gt;="&amp;INT(B20),$B$6:$B$505,"&lt;"&amp;(INT(B20)+1),$AU$6:$AU$505,1)&gt;0),"En el Aviso del inciso a) (R 31 Bis)","AVISO"),"—"),IF(M20&lt;&gt;"Sí","—",IF(AK20&gt;=AE20,IF(AK20=E20,"AVISO","AVISO (acumulado)"),"Acumulando")))))))</f>
        <v/>
      </c>
    </row>
    <row r="21" customFormat="false" ht="15" hidden="false" customHeight="false" outlineLevel="0" collapsed="false">
      <c r="A21" s="9" t="str">
        <f aca="false">IF(E21="","",ROW()-5)</f>
        <v/>
      </c>
      <c r="B21" s="20"/>
      <c r="C21" s="21"/>
      <c r="D21" s="21"/>
      <c r="E21" s="22"/>
      <c r="F21" s="22"/>
      <c r="G21" s="21"/>
      <c r="H21" s="21"/>
      <c r="I21" s="9" t="str">
        <f aca="false">IF(C21="","",IFERROR(INDEX(CLIENTES!$B$6:$B$305,MATCH(C21,CLIENTES!$A$6:$A$305,0)),"⚠ ID no registrado"))</f>
        <v/>
      </c>
      <c r="J21" s="9" t="str">
        <f aca="false">IF(C21="","",IFERROR(INDEX(CLIENTES!$Z$6:$Z$305,MATCH(C21,CLIENTES!$A$6:$A$305,0)),""))</f>
        <v/>
      </c>
      <c r="K21" s="9" t="str">
        <f aca="false">IF(E21="","",IF(AB21="Siempre","Sí",IF(ISNUMBER(AC21),IF(E21&gt;=AC21,"Sí",IF(AW21&gt;=AC21,"Sí (serie 24 h)","No")),"")))</f>
        <v/>
      </c>
      <c r="L21" s="9" t="str">
        <f aca="false">IF(E21="","",AA21)</f>
        <v/>
      </c>
      <c r="M21" s="9" t="str">
        <f aca="false">IF(E21="","",IF(AA21&lt;&gt;"ACUMULA","No aplica",IF(LEFT(K21,2)="Sí","Sí","No")))</f>
        <v/>
      </c>
      <c r="N21" s="23" t="str">
        <f aca="false">IF(M21="Sí",AJ21,"")</f>
        <v/>
      </c>
      <c r="O21" s="24" t="str">
        <f aca="false">IF(M21="Sí",AK21,"")</f>
        <v/>
      </c>
      <c r="P21" s="25" t="str">
        <f aca="false">IF(AND(LEFT(D21,6)="XIV - ",LEFT(AX21,5)="AVISO"),"Pedimento (R 16): no va al SPPLD",AX21)</f>
        <v/>
      </c>
      <c r="Q21" s="23" t="str">
        <f aca="false">IF(LEFT(P21,5)="AVISO",IF(ISNUMBER(B21),DATE(YEAR(B21),MONTH(B21)+1,17),"Falta fecha"),"")</f>
        <v/>
      </c>
      <c r="R21" s="9" t="str">
        <f aca="false">IF(OR(F21="",F21=0),"",IF(ISNUMBER(AG21),IF(F21&gt;=AG21,"PROHIBIDO","Dentro del límite"),"No aplica"))</f>
        <v/>
      </c>
      <c r="S21" s="26" t="str">
        <f aca="false">IF(E21="","",MID(IF(AQ21=1," · Excede el perfil declarado","")&amp;IF(H21="Sí"," · Paga un tercero","")&amp;IF(J21="Alto"," · Cliente de riesgo alto: DDR (RCG 23 Ter 3 y 4)","")&amp;IF(AND(AS21&lt;&gt;"",AS21&lt;&gt;"No",AS21&lt;&gt;0)," · PEP","")&amp;IF(R21="PROHIBIDO"," · Efectivo prohibido: no lo recibas (Art. 32)","")&amp;IF(AR21=1," · ⚠ Fecha fuera de orden","")&amp;IF(LEFT(I21,1)="⚠"," · ⚠ Cliente no registrado","")&amp;IF(D21=""," · ⚠ Falta la actividad","")&amp;IF(AND(LEFT(P21,5)="AVISO",W21="")," · Captura la cifra total con IVA para el Aviso","")&amp;IF(AND(ISNUMBER(W21),W21&lt;E21)," · ⚠ La cifra con IVA es menor que el monto sin IVA",""),4,400))</f>
        <v/>
      </c>
      <c r="T21" s="21"/>
      <c r="U21" s="20"/>
      <c r="V21" s="9" t="str">
        <f aca="false">IF(LEFT(P21,5)&lt;&gt;"AVISO","",IF(T21="Presentado",IF(AND(ISNUMBER(U21),ISNUMBER(Q21),U21&gt;Q21),"Presentado tarde","Presentado"),IF(NOT(ISNUMBER(Q21)),"Falta fecha",IF(Q21&lt;CONFIG!$B$6,"VENCIDO","Vence en "&amp;(Q21-CONFIG!$B$6)&amp;" días"))))</f>
        <v/>
      </c>
      <c r="W21" s="22"/>
      <c r="X21" s="21"/>
      <c r="AA21" s="0" t="str">
        <f aca="false">IF(AM21="","",INDEX(CATÁLOGO!$D$5:$D$39,AM21))</f>
        <v/>
      </c>
      <c r="AB21" s="0" t="str">
        <f aca="false">IF(AM21="","",INDEX(CATÁLOGO!$E$5:$E$39,AM21))</f>
        <v/>
      </c>
      <c r="AC21" s="0" t="str">
        <f aca="false">IF(AB21="","",IF(ISNUMBER(AB21),AB21*AV21,AB21))</f>
        <v/>
      </c>
      <c r="AD21" s="0" t="str">
        <f aca="false">IF(AM21="","",INDEX(CATÁLOGO!$F$5:$F$39,AM21))</f>
        <v/>
      </c>
      <c r="AE21" s="0" t="str">
        <f aca="false">IF(AD21="","",IF(ISNUMBER(AD21),AD21*AV21,AD21))</f>
        <v/>
      </c>
      <c r="AF21" s="0" t="str">
        <f aca="false">IF(AM21="","",INDEX(CATÁLOGO!$G$5:$G$39,AM21))</f>
        <v/>
      </c>
      <c r="AG21" s="0" t="str">
        <f aca="false">IF(AF21="","",IF(ISNUMBER(AF21),AF21*AV21,AF21))</f>
        <v/>
      </c>
      <c r="AH21" s="0" t="str">
        <f aca="false">IF(E21="","",C21&amp;"|"&amp;D21)</f>
        <v/>
      </c>
      <c r="AI21" s="27" t="n">
        <f aca="false">IF(M21&lt;&gt;"Sí",0,SUMPRODUCT(MAX(($AH$5:AH20=AH21)*($M$5:M20="Sí")*ROW($AH$5:AH20))))</f>
        <v>0</v>
      </c>
      <c r="AJ21" s="0" t="str">
        <f aca="false">IF(M21&lt;&gt;"Sí","",IF(AL21=1,B21,INDEX($AJ:$AJ,AI21)))</f>
        <v/>
      </c>
      <c r="AK21" s="0" t="str">
        <f aca="false">IF(M21&lt;&gt;"Sí","",IF(AL21=1,E21,INDEX($AK:$AK,AI21)+E21))</f>
        <v/>
      </c>
      <c r="AL21" s="0" t="str">
        <f aca="false">IF(M21&lt;&gt;"Sí","",IF(AI21=0,1,IF(INDEX($AN:$AN,AI21)=0,1,IF(B21&gt;=EDATE(INDEX($AJ:$AJ,AI21),6),1,0))))</f>
        <v/>
      </c>
      <c r="AM21" s="0" t="str">
        <f aca="false">IF(D21="","",IFERROR(MATCH(D21,CATÁLOGO!$C$5:$C$39,0),""))</f>
        <v/>
      </c>
      <c r="AN21" s="0" t="str">
        <f aca="false">IF(M21&lt;&gt;"Sí","",IF(AND(ISNUMBER(AE21),AK21&gt;=AE21),0,1))</f>
        <v/>
      </c>
      <c r="AO21" s="0" t="str">
        <f aca="false">IF(OR(E21="",C21="",NOT(ISNUMBER(B21))),"",SUMIFS($E$6:$E$505,$C$6:$C$505,C21,$B$6:$B$505,"&gt;="&amp;DATE(YEAR(B21),MONTH(B21),1),$B$6:$B$505,"&lt;"&amp;DATE(YEAR(B21),MONTH(B21)+1,1)))</f>
        <v/>
      </c>
      <c r="AP21" s="0" t="str">
        <f aca="false">IF(C21="","",IFERROR(INDEX(CLIENTES!$M$6:$M$305,MATCH(C21,CLIENTES!$A$6:$A$305,0)),""))</f>
        <v/>
      </c>
      <c r="AQ21" s="27" t="n">
        <f aca="false">IF(AND(ISNUMBER(AO21),ISNUMBER(AP21)),IF(AND(AP21&gt;0,AO21&gt;AP21),1,0),0)</f>
        <v>0</v>
      </c>
      <c r="AR21" s="27" t="n">
        <f aca="false">IF(NOT(ISNUMBER(B21)),0,IF(B21&lt;MAX($B$5:B20),1,0))</f>
        <v>0</v>
      </c>
      <c r="AS21" s="0" t="str">
        <f aca="false">IF(C21="","",IFERROR(INDEX(CLIENTES!$H$6:$H$305,MATCH(C21,CLIENTES!$A$6:$A$305,0)),""))</f>
        <v/>
      </c>
      <c r="AT21" s="0" t="str">
        <f aca="false">IF(AND(LEFT(P21,5)="AVISO",T21&lt;&gt;"Presentado",ISNUMBER(Q21)),Q21,"")</f>
        <v/>
      </c>
      <c r="AU21" s="27" t="n">
        <f aca="false">IF(AND(D21="XVI - Activos virtuales (PSAV): operación de intercambio/transferencia",M21="Sí",ISNUMBER(AE21)),IF(AK21&gt;=AE21,1,0),0)</f>
        <v>0</v>
      </c>
      <c r="AV21" s="30" t="n">
        <f aca="false">IF(NOT(ISNUMBER(B21)),CONFIG!$B$4,IFERROR(INDEX(CONFIG!$I$5:$I$14,MATCH(IF(MONTH(B21)=1,YEAR(B21)-1,YEAR(B21)),CONFIG!$H$5:$H$14,0)),CONFIG!$B$4))</f>
        <v>117.31</v>
      </c>
      <c r="AW21" s="27" t="n">
        <f aca="false">IF(AND(LEFT(D21,4)="I - ",ISNUMBER(B21),C21&lt;&gt;""),SUMIFS($E$6:$E$505,$C$6:$C$505,C21,$D$6:$D$505,D21,$B$6:$B$505,"&gt;"&amp;(B21-1),$B$6:$B$505,"&lt;="&amp;B21),0)</f>
        <v>0</v>
      </c>
      <c r="AX21" s="0" t="str">
        <f aca="false">IF(E21="","",IF(AD21="Siempre","AVISO (siempre)",IF(AD21="No aplica","Sin Aviso (sólo preparas: Ley 17 XI)",IF(NOT(ISNUMBER(AE21)),"",IF(AA21&lt;&gt;"ACUMULA",IF(E21&gt;=AE21,IF(AND(D21="XVI - Activos virtuales (PSAV): cobro de contraprestación (comisión) por el servicio",COUNTIFS($C$6:$C$505,C21,$B$6:$B$505,"&gt;="&amp;INT(B21),$B$6:$B$505,"&lt;"&amp;(INT(B21)+1),$AU$6:$AU$505,1)&gt;0),"En el Aviso del inciso a) (R 31 Bis)","AVISO"),"—"),IF(M21&lt;&gt;"Sí","—",IF(AK21&gt;=AE21,IF(AK21=E21,"AVISO","AVISO (acumulado)"),"Acumulando")))))))</f>
        <v/>
      </c>
    </row>
    <row r="22" customFormat="false" ht="15" hidden="false" customHeight="false" outlineLevel="0" collapsed="false">
      <c r="A22" s="9" t="str">
        <f aca="false">IF(E22="","",ROW()-5)</f>
        <v/>
      </c>
      <c r="B22" s="20"/>
      <c r="C22" s="21"/>
      <c r="D22" s="21"/>
      <c r="E22" s="22"/>
      <c r="F22" s="22"/>
      <c r="G22" s="21"/>
      <c r="H22" s="21"/>
      <c r="I22" s="9" t="str">
        <f aca="false">IF(C22="","",IFERROR(INDEX(CLIENTES!$B$6:$B$305,MATCH(C22,CLIENTES!$A$6:$A$305,0)),"⚠ ID no registrado"))</f>
        <v/>
      </c>
      <c r="J22" s="9" t="str">
        <f aca="false">IF(C22="","",IFERROR(INDEX(CLIENTES!$Z$6:$Z$305,MATCH(C22,CLIENTES!$A$6:$A$305,0)),""))</f>
        <v/>
      </c>
      <c r="K22" s="9" t="str">
        <f aca="false">IF(E22="","",IF(AB22="Siempre","Sí",IF(ISNUMBER(AC22),IF(E22&gt;=AC22,"Sí",IF(AW22&gt;=AC22,"Sí (serie 24 h)","No")),"")))</f>
        <v/>
      </c>
      <c r="L22" s="9" t="str">
        <f aca="false">IF(E22="","",AA22)</f>
        <v/>
      </c>
      <c r="M22" s="9" t="str">
        <f aca="false">IF(E22="","",IF(AA22&lt;&gt;"ACUMULA","No aplica",IF(LEFT(K22,2)="Sí","Sí","No")))</f>
        <v/>
      </c>
      <c r="N22" s="23" t="str">
        <f aca="false">IF(M22="Sí",AJ22,"")</f>
        <v/>
      </c>
      <c r="O22" s="24" t="str">
        <f aca="false">IF(M22="Sí",AK22,"")</f>
        <v/>
      </c>
      <c r="P22" s="25" t="str">
        <f aca="false">IF(AND(LEFT(D22,6)="XIV - ",LEFT(AX22,5)="AVISO"),"Pedimento (R 16): no va al SPPLD",AX22)</f>
        <v/>
      </c>
      <c r="Q22" s="23" t="str">
        <f aca="false">IF(LEFT(P22,5)="AVISO",IF(ISNUMBER(B22),DATE(YEAR(B22),MONTH(B22)+1,17),"Falta fecha"),"")</f>
        <v/>
      </c>
      <c r="R22" s="9" t="str">
        <f aca="false">IF(OR(F22="",F22=0),"",IF(ISNUMBER(AG22),IF(F22&gt;=AG22,"PROHIBIDO","Dentro del límite"),"No aplica"))</f>
        <v/>
      </c>
      <c r="S22" s="26" t="str">
        <f aca="false">IF(E22="","",MID(IF(AQ22=1," · Excede el perfil declarado","")&amp;IF(H22="Sí"," · Paga un tercero","")&amp;IF(J22="Alto"," · Cliente de riesgo alto: DDR (RCG 23 Ter 3 y 4)","")&amp;IF(AND(AS22&lt;&gt;"",AS22&lt;&gt;"No",AS22&lt;&gt;0)," · PEP","")&amp;IF(R22="PROHIBIDO"," · Efectivo prohibido: no lo recibas (Art. 32)","")&amp;IF(AR22=1," · ⚠ Fecha fuera de orden","")&amp;IF(LEFT(I22,1)="⚠"," · ⚠ Cliente no registrado","")&amp;IF(D22=""," · ⚠ Falta la actividad","")&amp;IF(AND(LEFT(P22,5)="AVISO",W22="")," · Captura la cifra total con IVA para el Aviso","")&amp;IF(AND(ISNUMBER(W22),W22&lt;E22)," · ⚠ La cifra con IVA es menor que el monto sin IVA",""),4,400))</f>
        <v/>
      </c>
      <c r="T22" s="21"/>
      <c r="U22" s="20"/>
      <c r="V22" s="9" t="str">
        <f aca="false">IF(LEFT(P22,5)&lt;&gt;"AVISO","",IF(T22="Presentado",IF(AND(ISNUMBER(U22),ISNUMBER(Q22),U22&gt;Q22),"Presentado tarde","Presentado"),IF(NOT(ISNUMBER(Q22)),"Falta fecha",IF(Q22&lt;CONFIG!$B$6,"VENCIDO","Vence en "&amp;(Q22-CONFIG!$B$6)&amp;" días"))))</f>
        <v/>
      </c>
      <c r="W22" s="22"/>
      <c r="X22" s="21"/>
      <c r="AA22" s="0" t="str">
        <f aca="false">IF(AM22="","",INDEX(CATÁLOGO!$D$5:$D$39,AM22))</f>
        <v/>
      </c>
      <c r="AB22" s="0" t="str">
        <f aca="false">IF(AM22="","",INDEX(CATÁLOGO!$E$5:$E$39,AM22))</f>
        <v/>
      </c>
      <c r="AC22" s="0" t="str">
        <f aca="false">IF(AB22="","",IF(ISNUMBER(AB22),AB22*AV22,AB22))</f>
        <v/>
      </c>
      <c r="AD22" s="0" t="str">
        <f aca="false">IF(AM22="","",INDEX(CATÁLOGO!$F$5:$F$39,AM22))</f>
        <v/>
      </c>
      <c r="AE22" s="0" t="str">
        <f aca="false">IF(AD22="","",IF(ISNUMBER(AD22),AD22*AV22,AD22))</f>
        <v/>
      </c>
      <c r="AF22" s="0" t="str">
        <f aca="false">IF(AM22="","",INDEX(CATÁLOGO!$G$5:$G$39,AM22))</f>
        <v/>
      </c>
      <c r="AG22" s="0" t="str">
        <f aca="false">IF(AF22="","",IF(ISNUMBER(AF22),AF22*AV22,AF22))</f>
        <v/>
      </c>
      <c r="AH22" s="0" t="str">
        <f aca="false">IF(E22="","",C22&amp;"|"&amp;D22)</f>
        <v/>
      </c>
      <c r="AI22" s="27" t="n">
        <f aca="false">IF(M22&lt;&gt;"Sí",0,SUMPRODUCT(MAX(($AH$5:AH21=AH22)*($M$5:M21="Sí")*ROW($AH$5:AH21))))</f>
        <v>0</v>
      </c>
      <c r="AJ22" s="0" t="str">
        <f aca="false">IF(M22&lt;&gt;"Sí","",IF(AL22=1,B22,INDEX($AJ:$AJ,AI22)))</f>
        <v/>
      </c>
      <c r="AK22" s="0" t="str">
        <f aca="false">IF(M22&lt;&gt;"Sí","",IF(AL22=1,E22,INDEX($AK:$AK,AI22)+E22))</f>
        <v/>
      </c>
      <c r="AL22" s="0" t="str">
        <f aca="false">IF(M22&lt;&gt;"Sí","",IF(AI22=0,1,IF(INDEX($AN:$AN,AI22)=0,1,IF(B22&gt;=EDATE(INDEX($AJ:$AJ,AI22),6),1,0))))</f>
        <v/>
      </c>
      <c r="AM22" s="0" t="str">
        <f aca="false">IF(D22="","",IFERROR(MATCH(D22,CATÁLOGO!$C$5:$C$39,0),""))</f>
        <v/>
      </c>
      <c r="AN22" s="0" t="str">
        <f aca="false">IF(M22&lt;&gt;"Sí","",IF(AND(ISNUMBER(AE22),AK22&gt;=AE22),0,1))</f>
        <v/>
      </c>
      <c r="AO22" s="0" t="str">
        <f aca="false">IF(OR(E22="",C22="",NOT(ISNUMBER(B22))),"",SUMIFS($E$6:$E$505,$C$6:$C$505,C22,$B$6:$B$505,"&gt;="&amp;DATE(YEAR(B22),MONTH(B22),1),$B$6:$B$505,"&lt;"&amp;DATE(YEAR(B22),MONTH(B22)+1,1)))</f>
        <v/>
      </c>
      <c r="AP22" s="0" t="str">
        <f aca="false">IF(C22="","",IFERROR(INDEX(CLIENTES!$M$6:$M$305,MATCH(C22,CLIENTES!$A$6:$A$305,0)),""))</f>
        <v/>
      </c>
      <c r="AQ22" s="27" t="n">
        <f aca="false">IF(AND(ISNUMBER(AO22),ISNUMBER(AP22)),IF(AND(AP22&gt;0,AO22&gt;AP22),1,0),0)</f>
        <v>0</v>
      </c>
      <c r="AR22" s="27" t="n">
        <f aca="false">IF(NOT(ISNUMBER(B22)),0,IF(B22&lt;MAX($B$5:B21),1,0))</f>
        <v>0</v>
      </c>
      <c r="AS22" s="0" t="str">
        <f aca="false">IF(C22="","",IFERROR(INDEX(CLIENTES!$H$6:$H$305,MATCH(C22,CLIENTES!$A$6:$A$305,0)),""))</f>
        <v/>
      </c>
      <c r="AT22" s="0" t="str">
        <f aca="false">IF(AND(LEFT(P22,5)="AVISO",T22&lt;&gt;"Presentado",ISNUMBER(Q22)),Q22,"")</f>
        <v/>
      </c>
      <c r="AU22" s="27" t="n">
        <f aca="false">IF(AND(D22="XVI - Activos virtuales (PSAV): operación de intercambio/transferencia",M22="Sí",ISNUMBER(AE22)),IF(AK22&gt;=AE22,1,0),0)</f>
        <v>0</v>
      </c>
      <c r="AV22" s="30" t="n">
        <f aca="false">IF(NOT(ISNUMBER(B22)),CONFIG!$B$4,IFERROR(INDEX(CONFIG!$I$5:$I$14,MATCH(IF(MONTH(B22)=1,YEAR(B22)-1,YEAR(B22)),CONFIG!$H$5:$H$14,0)),CONFIG!$B$4))</f>
        <v>117.31</v>
      </c>
      <c r="AW22" s="27" t="n">
        <f aca="false">IF(AND(LEFT(D22,4)="I - ",ISNUMBER(B22),C22&lt;&gt;""),SUMIFS($E$6:$E$505,$C$6:$C$505,C22,$D$6:$D$505,D22,$B$6:$B$505,"&gt;"&amp;(B22-1),$B$6:$B$505,"&lt;="&amp;B22),0)</f>
        <v>0</v>
      </c>
      <c r="AX22" s="0" t="str">
        <f aca="false">IF(E22="","",IF(AD22="Siempre","AVISO (siempre)",IF(AD22="No aplica","Sin Aviso (sólo preparas: Ley 17 XI)",IF(NOT(ISNUMBER(AE22)),"",IF(AA22&lt;&gt;"ACUMULA",IF(E22&gt;=AE22,IF(AND(D22="XVI - Activos virtuales (PSAV): cobro de contraprestación (comisión) por el servicio",COUNTIFS($C$6:$C$505,C22,$B$6:$B$505,"&gt;="&amp;INT(B22),$B$6:$B$505,"&lt;"&amp;(INT(B22)+1),$AU$6:$AU$505,1)&gt;0),"En el Aviso del inciso a) (R 31 Bis)","AVISO"),"—"),IF(M22&lt;&gt;"Sí","—",IF(AK22&gt;=AE22,IF(AK22=E22,"AVISO","AVISO (acumulado)"),"Acumulando")))))))</f>
        <v/>
      </c>
    </row>
    <row r="23" customFormat="false" ht="15" hidden="false" customHeight="false" outlineLevel="0" collapsed="false">
      <c r="A23" s="9" t="str">
        <f aca="false">IF(E23="","",ROW()-5)</f>
        <v/>
      </c>
      <c r="B23" s="20"/>
      <c r="C23" s="21"/>
      <c r="D23" s="21"/>
      <c r="E23" s="22"/>
      <c r="F23" s="22"/>
      <c r="G23" s="21"/>
      <c r="H23" s="21"/>
      <c r="I23" s="9" t="str">
        <f aca="false">IF(C23="","",IFERROR(INDEX(CLIENTES!$B$6:$B$305,MATCH(C23,CLIENTES!$A$6:$A$305,0)),"⚠ ID no registrado"))</f>
        <v/>
      </c>
      <c r="J23" s="9" t="str">
        <f aca="false">IF(C23="","",IFERROR(INDEX(CLIENTES!$Z$6:$Z$305,MATCH(C23,CLIENTES!$A$6:$A$305,0)),""))</f>
        <v/>
      </c>
      <c r="K23" s="9" t="str">
        <f aca="false">IF(E23="","",IF(AB23="Siempre","Sí",IF(ISNUMBER(AC23),IF(E23&gt;=AC23,"Sí",IF(AW23&gt;=AC23,"Sí (serie 24 h)","No")),"")))</f>
        <v/>
      </c>
      <c r="L23" s="9" t="str">
        <f aca="false">IF(E23="","",AA23)</f>
        <v/>
      </c>
      <c r="M23" s="9" t="str">
        <f aca="false">IF(E23="","",IF(AA23&lt;&gt;"ACUMULA","No aplica",IF(LEFT(K23,2)="Sí","Sí","No")))</f>
        <v/>
      </c>
      <c r="N23" s="23" t="str">
        <f aca="false">IF(M23="Sí",AJ23,"")</f>
        <v/>
      </c>
      <c r="O23" s="24" t="str">
        <f aca="false">IF(M23="Sí",AK23,"")</f>
        <v/>
      </c>
      <c r="P23" s="25" t="str">
        <f aca="false">IF(AND(LEFT(D23,6)="XIV - ",LEFT(AX23,5)="AVISO"),"Pedimento (R 16): no va al SPPLD",AX23)</f>
        <v/>
      </c>
      <c r="Q23" s="23" t="str">
        <f aca="false">IF(LEFT(P23,5)="AVISO",IF(ISNUMBER(B23),DATE(YEAR(B23),MONTH(B23)+1,17),"Falta fecha"),"")</f>
        <v/>
      </c>
      <c r="R23" s="9" t="str">
        <f aca="false">IF(OR(F23="",F23=0),"",IF(ISNUMBER(AG23),IF(F23&gt;=AG23,"PROHIBIDO","Dentro del límite"),"No aplica"))</f>
        <v/>
      </c>
      <c r="S23" s="26" t="str">
        <f aca="false">IF(E23="","",MID(IF(AQ23=1," · Excede el perfil declarado","")&amp;IF(H23="Sí"," · Paga un tercero","")&amp;IF(J23="Alto"," · Cliente de riesgo alto: DDR (RCG 23 Ter 3 y 4)","")&amp;IF(AND(AS23&lt;&gt;"",AS23&lt;&gt;"No",AS23&lt;&gt;0)," · PEP","")&amp;IF(R23="PROHIBIDO"," · Efectivo prohibido: no lo recibas (Art. 32)","")&amp;IF(AR23=1," · ⚠ Fecha fuera de orden","")&amp;IF(LEFT(I23,1)="⚠"," · ⚠ Cliente no registrado","")&amp;IF(D23=""," · ⚠ Falta la actividad","")&amp;IF(AND(LEFT(P23,5)="AVISO",W23="")," · Captura la cifra total con IVA para el Aviso","")&amp;IF(AND(ISNUMBER(W23),W23&lt;E23)," · ⚠ La cifra con IVA es menor que el monto sin IVA",""),4,400))</f>
        <v/>
      </c>
      <c r="T23" s="21"/>
      <c r="U23" s="20"/>
      <c r="V23" s="9" t="str">
        <f aca="false">IF(LEFT(P23,5)&lt;&gt;"AVISO","",IF(T23="Presentado",IF(AND(ISNUMBER(U23),ISNUMBER(Q23),U23&gt;Q23),"Presentado tarde","Presentado"),IF(NOT(ISNUMBER(Q23)),"Falta fecha",IF(Q23&lt;CONFIG!$B$6,"VENCIDO","Vence en "&amp;(Q23-CONFIG!$B$6)&amp;" días"))))</f>
        <v/>
      </c>
      <c r="W23" s="22"/>
      <c r="X23" s="21"/>
      <c r="AA23" s="0" t="str">
        <f aca="false">IF(AM23="","",INDEX(CATÁLOGO!$D$5:$D$39,AM23))</f>
        <v/>
      </c>
      <c r="AB23" s="0" t="str">
        <f aca="false">IF(AM23="","",INDEX(CATÁLOGO!$E$5:$E$39,AM23))</f>
        <v/>
      </c>
      <c r="AC23" s="0" t="str">
        <f aca="false">IF(AB23="","",IF(ISNUMBER(AB23),AB23*AV23,AB23))</f>
        <v/>
      </c>
      <c r="AD23" s="0" t="str">
        <f aca="false">IF(AM23="","",INDEX(CATÁLOGO!$F$5:$F$39,AM23))</f>
        <v/>
      </c>
      <c r="AE23" s="0" t="str">
        <f aca="false">IF(AD23="","",IF(ISNUMBER(AD23),AD23*AV23,AD23))</f>
        <v/>
      </c>
      <c r="AF23" s="0" t="str">
        <f aca="false">IF(AM23="","",INDEX(CATÁLOGO!$G$5:$G$39,AM23))</f>
        <v/>
      </c>
      <c r="AG23" s="0" t="str">
        <f aca="false">IF(AF23="","",IF(ISNUMBER(AF23),AF23*AV23,AF23))</f>
        <v/>
      </c>
      <c r="AH23" s="0" t="str">
        <f aca="false">IF(E23="","",C23&amp;"|"&amp;D23)</f>
        <v/>
      </c>
      <c r="AI23" s="27" t="n">
        <f aca="false">IF(M23&lt;&gt;"Sí",0,SUMPRODUCT(MAX(($AH$5:AH22=AH23)*($M$5:M22="Sí")*ROW($AH$5:AH22))))</f>
        <v>0</v>
      </c>
      <c r="AJ23" s="0" t="str">
        <f aca="false">IF(M23&lt;&gt;"Sí","",IF(AL23=1,B23,INDEX($AJ:$AJ,AI23)))</f>
        <v/>
      </c>
      <c r="AK23" s="0" t="str">
        <f aca="false">IF(M23&lt;&gt;"Sí","",IF(AL23=1,E23,INDEX($AK:$AK,AI23)+E23))</f>
        <v/>
      </c>
      <c r="AL23" s="0" t="str">
        <f aca="false">IF(M23&lt;&gt;"Sí","",IF(AI23=0,1,IF(INDEX($AN:$AN,AI23)=0,1,IF(B23&gt;=EDATE(INDEX($AJ:$AJ,AI23),6),1,0))))</f>
        <v/>
      </c>
      <c r="AM23" s="0" t="str">
        <f aca="false">IF(D23="","",IFERROR(MATCH(D23,CATÁLOGO!$C$5:$C$39,0),""))</f>
        <v/>
      </c>
      <c r="AN23" s="0" t="str">
        <f aca="false">IF(M23&lt;&gt;"Sí","",IF(AND(ISNUMBER(AE23),AK23&gt;=AE23),0,1))</f>
        <v/>
      </c>
      <c r="AO23" s="0" t="str">
        <f aca="false">IF(OR(E23="",C23="",NOT(ISNUMBER(B23))),"",SUMIFS($E$6:$E$505,$C$6:$C$505,C23,$B$6:$B$505,"&gt;="&amp;DATE(YEAR(B23),MONTH(B23),1),$B$6:$B$505,"&lt;"&amp;DATE(YEAR(B23),MONTH(B23)+1,1)))</f>
        <v/>
      </c>
      <c r="AP23" s="0" t="str">
        <f aca="false">IF(C23="","",IFERROR(INDEX(CLIENTES!$M$6:$M$305,MATCH(C23,CLIENTES!$A$6:$A$305,0)),""))</f>
        <v/>
      </c>
      <c r="AQ23" s="27" t="n">
        <f aca="false">IF(AND(ISNUMBER(AO23),ISNUMBER(AP23)),IF(AND(AP23&gt;0,AO23&gt;AP23),1,0),0)</f>
        <v>0</v>
      </c>
      <c r="AR23" s="27" t="n">
        <f aca="false">IF(NOT(ISNUMBER(B23)),0,IF(B23&lt;MAX($B$5:B22),1,0))</f>
        <v>0</v>
      </c>
      <c r="AS23" s="0" t="str">
        <f aca="false">IF(C23="","",IFERROR(INDEX(CLIENTES!$H$6:$H$305,MATCH(C23,CLIENTES!$A$6:$A$305,0)),""))</f>
        <v/>
      </c>
      <c r="AT23" s="0" t="str">
        <f aca="false">IF(AND(LEFT(P23,5)="AVISO",T23&lt;&gt;"Presentado",ISNUMBER(Q23)),Q23,"")</f>
        <v/>
      </c>
      <c r="AU23" s="27" t="n">
        <f aca="false">IF(AND(D23="XVI - Activos virtuales (PSAV): operación de intercambio/transferencia",M23="Sí",ISNUMBER(AE23)),IF(AK23&gt;=AE23,1,0),0)</f>
        <v>0</v>
      </c>
      <c r="AV23" s="30" t="n">
        <f aca="false">IF(NOT(ISNUMBER(B23)),CONFIG!$B$4,IFERROR(INDEX(CONFIG!$I$5:$I$14,MATCH(IF(MONTH(B23)=1,YEAR(B23)-1,YEAR(B23)),CONFIG!$H$5:$H$14,0)),CONFIG!$B$4))</f>
        <v>117.31</v>
      </c>
      <c r="AW23" s="27" t="n">
        <f aca="false">IF(AND(LEFT(D23,4)="I - ",ISNUMBER(B23),C23&lt;&gt;""),SUMIFS($E$6:$E$505,$C$6:$C$505,C23,$D$6:$D$505,D23,$B$6:$B$505,"&gt;"&amp;(B23-1),$B$6:$B$505,"&lt;="&amp;B23),0)</f>
        <v>0</v>
      </c>
      <c r="AX23" s="0" t="str">
        <f aca="false">IF(E23="","",IF(AD23="Siempre","AVISO (siempre)",IF(AD23="No aplica","Sin Aviso (sólo preparas: Ley 17 XI)",IF(NOT(ISNUMBER(AE23)),"",IF(AA23&lt;&gt;"ACUMULA",IF(E23&gt;=AE23,IF(AND(D23="XVI - Activos virtuales (PSAV): cobro de contraprestación (comisión) por el servicio",COUNTIFS($C$6:$C$505,C23,$B$6:$B$505,"&gt;="&amp;INT(B23),$B$6:$B$505,"&lt;"&amp;(INT(B23)+1),$AU$6:$AU$505,1)&gt;0),"En el Aviso del inciso a) (R 31 Bis)","AVISO"),"—"),IF(M23&lt;&gt;"Sí","—",IF(AK23&gt;=AE23,IF(AK23=E23,"AVISO","AVISO (acumulado)"),"Acumulando")))))))</f>
        <v/>
      </c>
    </row>
    <row r="24" customFormat="false" ht="15" hidden="false" customHeight="false" outlineLevel="0" collapsed="false">
      <c r="A24" s="9" t="str">
        <f aca="false">IF(E24="","",ROW()-5)</f>
        <v/>
      </c>
      <c r="B24" s="20"/>
      <c r="C24" s="21"/>
      <c r="D24" s="21"/>
      <c r="E24" s="22"/>
      <c r="F24" s="22"/>
      <c r="G24" s="21"/>
      <c r="H24" s="21"/>
      <c r="I24" s="9" t="str">
        <f aca="false">IF(C24="","",IFERROR(INDEX(CLIENTES!$B$6:$B$305,MATCH(C24,CLIENTES!$A$6:$A$305,0)),"⚠ ID no registrado"))</f>
        <v/>
      </c>
      <c r="J24" s="9" t="str">
        <f aca="false">IF(C24="","",IFERROR(INDEX(CLIENTES!$Z$6:$Z$305,MATCH(C24,CLIENTES!$A$6:$A$305,0)),""))</f>
        <v/>
      </c>
      <c r="K24" s="9" t="str">
        <f aca="false">IF(E24="","",IF(AB24="Siempre","Sí",IF(ISNUMBER(AC24),IF(E24&gt;=AC24,"Sí",IF(AW24&gt;=AC24,"Sí (serie 24 h)","No")),"")))</f>
        <v/>
      </c>
      <c r="L24" s="9" t="str">
        <f aca="false">IF(E24="","",AA24)</f>
        <v/>
      </c>
      <c r="M24" s="9" t="str">
        <f aca="false">IF(E24="","",IF(AA24&lt;&gt;"ACUMULA","No aplica",IF(LEFT(K24,2)="Sí","Sí","No")))</f>
        <v/>
      </c>
      <c r="N24" s="23" t="str">
        <f aca="false">IF(M24="Sí",AJ24,"")</f>
        <v/>
      </c>
      <c r="O24" s="24" t="str">
        <f aca="false">IF(M24="Sí",AK24,"")</f>
        <v/>
      </c>
      <c r="P24" s="25" t="str">
        <f aca="false">IF(AND(LEFT(D24,6)="XIV - ",LEFT(AX24,5)="AVISO"),"Pedimento (R 16): no va al SPPLD",AX24)</f>
        <v/>
      </c>
      <c r="Q24" s="23" t="str">
        <f aca="false">IF(LEFT(P24,5)="AVISO",IF(ISNUMBER(B24),DATE(YEAR(B24),MONTH(B24)+1,17),"Falta fecha"),"")</f>
        <v/>
      </c>
      <c r="R24" s="9" t="str">
        <f aca="false">IF(OR(F24="",F24=0),"",IF(ISNUMBER(AG24),IF(F24&gt;=AG24,"PROHIBIDO","Dentro del límite"),"No aplica"))</f>
        <v/>
      </c>
      <c r="S24" s="26" t="str">
        <f aca="false">IF(E24="","",MID(IF(AQ24=1," · Excede el perfil declarado","")&amp;IF(H24="Sí"," · Paga un tercero","")&amp;IF(J24="Alto"," · Cliente de riesgo alto: DDR (RCG 23 Ter 3 y 4)","")&amp;IF(AND(AS24&lt;&gt;"",AS24&lt;&gt;"No",AS24&lt;&gt;0)," · PEP","")&amp;IF(R24="PROHIBIDO"," · Efectivo prohibido: no lo recibas (Art. 32)","")&amp;IF(AR24=1," · ⚠ Fecha fuera de orden","")&amp;IF(LEFT(I24,1)="⚠"," · ⚠ Cliente no registrado","")&amp;IF(D24=""," · ⚠ Falta la actividad","")&amp;IF(AND(LEFT(P24,5)="AVISO",W24="")," · Captura la cifra total con IVA para el Aviso","")&amp;IF(AND(ISNUMBER(W24),W24&lt;E24)," · ⚠ La cifra con IVA es menor que el monto sin IVA",""),4,400))</f>
        <v/>
      </c>
      <c r="T24" s="21"/>
      <c r="U24" s="20"/>
      <c r="V24" s="9" t="str">
        <f aca="false">IF(LEFT(P24,5)&lt;&gt;"AVISO","",IF(T24="Presentado",IF(AND(ISNUMBER(U24),ISNUMBER(Q24),U24&gt;Q24),"Presentado tarde","Presentado"),IF(NOT(ISNUMBER(Q24)),"Falta fecha",IF(Q24&lt;CONFIG!$B$6,"VENCIDO","Vence en "&amp;(Q24-CONFIG!$B$6)&amp;" días"))))</f>
        <v/>
      </c>
      <c r="W24" s="22"/>
      <c r="X24" s="21"/>
      <c r="AA24" s="0" t="str">
        <f aca="false">IF(AM24="","",INDEX(CATÁLOGO!$D$5:$D$39,AM24))</f>
        <v/>
      </c>
      <c r="AB24" s="0" t="str">
        <f aca="false">IF(AM24="","",INDEX(CATÁLOGO!$E$5:$E$39,AM24))</f>
        <v/>
      </c>
      <c r="AC24" s="0" t="str">
        <f aca="false">IF(AB24="","",IF(ISNUMBER(AB24),AB24*AV24,AB24))</f>
        <v/>
      </c>
      <c r="AD24" s="0" t="str">
        <f aca="false">IF(AM24="","",INDEX(CATÁLOGO!$F$5:$F$39,AM24))</f>
        <v/>
      </c>
      <c r="AE24" s="0" t="str">
        <f aca="false">IF(AD24="","",IF(ISNUMBER(AD24),AD24*AV24,AD24))</f>
        <v/>
      </c>
      <c r="AF24" s="0" t="str">
        <f aca="false">IF(AM24="","",INDEX(CATÁLOGO!$G$5:$G$39,AM24))</f>
        <v/>
      </c>
      <c r="AG24" s="0" t="str">
        <f aca="false">IF(AF24="","",IF(ISNUMBER(AF24),AF24*AV24,AF24))</f>
        <v/>
      </c>
      <c r="AH24" s="0" t="str">
        <f aca="false">IF(E24="","",C24&amp;"|"&amp;D24)</f>
        <v/>
      </c>
      <c r="AI24" s="27" t="n">
        <f aca="false">IF(M24&lt;&gt;"Sí",0,SUMPRODUCT(MAX(($AH$5:AH23=AH24)*($M$5:M23="Sí")*ROW($AH$5:AH23))))</f>
        <v>0</v>
      </c>
      <c r="AJ24" s="0" t="str">
        <f aca="false">IF(M24&lt;&gt;"Sí","",IF(AL24=1,B24,INDEX($AJ:$AJ,AI24)))</f>
        <v/>
      </c>
      <c r="AK24" s="0" t="str">
        <f aca="false">IF(M24&lt;&gt;"Sí","",IF(AL24=1,E24,INDEX($AK:$AK,AI24)+E24))</f>
        <v/>
      </c>
      <c r="AL24" s="0" t="str">
        <f aca="false">IF(M24&lt;&gt;"Sí","",IF(AI24=0,1,IF(INDEX($AN:$AN,AI24)=0,1,IF(B24&gt;=EDATE(INDEX($AJ:$AJ,AI24),6),1,0))))</f>
        <v/>
      </c>
      <c r="AM24" s="0" t="str">
        <f aca="false">IF(D24="","",IFERROR(MATCH(D24,CATÁLOGO!$C$5:$C$39,0),""))</f>
        <v/>
      </c>
      <c r="AN24" s="0" t="str">
        <f aca="false">IF(M24&lt;&gt;"Sí","",IF(AND(ISNUMBER(AE24),AK24&gt;=AE24),0,1))</f>
        <v/>
      </c>
      <c r="AO24" s="0" t="str">
        <f aca="false">IF(OR(E24="",C24="",NOT(ISNUMBER(B24))),"",SUMIFS($E$6:$E$505,$C$6:$C$505,C24,$B$6:$B$505,"&gt;="&amp;DATE(YEAR(B24),MONTH(B24),1),$B$6:$B$505,"&lt;"&amp;DATE(YEAR(B24),MONTH(B24)+1,1)))</f>
        <v/>
      </c>
      <c r="AP24" s="0" t="str">
        <f aca="false">IF(C24="","",IFERROR(INDEX(CLIENTES!$M$6:$M$305,MATCH(C24,CLIENTES!$A$6:$A$305,0)),""))</f>
        <v/>
      </c>
      <c r="AQ24" s="27" t="n">
        <f aca="false">IF(AND(ISNUMBER(AO24),ISNUMBER(AP24)),IF(AND(AP24&gt;0,AO24&gt;AP24),1,0),0)</f>
        <v>0</v>
      </c>
      <c r="AR24" s="27" t="n">
        <f aca="false">IF(NOT(ISNUMBER(B24)),0,IF(B24&lt;MAX($B$5:B23),1,0))</f>
        <v>0</v>
      </c>
      <c r="AS24" s="0" t="str">
        <f aca="false">IF(C24="","",IFERROR(INDEX(CLIENTES!$H$6:$H$305,MATCH(C24,CLIENTES!$A$6:$A$305,0)),""))</f>
        <v/>
      </c>
      <c r="AT24" s="0" t="str">
        <f aca="false">IF(AND(LEFT(P24,5)="AVISO",T24&lt;&gt;"Presentado",ISNUMBER(Q24)),Q24,"")</f>
        <v/>
      </c>
      <c r="AU24" s="27" t="n">
        <f aca="false">IF(AND(D24="XVI - Activos virtuales (PSAV): operación de intercambio/transferencia",M24="Sí",ISNUMBER(AE24)),IF(AK24&gt;=AE24,1,0),0)</f>
        <v>0</v>
      </c>
      <c r="AV24" s="30" t="n">
        <f aca="false">IF(NOT(ISNUMBER(B24)),CONFIG!$B$4,IFERROR(INDEX(CONFIG!$I$5:$I$14,MATCH(IF(MONTH(B24)=1,YEAR(B24)-1,YEAR(B24)),CONFIG!$H$5:$H$14,0)),CONFIG!$B$4))</f>
        <v>117.31</v>
      </c>
      <c r="AW24" s="27" t="n">
        <f aca="false">IF(AND(LEFT(D24,4)="I - ",ISNUMBER(B24),C24&lt;&gt;""),SUMIFS($E$6:$E$505,$C$6:$C$505,C24,$D$6:$D$505,D24,$B$6:$B$505,"&gt;"&amp;(B24-1),$B$6:$B$505,"&lt;="&amp;B24),0)</f>
        <v>0</v>
      </c>
      <c r="AX24" s="0" t="str">
        <f aca="false">IF(E24="","",IF(AD24="Siempre","AVISO (siempre)",IF(AD24="No aplica","Sin Aviso (sólo preparas: Ley 17 XI)",IF(NOT(ISNUMBER(AE24)),"",IF(AA24&lt;&gt;"ACUMULA",IF(E24&gt;=AE24,IF(AND(D24="XVI - Activos virtuales (PSAV): cobro de contraprestación (comisión) por el servicio",COUNTIFS($C$6:$C$505,C24,$B$6:$B$505,"&gt;="&amp;INT(B24),$B$6:$B$505,"&lt;"&amp;(INT(B24)+1),$AU$6:$AU$505,1)&gt;0),"En el Aviso del inciso a) (R 31 Bis)","AVISO"),"—"),IF(M24&lt;&gt;"Sí","—",IF(AK24&gt;=AE24,IF(AK24=E24,"AVISO","AVISO (acumulado)"),"Acumulando")))))))</f>
        <v/>
      </c>
    </row>
    <row r="25" customFormat="false" ht="15" hidden="false" customHeight="false" outlineLevel="0" collapsed="false">
      <c r="A25" s="9" t="str">
        <f aca="false">IF(E25="","",ROW()-5)</f>
        <v/>
      </c>
      <c r="B25" s="20"/>
      <c r="C25" s="21"/>
      <c r="D25" s="21"/>
      <c r="E25" s="22"/>
      <c r="F25" s="22"/>
      <c r="G25" s="21"/>
      <c r="H25" s="21"/>
      <c r="I25" s="9" t="str">
        <f aca="false">IF(C25="","",IFERROR(INDEX(CLIENTES!$B$6:$B$305,MATCH(C25,CLIENTES!$A$6:$A$305,0)),"⚠ ID no registrado"))</f>
        <v/>
      </c>
      <c r="J25" s="9" t="str">
        <f aca="false">IF(C25="","",IFERROR(INDEX(CLIENTES!$Z$6:$Z$305,MATCH(C25,CLIENTES!$A$6:$A$305,0)),""))</f>
        <v/>
      </c>
      <c r="K25" s="9" t="str">
        <f aca="false">IF(E25="","",IF(AB25="Siempre","Sí",IF(ISNUMBER(AC25),IF(E25&gt;=AC25,"Sí",IF(AW25&gt;=AC25,"Sí (serie 24 h)","No")),"")))</f>
        <v/>
      </c>
      <c r="L25" s="9" t="str">
        <f aca="false">IF(E25="","",AA25)</f>
        <v/>
      </c>
      <c r="M25" s="9" t="str">
        <f aca="false">IF(E25="","",IF(AA25&lt;&gt;"ACUMULA","No aplica",IF(LEFT(K25,2)="Sí","Sí","No")))</f>
        <v/>
      </c>
      <c r="N25" s="23" t="str">
        <f aca="false">IF(M25="Sí",AJ25,"")</f>
        <v/>
      </c>
      <c r="O25" s="24" t="str">
        <f aca="false">IF(M25="Sí",AK25,"")</f>
        <v/>
      </c>
      <c r="P25" s="25" t="str">
        <f aca="false">IF(AND(LEFT(D25,6)="XIV - ",LEFT(AX25,5)="AVISO"),"Pedimento (R 16): no va al SPPLD",AX25)</f>
        <v/>
      </c>
      <c r="Q25" s="23" t="str">
        <f aca="false">IF(LEFT(P25,5)="AVISO",IF(ISNUMBER(B25),DATE(YEAR(B25),MONTH(B25)+1,17),"Falta fecha"),"")</f>
        <v/>
      </c>
      <c r="R25" s="9" t="str">
        <f aca="false">IF(OR(F25="",F25=0),"",IF(ISNUMBER(AG25),IF(F25&gt;=AG25,"PROHIBIDO","Dentro del límite"),"No aplica"))</f>
        <v/>
      </c>
      <c r="S25" s="26" t="str">
        <f aca="false">IF(E25="","",MID(IF(AQ25=1," · Excede el perfil declarado","")&amp;IF(H25="Sí"," · Paga un tercero","")&amp;IF(J25="Alto"," · Cliente de riesgo alto: DDR (RCG 23 Ter 3 y 4)","")&amp;IF(AND(AS25&lt;&gt;"",AS25&lt;&gt;"No",AS25&lt;&gt;0)," · PEP","")&amp;IF(R25="PROHIBIDO"," · Efectivo prohibido: no lo recibas (Art. 32)","")&amp;IF(AR25=1," · ⚠ Fecha fuera de orden","")&amp;IF(LEFT(I25,1)="⚠"," · ⚠ Cliente no registrado","")&amp;IF(D25=""," · ⚠ Falta la actividad","")&amp;IF(AND(LEFT(P25,5)="AVISO",W25="")," · Captura la cifra total con IVA para el Aviso","")&amp;IF(AND(ISNUMBER(W25),W25&lt;E25)," · ⚠ La cifra con IVA es menor que el monto sin IVA",""),4,400))</f>
        <v/>
      </c>
      <c r="T25" s="21"/>
      <c r="U25" s="20"/>
      <c r="V25" s="9" t="str">
        <f aca="false">IF(LEFT(P25,5)&lt;&gt;"AVISO","",IF(T25="Presentado",IF(AND(ISNUMBER(U25),ISNUMBER(Q25),U25&gt;Q25),"Presentado tarde","Presentado"),IF(NOT(ISNUMBER(Q25)),"Falta fecha",IF(Q25&lt;CONFIG!$B$6,"VENCIDO","Vence en "&amp;(Q25-CONFIG!$B$6)&amp;" días"))))</f>
        <v/>
      </c>
      <c r="W25" s="22"/>
      <c r="X25" s="21"/>
      <c r="AA25" s="0" t="str">
        <f aca="false">IF(AM25="","",INDEX(CATÁLOGO!$D$5:$D$39,AM25))</f>
        <v/>
      </c>
      <c r="AB25" s="0" t="str">
        <f aca="false">IF(AM25="","",INDEX(CATÁLOGO!$E$5:$E$39,AM25))</f>
        <v/>
      </c>
      <c r="AC25" s="0" t="str">
        <f aca="false">IF(AB25="","",IF(ISNUMBER(AB25),AB25*AV25,AB25))</f>
        <v/>
      </c>
      <c r="AD25" s="0" t="str">
        <f aca="false">IF(AM25="","",INDEX(CATÁLOGO!$F$5:$F$39,AM25))</f>
        <v/>
      </c>
      <c r="AE25" s="0" t="str">
        <f aca="false">IF(AD25="","",IF(ISNUMBER(AD25),AD25*AV25,AD25))</f>
        <v/>
      </c>
      <c r="AF25" s="0" t="str">
        <f aca="false">IF(AM25="","",INDEX(CATÁLOGO!$G$5:$G$39,AM25))</f>
        <v/>
      </c>
      <c r="AG25" s="0" t="str">
        <f aca="false">IF(AF25="","",IF(ISNUMBER(AF25),AF25*AV25,AF25))</f>
        <v/>
      </c>
      <c r="AH25" s="0" t="str">
        <f aca="false">IF(E25="","",C25&amp;"|"&amp;D25)</f>
        <v/>
      </c>
      <c r="AI25" s="27" t="n">
        <f aca="false">IF(M25&lt;&gt;"Sí",0,SUMPRODUCT(MAX(($AH$5:AH24=AH25)*($M$5:M24="Sí")*ROW($AH$5:AH24))))</f>
        <v>0</v>
      </c>
      <c r="AJ25" s="0" t="str">
        <f aca="false">IF(M25&lt;&gt;"Sí","",IF(AL25=1,B25,INDEX($AJ:$AJ,AI25)))</f>
        <v/>
      </c>
      <c r="AK25" s="0" t="str">
        <f aca="false">IF(M25&lt;&gt;"Sí","",IF(AL25=1,E25,INDEX($AK:$AK,AI25)+E25))</f>
        <v/>
      </c>
      <c r="AL25" s="0" t="str">
        <f aca="false">IF(M25&lt;&gt;"Sí","",IF(AI25=0,1,IF(INDEX($AN:$AN,AI25)=0,1,IF(B25&gt;=EDATE(INDEX($AJ:$AJ,AI25),6),1,0))))</f>
        <v/>
      </c>
      <c r="AM25" s="0" t="str">
        <f aca="false">IF(D25="","",IFERROR(MATCH(D25,CATÁLOGO!$C$5:$C$39,0),""))</f>
        <v/>
      </c>
      <c r="AN25" s="0" t="str">
        <f aca="false">IF(M25&lt;&gt;"Sí","",IF(AND(ISNUMBER(AE25),AK25&gt;=AE25),0,1))</f>
        <v/>
      </c>
      <c r="AO25" s="0" t="str">
        <f aca="false">IF(OR(E25="",C25="",NOT(ISNUMBER(B25))),"",SUMIFS($E$6:$E$505,$C$6:$C$505,C25,$B$6:$B$505,"&gt;="&amp;DATE(YEAR(B25),MONTH(B25),1),$B$6:$B$505,"&lt;"&amp;DATE(YEAR(B25),MONTH(B25)+1,1)))</f>
        <v/>
      </c>
      <c r="AP25" s="0" t="str">
        <f aca="false">IF(C25="","",IFERROR(INDEX(CLIENTES!$M$6:$M$305,MATCH(C25,CLIENTES!$A$6:$A$305,0)),""))</f>
        <v/>
      </c>
      <c r="AQ25" s="27" t="n">
        <f aca="false">IF(AND(ISNUMBER(AO25),ISNUMBER(AP25)),IF(AND(AP25&gt;0,AO25&gt;AP25),1,0),0)</f>
        <v>0</v>
      </c>
      <c r="AR25" s="27" t="n">
        <f aca="false">IF(NOT(ISNUMBER(B25)),0,IF(B25&lt;MAX($B$5:B24),1,0))</f>
        <v>0</v>
      </c>
      <c r="AS25" s="0" t="str">
        <f aca="false">IF(C25="","",IFERROR(INDEX(CLIENTES!$H$6:$H$305,MATCH(C25,CLIENTES!$A$6:$A$305,0)),""))</f>
        <v/>
      </c>
      <c r="AT25" s="0" t="str">
        <f aca="false">IF(AND(LEFT(P25,5)="AVISO",T25&lt;&gt;"Presentado",ISNUMBER(Q25)),Q25,"")</f>
        <v/>
      </c>
      <c r="AU25" s="27" t="n">
        <f aca="false">IF(AND(D25="XVI - Activos virtuales (PSAV): operación de intercambio/transferencia",M25="Sí",ISNUMBER(AE25)),IF(AK25&gt;=AE25,1,0),0)</f>
        <v>0</v>
      </c>
      <c r="AV25" s="30" t="n">
        <f aca="false">IF(NOT(ISNUMBER(B25)),CONFIG!$B$4,IFERROR(INDEX(CONFIG!$I$5:$I$14,MATCH(IF(MONTH(B25)=1,YEAR(B25)-1,YEAR(B25)),CONFIG!$H$5:$H$14,0)),CONFIG!$B$4))</f>
        <v>117.31</v>
      </c>
      <c r="AW25" s="27" t="n">
        <f aca="false">IF(AND(LEFT(D25,4)="I - ",ISNUMBER(B25),C25&lt;&gt;""),SUMIFS($E$6:$E$505,$C$6:$C$505,C25,$D$6:$D$505,D25,$B$6:$B$505,"&gt;"&amp;(B25-1),$B$6:$B$505,"&lt;="&amp;B25),0)</f>
        <v>0</v>
      </c>
      <c r="AX25" s="0" t="str">
        <f aca="false">IF(E25="","",IF(AD25="Siempre","AVISO (siempre)",IF(AD25="No aplica","Sin Aviso (sólo preparas: Ley 17 XI)",IF(NOT(ISNUMBER(AE25)),"",IF(AA25&lt;&gt;"ACUMULA",IF(E25&gt;=AE25,IF(AND(D25="XVI - Activos virtuales (PSAV): cobro de contraprestación (comisión) por el servicio",COUNTIFS($C$6:$C$505,C25,$B$6:$B$505,"&gt;="&amp;INT(B25),$B$6:$B$505,"&lt;"&amp;(INT(B25)+1),$AU$6:$AU$505,1)&gt;0),"En el Aviso del inciso a) (R 31 Bis)","AVISO"),"—"),IF(M25&lt;&gt;"Sí","—",IF(AK25&gt;=AE25,IF(AK25=E25,"AVISO","AVISO (acumulado)"),"Acumulando")))))))</f>
        <v/>
      </c>
    </row>
    <row r="26" customFormat="false" ht="15" hidden="false" customHeight="false" outlineLevel="0" collapsed="false">
      <c r="A26" s="9" t="str">
        <f aca="false">IF(E26="","",ROW()-5)</f>
        <v/>
      </c>
      <c r="B26" s="20"/>
      <c r="C26" s="21"/>
      <c r="D26" s="21"/>
      <c r="E26" s="22"/>
      <c r="F26" s="22"/>
      <c r="G26" s="21"/>
      <c r="H26" s="21"/>
      <c r="I26" s="9" t="str">
        <f aca="false">IF(C26="","",IFERROR(INDEX(CLIENTES!$B$6:$B$305,MATCH(C26,CLIENTES!$A$6:$A$305,0)),"⚠ ID no registrado"))</f>
        <v/>
      </c>
      <c r="J26" s="9" t="str">
        <f aca="false">IF(C26="","",IFERROR(INDEX(CLIENTES!$Z$6:$Z$305,MATCH(C26,CLIENTES!$A$6:$A$305,0)),""))</f>
        <v/>
      </c>
      <c r="K26" s="9" t="str">
        <f aca="false">IF(E26="","",IF(AB26="Siempre","Sí",IF(ISNUMBER(AC26),IF(E26&gt;=AC26,"Sí",IF(AW26&gt;=AC26,"Sí (serie 24 h)","No")),"")))</f>
        <v/>
      </c>
      <c r="L26" s="9" t="str">
        <f aca="false">IF(E26="","",AA26)</f>
        <v/>
      </c>
      <c r="M26" s="9" t="str">
        <f aca="false">IF(E26="","",IF(AA26&lt;&gt;"ACUMULA","No aplica",IF(LEFT(K26,2)="Sí","Sí","No")))</f>
        <v/>
      </c>
      <c r="N26" s="23" t="str">
        <f aca="false">IF(M26="Sí",AJ26,"")</f>
        <v/>
      </c>
      <c r="O26" s="24" t="str">
        <f aca="false">IF(M26="Sí",AK26,"")</f>
        <v/>
      </c>
      <c r="P26" s="25" t="str">
        <f aca="false">IF(AND(LEFT(D26,6)="XIV - ",LEFT(AX26,5)="AVISO"),"Pedimento (R 16): no va al SPPLD",AX26)</f>
        <v/>
      </c>
      <c r="Q26" s="23" t="str">
        <f aca="false">IF(LEFT(P26,5)="AVISO",IF(ISNUMBER(B26),DATE(YEAR(B26),MONTH(B26)+1,17),"Falta fecha"),"")</f>
        <v/>
      </c>
      <c r="R26" s="9" t="str">
        <f aca="false">IF(OR(F26="",F26=0),"",IF(ISNUMBER(AG26),IF(F26&gt;=AG26,"PROHIBIDO","Dentro del límite"),"No aplica"))</f>
        <v/>
      </c>
      <c r="S26" s="26" t="str">
        <f aca="false">IF(E26="","",MID(IF(AQ26=1," · Excede el perfil declarado","")&amp;IF(H26="Sí"," · Paga un tercero","")&amp;IF(J26="Alto"," · Cliente de riesgo alto: DDR (RCG 23 Ter 3 y 4)","")&amp;IF(AND(AS26&lt;&gt;"",AS26&lt;&gt;"No",AS26&lt;&gt;0)," · PEP","")&amp;IF(R26="PROHIBIDO"," · Efectivo prohibido: no lo recibas (Art. 32)","")&amp;IF(AR26=1," · ⚠ Fecha fuera de orden","")&amp;IF(LEFT(I26,1)="⚠"," · ⚠ Cliente no registrado","")&amp;IF(D26=""," · ⚠ Falta la actividad","")&amp;IF(AND(LEFT(P26,5)="AVISO",W26="")," · Captura la cifra total con IVA para el Aviso","")&amp;IF(AND(ISNUMBER(W26),W26&lt;E26)," · ⚠ La cifra con IVA es menor que el monto sin IVA",""),4,400))</f>
        <v/>
      </c>
      <c r="T26" s="21"/>
      <c r="U26" s="20"/>
      <c r="V26" s="9" t="str">
        <f aca="false">IF(LEFT(P26,5)&lt;&gt;"AVISO","",IF(T26="Presentado",IF(AND(ISNUMBER(U26),ISNUMBER(Q26),U26&gt;Q26),"Presentado tarde","Presentado"),IF(NOT(ISNUMBER(Q26)),"Falta fecha",IF(Q26&lt;CONFIG!$B$6,"VENCIDO","Vence en "&amp;(Q26-CONFIG!$B$6)&amp;" días"))))</f>
        <v/>
      </c>
      <c r="W26" s="22"/>
      <c r="X26" s="21"/>
      <c r="AA26" s="0" t="str">
        <f aca="false">IF(AM26="","",INDEX(CATÁLOGO!$D$5:$D$39,AM26))</f>
        <v/>
      </c>
      <c r="AB26" s="0" t="str">
        <f aca="false">IF(AM26="","",INDEX(CATÁLOGO!$E$5:$E$39,AM26))</f>
        <v/>
      </c>
      <c r="AC26" s="0" t="str">
        <f aca="false">IF(AB26="","",IF(ISNUMBER(AB26),AB26*AV26,AB26))</f>
        <v/>
      </c>
      <c r="AD26" s="0" t="str">
        <f aca="false">IF(AM26="","",INDEX(CATÁLOGO!$F$5:$F$39,AM26))</f>
        <v/>
      </c>
      <c r="AE26" s="0" t="str">
        <f aca="false">IF(AD26="","",IF(ISNUMBER(AD26),AD26*AV26,AD26))</f>
        <v/>
      </c>
      <c r="AF26" s="0" t="str">
        <f aca="false">IF(AM26="","",INDEX(CATÁLOGO!$G$5:$G$39,AM26))</f>
        <v/>
      </c>
      <c r="AG26" s="0" t="str">
        <f aca="false">IF(AF26="","",IF(ISNUMBER(AF26),AF26*AV26,AF26))</f>
        <v/>
      </c>
      <c r="AH26" s="0" t="str">
        <f aca="false">IF(E26="","",C26&amp;"|"&amp;D26)</f>
        <v/>
      </c>
      <c r="AI26" s="27" t="n">
        <f aca="false">IF(M26&lt;&gt;"Sí",0,SUMPRODUCT(MAX(($AH$5:AH25=AH26)*($M$5:M25="Sí")*ROW($AH$5:AH25))))</f>
        <v>0</v>
      </c>
      <c r="AJ26" s="0" t="str">
        <f aca="false">IF(M26&lt;&gt;"Sí","",IF(AL26=1,B26,INDEX($AJ:$AJ,AI26)))</f>
        <v/>
      </c>
      <c r="AK26" s="0" t="str">
        <f aca="false">IF(M26&lt;&gt;"Sí","",IF(AL26=1,E26,INDEX($AK:$AK,AI26)+E26))</f>
        <v/>
      </c>
      <c r="AL26" s="0" t="str">
        <f aca="false">IF(M26&lt;&gt;"Sí","",IF(AI26=0,1,IF(INDEX($AN:$AN,AI26)=0,1,IF(B26&gt;=EDATE(INDEX($AJ:$AJ,AI26),6),1,0))))</f>
        <v/>
      </c>
      <c r="AM26" s="0" t="str">
        <f aca="false">IF(D26="","",IFERROR(MATCH(D26,CATÁLOGO!$C$5:$C$39,0),""))</f>
        <v/>
      </c>
      <c r="AN26" s="0" t="str">
        <f aca="false">IF(M26&lt;&gt;"Sí","",IF(AND(ISNUMBER(AE26),AK26&gt;=AE26),0,1))</f>
        <v/>
      </c>
      <c r="AO26" s="0" t="str">
        <f aca="false">IF(OR(E26="",C26="",NOT(ISNUMBER(B26))),"",SUMIFS($E$6:$E$505,$C$6:$C$505,C26,$B$6:$B$505,"&gt;="&amp;DATE(YEAR(B26),MONTH(B26),1),$B$6:$B$505,"&lt;"&amp;DATE(YEAR(B26),MONTH(B26)+1,1)))</f>
        <v/>
      </c>
      <c r="AP26" s="0" t="str">
        <f aca="false">IF(C26="","",IFERROR(INDEX(CLIENTES!$M$6:$M$305,MATCH(C26,CLIENTES!$A$6:$A$305,0)),""))</f>
        <v/>
      </c>
      <c r="AQ26" s="27" t="n">
        <f aca="false">IF(AND(ISNUMBER(AO26),ISNUMBER(AP26)),IF(AND(AP26&gt;0,AO26&gt;AP26),1,0),0)</f>
        <v>0</v>
      </c>
      <c r="AR26" s="27" t="n">
        <f aca="false">IF(NOT(ISNUMBER(B26)),0,IF(B26&lt;MAX($B$5:B25),1,0))</f>
        <v>0</v>
      </c>
      <c r="AS26" s="0" t="str">
        <f aca="false">IF(C26="","",IFERROR(INDEX(CLIENTES!$H$6:$H$305,MATCH(C26,CLIENTES!$A$6:$A$305,0)),""))</f>
        <v/>
      </c>
      <c r="AT26" s="0" t="str">
        <f aca="false">IF(AND(LEFT(P26,5)="AVISO",T26&lt;&gt;"Presentado",ISNUMBER(Q26)),Q26,"")</f>
        <v/>
      </c>
      <c r="AU26" s="27" t="n">
        <f aca="false">IF(AND(D26="XVI - Activos virtuales (PSAV): operación de intercambio/transferencia",M26="Sí",ISNUMBER(AE26)),IF(AK26&gt;=AE26,1,0),0)</f>
        <v>0</v>
      </c>
      <c r="AV26" s="30" t="n">
        <f aca="false">IF(NOT(ISNUMBER(B26)),CONFIG!$B$4,IFERROR(INDEX(CONFIG!$I$5:$I$14,MATCH(IF(MONTH(B26)=1,YEAR(B26)-1,YEAR(B26)),CONFIG!$H$5:$H$14,0)),CONFIG!$B$4))</f>
        <v>117.31</v>
      </c>
      <c r="AW26" s="27" t="n">
        <f aca="false">IF(AND(LEFT(D26,4)="I - ",ISNUMBER(B26),C26&lt;&gt;""),SUMIFS($E$6:$E$505,$C$6:$C$505,C26,$D$6:$D$505,D26,$B$6:$B$505,"&gt;"&amp;(B26-1),$B$6:$B$505,"&lt;="&amp;B26),0)</f>
        <v>0</v>
      </c>
      <c r="AX26" s="0" t="str">
        <f aca="false">IF(E26="","",IF(AD26="Siempre","AVISO (siempre)",IF(AD26="No aplica","Sin Aviso (sólo preparas: Ley 17 XI)",IF(NOT(ISNUMBER(AE26)),"",IF(AA26&lt;&gt;"ACUMULA",IF(E26&gt;=AE26,IF(AND(D26="XVI - Activos virtuales (PSAV): cobro de contraprestación (comisión) por el servicio",COUNTIFS($C$6:$C$505,C26,$B$6:$B$505,"&gt;="&amp;INT(B26),$B$6:$B$505,"&lt;"&amp;(INT(B26)+1),$AU$6:$AU$505,1)&gt;0),"En el Aviso del inciso a) (R 31 Bis)","AVISO"),"—"),IF(M26&lt;&gt;"Sí","—",IF(AK26&gt;=AE26,IF(AK26=E26,"AVISO","AVISO (acumulado)"),"Acumulando")))))))</f>
        <v/>
      </c>
    </row>
    <row r="27" customFormat="false" ht="15" hidden="false" customHeight="false" outlineLevel="0" collapsed="false">
      <c r="A27" s="9" t="str">
        <f aca="false">IF(E27="","",ROW()-5)</f>
        <v/>
      </c>
      <c r="B27" s="20"/>
      <c r="C27" s="21"/>
      <c r="D27" s="21"/>
      <c r="E27" s="22"/>
      <c r="F27" s="22"/>
      <c r="G27" s="21"/>
      <c r="H27" s="21"/>
      <c r="I27" s="9" t="str">
        <f aca="false">IF(C27="","",IFERROR(INDEX(CLIENTES!$B$6:$B$305,MATCH(C27,CLIENTES!$A$6:$A$305,0)),"⚠ ID no registrado"))</f>
        <v/>
      </c>
      <c r="J27" s="9" t="str">
        <f aca="false">IF(C27="","",IFERROR(INDEX(CLIENTES!$Z$6:$Z$305,MATCH(C27,CLIENTES!$A$6:$A$305,0)),""))</f>
        <v/>
      </c>
      <c r="K27" s="9" t="str">
        <f aca="false">IF(E27="","",IF(AB27="Siempre","Sí",IF(ISNUMBER(AC27),IF(E27&gt;=AC27,"Sí",IF(AW27&gt;=AC27,"Sí (serie 24 h)","No")),"")))</f>
        <v/>
      </c>
      <c r="L27" s="9" t="str">
        <f aca="false">IF(E27="","",AA27)</f>
        <v/>
      </c>
      <c r="M27" s="9" t="str">
        <f aca="false">IF(E27="","",IF(AA27&lt;&gt;"ACUMULA","No aplica",IF(LEFT(K27,2)="Sí","Sí","No")))</f>
        <v/>
      </c>
      <c r="N27" s="23" t="str">
        <f aca="false">IF(M27="Sí",AJ27,"")</f>
        <v/>
      </c>
      <c r="O27" s="24" t="str">
        <f aca="false">IF(M27="Sí",AK27,"")</f>
        <v/>
      </c>
      <c r="P27" s="25" t="str">
        <f aca="false">IF(AND(LEFT(D27,6)="XIV - ",LEFT(AX27,5)="AVISO"),"Pedimento (R 16): no va al SPPLD",AX27)</f>
        <v/>
      </c>
      <c r="Q27" s="23" t="str">
        <f aca="false">IF(LEFT(P27,5)="AVISO",IF(ISNUMBER(B27),DATE(YEAR(B27),MONTH(B27)+1,17),"Falta fecha"),"")</f>
        <v/>
      </c>
      <c r="R27" s="9" t="str">
        <f aca="false">IF(OR(F27="",F27=0),"",IF(ISNUMBER(AG27),IF(F27&gt;=AG27,"PROHIBIDO","Dentro del límite"),"No aplica"))</f>
        <v/>
      </c>
      <c r="S27" s="26" t="str">
        <f aca="false">IF(E27="","",MID(IF(AQ27=1," · Excede el perfil declarado","")&amp;IF(H27="Sí"," · Paga un tercero","")&amp;IF(J27="Alto"," · Cliente de riesgo alto: DDR (RCG 23 Ter 3 y 4)","")&amp;IF(AND(AS27&lt;&gt;"",AS27&lt;&gt;"No",AS27&lt;&gt;0)," · PEP","")&amp;IF(R27="PROHIBIDO"," · Efectivo prohibido: no lo recibas (Art. 32)","")&amp;IF(AR27=1," · ⚠ Fecha fuera de orden","")&amp;IF(LEFT(I27,1)="⚠"," · ⚠ Cliente no registrado","")&amp;IF(D27=""," · ⚠ Falta la actividad","")&amp;IF(AND(LEFT(P27,5)="AVISO",W27="")," · Captura la cifra total con IVA para el Aviso","")&amp;IF(AND(ISNUMBER(W27),W27&lt;E27)," · ⚠ La cifra con IVA es menor que el monto sin IVA",""),4,400))</f>
        <v/>
      </c>
      <c r="T27" s="21"/>
      <c r="U27" s="20"/>
      <c r="V27" s="9" t="str">
        <f aca="false">IF(LEFT(P27,5)&lt;&gt;"AVISO","",IF(T27="Presentado",IF(AND(ISNUMBER(U27),ISNUMBER(Q27),U27&gt;Q27),"Presentado tarde","Presentado"),IF(NOT(ISNUMBER(Q27)),"Falta fecha",IF(Q27&lt;CONFIG!$B$6,"VENCIDO","Vence en "&amp;(Q27-CONFIG!$B$6)&amp;" días"))))</f>
        <v/>
      </c>
      <c r="W27" s="22"/>
      <c r="X27" s="21"/>
      <c r="AA27" s="0" t="str">
        <f aca="false">IF(AM27="","",INDEX(CATÁLOGO!$D$5:$D$39,AM27))</f>
        <v/>
      </c>
      <c r="AB27" s="0" t="str">
        <f aca="false">IF(AM27="","",INDEX(CATÁLOGO!$E$5:$E$39,AM27))</f>
        <v/>
      </c>
      <c r="AC27" s="0" t="str">
        <f aca="false">IF(AB27="","",IF(ISNUMBER(AB27),AB27*AV27,AB27))</f>
        <v/>
      </c>
      <c r="AD27" s="0" t="str">
        <f aca="false">IF(AM27="","",INDEX(CATÁLOGO!$F$5:$F$39,AM27))</f>
        <v/>
      </c>
      <c r="AE27" s="0" t="str">
        <f aca="false">IF(AD27="","",IF(ISNUMBER(AD27),AD27*AV27,AD27))</f>
        <v/>
      </c>
      <c r="AF27" s="0" t="str">
        <f aca="false">IF(AM27="","",INDEX(CATÁLOGO!$G$5:$G$39,AM27))</f>
        <v/>
      </c>
      <c r="AG27" s="0" t="str">
        <f aca="false">IF(AF27="","",IF(ISNUMBER(AF27),AF27*AV27,AF27))</f>
        <v/>
      </c>
      <c r="AH27" s="0" t="str">
        <f aca="false">IF(E27="","",C27&amp;"|"&amp;D27)</f>
        <v/>
      </c>
      <c r="AI27" s="27" t="n">
        <f aca="false">IF(M27&lt;&gt;"Sí",0,SUMPRODUCT(MAX(($AH$5:AH26=AH27)*($M$5:M26="Sí")*ROW($AH$5:AH26))))</f>
        <v>0</v>
      </c>
      <c r="AJ27" s="0" t="str">
        <f aca="false">IF(M27&lt;&gt;"Sí","",IF(AL27=1,B27,INDEX($AJ:$AJ,AI27)))</f>
        <v/>
      </c>
      <c r="AK27" s="0" t="str">
        <f aca="false">IF(M27&lt;&gt;"Sí","",IF(AL27=1,E27,INDEX($AK:$AK,AI27)+E27))</f>
        <v/>
      </c>
      <c r="AL27" s="0" t="str">
        <f aca="false">IF(M27&lt;&gt;"Sí","",IF(AI27=0,1,IF(INDEX($AN:$AN,AI27)=0,1,IF(B27&gt;=EDATE(INDEX($AJ:$AJ,AI27),6),1,0))))</f>
        <v/>
      </c>
      <c r="AM27" s="0" t="str">
        <f aca="false">IF(D27="","",IFERROR(MATCH(D27,CATÁLOGO!$C$5:$C$39,0),""))</f>
        <v/>
      </c>
      <c r="AN27" s="0" t="str">
        <f aca="false">IF(M27&lt;&gt;"Sí","",IF(AND(ISNUMBER(AE27),AK27&gt;=AE27),0,1))</f>
        <v/>
      </c>
      <c r="AO27" s="0" t="str">
        <f aca="false">IF(OR(E27="",C27="",NOT(ISNUMBER(B27))),"",SUMIFS($E$6:$E$505,$C$6:$C$505,C27,$B$6:$B$505,"&gt;="&amp;DATE(YEAR(B27),MONTH(B27),1),$B$6:$B$505,"&lt;"&amp;DATE(YEAR(B27),MONTH(B27)+1,1)))</f>
        <v/>
      </c>
      <c r="AP27" s="0" t="str">
        <f aca="false">IF(C27="","",IFERROR(INDEX(CLIENTES!$M$6:$M$305,MATCH(C27,CLIENTES!$A$6:$A$305,0)),""))</f>
        <v/>
      </c>
      <c r="AQ27" s="27" t="n">
        <f aca="false">IF(AND(ISNUMBER(AO27),ISNUMBER(AP27)),IF(AND(AP27&gt;0,AO27&gt;AP27),1,0),0)</f>
        <v>0</v>
      </c>
      <c r="AR27" s="27" t="n">
        <f aca="false">IF(NOT(ISNUMBER(B27)),0,IF(B27&lt;MAX($B$5:B26),1,0))</f>
        <v>0</v>
      </c>
      <c r="AS27" s="0" t="str">
        <f aca="false">IF(C27="","",IFERROR(INDEX(CLIENTES!$H$6:$H$305,MATCH(C27,CLIENTES!$A$6:$A$305,0)),""))</f>
        <v/>
      </c>
      <c r="AT27" s="0" t="str">
        <f aca="false">IF(AND(LEFT(P27,5)="AVISO",T27&lt;&gt;"Presentado",ISNUMBER(Q27)),Q27,"")</f>
        <v/>
      </c>
      <c r="AU27" s="27" t="n">
        <f aca="false">IF(AND(D27="XVI - Activos virtuales (PSAV): operación de intercambio/transferencia",M27="Sí",ISNUMBER(AE27)),IF(AK27&gt;=AE27,1,0),0)</f>
        <v>0</v>
      </c>
      <c r="AV27" s="30" t="n">
        <f aca="false">IF(NOT(ISNUMBER(B27)),CONFIG!$B$4,IFERROR(INDEX(CONFIG!$I$5:$I$14,MATCH(IF(MONTH(B27)=1,YEAR(B27)-1,YEAR(B27)),CONFIG!$H$5:$H$14,0)),CONFIG!$B$4))</f>
        <v>117.31</v>
      </c>
      <c r="AW27" s="27" t="n">
        <f aca="false">IF(AND(LEFT(D27,4)="I - ",ISNUMBER(B27),C27&lt;&gt;""),SUMIFS($E$6:$E$505,$C$6:$C$505,C27,$D$6:$D$505,D27,$B$6:$B$505,"&gt;"&amp;(B27-1),$B$6:$B$505,"&lt;="&amp;B27),0)</f>
        <v>0</v>
      </c>
      <c r="AX27" s="0" t="str">
        <f aca="false">IF(E27="","",IF(AD27="Siempre","AVISO (siempre)",IF(AD27="No aplica","Sin Aviso (sólo preparas: Ley 17 XI)",IF(NOT(ISNUMBER(AE27)),"",IF(AA27&lt;&gt;"ACUMULA",IF(E27&gt;=AE27,IF(AND(D27="XVI - Activos virtuales (PSAV): cobro de contraprestación (comisión) por el servicio",COUNTIFS($C$6:$C$505,C27,$B$6:$B$505,"&gt;="&amp;INT(B27),$B$6:$B$505,"&lt;"&amp;(INT(B27)+1),$AU$6:$AU$505,1)&gt;0),"En el Aviso del inciso a) (R 31 Bis)","AVISO"),"—"),IF(M27&lt;&gt;"Sí","—",IF(AK27&gt;=AE27,IF(AK27=E27,"AVISO","AVISO (acumulado)"),"Acumulando")))))))</f>
        <v/>
      </c>
    </row>
    <row r="28" customFormat="false" ht="15" hidden="false" customHeight="false" outlineLevel="0" collapsed="false">
      <c r="A28" s="9" t="str">
        <f aca="false">IF(E28="","",ROW()-5)</f>
        <v/>
      </c>
      <c r="B28" s="20"/>
      <c r="C28" s="21"/>
      <c r="D28" s="21"/>
      <c r="E28" s="22"/>
      <c r="F28" s="22"/>
      <c r="G28" s="21"/>
      <c r="H28" s="21"/>
      <c r="I28" s="9" t="str">
        <f aca="false">IF(C28="","",IFERROR(INDEX(CLIENTES!$B$6:$B$305,MATCH(C28,CLIENTES!$A$6:$A$305,0)),"⚠ ID no registrado"))</f>
        <v/>
      </c>
      <c r="J28" s="9" t="str">
        <f aca="false">IF(C28="","",IFERROR(INDEX(CLIENTES!$Z$6:$Z$305,MATCH(C28,CLIENTES!$A$6:$A$305,0)),""))</f>
        <v/>
      </c>
      <c r="K28" s="9" t="str">
        <f aca="false">IF(E28="","",IF(AB28="Siempre","Sí",IF(ISNUMBER(AC28),IF(E28&gt;=AC28,"Sí",IF(AW28&gt;=AC28,"Sí (serie 24 h)","No")),"")))</f>
        <v/>
      </c>
      <c r="L28" s="9" t="str">
        <f aca="false">IF(E28="","",AA28)</f>
        <v/>
      </c>
      <c r="M28" s="9" t="str">
        <f aca="false">IF(E28="","",IF(AA28&lt;&gt;"ACUMULA","No aplica",IF(LEFT(K28,2)="Sí","Sí","No")))</f>
        <v/>
      </c>
      <c r="N28" s="23" t="str">
        <f aca="false">IF(M28="Sí",AJ28,"")</f>
        <v/>
      </c>
      <c r="O28" s="24" t="str">
        <f aca="false">IF(M28="Sí",AK28,"")</f>
        <v/>
      </c>
      <c r="P28" s="25" t="str">
        <f aca="false">IF(AND(LEFT(D28,6)="XIV - ",LEFT(AX28,5)="AVISO"),"Pedimento (R 16): no va al SPPLD",AX28)</f>
        <v/>
      </c>
      <c r="Q28" s="23" t="str">
        <f aca="false">IF(LEFT(P28,5)="AVISO",IF(ISNUMBER(B28),DATE(YEAR(B28),MONTH(B28)+1,17),"Falta fecha"),"")</f>
        <v/>
      </c>
      <c r="R28" s="9" t="str">
        <f aca="false">IF(OR(F28="",F28=0),"",IF(ISNUMBER(AG28),IF(F28&gt;=AG28,"PROHIBIDO","Dentro del límite"),"No aplica"))</f>
        <v/>
      </c>
      <c r="S28" s="26" t="str">
        <f aca="false">IF(E28="","",MID(IF(AQ28=1," · Excede el perfil declarado","")&amp;IF(H28="Sí"," · Paga un tercero","")&amp;IF(J28="Alto"," · Cliente de riesgo alto: DDR (RCG 23 Ter 3 y 4)","")&amp;IF(AND(AS28&lt;&gt;"",AS28&lt;&gt;"No",AS28&lt;&gt;0)," · PEP","")&amp;IF(R28="PROHIBIDO"," · Efectivo prohibido: no lo recibas (Art. 32)","")&amp;IF(AR28=1," · ⚠ Fecha fuera de orden","")&amp;IF(LEFT(I28,1)="⚠"," · ⚠ Cliente no registrado","")&amp;IF(D28=""," · ⚠ Falta la actividad","")&amp;IF(AND(LEFT(P28,5)="AVISO",W28="")," · Captura la cifra total con IVA para el Aviso","")&amp;IF(AND(ISNUMBER(W28),W28&lt;E28)," · ⚠ La cifra con IVA es menor que el monto sin IVA",""),4,400))</f>
        <v/>
      </c>
      <c r="T28" s="21"/>
      <c r="U28" s="20"/>
      <c r="V28" s="9" t="str">
        <f aca="false">IF(LEFT(P28,5)&lt;&gt;"AVISO","",IF(T28="Presentado",IF(AND(ISNUMBER(U28),ISNUMBER(Q28),U28&gt;Q28),"Presentado tarde","Presentado"),IF(NOT(ISNUMBER(Q28)),"Falta fecha",IF(Q28&lt;CONFIG!$B$6,"VENCIDO","Vence en "&amp;(Q28-CONFIG!$B$6)&amp;" días"))))</f>
        <v/>
      </c>
      <c r="W28" s="22"/>
      <c r="X28" s="21"/>
      <c r="AA28" s="0" t="str">
        <f aca="false">IF(AM28="","",INDEX(CATÁLOGO!$D$5:$D$39,AM28))</f>
        <v/>
      </c>
      <c r="AB28" s="0" t="str">
        <f aca="false">IF(AM28="","",INDEX(CATÁLOGO!$E$5:$E$39,AM28))</f>
        <v/>
      </c>
      <c r="AC28" s="0" t="str">
        <f aca="false">IF(AB28="","",IF(ISNUMBER(AB28),AB28*AV28,AB28))</f>
        <v/>
      </c>
      <c r="AD28" s="0" t="str">
        <f aca="false">IF(AM28="","",INDEX(CATÁLOGO!$F$5:$F$39,AM28))</f>
        <v/>
      </c>
      <c r="AE28" s="0" t="str">
        <f aca="false">IF(AD28="","",IF(ISNUMBER(AD28),AD28*AV28,AD28))</f>
        <v/>
      </c>
      <c r="AF28" s="0" t="str">
        <f aca="false">IF(AM28="","",INDEX(CATÁLOGO!$G$5:$G$39,AM28))</f>
        <v/>
      </c>
      <c r="AG28" s="0" t="str">
        <f aca="false">IF(AF28="","",IF(ISNUMBER(AF28),AF28*AV28,AF28))</f>
        <v/>
      </c>
      <c r="AH28" s="0" t="str">
        <f aca="false">IF(E28="","",C28&amp;"|"&amp;D28)</f>
        <v/>
      </c>
      <c r="AI28" s="27" t="n">
        <f aca="false">IF(M28&lt;&gt;"Sí",0,SUMPRODUCT(MAX(($AH$5:AH27=AH28)*($M$5:M27="Sí")*ROW($AH$5:AH27))))</f>
        <v>0</v>
      </c>
      <c r="AJ28" s="0" t="str">
        <f aca="false">IF(M28&lt;&gt;"Sí","",IF(AL28=1,B28,INDEX($AJ:$AJ,AI28)))</f>
        <v/>
      </c>
      <c r="AK28" s="0" t="str">
        <f aca="false">IF(M28&lt;&gt;"Sí","",IF(AL28=1,E28,INDEX($AK:$AK,AI28)+E28))</f>
        <v/>
      </c>
      <c r="AL28" s="0" t="str">
        <f aca="false">IF(M28&lt;&gt;"Sí","",IF(AI28=0,1,IF(INDEX($AN:$AN,AI28)=0,1,IF(B28&gt;=EDATE(INDEX($AJ:$AJ,AI28),6),1,0))))</f>
        <v/>
      </c>
      <c r="AM28" s="0" t="str">
        <f aca="false">IF(D28="","",IFERROR(MATCH(D28,CATÁLOGO!$C$5:$C$39,0),""))</f>
        <v/>
      </c>
      <c r="AN28" s="0" t="str">
        <f aca="false">IF(M28&lt;&gt;"Sí","",IF(AND(ISNUMBER(AE28),AK28&gt;=AE28),0,1))</f>
        <v/>
      </c>
      <c r="AO28" s="0" t="str">
        <f aca="false">IF(OR(E28="",C28="",NOT(ISNUMBER(B28))),"",SUMIFS($E$6:$E$505,$C$6:$C$505,C28,$B$6:$B$505,"&gt;="&amp;DATE(YEAR(B28),MONTH(B28),1),$B$6:$B$505,"&lt;"&amp;DATE(YEAR(B28),MONTH(B28)+1,1)))</f>
        <v/>
      </c>
      <c r="AP28" s="0" t="str">
        <f aca="false">IF(C28="","",IFERROR(INDEX(CLIENTES!$M$6:$M$305,MATCH(C28,CLIENTES!$A$6:$A$305,0)),""))</f>
        <v/>
      </c>
      <c r="AQ28" s="27" t="n">
        <f aca="false">IF(AND(ISNUMBER(AO28),ISNUMBER(AP28)),IF(AND(AP28&gt;0,AO28&gt;AP28),1,0),0)</f>
        <v>0</v>
      </c>
      <c r="AR28" s="27" t="n">
        <f aca="false">IF(NOT(ISNUMBER(B28)),0,IF(B28&lt;MAX($B$5:B27),1,0))</f>
        <v>0</v>
      </c>
      <c r="AS28" s="0" t="str">
        <f aca="false">IF(C28="","",IFERROR(INDEX(CLIENTES!$H$6:$H$305,MATCH(C28,CLIENTES!$A$6:$A$305,0)),""))</f>
        <v/>
      </c>
      <c r="AT28" s="0" t="str">
        <f aca="false">IF(AND(LEFT(P28,5)="AVISO",T28&lt;&gt;"Presentado",ISNUMBER(Q28)),Q28,"")</f>
        <v/>
      </c>
      <c r="AU28" s="27" t="n">
        <f aca="false">IF(AND(D28="XVI - Activos virtuales (PSAV): operación de intercambio/transferencia",M28="Sí",ISNUMBER(AE28)),IF(AK28&gt;=AE28,1,0),0)</f>
        <v>0</v>
      </c>
      <c r="AV28" s="30" t="n">
        <f aca="false">IF(NOT(ISNUMBER(B28)),CONFIG!$B$4,IFERROR(INDEX(CONFIG!$I$5:$I$14,MATCH(IF(MONTH(B28)=1,YEAR(B28)-1,YEAR(B28)),CONFIG!$H$5:$H$14,0)),CONFIG!$B$4))</f>
        <v>117.31</v>
      </c>
      <c r="AW28" s="27" t="n">
        <f aca="false">IF(AND(LEFT(D28,4)="I - ",ISNUMBER(B28),C28&lt;&gt;""),SUMIFS($E$6:$E$505,$C$6:$C$505,C28,$D$6:$D$505,D28,$B$6:$B$505,"&gt;"&amp;(B28-1),$B$6:$B$505,"&lt;="&amp;B28),0)</f>
        <v>0</v>
      </c>
      <c r="AX28" s="0" t="str">
        <f aca="false">IF(E28="","",IF(AD28="Siempre","AVISO (siempre)",IF(AD28="No aplica","Sin Aviso (sólo preparas: Ley 17 XI)",IF(NOT(ISNUMBER(AE28)),"",IF(AA28&lt;&gt;"ACUMULA",IF(E28&gt;=AE28,IF(AND(D28="XVI - Activos virtuales (PSAV): cobro de contraprestación (comisión) por el servicio",COUNTIFS($C$6:$C$505,C28,$B$6:$B$505,"&gt;="&amp;INT(B28),$B$6:$B$505,"&lt;"&amp;(INT(B28)+1),$AU$6:$AU$505,1)&gt;0),"En el Aviso del inciso a) (R 31 Bis)","AVISO"),"—"),IF(M28&lt;&gt;"Sí","—",IF(AK28&gt;=AE28,IF(AK28=E28,"AVISO","AVISO (acumulado)"),"Acumulando")))))))</f>
        <v/>
      </c>
    </row>
    <row r="29" customFormat="false" ht="15" hidden="false" customHeight="false" outlineLevel="0" collapsed="false">
      <c r="A29" s="9" t="str">
        <f aca="false">IF(E29="","",ROW()-5)</f>
        <v/>
      </c>
      <c r="B29" s="20"/>
      <c r="C29" s="21"/>
      <c r="D29" s="21"/>
      <c r="E29" s="22"/>
      <c r="F29" s="22"/>
      <c r="G29" s="21"/>
      <c r="H29" s="21"/>
      <c r="I29" s="9" t="str">
        <f aca="false">IF(C29="","",IFERROR(INDEX(CLIENTES!$B$6:$B$305,MATCH(C29,CLIENTES!$A$6:$A$305,0)),"⚠ ID no registrado"))</f>
        <v/>
      </c>
      <c r="J29" s="9" t="str">
        <f aca="false">IF(C29="","",IFERROR(INDEX(CLIENTES!$Z$6:$Z$305,MATCH(C29,CLIENTES!$A$6:$A$305,0)),""))</f>
        <v/>
      </c>
      <c r="K29" s="9" t="str">
        <f aca="false">IF(E29="","",IF(AB29="Siempre","Sí",IF(ISNUMBER(AC29),IF(E29&gt;=AC29,"Sí",IF(AW29&gt;=AC29,"Sí (serie 24 h)","No")),"")))</f>
        <v/>
      </c>
      <c r="L29" s="9" t="str">
        <f aca="false">IF(E29="","",AA29)</f>
        <v/>
      </c>
      <c r="M29" s="9" t="str">
        <f aca="false">IF(E29="","",IF(AA29&lt;&gt;"ACUMULA","No aplica",IF(LEFT(K29,2)="Sí","Sí","No")))</f>
        <v/>
      </c>
      <c r="N29" s="23" t="str">
        <f aca="false">IF(M29="Sí",AJ29,"")</f>
        <v/>
      </c>
      <c r="O29" s="24" t="str">
        <f aca="false">IF(M29="Sí",AK29,"")</f>
        <v/>
      </c>
      <c r="P29" s="25" t="str">
        <f aca="false">IF(AND(LEFT(D29,6)="XIV - ",LEFT(AX29,5)="AVISO"),"Pedimento (R 16): no va al SPPLD",AX29)</f>
        <v/>
      </c>
      <c r="Q29" s="23" t="str">
        <f aca="false">IF(LEFT(P29,5)="AVISO",IF(ISNUMBER(B29),DATE(YEAR(B29),MONTH(B29)+1,17),"Falta fecha"),"")</f>
        <v/>
      </c>
      <c r="R29" s="9" t="str">
        <f aca="false">IF(OR(F29="",F29=0),"",IF(ISNUMBER(AG29),IF(F29&gt;=AG29,"PROHIBIDO","Dentro del límite"),"No aplica"))</f>
        <v/>
      </c>
      <c r="S29" s="26" t="str">
        <f aca="false">IF(E29="","",MID(IF(AQ29=1," · Excede el perfil declarado","")&amp;IF(H29="Sí"," · Paga un tercero","")&amp;IF(J29="Alto"," · Cliente de riesgo alto: DDR (RCG 23 Ter 3 y 4)","")&amp;IF(AND(AS29&lt;&gt;"",AS29&lt;&gt;"No",AS29&lt;&gt;0)," · PEP","")&amp;IF(R29="PROHIBIDO"," · Efectivo prohibido: no lo recibas (Art. 32)","")&amp;IF(AR29=1," · ⚠ Fecha fuera de orden","")&amp;IF(LEFT(I29,1)="⚠"," · ⚠ Cliente no registrado","")&amp;IF(D29=""," · ⚠ Falta la actividad","")&amp;IF(AND(LEFT(P29,5)="AVISO",W29="")," · Captura la cifra total con IVA para el Aviso","")&amp;IF(AND(ISNUMBER(W29),W29&lt;E29)," · ⚠ La cifra con IVA es menor que el monto sin IVA",""),4,400))</f>
        <v/>
      </c>
      <c r="T29" s="21"/>
      <c r="U29" s="20"/>
      <c r="V29" s="9" t="str">
        <f aca="false">IF(LEFT(P29,5)&lt;&gt;"AVISO","",IF(T29="Presentado",IF(AND(ISNUMBER(U29),ISNUMBER(Q29),U29&gt;Q29),"Presentado tarde","Presentado"),IF(NOT(ISNUMBER(Q29)),"Falta fecha",IF(Q29&lt;CONFIG!$B$6,"VENCIDO","Vence en "&amp;(Q29-CONFIG!$B$6)&amp;" días"))))</f>
        <v/>
      </c>
      <c r="W29" s="22"/>
      <c r="X29" s="21"/>
      <c r="AA29" s="0" t="str">
        <f aca="false">IF(AM29="","",INDEX(CATÁLOGO!$D$5:$D$39,AM29))</f>
        <v/>
      </c>
      <c r="AB29" s="0" t="str">
        <f aca="false">IF(AM29="","",INDEX(CATÁLOGO!$E$5:$E$39,AM29))</f>
        <v/>
      </c>
      <c r="AC29" s="0" t="str">
        <f aca="false">IF(AB29="","",IF(ISNUMBER(AB29),AB29*AV29,AB29))</f>
        <v/>
      </c>
      <c r="AD29" s="0" t="str">
        <f aca="false">IF(AM29="","",INDEX(CATÁLOGO!$F$5:$F$39,AM29))</f>
        <v/>
      </c>
      <c r="AE29" s="0" t="str">
        <f aca="false">IF(AD29="","",IF(ISNUMBER(AD29),AD29*AV29,AD29))</f>
        <v/>
      </c>
      <c r="AF29" s="0" t="str">
        <f aca="false">IF(AM29="","",INDEX(CATÁLOGO!$G$5:$G$39,AM29))</f>
        <v/>
      </c>
      <c r="AG29" s="0" t="str">
        <f aca="false">IF(AF29="","",IF(ISNUMBER(AF29),AF29*AV29,AF29))</f>
        <v/>
      </c>
      <c r="AH29" s="0" t="str">
        <f aca="false">IF(E29="","",C29&amp;"|"&amp;D29)</f>
        <v/>
      </c>
      <c r="AI29" s="27" t="n">
        <f aca="false">IF(M29&lt;&gt;"Sí",0,SUMPRODUCT(MAX(($AH$5:AH28=AH29)*($M$5:M28="Sí")*ROW($AH$5:AH28))))</f>
        <v>0</v>
      </c>
      <c r="AJ29" s="0" t="str">
        <f aca="false">IF(M29&lt;&gt;"Sí","",IF(AL29=1,B29,INDEX($AJ:$AJ,AI29)))</f>
        <v/>
      </c>
      <c r="AK29" s="0" t="str">
        <f aca="false">IF(M29&lt;&gt;"Sí","",IF(AL29=1,E29,INDEX($AK:$AK,AI29)+E29))</f>
        <v/>
      </c>
      <c r="AL29" s="0" t="str">
        <f aca="false">IF(M29&lt;&gt;"Sí","",IF(AI29=0,1,IF(INDEX($AN:$AN,AI29)=0,1,IF(B29&gt;=EDATE(INDEX($AJ:$AJ,AI29),6),1,0))))</f>
        <v/>
      </c>
      <c r="AM29" s="0" t="str">
        <f aca="false">IF(D29="","",IFERROR(MATCH(D29,CATÁLOGO!$C$5:$C$39,0),""))</f>
        <v/>
      </c>
      <c r="AN29" s="0" t="str">
        <f aca="false">IF(M29&lt;&gt;"Sí","",IF(AND(ISNUMBER(AE29),AK29&gt;=AE29),0,1))</f>
        <v/>
      </c>
      <c r="AO29" s="0" t="str">
        <f aca="false">IF(OR(E29="",C29="",NOT(ISNUMBER(B29))),"",SUMIFS($E$6:$E$505,$C$6:$C$505,C29,$B$6:$B$505,"&gt;="&amp;DATE(YEAR(B29),MONTH(B29),1),$B$6:$B$505,"&lt;"&amp;DATE(YEAR(B29),MONTH(B29)+1,1)))</f>
        <v/>
      </c>
      <c r="AP29" s="0" t="str">
        <f aca="false">IF(C29="","",IFERROR(INDEX(CLIENTES!$M$6:$M$305,MATCH(C29,CLIENTES!$A$6:$A$305,0)),""))</f>
        <v/>
      </c>
      <c r="AQ29" s="27" t="n">
        <f aca="false">IF(AND(ISNUMBER(AO29),ISNUMBER(AP29)),IF(AND(AP29&gt;0,AO29&gt;AP29),1,0),0)</f>
        <v>0</v>
      </c>
      <c r="AR29" s="27" t="n">
        <f aca="false">IF(NOT(ISNUMBER(B29)),0,IF(B29&lt;MAX($B$5:B28),1,0))</f>
        <v>0</v>
      </c>
      <c r="AS29" s="0" t="str">
        <f aca="false">IF(C29="","",IFERROR(INDEX(CLIENTES!$H$6:$H$305,MATCH(C29,CLIENTES!$A$6:$A$305,0)),""))</f>
        <v/>
      </c>
      <c r="AT29" s="0" t="str">
        <f aca="false">IF(AND(LEFT(P29,5)="AVISO",T29&lt;&gt;"Presentado",ISNUMBER(Q29)),Q29,"")</f>
        <v/>
      </c>
      <c r="AU29" s="27" t="n">
        <f aca="false">IF(AND(D29="XVI - Activos virtuales (PSAV): operación de intercambio/transferencia",M29="Sí",ISNUMBER(AE29)),IF(AK29&gt;=AE29,1,0),0)</f>
        <v>0</v>
      </c>
      <c r="AV29" s="30" t="n">
        <f aca="false">IF(NOT(ISNUMBER(B29)),CONFIG!$B$4,IFERROR(INDEX(CONFIG!$I$5:$I$14,MATCH(IF(MONTH(B29)=1,YEAR(B29)-1,YEAR(B29)),CONFIG!$H$5:$H$14,0)),CONFIG!$B$4))</f>
        <v>117.31</v>
      </c>
      <c r="AW29" s="27" t="n">
        <f aca="false">IF(AND(LEFT(D29,4)="I - ",ISNUMBER(B29),C29&lt;&gt;""),SUMIFS($E$6:$E$505,$C$6:$C$505,C29,$D$6:$D$505,D29,$B$6:$B$505,"&gt;"&amp;(B29-1),$B$6:$B$505,"&lt;="&amp;B29),0)</f>
        <v>0</v>
      </c>
      <c r="AX29" s="0" t="str">
        <f aca="false">IF(E29="","",IF(AD29="Siempre","AVISO (siempre)",IF(AD29="No aplica","Sin Aviso (sólo preparas: Ley 17 XI)",IF(NOT(ISNUMBER(AE29)),"",IF(AA29&lt;&gt;"ACUMULA",IF(E29&gt;=AE29,IF(AND(D29="XVI - Activos virtuales (PSAV): cobro de contraprestación (comisión) por el servicio",COUNTIFS($C$6:$C$505,C29,$B$6:$B$505,"&gt;="&amp;INT(B29),$B$6:$B$505,"&lt;"&amp;(INT(B29)+1),$AU$6:$AU$505,1)&gt;0),"En el Aviso del inciso a) (R 31 Bis)","AVISO"),"—"),IF(M29&lt;&gt;"Sí","—",IF(AK29&gt;=AE29,IF(AK29=E29,"AVISO","AVISO (acumulado)"),"Acumulando")))))))</f>
        <v/>
      </c>
    </row>
    <row r="30" customFormat="false" ht="15" hidden="false" customHeight="false" outlineLevel="0" collapsed="false">
      <c r="A30" s="9" t="str">
        <f aca="false">IF(E30="","",ROW()-5)</f>
        <v/>
      </c>
      <c r="B30" s="20"/>
      <c r="C30" s="21"/>
      <c r="D30" s="21"/>
      <c r="E30" s="22"/>
      <c r="F30" s="22"/>
      <c r="G30" s="21"/>
      <c r="H30" s="21"/>
      <c r="I30" s="9" t="str">
        <f aca="false">IF(C30="","",IFERROR(INDEX(CLIENTES!$B$6:$B$305,MATCH(C30,CLIENTES!$A$6:$A$305,0)),"⚠ ID no registrado"))</f>
        <v/>
      </c>
      <c r="J30" s="9" t="str">
        <f aca="false">IF(C30="","",IFERROR(INDEX(CLIENTES!$Z$6:$Z$305,MATCH(C30,CLIENTES!$A$6:$A$305,0)),""))</f>
        <v/>
      </c>
      <c r="K30" s="9" t="str">
        <f aca="false">IF(E30="","",IF(AB30="Siempre","Sí",IF(ISNUMBER(AC30),IF(E30&gt;=AC30,"Sí",IF(AW30&gt;=AC30,"Sí (serie 24 h)","No")),"")))</f>
        <v/>
      </c>
      <c r="L30" s="9" t="str">
        <f aca="false">IF(E30="","",AA30)</f>
        <v/>
      </c>
      <c r="M30" s="9" t="str">
        <f aca="false">IF(E30="","",IF(AA30&lt;&gt;"ACUMULA","No aplica",IF(LEFT(K30,2)="Sí","Sí","No")))</f>
        <v/>
      </c>
      <c r="N30" s="23" t="str">
        <f aca="false">IF(M30="Sí",AJ30,"")</f>
        <v/>
      </c>
      <c r="O30" s="24" t="str">
        <f aca="false">IF(M30="Sí",AK30,"")</f>
        <v/>
      </c>
      <c r="P30" s="25" t="str">
        <f aca="false">IF(AND(LEFT(D30,6)="XIV - ",LEFT(AX30,5)="AVISO"),"Pedimento (R 16): no va al SPPLD",AX30)</f>
        <v/>
      </c>
      <c r="Q30" s="23" t="str">
        <f aca="false">IF(LEFT(P30,5)="AVISO",IF(ISNUMBER(B30),DATE(YEAR(B30),MONTH(B30)+1,17),"Falta fecha"),"")</f>
        <v/>
      </c>
      <c r="R30" s="9" t="str">
        <f aca="false">IF(OR(F30="",F30=0),"",IF(ISNUMBER(AG30),IF(F30&gt;=AG30,"PROHIBIDO","Dentro del límite"),"No aplica"))</f>
        <v/>
      </c>
      <c r="S30" s="26" t="str">
        <f aca="false">IF(E30="","",MID(IF(AQ30=1," · Excede el perfil declarado","")&amp;IF(H30="Sí"," · Paga un tercero","")&amp;IF(J30="Alto"," · Cliente de riesgo alto: DDR (RCG 23 Ter 3 y 4)","")&amp;IF(AND(AS30&lt;&gt;"",AS30&lt;&gt;"No",AS30&lt;&gt;0)," · PEP","")&amp;IF(R30="PROHIBIDO"," · Efectivo prohibido: no lo recibas (Art. 32)","")&amp;IF(AR30=1," · ⚠ Fecha fuera de orden","")&amp;IF(LEFT(I30,1)="⚠"," · ⚠ Cliente no registrado","")&amp;IF(D30=""," · ⚠ Falta la actividad","")&amp;IF(AND(LEFT(P30,5)="AVISO",W30="")," · Captura la cifra total con IVA para el Aviso","")&amp;IF(AND(ISNUMBER(W30),W30&lt;E30)," · ⚠ La cifra con IVA es menor que el monto sin IVA",""),4,400))</f>
        <v/>
      </c>
      <c r="T30" s="21"/>
      <c r="U30" s="20"/>
      <c r="V30" s="9" t="str">
        <f aca="false">IF(LEFT(P30,5)&lt;&gt;"AVISO","",IF(T30="Presentado",IF(AND(ISNUMBER(U30),ISNUMBER(Q30),U30&gt;Q30),"Presentado tarde","Presentado"),IF(NOT(ISNUMBER(Q30)),"Falta fecha",IF(Q30&lt;CONFIG!$B$6,"VENCIDO","Vence en "&amp;(Q30-CONFIG!$B$6)&amp;" días"))))</f>
        <v/>
      </c>
      <c r="W30" s="22"/>
      <c r="X30" s="21"/>
      <c r="AA30" s="0" t="str">
        <f aca="false">IF(AM30="","",INDEX(CATÁLOGO!$D$5:$D$39,AM30))</f>
        <v/>
      </c>
      <c r="AB30" s="0" t="str">
        <f aca="false">IF(AM30="","",INDEX(CATÁLOGO!$E$5:$E$39,AM30))</f>
        <v/>
      </c>
      <c r="AC30" s="0" t="str">
        <f aca="false">IF(AB30="","",IF(ISNUMBER(AB30),AB30*AV30,AB30))</f>
        <v/>
      </c>
      <c r="AD30" s="0" t="str">
        <f aca="false">IF(AM30="","",INDEX(CATÁLOGO!$F$5:$F$39,AM30))</f>
        <v/>
      </c>
      <c r="AE30" s="0" t="str">
        <f aca="false">IF(AD30="","",IF(ISNUMBER(AD30),AD30*AV30,AD30))</f>
        <v/>
      </c>
      <c r="AF30" s="0" t="str">
        <f aca="false">IF(AM30="","",INDEX(CATÁLOGO!$G$5:$G$39,AM30))</f>
        <v/>
      </c>
      <c r="AG30" s="0" t="str">
        <f aca="false">IF(AF30="","",IF(ISNUMBER(AF30),AF30*AV30,AF30))</f>
        <v/>
      </c>
      <c r="AH30" s="0" t="str">
        <f aca="false">IF(E30="","",C30&amp;"|"&amp;D30)</f>
        <v/>
      </c>
      <c r="AI30" s="27" t="n">
        <f aca="false">IF(M30&lt;&gt;"Sí",0,SUMPRODUCT(MAX(($AH$5:AH29=AH30)*($M$5:M29="Sí")*ROW($AH$5:AH29))))</f>
        <v>0</v>
      </c>
      <c r="AJ30" s="0" t="str">
        <f aca="false">IF(M30&lt;&gt;"Sí","",IF(AL30=1,B30,INDEX($AJ:$AJ,AI30)))</f>
        <v/>
      </c>
      <c r="AK30" s="0" t="str">
        <f aca="false">IF(M30&lt;&gt;"Sí","",IF(AL30=1,E30,INDEX($AK:$AK,AI30)+E30))</f>
        <v/>
      </c>
      <c r="AL30" s="0" t="str">
        <f aca="false">IF(M30&lt;&gt;"Sí","",IF(AI30=0,1,IF(INDEX($AN:$AN,AI30)=0,1,IF(B30&gt;=EDATE(INDEX($AJ:$AJ,AI30),6),1,0))))</f>
        <v/>
      </c>
      <c r="AM30" s="0" t="str">
        <f aca="false">IF(D30="","",IFERROR(MATCH(D30,CATÁLOGO!$C$5:$C$39,0),""))</f>
        <v/>
      </c>
      <c r="AN30" s="0" t="str">
        <f aca="false">IF(M30&lt;&gt;"Sí","",IF(AND(ISNUMBER(AE30),AK30&gt;=AE30),0,1))</f>
        <v/>
      </c>
      <c r="AO30" s="0" t="str">
        <f aca="false">IF(OR(E30="",C30="",NOT(ISNUMBER(B30))),"",SUMIFS($E$6:$E$505,$C$6:$C$505,C30,$B$6:$B$505,"&gt;="&amp;DATE(YEAR(B30),MONTH(B30),1),$B$6:$B$505,"&lt;"&amp;DATE(YEAR(B30),MONTH(B30)+1,1)))</f>
        <v/>
      </c>
      <c r="AP30" s="0" t="str">
        <f aca="false">IF(C30="","",IFERROR(INDEX(CLIENTES!$M$6:$M$305,MATCH(C30,CLIENTES!$A$6:$A$305,0)),""))</f>
        <v/>
      </c>
      <c r="AQ30" s="27" t="n">
        <f aca="false">IF(AND(ISNUMBER(AO30),ISNUMBER(AP30)),IF(AND(AP30&gt;0,AO30&gt;AP30),1,0),0)</f>
        <v>0</v>
      </c>
      <c r="AR30" s="27" t="n">
        <f aca="false">IF(NOT(ISNUMBER(B30)),0,IF(B30&lt;MAX($B$5:B29),1,0))</f>
        <v>0</v>
      </c>
      <c r="AS30" s="0" t="str">
        <f aca="false">IF(C30="","",IFERROR(INDEX(CLIENTES!$H$6:$H$305,MATCH(C30,CLIENTES!$A$6:$A$305,0)),""))</f>
        <v/>
      </c>
      <c r="AT30" s="0" t="str">
        <f aca="false">IF(AND(LEFT(P30,5)="AVISO",T30&lt;&gt;"Presentado",ISNUMBER(Q30)),Q30,"")</f>
        <v/>
      </c>
      <c r="AU30" s="27" t="n">
        <f aca="false">IF(AND(D30="XVI - Activos virtuales (PSAV): operación de intercambio/transferencia",M30="Sí",ISNUMBER(AE30)),IF(AK30&gt;=AE30,1,0),0)</f>
        <v>0</v>
      </c>
      <c r="AV30" s="30" t="n">
        <f aca="false">IF(NOT(ISNUMBER(B30)),CONFIG!$B$4,IFERROR(INDEX(CONFIG!$I$5:$I$14,MATCH(IF(MONTH(B30)=1,YEAR(B30)-1,YEAR(B30)),CONFIG!$H$5:$H$14,0)),CONFIG!$B$4))</f>
        <v>117.31</v>
      </c>
      <c r="AW30" s="27" t="n">
        <f aca="false">IF(AND(LEFT(D30,4)="I - ",ISNUMBER(B30),C30&lt;&gt;""),SUMIFS($E$6:$E$505,$C$6:$C$505,C30,$D$6:$D$505,D30,$B$6:$B$505,"&gt;"&amp;(B30-1),$B$6:$B$505,"&lt;="&amp;B30),0)</f>
        <v>0</v>
      </c>
      <c r="AX30" s="0" t="str">
        <f aca="false">IF(E30="","",IF(AD30="Siempre","AVISO (siempre)",IF(AD30="No aplica","Sin Aviso (sólo preparas: Ley 17 XI)",IF(NOT(ISNUMBER(AE30)),"",IF(AA30&lt;&gt;"ACUMULA",IF(E30&gt;=AE30,IF(AND(D30="XVI - Activos virtuales (PSAV): cobro de contraprestación (comisión) por el servicio",COUNTIFS($C$6:$C$505,C30,$B$6:$B$505,"&gt;="&amp;INT(B30),$B$6:$B$505,"&lt;"&amp;(INT(B30)+1),$AU$6:$AU$505,1)&gt;0),"En el Aviso del inciso a) (R 31 Bis)","AVISO"),"—"),IF(M30&lt;&gt;"Sí","—",IF(AK30&gt;=AE30,IF(AK30=E30,"AVISO","AVISO (acumulado)"),"Acumulando")))))))</f>
        <v/>
      </c>
    </row>
    <row r="31" customFormat="false" ht="15" hidden="false" customHeight="false" outlineLevel="0" collapsed="false">
      <c r="A31" s="9" t="str">
        <f aca="false">IF(E31="","",ROW()-5)</f>
        <v/>
      </c>
      <c r="B31" s="20"/>
      <c r="C31" s="21"/>
      <c r="D31" s="21"/>
      <c r="E31" s="22"/>
      <c r="F31" s="22"/>
      <c r="G31" s="21"/>
      <c r="H31" s="21"/>
      <c r="I31" s="9" t="str">
        <f aca="false">IF(C31="","",IFERROR(INDEX(CLIENTES!$B$6:$B$305,MATCH(C31,CLIENTES!$A$6:$A$305,0)),"⚠ ID no registrado"))</f>
        <v/>
      </c>
      <c r="J31" s="9" t="str">
        <f aca="false">IF(C31="","",IFERROR(INDEX(CLIENTES!$Z$6:$Z$305,MATCH(C31,CLIENTES!$A$6:$A$305,0)),""))</f>
        <v/>
      </c>
      <c r="K31" s="9" t="str">
        <f aca="false">IF(E31="","",IF(AB31="Siempre","Sí",IF(ISNUMBER(AC31),IF(E31&gt;=AC31,"Sí",IF(AW31&gt;=AC31,"Sí (serie 24 h)","No")),"")))</f>
        <v/>
      </c>
      <c r="L31" s="9" t="str">
        <f aca="false">IF(E31="","",AA31)</f>
        <v/>
      </c>
      <c r="M31" s="9" t="str">
        <f aca="false">IF(E31="","",IF(AA31&lt;&gt;"ACUMULA","No aplica",IF(LEFT(K31,2)="Sí","Sí","No")))</f>
        <v/>
      </c>
      <c r="N31" s="23" t="str">
        <f aca="false">IF(M31="Sí",AJ31,"")</f>
        <v/>
      </c>
      <c r="O31" s="24" t="str">
        <f aca="false">IF(M31="Sí",AK31,"")</f>
        <v/>
      </c>
      <c r="P31" s="25" t="str">
        <f aca="false">IF(AND(LEFT(D31,6)="XIV - ",LEFT(AX31,5)="AVISO"),"Pedimento (R 16): no va al SPPLD",AX31)</f>
        <v/>
      </c>
      <c r="Q31" s="23" t="str">
        <f aca="false">IF(LEFT(P31,5)="AVISO",IF(ISNUMBER(B31),DATE(YEAR(B31),MONTH(B31)+1,17),"Falta fecha"),"")</f>
        <v/>
      </c>
      <c r="R31" s="9" t="str">
        <f aca="false">IF(OR(F31="",F31=0),"",IF(ISNUMBER(AG31),IF(F31&gt;=AG31,"PROHIBIDO","Dentro del límite"),"No aplica"))</f>
        <v/>
      </c>
      <c r="S31" s="26" t="str">
        <f aca="false">IF(E31="","",MID(IF(AQ31=1," · Excede el perfil declarado","")&amp;IF(H31="Sí"," · Paga un tercero","")&amp;IF(J31="Alto"," · Cliente de riesgo alto: DDR (RCG 23 Ter 3 y 4)","")&amp;IF(AND(AS31&lt;&gt;"",AS31&lt;&gt;"No",AS31&lt;&gt;0)," · PEP","")&amp;IF(R31="PROHIBIDO"," · Efectivo prohibido: no lo recibas (Art. 32)","")&amp;IF(AR31=1," · ⚠ Fecha fuera de orden","")&amp;IF(LEFT(I31,1)="⚠"," · ⚠ Cliente no registrado","")&amp;IF(D31=""," · ⚠ Falta la actividad","")&amp;IF(AND(LEFT(P31,5)="AVISO",W31="")," · Captura la cifra total con IVA para el Aviso","")&amp;IF(AND(ISNUMBER(W31),W31&lt;E31)," · ⚠ La cifra con IVA es menor que el monto sin IVA",""),4,400))</f>
        <v/>
      </c>
      <c r="T31" s="21"/>
      <c r="U31" s="20"/>
      <c r="V31" s="9" t="str">
        <f aca="false">IF(LEFT(P31,5)&lt;&gt;"AVISO","",IF(T31="Presentado",IF(AND(ISNUMBER(U31),ISNUMBER(Q31),U31&gt;Q31),"Presentado tarde","Presentado"),IF(NOT(ISNUMBER(Q31)),"Falta fecha",IF(Q31&lt;CONFIG!$B$6,"VENCIDO","Vence en "&amp;(Q31-CONFIG!$B$6)&amp;" días"))))</f>
        <v/>
      </c>
      <c r="W31" s="22"/>
      <c r="X31" s="21"/>
      <c r="AA31" s="0" t="str">
        <f aca="false">IF(AM31="","",INDEX(CATÁLOGO!$D$5:$D$39,AM31))</f>
        <v/>
      </c>
      <c r="AB31" s="0" t="str">
        <f aca="false">IF(AM31="","",INDEX(CATÁLOGO!$E$5:$E$39,AM31))</f>
        <v/>
      </c>
      <c r="AC31" s="0" t="str">
        <f aca="false">IF(AB31="","",IF(ISNUMBER(AB31),AB31*AV31,AB31))</f>
        <v/>
      </c>
      <c r="AD31" s="0" t="str">
        <f aca="false">IF(AM31="","",INDEX(CATÁLOGO!$F$5:$F$39,AM31))</f>
        <v/>
      </c>
      <c r="AE31" s="0" t="str">
        <f aca="false">IF(AD31="","",IF(ISNUMBER(AD31),AD31*AV31,AD31))</f>
        <v/>
      </c>
      <c r="AF31" s="0" t="str">
        <f aca="false">IF(AM31="","",INDEX(CATÁLOGO!$G$5:$G$39,AM31))</f>
        <v/>
      </c>
      <c r="AG31" s="0" t="str">
        <f aca="false">IF(AF31="","",IF(ISNUMBER(AF31),AF31*AV31,AF31))</f>
        <v/>
      </c>
      <c r="AH31" s="0" t="str">
        <f aca="false">IF(E31="","",C31&amp;"|"&amp;D31)</f>
        <v/>
      </c>
      <c r="AI31" s="27" t="n">
        <f aca="false">IF(M31&lt;&gt;"Sí",0,SUMPRODUCT(MAX(($AH$5:AH30=AH31)*($M$5:M30="Sí")*ROW($AH$5:AH30))))</f>
        <v>0</v>
      </c>
      <c r="AJ31" s="0" t="str">
        <f aca="false">IF(M31&lt;&gt;"Sí","",IF(AL31=1,B31,INDEX($AJ:$AJ,AI31)))</f>
        <v/>
      </c>
      <c r="AK31" s="0" t="str">
        <f aca="false">IF(M31&lt;&gt;"Sí","",IF(AL31=1,E31,INDEX($AK:$AK,AI31)+E31))</f>
        <v/>
      </c>
      <c r="AL31" s="0" t="str">
        <f aca="false">IF(M31&lt;&gt;"Sí","",IF(AI31=0,1,IF(INDEX($AN:$AN,AI31)=0,1,IF(B31&gt;=EDATE(INDEX($AJ:$AJ,AI31),6),1,0))))</f>
        <v/>
      </c>
      <c r="AM31" s="0" t="str">
        <f aca="false">IF(D31="","",IFERROR(MATCH(D31,CATÁLOGO!$C$5:$C$39,0),""))</f>
        <v/>
      </c>
      <c r="AN31" s="0" t="str">
        <f aca="false">IF(M31&lt;&gt;"Sí","",IF(AND(ISNUMBER(AE31),AK31&gt;=AE31),0,1))</f>
        <v/>
      </c>
      <c r="AO31" s="0" t="str">
        <f aca="false">IF(OR(E31="",C31="",NOT(ISNUMBER(B31))),"",SUMIFS($E$6:$E$505,$C$6:$C$505,C31,$B$6:$B$505,"&gt;="&amp;DATE(YEAR(B31),MONTH(B31),1),$B$6:$B$505,"&lt;"&amp;DATE(YEAR(B31),MONTH(B31)+1,1)))</f>
        <v/>
      </c>
      <c r="AP31" s="0" t="str">
        <f aca="false">IF(C31="","",IFERROR(INDEX(CLIENTES!$M$6:$M$305,MATCH(C31,CLIENTES!$A$6:$A$305,0)),""))</f>
        <v/>
      </c>
      <c r="AQ31" s="27" t="n">
        <f aca="false">IF(AND(ISNUMBER(AO31),ISNUMBER(AP31)),IF(AND(AP31&gt;0,AO31&gt;AP31),1,0),0)</f>
        <v>0</v>
      </c>
      <c r="AR31" s="27" t="n">
        <f aca="false">IF(NOT(ISNUMBER(B31)),0,IF(B31&lt;MAX($B$5:B30),1,0))</f>
        <v>0</v>
      </c>
      <c r="AS31" s="0" t="str">
        <f aca="false">IF(C31="","",IFERROR(INDEX(CLIENTES!$H$6:$H$305,MATCH(C31,CLIENTES!$A$6:$A$305,0)),""))</f>
        <v/>
      </c>
      <c r="AT31" s="0" t="str">
        <f aca="false">IF(AND(LEFT(P31,5)="AVISO",T31&lt;&gt;"Presentado",ISNUMBER(Q31)),Q31,"")</f>
        <v/>
      </c>
      <c r="AU31" s="27" t="n">
        <f aca="false">IF(AND(D31="XVI - Activos virtuales (PSAV): operación de intercambio/transferencia",M31="Sí",ISNUMBER(AE31)),IF(AK31&gt;=AE31,1,0),0)</f>
        <v>0</v>
      </c>
      <c r="AV31" s="30" t="n">
        <f aca="false">IF(NOT(ISNUMBER(B31)),CONFIG!$B$4,IFERROR(INDEX(CONFIG!$I$5:$I$14,MATCH(IF(MONTH(B31)=1,YEAR(B31)-1,YEAR(B31)),CONFIG!$H$5:$H$14,0)),CONFIG!$B$4))</f>
        <v>117.31</v>
      </c>
      <c r="AW31" s="27" t="n">
        <f aca="false">IF(AND(LEFT(D31,4)="I - ",ISNUMBER(B31),C31&lt;&gt;""),SUMIFS($E$6:$E$505,$C$6:$C$505,C31,$D$6:$D$505,D31,$B$6:$B$505,"&gt;"&amp;(B31-1),$B$6:$B$505,"&lt;="&amp;B31),0)</f>
        <v>0</v>
      </c>
      <c r="AX31" s="0" t="str">
        <f aca="false">IF(E31="","",IF(AD31="Siempre","AVISO (siempre)",IF(AD31="No aplica","Sin Aviso (sólo preparas: Ley 17 XI)",IF(NOT(ISNUMBER(AE31)),"",IF(AA31&lt;&gt;"ACUMULA",IF(E31&gt;=AE31,IF(AND(D31="XVI - Activos virtuales (PSAV): cobro de contraprestación (comisión) por el servicio",COUNTIFS($C$6:$C$505,C31,$B$6:$B$505,"&gt;="&amp;INT(B31),$B$6:$B$505,"&lt;"&amp;(INT(B31)+1),$AU$6:$AU$505,1)&gt;0),"En el Aviso del inciso a) (R 31 Bis)","AVISO"),"—"),IF(M31&lt;&gt;"Sí","—",IF(AK31&gt;=AE31,IF(AK31=E31,"AVISO","AVISO (acumulado)"),"Acumulando")))))))</f>
        <v/>
      </c>
    </row>
    <row r="32" customFormat="false" ht="15" hidden="false" customHeight="false" outlineLevel="0" collapsed="false">
      <c r="A32" s="9" t="str">
        <f aca="false">IF(E32="","",ROW()-5)</f>
        <v/>
      </c>
      <c r="B32" s="20"/>
      <c r="C32" s="21"/>
      <c r="D32" s="21"/>
      <c r="E32" s="22"/>
      <c r="F32" s="22"/>
      <c r="G32" s="21"/>
      <c r="H32" s="21"/>
      <c r="I32" s="9" t="str">
        <f aca="false">IF(C32="","",IFERROR(INDEX(CLIENTES!$B$6:$B$305,MATCH(C32,CLIENTES!$A$6:$A$305,0)),"⚠ ID no registrado"))</f>
        <v/>
      </c>
      <c r="J32" s="9" t="str">
        <f aca="false">IF(C32="","",IFERROR(INDEX(CLIENTES!$Z$6:$Z$305,MATCH(C32,CLIENTES!$A$6:$A$305,0)),""))</f>
        <v/>
      </c>
      <c r="K32" s="9" t="str">
        <f aca="false">IF(E32="","",IF(AB32="Siempre","Sí",IF(ISNUMBER(AC32),IF(E32&gt;=AC32,"Sí",IF(AW32&gt;=AC32,"Sí (serie 24 h)","No")),"")))</f>
        <v/>
      </c>
      <c r="L32" s="9" t="str">
        <f aca="false">IF(E32="","",AA32)</f>
        <v/>
      </c>
      <c r="M32" s="9" t="str">
        <f aca="false">IF(E32="","",IF(AA32&lt;&gt;"ACUMULA","No aplica",IF(LEFT(K32,2)="Sí","Sí","No")))</f>
        <v/>
      </c>
      <c r="N32" s="23" t="str">
        <f aca="false">IF(M32="Sí",AJ32,"")</f>
        <v/>
      </c>
      <c r="O32" s="24" t="str">
        <f aca="false">IF(M32="Sí",AK32,"")</f>
        <v/>
      </c>
      <c r="P32" s="25" t="str">
        <f aca="false">IF(AND(LEFT(D32,6)="XIV - ",LEFT(AX32,5)="AVISO"),"Pedimento (R 16): no va al SPPLD",AX32)</f>
        <v/>
      </c>
      <c r="Q32" s="23" t="str">
        <f aca="false">IF(LEFT(P32,5)="AVISO",IF(ISNUMBER(B32),DATE(YEAR(B32),MONTH(B32)+1,17),"Falta fecha"),"")</f>
        <v/>
      </c>
      <c r="R32" s="9" t="str">
        <f aca="false">IF(OR(F32="",F32=0),"",IF(ISNUMBER(AG32),IF(F32&gt;=AG32,"PROHIBIDO","Dentro del límite"),"No aplica"))</f>
        <v/>
      </c>
      <c r="S32" s="26" t="str">
        <f aca="false">IF(E32="","",MID(IF(AQ32=1," · Excede el perfil declarado","")&amp;IF(H32="Sí"," · Paga un tercero","")&amp;IF(J32="Alto"," · Cliente de riesgo alto: DDR (RCG 23 Ter 3 y 4)","")&amp;IF(AND(AS32&lt;&gt;"",AS32&lt;&gt;"No",AS32&lt;&gt;0)," · PEP","")&amp;IF(R32="PROHIBIDO"," · Efectivo prohibido: no lo recibas (Art. 32)","")&amp;IF(AR32=1," · ⚠ Fecha fuera de orden","")&amp;IF(LEFT(I32,1)="⚠"," · ⚠ Cliente no registrado","")&amp;IF(D32=""," · ⚠ Falta la actividad","")&amp;IF(AND(LEFT(P32,5)="AVISO",W32="")," · Captura la cifra total con IVA para el Aviso","")&amp;IF(AND(ISNUMBER(W32),W32&lt;E32)," · ⚠ La cifra con IVA es menor que el monto sin IVA",""),4,400))</f>
        <v/>
      </c>
      <c r="T32" s="21"/>
      <c r="U32" s="20"/>
      <c r="V32" s="9" t="str">
        <f aca="false">IF(LEFT(P32,5)&lt;&gt;"AVISO","",IF(T32="Presentado",IF(AND(ISNUMBER(U32),ISNUMBER(Q32),U32&gt;Q32),"Presentado tarde","Presentado"),IF(NOT(ISNUMBER(Q32)),"Falta fecha",IF(Q32&lt;CONFIG!$B$6,"VENCIDO","Vence en "&amp;(Q32-CONFIG!$B$6)&amp;" días"))))</f>
        <v/>
      </c>
      <c r="W32" s="22"/>
      <c r="X32" s="21"/>
      <c r="AA32" s="0" t="str">
        <f aca="false">IF(AM32="","",INDEX(CATÁLOGO!$D$5:$D$39,AM32))</f>
        <v/>
      </c>
      <c r="AB32" s="0" t="str">
        <f aca="false">IF(AM32="","",INDEX(CATÁLOGO!$E$5:$E$39,AM32))</f>
        <v/>
      </c>
      <c r="AC32" s="0" t="str">
        <f aca="false">IF(AB32="","",IF(ISNUMBER(AB32),AB32*AV32,AB32))</f>
        <v/>
      </c>
      <c r="AD32" s="0" t="str">
        <f aca="false">IF(AM32="","",INDEX(CATÁLOGO!$F$5:$F$39,AM32))</f>
        <v/>
      </c>
      <c r="AE32" s="0" t="str">
        <f aca="false">IF(AD32="","",IF(ISNUMBER(AD32),AD32*AV32,AD32))</f>
        <v/>
      </c>
      <c r="AF32" s="0" t="str">
        <f aca="false">IF(AM32="","",INDEX(CATÁLOGO!$G$5:$G$39,AM32))</f>
        <v/>
      </c>
      <c r="AG32" s="0" t="str">
        <f aca="false">IF(AF32="","",IF(ISNUMBER(AF32),AF32*AV32,AF32))</f>
        <v/>
      </c>
      <c r="AH32" s="0" t="str">
        <f aca="false">IF(E32="","",C32&amp;"|"&amp;D32)</f>
        <v/>
      </c>
      <c r="AI32" s="27" t="n">
        <f aca="false">IF(M32&lt;&gt;"Sí",0,SUMPRODUCT(MAX(($AH$5:AH31=AH32)*($M$5:M31="Sí")*ROW($AH$5:AH31))))</f>
        <v>0</v>
      </c>
      <c r="AJ32" s="0" t="str">
        <f aca="false">IF(M32&lt;&gt;"Sí","",IF(AL32=1,B32,INDEX($AJ:$AJ,AI32)))</f>
        <v/>
      </c>
      <c r="AK32" s="0" t="str">
        <f aca="false">IF(M32&lt;&gt;"Sí","",IF(AL32=1,E32,INDEX($AK:$AK,AI32)+E32))</f>
        <v/>
      </c>
      <c r="AL32" s="0" t="str">
        <f aca="false">IF(M32&lt;&gt;"Sí","",IF(AI32=0,1,IF(INDEX($AN:$AN,AI32)=0,1,IF(B32&gt;=EDATE(INDEX($AJ:$AJ,AI32),6),1,0))))</f>
        <v/>
      </c>
      <c r="AM32" s="0" t="str">
        <f aca="false">IF(D32="","",IFERROR(MATCH(D32,CATÁLOGO!$C$5:$C$39,0),""))</f>
        <v/>
      </c>
      <c r="AN32" s="0" t="str">
        <f aca="false">IF(M32&lt;&gt;"Sí","",IF(AND(ISNUMBER(AE32),AK32&gt;=AE32),0,1))</f>
        <v/>
      </c>
      <c r="AO32" s="0" t="str">
        <f aca="false">IF(OR(E32="",C32="",NOT(ISNUMBER(B32))),"",SUMIFS($E$6:$E$505,$C$6:$C$505,C32,$B$6:$B$505,"&gt;="&amp;DATE(YEAR(B32),MONTH(B32),1),$B$6:$B$505,"&lt;"&amp;DATE(YEAR(B32),MONTH(B32)+1,1)))</f>
        <v/>
      </c>
      <c r="AP32" s="0" t="str">
        <f aca="false">IF(C32="","",IFERROR(INDEX(CLIENTES!$M$6:$M$305,MATCH(C32,CLIENTES!$A$6:$A$305,0)),""))</f>
        <v/>
      </c>
      <c r="AQ32" s="27" t="n">
        <f aca="false">IF(AND(ISNUMBER(AO32),ISNUMBER(AP32)),IF(AND(AP32&gt;0,AO32&gt;AP32),1,0),0)</f>
        <v>0</v>
      </c>
      <c r="AR32" s="27" t="n">
        <f aca="false">IF(NOT(ISNUMBER(B32)),0,IF(B32&lt;MAX($B$5:B31),1,0))</f>
        <v>0</v>
      </c>
      <c r="AS32" s="0" t="str">
        <f aca="false">IF(C32="","",IFERROR(INDEX(CLIENTES!$H$6:$H$305,MATCH(C32,CLIENTES!$A$6:$A$305,0)),""))</f>
        <v/>
      </c>
      <c r="AT32" s="0" t="str">
        <f aca="false">IF(AND(LEFT(P32,5)="AVISO",T32&lt;&gt;"Presentado",ISNUMBER(Q32)),Q32,"")</f>
        <v/>
      </c>
      <c r="AU32" s="27" t="n">
        <f aca="false">IF(AND(D32="XVI - Activos virtuales (PSAV): operación de intercambio/transferencia",M32="Sí",ISNUMBER(AE32)),IF(AK32&gt;=AE32,1,0),0)</f>
        <v>0</v>
      </c>
      <c r="AV32" s="30" t="n">
        <f aca="false">IF(NOT(ISNUMBER(B32)),CONFIG!$B$4,IFERROR(INDEX(CONFIG!$I$5:$I$14,MATCH(IF(MONTH(B32)=1,YEAR(B32)-1,YEAR(B32)),CONFIG!$H$5:$H$14,0)),CONFIG!$B$4))</f>
        <v>117.31</v>
      </c>
      <c r="AW32" s="27" t="n">
        <f aca="false">IF(AND(LEFT(D32,4)="I - ",ISNUMBER(B32),C32&lt;&gt;""),SUMIFS($E$6:$E$505,$C$6:$C$505,C32,$D$6:$D$505,D32,$B$6:$B$505,"&gt;"&amp;(B32-1),$B$6:$B$505,"&lt;="&amp;B32),0)</f>
        <v>0</v>
      </c>
      <c r="AX32" s="0" t="str">
        <f aca="false">IF(E32="","",IF(AD32="Siempre","AVISO (siempre)",IF(AD32="No aplica","Sin Aviso (sólo preparas: Ley 17 XI)",IF(NOT(ISNUMBER(AE32)),"",IF(AA32&lt;&gt;"ACUMULA",IF(E32&gt;=AE32,IF(AND(D32="XVI - Activos virtuales (PSAV): cobro de contraprestación (comisión) por el servicio",COUNTIFS($C$6:$C$505,C32,$B$6:$B$505,"&gt;="&amp;INT(B32),$B$6:$B$505,"&lt;"&amp;(INT(B32)+1),$AU$6:$AU$505,1)&gt;0),"En el Aviso del inciso a) (R 31 Bis)","AVISO"),"—"),IF(M32&lt;&gt;"Sí","—",IF(AK32&gt;=AE32,IF(AK32=E32,"AVISO","AVISO (acumulado)"),"Acumulando")))))))</f>
        <v/>
      </c>
    </row>
    <row r="33" customFormat="false" ht="15" hidden="false" customHeight="false" outlineLevel="0" collapsed="false">
      <c r="A33" s="9" t="str">
        <f aca="false">IF(E33="","",ROW()-5)</f>
        <v/>
      </c>
      <c r="B33" s="20"/>
      <c r="C33" s="21"/>
      <c r="D33" s="21"/>
      <c r="E33" s="22"/>
      <c r="F33" s="22"/>
      <c r="G33" s="21"/>
      <c r="H33" s="21"/>
      <c r="I33" s="9" t="str">
        <f aca="false">IF(C33="","",IFERROR(INDEX(CLIENTES!$B$6:$B$305,MATCH(C33,CLIENTES!$A$6:$A$305,0)),"⚠ ID no registrado"))</f>
        <v/>
      </c>
      <c r="J33" s="9" t="str">
        <f aca="false">IF(C33="","",IFERROR(INDEX(CLIENTES!$Z$6:$Z$305,MATCH(C33,CLIENTES!$A$6:$A$305,0)),""))</f>
        <v/>
      </c>
      <c r="K33" s="9" t="str">
        <f aca="false">IF(E33="","",IF(AB33="Siempre","Sí",IF(ISNUMBER(AC33),IF(E33&gt;=AC33,"Sí",IF(AW33&gt;=AC33,"Sí (serie 24 h)","No")),"")))</f>
        <v/>
      </c>
      <c r="L33" s="9" t="str">
        <f aca="false">IF(E33="","",AA33)</f>
        <v/>
      </c>
      <c r="M33" s="9" t="str">
        <f aca="false">IF(E33="","",IF(AA33&lt;&gt;"ACUMULA","No aplica",IF(LEFT(K33,2)="Sí","Sí","No")))</f>
        <v/>
      </c>
      <c r="N33" s="23" t="str">
        <f aca="false">IF(M33="Sí",AJ33,"")</f>
        <v/>
      </c>
      <c r="O33" s="24" t="str">
        <f aca="false">IF(M33="Sí",AK33,"")</f>
        <v/>
      </c>
      <c r="P33" s="25" t="str">
        <f aca="false">IF(AND(LEFT(D33,6)="XIV - ",LEFT(AX33,5)="AVISO"),"Pedimento (R 16): no va al SPPLD",AX33)</f>
        <v/>
      </c>
      <c r="Q33" s="23" t="str">
        <f aca="false">IF(LEFT(P33,5)="AVISO",IF(ISNUMBER(B33),DATE(YEAR(B33),MONTH(B33)+1,17),"Falta fecha"),"")</f>
        <v/>
      </c>
      <c r="R33" s="9" t="str">
        <f aca="false">IF(OR(F33="",F33=0),"",IF(ISNUMBER(AG33),IF(F33&gt;=AG33,"PROHIBIDO","Dentro del límite"),"No aplica"))</f>
        <v/>
      </c>
      <c r="S33" s="26" t="str">
        <f aca="false">IF(E33="","",MID(IF(AQ33=1," · Excede el perfil declarado","")&amp;IF(H33="Sí"," · Paga un tercero","")&amp;IF(J33="Alto"," · Cliente de riesgo alto: DDR (RCG 23 Ter 3 y 4)","")&amp;IF(AND(AS33&lt;&gt;"",AS33&lt;&gt;"No",AS33&lt;&gt;0)," · PEP","")&amp;IF(R33="PROHIBIDO"," · Efectivo prohibido: no lo recibas (Art. 32)","")&amp;IF(AR33=1," · ⚠ Fecha fuera de orden","")&amp;IF(LEFT(I33,1)="⚠"," · ⚠ Cliente no registrado","")&amp;IF(D33=""," · ⚠ Falta la actividad","")&amp;IF(AND(LEFT(P33,5)="AVISO",W33="")," · Captura la cifra total con IVA para el Aviso","")&amp;IF(AND(ISNUMBER(W33),W33&lt;E33)," · ⚠ La cifra con IVA es menor que el monto sin IVA",""),4,400))</f>
        <v/>
      </c>
      <c r="T33" s="21"/>
      <c r="U33" s="20"/>
      <c r="V33" s="9" t="str">
        <f aca="false">IF(LEFT(P33,5)&lt;&gt;"AVISO","",IF(T33="Presentado",IF(AND(ISNUMBER(U33),ISNUMBER(Q33),U33&gt;Q33),"Presentado tarde","Presentado"),IF(NOT(ISNUMBER(Q33)),"Falta fecha",IF(Q33&lt;CONFIG!$B$6,"VENCIDO","Vence en "&amp;(Q33-CONFIG!$B$6)&amp;" días"))))</f>
        <v/>
      </c>
      <c r="W33" s="22"/>
      <c r="X33" s="21"/>
      <c r="AA33" s="0" t="str">
        <f aca="false">IF(AM33="","",INDEX(CATÁLOGO!$D$5:$D$39,AM33))</f>
        <v/>
      </c>
      <c r="AB33" s="0" t="str">
        <f aca="false">IF(AM33="","",INDEX(CATÁLOGO!$E$5:$E$39,AM33))</f>
        <v/>
      </c>
      <c r="AC33" s="0" t="str">
        <f aca="false">IF(AB33="","",IF(ISNUMBER(AB33),AB33*AV33,AB33))</f>
        <v/>
      </c>
      <c r="AD33" s="0" t="str">
        <f aca="false">IF(AM33="","",INDEX(CATÁLOGO!$F$5:$F$39,AM33))</f>
        <v/>
      </c>
      <c r="AE33" s="0" t="str">
        <f aca="false">IF(AD33="","",IF(ISNUMBER(AD33),AD33*AV33,AD33))</f>
        <v/>
      </c>
      <c r="AF33" s="0" t="str">
        <f aca="false">IF(AM33="","",INDEX(CATÁLOGO!$G$5:$G$39,AM33))</f>
        <v/>
      </c>
      <c r="AG33" s="0" t="str">
        <f aca="false">IF(AF33="","",IF(ISNUMBER(AF33),AF33*AV33,AF33))</f>
        <v/>
      </c>
      <c r="AH33" s="0" t="str">
        <f aca="false">IF(E33="","",C33&amp;"|"&amp;D33)</f>
        <v/>
      </c>
      <c r="AI33" s="27" t="n">
        <f aca="false">IF(M33&lt;&gt;"Sí",0,SUMPRODUCT(MAX(($AH$5:AH32=AH33)*($M$5:M32="Sí")*ROW($AH$5:AH32))))</f>
        <v>0</v>
      </c>
      <c r="AJ33" s="0" t="str">
        <f aca="false">IF(M33&lt;&gt;"Sí","",IF(AL33=1,B33,INDEX($AJ:$AJ,AI33)))</f>
        <v/>
      </c>
      <c r="AK33" s="0" t="str">
        <f aca="false">IF(M33&lt;&gt;"Sí","",IF(AL33=1,E33,INDEX($AK:$AK,AI33)+E33))</f>
        <v/>
      </c>
      <c r="AL33" s="0" t="str">
        <f aca="false">IF(M33&lt;&gt;"Sí","",IF(AI33=0,1,IF(INDEX($AN:$AN,AI33)=0,1,IF(B33&gt;=EDATE(INDEX($AJ:$AJ,AI33),6),1,0))))</f>
        <v/>
      </c>
      <c r="AM33" s="0" t="str">
        <f aca="false">IF(D33="","",IFERROR(MATCH(D33,CATÁLOGO!$C$5:$C$39,0),""))</f>
        <v/>
      </c>
      <c r="AN33" s="0" t="str">
        <f aca="false">IF(M33&lt;&gt;"Sí","",IF(AND(ISNUMBER(AE33),AK33&gt;=AE33),0,1))</f>
        <v/>
      </c>
      <c r="AO33" s="0" t="str">
        <f aca="false">IF(OR(E33="",C33="",NOT(ISNUMBER(B33))),"",SUMIFS($E$6:$E$505,$C$6:$C$505,C33,$B$6:$B$505,"&gt;="&amp;DATE(YEAR(B33),MONTH(B33),1),$B$6:$B$505,"&lt;"&amp;DATE(YEAR(B33),MONTH(B33)+1,1)))</f>
        <v/>
      </c>
      <c r="AP33" s="0" t="str">
        <f aca="false">IF(C33="","",IFERROR(INDEX(CLIENTES!$M$6:$M$305,MATCH(C33,CLIENTES!$A$6:$A$305,0)),""))</f>
        <v/>
      </c>
      <c r="AQ33" s="27" t="n">
        <f aca="false">IF(AND(ISNUMBER(AO33),ISNUMBER(AP33)),IF(AND(AP33&gt;0,AO33&gt;AP33),1,0),0)</f>
        <v>0</v>
      </c>
      <c r="AR33" s="27" t="n">
        <f aca="false">IF(NOT(ISNUMBER(B33)),0,IF(B33&lt;MAX($B$5:B32),1,0))</f>
        <v>0</v>
      </c>
      <c r="AS33" s="0" t="str">
        <f aca="false">IF(C33="","",IFERROR(INDEX(CLIENTES!$H$6:$H$305,MATCH(C33,CLIENTES!$A$6:$A$305,0)),""))</f>
        <v/>
      </c>
      <c r="AT33" s="0" t="str">
        <f aca="false">IF(AND(LEFT(P33,5)="AVISO",T33&lt;&gt;"Presentado",ISNUMBER(Q33)),Q33,"")</f>
        <v/>
      </c>
      <c r="AU33" s="27" t="n">
        <f aca="false">IF(AND(D33="XVI - Activos virtuales (PSAV): operación de intercambio/transferencia",M33="Sí",ISNUMBER(AE33)),IF(AK33&gt;=AE33,1,0),0)</f>
        <v>0</v>
      </c>
      <c r="AV33" s="30" t="n">
        <f aca="false">IF(NOT(ISNUMBER(B33)),CONFIG!$B$4,IFERROR(INDEX(CONFIG!$I$5:$I$14,MATCH(IF(MONTH(B33)=1,YEAR(B33)-1,YEAR(B33)),CONFIG!$H$5:$H$14,0)),CONFIG!$B$4))</f>
        <v>117.31</v>
      </c>
      <c r="AW33" s="27" t="n">
        <f aca="false">IF(AND(LEFT(D33,4)="I - ",ISNUMBER(B33),C33&lt;&gt;""),SUMIFS($E$6:$E$505,$C$6:$C$505,C33,$D$6:$D$505,D33,$B$6:$B$505,"&gt;"&amp;(B33-1),$B$6:$B$505,"&lt;="&amp;B33),0)</f>
        <v>0</v>
      </c>
      <c r="AX33" s="0" t="str">
        <f aca="false">IF(E33="","",IF(AD33="Siempre","AVISO (siempre)",IF(AD33="No aplica","Sin Aviso (sólo preparas: Ley 17 XI)",IF(NOT(ISNUMBER(AE33)),"",IF(AA33&lt;&gt;"ACUMULA",IF(E33&gt;=AE33,IF(AND(D33="XVI - Activos virtuales (PSAV): cobro de contraprestación (comisión) por el servicio",COUNTIFS($C$6:$C$505,C33,$B$6:$B$505,"&gt;="&amp;INT(B33),$B$6:$B$505,"&lt;"&amp;(INT(B33)+1),$AU$6:$AU$505,1)&gt;0),"En el Aviso del inciso a) (R 31 Bis)","AVISO"),"—"),IF(M33&lt;&gt;"Sí","—",IF(AK33&gt;=AE33,IF(AK33=E33,"AVISO","AVISO (acumulado)"),"Acumulando")))))))</f>
        <v/>
      </c>
    </row>
    <row r="34" customFormat="false" ht="15" hidden="false" customHeight="false" outlineLevel="0" collapsed="false">
      <c r="A34" s="9" t="str">
        <f aca="false">IF(E34="","",ROW()-5)</f>
        <v/>
      </c>
      <c r="B34" s="20"/>
      <c r="C34" s="21"/>
      <c r="D34" s="21"/>
      <c r="E34" s="22"/>
      <c r="F34" s="22"/>
      <c r="G34" s="21"/>
      <c r="H34" s="21"/>
      <c r="I34" s="9" t="str">
        <f aca="false">IF(C34="","",IFERROR(INDEX(CLIENTES!$B$6:$B$305,MATCH(C34,CLIENTES!$A$6:$A$305,0)),"⚠ ID no registrado"))</f>
        <v/>
      </c>
      <c r="J34" s="9" t="str">
        <f aca="false">IF(C34="","",IFERROR(INDEX(CLIENTES!$Z$6:$Z$305,MATCH(C34,CLIENTES!$A$6:$A$305,0)),""))</f>
        <v/>
      </c>
      <c r="K34" s="9" t="str">
        <f aca="false">IF(E34="","",IF(AB34="Siempre","Sí",IF(ISNUMBER(AC34),IF(E34&gt;=AC34,"Sí",IF(AW34&gt;=AC34,"Sí (serie 24 h)","No")),"")))</f>
        <v/>
      </c>
      <c r="L34" s="9" t="str">
        <f aca="false">IF(E34="","",AA34)</f>
        <v/>
      </c>
      <c r="M34" s="9" t="str">
        <f aca="false">IF(E34="","",IF(AA34&lt;&gt;"ACUMULA","No aplica",IF(LEFT(K34,2)="Sí","Sí","No")))</f>
        <v/>
      </c>
      <c r="N34" s="23" t="str">
        <f aca="false">IF(M34="Sí",AJ34,"")</f>
        <v/>
      </c>
      <c r="O34" s="24" t="str">
        <f aca="false">IF(M34="Sí",AK34,"")</f>
        <v/>
      </c>
      <c r="P34" s="25" t="str">
        <f aca="false">IF(AND(LEFT(D34,6)="XIV - ",LEFT(AX34,5)="AVISO"),"Pedimento (R 16): no va al SPPLD",AX34)</f>
        <v/>
      </c>
      <c r="Q34" s="23" t="str">
        <f aca="false">IF(LEFT(P34,5)="AVISO",IF(ISNUMBER(B34),DATE(YEAR(B34),MONTH(B34)+1,17),"Falta fecha"),"")</f>
        <v/>
      </c>
      <c r="R34" s="9" t="str">
        <f aca="false">IF(OR(F34="",F34=0),"",IF(ISNUMBER(AG34),IF(F34&gt;=AG34,"PROHIBIDO","Dentro del límite"),"No aplica"))</f>
        <v/>
      </c>
      <c r="S34" s="26" t="str">
        <f aca="false">IF(E34="","",MID(IF(AQ34=1," · Excede el perfil declarado","")&amp;IF(H34="Sí"," · Paga un tercero","")&amp;IF(J34="Alto"," · Cliente de riesgo alto: DDR (RCG 23 Ter 3 y 4)","")&amp;IF(AND(AS34&lt;&gt;"",AS34&lt;&gt;"No",AS34&lt;&gt;0)," · PEP","")&amp;IF(R34="PROHIBIDO"," · Efectivo prohibido: no lo recibas (Art. 32)","")&amp;IF(AR34=1," · ⚠ Fecha fuera de orden","")&amp;IF(LEFT(I34,1)="⚠"," · ⚠ Cliente no registrado","")&amp;IF(D34=""," · ⚠ Falta la actividad","")&amp;IF(AND(LEFT(P34,5)="AVISO",W34="")," · Captura la cifra total con IVA para el Aviso","")&amp;IF(AND(ISNUMBER(W34),W34&lt;E34)," · ⚠ La cifra con IVA es menor que el monto sin IVA",""),4,400))</f>
        <v/>
      </c>
      <c r="T34" s="21"/>
      <c r="U34" s="20"/>
      <c r="V34" s="9" t="str">
        <f aca="false">IF(LEFT(P34,5)&lt;&gt;"AVISO","",IF(T34="Presentado",IF(AND(ISNUMBER(U34),ISNUMBER(Q34),U34&gt;Q34),"Presentado tarde","Presentado"),IF(NOT(ISNUMBER(Q34)),"Falta fecha",IF(Q34&lt;CONFIG!$B$6,"VENCIDO","Vence en "&amp;(Q34-CONFIG!$B$6)&amp;" días"))))</f>
        <v/>
      </c>
      <c r="W34" s="22"/>
      <c r="X34" s="21"/>
      <c r="AA34" s="0" t="str">
        <f aca="false">IF(AM34="","",INDEX(CATÁLOGO!$D$5:$D$39,AM34))</f>
        <v/>
      </c>
      <c r="AB34" s="0" t="str">
        <f aca="false">IF(AM34="","",INDEX(CATÁLOGO!$E$5:$E$39,AM34))</f>
        <v/>
      </c>
      <c r="AC34" s="0" t="str">
        <f aca="false">IF(AB34="","",IF(ISNUMBER(AB34),AB34*AV34,AB34))</f>
        <v/>
      </c>
      <c r="AD34" s="0" t="str">
        <f aca="false">IF(AM34="","",INDEX(CATÁLOGO!$F$5:$F$39,AM34))</f>
        <v/>
      </c>
      <c r="AE34" s="0" t="str">
        <f aca="false">IF(AD34="","",IF(ISNUMBER(AD34),AD34*AV34,AD34))</f>
        <v/>
      </c>
      <c r="AF34" s="0" t="str">
        <f aca="false">IF(AM34="","",INDEX(CATÁLOGO!$G$5:$G$39,AM34))</f>
        <v/>
      </c>
      <c r="AG34" s="0" t="str">
        <f aca="false">IF(AF34="","",IF(ISNUMBER(AF34),AF34*AV34,AF34))</f>
        <v/>
      </c>
      <c r="AH34" s="0" t="str">
        <f aca="false">IF(E34="","",C34&amp;"|"&amp;D34)</f>
        <v/>
      </c>
      <c r="AI34" s="27" t="n">
        <f aca="false">IF(M34&lt;&gt;"Sí",0,SUMPRODUCT(MAX(($AH$5:AH33=AH34)*($M$5:M33="Sí")*ROW($AH$5:AH33))))</f>
        <v>0</v>
      </c>
      <c r="AJ34" s="0" t="str">
        <f aca="false">IF(M34&lt;&gt;"Sí","",IF(AL34=1,B34,INDEX($AJ:$AJ,AI34)))</f>
        <v/>
      </c>
      <c r="AK34" s="0" t="str">
        <f aca="false">IF(M34&lt;&gt;"Sí","",IF(AL34=1,E34,INDEX($AK:$AK,AI34)+E34))</f>
        <v/>
      </c>
      <c r="AL34" s="0" t="str">
        <f aca="false">IF(M34&lt;&gt;"Sí","",IF(AI34=0,1,IF(INDEX($AN:$AN,AI34)=0,1,IF(B34&gt;=EDATE(INDEX($AJ:$AJ,AI34),6),1,0))))</f>
        <v/>
      </c>
      <c r="AM34" s="0" t="str">
        <f aca="false">IF(D34="","",IFERROR(MATCH(D34,CATÁLOGO!$C$5:$C$39,0),""))</f>
        <v/>
      </c>
      <c r="AN34" s="0" t="str">
        <f aca="false">IF(M34&lt;&gt;"Sí","",IF(AND(ISNUMBER(AE34),AK34&gt;=AE34),0,1))</f>
        <v/>
      </c>
      <c r="AO34" s="0" t="str">
        <f aca="false">IF(OR(E34="",C34="",NOT(ISNUMBER(B34))),"",SUMIFS($E$6:$E$505,$C$6:$C$505,C34,$B$6:$B$505,"&gt;="&amp;DATE(YEAR(B34),MONTH(B34),1),$B$6:$B$505,"&lt;"&amp;DATE(YEAR(B34),MONTH(B34)+1,1)))</f>
        <v/>
      </c>
      <c r="AP34" s="0" t="str">
        <f aca="false">IF(C34="","",IFERROR(INDEX(CLIENTES!$M$6:$M$305,MATCH(C34,CLIENTES!$A$6:$A$305,0)),""))</f>
        <v/>
      </c>
      <c r="AQ34" s="27" t="n">
        <f aca="false">IF(AND(ISNUMBER(AO34),ISNUMBER(AP34)),IF(AND(AP34&gt;0,AO34&gt;AP34),1,0),0)</f>
        <v>0</v>
      </c>
      <c r="AR34" s="27" t="n">
        <f aca="false">IF(NOT(ISNUMBER(B34)),0,IF(B34&lt;MAX($B$5:B33),1,0))</f>
        <v>0</v>
      </c>
      <c r="AS34" s="0" t="str">
        <f aca="false">IF(C34="","",IFERROR(INDEX(CLIENTES!$H$6:$H$305,MATCH(C34,CLIENTES!$A$6:$A$305,0)),""))</f>
        <v/>
      </c>
      <c r="AT34" s="0" t="str">
        <f aca="false">IF(AND(LEFT(P34,5)="AVISO",T34&lt;&gt;"Presentado",ISNUMBER(Q34)),Q34,"")</f>
        <v/>
      </c>
      <c r="AU34" s="27" t="n">
        <f aca="false">IF(AND(D34="XVI - Activos virtuales (PSAV): operación de intercambio/transferencia",M34="Sí",ISNUMBER(AE34)),IF(AK34&gt;=AE34,1,0),0)</f>
        <v>0</v>
      </c>
      <c r="AV34" s="30" t="n">
        <f aca="false">IF(NOT(ISNUMBER(B34)),CONFIG!$B$4,IFERROR(INDEX(CONFIG!$I$5:$I$14,MATCH(IF(MONTH(B34)=1,YEAR(B34)-1,YEAR(B34)),CONFIG!$H$5:$H$14,0)),CONFIG!$B$4))</f>
        <v>117.31</v>
      </c>
      <c r="AW34" s="27" t="n">
        <f aca="false">IF(AND(LEFT(D34,4)="I - ",ISNUMBER(B34),C34&lt;&gt;""),SUMIFS($E$6:$E$505,$C$6:$C$505,C34,$D$6:$D$505,D34,$B$6:$B$505,"&gt;"&amp;(B34-1),$B$6:$B$505,"&lt;="&amp;B34),0)</f>
        <v>0</v>
      </c>
      <c r="AX34" s="0" t="str">
        <f aca="false">IF(E34="","",IF(AD34="Siempre","AVISO (siempre)",IF(AD34="No aplica","Sin Aviso (sólo preparas: Ley 17 XI)",IF(NOT(ISNUMBER(AE34)),"",IF(AA34&lt;&gt;"ACUMULA",IF(E34&gt;=AE34,IF(AND(D34="XVI - Activos virtuales (PSAV): cobro de contraprestación (comisión) por el servicio",COUNTIFS($C$6:$C$505,C34,$B$6:$B$505,"&gt;="&amp;INT(B34),$B$6:$B$505,"&lt;"&amp;(INT(B34)+1),$AU$6:$AU$505,1)&gt;0),"En el Aviso del inciso a) (R 31 Bis)","AVISO"),"—"),IF(M34&lt;&gt;"Sí","—",IF(AK34&gt;=AE34,IF(AK34=E34,"AVISO","AVISO (acumulado)"),"Acumulando")))))))</f>
        <v/>
      </c>
    </row>
    <row r="35" customFormat="false" ht="15" hidden="false" customHeight="false" outlineLevel="0" collapsed="false">
      <c r="A35" s="9" t="str">
        <f aca="false">IF(E35="","",ROW()-5)</f>
        <v/>
      </c>
      <c r="B35" s="20"/>
      <c r="C35" s="21"/>
      <c r="D35" s="21"/>
      <c r="E35" s="22"/>
      <c r="F35" s="22"/>
      <c r="G35" s="21"/>
      <c r="H35" s="21"/>
      <c r="I35" s="9" t="str">
        <f aca="false">IF(C35="","",IFERROR(INDEX(CLIENTES!$B$6:$B$305,MATCH(C35,CLIENTES!$A$6:$A$305,0)),"⚠ ID no registrado"))</f>
        <v/>
      </c>
      <c r="J35" s="9" t="str">
        <f aca="false">IF(C35="","",IFERROR(INDEX(CLIENTES!$Z$6:$Z$305,MATCH(C35,CLIENTES!$A$6:$A$305,0)),""))</f>
        <v/>
      </c>
      <c r="K35" s="9" t="str">
        <f aca="false">IF(E35="","",IF(AB35="Siempre","Sí",IF(ISNUMBER(AC35),IF(E35&gt;=AC35,"Sí",IF(AW35&gt;=AC35,"Sí (serie 24 h)","No")),"")))</f>
        <v/>
      </c>
      <c r="L35" s="9" t="str">
        <f aca="false">IF(E35="","",AA35)</f>
        <v/>
      </c>
      <c r="M35" s="9" t="str">
        <f aca="false">IF(E35="","",IF(AA35&lt;&gt;"ACUMULA","No aplica",IF(LEFT(K35,2)="Sí","Sí","No")))</f>
        <v/>
      </c>
      <c r="N35" s="23" t="str">
        <f aca="false">IF(M35="Sí",AJ35,"")</f>
        <v/>
      </c>
      <c r="O35" s="24" t="str">
        <f aca="false">IF(M35="Sí",AK35,"")</f>
        <v/>
      </c>
      <c r="P35" s="25" t="str">
        <f aca="false">IF(AND(LEFT(D35,6)="XIV - ",LEFT(AX35,5)="AVISO"),"Pedimento (R 16): no va al SPPLD",AX35)</f>
        <v/>
      </c>
      <c r="Q35" s="23" t="str">
        <f aca="false">IF(LEFT(P35,5)="AVISO",IF(ISNUMBER(B35),DATE(YEAR(B35),MONTH(B35)+1,17),"Falta fecha"),"")</f>
        <v/>
      </c>
      <c r="R35" s="9" t="str">
        <f aca="false">IF(OR(F35="",F35=0),"",IF(ISNUMBER(AG35),IF(F35&gt;=AG35,"PROHIBIDO","Dentro del límite"),"No aplica"))</f>
        <v/>
      </c>
      <c r="S35" s="26" t="str">
        <f aca="false">IF(E35="","",MID(IF(AQ35=1," · Excede el perfil declarado","")&amp;IF(H35="Sí"," · Paga un tercero","")&amp;IF(J35="Alto"," · Cliente de riesgo alto: DDR (RCG 23 Ter 3 y 4)","")&amp;IF(AND(AS35&lt;&gt;"",AS35&lt;&gt;"No",AS35&lt;&gt;0)," · PEP","")&amp;IF(R35="PROHIBIDO"," · Efectivo prohibido: no lo recibas (Art. 32)","")&amp;IF(AR35=1," · ⚠ Fecha fuera de orden","")&amp;IF(LEFT(I35,1)="⚠"," · ⚠ Cliente no registrado","")&amp;IF(D35=""," · ⚠ Falta la actividad","")&amp;IF(AND(LEFT(P35,5)="AVISO",W35="")," · Captura la cifra total con IVA para el Aviso","")&amp;IF(AND(ISNUMBER(W35),W35&lt;E35)," · ⚠ La cifra con IVA es menor que el monto sin IVA",""),4,400))</f>
        <v/>
      </c>
      <c r="T35" s="21"/>
      <c r="U35" s="20"/>
      <c r="V35" s="9" t="str">
        <f aca="false">IF(LEFT(P35,5)&lt;&gt;"AVISO","",IF(T35="Presentado",IF(AND(ISNUMBER(U35),ISNUMBER(Q35),U35&gt;Q35),"Presentado tarde","Presentado"),IF(NOT(ISNUMBER(Q35)),"Falta fecha",IF(Q35&lt;CONFIG!$B$6,"VENCIDO","Vence en "&amp;(Q35-CONFIG!$B$6)&amp;" días"))))</f>
        <v/>
      </c>
      <c r="W35" s="22"/>
      <c r="X35" s="21"/>
      <c r="AA35" s="0" t="str">
        <f aca="false">IF(AM35="","",INDEX(CATÁLOGO!$D$5:$D$39,AM35))</f>
        <v/>
      </c>
      <c r="AB35" s="0" t="str">
        <f aca="false">IF(AM35="","",INDEX(CATÁLOGO!$E$5:$E$39,AM35))</f>
        <v/>
      </c>
      <c r="AC35" s="0" t="str">
        <f aca="false">IF(AB35="","",IF(ISNUMBER(AB35),AB35*AV35,AB35))</f>
        <v/>
      </c>
      <c r="AD35" s="0" t="str">
        <f aca="false">IF(AM35="","",INDEX(CATÁLOGO!$F$5:$F$39,AM35))</f>
        <v/>
      </c>
      <c r="AE35" s="0" t="str">
        <f aca="false">IF(AD35="","",IF(ISNUMBER(AD35),AD35*AV35,AD35))</f>
        <v/>
      </c>
      <c r="AF35" s="0" t="str">
        <f aca="false">IF(AM35="","",INDEX(CATÁLOGO!$G$5:$G$39,AM35))</f>
        <v/>
      </c>
      <c r="AG35" s="0" t="str">
        <f aca="false">IF(AF35="","",IF(ISNUMBER(AF35),AF35*AV35,AF35))</f>
        <v/>
      </c>
      <c r="AH35" s="0" t="str">
        <f aca="false">IF(E35="","",C35&amp;"|"&amp;D35)</f>
        <v/>
      </c>
      <c r="AI35" s="27" t="n">
        <f aca="false">IF(M35&lt;&gt;"Sí",0,SUMPRODUCT(MAX(($AH$5:AH34=AH35)*($M$5:M34="Sí")*ROW($AH$5:AH34))))</f>
        <v>0</v>
      </c>
      <c r="AJ35" s="0" t="str">
        <f aca="false">IF(M35&lt;&gt;"Sí","",IF(AL35=1,B35,INDEX($AJ:$AJ,AI35)))</f>
        <v/>
      </c>
      <c r="AK35" s="0" t="str">
        <f aca="false">IF(M35&lt;&gt;"Sí","",IF(AL35=1,E35,INDEX($AK:$AK,AI35)+E35))</f>
        <v/>
      </c>
      <c r="AL35" s="0" t="str">
        <f aca="false">IF(M35&lt;&gt;"Sí","",IF(AI35=0,1,IF(INDEX($AN:$AN,AI35)=0,1,IF(B35&gt;=EDATE(INDEX($AJ:$AJ,AI35),6),1,0))))</f>
        <v/>
      </c>
      <c r="AM35" s="0" t="str">
        <f aca="false">IF(D35="","",IFERROR(MATCH(D35,CATÁLOGO!$C$5:$C$39,0),""))</f>
        <v/>
      </c>
      <c r="AN35" s="0" t="str">
        <f aca="false">IF(M35&lt;&gt;"Sí","",IF(AND(ISNUMBER(AE35),AK35&gt;=AE35),0,1))</f>
        <v/>
      </c>
      <c r="AO35" s="0" t="str">
        <f aca="false">IF(OR(E35="",C35="",NOT(ISNUMBER(B35))),"",SUMIFS($E$6:$E$505,$C$6:$C$505,C35,$B$6:$B$505,"&gt;="&amp;DATE(YEAR(B35),MONTH(B35),1),$B$6:$B$505,"&lt;"&amp;DATE(YEAR(B35),MONTH(B35)+1,1)))</f>
        <v/>
      </c>
      <c r="AP35" s="0" t="str">
        <f aca="false">IF(C35="","",IFERROR(INDEX(CLIENTES!$M$6:$M$305,MATCH(C35,CLIENTES!$A$6:$A$305,0)),""))</f>
        <v/>
      </c>
      <c r="AQ35" s="27" t="n">
        <f aca="false">IF(AND(ISNUMBER(AO35),ISNUMBER(AP35)),IF(AND(AP35&gt;0,AO35&gt;AP35),1,0),0)</f>
        <v>0</v>
      </c>
      <c r="AR35" s="27" t="n">
        <f aca="false">IF(NOT(ISNUMBER(B35)),0,IF(B35&lt;MAX($B$5:B34),1,0))</f>
        <v>0</v>
      </c>
      <c r="AS35" s="0" t="str">
        <f aca="false">IF(C35="","",IFERROR(INDEX(CLIENTES!$H$6:$H$305,MATCH(C35,CLIENTES!$A$6:$A$305,0)),""))</f>
        <v/>
      </c>
      <c r="AT35" s="0" t="str">
        <f aca="false">IF(AND(LEFT(P35,5)="AVISO",T35&lt;&gt;"Presentado",ISNUMBER(Q35)),Q35,"")</f>
        <v/>
      </c>
      <c r="AU35" s="27" t="n">
        <f aca="false">IF(AND(D35="XVI - Activos virtuales (PSAV): operación de intercambio/transferencia",M35="Sí",ISNUMBER(AE35)),IF(AK35&gt;=AE35,1,0),0)</f>
        <v>0</v>
      </c>
      <c r="AV35" s="30" t="n">
        <f aca="false">IF(NOT(ISNUMBER(B35)),CONFIG!$B$4,IFERROR(INDEX(CONFIG!$I$5:$I$14,MATCH(IF(MONTH(B35)=1,YEAR(B35)-1,YEAR(B35)),CONFIG!$H$5:$H$14,0)),CONFIG!$B$4))</f>
        <v>117.31</v>
      </c>
      <c r="AW35" s="27" t="n">
        <f aca="false">IF(AND(LEFT(D35,4)="I - ",ISNUMBER(B35),C35&lt;&gt;""),SUMIFS($E$6:$E$505,$C$6:$C$505,C35,$D$6:$D$505,D35,$B$6:$B$505,"&gt;"&amp;(B35-1),$B$6:$B$505,"&lt;="&amp;B35),0)</f>
        <v>0</v>
      </c>
      <c r="AX35" s="0" t="str">
        <f aca="false">IF(E35="","",IF(AD35="Siempre","AVISO (siempre)",IF(AD35="No aplica","Sin Aviso (sólo preparas: Ley 17 XI)",IF(NOT(ISNUMBER(AE35)),"",IF(AA35&lt;&gt;"ACUMULA",IF(E35&gt;=AE35,IF(AND(D35="XVI - Activos virtuales (PSAV): cobro de contraprestación (comisión) por el servicio",COUNTIFS($C$6:$C$505,C35,$B$6:$B$505,"&gt;="&amp;INT(B35),$B$6:$B$505,"&lt;"&amp;(INT(B35)+1),$AU$6:$AU$505,1)&gt;0),"En el Aviso del inciso a) (R 31 Bis)","AVISO"),"—"),IF(M35&lt;&gt;"Sí","—",IF(AK35&gt;=AE35,IF(AK35=E35,"AVISO","AVISO (acumulado)"),"Acumulando")))))))</f>
        <v/>
      </c>
    </row>
    <row r="36" customFormat="false" ht="15" hidden="false" customHeight="false" outlineLevel="0" collapsed="false">
      <c r="A36" s="9" t="str">
        <f aca="false">IF(E36="","",ROW()-5)</f>
        <v/>
      </c>
      <c r="B36" s="20"/>
      <c r="C36" s="21"/>
      <c r="D36" s="21"/>
      <c r="E36" s="22"/>
      <c r="F36" s="22"/>
      <c r="G36" s="21"/>
      <c r="H36" s="21"/>
      <c r="I36" s="9" t="str">
        <f aca="false">IF(C36="","",IFERROR(INDEX(CLIENTES!$B$6:$B$305,MATCH(C36,CLIENTES!$A$6:$A$305,0)),"⚠ ID no registrado"))</f>
        <v/>
      </c>
      <c r="J36" s="9" t="str">
        <f aca="false">IF(C36="","",IFERROR(INDEX(CLIENTES!$Z$6:$Z$305,MATCH(C36,CLIENTES!$A$6:$A$305,0)),""))</f>
        <v/>
      </c>
      <c r="K36" s="9" t="str">
        <f aca="false">IF(E36="","",IF(AB36="Siempre","Sí",IF(ISNUMBER(AC36),IF(E36&gt;=AC36,"Sí",IF(AW36&gt;=AC36,"Sí (serie 24 h)","No")),"")))</f>
        <v/>
      </c>
      <c r="L36" s="9" t="str">
        <f aca="false">IF(E36="","",AA36)</f>
        <v/>
      </c>
      <c r="M36" s="9" t="str">
        <f aca="false">IF(E36="","",IF(AA36&lt;&gt;"ACUMULA","No aplica",IF(LEFT(K36,2)="Sí","Sí","No")))</f>
        <v/>
      </c>
      <c r="N36" s="23" t="str">
        <f aca="false">IF(M36="Sí",AJ36,"")</f>
        <v/>
      </c>
      <c r="O36" s="24" t="str">
        <f aca="false">IF(M36="Sí",AK36,"")</f>
        <v/>
      </c>
      <c r="P36" s="25" t="str">
        <f aca="false">IF(AND(LEFT(D36,6)="XIV - ",LEFT(AX36,5)="AVISO"),"Pedimento (R 16): no va al SPPLD",AX36)</f>
        <v/>
      </c>
      <c r="Q36" s="23" t="str">
        <f aca="false">IF(LEFT(P36,5)="AVISO",IF(ISNUMBER(B36),DATE(YEAR(B36),MONTH(B36)+1,17),"Falta fecha"),"")</f>
        <v/>
      </c>
      <c r="R36" s="9" t="str">
        <f aca="false">IF(OR(F36="",F36=0),"",IF(ISNUMBER(AG36),IF(F36&gt;=AG36,"PROHIBIDO","Dentro del límite"),"No aplica"))</f>
        <v/>
      </c>
      <c r="S36" s="26" t="str">
        <f aca="false">IF(E36="","",MID(IF(AQ36=1," · Excede el perfil declarado","")&amp;IF(H36="Sí"," · Paga un tercero","")&amp;IF(J36="Alto"," · Cliente de riesgo alto: DDR (RCG 23 Ter 3 y 4)","")&amp;IF(AND(AS36&lt;&gt;"",AS36&lt;&gt;"No",AS36&lt;&gt;0)," · PEP","")&amp;IF(R36="PROHIBIDO"," · Efectivo prohibido: no lo recibas (Art. 32)","")&amp;IF(AR36=1," · ⚠ Fecha fuera de orden","")&amp;IF(LEFT(I36,1)="⚠"," · ⚠ Cliente no registrado","")&amp;IF(D36=""," · ⚠ Falta la actividad","")&amp;IF(AND(LEFT(P36,5)="AVISO",W36="")," · Captura la cifra total con IVA para el Aviso","")&amp;IF(AND(ISNUMBER(W36),W36&lt;E36)," · ⚠ La cifra con IVA es menor que el monto sin IVA",""),4,400))</f>
        <v/>
      </c>
      <c r="T36" s="21"/>
      <c r="U36" s="20"/>
      <c r="V36" s="9" t="str">
        <f aca="false">IF(LEFT(P36,5)&lt;&gt;"AVISO","",IF(T36="Presentado",IF(AND(ISNUMBER(U36),ISNUMBER(Q36),U36&gt;Q36),"Presentado tarde","Presentado"),IF(NOT(ISNUMBER(Q36)),"Falta fecha",IF(Q36&lt;CONFIG!$B$6,"VENCIDO","Vence en "&amp;(Q36-CONFIG!$B$6)&amp;" días"))))</f>
        <v/>
      </c>
      <c r="W36" s="22"/>
      <c r="X36" s="21"/>
      <c r="AA36" s="0" t="str">
        <f aca="false">IF(AM36="","",INDEX(CATÁLOGO!$D$5:$D$39,AM36))</f>
        <v/>
      </c>
      <c r="AB36" s="0" t="str">
        <f aca="false">IF(AM36="","",INDEX(CATÁLOGO!$E$5:$E$39,AM36))</f>
        <v/>
      </c>
      <c r="AC36" s="0" t="str">
        <f aca="false">IF(AB36="","",IF(ISNUMBER(AB36),AB36*AV36,AB36))</f>
        <v/>
      </c>
      <c r="AD36" s="0" t="str">
        <f aca="false">IF(AM36="","",INDEX(CATÁLOGO!$F$5:$F$39,AM36))</f>
        <v/>
      </c>
      <c r="AE36" s="0" t="str">
        <f aca="false">IF(AD36="","",IF(ISNUMBER(AD36),AD36*AV36,AD36))</f>
        <v/>
      </c>
      <c r="AF36" s="0" t="str">
        <f aca="false">IF(AM36="","",INDEX(CATÁLOGO!$G$5:$G$39,AM36))</f>
        <v/>
      </c>
      <c r="AG36" s="0" t="str">
        <f aca="false">IF(AF36="","",IF(ISNUMBER(AF36),AF36*AV36,AF36))</f>
        <v/>
      </c>
      <c r="AH36" s="0" t="str">
        <f aca="false">IF(E36="","",C36&amp;"|"&amp;D36)</f>
        <v/>
      </c>
      <c r="AI36" s="27" t="n">
        <f aca="false">IF(M36&lt;&gt;"Sí",0,SUMPRODUCT(MAX(($AH$5:AH35=AH36)*($M$5:M35="Sí")*ROW($AH$5:AH35))))</f>
        <v>0</v>
      </c>
      <c r="AJ36" s="0" t="str">
        <f aca="false">IF(M36&lt;&gt;"Sí","",IF(AL36=1,B36,INDEX($AJ:$AJ,AI36)))</f>
        <v/>
      </c>
      <c r="AK36" s="0" t="str">
        <f aca="false">IF(M36&lt;&gt;"Sí","",IF(AL36=1,E36,INDEX($AK:$AK,AI36)+E36))</f>
        <v/>
      </c>
      <c r="AL36" s="0" t="str">
        <f aca="false">IF(M36&lt;&gt;"Sí","",IF(AI36=0,1,IF(INDEX($AN:$AN,AI36)=0,1,IF(B36&gt;=EDATE(INDEX($AJ:$AJ,AI36),6),1,0))))</f>
        <v/>
      </c>
      <c r="AM36" s="0" t="str">
        <f aca="false">IF(D36="","",IFERROR(MATCH(D36,CATÁLOGO!$C$5:$C$39,0),""))</f>
        <v/>
      </c>
      <c r="AN36" s="0" t="str">
        <f aca="false">IF(M36&lt;&gt;"Sí","",IF(AND(ISNUMBER(AE36),AK36&gt;=AE36),0,1))</f>
        <v/>
      </c>
      <c r="AO36" s="0" t="str">
        <f aca="false">IF(OR(E36="",C36="",NOT(ISNUMBER(B36))),"",SUMIFS($E$6:$E$505,$C$6:$C$505,C36,$B$6:$B$505,"&gt;="&amp;DATE(YEAR(B36),MONTH(B36),1),$B$6:$B$505,"&lt;"&amp;DATE(YEAR(B36),MONTH(B36)+1,1)))</f>
        <v/>
      </c>
      <c r="AP36" s="0" t="str">
        <f aca="false">IF(C36="","",IFERROR(INDEX(CLIENTES!$M$6:$M$305,MATCH(C36,CLIENTES!$A$6:$A$305,0)),""))</f>
        <v/>
      </c>
      <c r="AQ36" s="27" t="n">
        <f aca="false">IF(AND(ISNUMBER(AO36),ISNUMBER(AP36)),IF(AND(AP36&gt;0,AO36&gt;AP36),1,0),0)</f>
        <v>0</v>
      </c>
      <c r="AR36" s="27" t="n">
        <f aca="false">IF(NOT(ISNUMBER(B36)),0,IF(B36&lt;MAX($B$5:B35),1,0))</f>
        <v>0</v>
      </c>
      <c r="AS36" s="0" t="str">
        <f aca="false">IF(C36="","",IFERROR(INDEX(CLIENTES!$H$6:$H$305,MATCH(C36,CLIENTES!$A$6:$A$305,0)),""))</f>
        <v/>
      </c>
      <c r="AT36" s="0" t="str">
        <f aca="false">IF(AND(LEFT(P36,5)="AVISO",T36&lt;&gt;"Presentado",ISNUMBER(Q36)),Q36,"")</f>
        <v/>
      </c>
      <c r="AU36" s="27" t="n">
        <f aca="false">IF(AND(D36="XVI - Activos virtuales (PSAV): operación de intercambio/transferencia",M36="Sí",ISNUMBER(AE36)),IF(AK36&gt;=AE36,1,0),0)</f>
        <v>0</v>
      </c>
      <c r="AV36" s="30" t="n">
        <f aca="false">IF(NOT(ISNUMBER(B36)),CONFIG!$B$4,IFERROR(INDEX(CONFIG!$I$5:$I$14,MATCH(IF(MONTH(B36)=1,YEAR(B36)-1,YEAR(B36)),CONFIG!$H$5:$H$14,0)),CONFIG!$B$4))</f>
        <v>117.31</v>
      </c>
      <c r="AW36" s="27" t="n">
        <f aca="false">IF(AND(LEFT(D36,4)="I - ",ISNUMBER(B36),C36&lt;&gt;""),SUMIFS($E$6:$E$505,$C$6:$C$505,C36,$D$6:$D$505,D36,$B$6:$B$505,"&gt;"&amp;(B36-1),$B$6:$B$505,"&lt;="&amp;B36),0)</f>
        <v>0</v>
      </c>
      <c r="AX36" s="0" t="str">
        <f aca="false">IF(E36="","",IF(AD36="Siempre","AVISO (siempre)",IF(AD36="No aplica","Sin Aviso (sólo preparas: Ley 17 XI)",IF(NOT(ISNUMBER(AE36)),"",IF(AA36&lt;&gt;"ACUMULA",IF(E36&gt;=AE36,IF(AND(D36="XVI - Activos virtuales (PSAV): cobro de contraprestación (comisión) por el servicio",COUNTIFS($C$6:$C$505,C36,$B$6:$B$505,"&gt;="&amp;INT(B36),$B$6:$B$505,"&lt;"&amp;(INT(B36)+1),$AU$6:$AU$505,1)&gt;0),"En el Aviso del inciso a) (R 31 Bis)","AVISO"),"—"),IF(M36&lt;&gt;"Sí","—",IF(AK36&gt;=AE36,IF(AK36=E36,"AVISO","AVISO (acumulado)"),"Acumulando")))))))</f>
        <v/>
      </c>
    </row>
    <row r="37" customFormat="false" ht="15" hidden="false" customHeight="false" outlineLevel="0" collapsed="false">
      <c r="A37" s="9" t="str">
        <f aca="false">IF(E37="","",ROW()-5)</f>
        <v/>
      </c>
      <c r="B37" s="20"/>
      <c r="C37" s="21"/>
      <c r="D37" s="21"/>
      <c r="E37" s="22"/>
      <c r="F37" s="22"/>
      <c r="G37" s="21"/>
      <c r="H37" s="21"/>
      <c r="I37" s="9" t="str">
        <f aca="false">IF(C37="","",IFERROR(INDEX(CLIENTES!$B$6:$B$305,MATCH(C37,CLIENTES!$A$6:$A$305,0)),"⚠ ID no registrado"))</f>
        <v/>
      </c>
      <c r="J37" s="9" t="str">
        <f aca="false">IF(C37="","",IFERROR(INDEX(CLIENTES!$Z$6:$Z$305,MATCH(C37,CLIENTES!$A$6:$A$305,0)),""))</f>
        <v/>
      </c>
      <c r="K37" s="9" t="str">
        <f aca="false">IF(E37="","",IF(AB37="Siempre","Sí",IF(ISNUMBER(AC37),IF(E37&gt;=AC37,"Sí",IF(AW37&gt;=AC37,"Sí (serie 24 h)","No")),"")))</f>
        <v/>
      </c>
      <c r="L37" s="9" t="str">
        <f aca="false">IF(E37="","",AA37)</f>
        <v/>
      </c>
      <c r="M37" s="9" t="str">
        <f aca="false">IF(E37="","",IF(AA37&lt;&gt;"ACUMULA","No aplica",IF(LEFT(K37,2)="Sí","Sí","No")))</f>
        <v/>
      </c>
      <c r="N37" s="23" t="str">
        <f aca="false">IF(M37="Sí",AJ37,"")</f>
        <v/>
      </c>
      <c r="O37" s="24" t="str">
        <f aca="false">IF(M37="Sí",AK37,"")</f>
        <v/>
      </c>
      <c r="P37" s="25" t="str">
        <f aca="false">IF(AND(LEFT(D37,6)="XIV - ",LEFT(AX37,5)="AVISO"),"Pedimento (R 16): no va al SPPLD",AX37)</f>
        <v/>
      </c>
      <c r="Q37" s="23" t="str">
        <f aca="false">IF(LEFT(P37,5)="AVISO",IF(ISNUMBER(B37),DATE(YEAR(B37),MONTH(B37)+1,17),"Falta fecha"),"")</f>
        <v/>
      </c>
      <c r="R37" s="9" t="str">
        <f aca="false">IF(OR(F37="",F37=0),"",IF(ISNUMBER(AG37),IF(F37&gt;=AG37,"PROHIBIDO","Dentro del límite"),"No aplica"))</f>
        <v/>
      </c>
      <c r="S37" s="26" t="str">
        <f aca="false">IF(E37="","",MID(IF(AQ37=1," · Excede el perfil declarado","")&amp;IF(H37="Sí"," · Paga un tercero","")&amp;IF(J37="Alto"," · Cliente de riesgo alto: DDR (RCG 23 Ter 3 y 4)","")&amp;IF(AND(AS37&lt;&gt;"",AS37&lt;&gt;"No",AS37&lt;&gt;0)," · PEP","")&amp;IF(R37="PROHIBIDO"," · Efectivo prohibido: no lo recibas (Art. 32)","")&amp;IF(AR37=1," · ⚠ Fecha fuera de orden","")&amp;IF(LEFT(I37,1)="⚠"," · ⚠ Cliente no registrado","")&amp;IF(D37=""," · ⚠ Falta la actividad","")&amp;IF(AND(LEFT(P37,5)="AVISO",W37="")," · Captura la cifra total con IVA para el Aviso","")&amp;IF(AND(ISNUMBER(W37),W37&lt;E37)," · ⚠ La cifra con IVA es menor que el monto sin IVA",""),4,400))</f>
        <v/>
      </c>
      <c r="T37" s="21"/>
      <c r="U37" s="20"/>
      <c r="V37" s="9" t="str">
        <f aca="false">IF(LEFT(P37,5)&lt;&gt;"AVISO","",IF(T37="Presentado",IF(AND(ISNUMBER(U37),ISNUMBER(Q37),U37&gt;Q37),"Presentado tarde","Presentado"),IF(NOT(ISNUMBER(Q37)),"Falta fecha",IF(Q37&lt;CONFIG!$B$6,"VENCIDO","Vence en "&amp;(Q37-CONFIG!$B$6)&amp;" días"))))</f>
        <v/>
      </c>
      <c r="W37" s="22"/>
      <c r="X37" s="21"/>
      <c r="AA37" s="0" t="str">
        <f aca="false">IF(AM37="","",INDEX(CATÁLOGO!$D$5:$D$39,AM37))</f>
        <v/>
      </c>
      <c r="AB37" s="0" t="str">
        <f aca="false">IF(AM37="","",INDEX(CATÁLOGO!$E$5:$E$39,AM37))</f>
        <v/>
      </c>
      <c r="AC37" s="0" t="str">
        <f aca="false">IF(AB37="","",IF(ISNUMBER(AB37),AB37*AV37,AB37))</f>
        <v/>
      </c>
      <c r="AD37" s="0" t="str">
        <f aca="false">IF(AM37="","",INDEX(CATÁLOGO!$F$5:$F$39,AM37))</f>
        <v/>
      </c>
      <c r="AE37" s="0" t="str">
        <f aca="false">IF(AD37="","",IF(ISNUMBER(AD37),AD37*AV37,AD37))</f>
        <v/>
      </c>
      <c r="AF37" s="0" t="str">
        <f aca="false">IF(AM37="","",INDEX(CATÁLOGO!$G$5:$G$39,AM37))</f>
        <v/>
      </c>
      <c r="AG37" s="0" t="str">
        <f aca="false">IF(AF37="","",IF(ISNUMBER(AF37),AF37*AV37,AF37))</f>
        <v/>
      </c>
      <c r="AH37" s="0" t="str">
        <f aca="false">IF(E37="","",C37&amp;"|"&amp;D37)</f>
        <v/>
      </c>
      <c r="AI37" s="27" t="n">
        <f aca="false">IF(M37&lt;&gt;"Sí",0,SUMPRODUCT(MAX(($AH$5:AH36=AH37)*($M$5:M36="Sí")*ROW($AH$5:AH36))))</f>
        <v>0</v>
      </c>
      <c r="AJ37" s="0" t="str">
        <f aca="false">IF(M37&lt;&gt;"Sí","",IF(AL37=1,B37,INDEX($AJ:$AJ,AI37)))</f>
        <v/>
      </c>
      <c r="AK37" s="0" t="str">
        <f aca="false">IF(M37&lt;&gt;"Sí","",IF(AL37=1,E37,INDEX($AK:$AK,AI37)+E37))</f>
        <v/>
      </c>
      <c r="AL37" s="0" t="str">
        <f aca="false">IF(M37&lt;&gt;"Sí","",IF(AI37=0,1,IF(INDEX($AN:$AN,AI37)=0,1,IF(B37&gt;=EDATE(INDEX($AJ:$AJ,AI37),6),1,0))))</f>
        <v/>
      </c>
      <c r="AM37" s="0" t="str">
        <f aca="false">IF(D37="","",IFERROR(MATCH(D37,CATÁLOGO!$C$5:$C$39,0),""))</f>
        <v/>
      </c>
      <c r="AN37" s="0" t="str">
        <f aca="false">IF(M37&lt;&gt;"Sí","",IF(AND(ISNUMBER(AE37),AK37&gt;=AE37),0,1))</f>
        <v/>
      </c>
      <c r="AO37" s="0" t="str">
        <f aca="false">IF(OR(E37="",C37="",NOT(ISNUMBER(B37))),"",SUMIFS($E$6:$E$505,$C$6:$C$505,C37,$B$6:$B$505,"&gt;="&amp;DATE(YEAR(B37),MONTH(B37),1),$B$6:$B$505,"&lt;"&amp;DATE(YEAR(B37),MONTH(B37)+1,1)))</f>
        <v/>
      </c>
      <c r="AP37" s="0" t="str">
        <f aca="false">IF(C37="","",IFERROR(INDEX(CLIENTES!$M$6:$M$305,MATCH(C37,CLIENTES!$A$6:$A$305,0)),""))</f>
        <v/>
      </c>
      <c r="AQ37" s="27" t="n">
        <f aca="false">IF(AND(ISNUMBER(AO37),ISNUMBER(AP37)),IF(AND(AP37&gt;0,AO37&gt;AP37),1,0),0)</f>
        <v>0</v>
      </c>
      <c r="AR37" s="27" t="n">
        <f aca="false">IF(NOT(ISNUMBER(B37)),0,IF(B37&lt;MAX($B$5:B36),1,0))</f>
        <v>0</v>
      </c>
      <c r="AS37" s="0" t="str">
        <f aca="false">IF(C37="","",IFERROR(INDEX(CLIENTES!$H$6:$H$305,MATCH(C37,CLIENTES!$A$6:$A$305,0)),""))</f>
        <v/>
      </c>
      <c r="AT37" s="0" t="str">
        <f aca="false">IF(AND(LEFT(P37,5)="AVISO",T37&lt;&gt;"Presentado",ISNUMBER(Q37)),Q37,"")</f>
        <v/>
      </c>
      <c r="AU37" s="27" t="n">
        <f aca="false">IF(AND(D37="XVI - Activos virtuales (PSAV): operación de intercambio/transferencia",M37="Sí",ISNUMBER(AE37)),IF(AK37&gt;=AE37,1,0),0)</f>
        <v>0</v>
      </c>
      <c r="AV37" s="30" t="n">
        <f aca="false">IF(NOT(ISNUMBER(B37)),CONFIG!$B$4,IFERROR(INDEX(CONFIG!$I$5:$I$14,MATCH(IF(MONTH(B37)=1,YEAR(B37)-1,YEAR(B37)),CONFIG!$H$5:$H$14,0)),CONFIG!$B$4))</f>
        <v>117.31</v>
      </c>
      <c r="AW37" s="27" t="n">
        <f aca="false">IF(AND(LEFT(D37,4)="I - ",ISNUMBER(B37),C37&lt;&gt;""),SUMIFS($E$6:$E$505,$C$6:$C$505,C37,$D$6:$D$505,D37,$B$6:$B$505,"&gt;"&amp;(B37-1),$B$6:$B$505,"&lt;="&amp;B37),0)</f>
        <v>0</v>
      </c>
      <c r="AX37" s="0" t="str">
        <f aca="false">IF(E37="","",IF(AD37="Siempre","AVISO (siempre)",IF(AD37="No aplica","Sin Aviso (sólo preparas: Ley 17 XI)",IF(NOT(ISNUMBER(AE37)),"",IF(AA37&lt;&gt;"ACUMULA",IF(E37&gt;=AE37,IF(AND(D37="XVI - Activos virtuales (PSAV): cobro de contraprestación (comisión) por el servicio",COUNTIFS($C$6:$C$505,C37,$B$6:$B$505,"&gt;="&amp;INT(B37),$B$6:$B$505,"&lt;"&amp;(INT(B37)+1),$AU$6:$AU$505,1)&gt;0),"En el Aviso del inciso a) (R 31 Bis)","AVISO"),"—"),IF(M37&lt;&gt;"Sí","—",IF(AK37&gt;=AE37,IF(AK37=E37,"AVISO","AVISO (acumulado)"),"Acumulando")))))))</f>
        <v/>
      </c>
    </row>
    <row r="38" customFormat="false" ht="15" hidden="false" customHeight="false" outlineLevel="0" collapsed="false">
      <c r="A38" s="9" t="str">
        <f aca="false">IF(E38="","",ROW()-5)</f>
        <v/>
      </c>
      <c r="B38" s="20"/>
      <c r="C38" s="21"/>
      <c r="D38" s="21"/>
      <c r="E38" s="22"/>
      <c r="F38" s="22"/>
      <c r="G38" s="21"/>
      <c r="H38" s="21"/>
      <c r="I38" s="9" t="str">
        <f aca="false">IF(C38="","",IFERROR(INDEX(CLIENTES!$B$6:$B$305,MATCH(C38,CLIENTES!$A$6:$A$305,0)),"⚠ ID no registrado"))</f>
        <v/>
      </c>
      <c r="J38" s="9" t="str">
        <f aca="false">IF(C38="","",IFERROR(INDEX(CLIENTES!$Z$6:$Z$305,MATCH(C38,CLIENTES!$A$6:$A$305,0)),""))</f>
        <v/>
      </c>
      <c r="K38" s="9" t="str">
        <f aca="false">IF(E38="","",IF(AB38="Siempre","Sí",IF(ISNUMBER(AC38),IF(E38&gt;=AC38,"Sí",IF(AW38&gt;=AC38,"Sí (serie 24 h)","No")),"")))</f>
        <v/>
      </c>
      <c r="L38" s="9" t="str">
        <f aca="false">IF(E38="","",AA38)</f>
        <v/>
      </c>
      <c r="M38" s="9" t="str">
        <f aca="false">IF(E38="","",IF(AA38&lt;&gt;"ACUMULA","No aplica",IF(LEFT(K38,2)="Sí","Sí","No")))</f>
        <v/>
      </c>
      <c r="N38" s="23" t="str">
        <f aca="false">IF(M38="Sí",AJ38,"")</f>
        <v/>
      </c>
      <c r="O38" s="24" t="str">
        <f aca="false">IF(M38="Sí",AK38,"")</f>
        <v/>
      </c>
      <c r="P38" s="25" t="str">
        <f aca="false">IF(AND(LEFT(D38,6)="XIV - ",LEFT(AX38,5)="AVISO"),"Pedimento (R 16): no va al SPPLD",AX38)</f>
        <v/>
      </c>
      <c r="Q38" s="23" t="str">
        <f aca="false">IF(LEFT(P38,5)="AVISO",IF(ISNUMBER(B38),DATE(YEAR(B38),MONTH(B38)+1,17),"Falta fecha"),"")</f>
        <v/>
      </c>
      <c r="R38" s="9" t="str">
        <f aca="false">IF(OR(F38="",F38=0),"",IF(ISNUMBER(AG38),IF(F38&gt;=AG38,"PROHIBIDO","Dentro del límite"),"No aplica"))</f>
        <v/>
      </c>
      <c r="S38" s="26" t="str">
        <f aca="false">IF(E38="","",MID(IF(AQ38=1," · Excede el perfil declarado","")&amp;IF(H38="Sí"," · Paga un tercero","")&amp;IF(J38="Alto"," · Cliente de riesgo alto: DDR (RCG 23 Ter 3 y 4)","")&amp;IF(AND(AS38&lt;&gt;"",AS38&lt;&gt;"No",AS38&lt;&gt;0)," · PEP","")&amp;IF(R38="PROHIBIDO"," · Efectivo prohibido: no lo recibas (Art. 32)","")&amp;IF(AR38=1," · ⚠ Fecha fuera de orden","")&amp;IF(LEFT(I38,1)="⚠"," · ⚠ Cliente no registrado","")&amp;IF(D38=""," · ⚠ Falta la actividad","")&amp;IF(AND(LEFT(P38,5)="AVISO",W38="")," · Captura la cifra total con IVA para el Aviso","")&amp;IF(AND(ISNUMBER(W38),W38&lt;E38)," · ⚠ La cifra con IVA es menor que el monto sin IVA",""),4,400))</f>
        <v/>
      </c>
      <c r="T38" s="21"/>
      <c r="U38" s="20"/>
      <c r="V38" s="9" t="str">
        <f aca="false">IF(LEFT(P38,5)&lt;&gt;"AVISO","",IF(T38="Presentado",IF(AND(ISNUMBER(U38),ISNUMBER(Q38),U38&gt;Q38),"Presentado tarde","Presentado"),IF(NOT(ISNUMBER(Q38)),"Falta fecha",IF(Q38&lt;CONFIG!$B$6,"VENCIDO","Vence en "&amp;(Q38-CONFIG!$B$6)&amp;" días"))))</f>
        <v/>
      </c>
      <c r="W38" s="22"/>
      <c r="X38" s="21"/>
      <c r="AA38" s="0" t="str">
        <f aca="false">IF(AM38="","",INDEX(CATÁLOGO!$D$5:$D$39,AM38))</f>
        <v/>
      </c>
      <c r="AB38" s="0" t="str">
        <f aca="false">IF(AM38="","",INDEX(CATÁLOGO!$E$5:$E$39,AM38))</f>
        <v/>
      </c>
      <c r="AC38" s="0" t="str">
        <f aca="false">IF(AB38="","",IF(ISNUMBER(AB38),AB38*AV38,AB38))</f>
        <v/>
      </c>
      <c r="AD38" s="0" t="str">
        <f aca="false">IF(AM38="","",INDEX(CATÁLOGO!$F$5:$F$39,AM38))</f>
        <v/>
      </c>
      <c r="AE38" s="0" t="str">
        <f aca="false">IF(AD38="","",IF(ISNUMBER(AD38),AD38*AV38,AD38))</f>
        <v/>
      </c>
      <c r="AF38" s="0" t="str">
        <f aca="false">IF(AM38="","",INDEX(CATÁLOGO!$G$5:$G$39,AM38))</f>
        <v/>
      </c>
      <c r="AG38" s="0" t="str">
        <f aca="false">IF(AF38="","",IF(ISNUMBER(AF38),AF38*AV38,AF38))</f>
        <v/>
      </c>
      <c r="AH38" s="0" t="str">
        <f aca="false">IF(E38="","",C38&amp;"|"&amp;D38)</f>
        <v/>
      </c>
      <c r="AI38" s="27" t="n">
        <f aca="false">IF(M38&lt;&gt;"Sí",0,SUMPRODUCT(MAX(($AH$5:AH37=AH38)*($M$5:M37="Sí")*ROW($AH$5:AH37))))</f>
        <v>0</v>
      </c>
      <c r="AJ38" s="0" t="str">
        <f aca="false">IF(M38&lt;&gt;"Sí","",IF(AL38=1,B38,INDEX($AJ:$AJ,AI38)))</f>
        <v/>
      </c>
      <c r="AK38" s="0" t="str">
        <f aca="false">IF(M38&lt;&gt;"Sí","",IF(AL38=1,E38,INDEX($AK:$AK,AI38)+E38))</f>
        <v/>
      </c>
      <c r="AL38" s="0" t="str">
        <f aca="false">IF(M38&lt;&gt;"Sí","",IF(AI38=0,1,IF(INDEX($AN:$AN,AI38)=0,1,IF(B38&gt;=EDATE(INDEX($AJ:$AJ,AI38),6),1,0))))</f>
        <v/>
      </c>
      <c r="AM38" s="0" t="str">
        <f aca="false">IF(D38="","",IFERROR(MATCH(D38,CATÁLOGO!$C$5:$C$39,0),""))</f>
        <v/>
      </c>
      <c r="AN38" s="0" t="str">
        <f aca="false">IF(M38&lt;&gt;"Sí","",IF(AND(ISNUMBER(AE38),AK38&gt;=AE38),0,1))</f>
        <v/>
      </c>
      <c r="AO38" s="0" t="str">
        <f aca="false">IF(OR(E38="",C38="",NOT(ISNUMBER(B38))),"",SUMIFS($E$6:$E$505,$C$6:$C$505,C38,$B$6:$B$505,"&gt;="&amp;DATE(YEAR(B38),MONTH(B38),1),$B$6:$B$505,"&lt;"&amp;DATE(YEAR(B38),MONTH(B38)+1,1)))</f>
        <v/>
      </c>
      <c r="AP38" s="0" t="str">
        <f aca="false">IF(C38="","",IFERROR(INDEX(CLIENTES!$M$6:$M$305,MATCH(C38,CLIENTES!$A$6:$A$305,0)),""))</f>
        <v/>
      </c>
      <c r="AQ38" s="27" t="n">
        <f aca="false">IF(AND(ISNUMBER(AO38),ISNUMBER(AP38)),IF(AND(AP38&gt;0,AO38&gt;AP38),1,0),0)</f>
        <v>0</v>
      </c>
      <c r="AR38" s="27" t="n">
        <f aca="false">IF(NOT(ISNUMBER(B38)),0,IF(B38&lt;MAX($B$5:B37),1,0))</f>
        <v>0</v>
      </c>
      <c r="AS38" s="0" t="str">
        <f aca="false">IF(C38="","",IFERROR(INDEX(CLIENTES!$H$6:$H$305,MATCH(C38,CLIENTES!$A$6:$A$305,0)),""))</f>
        <v/>
      </c>
      <c r="AT38" s="0" t="str">
        <f aca="false">IF(AND(LEFT(P38,5)="AVISO",T38&lt;&gt;"Presentado",ISNUMBER(Q38)),Q38,"")</f>
        <v/>
      </c>
      <c r="AU38" s="27" t="n">
        <f aca="false">IF(AND(D38="XVI - Activos virtuales (PSAV): operación de intercambio/transferencia",M38="Sí",ISNUMBER(AE38)),IF(AK38&gt;=AE38,1,0),0)</f>
        <v>0</v>
      </c>
      <c r="AV38" s="30" t="n">
        <f aca="false">IF(NOT(ISNUMBER(B38)),CONFIG!$B$4,IFERROR(INDEX(CONFIG!$I$5:$I$14,MATCH(IF(MONTH(B38)=1,YEAR(B38)-1,YEAR(B38)),CONFIG!$H$5:$H$14,0)),CONFIG!$B$4))</f>
        <v>117.31</v>
      </c>
      <c r="AW38" s="27" t="n">
        <f aca="false">IF(AND(LEFT(D38,4)="I - ",ISNUMBER(B38),C38&lt;&gt;""),SUMIFS($E$6:$E$505,$C$6:$C$505,C38,$D$6:$D$505,D38,$B$6:$B$505,"&gt;"&amp;(B38-1),$B$6:$B$505,"&lt;="&amp;B38),0)</f>
        <v>0</v>
      </c>
      <c r="AX38" s="0" t="str">
        <f aca="false">IF(E38="","",IF(AD38="Siempre","AVISO (siempre)",IF(AD38="No aplica","Sin Aviso (sólo preparas: Ley 17 XI)",IF(NOT(ISNUMBER(AE38)),"",IF(AA38&lt;&gt;"ACUMULA",IF(E38&gt;=AE38,IF(AND(D38="XVI - Activos virtuales (PSAV): cobro de contraprestación (comisión) por el servicio",COUNTIFS($C$6:$C$505,C38,$B$6:$B$505,"&gt;="&amp;INT(B38),$B$6:$B$505,"&lt;"&amp;(INT(B38)+1),$AU$6:$AU$505,1)&gt;0),"En el Aviso del inciso a) (R 31 Bis)","AVISO"),"—"),IF(M38&lt;&gt;"Sí","—",IF(AK38&gt;=AE38,IF(AK38=E38,"AVISO","AVISO (acumulado)"),"Acumulando")))))))</f>
        <v/>
      </c>
    </row>
    <row r="39" customFormat="false" ht="15" hidden="false" customHeight="false" outlineLevel="0" collapsed="false">
      <c r="A39" s="9" t="str">
        <f aca="false">IF(E39="","",ROW()-5)</f>
        <v/>
      </c>
      <c r="B39" s="20"/>
      <c r="C39" s="21"/>
      <c r="D39" s="21"/>
      <c r="E39" s="22"/>
      <c r="F39" s="22"/>
      <c r="G39" s="21"/>
      <c r="H39" s="21"/>
      <c r="I39" s="9" t="str">
        <f aca="false">IF(C39="","",IFERROR(INDEX(CLIENTES!$B$6:$B$305,MATCH(C39,CLIENTES!$A$6:$A$305,0)),"⚠ ID no registrado"))</f>
        <v/>
      </c>
      <c r="J39" s="9" t="str">
        <f aca="false">IF(C39="","",IFERROR(INDEX(CLIENTES!$Z$6:$Z$305,MATCH(C39,CLIENTES!$A$6:$A$305,0)),""))</f>
        <v/>
      </c>
      <c r="K39" s="9" t="str">
        <f aca="false">IF(E39="","",IF(AB39="Siempre","Sí",IF(ISNUMBER(AC39),IF(E39&gt;=AC39,"Sí",IF(AW39&gt;=AC39,"Sí (serie 24 h)","No")),"")))</f>
        <v/>
      </c>
      <c r="L39" s="9" t="str">
        <f aca="false">IF(E39="","",AA39)</f>
        <v/>
      </c>
      <c r="M39" s="9" t="str">
        <f aca="false">IF(E39="","",IF(AA39&lt;&gt;"ACUMULA","No aplica",IF(LEFT(K39,2)="Sí","Sí","No")))</f>
        <v/>
      </c>
      <c r="N39" s="23" t="str">
        <f aca="false">IF(M39="Sí",AJ39,"")</f>
        <v/>
      </c>
      <c r="O39" s="24" t="str">
        <f aca="false">IF(M39="Sí",AK39,"")</f>
        <v/>
      </c>
      <c r="P39" s="25" t="str">
        <f aca="false">IF(AND(LEFT(D39,6)="XIV - ",LEFT(AX39,5)="AVISO"),"Pedimento (R 16): no va al SPPLD",AX39)</f>
        <v/>
      </c>
      <c r="Q39" s="23" t="str">
        <f aca="false">IF(LEFT(P39,5)="AVISO",IF(ISNUMBER(B39),DATE(YEAR(B39),MONTH(B39)+1,17),"Falta fecha"),"")</f>
        <v/>
      </c>
      <c r="R39" s="9" t="str">
        <f aca="false">IF(OR(F39="",F39=0),"",IF(ISNUMBER(AG39),IF(F39&gt;=AG39,"PROHIBIDO","Dentro del límite"),"No aplica"))</f>
        <v/>
      </c>
      <c r="S39" s="26" t="str">
        <f aca="false">IF(E39="","",MID(IF(AQ39=1," · Excede el perfil declarado","")&amp;IF(H39="Sí"," · Paga un tercero","")&amp;IF(J39="Alto"," · Cliente de riesgo alto: DDR (RCG 23 Ter 3 y 4)","")&amp;IF(AND(AS39&lt;&gt;"",AS39&lt;&gt;"No",AS39&lt;&gt;0)," · PEP","")&amp;IF(R39="PROHIBIDO"," · Efectivo prohibido: no lo recibas (Art. 32)","")&amp;IF(AR39=1," · ⚠ Fecha fuera de orden","")&amp;IF(LEFT(I39,1)="⚠"," · ⚠ Cliente no registrado","")&amp;IF(D39=""," · ⚠ Falta la actividad","")&amp;IF(AND(LEFT(P39,5)="AVISO",W39="")," · Captura la cifra total con IVA para el Aviso","")&amp;IF(AND(ISNUMBER(W39),W39&lt;E39)," · ⚠ La cifra con IVA es menor que el monto sin IVA",""),4,400))</f>
        <v/>
      </c>
      <c r="T39" s="21"/>
      <c r="U39" s="20"/>
      <c r="V39" s="9" t="str">
        <f aca="false">IF(LEFT(P39,5)&lt;&gt;"AVISO","",IF(T39="Presentado",IF(AND(ISNUMBER(U39),ISNUMBER(Q39),U39&gt;Q39),"Presentado tarde","Presentado"),IF(NOT(ISNUMBER(Q39)),"Falta fecha",IF(Q39&lt;CONFIG!$B$6,"VENCIDO","Vence en "&amp;(Q39-CONFIG!$B$6)&amp;" días"))))</f>
        <v/>
      </c>
      <c r="W39" s="22"/>
      <c r="X39" s="21"/>
      <c r="AA39" s="0" t="str">
        <f aca="false">IF(AM39="","",INDEX(CATÁLOGO!$D$5:$D$39,AM39))</f>
        <v/>
      </c>
      <c r="AB39" s="0" t="str">
        <f aca="false">IF(AM39="","",INDEX(CATÁLOGO!$E$5:$E$39,AM39))</f>
        <v/>
      </c>
      <c r="AC39" s="0" t="str">
        <f aca="false">IF(AB39="","",IF(ISNUMBER(AB39),AB39*AV39,AB39))</f>
        <v/>
      </c>
      <c r="AD39" s="0" t="str">
        <f aca="false">IF(AM39="","",INDEX(CATÁLOGO!$F$5:$F$39,AM39))</f>
        <v/>
      </c>
      <c r="AE39" s="0" t="str">
        <f aca="false">IF(AD39="","",IF(ISNUMBER(AD39),AD39*AV39,AD39))</f>
        <v/>
      </c>
      <c r="AF39" s="0" t="str">
        <f aca="false">IF(AM39="","",INDEX(CATÁLOGO!$G$5:$G$39,AM39))</f>
        <v/>
      </c>
      <c r="AG39" s="0" t="str">
        <f aca="false">IF(AF39="","",IF(ISNUMBER(AF39),AF39*AV39,AF39))</f>
        <v/>
      </c>
      <c r="AH39" s="0" t="str">
        <f aca="false">IF(E39="","",C39&amp;"|"&amp;D39)</f>
        <v/>
      </c>
      <c r="AI39" s="27" t="n">
        <f aca="false">IF(M39&lt;&gt;"Sí",0,SUMPRODUCT(MAX(($AH$5:AH38=AH39)*($M$5:M38="Sí")*ROW($AH$5:AH38))))</f>
        <v>0</v>
      </c>
      <c r="AJ39" s="0" t="str">
        <f aca="false">IF(M39&lt;&gt;"Sí","",IF(AL39=1,B39,INDEX($AJ:$AJ,AI39)))</f>
        <v/>
      </c>
      <c r="AK39" s="0" t="str">
        <f aca="false">IF(M39&lt;&gt;"Sí","",IF(AL39=1,E39,INDEX($AK:$AK,AI39)+E39))</f>
        <v/>
      </c>
      <c r="AL39" s="0" t="str">
        <f aca="false">IF(M39&lt;&gt;"Sí","",IF(AI39=0,1,IF(INDEX($AN:$AN,AI39)=0,1,IF(B39&gt;=EDATE(INDEX($AJ:$AJ,AI39),6),1,0))))</f>
        <v/>
      </c>
      <c r="AM39" s="0" t="str">
        <f aca="false">IF(D39="","",IFERROR(MATCH(D39,CATÁLOGO!$C$5:$C$39,0),""))</f>
        <v/>
      </c>
      <c r="AN39" s="0" t="str">
        <f aca="false">IF(M39&lt;&gt;"Sí","",IF(AND(ISNUMBER(AE39),AK39&gt;=AE39),0,1))</f>
        <v/>
      </c>
      <c r="AO39" s="0" t="str">
        <f aca="false">IF(OR(E39="",C39="",NOT(ISNUMBER(B39))),"",SUMIFS($E$6:$E$505,$C$6:$C$505,C39,$B$6:$B$505,"&gt;="&amp;DATE(YEAR(B39),MONTH(B39),1),$B$6:$B$505,"&lt;"&amp;DATE(YEAR(B39),MONTH(B39)+1,1)))</f>
        <v/>
      </c>
      <c r="AP39" s="0" t="str">
        <f aca="false">IF(C39="","",IFERROR(INDEX(CLIENTES!$M$6:$M$305,MATCH(C39,CLIENTES!$A$6:$A$305,0)),""))</f>
        <v/>
      </c>
      <c r="AQ39" s="27" t="n">
        <f aca="false">IF(AND(ISNUMBER(AO39),ISNUMBER(AP39)),IF(AND(AP39&gt;0,AO39&gt;AP39),1,0),0)</f>
        <v>0</v>
      </c>
      <c r="AR39" s="27" t="n">
        <f aca="false">IF(NOT(ISNUMBER(B39)),0,IF(B39&lt;MAX($B$5:B38),1,0))</f>
        <v>0</v>
      </c>
      <c r="AS39" s="0" t="str">
        <f aca="false">IF(C39="","",IFERROR(INDEX(CLIENTES!$H$6:$H$305,MATCH(C39,CLIENTES!$A$6:$A$305,0)),""))</f>
        <v/>
      </c>
      <c r="AT39" s="0" t="str">
        <f aca="false">IF(AND(LEFT(P39,5)="AVISO",T39&lt;&gt;"Presentado",ISNUMBER(Q39)),Q39,"")</f>
        <v/>
      </c>
      <c r="AU39" s="27" t="n">
        <f aca="false">IF(AND(D39="XVI - Activos virtuales (PSAV): operación de intercambio/transferencia",M39="Sí",ISNUMBER(AE39)),IF(AK39&gt;=AE39,1,0),0)</f>
        <v>0</v>
      </c>
      <c r="AV39" s="30" t="n">
        <f aca="false">IF(NOT(ISNUMBER(B39)),CONFIG!$B$4,IFERROR(INDEX(CONFIG!$I$5:$I$14,MATCH(IF(MONTH(B39)=1,YEAR(B39)-1,YEAR(B39)),CONFIG!$H$5:$H$14,0)),CONFIG!$B$4))</f>
        <v>117.31</v>
      </c>
      <c r="AW39" s="27" t="n">
        <f aca="false">IF(AND(LEFT(D39,4)="I - ",ISNUMBER(B39),C39&lt;&gt;""),SUMIFS($E$6:$E$505,$C$6:$C$505,C39,$D$6:$D$505,D39,$B$6:$B$505,"&gt;"&amp;(B39-1),$B$6:$B$505,"&lt;="&amp;B39),0)</f>
        <v>0</v>
      </c>
      <c r="AX39" s="0" t="str">
        <f aca="false">IF(E39="","",IF(AD39="Siempre","AVISO (siempre)",IF(AD39="No aplica","Sin Aviso (sólo preparas: Ley 17 XI)",IF(NOT(ISNUMBER(AE39)),"",IF(AA39&lt;&gt;"ACUMULA",IF(E39&gt;=AE39,IF(AND(D39="XVI - Activos virtuales (PSAV): cobro de contraprestación (comisión) por el servicio",COUNTIFS($C$6:$C$505,C39,$B$6:$B$505,"&gt;="&amp;INT(B39),$B$6:$B$505,"&lt;"&amp;(INT(B39)+1),$AU$6:$AU$505,1)&gt;0),"En el Aviso del inciso a) (R 31 Bis)","AVISO"),"—"),IF(M39&lt;&gt;"Sí","—",IF(AK39&gt;=AE39,IF(AK39=E39,"AVISO","AVISO (acumulado)"),"Acumulando")))))))</f>
        <v/>
      </c>
    </row>
    <row r="40" customFormat="false" ht="15" hidden="false" customHeight="false" outlineLevel="0" collapsed="false">
      <c r="A40" s="9" t="str">
        <f aca="false">IF(E40="","",ROW()-5)</f>
        <v/>
      </c>
      <c r="B40" s="20"/>
      <c r="C40" s="21"/>
      <c r="D40" s="21"/>
      <c r="E40" s="22"/>
      <c r="F40" s="22"/>
      <c r="G40" s="21"/>
      <c r="H40" s="21"/>
      <c r="I40" s="9" t="str">
        <f aca="false">IF(C40="","",IFERROR(INDEX(CLIENTES!$B$6:$B$305,MATCH(C40,CLIENTES!$A$6:$A$305,0)),"⚠ ID no registrado"))</f>
        <v/>
      </c>
      <c r="J40" s="9" t="str">
        <f aca="false">IF(C40="","",IFERROR(INDEX(CLIENTES!$Z$6:$Z$305,MATCH(C40,CLIENTES!$A$6:$A$305,0)),""))</f>
        <v/>
      </c>
      <c r="K40" s="9" t="str">
        <f aca="false">IF(E40="","",IF(AB40="Siempre","Sí",IF(ISNUMBER(AC40),IF(E40&gt;=AC40,"Sí",IF(AW40&gt;=AC40,"Sí (serie 24 h)","No")),"")))</f>
        <v/>
      </c>
      <c r="L40" s="9" t="str">
        <f aca="false">IF(E40="","",AA40)</f>
        <v/>
      </c>
      <c r="M40" s="9" t="str">
        <f aca="false">IF(E40="","",IF(AA40&lt;&gt;"ACUMULA","No aplica",IF(LEFT(K40,2)="Sí","Sí","No")))</f>
        <v/>
      </c>
      <c r="N40" s="23" t="str">
        <f aca="false">IF(M40="Sí",AJ40,"")</f>
        <v/>
      </c>
      <c r="O40" s="24" t="str">
        <f aca="false">IF(M40="Sí",AK40,"")</f>
        <v/>
      </c>
      <c r="P40" s="25" t="str">
        <f aca="false">IF(AND(LEFT(D40,6)="XIV - ",LEFT(AX40,5)="AVISO"),"Pedimento (R 16): no va al SPPLD",AX40)</f>
        <v/>
      </c>
      <c r="Q40" s="23" t="str">
        <f aca="false">IF(LEFT(P40,5)="AVISO",IF(ISNUMBER(B40),DATE(YEAR(B40),MONTH(B40)+1,17),"Falta fecha"),"")</f>
        <v/>
      </c>
      <c r="R40" s="9" t="str">
        <f aca="false">IF(OR(F40="",F40=0),"",IF(ISNUMBER(AG40),IF(F40&gt;=AG40,"PROHIBIDO","Dentro del límite"),"No aplica"))</f>
        <v/>
      </c>
      <c r="S40" s="26" t="str">
        <f aca="false">IF(E40="","",MID(IF(AQ40=1," · Excede el perfil declarado","")&amp;IF(H40="Sí"," · Paga un tercero","")&amp;IF(J40="Alto"," · Cliente de riesgo alto: DDR (RCG 23 Ter 3 y 4)","")&amp;IF(AND(AS40&lt;&gt;"",AS40&lt;&gt;"No",AS40&lt;&gt;0)," · PEP","")&amp;IF(R40="PROHIBIDO"," · Efectivo prohibido: no lo recibas (Art. 32)","")&amp;IF(AR40=1," · ⚠ Fecha fuera de orden","")&amp;IF(LEFT(I40,1)="⚠"," · ⚠ Cliente no registrado","")&amp;IF(D40=""," · ⚠ Falta la actividad","")&amp;IF(AND(LEFT(P40,5)="AVISO",W40="")," · Captura la cifra total con IVA para el Aviso","")&amp;IF(AND(ISNUMBER(W40),W40&lt;E40)," · ⚠ La cifra con IVA es menor que el monto sin IVA",""),4,400))</f>
        <v/>
      </c>
      <c r="T40" s="21"/>
      <c r="U40" s="20"/>
      <c r="V40" s="9" t="str">
        <f aca="false">IF(LEFT(P40,5)&lt;&gt;"AVISO","",IF(T40="Presentado",IF(AND(ISNUMBER(U40),ISNUMBER(Q40),U40&gt;Q40),"Presentado tarde","Presentado"),IF(NOT(ISNUMBER(Q40)),"Falta fecha",IF(Q40&lt;CONFIG!$B$6,"VENCIDO","Vence en "&amp;(Q40-CONFIG!$B$6)&amp;" días"))))</f>
        <v/>
      </c>
      <c r="W40" s="22"/>
      <c r="X40" s="21"/>
      <c r="AA40" s="0" t="str">
        <f aca="false">IF(AM40="","",INDEX(CATÁLOGO!$D$5:$D$39,AM40))</f>
        <v/>
      </c>
      <c r="AB40" s="0" t="str">
        <f aca="false">IF(AM40="","",INDEX(CATÁLOGO!$E$5:$E$39,AM40))</f>
        <v/>
      </c>
      <c r="AC40" s="0" t="str">
        <f aca="false">IF(AB40="","",IF(ISNUMBER(AB40),AB40*AV40,AB40))</f>
        <v/>
      </c>
      <c r="AD40" s="0" t="str">
        <f aca="false">IF(AM40="","",INDEX(CATÁLOGO!$F$5:$F$39,AM40))</f>
        <v/>
      </c>
      <c r="AE40" s="0" t="str">
        <f aca="false">IF(AD40="","",IF(ISNUMBER(AD40),AD40*AV40,AD40))</f>
        <v/>
      </c>
      <c r="AF40" s="0" t="str">
        <f aca="false">IF(AM40="","",INDEX(CATÁLOGO!$G$5:$G$39,AM40))</f>
        <v/>
      </c>
      <c r="AG40" s="0" t="str">
        <f aca="false">IF(AF40="","",IF(ISNUMBER(AF40),AF40*AV40,AF40))</f>
        <v/>
      </c>
      <c r="AH40" s="0" t="str">
        <f aca="false">IF(E40="","",C40&amp;"|"&amp;D40)</f>
        <v/>
      </c>
      <c r="AI40" s="27" t="n">
        <f aca="false">IF(M40&lt;&gt;"Sí",0,SUMPRODUCT(MAX(($AH$5:AH39=AH40)*($M$5:M39="Sí")*ROW($AH$5:AH39))))</f>
        <v>0</v>
      </c>
      <c r="AJ40" s="0" t="str">
        <f aca="false">IF(M40&lt;&gt;"Sí","",IF(AL40=1,B40,INDEX($AJ:$AJ,AI40)))</f>
        <v/>
      </c>
      <c r="AK40" s="0" t="str">
        <f aca="false">IF(M40&lt;&gt;"Sí","",IF(AL40=1,E40,INDEX($AK:$AK,AI40)+E40))</f>
        <v/>
      </c>
      <c r="AL40" s="0" t="str">
        <f aca="false">IF(M40&lt;&gt;"Sí","",IF(AI40=0,1,IF(INDEX($AN:$AN,AI40)=0,1,IF(B40&gt;=EDATE(INDEX($AJ:$AJ,AI40),6),1,0))))</f>
        <v/>
      </c>
      <c r="AM40" s="0" t="str">
        <f aca="false">IF(D40="","",IFERROR(MATCH(D40,CATÁLOGO!$C$5:$C$39,0),""))</f>
        <v/>
      </c>
      <c r="AN40" s="0" t="str">
        <f aca="false">IF(M40&lt;&gt;"Sí","",IF(AND(ISNUMBER(AE40),AK40&gt;=AE40),0,1))</f>
        <v/>
      </c>
      <c r="AO40" s="0" t="str">
        <f aca="false">IF(OR(E40="",C40="",NOT(ISNUMBER(B40))),"",SUMIFS($E$6:$E$505,$C$6:$C$505,C40,$B$6:$B$505,"&gt;="&amp;DATE(YEAR(B40),MONTH(B40),1),$B$6:$B$505,"&lt;"&amp;DATE(YEAR(B40),MONTH(B40)+1,1)))</f>
        <v/>
      </c>
      <c r="AP40" s="0" t="str">
        <f aca="false">IF(C40="","",IFERROR(INDEX(CLIENTES!$M$6:$M$305,MATCH(C40,CLIENTES!$A$6:$A$305,0)),""))</f>
        <v/>
      </c>
      <c r="AQ40" s="27" t="n">
        <f aca="false">IF(AND(ISNUMBER(AO40),ISNUMBER(AP40)),IF(AND(AP40&gt;0,AO40&gt;AP40),1,0),0)</f>
        <v>0</v>
      </c>
      <c r="AR40" s="27" t="n">
        <f aca="false">IF(NOT(ISNUMBER(B40)),0,IF(B40&lt;MAX($B$5:B39),1,0))</f>
        <v>0</v>
      </c>
      <c r="AS40" s="0" t="str">
        <f aca="false">IF(C40="","",IFERROR(INDEX(CLIENTES!$H$6:$H$305,MATCH(C40,CLIENTES!$A$6:$A$305,0)),""))</f>
        <v/>
      </c>
      <c r="AT40" s="0" t="str">
        <f aca="false">IF(AND(LEFT(P40,5)="AVISO",T40&lt;&gt;"Presentado",ISNUMBER(Q40)),Q40,"")</f>
        <v/>
      </c>
      <c r="AU40" s="27" t="n">
        <f aca="false">IF(AND(D40="XVI - Activos virtuales (PSAV): operación de intercambio/transferencia",M40="Sí",ISNUMBER(AE40)),IF(AK40&gt;=AE40,1,0),0)</f>
        <v>0</v>
      </c>
      <c r="AV40" s="30" t="n">
        <f aca="false">IF(NOT(ISNUMBER(B40)),CONFIG!$B$4,IFERROR(INDEX(CONFIG!$I$5:$I$14,MATCH(IF(MONTH(B40)=1,YEAR(B40)-1,YEAR(B40)),CONFIG!$H$5:$H$14,0)),CONFIG!$B$4))</f>
        <v>117.31</v>
      </c>
      <c r="AW40" s="27" t="n">
        <f aca="false">IF(AND(LEFT(D40,4)="I - ",ISNUMBER(B40),C40&lt;&gt;""),SUMIFS($E$6:$E$505,$C$6:$C$505,C40,$D$6:$D$505,D40,$B$6:$B$505,"&gt;"&amp;(B40-1),$B$6:$B$505,"&lt;="&amp;B40),0)</f>
        <v>0</v>
      </c>
      <c r="AX40" s="0" t="str">
        <f aca="false">IF(E40="","",IF(AD40="Siempre","AVISO (siempre)",IF(AD40="No aplica","Sin Aviso (sólo preparas: Ley 17 XI)",IF(NOT(ISNUMBER(AE40)),"",IF(AA40&lt;&gt;"ACUMULA",IF(E40&gt;=AE40,IF(AND(D40="XVI - Activos virtuales (PSAV): cobro de contraprestación (comisión) por el servicio",COUNTIFS($C$6:$C$505,C40,$B$6:$B$505,"&gt;="&amp;INT(B40),$B$6:$B$505,"&lt;"&amp;(INT(B40)+1),$AU$6:$AU$505,1)&gt;0),"En el Aviso del inciso a) (R 31 Bis)","AVISO"),"—"),IF(M40&lt;&gt;"Sí","—",IF(AK40&gt;=AE40,IF(AK40=E40,"AVISO","AVISO (acumulado)"),"Acumulando")))))))</f>
        <v/>
      </c>
    </row>
    <row r="41" customFormat="false" ht="15" hidden="false" customHeight="false" outlineLevel="0" collapsed="false">
      <c r="A41" s="9" t="str">
        <f aca="false">IF(E41="","",ROW()-5)</f>
        <v/>
      </c>
      <c r="B41" s="20"/>
      <c r="C41" s="21"/>
      <c r="D41" s="21"/>
      <c r="E41" s="22"/>
      <c r="F41" s="22"/>
      <c r="G41" s="21"/>
      <c r="H41" s="21"/>
      <c r="I41" s="9" t="str">
        <f aca="false">IF(C41="","",IFERROR(INDEX(CLIENTES!$B$6:$B$305,MATCH(C41,CLIENTES!$A$6:$A$305,0)),"⚠ ID no registrado"))</f>
        <v/>
      </c>
      <c r="J41" s="9" t="str">
        <f aca="false">IF(C41="","",IFERROR(INDEX(CLIENTES!$Z$6:$Z$305,MATCH(C41,CLIENTES!$A$6:$A$305,0)),""))</f>
        <v/>
      </c>
      <c r="K41" s="9" t="str">
        <f aca="false">IF(E41="","",IF(AB41="Siempre","Sí",IF(ISNUMBER(AC41),IF(E41&gt;=AC41,"Sí",IF(AW41&gt;=AC41,"Sí (serie 24 h)","No")),"")))</f>
        <v/>
      </c>
      <c r="L41" s="9" t="str">
        <f aca="false">IF(E41="","",AA41)</f>
        <v/>
      </c>
      <c r="M41" s="9" t="str">
        <f aca="false">IF(E41="","",IF(AA41&lt;&gt;"ACUMULA","No aplica",IF(LEFT(K41,2)="Sí","Sí","No")))</f>
        <v/>
      </c>
      <c r="N41" s="23" t="str">
        <f aca="false">IF(M41="Sí",AJ41,"")</f>
        <v/>
      </c>
      <c r="O41" s="24" t="str">
        <f aca="false">IF(M41="Sí",AK41,"")</f>
        <v/>
      </c>
      <c r="P41" s="25" t="str">
        <f aca="false">IF(AND(LEFT(D41,6)="XIV - ",LEFT(AX41,5)="AVISO"),"Pedimento (R 16): no va al SPPLD",AX41)</f>
        <v/>
      </c>
      <c r="Q41" s="23" t="str">
        <f aca="false">IF(LEFT(P41,5)="AVISO",IF(ISNUMBER(B41),DATE(YEAR(B41),MONTH(B41)+1,17),"Falta fecha"),"")</f>
        <v/>
      </c>
      <c r="R41" s="9" t="str">
        <f aca="false">IF(OR(F41="",F41=0),"",IF(ISNUMBER(AG41),IF(F41&gt;=AG41,"PROHIBIDO","Dentro del límite"),"No aplica"))</f>
        <v/>
      </c>
      <c r="S41" s="26" t="str">
        <f aca="false">IF(E41="","",MID(IF(AQ41=1," · Excede el perfil declarado","")&amp;IF(H41="Sí"," · Paga un tercero","")&amp;IF(J41="Alto"," · Cliente de riesgo alto: DDR (RCG 23 Ter 3 y 4)","")&amp;IF(AND(AS41&lt;&gt;"",AS41&lt;&gt;"No",AS41&lt;&gt;0)," · PEP","")&amp;IF(R41="PROHIBIDO"," · Efectivo prohibido: no lo recibas (Art. 32)","")&amp;IF(AR41=1," · ⚠ Fecha fuera de orden","")&amp;IF(LEFT(I41,1)="⚠"," · ⚠ Cliente no registrado","")&amp;IF(D41=""," · ⚠ Falta la actividad","")&amp;IF(AND(LEFT(P41,5)="AVISO",W41="")," · Captura la cifra total con IVA para el Aviso","")&amp;IF(AND(ISNUMBER(W41),W41&lt;E41)," · ⚠ La cifra con IVA es menor que el monto sin IVA",""),4,400))</f>
        <v/>
      </c>
      <c r="T41" s="21"/>
      <c r="U41" s="20"/>
      <c r="V41" s="9" t="str">
        <f aca="false">IF(LEFT(P41,5)&lt;&gt;"AVISO","",IF(T41="Presentado",IF(AND(ISNUMBER(U41),ISNUMBER(Q41),U41&gt;Q41),"Presentado tarde","Presentado"),IF(NOT(ISNUMBER(Q41)),"Falta fecha",IF(Q41&lt;CONFIG!$B$6,"VENCIDO","Vence en "&amp;(Q41-CONFIG!$B$6)&amp;" días"))))</f>
        <v/>
      </c>
      <c r="W41" s="22"/>
      <c r="X41" s="21"/>
      <c r="AA41" s="0" t="str">
        <f aca="false">IF(AM41="","",INDEX(CATÁLOGO!$D$5:$D$39,AM41))</f>
        <v/>
      </c>
      <c r="AB41" s="0" t="str">
        <f aca="false">IF(AM41="","",INDEX(CATÁLOGO!$E$5:$E$39,AM41))</f>
        <v/>
      </c>
      <c r="AC41" s="0" t="str">
        <f aca="false">IF(AB41="","",IF(ISNUMBER(AB41),AB41*AV41,AB41))</f>
        <v/>
      </c>
      <c r="AD41" s="0" t="str">
        <f aca="false">IF(AM41="","",INDEX(CATÁLOGO!$F$5:$F$39,AM41))</f>
        <v/>
      </c>
      <c r="AE41" s="0" t="str">
        <f aca="false">IF(AD41="","",IF(ISNUMBER(AD41),AD41*AV41,AD41))</f>
        <v/>
      </c>
      <c r="AF41" s="0" t="str">
        <f aca="false">IF(AM41="","",INDEX(CATÁLOGO!$G$5:$G$39,AM41))</f>
        <v/>
      </c>
      <c r="AG41" s="0" t="str">
        <f aca="false">IF(AF41="","",IF(ISNUMBER(AF41),AF41*AV41,AF41))</f>
        <v/>
      </c>
      <c r="AH41" s="0" t="str">
        <f aca="false">IF(E41="","",C41&amp;"|"&amp;D41)</f>
        <v/>
      </c>
      <c r="AI41" s="27" t="n">
        <f aca="false">IF(M41&lt;&gt;"Sí",0,SUMPRODUCT(MAX(($AH$5:AH40=AH41)*($M$5:M40="Sí")*ROW($AH$5:AH40))))</f>
        <v>0</v>
      </c>
      <c r="AJ41" s="0" t="str">
        <f aca="false">IF(M41&lt;&gt;"Sí","",IF(AL41=1,B41,INDEX($AJ:$AJ,AI41)))</f>
        <v/>
      </c>
      <c r="AK41" s="0" t="str">
        <f aca="false">IF(M41&lt;&gt;"Sí","",IF(AL41=1,E41,INDEX($AK:$AK,AI41)+E41))</f>
        <v/>
      </c>
      <c r="AL41" s="0" t="str">
        <f aca="false">IF(M41&lt;&gt;"Sí","",IF(AI41=0,1,IF(INDEX($AN:$AN,AI41)=0,1,IF(B41&gt;=EDATE(INDEX($AJ:$AJ,AI41),6),1,0))))</f>
        <v/>
      </c>
      <c r="AM41" s="0" t="str">
        <f aca="false">IF(D41="","",IFERROR(MATCH(D41,CATÁLOGO!$C$5:$C$39,0),""))</f>
        <v/>
      </c>
      <c r="AN41" s="0" t="str">
        <f aca="false">IF(M41&lt;&gt;"Sí","",IF(AND(ISNUMBER(AE41),AK41&gt;=AE41),0,1))</f>
        <v/>
      </c>
      <c r="AO41" s="0" t="str">
        <f aca="false">IF(OR(E41="",C41="",NOT(ISNUMBER(B41))),"",SUMIFS($E$6:$E$505,$C$6:$C$505,C41,$B$6:$B$505,"&gt;="&amp;DATE(YEAR(B41),MONTH(B41),1),$B$6:$B$505,"&lt;"&amp;DATE(YEAR(B41),MONTH(B41)+1,1)))</f>
        <v/>
      </c>
      <c r="AP41" s="0" t="str">
        <f aca="false">IF(C41="","",IFERROR(INDEX(CLIENTES!$M$6:$M$305,MATCH(C41,CLIENTES!$A$6:$A$305,0)),""))</f>
        <v/>
      </c>
      <c r="AQ41" s="27" t="n">
        <f aca="false">IF(AND(ISNUMBER(AO41),ISNUMBER(AP41)),IF(AND(AP41&gt;0,AO41&gt;AP41),1,0),0)</f>
        <v>0</v>
      </c>
      <c r="AR41" s="27" t="n">
        <f aca="false">IF(NOT(ISNUMBER(B41)),0,IF(B41&lt;MAX($B$5:B40),1,0))</f>
        <v>0</v>
      </c>
      <c r="AS41" s="0" t="str">
        <f aca="false">IF(C41="","",IFERROR(INDEX(CLIENTES!$H$6:$H$305,MATCH(C41,CLIENTES!$A$6:$A$305,0)),""))</f>
        <v/>
      </c>
      <c r="AT41" s="0" t="str">
        <f aca="false">IF(AND(LEFT(P41,5)="AVISO",T41&lt;&gt;"Presentado",ISNUMBER(Q41)),Q41,"")</f>
        <v/>
      </c>
      <c r="AU41" s="27" t="n">
        <f aca="false">IF(AND(D41="XVI - Activos virtuales (PSAV): operación de intercambio/transferencia",M41="Sí",ISNUMBER(AE41)),IF(AK41&gt;=AE41,1,0),0)</f>
        <v>0</v>
      </c>
      <c r="AV41" s="30" t="n">
        <f aca="false">IF(NOT(ISNUMBER(B41)),CONFIG!$B$4,IFERROR(INDEX(CONFIG!$I$5:$I$14,MATCH(IF(MONTH(B41)=1,YEAR(B41)-1,YEAR(B41)),CONFIG!$H$5:$H$14,0)),CONFIG!$B$4))</f>
        <v>117.31</v>
      </c>
      <c r="AW41" s="27" t="n">
        <f aca="false">IF(AND(LEFT(D41,4)="I - ",ISNUMBER(B41),C41&lt;&gt;""),SUMIFS($E$6:$E$505,$C$6:$C$505,C41,$D$6:$D$505,D41,$B$6:$B$505,"&gt;"&amp;(B41-1),$B$6:$B$505,"&lt;="&amp;B41),0)</f>
        <v>0</v>
      </c>
      <c r="AX41" s="0" t="str">
        <f aca="false">IF(E41="","",IF(AD41="Siempre","AVISO (siempre)",IF(AD41="No aplica","Sin Aviso (sólo preparas: Ley 17 XI)",IF(NOT(ISNUMBER(AE41)),"",IF(AA41&lt;&gt;"ACUMULA",IF(E41&gt;=AE41,IF(AND(D41="XVI - Activos virtuales (PSAV): cobro de contraprestación (comisión) por el servicio",COUNTIFS($C$6:$C$505,C41,$B$6:$B$505,"&gt;="&amp;INT(B41),$B$6:$B$505,"&lt;"&amp;(INT(B41)+1),$AU$6:$AU$505,1)&gt;0),"En el Aviso del inciso a) (R 31 Bis)","AVISO"),"—"),IF(M41&lt;&gt;"Sí","—",IF(AK41&gt;=AE41,IF(AK41=E41,"AVISO","AVISO (acumulado)"),"Acumulando")))))))</f>
        <v/>
      </c>
    </row>
    <row r="42" customFormat="false" ht="15" hidden="false" customHeight="false" outlineLevel="0" collapsed="false">
      <c r="A42" s="9" t="str">
        <f aca="false">IF(E42="","",ROW()-5)</f>
        <v/>
      </c>
      <c r="B42" s="20"/>
      <c r="C42" s="21"/>
      <c r="D42" s="21"/>
      <c r="E42" s="22"/>
      <c r="F42" s="22"/>
      <c r="G42" s="21"/>
      <c r="H42" s="21"/>
      <c r="I42" s="9" t="str">
        <f aca="false">IF(C42="","",IFERROR(INDEX(CLIENTES!$B$6:$B$305,MATCH(C42,CLIENTES!$A$6:$A$305,0)),"⚠ ID no registrado"))</f>
        <v/>
      </c>
      <c r="J42" s="9" t="str">
        <f aca="false">IF(C42="","",IFERROR(INDEX(CLIENTES!$Z$6:$Z$305,MATCH(C42,CLIENTES!$A$6:$A$305,0)),""))</f>
        <v/>
      </c>
      <c r="K42" s="9" t="str">
        <f aca="false">IF(E42="","",IF(AB42="Siempre","Sí",IF(ISNUMBER(AC42),IF(E42&gt;=AC42,"Sí",IF(AW42&gt;=AC42,"Sí (serie 24 h)","No")),"")))</f>
        <v/>
      </c>
      <c r="L42" s="9" t="str">
        <f aca="false">IF(E42="","",AA42)</f>
        <v/>
      </c>
      <c r="M42" s="9" t="str">
        <f aca="false">IF(E42="","",IF(AA42&lt;&gt;"ACUMULA","No aplica",IF(LEFT(K42,2)="Sí","Sí","No")))</f>
        <v/>
      </c>
      <c r="N42" s="23" t="str">
        <f aca="false">IF(M42="Sí",AJ42,"")</f>
        <v/>
      </c>
      <c r="O42" s="24" t="str">
        <f aca="false">IF(M42="Sí",AK42,"")</f>
        <v/>
      </c>
      <c r="P42" s="25" t="str">
        <f aca="false">IF(AND(LEFT(D42,6)="XIV - ",LEFT(AX42,5)="AVISO"),"Pedimento (R 16): no va al SPPLD",AX42)</f>
        <v/>
      </c>
      <c r="Q42" s="23" t="str">
        <f aca="false">IF(LEFT(P42,5)="AVISO",IF(ISNUMBER(B42),DATE(YEAR(B42),MONTH(B42)+1,17),"Falta fecha"),"")</f>
        <v/>
      </c>
      <c r="R42" s="9" t="str">
        <f aca="false">IF(OR(F42="",F42=0),"",IF(ISNUMBER(AG42),IF(F42&gt;=AG42,"PROHIBIDO","Dentro del límite"),"No aplica"))</f>
        <v/>
      </c>
      <c r="S42" s="26" t="str">
        <f aca="false">IF(E42="","",MID(IF(AQ42=1," · Excede el perfil declarado","")&amp;IF(H42="Sí"," · Paga un tercero","")&amp;IF(J42="Alto"," · Cliente de riesgo alto: DDR (RCG 23 Ter 3 y 4)","")&amp;IF(AND(AS42&lt;&gt;"",AS42&lt;&gt;"No",AS42&lt;&gt;0)," · PEP","")&amp;IF(R42="PROHIBIDO"," · Efectivo prohibido: no lo recibas (Art. 32)","")&amp;IF(AR42=1," · ⚠ Fecha fuera de orden","")&amp;IF(LEFT(I42,1)="⚠"," · ⚠ Cliente no registrado","")&amp;IF(D42=""," · ⚠ Falta la actividad","")&amp;IF(AND(LEFT(P42,5)="AVISO",W42="")," · Captura la cifra total con IVA para el Aviso","")&amp;IF(AND(ISNUMBER(W42),W42&lt;E42)," · ⚠ La cifra con IVA es menor que el monto sin IVA",""),4,400))</f>
        <v/>
      </c>
      <c r="T42" s="21"/>
      <c r="U42" s="20"/>
      <c r="V42" s="9" t="str">
        <f aca="false">IF(LEFT(P42,5)&lt;&gt;"AVISO","",IF(T42="Presentado",IF(AND(ISNUMBER(U42),ISNUMBER(Q42),U42&gt;Q42),"Presentado tarde","Presentado"),IF(NOT(ISNUMBER(Q42)),"Falta fecha",IF(Q42&lt;CONFIG!$B$6,"VENCIDO","Vence en "&amp;(Q42-CONFIG!$B$6)&amp;" días"))))</f>
        <v/>
      </c>
      <c r="W42" s="22"/>
      <c r="X42" s="21"/>
      <c r="AA42" s="0" t="str">
        <f aca="false">IF(AM42="","",INDEX(CATÁLOGO!$D$5:$D$39,AM42))</f>
        <v/>
      </c>
      <c r="AB42" s="0" t="str">
        <f aca="false">IF(AM42="","",INDEX(CATÁLOGO!$E$5:$E$39,AM42))</f>
        <v/>
      </c>
      <c r="AC42" s="0" t="str">
        <f aca="false">IF(AB42="","",IF(ISNUMBER(AB42),AB42*AV42,AB42))</f>
        <v/>
      </c>
      <c r="AD42" s="0" t="str">
        <f aca="false">IF(AM42="","",INDEX(CATÁLOGO!$F$5:$F$39,AM42))</f>
        <v/>
      </c>
      <c r="AE42" s="0" t="str">
        <f aca="false">IF(AD42="","",IF(ISNUMBER(AD42),AD42*AV42,AD42))</f>
        <v/>
      </c>
      <c r="AF42" s="0" t="str">
        <f aca="false">IF(AM42="","",INDEX(CATÁLOGO!$G$5:$G$39,AM42))</f>
        <v/>
      </c>
      <c r="AG42" s="0" t="str">
        <f aca="false">IF(AF42="","",IF(ISNUMBER(AF42),AF42*AV42,AF42))</f>
        <v/>
      </c>
      <c r="AH42" s="0" t="str">
        <f aca="false">IF(E42="","",C42&amp;"|"&amp;D42)</f>
        <v/>
      </c>
      <c r="AI42" s="27" t="n">
        <f aca="false">IF(M42&lt;&gt;"Sí",0,SUMPRODUCT(MAX(($AH$5:AH41=AH42)*($M$5:M41="Sí")*ROW($AH$5:AH41))))</f>
        <v>0</v>
      </c>
      <c r="AJ42" s="0" t="str">
        <f aca="false">IF(M42&lt;&gt;"Sí","",IF(AL42=1,B42,INDEX($AJ:$AJ,AI42)))</f>
        <v/>
      </c>
      <c r="AK42" s="0" t="str">
        <f aca="false">IF(M42&lt;&gt;"Sí","",IF(AL42=1,E42,INDEX($AK:$AK,AI42)+E42))</f>
        <v/>
      </c>
      <c r="AL42" s="0" t="str">
        <f aca="false">IF(M42&lt;&gt;"Sí","",IF(AI42=0,1,IF(INDEX($AN:$AN,AI42)=0,1,IF(B42&gt;=EDATE(INDEX($AJ:$AJ,AI42),6),1,0))))</f>
        <v/>
      </c>
      <c r="AM42" s="0" t="str">
        <f aca="false">IF(D42="","",IFERROR(MATCH(D42,CATÁLOGO!$C$5:$C$39,0),""))</f>
        <v/>
      </c>
      <c r="AN42" s="0" t="str">
        <f aca="false">IF(M42&lt;&gt;"Sí","",IF(AND(ISNUMBER(AE42),AK42&gt;=AE42),0,1))</f>
        <v/>
      </c>
      <c r="AO42" s="0" t="str">
        <f aca="false">IF(OR(E42="",C42="",NOT(ISNUMBER(B42))),"",SUMIFS($E$6:$E$505,$C$6:$C$505,C42,$B$6:$B$505,"&gt;="&amp;DATE(YEAR(B42),MONTH(B42),1),$B$6:$B$505,"&lt;"&amp;DATE(YEAR(B42),MONTH(B42)+1,1)))</f>
        <v/>
      </c>
      <c r="AP42" s="0" t="str">
        <f aca="false">IF(C42="","",IFERROR(INDEX(CLIENTES!$M$6:$M$305,MATCH(C42,CLIENTES!$A$6:$A$305,0)),""))</f>
        <v/>
      </c>
      <c r="AQ42" s="27" t="n">
        <f aca="false">IF(AND(ISNUMBER(AO42),ISNUMBER(AP42)),IF(AND(AP42&gt;0,AO42&gt;AP42),1,0),0)</f>
        <v>0</v>
      </c>
      <c r="AR42" s="27" t="n">
        <f aca="false">IF(NOT(ISNUMBER(B42)),0,IF(B42&lt;MAX($B$5:B41),1,0))</f>
        <v>0</v>
      </c>
      <c r="AS42" s="0" t="str">
        <f aca="false">IF(C42="","",IFERROR(INDEX(CLIENTES!$H$6:$H$305,MATCH(C42,CLIENTES!$A$6:$A$305,0)),""))</f>
        <v/>
      </c>
      <c r="AT42" s="0" t="str">
        <f aca="false">IF(AND(LEFT(P42,5)="AVISO",T42&lt;&gt;"Presentado",ISNUMBER(Q42)),Q42,"")</f>
        <v/>
      </c>
      <c r="AU42" s="27" t="n">
        <f aca="false">IF(AND(D42="XVI - Activos virtuales (PSAV): operación de intercambio/transferencia",M42="Sí",ISNUMBER(AE42)),IF(AK42&gt;=AE42,1,0),0)</f>
        <v>0</v>
      </c>
      <c r="AV42" s="30" t="n">
        <f aca="false">IF(NOT(ISNUMBER(B42)),CONFIG!$B$4,IFERROR(INDEX(CONFIG!$I$5:$I$14,MATCH(IF(MONTH(B42)=1,YEAR(B42)-1,YEAR(B42)),CONFIG!$H$5:$H$14,0)),CONFIG!$B$4))</f>
        <v>117.31</v>
      </c>
      <c r="AW42" s="27" t="n">
        <f aca="false">IF(AND(LEFT(D42,4)="I - ",ISNUMBER(B42),C42&lt;&gt;""),SUMIFS($E$6:$E$505,$C$6:$C$505,C42,$D$6:$D$505,D42,$B$6:$B$505,"&gt;"&amp;(B42-1),$B$6:$B$505,"&lt;="&amp;B42),0)</f>
        <v>0</v>
      </c>
      <c r="AX42" s="0" t="str">
        <f aca="false">IF(E42="","",IF(AD42="Siempre","AVISO (siempre)",IF(AD42="No aplica","Sin Aviso (sólo preparas: Ley 17 XI)",IF(NOT(ISNUMBER(AE42)),"",IF(AA42&lt;&gt;"ACUMULA",IF(E42&gt;=AE42,IF(AND(D42="XVI - Activos virtuales (PSAV): cobro de contraprestación (comisión) por el servicio",COUNTIFS($C$6:$C$505,C42,$B$6:$B$505,"&gt;="&amp;INT(B42),$B$6:$B$505,"&lt;"&amp;(INT(B42)+1),$AU$6:$AU$505,1)&gt;0),"En el Aviso del inciso a) (R 31 Bis)","AVISO"),"—"),IF(M42&lt;&gt;"Sí","—",IF(AK42&gt;=AE42,IF(AK42=E42,"AVISO","AVISO (acumulado)"),"Acumulando")))))))</f>
        <v/>
      </c>
    </row>
    <row r="43" customFormat="false" ht="15" hidden="false" customHeight="false" outlineLevel="0" collapsed="false">
      <c r="A43" s="9" t="str">
        <f aca="false">IF(E43="","",ROW()-5)</f>
        <v/>
      </c>
      <c r="B43" s="20"/>
      <c r="C43" s="21"/>
      <c r="D43" s="21"/>
      <c r="E43" s="22"/>
      <c r="F43" s="22"/>
      <c r="G43" s="21"/>
      <c r="H43" s="21"/>
      <c r="I43" s="9" t="str">
        <f aca="false">IF(C43="","",IFERROR(INDEX(CLIENTES!$B$6:$B$305,MATCH(C43,CLIENTES!$A$6:$A$305,0)),"⚠ ID no registrado"))</f>
        <v/>
      </c>
      <c r="J43" s="9" t="str">
        <f aca="false">IF(C43="","",IFERROR(INDEX(CLIENTES!$Z$6:$Z$305,MATCH(C43,CLIENTES!$A$6:$A$305,0)),""))</f>
        <v/>
      </c>
      <c r="K43" s="9" t="str">
        <f aca="false">IF(E43="","",IF(AB43="Siempre","Sí",IF(ISNUMBER(AC43),IF(E43&gt;=AC43,"Sí",IF(AW43&gt;=AC43,"Sí (serie 24 h)","No")),"")))</f>
        <v/>
      </c>
      <c r="L43" s="9" t="str">
        <f aca="false">IF(E43="","",AA43)</f>
        <v/>
      </c>
      <c r="M43" s="9" t="str">
        <f aca="false">IF(E43="","",IF(AA43&lt;&gt;"ACUMULA","No aplica",IF(LEFT(K43,2)="Sí","Sí","No")))</f>
        <v/>
      </c>
      <c r="N43" s="23" t="str">
        <f aca="false">IF(M43="Sí",AJ43,"")</f>
        <v/>
      </c>
      <c r="O43" s="24" t="str">
        <f aca="false">IF(M43="Sí",AK43,"")</f>
        <v/>
      </c>
      <c r="P43" s="25" t="str">
        <f aca="false">IF(AND(LEFT(D43,6)="XIV - ",LEFT(AX43,5)="AVISO"),"Pedimento (R 16): no va al SPPLD",AX43)</f>
        <v/>
      </c>
      <c r="Q43" s="23" t="str">
        <f aca="false">IF(LEFT(P43,5)="AVISO",IF(ISNUMBER(B43),DATE(YEAR(B43),MONTH(B43)+1,17),"Falta fecha"),"")</f>
        <v/>
      </c>
      <c r="R43" s="9" t="str">
        <f aca="false">IF(OR(F43="",F43=0),"",IF(ISNUMBER(AG43),IF(F43&gt;=AG43,"PROHIBIDO","Dentro del límite"),"No aplica"))</f>
        <v/>
      </c>
      <c r="S43" s="26" t="str">
        <f aca="false">IF(E43="","",MID(IF(AQ43=1," · Excede el perfil declarado","")&amp;IF(H43="Sí"," · Paga un tercero","")&amp;IF(J43="Alto"," · Cliente de riesgo alto: DDR (RCG 23 Ter 3 y 4)","")&amp;IF(AND(AS43&lt;&gt;"",AS43&lt;&gt;"No",AS43&lt;&gt;0)," · PEP","")&amp;IF(R43="PROHIBIDO"," · Efectivo prohibido: no lo recibas (Art. 32)","")&amp;IF(AR43=1," · ⚠ Fecha fuera de orden","")&amp;IF(LEFT(I43,1)="⚠"," · ⚠ Cliente no registrado","")&amp;IF(D43=""," · ⚠ Falta la actividad","")&amp;IF(AND(LEFT(P43,5)="AVISO",W43="")," · Captura la cifra total con IVA para el Aviso","")&amp;IF(AND(ISNUMBER(W43),W43&lt;E43)," · ⚠ La cifra con IVA es menor que el monto sin IVA",""),4,400))</f>
        <v/>
      </c>
      <c r="T43" s="21"/>
      <c r="U43" s="20"/>
      <c r="V43" s="9" t="str">
        <f aca="false">IF(LEFT(P43,5)&lt;&gt;"AVISO","",IF(T43="Presentado",IF(AND(ISNUMBER(U43),ISNUMBER(Q43),U43&gt;Q43),"Presentado tarde","Presentado"),IF(NOT(ISNUMBER(Q43)),"Falta fecha",IF(Q43&lt;CONFIG!$B$6,"VENCIDO","Vence en "&amp;(Q43-CONFIG!$B$6)&amp;" días"))))</f>
        <v/>
      </c>
      <c r="W43" s="22"/>
      <c r="X43" s="21"/>
      <c r="AA43" s="0" t="str">
        <f aca="false">IF(AM43="","",INDEX(CATÁLOGO!$D$5:$D$39,AM43))</f>
        <v/>
      </c>
      <c r="AB43" s="0" t="str">
        <f aca="false">IF(AM43="","",INDEX(CATÁLOGO!$E$5:$E$39,AM43))</f>
        <v/>
      </c>
      <c r="AC43" s="0" t="str">
        <f aca="false">IF(AB43="","",IF(ISNUMBER(AB43),AB43*AV43,AB43))</f>
        <v/>
      </c>
      <c r="AD43" s="0" t="str">
        <f aca="false">IF(AM43="","",INDEX(CATÁLOGO!$F$5:$F$39,AM43))</f>
        <v/>
      </c>
      <c r="AE43" s="0" t="str">
        <f aca="false">IF(AD43="","",IF(ISNUMBER(AD43),AD43*AV43,AD43))</f>
        <v/>
      </c>
      <c r="AF43" s="0" t="str">
        <f aca="false">IF(AM43="","",INDEX(CATÁLOGO!$G$5:$G$39,AM43))</f>
        <v/>
      </c>
      <c r="AG43" s="0" t="str">
        <f aca="false">IF(AF43="","",IF(ISNUMBER(AF43),AF43*AV43,AF43))</f>
        <v/>
      </c>
      <c r="AH43" s="0" t="str">
        <f aca="false">IF(E43="","",C43&amp;"|"&amp;D43)</f>
        <v/>
      </c>
      <c r="AI43" s="27" t="n">
        <f aca="false">IF(M43&lt;&gt;"Sí",0,SUMPRODUCT(MAX(($AH$5:AH42=AH43)*($M$5:M42="Sí")*ROW($AH$5:AH42))))</f>
        <v>0</v>
      </c>
      <c r="AJ43" s="0" t="str">
        <f aca="false">IF(M43&lt;&gt;"Sí","",IF(AL43=1,B43,INDEX($AJ:$AJ,AI43)))</f>
        <v/>
      </c>
      <c r="AK43" s="0" t="str">
        <f aca="false">IF(M43&lt;&gt;"Sí","",IF(AL43=1,E43,INDEX($AK:$AK,AI43)+E43))</f>
        <v/>
      </c>
      <c r="AL43" s="0" t="str">
        <f aca="false">IF(M43&lt;&gt;"Sí","",IF(AI43=0,1,IF(INDEX($AN:$AN,AI43)=0,1,IF(B43&gt;=EDATE(INDEX($AJ:$AJ,AI43),6),1,0))))</f>
        <v/>
      </c>
      <c r="AM43" s="0" t="str">
        <f aca="false">IF(D43="","",IFERROR(MATCH(D43,CATÁLOGO!$C$5:$C$39,0),""))</f>
        <v/>
      </c>
      <c r="AN43" s="0" t="str">
        <f aca="false">IF(M43&lt;&gt;"Sí","",IF(AND(ISNUMBER(AE43),AK43&gt;=AE43),0,1))</f>
        <v/>
      </c>
      <c r="AO43" s="0" t="str">
        <f aca="false">IF(OR(E43="",C43="",NOT(ISNUMBER(B43))),"",SUMIFS($E$6:$E$505,$C$6:$C$505,C43,$B$6:$B$505,"&gt;="&amp;DATE(YEAR(B43),MONTH(B43),1),$B$6:$B$505,"&lt;"&amp;DATE(YEAR(B43),MONTH(B43)+1,1)))</f>
        <v/>
      </c>
      <c r="AP43" s="0" t="str">
        <f aca="false">IF(C43="","",IFERROR(INDEX(CLIENTES!$M$6:$M$305,MATCH(C43,CLIENTES!$A$6:$A$305,0)),""))</f>
        <v/>
      </c>
      <c r="AQ43" s="27" t="n">
        <f aca="false">IF(AND(ISNUMBER(AO43),ISNUMBER(AP43)),IF(AND(AP43&gt;0,AO43&gt;AP43),1,0),0)</f>
        <v>0</v>
      </c>
      <c r="AR43" s="27" t="n">
        <f aca="false">IF(NOT(ISNUMBER(B43)),0,IF(B43&lt;MAX($B$5:B42),1,0))</f>
        <v>0</v>
      </c>
      <c r="AS43" s="0" t="str">
        <f aca="false">IF(C43="","",IFERROR(INDEX(CLIENTES!$H$6:$H$305,MATCH(C43,CLIENTES!$A$6:$A$305,0)),""))</f>
        <v/>
      </c>
      <c r="AT43" s="0" t="str">
        <f aca="false">IF(AND(LEFT(P43,5)="AVISO",T43&lt;&gt;"Presentado",ISNUMBER(Q43)),Q43,"")</f>
        <v/>
      </c>
      <c r="AU43" s="27" t="n">
        <f aca="false">IF(AND(D43="XVI - Activos virtuales (PSAV): operación de intercambio/transferencia",M43="Sí",ISNUMBER(AE43)),IF(AK43&gt;=AE43,1,0),0)</f>
        <v>0</v>
      </c>
      <c r="AV43" s="30" t="n">
        <f aca="false">IF(NOT(ISNUMBER(B43)),CONFIG!$B$4,IFERROR(INDEX(CONFIG!$I$5:$I$14,MATCH(IF(MONTH(B43)=1,YEAR(B43)-1,YEAR(B43)),CONFIG!$H$5:$H$14,0)),CONFIG!$B$4))</f>
        <v>117.31</v>
      </c>
      <c r="AW43" s="27" t="n">
        <f aca="false">IF(AND(LEFT(D43,4)="I - ",ISNUMBER(B43),C43&lt;&gt;""),SUMIFS($E$6:$E$505,$C$6:$C$505,C43,$D$6:$D$505,D43,$B$6:$B$505,"&gt;"&amp;(B43-1),$B$6:$B$505,"&lt;="&amp;B43),0)</f>
        <v>0</v>
      </c>
      <c r="AX43" s="0" t="str">
        <f aca="false">IF(E43="","",IF(AD43="Siempre","AVISO (siempre)",IF(AD43="No aplica","Sin Aviso (sólo preparas: Ley 17 XI)",IF(NOT(ISNUMBER(AE43)),"",IF(AA43&lt;&gt;"ACUMULA",IF(E43&gt;=AE43,IF(AND(D43="XVI - Activos virtuales (PSAV): cobro de contraprestación (comisión) por el servicio",COUNTIFS($C$6:$C$505,C43,$B$6:$B$505,"&gt;="&amp;INT(B43),$B$6:$B$505,"&lt;"&amp;(INT(B43)+1),$AU$6:$AU$505,1)&gt;0),"En el Aviso del inciso a) (R 31 Bis)","AVISO"),"—"),IF(M43&lt;&gt;"Sí","—",IF(AK43&gt;=AE43,IF(AK43=E43,"AVISO","AVISO (acumulado)"),"Acumulando")))))))</f>
        <v/>
      </c>
    </row>
    <row r="44" customFormat="false" ht="15" hidden="false" customHeight="false" outlineLevel="0" collapsed="false">
      <c r="A44" s="9" t="str">
        <f aca="false">IF(E44="","",ROW()-5)</f>
        <v/>
      </c>
      <c r="B44" s="20"/>
      <c r="C44" s="21"/>
      <c r="D44" s="21"/>
      <c r="E44" s="22"/>
      <c r="F44" s="22"/>
      <c r="G44" s="21"/>
      <c r="H44" s="21"/>
      <c r="I44" s="9" t="str">
        <f aca="false">IF(C44="","",IFERROR(INDEX(CLIENTES!$B$6:$B$305,MATCH(C44,CLIENTES!$A$6:$A$305,0)),"⚠ ID no registrado"))</f>
        <v/>
      </c>
      <c r="J44" s="9" t="str">
        <f aca="false">IF(C44="","",IFERROR(INDEX(CLIENTES!$Z$6:$Z$305,MATCH(C44,CLIENTES!$A$6:$A$305,0)),""))</f>
        <v/>
      </c>
      <c r="K44" s="9" t="str">
        <f aca="false">IF(E44="","",IF(AB44="Siempre","Sí",IF(ISNUMBER(AC44),IF(E44&gt;=AC44,"Sí",IF(AW44&gt;=AC44,"Sí (serie 24 h)","No")),"")))</f>
        <v/>
      </c>
      <c r="L44" s="9" t="str">
        <f aca="false">IF(E44="","",AA44)</f>
        <v/>
      </c>
      <c r="M44" s="9" t="str">
        <f aca="false">IF(E44="","",IF(AA44&lt;&gt;"ACUMULA","No aplica",IF(LEFT(K44,2)="Sí","Sí","No")))</f>
        <v/>
      </c>
      <c r="N44" s="23" t="str">
        <f aca="false">IF(M44="Sí",AJ44,"")</f>
        <v/>
      </c>
      <c r="O44" s="24" t="str">
        <f aca="false">IF(M44="Sí",AK44,"")</f>
        <v/>
      </c>
      <c r="P44" s="25" t="str">
        <f aca="false">IF(AND(LEFT(D44,6)="XIV - ",LEFT(AX44,5)="AVISO"),"Pedimento (R 16): no va al SPPLD",AX44)</f>
        <v/>
      </c>
      <c r="Q44" s="23" t="str">
        <f aca="false">IF(LEFT(P44,5)="AVISO",IF(ISNUMBER(B44),DATE(YEAR(B44),MONTH(B44)+1,17),"Falta fecha"),"")</f>
        <v/>
      </c>
      <c r="R44" s="9" t="str">
        <f aca="false">IF(OR(F44="",F44=0),"",IF(ISNUMBER(AG44),IF(F44&gt;=AG44,"PROHIBIDO","Dentro del límite"),"No aplica"))</f>
        <v/>
      </c>
      <c r="S44" s="26" t="str">
        <f aca="false">IF(E44="","",MID(IF(AQ44=1," · Excede el perfil declarado","")&amp;IF(H44="Sí"," · Paga un tercero","")&amp;IF(J44="Alto"," · Cliente de riesgo alto: DDR (RCG 23 Ter 3 y 4)","")&amp;IF(AND(AS44&lt;&gt;"",AS44&lt;&gt;"No",AS44&lt;&gt;0)," · PEP","")&amp;IF(R44="PROHIBIDO"," · Efectivo prohibido: no lo recibas (Art. 32)","")&amp;IF(AR44=1," · ⚠ Fecha fuera de orden","")&amp;IF(LEFT(I44,1)="⚠"," · ⚠ Cliente no registrado","")&amp;IF(D44=""," · ⚠ Falta la actividad","")&amp;IF(AND(LEFT(P44,5)="AVISO",W44="")," · Captura la cifra total con IVA para el Aviso","")&amp;IF(AND(ISNUMBER(W44),W44&lt;E44)," · ⚠ La cifra con IVA es menor que el monto sin IVA",""),4,400))</f>
        <v/>
      </c>
      <c r="T44" s="21"/>
      <c r="U44" s="20"/>
      <c r="V44" s="9" t="str">
        <f aca="false">IF(LEFT(P44,5)&lt;&gt;"AVISO","",IF(T44="Presentado",IF(AND(ISNUMBER(U44),ISNUMBER(Q44),U44&gt;Q44),"Presentado tarde","Presentado"),IF(NOT(ISNUMBER(Q44)),"Falta fecha",IF(Q44&lt;CONFIG!$B$6,"VENCIDO","Vence en "&amp;(Q44-CONFIG!$B$6)&amp;" días"))))</f>
        <v/>
      </c>
      <c r="W44" s="22"/>
      <c r="X44" s="21"/>
      <c r="AA44" s="0" t="str">
        <f aca="false">IF(AM44="","",INDEX(CATÁLOGO!$D$5:$D$39,AM44))</f>
        <v/>
      </c>
      <c r="AB44" s="0" t="str">
        <f aca="false">IF(AM44="","",INDEX(CATÁLOGO!$E$5:$E$39,AM44))</f>
        <v/>
      </c>
      <c r="AC44" s="0" t="str">
        <f aca="false">IF(AB44="","",IF(ISNUMBER(AB44),AB44*AV44,AB44))</f>
        <v/>
      </c>
      <c r="AD44" s="0" t="str">
        <f aca="false">IF(AM44="","",INDEX(CATÁLOGO!$F$5:$F$39,AM44))</f>
        <v/>
      </c>
      <c r="AE44" s="0" t="str">
        <f aca="false">IF(AD44="","",IF(ISNUMBER(AD44),AD44*AV44,AD44))</f>
        <v/>
      </c>
      <c r="AF44" s="0" t="str">
        <f aca="false">IF(AM44="","",INDEX(CATÁLOGO!$G$5:$G$39,AM44))</f>
        <v/>
      </c>
      <c r="AG44" s="0" t="str">
        <f aca="false">IF(AF44="","",IF(ISNUMBER(AF44),AF44*AV44,AF44))</f>
        <v/>
      </c>
      <c r="AH44" s="0" t="str">
        <f aca="false">IF(E44="","",C44&amp;"|"&amp;D44)</f>
        <v/>
      </c>
      <c r="AI44" s="27" t="n">
        <f aca="false">IF(M44&lt;&gt;"Sí",0,SUMPRODUCT(MAX(($AH$5:AH43=AH44)*($M$5:M43="Sí")*ROW($AH$5:AH43))))</f>
        <v>0</v>
      </c>
      <c r="AJ44" s="0" t="str">
        <f aca="false">IF(M44&lt;&gt;"Sí","",IF(AL44=1,B44,INDEX($AJ:$AJ,AI44)))</f>
        <v/>
      </c>
      <c r="AK44" s="0" t="str">
        <f aca="false">IF(M44&lt;&gt;"Sí","",IF(AL44=1,E44,INDEX($AK:$AK,AI44)+E44))</f>
        <v/>
      </c>
      <c r="AL44" s="0" t="str">
        <f aca="false">IF(M44&lt;&gt;"Sí","",IF(AI44=0,1,IF(INDEX($AN:$AN,AI44)=0,1,IF(B44&gt;=EDATE(INDEX($AJ:$AJ,AI44),6),1,0))))</f>
        <v/>
      </c>
      <c r="AM44" s="0" t="str">
        <f aca="false">IF(D44="","",IFERROR(MATCH(D44,CATÁLOGO!$C$5:$C$39,0),""))</f>
        <v/>
      </c>
      <c r="AN44" s="0" t="str">
        <f aca="false">IF(M44&lt;&gt;"Sí","",IF(AND(ISNUMBER(AE44),AK44&gt;=AE44),0,1))</f>
        <v/>
      </c>
      <c r="AO44" s="0" t="str">
        <f aca="false">IF(OR(E44="",C44="",NOT(ISNUMBER(B44))),"",SUMIFS($E$6:$E$505,$C$6:$C$505,C44,$B$6:$B$505,"&gt;="&amp;DATE(YEAR(B44),MONTH(B44),1),$B$6:$B$505,"&lt;"&amp;DATE(YEAR(B44),MONTH(B44)+1,1)))</f>
        <v/>
      </c>
      <c r="AP44" s="0" t="str">
        <f aca="false">IF(C44="","",IFERROR(INDEX(CLIENTES!$M$6:$M$305,MATCH(C44,CLIENTES!$A$6:$A$305,0)),""))</f>
        <v/>
      </c>
      <c r="AQ44" s="27" t="n">
        <f aca="false">IF(AND(ISNUMBER(AO44),ISNUMBER(AP44)),IF(AND(AP44&gt;0,AO44&gt;AP44),1,0),0)</f>
        <v>0</v>
      </c>
      <c r="AR44" s="27" t="n">
        <f aca="false">IF(NOT(ISNUMBER(B44)),0,IF(B44&lt;MAX($B$5:B43),1,0))</f>
        <v>0</v>
      </c>
      <c r="AS44" s="0" t="str">
        <f aca="false">IF(C44="","",IFERROR(INDEX(CLIENTES!$H$6:$H$305,MATCH(C44,CLIENTES!$A$6:$A$305,0)),""))</f>
        <v/>
      </c>
      <c r="AT44" s="0" t="str">
        <f aca="false">IF(AND(LEFT(P44,5)="AVISO",T44&lt;&gt;"Presentado",ISNUMBER(Q44)),Q44,"")</f>
        <v/>
      </c>
      <c r="AU44" s="27" t="n">
        <f aca="false">IF(AND(D44="XVI - Activos virtuales (PSAV): operación de intercambio/transferencia",M44="Sí",ISNUMBER(AE44)),IF(AK44&gt;=AE44,1,0),0)</f>
        <v>0</v>
      </c>
      <c r="AV44" s="30" t="n">
        <f aca="false">IF(NOT(ISNUMBER(B44)),CONFIG!$B$4,IFERROR(INDEX(CONFIG!$I$5:$I$14,MATCH(IF(MONTH(B44)=1,YEAR(B44)-1,YEAR(B44)),CONFIG!$H$5:$H$14,0)),CONFIG!$B$4))</f>
        <v>117.31</v>
      </c>
      <c r="AW44" s="27" t="n">
        <f aca="false">IF(AND(LEFT(D44,4)="I - ",ISNUMBER(B44),C44&lt;&gt;""),SUMIFS($E$6:$E$505,$C$6:$C$505,C44,$D$6:$D$505,D44,$B$6:$B$505,"&gt;"&amp;(B44-1),$B$6:$B$505,"&lt;="&amp;B44),0)</f>
        <v>0</v>
      </c>
      <c r="AX44" s="0" t="str">
        <f aca="false">IF(E44="","",IF(AD44="Siempre","AVISO (siempre)",IF(AD44="No aplica","Sin Aviso (sólo preparas: Ley 17 XI)",IF(NOT(ISNUMBER(AE44)),"",IF(AA44&lt;&gt;"ACUMULA",IF(E44&gt;=AE44,IF(AND(D44="XVI - Activos virtuales (PSAV): cobro de contraprestación (comisión) por el servicio",COUNTIFS($C$6:$C$505,C44,$B$6:$B$505,"&gt;="&amp;INT(B44),$B$6:$B$505,"&lt;"&amp;(INT(B44)+1),$AU$6:$AU$505,1)&gt;0),"En el Aviso del inciso a) (R 31 Bis)","AVISO"),"—"),IF(M44&lt;&gt;"Sí","—",IF(AK44&gt;=AE44,IF(AK44=E44,"AVISO","AVISO (acumulado)"),"Acumulando")))))))</f>
        <v/>
      </c>
    </row>
    <row r="45" customFormat="false" ht="15" hidden="false" customHeight="false" outlineLevel="0" collapsed="false">
      <c r="A45" s="9" t="str">
        <f aca="false">IF(E45="","",ROW()-5)</f>
        <v/>
      </c>
      <c r="B45" s="20"/>
      <c r="C45" s="21"/>
      <c r="D45" s="21"/>
      <c r="E45" s="22"/>
      <c r="F45" s="22"/>
      <c r="G45" s="21"/>
      <c r="H45" s="21"/>
      <c r="I45" s="9" t="str">
        <f aca="false">IF(C45="","",IFERROR(INDEX(CLIENTES!$B$6:$B$305,MATCH(C45,CLIENTES!$A$6:$A$305,0)),"⚠ ID no registrado"))</f>
        <v/>
      </c>
      <c r="J45" s="9" t="str">
        <f aca="false">IF(C45="","",IFERROR(INDEX(CLIENTES!$Z$6:$Z$305,MATCH(C45,CLIENTES!$A$6:$A$305,0)),""))</f>
        <v/>
      </c>
      <c r="K45" s="9" t="str">
        <f aca="false">IF(E45="","",IF(AB45="Siempre","Sí",IF(ISNUMBER(AC45),IF(E45&gt;=AC45,"Sí",IF(AW45&gt;=AC45,"Sí (serie 24 h)","No")),"")))</f>
        <v/>
      </c>
      <c r="L45" s="9" t="str">
        <f aca="false">IF(E45="","",AA45)</f>
        <v/>
      </c>
      <c r="M45" s="9" t="str">
        <f aca="false">IF(E45="","",IF(AA45&lt;&gt;"ACUMULA","No aplica",IF(LEFT(K45,2)="Sí","Sí","No")))</f>
        <v/>
      </c>
      <c r="N45" s="23" t="str">
        <f aca="false">IF(M45="Sí",AJ45,"")</f>
        <v/>
      </c>
      <c r="O45" s="24" t="str">
        <f aca="false">IF(M45="Sí",AK45,"")</f>
        <v/>
      </c>
      <c r="P45" s="25" t="str">
        <f aca="false">IF(AND(LEFT(D45,6)="XIV - ",LEFT(AX45,5)="AVISO"),"Pedimento (R 16): no va al SPPLD",AX45)</f>
        <v/>
      </c>
      <c r="Q45" s="23" t="str">
        <f aca="false">IF(LEFT(P45,5)="AVISO",IF(ISNUMBER(B45),DATE(YEAR(B45),MONTH(B45)+1,17),"Falta fecha"),"")</f>
        <v/>
      </c>
      <c r="R45" s="9" t="str">
        <f aca="false">IF(OR(F45="",F45=0),"",IF(ISNUMBER(AG45),IF(F45&gt;=AG45,"PROHIBIDO","Dentro del límite"),"No aplica"))</f>
        <v/>
      </c>
      <c r="S45" s="26" t="str">
        <f aca="false">IF(E45="","",MID(IF(AQ45=1," · Excede el perfil declarado","")&amp;IF(H45="Sí"," · Paga un tercero","")&amp;IF(J45="Alto"," · Cliente de riesgo alto: DDR (RCG 23 Ter 3 y 4)","")&amp;IF(AND(AS45&lt;&gt;"",AS45&lt;&gt;"No",AS45&lt;&gt;0)," · PEP","")&amp;IF(R45="PROHIBIDO"," · Efectivo prohibido: no lo recibas (Art. 32)","")&amp;IF(AR45=1," · ⚠ Fecha fuera de orden","")&amp;IF(LEFT(I45,1)="⚠"," · ⚠ Cliente no registrado","")&amp;IF(D45=""," · ⚠ Falta la actividad","")&amp;IF(AND(LEFT(P45,5)="AVISO",W45="")," · Captura la cifra total con IVA para el Aviso","")&amp;IF(AND(ISNUMBER(W45),W45&lt;E45)," · ⚠ La cifra con IVA es menor que el monto sin IVA",""),4,400))</f>
        <v/>
      </c>
      <c r="T45" s="21"/>
      <c r="U45" s="20"/>
      <c r="V45" s="9" t="str">
        <f aca="false">IF(LEFT(P45,5)&lt;&gt;"AVISO","",IF(T45="Presentado",IF(AND(ISNUMBER(U45),ISNUMBER(Q45),U45&gt;Q45),"Presentado tarde","Presentado"),IF(NOT(ISNUMBER(Q45)),"Falta fecha",IF(Q45&lt;CONFIG!$B$6,"VENCIDO","Vence en "&amp;(Q45-CONFIG!$B$6)&amp;" días"))))</f>
        <v/>
      </c>
      <c r="W45" s="22"/>
      <c r="X45" s="21"/>
      <c r="AA45" s="0" t="str">
        <f aca="false">IF(AM45="","",INDEX(CATÁLOGO!$D$5:$D$39,AM45))</f>
        <v/>
      </c>
      <c r="AB45" s="0" t="str">
        <f aca="false">IF(AM45="","",INDEX(CATÁLOGO!$E$5:$E$39,AM45))</f>
        <v/>
      </c>
      <c r="AC45" s="0" t="str">
        <f aca="false">IF(AB45="","",IF(ISNUMBER(AB45),AB45*AV45,AB45))</f>
        <v/>
      </c>
      <c r="AD45" s="0" t="str">
        <f aca="false">IF(AM45="","",INDEX(CATÁLOGO!$F$5:$F$39,AM45))</f>
        <v/>
      </c>
      <c r="AE45" s="0" t="str">
        <f aca="false">IF(AD45="","",IF(ISNUMBER(AD45),AD45*AV45,AD45))</f>
        <v/>
      </c>
      <c r="AF45" s="0" t="str">
        <f aca="false">IF(AM45="","",INDEX(CATÁLOGO!$G$5:$G$39,AM45))</f>
        <v/>
      </c>
      <c r="AG45" s="0" t="str">
        <f aca="false">IF(AF45="","",IF(ISNUMBER(AF45),AF45*AV45,AF45))</f>
        <v/>
      </c>
      <c r="AH45" s="0" t="str">
        <f aca="false">IF(E45="","",C45&amp;"|"&amp;D45)</f>
        <v/>
      </c>
      <c r="AI45" s="27" t="n">
        <f aca="false">IF(M45&lt;&gt;"Sí",0,SUMPRODUCT(MAX(($AH$5:AH44=AH45)*($M$5:M44="Sí")*ROW($AH$5:AH44))))</f>
        <v>0</v>
      </c>
      <c r="AJ45" s="0" t="str">
        <f aca="false">IF(M45&lt;&gt;"Sí","",IF(AL45=1,B45,INDEX($AJ:$AJ,AI45)))</f>
        <v/>
      </c>
      <c r="AK45" s="0" t="str">
        <f aca="false">IF(M45&lt;&gt;"Sí","",IF(AL45=1,E45,INDEX($AK:$AK,AI45)+E45))</f>
        <v/>
      </c>
      <c r="AL45" s="0" t="str">
        <f aca="false">IF(M45&lt;&gt;"Sí","",IF(AI45=0,1,IF(INDEX($AN:$AN,AI45)=0,1,IF(B45&gt;=EDATE(INDEX($AJ:$AJ,AI45),6),1,0))))</f>
        <v/>
      </c>
      <c r="AM45" s="0" t="str">
        <f aca="false">IF(D45="","",IFERROR(MATCH(D45,CATÁLOGO!$C$5:$C$39,0),""))</f>
        <v/>
      </c>
      <c r="AN45" s="0" t="str">
        <f aca="false">IF(M45&lt;&gt;"Sí","",IF(AND(ISNUMBER(AE45),AK45&gt;=AE45),0,1))</f>
        <v/>
      </c>
      <c r="AO45" s="0" t="str">
        <f aca="false">IF(OR(E45="",C45="",NOT(ISNUMBER(B45))),"",SUMIFS($E$6:$E$505,$C$6:$C$505,C45,$B$6:$B$505,"&gt;="&amp;DATE(YEAR(B45),MONTH(B45),1),$B$6:$B$505,"&lt;"&amp;DATE(YEAR(B45),MONTH(B45)+1,1)))</f>
        <v/>
      </c>
      <c r="AP45" s="0" t="str">
        <f aca="false">IF(C45="","",IFERROR(INDEX(CLIENTES!$M$6:$M$305,MATCH(C45,CLIENTES!$A$6:$A$305,0)),""))</f>
        <v/>
      </c>
      <c r="AQ45" s="27" t="n">
        <f aca="false">IF(AND(ISNUMBER(AO45),ISNUMBER(AP45)),IF(AND(AP45&gt;0,AO45&gt;AP45),1,0),0)</f>
        <v>0</v>
      </c>
      <c r="AR45" s="27" t="n">
        <f aca="false">IF(NOT(ISNUMBER(B45)),0,IF(B45&lt;MAX($B$5:B44),1,0))</f>
        <v>0</v>
      </c>
      <c r="AS45" s="0" t="str">
        <f aca="false">IF(C45="","",IFERROR(INDEX(CLIENTES!$H$6:$H$305,MATCH(C45,CLIENTES!$A$6:$A$305,0)),""))</f>
        <v/>
      </c>
      <c r="AT45" s="0" t="str">
        <f aca="false">IF(AND(LEFT(P45,5)="AVISO",T45&lt;&gt;"Presentado",ISNUMBER(Q45)),Q45,"")</f>
        <v/>
      </c>
      <c r="AU45" s="27" t="n">
        <f aca="false">IF(AND(D45="XVI - Activos virtuales (PSAV): operación de intercambio/transferencia",M45="Sí",ISNUMBER(AE45)),IF(AK45&gt;=AE45,1,0),0)</f>
        <v>0</v>
      </c>
      <c r="AV45" s="30" t="n">
        <f aca="false">IF(NOT(ISNUMBER(B45)),CONFIG!$B$4,IFERROR(INDEX(CONFIG!$I$5:$I$14,MATCH(IF(MONTH(B45)=1,YEAR(B45)-1,YEAR(B45)),CONFIG!$H$5:$H$14,0)),CONFIG!$B$4))</f>
        <v>117.31</v>
      </c>
      <c r="AW45" s="27" t="n">
        <f aca="false">IF(AND(LEFT(D45,4)="I - ",ISNUMBER(B45),C45&lt;&gt;""),SUMIFS($E$6:$E$505,$C$6:$C$505,C45,$D$6:$D$505,D45,$B$6:$B$505,"&gt;"&amp;(B45-1),$B$6:$B$505,"&lt;="&amp;B45),0)</f>
        <v>0</v>
      </c>
      <c r="AX45" s="0" t="str">
        <f aca="false">IF(E45="","",IF(AD45="Siempre","AVISO (siempre)",IF(AD45="No aplica","Sin Aviso (sólo preparas: Ley 17 XI)",IF(NOT(ISNUMBER(AE45)),"",IF(AA45&lt;&gt;"ACUMULA",IF(E45&gt;=AE45,IF(AND(D45="XVI - Activos virtuales (PSAV): cobro de contraprestación (comisión) por el servicio",COUNTIFS($C$6:$C$505,C45,$B$6:$B$505,"&gt;="&amp;INT(B45),$B$6:$B$505,"&lt;"&amp;(INT(B45)+1),$AU$6:$AU$505,1)&gt;0),"En el Aviso del inciso a) (R 31 Bis)","AVISO"),"—"),IF(M45&lt;&gt;"Sí","—",IF(AK45&gt;=AE45,IF(AK45=E45,"AVISO","AVISO (acumulado)"),"Acumulando")))))))</f>
        <v/>
      </c>
    </row>
    <row r="46" customFormat="false" ht="15" hidden="false" customHeight="false" outlineLevel="0" collapsed="false">
      <c r="A46" s="9" t="str">
        <f aca="false">IF(E46="","",ROW()-5)</f>
        <v/>
      </c>
      <c r="B46" s="20"/>
      <c r="C46" s="21"/>
      <c r="D46" s="21"/>
      <c r="E46" s="22"/>
      <c r="F46" s="22"/>
      <c r="G46" s="21"/>
      <c r="H46" s="21"/>
      <c r="I46" s="9" t="str">
        <f aca="false">IF(C46="","",IFERROR(INDEX(CLIENTES!$B$6:$B$305,MATCH(C46,CLIENTES!$A$6:$A$305,0)),"⚠ ID no registrado"))</f>
        <v/>
      </c>
      <c r="J46" s="9" t="str">
        <f aca="false">IF(C46="","",IFERROR(INDEX(CLIENTES!$Z$6:$Z$305,MATCH(C46,CLIENTES!$A$6:$A$305,0)),""))</f>
        <v/>
      </c>
      <c r="K46" s="9" t="str">
        <f aca="false">IF(E46="","",IF(AB46="Siempre","Sí",IF(ISNUMBER(AC46),IF(E46&gt;=AC46,"Sí",IF(AW46&gt;=AC46,"Sí (serie 24 h)","No")),"")))</f>
        <v/>
      </c>
      <c r="L46" s="9" t="str">
        <f aca="false">IF(E46="","",AA46)</f>
        <v/>
      </c>
      <c r="M46" s="9" t="str">
        <f aca="false">IF(E46="","",IF(AA46&lt;&gt;"ACUMULA","No aplica",IF(LEFT(K46,2)="Sí","Sí","No")))</f>
        <v/>
      </c>
      <c r="N46" s="23" t="str">
        <f aca="false">IF(M46="Sí",AJ46,"")</f>
        <v/>
      </c>
      <c r="O46" s="24" t="str">
        <f aca="false">IF(M46="Sí",AK46,"")</f>
        <v/>
      </c>
      <c r="P46" s="25" t="str">
        <f aca="false">IF(AND(LEFT(D46,6)="XIV - ",LEFT(AX46,5)="AVISO"),"Pedimento (R 16): no va al SPPLD",AX46)</f>
        <v/>
      </c>
      <c r="Q46" s="23" t="str">
        <f aca="false">IF(LEFT(P46,5)="AVISO",IF(ISNUMBER(B46),DATE(YEAR(B46),MONTH(B46)+1,17),"Falta fecha"),"")</f>
        <v/>
      </c>
      <c r="R46" s="9" t="str">
        <f aca="false">IF(OR(F46="",F46=0),"",IF(ISNUMBER(AG46),IF(F46&gt;=AG46,"PROHIBIDO","Dentro del límite"),"No aplica"))</f>
        <v/>
      </c>
      <c r="S46" s="26" t="str">
        <f aca="false">IF(E46="","",MID(IF(AQ46=1," · Excede el perfil declarado","")&amp;IF(H46="Sí"," · Paga un tercero","")&amp;IF(J46="Alto"," · Cliente de riesgo alto: DDR (RCG 23 Ter 3 y 4)","")&amp;IF(AND(AS46&lt;&gt;"",AS46&lt;&gt;"No",AS46&lt;&gt;0)," · PEP","")&amp;IF(R46="PROHIBIDO"," · Efectivo prohibido: no lo recibas (Art. 32)","")&amp;IF(AR46=1," · ⚠ Fecha fuera de orden","")&amp;IF(LEFT(I46,1)="⚠"," · ⚠ Cliente no registrado","")&amp;IF(D46=""," · ⚠ Falta la actividad","")&amp;IF(AND(LEFT(P46,5)="AVISO",W46="")," · Captura la cifra total con IVA para el Aviso","")&amp;IF(AND(ISNUMBER(W46),W46&lt;E46)," · ⚠ La cifra con IVA es menor que el monto sin IVA",""),4,400))</f>
        <v/>
      </c>
      <c r="T46" s="21"/>
      <c r="U46" s="20"/>
      <c r="V46" s="9" t="str">
        <f aca="false">IF(LEFT(P46,5)&lt;&gt;"AVISO","",IF(T46="Presentado",IF(AND(ISNUMBER(U46),ISNUMBER(Q46),U46&gt;Q46),"Presentado tarde","Presentado"),IF(NOT(ISNUMBER(Q46)),"Falta fecha",IF(Q46&lt;CONFIG!$B$6,"VENCIDO","Vence en "&amp;(Q46-CONFIG!$B$6)&amp;" días"))))</f>
        <v/>
      </c>
      <c r="W46" s="22"/>
      <c r="X46" s="21"/>
      <c r="AA46" s="0" t="str">
        <f aca="false">IF(AM46="","",INDEX(CATÁLOGO!$D$5:$D$39,AM46))</f>
        <v/>
      </c>
      <c r="AB46" s="0" t="str">
        <f aca="false">IF(AM46="","",INDEX(CATÁLOGO!$E$5:$E$39,AM46))</f>
        <v/>
      </c>
      <c r="AC46" s="0" t="str">
        <f aca="false">IF(AB46="","",IF(ISNUMBER(AB46),AB46*AV46,AB46))</f>
        <v/>
      </c>
      <c r="AD46" s="0" t="str">
        <f aca="false">IF(AM46="","",INDEX(CATÁLOGO!$F$5:$F$39,AM46))</f>
        <v/>
      </c>
      <c r="AE46" s="0" t="str">
        <f aca="false">IF(AD46="","",IF(ISNUMBER(AD46),AD46*AV46,AD46))</f>
        <v/>
      </c>
      <c r="AF46" s="0" t="str">
        <f aca="false">IF(AM46="","",INDEX(CATÁLOGO!$G$5:$G$39,AM46))</f>
        <v/>
      </c>
      <c r="AG46" s="0" t="str">
        <f aca="false">IF(AF46="","",IF(ISNUMBER(AF46),AF46*AV46,AF46))</f>
        <v/>
      </c>
      <c r="AH46" s="0" t="str">
        <f aca="false">IF(E46="","",C46&amp;"|"&amp;D46)</f>
        <v/>
      </c>
      <c r="AI46" s="27" t="n">
        <f aca="false">IF(M46&lt;&gt;"Sí",0,SUMPRODUCT(MAX(($AH$5:AH45=AH46)*($M$5:M45="Sí")*ROW($AH$5:AH45))))</f>
        <v>0</v>
      </c>
      <c r="AJ46" s="0" t="str">
        <f aca="false">IF(M46&lt;&gt;"Sí","",IF(AL46=1,B46,INDEX($AJ:$AJ,AI46)))</f>
        <v/>
      </c>
      <c r="AK46" s="0" t="str">
        <f aca="false">IF(M46&lt;&gt;"Sí","",IF(AL46=1,E46,INDEX($AK:$AK,AI46)+E46))</f>
        <v/>
      </c>
      <c r="AL46" s="0" t="str">
        <f aca="false">IF(M46&lt;&gt;"Sí","",IF(AI46=0,1,IF(INDEX($AN:$AN,AI46)=0,1,IF(B46&gt;=EDATE(INDEX($AJ:$AJ,AI46),6),1,0))))</f>
        <v/>
      </c>
      <c r="AM46" s="0" t="str">
        <f aca="false">IF(D46="","",IFERROR(MATCH(D46,CATÁLOGO!$C$5:$C$39,0),""))</f>
        <v/>
      </c>
      <c r="AN46" s="0" t="str">
        <f aca="false">IF(M46&lt;&gt;"Sí","",IF(AND(ISNUMBER(AE46),AK46&gt;=AE46),0,1))</f>
        <v/>
      </c>
      <c r="AO46" s="0" t="str">
        <f aca="false">IF(OR(E46="",C46="",NOT(ISNUMBER(B46))),"",SUMIFS($E$6:$E$505,$C$6:$C$505,C46,$B$6:$B$505,"&gt;="&amp;DATE(YEAR(B46),MONTH(B46),1),$B$6:$B$505,"&lt;"&amp;DATE(YEAR(B46),MONTH(B46)+1,1)))</f>
        <v/>
      </c>
      <c r="AP46" s="0" t="str">
        <f aca="false">IF(C46="","",IFERROR(INDEX(CLIENTES!$M$6:$M$305,MATCH(C46,CLIENTES!$A$6:$A$305,0)),""))</f>
        <v/>
      </c>
      <c r="AQ46" s="27" t="n">
        <f aca="false">IF(AND(ISNUMBER(AO46),ISNUMBER(AP46)),IF(AND(AP46&gt;0,AO46&gt;AP46),1,0),0)</f>
        <v>0</v>
      </c>
      <c r="AR46" s="27" t="n">
        <f aca="false">IF(NOT(ISNUMBER(B46)),0,IF(B46&lt;MAX($B$5:B45),1,0))</f>
        <v>0</v>
      </c>
      <c r="AS46" s="0" t="str">
        <f aca="false">IF(C46="","",IFERROR(INDEX(CLIENTES!$H$6:$H$305,MATCH(C46,CLIENTES!$A$6:$A$305,0)),""))</f>
        <v/>
      </c>
      <c r="AT46" s="0" t="str">
        <f aca="false">IF(AND(LEFT(P46,5)="AVISO",T46&lt;&gt;"Presentado",ISNUMBER(Q46)),Q46,"")</f>
        <v/>
      </c>
      <c r="AU46" s="27" t="n">
        <f aca="false">IF(AND(D46="XVI - Activos virtuales (PSAV): operación de intercambio/transferencia",M46="Sí",ISNUMBER(AE46)),IF(AK46&gt;=AE46,1,0),0)</f>
        <v>0</v>
      </c>
      <c r="AV46" s="30" t="n">
        <f aca="false">IF(NOT(ISNUMBER(B46)),CONFIG!$B$4,IFERROR(INDEX(CONFIG!$I$5:$I$14,MATCH(IF(MONTH(B46)=1,YEAR(B46)-1,YEAR(B46)),CONFIG!$H$5:$H$14,0)),CONFIG!$B$4))</f>
        <v>117.31</v>
      </c>
      <c r="AW46" s="27" t="n">
        <f aca="false">IF(AND(LEFT(D46,4)="I - ",ISNUMBER(B46),C46&lt;&gt;""),SUMIFS($E$6:$E$505,$C$6:$C$505,C46,$D$6:$D$505,D46,$B$6:$B$505,"&gt;"&amp;(B46-1),$B$6:$B$505,"&lt;="&amp;B46),0)</f>
        <v>0</v>
      </c>
      <c r="AX46" s="0" t="str">
        <f aca="false">IF(E46="","",IF(AD46="Siempre","AVISO (siempre)",IF(AD46="No aplica","Sin Aviso (sólo preparas: Ley 17 XI)",IF(NOT(ISNUMBER(AE46)),"",IF(AA46&lt;&gt;"ACUMULA",IF(E46&gt;=AE46,IF(AND(D46="XVI - Activos virtuales (PSAV): cobro de contraprestación (comisión) por el servicio",COUNTIFS($C$6:$C$505,C46,$B$6:$B$505,"&gt;="&amp;INT(B46),$B$6:$B$505,"&lt;"&amp;(INT(B46)+1),$AU$6:$AU$505,1)&gt;0),"En el Aviso del inciso a) (R 31 Bis)","AVISO"),"—"),IF(M46&lt;&gt;"Sí","—",IF(AK46&gt;=AE46,IF(AK46=E46,"AVISO","AVISO (acumulado)"),"Acumulando")))))))</f>
        <v/>
      </c>
    </row>
    <row r="47" customFormat="false" ht="15" hidden="false" customHeight="false" outlineLevel="0" collapsed="false">
      <c r="A47" s="9" t="str">
        <f aca="false">IF(E47="","",ROW()-5)</f>
        <v/>
      </c>
      <c r="B47" s="20"/>
      <c r="C47" s="21"/>
      <c r="D47" s="21"/>
      <c r="E47" s="22"/>
      <c r="F47" s="22"/>
      <c r="G47" s="21"/>
      <c r="H47" s="21"/>
      <c r="I47" s="9" t="str">
        <f aca="false">IF(C47="","",IFERROR(INDEX(CLIENTES!$B$6:$B$305,MATCH(C47,CLIENTES!$A$6:$A$305,0)),"⚠ ID no registrado"))</f>
        <v/>
      </c>
      <c r="J47" s="9" t="str">
        <f aca="false">IF(C47="","",IFERROR(INDEX(CLIENTES!$Z$6:$Z$305,MATCH(C47,CLIENTES!$A$6:$A$305,0)),""))</f>
        <v/>
      </c>
      <c r="K47" s="9" t="str">
        <f aca="false">IF(E47="","",IF(AB47="Siempre","Sí",IF(ISNUMBER(AC47),IF(E47&gt;=AC47,"Sí",IF(AW47&gt;=AC47,"Sí (serie 24 h)","No")),"")))</f>
        <v/>
      </c>
      <c r="L47" s="9" t="str">
        <f aca="false">IF(E47="","",AA47)</f>
        <v/>
      </c>
      <c r="M47" s="9" t="str">
        <f aca="false">IF(E47="","",IF(AA47&lt;&gt;"ACUMULA","No aplica",IF(LEFT(K47,2)="Sí","Sí","No")))</f>
        <v/>
      </c>
      <c r="N47" s="23" t="str">
        <f aca="false">IF(M47="Sí",AJ47,"")</f>
        <v/>
      </c>
      <c r="O47" s="24" t="str">
        <f aca="false">IF(M47="Sí",AK47,"")</f>
        <v/>
      </c>
      <c r="P47" s="25" t="str">
        <f aca="false">IF(AND(LEFT(D47,6)="XIV - ",LEFT(AX47,5)="AVISO"),"Pedimento (R 16): no va al SPPLD",AX47)</f>
        <v/>
      </c>
      <c r="Q47" s="23" t="str">
        <f aca="false">IF(LEFT(P47,5)="AVISO",IF(ISNUMBER(B47),DATE(YEAR(B47),MONTH(B47)+1,17),"Falta fecha"),"")</f>
        <v/>
      </c>
      <c r="R47" s="9" t="str">
        <f aca="false">IF(OR(F47="",F47=0),"",IF(ISNUMBER(AG47),IF(F47&gt;=AG47,"PROHIBIDO","Dentro del límite"),"No aplica"))</f>
        <v/>
      </c>
      <c r="S47" s="26" t="str">
        <f aca="false">IF(E47="","",MID(IF(AQ47=1," · Excede el perfil declarado","")&amp;IF(H47="Sí"," · Paga un tercero","")&amp;IF(J47="Alto"," · Cliente de riesgo alto: DDR (RCG 23 Ter 3 y 4)","")&amp;IF(AND(AS47&lt;&gt;"",AS47&lt;&gt;"No",AS47&lt;&gt;0)," · PEP","")&amp;IF(R47="PROHIBIDO"," · Efectivo prohibido: no lo recibas (Art. 32)","")&amp;IF(AR47=1," · ⚠ Fecha fuera de orden","")&amp;IF(LEFT(I47,1)="⚠"," · ⚠ Cliente no registrado","")&amp;IF(D47=""," · ⚠ Falta la actividad","")&amp;IF(AND(LEFT(P47,5)="AVISO",W47="")," · Captura la cifra total con IVA para el Aviso","")&amp;IF(AND(ISNUMBER(W47),W47&lt;E47)," · ⚠ La cifra con IVA es menor que el monto sin IVA",""),4,400))</f>
        <v/>
      </c>
      <c r="T47" s="21"/>
      <c r="U47" s="20"/>
      <c r="V47" s="9" t="str">
        <f aca="false">IF(LEFT(P47,5)&lt;&gt;"AVISO","",IF(T47="Presentado",IF(AND(ISNUMBER(U47),ISNUMBER(Q47),U47&gt;Q47),"Presentado tarde","Presentado"),IF(NOT(ISNUMBER(Q47)),"Falta fecha",IF(Q47&lt;CONFIG!$B$6,"VENCIDO","Vence en "&amp;(Q47-CONFIG!$B$6)&amp;" días"))))</f>
        <v/>
      </c>
      <c r="W47" s="22"/>
      <c r="X47" s="21"/>
      <c r="AA47" s="0" t="str">
        <f aca="false">IF(AM47="","",INDEX(CATÁLOGO!$D$5:$D$39,AM47))</f>
        <v/>
      </c>
      <c r="AB47" s="0" t="str">
        <f aca="false">IF(AM47="","",INDEX(CATÁLOGO!$E$5:$E$39,AM47))</f>
        <v/>
      </c>
      <c r="AC47" s="0" t="str">
        <f aca="false">IF(AB47="","",IF(ISNUMBER(AB47),AB47*AV47,AB47))</f>
        <v/>
      </c>
      <c r="AD47" s="0" t="str">
        <f aca="false">IF(AM47="","",INDEX(CATÁLOGO!$F$5:$F$39,AM47))</f>
        <v/>
      </c>
      <c r="AE47" s="0" t="str">
        <f aca="false">IF(AD47="","",IF(ISNUMBER(AD47),AD47*AV47,AD47))</f>
        <v/>
      </c>
      <c r="AF47" s="0" t="str">
        <f aca="false">IF(AM47="","",INDEX(CATÁLOGO!$G$5:$G$39,AM47))</f>
        <v/>
      </c>
      <c r="AG47" s="0" t="str">
        <f aca="false">IF(AF47="","",IF(ISNUMBER(AF47),AF47*AV47,AF47))</f>
        <v/>
      </c>
      <c r="AH47" s="0" t="str">
        <f aca="false">IF(E47="","",C47&amp;"|"&amp;D47)</f>
        <v/>
      </c>
      <c r="AI47" s="27" t="n">
        <f aca="false">IF(M47&lt;&gt;"Sí",0,SUMPRODUCT(MAX(($AH$5:AH46=AH47)*($M$5:M46="Sí")*ROW($AH$5:AH46))))</f>
        <v>0</v>
      </c>
      <c r="AJ47" s="0" t="str">
        <f aca="false">IF(M47&lt;&gt;"Sí","",IF(AL47=1,B47,INDEX($AJ:$AJ,AI47)))</f>
        <v/>
      </c>
      <c r="AK47" s="0" t="str">
        <f aca="false">IF(M47&lt;&gt;"Sí","",IF(AL47=1,E47,INDEX($AK:$AK,AI47)+E47))</f>
        <v/>
      </c>
      <c r="AL47" s="0" t="str">
        <f aca="false">IF(M47&lt;&gt;"Sí","",IF(AI47=0,1,IF(INDEX($AN:$AN,AI47)=0,1,IF(B47&gt;=EDATE(INDEX($AJ:$AJ,AI47),6),1,0))))</f>
        <v/>
      </c>
      <c r="AM47" s="0" t="str">
        <f aca="false">IF(D47="","",IFERROR(MATCH(D47,CATÁLOGO!$C$5:$C$39,0),""))</f>
        <v/>
      </c>
      <c r="AN47" s="0" t="str">
        <f aca="false">IF(M47&lt;&gt;"Sí","",IF(AND(ISNUMBER(AE47),AK47&gt;=AE47),0,1))</f>
        <v/>
      </c>
      <c r="AO47" s="0" t="str">
        <f aca="false">IF(OR(E47="",C47="",NOT(ISNUMBER(B47))),"",SUMIFS($E$6:$E$505,$C$6:$C$505,C47,$B$6:$B$505,"&gt;="&amp;DATE(YEAR(B47),MONTH(B47),1),$B$6:$B$505,"&lt;"&amp;DATE(YEAR(B47),MONTH(B47)+1,1)))</f>
        <v/>
      </c>
      <c r="AP47" s="0" t="str">
        <f aca="false">IF(C47="","",IFERROR(INDEX(CLIENTES!$M$6:$M$305,MATCH(C47,CLIENTES!$A$6:$A$305,0)),""))</f>
        <v/>
      </c>
      <c r="AQ47" s="27" t="n">
        <f aca="false">IF(AND(ISNUMBER(AO47),ISNUMBER(AP47)),IF(AND(AP47&gt;0,AO47&gt;AP47),1,0),0)</f>
        <v>0</v>
      </c>
      <c r="AR47" s="27" t="n">
        <f aca="false">IF(NOT(ISNUMBER(B47)),0,IF(B47&lt;MAX($B$5:B46),1,0))</f>
        <v>0</v>
      </c>
      <c r="AS47" s="0" t="str">
        <f aca="false">IF(C47="","",IFERROR(INDEX(CLIENTES!$H$6:$H$305,MATCH(C47,CLIENTES!$A$6:$A$305,0)),""))</f>
        <v/>
      </c>
      <c r="AT47" s="0" t="str">
        <f aca="false">IF(AND(LEFT(P47,5)="AVISO",T47&lt;&gt;"Presentado",ISNUMBER(Q47)),Q47,"")</f>
        <v/>
      </c>
      <c r="AU47" s="27" t="n">
        <f aca="false">IF(AND(D47="XVI - Activos virtuales (PSAV): operación de intercambio/transferencia",M47="Sí",ISNUMBER(AE47)),IF(AK47&gt;=AE47,1,0),0)</f>
        <v>0</v>
      </c>
      <c r="AV47" s="30" t="n">
        <f aca="false">IF(NOT(ISNUMBER(B47)),CONFIG!$B$4,IFERROR(INDEX(CONFIG!$I$5:$I$14,MATCH(IF(MONTH(B47)=1,YEAR(B47)-1,YEAR(B47)),CONFIG!$H$5:$H$14,0)),CONFIG!$B$4))</f>
        <v>117.31</v>
      </c>
      <c r="AW47" s="27" t="n">
        <f aca="false">IF(AND(LEFT(D47,4)="I - ",ISNUMBER(B47),C47&lt;&gt;""),SUMIFS($E$6:$E$505,$C$6:$C$505,C47,$D$6:$D$505,D47,$B$6:$B$505,"&gt;"&amp;(B47-1),$B$6:$B$505,"&lt;="&amp;B47),0)</f>
        <v>0</v>
      </c>
      <c r="AX47" s="0" t="str">
        <f aca="false">IF(E47="","",IF(AD47="Siempre","AVISO (siempre)",IF(AD47="No aplica","Sin Aviso (sólo preparas: Ley 17 XI)",IF(NOT(ISNUMBER(AE47)),"",IF(AA47&lt;&gt;"ACUMULA",IF(E47&gt;=AE47,IF(AND(D47="XVI - Activos virtuales (PSAV): cobro de contraprestación (comisión) por el servicio",COUNTIFS($C$6:$C$505,C47,$B$6:$B$505,"&gt;="&amp;INT(B47),$B$6:$B$505,"&lt;"&amp;(INT(B47)+1),$AU$6:$AU$505,1)&gt;0),"En el Aviso del inciso a) (R 31 Bis)","AVISO"),"—"),IF(M47&lt;&gt;"Sí","—",IF(AK47&gt;=AE47,IF(AK47=E47,"AVISO","AVISO (acumulado)"),"Acumulando")))))))</f>
        <v/>
      </c>
    </row>
    <row r="48" customFormat="false" ht="15" hidden="false" customHeight="false" outlineLevel="0" collapsed="false">
      <c r="A48" s="9" t="str">
        <f aca="false">IF(E48="","",ROW()-5)</f>
        <v/>
      </c>
      <c r="B48" s="20"/>
      <c r="C48" s="21"/>
      <c r="D48" s="21"/>
      <c r="E48" s="22"/>
      <c r="F48" s="22"/>
      <c r="G48" s="21"/>
      <c r="H48" s="21"/>
      <c r="I48" s="9" t="str">
        <f aca="false">IF(C48="","",IFERROR(INDEX(CLIENTES!$B$6:$B$305,MATCH(C48,CLIENTES!$A$6:$A$305,0)),"⚠ ID no registrado"))</f>
        <v/>
      </c>
      <c r="J48" s="9" t="str">
        <f aca="false">IF(C48="","",IFERROR(INDEX(CLIENTES!$Z$6:$Z$305,MATCH(C48,CLIENTES!$A$6:$A$305,0)),""))</f>
        <v/>
      </c>
      <c r="K48" s="9" t="str">
        <f aca="false">IF(E48="","",IF(AB48="Siempre","Sí",IF(ISNUMBER(AC48),IF(E48&gt;=AC48,"Sí",IF(AW48&gt;=AC48,"Sí (serie 24 h)","No")),"")))</f>
        <v/>
      </c>
      <c r="L48" s="9" t="str">
        <f aca="false">IF(E48="","",AA48)</f>
        <v/>
      </c>
      <c r="M48" s="9" t="str">
        <f aca="false">IF(E48="","",IF(AA48&lt;&gt;"ACUMULA","No aplica",IF(LEFT(K48,2)="Sí","Sí","No")))</f>
        <v/>
      </c>
      <c r="N48" s="23" t="str">
        <f aca="false">IF(M48="Sí",AJ48,"")</f>
        <v/>
      </c>
      <c r="O48" s="24" t="str">
        <f aca="false">IF(M48="Sí",AK48,"")</f>
        <v/>
      </c>
      <c r="P48" s="25" t="str">
        <f aca="false">IF(AND(LEFT(D48,6)="XIV - ",LEFT(AX48,5)="AVISO"),"Pedimento (R 16): no va al SPPLD",AX48)</f>
        <v/>
      </c>
      <c r="Q48" s="23" t="str">
        <f aca="false">IF(LEFT(P48,5)="AVISO",IF(ISNUMBER(B48),DATE(YEAR(B48),MONTH(B48)+1,17),"Falta fecha"),"")</f>
        <v/>
      </c>
      <c r="R48" s="9" t="str">
        <f aca="false">IF(OR(F48="",F48=0),"",IF(ISNUMBER(AG48),IF(F48&gt;=AG48,"PROHIBIDO","Dentro del límite"),"No aplica"))</f>
        <v/>
      </c>
      <c r="S48" s="26" t="str">
        <f aca="false">IF(E48="","",MID(IF(AQ48=1," · Excede el perfil declarado","")&amp;IF(H48="Sí"," · Paga un tercero","")&amp;IF(J48="Alto"," · Cliente de riesgo alto: DDR (RCG 23 Ter 3 y 4)","")&amp;IF(AND(AS48&lt;&gt;"",AS48&lt;&gt;"No",AS48&lt;&gt;0)," · PEP","")&amp;IF(R48="PROHIBIDO"," · Efectivo prohibido: no lo recibas (Art. 32)","")&amp;IF(AR48=1," · ⚠ Fecha fuera de orden","")&amp;IF(LEFT(I48,1)="⚠"," · ⚠ Cliente no registrado","")&amp;IF(D48=""," · ⚠ Falta la actividad","")&amp;IF(AND(LEFT(P48,5)="AVISO",W48="")," · Captura la cifra total con IVA para el Aviso","")&amp;IF(AND(ISNUMBER(W48),W48&lt;E48)," · ⚠ La cifra con IVA es menor que el monto sin IVA",""),4,400))</f>
        <v/>
      </c>
      <c r="T48" s="21"/>
      <c r="U48" s="20"/>
      <c r="V48" s="9" t="str">
        <f aca="false">IF(LEFT(P48,5)&lt;&gt;"AVISO","",IF(T48="Presentado",IF(AND(ISNUMBER(U48),ISNUMBER(Q48),U48&gt;Q48),"Presentado tarde","Presentado"),IF(NOT(ISNUMBER(Q48)),"Falta fecha",IF(Q48&lt;CONFIG!$B$6,"VENCIDO","Vence en "&amp;(Q48-CONFIG!$B$6)&amp;" días"))))</f>
        <v/>
      </c>
      <c r="W48" s="22"/>
      <c r="X48" s="21"/>
      <c r="AA48" s="0" t="str">
        <f aca="false">IF(AM48="","",INDEX(CATÁLOGO!$D$5:$D$39,AM48))</f>
        <v/>
      </c>
      <c r="AB48" s="0" t="str">
        <f aca="false">IF(AM48="","",INDEX(CATÁLOGO!$E$5:$E$39,AM48))</f>
        <v/>
      </c>
      <c r="AC48" s="0" t="str">
        <f aca="false">IF(AB48="","",IF(ISNUMBER(AB48),AB48*AV48,AB48))</f>
        <v/>
      </c>
      <c r="AD48" s="0" t="str">
        <f aca="false">IF(AM48="","",INDEX(CATÁLOGO!$F$5:$F$39,AM48))</f>
        <v/>
      </c>
      <c r="AE48" s="0" t="str">
        <f aca="false">IF(AD48="","",IF(ISNUMBER(AD48),AD48*AV48,AD48))</f>
        <v/>
      </c>
      <c r="AF48" s="0" t="str">
        <f aca="false">IF(AM48="","",INDEX(CATÁLOGO!$G$5:$G$39,AM48))</f>
        <v/>
      </c>
      <c r="AG48" s="0" t="str">
        <f aca="false">IF(AF48="","",IF(ISNUMBER(AF48),AF48*AV48,AF48))</f>
        <v/>
      </c>
      <c r="AH48" s="0" t="str">
        <f aca="false">IF(E48="","",C48&amp;"|"&amp;D48)</f>
        <v/>
      </c>
      <c r="AI48" s="27" t="n">
        <f aca="false">IF(M48&lt;&gt;"Sí",0,SUMPRODUCT(MAX(($AH$5:AH47=AH48)*($M$5:M47="Sí")*ROW($AH$5:AH47))))</f>
        <v>0</v>
      </c>
      <c r="AJ48" s="0" t="str">
        <f aca="false">IF(M48&lt;&gt;"Sí","",IF(AL48=1,B48,INDEX($AJ:$AJ,AI48)))</f>
        <v/>
      </c>
      <c r="AK48" s="0" t="str">
        <f aca="false">IF(M48&lt;&gt;"Sí","",IF(AL48=1,E48,INDEX($AK:$AK,AI48)+E48))</f>
        <v/>
      </c>
      <c r="AL48" s="0" t="str">
        <f aca="false">IF(M48&lt;&gt;"Sí","",IF(AI48=0,1,IF(INDEX($AN:$AN,AI48)=0,1,IF(B48&gt;=EDATE(INDEX($AJ:$AJ,AI48),6),1,0))))</f>
        <v/>
      </c>
      <c r="AM48" s="0" t="str">
        <f aca="false">IF(D48="","",IFERROR(MATCH(D48,CATÁLOGO!$C$5:$C$39,0),""))</f>
        <v/>
      </c>
      <c r="AN48" s="0" t="str">
        <f aca="false">IF(M48&lt;&gt;"Sí","",IF(AND(ISNUMBER(AE48),AK48&gt;=AE48),0,1))</f>
        <v/>
      </c>
      <c r="AO48" s="0" t="str">
        <f aca="false">IF(OR(E48="",C48="",NOT(ISNUMBER(B48))),"",SUMIFS($E$6:$E$505,$C$6:$C$505,C48,$B$6:$B$505,"&gt;="&amp;DATE(YEAR(B48),MONTH(B48),1),$B$6:$B$505,"&lt;"&amp;DATE(YEAR(B48),MONTH(B48)+1,1)))</f>
        <v/>
      </c>
      <c r="AP48" s="0" t="str">
        <f aca="false">IF(C48="","",IFERROR(INDEX(CLIENTES!$M$6:$M$305,MATCH(C48,CLIENTES!$A$6:$A$305,0)),""))</f>
        <v/>
      </c>
      <c r="AQ48" s="27" t="n">
        <f aca="false">IF(AND(ISNUMBER(AO48),ISNUMBER(AP48)),IF(AND(AP48&gt;0,AO48&gt;AP48),1,0),0)</f>
        <v>0</v>
      </c>
      <c r="AR48" s="27" t="n">
        <f aca="false">IF(NOT(ISNUMBER(B48)),0,IF(B48&lt;MAX($B$5:B47),1,0))</f>
        <v>0</v>
      </c>
      <c r="AS48" s="0" t="str">
        <f aca="false">IF(C48="","",IFERROR(INDEX(CLIENTES!$H$6:$H$305,MATCH(C48,CLIENTES!$A$6:$A$305,0)),""))</f>
        <v/>
      </c>
      <c r="AT48" s="0" t="str">
        <f aca="false">IF(AND(LEFT(P48,5)="AVISO",T48&lt;&gt;"Presentado",ISNUMBER(Q48)),Q48,"")</f>
        <v/>
      </c>
      <c r="AU48" s="27" t="n">
        <f aca="false">IF(AND(D48="XVI - Activos virtuales (PSAV): operación de intercambio/transferencia",M48="Sí",ISNUMBER(AE48)),IF(AK48&gt;=AE48,1,0),0)</f>
        <v>0</v>
      </c>
      <c r="AV48" s="30" t="n">
        <f aca="false">IF(NOT(ISNUMBER(B48)),CONFIG!$B$4,IFERROR(INDEX(CONFIG!$I$5:$I$14,MATCH(IF(MONTH(B48)=1,YEAR(B48)-1,YEAR(B48)),CONFIG!$H$5:$H$14,0)),CONFIG!$B$4))</f>
        <v>117.31</v>
      </c>
      <c r="AW48" s="27" t="n">
        <f aca="false">IF(AND(LEFT(D48,4)="I - ",ISNUMBER(B48),C48&lt;&gt;""),SUMIFS($E$6:$E$505,$C$6:$C$505,C48,$D$6:$D$505,D48,$B$6:$B$505,"&gt;"&amp;(B48-1),$B$6:$B$505,"&lt;="&amp;B48),0)</f>
        <v>0</v>
      </c>
      <c r="AX48" s="0" t="str">
        <f aca="false">IF(E48="","",IF(AD48="Siempre","AVISO (siempre)",IF(AD48="No aplica","Sin Aviso (sólo preparas: Ley 17 XI)",IF(NOT(ISNUMBER(AE48)),"",IF(AA48&lt;&gt;"ACUMULA",IF(E48&gt;=AE48,IF(AND(D48="XVI - Activos virtuales (PSAV): cobro de contraprestación (comisión) por el servicio",COUNTIFS($C$6:$C$505,C48,$B$6:$B$505,"&gt;="&amp;INT(B48),$B$6:$B$505,"&lt;"&amp;(INT(B48)+1),$AU$6:$AU$505,1)&gt;0),"En el Aviso del inciso a) (R 31 Bis)","AVISO"),"—"),IF(M48&lt;&gt;"Sí","—",IF(AK48&gt;=AE48,IF(AK48=E48,"AVISO","AVISO (acumulado)"),"Acumulando")))))))</f>
        <v/>
      </c>
    </row>
    <row r="49" customFormat="false" ht="15" hidden="false" customHeight="false" outlineLevel="0" collapsed="false">
      <c r="A49" s="9" t="str">
        <f aca="false">IF(E49="","",ROW()-5)</f>
        <v/>
      </c>
      <c r="B49" s="20"/>
      <c r="C49" s="21"/>
      <c r="D49" s="21"/>
      <c r="E49" s="22"/>
      <c r="F49" s="22"/>
      <c r="G49" s="21"/>
      <c r="H49" s="21"/>
      <c r="I49" s="9" t="str">
        <f aca="false">IF(C49="","",IFERROR(INDEX(CLIENTES!$B$6:$B$305,MATCH(C49,CLIENTES!$A$6:$A$305,0)),"⚠ ID no registrado"))</f>
        <v/>
      </c>
      <c r="J49" s="9" t="str">
        <f aca="false">IF(C49="","",IFERROR(INDEX(CLIENTES!$Z$6:$Z$305,MATCH(C49,CLIENTES!$A$6:$A$305,0)),""))</f>
        <v/>
      </c>
      <c r="K49" s="9" t="str">
        <f aca="false">IF(E49="","",IF(AB49="Siempre","Sí",IF(ISNUMBER(AC49),IF(E49&gt;=AC49,"Sí",IF(AW49&gt;=AC49,"Sí (serie 24 h)","No")),"")))</f>
        <v/>
      </c>
      <c r="L49" s="9" t="str">
        <f aca="false">IF(E49="","",AA49)</f>
        <v/>
      </c>
      <c r="M49" s="9" t="str">
        <f aca="false">IF(E49="","",IF(AA49&lt;&gt;"ACUMULA","No aplica",IF(LEFT(K49,2)="Sí","Sí","No")))</f>
        <v/>
      </c>
      <c r="N49" s="23" t="str">
        <f aca="false">IF(M49="Sí",AJ49,"")</f>
        <v/>
      </c>
      <c r="O49" s="24" t="str">
        <f aca="false">IF(M49="Sí",AK49,"")</f>
        <v/>
      </c>
      <c r="P49" s="25" t="str">
        <f aca="false">IF(AND(LEFT(D49,6)="XIV - ",LEFT(AX49,5)="AVISO"),"Pedimento (R 16): no va al SPPLD",AX49)</f>
        <v/>
      </c>
      <c r="Q49" s="23" t="str">
        <f aca="false">IF(LEFT(P49,5)="AVISO",IF(ISNUMBER(B49),DATE(YEAR(B49),MONTH(B49)+1,17),"Falta fecha"),"")</f>
        <v/>
      </c>
      <c r="R49" s="9" t="str">
        <f aca="false">IF(OR(F49="",F49=0),"",IF(ISNUMBER(AG49),IF(F49&gt;=AG49,"PROHIBIDO","Dentro del límite"),"No aplica"))</f>
        <v/>
      </c>
      <c r="S49" s="26" t="str">
        <f aca="false">IF(E49="","",MID(IF(AQ49=1," · Excede el perfil declarado","")&amp;IF(H49="Sí"," · Paga un tercero","")&amp;IF(J49="Alto"," · Cliente de riesgo alto: DDR (RCG 23 Ter 3 y 4)","")&amp;IF(AND(AS49&lt;&gt;"",AS49&lt;&gt;"No",AS49&lt;&gt;0)," · PEP","")&amp;IF(R49="PROHIBIDO"," · Efectivo prohibido: no lo recibas (Art. 32)","")&amp;IF(AR49=1," · ⚠ Fecha fuera de orden","")&amp;IF(LEFT(I49,1)="⚠"," · ⚠ Cliente no registrado","")&amp;IF(D49=""," · ⚠ Falta la actividad","")&amp;IF(AND(LEFT(P49,5)="AVISO",W49="")," · Captura la cifra total con IVA para el Aviso","")&amp;IF(AND(ISNUMBER(W49),W49&lt;E49)," · ⚠ La cifra con IVA es menor que el monto sin IVA",""),4,400))</f>
        <v/>
      </c>
      <c r="T49" s="21"/>
      <c r="U49" s="20"/>
      <c r="V49" s="9" t="str">
        <f aca="false">IF(LEFT(P49,5)&lt;&gt;"AVISO","",IF(T49="Presentado",IF(AND(ISNUMBER(U49),ISNUMBER(Q49),U49&gt;Q49),"Presentado tarde","Presentado"),IF(NOT(ISNUMBER(Q49)),"Falta fecha",IF(Q49&lt;CONFIG!$B$6,"VENCIDO","Vence en "&amp;(Q49-CONFIG!$B$6)&amp;" días"))))</f>
        <v/>
      </c>
      <c r="W49" s="22"/>
      <c r="X49" s="21"/>
      <c r="AA49" s="0" t="str">
        <f aca="false">IF(AM49="","",INDEX(CATÁLOGO!$D$5:$D$39,AM49))</f>
        <v/>
      </c>
      <c r="AB49" s="0" t="str">
        <f aca="false">IF(AM49="","",INDEX(CATÁLOGO!$E$5:$E$39,AM49))</f>
        <v/>
      </c>
      <c r="AC49" s="0" t="str">
        <f aca="false">IF(AB49="","",IF(ISNUMBER(AB49),AB49*AV49,AB49))</f>
        <v/>
      </c>
      <c r="AD49" s="0" t="str">
        <f aca="false">IF(AM49="","",INDEX(CATÁLOGO!$F$5:$F$39,AM49))</f>
        <v/>
      </c>
      <c r="AE49" s="0" t="str">
        <f aca="false">IF(AD49="","",IF(ISNUMBER(AD49),AD49*AV49,AD49))</f>
        <v/>
      </c>
      <c r="AF49" s="0" t="str">
        <f aca="false">IF(AM49="","",INDEX(CATÁLOGO!$G$5:$G$39,AM49))</f>
        <v/>
      </c>
      <c r="AG49" s="0" t="str">
        <f aca="false">IF(AF49="","",IF(ISNUMBER(AF49),AF49*AV49,AF49))</f>
        <v/>
      </c>
      <c r="AH49" s="0" t="str">
        <f aca="false">IF(E49="","",C49&amp;"|"&amp;D49)</f>
        <v/>
      </c>
      <c r="AI49" s="27" t="n">
        <f aca="false">IF(M49&lt;&gt;"Sí",0,SUMPRODUCT(MAX(($AH$5:AH48=AH49)*($M$5:M48="Sí")*ROW($AH$5:AH48))))</f>
        <v>0</v>
      </c>
      <c r="AJ49" s="0" t="str">
        <f aca="false">IF(M49&lt;&gt;"Sí","",IF(AL49=1,B49,INDEX($AJ:$AJ,AI49)))</f>
        <v/>
      </c>
      <c r="AK49" s="0" t="str">
        <f aca="false">IF(M49&lt;&gt;"Sí","",IF(AL49=1,E49,INDEX($AK:$AK,AI49)+E49))</f>
        <v/>
      </c>
      <c r="AL49" s="0" t="str">
        <f aca="false">IF(M49&lt;&gt;"Sí","",IF(AI49=0,1,IF(INDEX($AN:$AN,AI49)=0,1,IF(B49&gt;=EDATE(INDEX($AJ:$AJ,AI49),6),1,0))))</f>
        <v/>
      </c>
      <c r="AM49" s="0" t="str">
        <f aca="false">IF(D49="","",IFERROR(MATCH(D49,CATÁLOGO!$C$5:$C$39,0),""))</f>
        <v/>
      </c>
      <c r="AN49" s="0" t="str">
        <f aca="false">IF(M49&lt;&gt;"Sí","",IF(AND(ISNUMBER(AE49),AK49&gt;=AE49),0,1))</f>
        <v/>
      </c>
      <c r="AO49" s="0" t="str">
        <f aca="false">IF(OR(E49="",C49="",NOT(ISNUMBER(B49))),"",SUMIFS($E$6:$E$505,$C$6:$C$505,C49,$B$6:$B$505,"&gt;="&amp;DATE(YEAR(B49),MONTH(B49),1),$B$6:$B$505,"&lt;"&amp;DATE(YEAR(B49),MONTH(B49)+1,1)))</f>
        <v/>
      </c>
      <c r="AP49" s="0" t="str">
        <f aca="false">IF(C49="","",IFERROR(INDEX(CLIENTES!$M$6:$M$305,MATCH(C49,CLIENTES!$A$6:$A$305,0)),""))</f>
        <v/>
      </c>
      <c r="AQ49" s="27" t="n">
        <f aca="false">IF(AND(ISNUMBER(AO49),ISNUMBER(AP49)),IF(AND(AP49&gt;0,AO49&gt;AP49),1,0),0)</f>
        <v>0</v>
      </c>
      <c r="AR49" s="27" t="n">
        <f aca="false">IF(NOT(ISNUMBER(B49)),0,IF(B49&lt;MAX($B$5:B48),1,0))</f>
        <v>0</v>
      </c>
      <c r="AS49" s="0" t="str">
        <f aca="false">IF(C49="","",IFERROR(INDEX(CLIENTES!$H$6:$H$305,MATCH(C49,CLIENTES!$A$6:$A$305,0)),""))</f>
        <v/>
      </c>
      <c r="AT49" s="0" t="str">
        <f aca="false">IF(AND(LEFT(P49,5)="AVISO",T49&lt;&gt;"Presentado",ISNUMBER(Q49)),Q49,"")</f>
        <v/>
      </c>
      <c r="AU49" s="27" t="n">
        <f aca="false">IF(AND(D49="XVI - Activos virtuales (PSAV): operación de intercambio/transferencia",M49="Sí",ISNUMBER(AE49)),IF(AK49&gt;=AE49,1,0),0)</f>
        <v>0</v>
      </c>
      <c r="AV49" s="30" t="n">
        <f aca="false">IF(NOT(ISNUMBER(B49)),CONFIG!$B$4,IFERROR(INDEX(CONFIG!$I$5:$I$14,MATCH(IF(MONTH(B49)=1,YEAR(B49)-1,YEAR(B49)),CONFIG!$H$5:$H$14,0)),CONFIG!$B$4))</f>
        <v>117.31</v>
      </c>
      <c r="AW49" s="27" t="n">
        <f aca="false">IF(AND(LEFT(D49,4)="I - ",ISNUMBER(B49),C49&lt;&gt;""),SUMIFS($E$6:$E$505,$C$6:$C$505,C49,$D$6:$D$505,D49,$B$6:$B$505,"&gt;"&amp;(B49-1),$B$6:$B$505,"&lt;="&amp;B49),0)</f>
        <v>0</v>
      </c>
      <c r="AX49" s="0" t="str">
        <f aca="false">IF(E49="","",IF(AD49="Siempre","AVISO (siempre)",IF(AD49="No aplica","Sin Aviso (sólo preparas: Ley 17 XI)",IF(NOT(ISNUMBER(AE49)),"",IF(AA49&lt;&gt;"ACUMULA",IF(E49&gt;=AE49,IF(AND(D49="XVI - Activos virtuales (PSAV): cobro de contraprestación (comisión) por el servicio",COUNTIFS($C$6:$C$505,C49,$B$6:$B$505,"&gt;="&amp;INT(B49),$B$6:$B$505,"&lt;"&amp;(INT(B49)+1),$AU$6:$AU$505,1)&gt;0),"En el Aviso del inciso a) (R 31 Bis)","AVISO"),"—"),IF(M49&lt;&gt;"Sí","—",IF(AK49&gt;=AE49,IF(AK49=E49,"AVISO","AVISO (acumulado)"),"Acumulando")))))))</f>
        <v/>
      </c>
    </row>
    <row r="50" customFormat="false" ht="15" hidden="false" customHeight="false" outlineLevel="0" collapsed="false">
      <c r="A50" s="9" t="str">
        <f aca="false">IF(E50="","",ROW()-5)</f>
        <v/>
      </c>
      <c r="B50" s="20"/>
      <c r="C50" s="21"/>
      <c r="D50" s="21"/>
      <c r="E50" s="22"/>
      <c r="F50" s="22"/>
      <c r="G50" s="21"/>
      <c r="H50" s="21"/>
      <c r="I50" s="9" t="str">
        <f aca="false">IF(C50="","",IFERROR(INDEX(CLIENTES!$B$6:$B$305,MATCH(C50,CLIENTES!$A$6:$A$305,0)),"⚠ ID no registrado"))</f>
        <v/>
      </c>
      <c r="J50" s="9" t="str">
        <f aca="false">IF(C50="","",IFERROR(INDEX(CLIENTES!$Z$6:$Z$305,MATCH(C50,CLIENTES!$A$6:$A$305,0)),""))</f>
        <v/>
      </c>
      <c r="K50" s="9" t="str">
        <f aca="false">IF(E50="","",IF(AB50="Siempre","Sí",IF(ISNUMBER(AC50),IF(E50&gt;=AC50,"Sí",IF(AW50&gt;=AC50,"Sí (serie 24 h)","No")),"")))</f>
        <v/>
      </c>
      <c r="L50" s="9" t="str">
        <f aca="false">IF(E50="","",AA50)</f>
        <v/>
      </c>
      <c r="M50" s="9" t="str">
        <f aca="false">IF(E50="","",IF(AA50&lt;&gt;"ACUMULA","No aplica",IF(LEFT(K50,2)="Sí","Sí","No")))</f>
        <v/>
      </c>
      <c r="N50" s="23" t="str">
        <f aca="false">IF(M50="Sí",AJ50,"")</f>
        <v/>
      </c>
      <c r="O50" s="24" t="str">
        <f aca="false">IF(M50="Sí",AK50,"")</f>
        <v/>
      </c>
      <c r="P50" s="25" t="str">
        <f aca="false">IF(AND(LEFT(D50,6)="XIV - ",LEFT(AX50,5)="AVISO"),"Pedimento (R 16): no va al SPPLD",AX50)</f>
        <v/>
      </c>
      <c r="Q50" s="23" t="str">
        <f aca="false">IF(LEFT(P50,5)="AVISO",IF(ISNUMBER(B50),DATE(YEAR(B50),MONTH(B50)+1,17),"Falta fecha"),"")</f>
        <v/>
      </c>
      <c r="R50" s="9" t="str">
        <f aca="false">IF(OR(F50="",F50=0),"",IF(ISNUMBER(AG50),IF(F50&gt;=AG50,"PROHIBIDO","Dentro del límite"),"No aplica"))</f>
        <v/>
      </c>
      <c r="S50" s="26" t="str">
        <f aca="false">IF(E50="","",MID(IF(AQ50=1," · Excede el perfil declarado","")&amp;IF(H50="Sí"," · Paga un tercero","")&amp;IF(J50="Alto"," · Cliente de riesgo alto: DDR (RCG 23 Ter 3 y 4)","")&amp;IF(AND(AS50&lt;&gt;"",AS50&lt;&gt;"No",AS50&lt;&gt;0)," · PEP","")&amp;IF(R50="PROHIBIDO"," · Efectivo prohibido: no lo recibas (Art. 32)","")&amp;IF(AR50=1," · ⚠ Fecha fuera de orden","")&amp;IF(LEFT(I50,1)="⚠"," · ⚠ Cliente no registrado","")&amp;IF(D50=""," · ⚠ Falta la actividad","")&amp;IF(AND(LEFT(P50,5)="AVISO",W50="")," · Captura la cifra total con IVA para el Aviso","")&amp;IF(AND(ISNUMBER(W50),W50&lt;E50)," · ⚠ La cifra con IVA es menor que el monto sin IVA",""),4,400))</f>
        <v/>
      </c>
      <c r="T50" s="21"/>
      <c r="U50" s="20"/>
      <c r="V50" s="9" t="str">
        <f aca="false">IF(LEFT(P50,5)&lt;&gt;"AVISO","",IF(T50="Presentado",IF(AND(ISNUMBER(U50),ISNUMBER(Q50),U50&gt;Q50),"Presentado tarde","Presentado"),IF(NOT(ISNUMBER(Q50)),"Falta fecha",IF(Q50&lt;CONFIG!$B$6,"VENCIDO","Vence en "&amp;(Q50-CONFIG!$B$6)&amp;" días"))))</f>
        <v/>
      </c>
      <c r="W50" s="22"/>
      <c r="X50" s="21"/>
      <c r="AA50" s="0" t="str">
        <f aca="false">IF(AM50="","",INDEX(CATÁLOGO!$D$5:$D$39,AM50))</f>
        <v/>
      </c>
      <c r="AB50" s="0" t="str">
        <f aca="false">IF(AM50="","",INDEX(CATÁLOGO!$E$5:$E$39,AM50))</f>
        <v/>
      </c>
      <c r="AC50" s="0" t="str">
        <f aca="false">IF(AB50="","",IF(ISNUMBER(AB50),AB50*AV50,AB50))</f>
        <v/>
      </c>
      <c r="AD50" s="0" t="str">
        <f aca="false">IF(AM50="","",INDEX(CATÁLOGO!$F$5:$F$39,AM50))</f>
        <v/>
      </c>
      <c r="AE50" s="0" t="str">
        <f aca="false">IF(AD50="","",IF(ISNUMBER(AD50),AD50*AV50,AD50))</f>
        <v/>
      </c>
      <c r="AF50" s="0" t="str">
        <f aca="false">IF(AM50="","",INDEX(CATÁLOGO!$G$5:$G$39,AM50))</f>
        <v/>
      </c>
      <c r="AG50" s="0" t="str">
        <f aca="false">IF(AF50="","",IF(ISNUMBER(AF50),AF50*AV50,AF50))</f>
        <v/>
      </c>
      <c r="AH50" s="0" t="str">
        <f aca="false">IF(E50="","",C50&amp;"|"&amp;D50)</f>
        <v/>
      </c>
      <c r="AI50" s="27" t="n">
        <f aca="false">IF(M50&lt;&gt;"Sí",0,SUMPRODUCT(MAX(($AH$5:AH49=AH50)*($M$5:M49="Sí")*ROW($AH$5:AH49))))</f>
        <v>0</v>
      </c>
      <c r="AJ50" s="0" t="str">
        <f aca="false">IF(M50&lt;&gt;"Sí","",IF(AL50=1,B50,INDEX($AJ:$AJ,AI50)))</f>
        <v/>
      </c>
      <c r="AK50" s="0" t="str">
        <f aca="false">IF(M50&lt;&gt;"Sí","",IF(AL50=1,E50,INDEX($AK:$AK,AI50)+E50))</f>
        <v/>
      </c>
      <c r="AL50" s="0" t="str">
        <f aca="false">IF(M50&lt;&gt;"Sí","",IF(AI50=0,1,IF(INDEX($AN:$AN,AI50)=0,1,IF(B50&gt;=EDATE(INDEX($AJ:$AJ,AI50),6),1,0))))</f>
        <v/>
      </c>
      <c r="AM50" s="0" t="str">
        <f aca="false">IF(D50="","",IFERROR(MATCH(D50,CATÁLOGO!$C$5:$C$39,0),""))</f>
        <v/>
      </c>
      <c r="AN50" s="0" t="str">
        <f aca="false">IF(M50&lt;&gt;"Sí","",IF(AND(ISNUMBER(AE50),AK50&gt;=AE50),0,1))</f>
        <v/>
      </c>
      <c r="AO50" s="0" t="str">
        <f aca="false">IF(OR(E50="",C50="",NOT(ISNUMBER(B50))),"",SUMIFS($E$6:$E$505,$C$6:$C$505,C50,$B$6:$B$505,"&gt;="&amp;DATE(YEAR(B50),MONTH(B50),1),$B$6:$B$505,"&lt;"&amp;DATE(YEAR(B50),MONTH(B50)+1,1)))</f>
        <v/>
      </c>
      <c r="AP50" s="0" t="str">
        <f aca="false">IF(C50="","",IFERROR(INDEX(CLIENTES!$M$6:$M$305,MATCH(C50,CLIENTES!$A$6:$A$305,0)),""))</f>
        <v/>
      </c>
      <c r="AQ50" s="27" t="n">
        <f aca="false">IF(AND(ISNUMBER(AO50),ISNUMBER(AP50)),IF(AND(AP50&gt;0,AO50&gt;AP50),1,0),0)</f>
        <v>0</v>
      </c>
      <c r="AR50" s="27" t="n">
        <f aca="false">IF(NOT(ISNUMBER(B50)),0,IF(B50&lt;MAX($B$5:B49),1,0))</f>
        <v>0</v>
      </c>
      <c r="AS50" s="0" t="str">
        <f aca="false">IF(C50="","",IFERROR(INDEX(CLIENTES!$H$6:$H$305,MATCH(C50,CLIENTES!$A$6:$A$305,0)),""))</f>
        <v/>
      </c>
      <c r="AT50" s="0" t="str">
        <f aca="false">IF(AND(LEFT(P50,5)="AVISO",T50&lt;&gt;"Presentado",ISNUMBER(Q50)),Q50,"")</f>
        <v/>
      </c>
      <c r="AU50" s="27" t="n">
        <f aca="false">IF(AND(D50="XVI - Activos virtuales (PSAV): operación de intercambio/transferencia",M50="Sí",ISNUMBER(AE50)),IF(AK50&gt;=AE50,1,0),0)</f>
        <v>0</v>
      </c>
      <c r="AV50" s="30" t="n">
        <f aca="false">IF(NOT(ISNUMBER(B50)),CONFIG!$B$4,IFERROR(INDEX(CONFIG!$I$5:$I$14,MATCH(IF(MONTH(B50)=1,YEAR(B50)-1,YEAR(B50)),CONFIG!$H$5:$H$14,0)),CONFIG!$B$4))</f>
        <v>117.31</v>
      </c>
      <c r="AW50" s="27" t="n">
        <f aca="false">IF(AND(LEFT(D50,4)="I - ",ISNUMBER(B50),C50&lt;&gt;""),SUMIFS($E$6:$E$505,$C$6:$C$505,C50,$D$6:$D$505,D50,$B$6:$B$505,"&gt;"&amp;(B50-1),$B$6:$B$505,"&lt;="&amp;B50),0)</f>
        <v>0</v>
      </c>
      <c r="AX50" s="0" t="str">
        <f aca="false">IF(E50="","",IF(AD50="Siempre","AVISO (siempre)",IF(AD50="No aplica","Sin Aviso (sólo preparas: Ley 17 XI)",IF(NOT(ISNUMBER(AE50)),"",IF(AA50&lt;&gt;"ACUMULA",IF(E50&gt;=AE50,IF(AND(D50="XVI - Activos virtuales (PSAV): cobro de contraprestación (comisión) por el servicio",COUNTIFS($C$6:$C$505,C50,$B$6:$B$505,"&gt;="&amp;INT(B50),$B$6:$B$505,"&lt;"&amp;(INT(B50)+1),$AU$6:$AU$505,1)&gt;0),"En el Aviso del inciso a) (R 31 Bis)","AVISO"),"—"),IF(M50&lt;&gt;"Sí","—",IF(AK50&gt;=AE50,IF(AK50=E50,"AVISO","AVISO (acumulado)"),"Acumulando")))))))</f>
        <v/>
      </c>
    </row>
    <row r="51" customFormat="false" ht="15" hidden="false" customHeight="false" outlineLevel="0" collapsed="false">
      <c r="A51" s="9" t="str">
        <f aca="false">IF(E51="","",ROW()-5)</f>
        <v/>
      </c>
      <c r="B51" s="20"/>
      <c r="C51" s="21"/>
      <c r="D51" s="21"/>
      <c r="E51" s="22"/>
      <c r="F51" s="22"/>
      <c r="G51" s="21"/>
      <c r="H51" s="21"/>
      <c r="I51" s="9" t="str">
        <f aca="false">IF(C51="","",IFERROR(INDEX(CLIENTES!$B$6:$B$305,MATCH(C51,CLIENTES!$A$6:$A$305,0)),"⚠ ID no registrado"))</f>
        <v/>
      </c>
      <c r="J51" s="9" t="str">
        <f aca="false">IF(C51="","",IFERROR(INDEX(CLIENTES!$Z$6:$Z$305,MATCH(C51,CLIENTES!$A$6:$A$305,0)),""))</f>
        <v/>
      </c>
      <c r="K51" s="9" t="str">
        <f aca="false">IF(E51="","",IF(AB51="Siempre","Sí",IF(ISNUMBER(AC51),IF(E51&gt;=AC51,"Sí",IF(AW51&gt;=AC51,"Sí (serie 24 h)","No")),"")))</f>
        <v/>
      </c>
      <c r="L51" s="9" t="str">
        <f aca="false">IF(E51="","",AA51)</f>
        <v/>
      </c>
      <c r="M51" s="9" t="str">
        <f aca="false">IF(E51="","",IF(AA51&lt;&gt;"ACUMULA","No aplica",IF(LEFT(K51,2)="Sí","Sí","No")))</f>
        <v/>
      </c>
      <c r="N51" s="23" t="str">
        <f aca="false">IF(M51="Sí",AJ51,"")</f>
        <v/>
      </c>
      <c r="O51" s="24" t="str">
        <f aca="false">IF(M51="Sí",AK51,"")</f>
        <v/>
      </c>
      <c r="P51" s="25" t="str">
        <f aca="false">IF(AND(LEFT(D51,6)="XIV - ",LEFT(AX51,5)="AVISO"),"Pedimento (R 16): no va al SPPLD",AX51)</f>
        <v/>
      </c>
      <c r="Q51" s="23" t="str">
        <f aca="false">IF(LEFT(P51,5)="AVISO",IF(ISNUMBER(B51),DATE(YEAR(B51),MONTH(B51)+1,17),"Falta fecha"),"")</f>
        <v/>
      </c>
      <c r="R51" s="9" t="str">
        <f aca="false">IF(OR(F51="",F51=0),"",IF(ISNUMBER(AG51),IF(F51&gt;=AG51,"PROHIBIDO","Dentro del límite"),"No aplica"))</f>
        <v/>
      </c>
      <c r="S51" s="26" t="str">
        <f aca="false">IF(E51="","",MID(IF(AQ51=1," · Excede el perfil declarado","")&amp;IF(H51="Sí"," · Paga un tercero","")&amp;IF(J51="Alto"," · Cliente de riesgo alto: DDR (RCG 23 Ter 3 y 4)","")&amp;IF(AND(AS51&lt;&gt;"",AS51&lt;&gt;"No",AS51&lt;&gt;0)," · PEP","")&amp;IF(R51="PROHIBIDO"," · Efectivo prohibido: no lo recibas (Art. 32)","")&amp;IF(AR51=1," · ⚠ Fecha fuera de orden","")&amp;IF(LEFT(I51,1)="⚠"," · ⚠ Cliente no registrado","")&amp;IF(D51=""," · ⚠ Falta la actividad","")&amp;IF(AND(LEFT(P51,5)="AVISO",W51="")," · Captura la cifra total con IVA para el Aviso","")&amp;IF(AND(ISNUMBER(W51),W51&lt;E51)," · ⚠ La cifra con IVA es menor que el monto sin IVA",""),4,400))</f>
        <v/>
      </c>
      <c r="T51" s="21"/>
      <c r="U51" s="20"/>
      <c r="V51" s="9" t="str">
        <f aca="false">IF(LEFT(P51,5)&lt;&gt;"AVISO","",IF(T51="Presentado",IF(AND(ISNUMBER(U51),ISNUMBER(Q51),U51&gt;Q51),"Presentado tarde","Presentado"),IF(NOT(ISNUMBER(Q51)),"Falta fecha",IF(Q51&lt;CONFIG!$B$6,"VENCIDO","Vence en "&amp;(Q51-CONFIG!$B$6)&amp;" días"))))</f>
        <v/>
      </c>
      <c r="W51" s="22"/>
      <c r="X51" s="21"/>
      <c r="AA51" s="0" t="str">
        <f aca="false">IF(AM51="","",INDEX(CATÁLOGO!$D$5:$D$39,AM51))</f>
        <v/>
      </c>
      <c r="AB51" s="0" t="str">
        <f aca="false">IF(AM51="","",INDEX(CATÁLOGO!$E$5:$E$39,AM51))</f>
        <v/>
      </c>
      <c r="AC51" s="0" t="str">
        <f aca="false">IF(AB51="","",IF(ISNUMBER(AB51),AB51*AV51,AB51))</f>
        <v/>
      </c>
      <c r="AD51" s="0" t="str">
        <f aca="false">IF(AM51="","",INDEX(CATÁLOGO!$F$5:$F$39,AM51))</f>
        <v/>
      </c>
      <c r="AE51" s="0" t="str">
        <f aca="false">IF(AD51="","",IF(ISNUMBER(AD51),AD51*AV51,AD51))</f>
        <v/>
      </c>
      <c r="AF51" s="0" t="str">
        <f aca="false">IF(AM51="","",INDEX(CATÁLOGO!$G$5:$G$39,AM51))</f>
        <v/>
      </c>
      <c r="AG51" s="0" t="str">
        <f aca="false">IF(AF51="","",IF(ISNUMBER(AF51),AF51*AV51,AF51))</f>
        <v/>
      </c>
      <c r="AH51" s="0" t="str">
        <f aca="false">IF(E51="","",C51&amp;"|"&amp;D51)</f>
        <v/>
      </c>
      <c r="AI51" s="27" t="n">
        <f aca="false">IF(M51&lt;&gt;"Sí",0,SUMPRODUCT(MAX(($AH$5:AH50=AH51)*($M$5:M50="Sí")*ROW($AH$5:AH50))))</f>
        <v>0</v>
      </c>
      <c r="AJ51" s="0" t="str">
        <f aca="false">IF(M51&lt;&gt;"Sí","",IF(AL51=1,B51,INDEX($AJ:$AJ,AI51)))</f>
        <v/>
      </c>
      <c r="AK51" s="0" t="str">
        <f aca="false">IF(M51&lt;&gt;"Sí","",IF(AL51=1,E51,INDEX($AK:$AK,AI51)+E51))</f>
        <v/>
      </c>
      <c r="AL51" s="0" t="str">
        <f aca="false">IF(M51&lt;&gt;"Sí","",IF(AI51=0,1,IF(INDEX($AN:$AN,AI51)=0,1,IF(B51&gt;=EDATE(INDEX($AJ:$AJ,AI51),6),1,0))))</f>
        <v/>
      </c>
      <c r="AM51" s="0" t="str">
        <f aca="false">IF(D51="","",IFERROR(MATCH(D51,CATÁLOGO!$C$5:$C$39,0),""))</f>
        <v/>
      </c>
      <c r="AN51" s="0" t="str">
        <f aca="false">IF(M51&lt;&gt;"Sí","",IF(AND(ISNUMBER(AE51),AK51&gt;=AE51),0,1))</f>
        <v/>
      </c>
      <c r="AO51" s="0" t="str">
        <f aca="false">IF(OR(E51="",C51="",NOT(ISNUMBER(B51))),"",SUMIFS($E$6:$E$505,$C$6:$C$505,C51,$B$6:$B$505,"&gt;="&amp;DATE(YEAR(B51),MONTH(B51),1),$B$6:$B$505,"&lt;"&amp;DATE(YEAR(B51),MONTH(B51)+1,1)))</f>
        <v/>
      </c>
      <c r="AP51" s="0" t="str">
        <f aca="false">IF(C51="","",IFERROR(INDEX(CLIENTES!$M$6:$M$305,MATCH(C51,CLIENTES!$A$6:$A$305,0)),""))</f>
        <v/>
      </c>
      <c r="AQ51" s="27" t="n">
        <f aca="false">IF(AND(ISNUMBER(AO51),ISNUMBER(AP51)),IF(AND(AP51&gt;0,AO51&gt;AP51),1,0),0)</f>
        <v>0</v>
      </c>
      <c r="AR51" s="27" t="n">
        <f aca="false">IF(NOT(ISNUMBER(B51)),0,IF(B51&lt;MAX($B$5:B50),1,0))</f>
        <v>0</v>
      </c>
      <c r="AS51" s="0" t="str">
        <f aca="false">IF(C51="","",IFERROR(INDEX(CLIENTES!$H$6:$H$305,MATCH(C51,CLIENTES!$A$6:$A$305,0)),""))</f>
        <v/>
      </c>
      <c r="AT51" s="0" t="str">
        <f aca="false">IF(AND(LEFT(P51,5)="AVISO",T51&lt;&gt;"Presentado",ISNUMBER(Q51)),Q51,"")</f>
        <v/>
      </c>
      <c r="AU51" s="27" t="n">
        <f aca="false">IF(AND(D51="XVI - Activos virtuales (PSAV): operación de intercambio/transferencia",M51="Sí",ISNUMBER(AE51)),IF(AK51&gt;=AE51,1,0),0)</f>
        <v>0</v>
      </c>
      <c r="AV51" s="30" t="n">
        <f aca="false">IF(NOT(ISNUMBER(B51)),CONFIG!$B$4,IFERROR(INDEX(CONFIG!$I$5:$I$14,MATCH(IF(MONTH(B51)=1,YEAR(B51)-1,YEAR(B51)),CONFIG!$H$5:$H$14,0)),CONFIG!$B$4))</f>
        <v>117.31</v>
      </c>
      <c r="AW51" s="27" t="n">
        <f aca="false">IF(AND(LEFT(D51,4)="I - ",ISNUMBER(B51),C51&lt;&gt;""),SUMIFS($E$6:$E$505,$C$6:$C$505,C51,$D$6:$D$505,D51,$B$6:$B$505,"&gt;"&amp;(B51-1),$B$6:$B$505,"&lt;="&amp;B51),0)</f>
        <v>0</v>
      </c>
      <c r="AX51" s="0" t="str">
        <f aca="false">IF(E51="","",IF(AD51="Siempre","AVISO (siempre)",IF(AD51="No aplica","Sin Aviso (sólo preparas: Ley 17 XI)",IF(NOT(ISNUMBER(AE51)),"",IF(AA51&lt;&gt;"ACUMULA",IF(E51&gt;=AE51,IF(AND(D51="XVI - Activos virtuales (PSAV): cobro de contraprestación (comisión) por el servicio",COUNTIFS($C$6:$C$505,C51,$B$6:$B$505,"&gt;="&amp;INT(B51),$B$6:$B$505,"&lt;"&amp;(INT(B51)+1),$AU$6:$AU$505,1)&gt;0),"En el Aviso del inciso a) (R 31 Bis)","AVISO"),"—"),IF(M51&lt;&gt;"Sí","—",IF(AK51&gt;=AE51,IF(AK51=E51,"AVISO","AVISO (acumulado)"),"Acumulando")))))))</f>
        <v/>
      </c>
    </row>
    <row r="52" customFormat="false" ht="15" hidden="false" customHeight="false" outlineLevel="0" collapsed="false">
      <c r="A52" s="9" t="str">
        <f aca="false">IF(E52="","",ROW()-5)</f>
        <v/>
      </c>
      <c r="B52" s="20"/>
      <c r="C52" s="21"/>
      <c r="D52" s="21"/>
      <c r="E52" s="22"/>
      <c r="F52" s="22"/>
      <c r="G52" s="21"/>
      <c r="H52" s="21"/>
      <c r="I52" s="9" t="str">
        <f aca="false">IF(C52="","",IFERROR(INDEX(CLIENTES!$B$6:$B$305,MATCH(C52,CLIENTES!$A$6:$A$305,0)),"⚠ ID no registrado"))</f>
        <v/>
      </c>
      <c r="J52" s="9" t="str">
        <f aca="false">IF(C52="","",IFERROR(INDEX(CLIENTES!$Z$6:$Z$305,MATCH(C52,CLIENTES!$A$6:$A$305,0)),""))</f>
        <v/>
      </c>
      <c r="K52" s="9" t="str">
        <f aca="false">IF(E52="","",IF(AB52="Siempre","Sí",IF(ISNUMBER(AC52),IF(E52&gt;=AC52,"Sí",IF(AW52&gt;=AC52,"Sí (serie 24 h)","No")),"")))</f>
        <v/>
      </c>
      <c r="L52" s="9" t="str">
        <f aca="false">IF(E52="","",AA52)</f>
        <v/>
      </c>
      <c r="M52" s="9" t="str">
        <f aca="false">IF(E52="","",IF(AA52&lt;&gt;"ACUMULA","No aplica",IF(LEFT(K52,2)="Sí","Sí","No")))</f>
        <v/>
      </c>
      <c r="N52" s="23" t="str">
        <f aca="false">IF(M52="Sí",AJ52,"")</f>
        <v/>
      </c>
      <c r="O52" s="24" t="str">
        <f aca="false">IF(M52="Sí",AK52,"")</f>
        <v/>
      </c>
      <c r="P52" s="25" t="str">
        <f aca="false">IF(AND(LEFT(D52,6)="XIV - ",LEFT(AX52,5)="AVISO"),"Pedimento (R 16): no va al SPPLD",AX52)</f>
        <v/>
      </c>
      <c r="Q52" s="23" t="str">
        <f aca="false">IF(LEFT(P52,5)="AVISO",IF(ISNUMBER(B52),DATE(YEAR(B52),MONTH(B52)+1,17),"Falta fecha"),"")</f>
        <v/>
      </c>
      <c r="R52" s="9" t="str">
        <f aca="false">IF(OR(F52="",F52=0),"",IF(ISNUMBER(AG52),IF(F52&gt;=AG52,"PROHIBIDO","Dentro del límite"),"No aplica"))</f>
        <v/>
      </c>
      <c r="S52" s="26" t="str">
        <f aca="false">IF(E52="","",MID(IF(AQ52=1," · Excede el perfil declarado","")&amp;IF(H52="Sí"," · Paga un tercero","")&amp;IF(J52="Alto"," · Cliente de riesgo alto: DDR (RCG 23 Ter 3 y 4)","")&amp;IF(AND(AS52&lt;&gt;"",AS52&lt;&gt;"No",AS52&lt;&gt;0)," · PEP","")&amp;IF(R52="PROHIBIDO"," · Efectivo prohibido: no lo recibas (Art. 32)","")&amp;IF(AR52=1," · ⚠ Fecha fuera de orden","")&amp;IF(LEFT(I52,1)="⚠"," · ⚠ Cliente no registrado","")&amp;IF(D52=""," · ⚠ Falta la actividad","")&amp;IF(AND(LEFT(P52,5)="AVISO",W52="")," · Captura la cifra total con IVA para el Aviso","")&amp;IF(AND(ISNUMBER(W52),W52&lt;E52)," · ⚠ La cifra con IVA es menor que el monto sin IVA",""),4,400))</f>
        <v/>
      </c>
      <c r="T52" s="21"/>
      <c r="U52" s="20"/>
      <c r="V52" s="9" t="str">
        <f aca="false">IF(LEFT(P52,5)&lt;&gt;"AVISO","",IF(T52="Presentado",IF(AND(ISNUMBER(U52),ISNUMBER(Q52),U52&gt;Q52),"Presentado tarde","Presentado"),IF(NOT(ISNUMBER(Q52)),"Falta fecha",IF(Q52&lt;CONFIG!$B$6,"VENCIDO","Vence en "&amp;(Q52-CONFIG!$B$6)&amp;" días"))))</f>
        <v/>
      </c>
      <c r="W52" s="22"/>
      <c r="X52" s="21"/>
      <c r="AA52" s="0" t="str">
        <f aca="false">IF(AM52="","",INDEX(CATÁLOGO!$D$5:$D$39,AM52))</f>
        <v/>
      </c>
      <c r="AB52" s="0" t="str">
        <f aca="false">IF(AM52="","",INDEX(CATÁLOGO!$E$5:$E$39,AM52))</f>
        <v/>
      </c>
      <c r="AC52" s="0" t="str">
        <f aca="false">IF(AB52="","",IF(ISNUMBER(AB52),AB52*AV52,AB52))</f>
        <v/>
      </c>
      <c r="AD52" s="0" t="str">
        <f aca="false">IF(AM52="","",INDEX(CATÁLOGO!$F$5:$F$39,AM52))</f>
        <v/>
      </c>
      <c r="AE52" s="0" t="str">
        <f aca="false">IF(AD52="","",IF(ISNUMBER(AD52),AD52*AV52,AD52))</f>
        <v/>
      </c>
      <c r="AF52" s="0" t="str">
        <f aca="false">IF(AM52="","",INDEX(CATÁLOGO!$G$5:$G$39,AM52))</f>
        <v/>
      </c>
      <c r="AG52" s="0" t="str">
        <f aca="false">IF(AF52="","",IF(ISNUMBER(AF52),AF52*AV52,AF52))</f>
        <v/>
      </c>
      <c r="AH52" s="0" t="str">
        <f aca="false">IF(E52="","",C52&amp;"|"&amp;D52)</f>
        <v/>
      </c>
      <c r="AI52" s="27" t="n">
        <f aca="false">IF(M52&lt;&gt;"Sí",0,SUMPRODUCT(MAX(($AH$5:AH51=AH52)*($M$5:M51="Sí")*ROW($AH$5:AH51))))</f>
        <v>0</v>
      </c>
      <c r="AJ52" s="0" t="str">
        <f aca="false">IF(M52&lt;&gt;"Sí","",IF(AL52=1,B52,INDEX($AJ:$AJ,AI52)))</f>
        <v/>
      </c>
      <c r="AK52" s="0" t="str">
        <f aca="false">IF(M52&lt;&gt;"Sí","",IF(AL52=1,E52,INDEX($AK:$AK,AI52)+E52))</f>
        <v/>
      </c>
      <c r="AL52" s="0" t="str">
        <f aca="false">IF(M52&lt;&gt;"Sí","",IF(AI52=0,1,IF(INDEX($AN:$AN,AI52)=0,1,IF(B52&gt;=EDATE(INDEX($AJ:$AJ,AI52),6),1,0))))</f>
        <v/>
      </c>
      <c r="AM52" s="0" t="str">
        <f aca="false">IF(D52="","",IFERROR(MATCH(D52,CATÁLOGO!$C$5:$C$39,0),""))</f>
        <v/>
      </c>
      <c r="AN52" s="0" t="str">
        <f aca="false">IF(M52&lt;&gt;"Sí","",IF(AND(ISNUMBER(AE52),AK52&gt;=AE52),0,1))</f>
        <v/>
      </c>
      <c r="AO52" s="0" t="str">
        <f aca="false">IF(OR(E52="",C52="",NOT(ISNUMBER(B52))),"",SUMIFS($E$6:$E$505,$C$6:$C$505,C52,$B$6:$B$505,"&gt;="&amp;DATE(YEAR(B52),MONTH(B52),1),$B$6:$B$505,"&lt;"&amp;DATE(YEAR(B52),MONTH(B52)+1,1)))</f>
        <v/>
      </c>
      <c r="AP52" s="0" t="str">
        <f aca="false">IF(C52="","",IFERROR(INDEX(CLIENTES!$M$6:$M$305,MATCH(C52,CLIENTES!$A$6:$A$305,0)),""))</f>
        <v/>
      </c>
      <c r="AQ52" s="27" t="n">
        <f aca="false">IF(AND(ISNUMBER(AO52),ISNUMBER(AP52)),IF(AND(AP52&gt;0,AO52&gt;AP52),1,0),0)</f>
        <v>0</v>
      </c>
      <c r="AR52" s="27" t="n">
        <f aca="false">IF(NOT(ISNUMBER(B52)),0,IF(B52&lt;MAX($B$5:B51),1,0))</f>
        <v>0</v>
      </c>
      <c r="AS52" s="0" t="str">
        <f aca="false">IF(C52="","",IFERROR(INDEX(CLIENTES!$H$6:$H$305,MATCH(C52,CLIENTES!$A$6:$A$305,0)),""))</f>
        <v/>
      </c>
      <c r="AT52" s="0" t="str">
        <f aca="false">IF(AND(LEFT(P52,5)="AVISO",T52&lt;&gt;"Presentado",ISNUMBER(Q52)),Q52,"")</f>
        <v/>
      </c>
      <c r="AU52" s="27" t="n">
        <f aca="false">IF(AND(D52="XVI - Activos virtuales (PSAV): operación de intercambio/transferencia",M52="Sí",ISNUMBER(AE52)),IF(AK52&gt;=AE52,1,0),0)</f>
        <v>0</v>
      </c>
      <c r="AV52" s="30" t="n">
        <f aca="false">IF(NOT(ISNUMBER(B52)),CONFIG!$B$4,IFERROR(INDEX(CONFIG!$I$5:$I$14,MATCH(IF(MONTH(B52)=1,YEAR(B52)-1,YEAR(B52)),CONFIG!$H$5:$H$14,0)),CONFIG!$B$4))</f>
        <v>117.31</v>
      </c>
      <c r="AW52" s="27" t="n">
        <f aca="false">IF(AND(LEFT(D52,4)="I - ",ISNUMBER(B52),C52&lt;&gt;""),SUMIFS($E$6:$E$505,$C$6:$C$505,C52,$D$6:$D$505,D52,$B$6:$B$505,"&gt;"&amp;(B52-1),$B$6:$B$505,"&lt;="&amp;B52),0)</f>
        <v>0</v>
      </c>
      <c r="AX52" s="0" t="str">
        <f aca="false">IF(E52="","",IF(AD52="Siempre","AVISO (siempre)",IF(AD52="No aplica","Sin Aviso (sólo preparas: Ley 17 XI)",IF(NOT(ISNUMBER(AE52)),"",IF(AA52&lt;&gt;"ACUMULA",IF(E52&gt;=AE52,IF(AND(D52="XVI - Activos virtuales (PSAV): cobro de contraprestación (comisión) por el servicio",COUNTIFS($C$6:$C$505,C52,$B$6:$B$505,"&gt;="&amp;INT(B52),$B$6:$B$505,"&lt;"&amp;(INT(B52)+1),$AU$6:$AU$505,1)&gt;0),"En el Aviso del inciso a) (R 31 Bis)","AVISO"),"—"),IF(M52&lt;&gt;"Sí","—",IF(AK52&gt;=AE52,IF(AK52=E52,"AVISO","AVISO (acumulado)"),"Acumulando")))))))</f>
        <v/>
      </c>
    </row>
    <row r="53" customFormat="false" ht="15" hidden="false" customHeight="false" outlineLevel="0" collapsed="false">
      <c r="A53" s="9" t="str">
        <f aca="false">IF(E53="","",ROW()-5)</f>
        <v/>
      </c>
      <c r="B53" s="20"/>
      <c r="C53" s="21"/>
      <c r="D53" s="21"/>
      <c r="E53" s="22"/>
      <c r="F53" s="22"/>
      <c r="G53" s="21"/>
      <c r="H53" s="21"/>
      <c r="I53" s="9" t="str">
        <f aca="false">IF(C53="","",IFERROR(INDEX(CLIENTES!$B$6:$B$305,MATCH(C53,CLIENTES!$A$6:$A$305,0)),"⚠ ID no registrado"))</f>
        <v/>
      </c>
      <c r="J53" s="9" t="str">
        <f aca="false">IF(C53="","",IFERROR(INDEX(CLIENTES!$Z$6:$Z$305,MATCH(C53,CLIENTES!$A$6:$A$305,0)),""))</f>
        <v/>
      </c>
      <c r="K53" s="9" t="str">
        <f aca="false">IF(E53="","",IF(AB53="Siempre","Sí",IF(ISNUMBER(AC53),IF(E53&gt;=AC53,"Sí",IF(AW53&gt;=AC53,"Sí (serie 24 h)","No")),"")))</f>
        <v/>
      </c>
      <c r="L53" s="9" t="str">
        <f aca="false">IF(E53="","",AA53)</f>
        <v/>
      </c>
      <c r="M53" s="9" t="str">
        <f aca="false">IF(E53="","",IF(AA53&lt;&gt;"ACUMULA","No aplica",IF(LEFT(K53,2)="Sí","Sí","No")))</f>
        <v/>
      </c>
      <c r="N53" s="23" t="str">
        <f aca="false">IF(M53="Sí",AJ53,"")</f>
        <v/>
      </c>
      <c r="O53" s="24" t="str">
        <f aca="false">IF(M53="Sí",AK53,"")</f>
        <v/>
      </c>
      <c r="P53" s="25" t="str">
        <f aca="false">IF(AND(LEFT(D53,6)="XIV - ",LEFT(AX53,5)="AVISO"),"Pedimento (R 16): no va al SPPLD",AX53)</f>
        <v/>
      </c>
      <c r="Q53" s="23" t="str">
        <f aca="false">IF(LEFT(P53,5)="AVISO",IF(ISNUMBER(B53),DATE(YEAR(B53),MONTH(B53)+1,17),"Falta fecha"),"")</f>
        <v/>
      </c>
      <c r="R53" s="9" t="str">
        <f aca="false">IF(OR(F53="",F53=0),"",IF(ISNUMBER(AG53),IF(F53&gt;=AG53,"PROHIBIDO","Dentro del límite"),"No aplica"))</f>
        <v/>
      </c>
      <c r="S53" s="26" t="str">
        <f aca="false">IF(E53="","",MID(IF(AQ53=1," · Excede el perfil declarado","")&amp;IF(H53="Sí"," · Paga un tercero","")&amp;IF(J53="Alto"," · Cliente de riesgo alto: DDR (RCG 23 Ter 3 y 4)","")&amp;IF(AND(AS53&lt;&gt;"",AS53&lt;&gt;"No",AS53&lt;&gt;0)," · PEP","")&amp;IF(R53="PROHIBIDO"," · Efectivo prohibido: no lo recibas (Art. 32)","")&amp;IF(AR53=1," · ⚠ Fecha fuera de orden","")&amp;IF(LEFT(I53,1)="⚠"," · ⚠ Cliente no registrado","")&amp;IF(D53=""," · ⚠ Falta la actividad","")&amp;IF(AND(LEFT(P53,5)="AVISO",W53="")," · Captura la cifra total con IVA para el Aviso","")&amp;IF(AND(ISNUMBER(W53),W53&lt;E53)," · ⚠ La cifra con IVA es menor que el monto sin IVA",""),4,400))</f>
        <v/>
      </c>
      <c r="T53" s="21"/>
      <c r="U53" s="20"/>
      <c r="V53" s="9" t="str">
        <f aca="false">IF(LEFT(P53,5)&lt;&gt;"AVISO","",IF(T53="Presentado",IF(AND(ISNUMBER(U53),ISNUMBER(Q53),U53&gt;Q53),"Presentado tarde","Presentado"),IF(NOT(ISNUMBER(Q53)),"Falta fecha",IF(Q53&lt;CONFIG!$B$6,"VENCIDO","Vence en "&amp;(Q53-CONFIG!$B$6)&amp;" días"))))</f>
        <v/>
      </c>
      <c r="W53" s="22"/>
      <c r="X53" s="21"/>
      <c r="AA53" s="0" t="str">
        <f aca="false">IF(AM53="","",INDEX(CATÁLOGO!$D$5:$D$39,AM53))</f>
        <v/>
      </c>
      <c r="AB53" s="0" t="str">
        <f aca="false">IF(AM53="","",INDEX(CATÁLOGO!$E$5:$E$39,AM53))</f>
        <v/>
      </c>
      <c r="AC53" s="0" t="str">
        <f aca="false">IF(AB53="","",IF(ISNUMBER(AB53),AB53*AV53,AB53))</f>
        <v/>
      </c>
      <c r="AD53" s="0" t="str">
        <f aca="false">IF(AM53="","",INDEX(CATÁLOGO!$F$5:$F$39,AM53))</f>
        <v/>
      </c>
      <c r="AE53" s="0" t="str">
        <f aca="false">IF(AD53="","",IF(ISNUMBER(AD53),AD53*AV53,AD53))</f>
        <v/>
      </c>
      <c r="AF53" s="0" t="str">
        <f aca="false">IF(AM53="","",INDEX(CATÁLOGO!$G$5:$G$39,AM53))</f>
        <v/>
      </c>
      <c r="AG53" s="0" t="str">
        <f aca="false">IF(AF53="","",IF(ISNUMBER(AF53),AF53*AV53,AF53))</f>
        <v/>
      </c>
      <c r="AH53" s="0" t="str">
        <f aca="false">IF(E53="","",C53&amp;"|"&amp;D53)</f>
        <v/>
      </c>
      <c r="AI53" s="27" t="n">
        <f aca="false">IF(M53&lt;&gt;"Sí",0,SUMPRODUCT(MAX(($AH$5:AH52=AH53)*($M$5:M52="Sí")*ROW($AH$5:AH52))))</f>
        <v>0</v>
      </c>
      <c r="AJ53" s="0" t="str">
        <f aca="false">IF(M53&lt;&gt;"Sí","",IF(AL53=1,B53,INDEX($AJ:$AJ,AI53)))</f>
        <v/>
      </c>
      <c r="AK53" s="0" t="str">
        <f aca="false">IF(M53&lt;&gt;"Sí","",IF(AL53=1,E53,INDEX($AK:$AK,AI53)+E53))</f>
        <v/>
      </c>
      <c r="AL53" s="0" t="str">
        <f aca="false">IF(M53&lt;&gt;"Sí","",IF(AI53=0,1,IF(INDEX($AN:$AN,AI53)=0,1,IF(B53&gt;=EDATE(INDEX($AJ:$AJ,AI53),6),1,0))))</f>
        <v/>
      </c>
      <c r="AM53" s="0" t="str">
        <f aca="false">IF(D53="","",IFERROR(MATCH(D53,CATÁLOGO!$C$5:$C$39,0),""))</f>
        <v/>
      </c>
      <c r="AN53" s="0" t="str">
        <f aca="false">IF(M53&lt;&gt;"Sí","",IF(AND(ISNUMBER(AE53),AK53&gt;=AE53),0,1))</f>
        <v/>
      </c>
      <c r="AO53" s="0" t="str">
        <f aca="false">IF(OR(E53="",C53="",NOT(ISNUMBER(B53))),"",SUMIFS($E$6:$E$505,$C$6:$C$505,C53,$B$6:$B$505,"&gt;="&amp;DATE(YEAR(B53),MONTH(B53),1),$B$6:$B$505,"&lt;"&amp;DATE(YEAR(B53),MONTH(B53)+1,1)))</f>
        <v/>
      </c>
      <c r="AP53" s="0" t="str">
        <f aca="false">IF(C53="","",IFERROR(INDEX(CLIENTES!$M$6:$M$305,MATCH(C53,CLIENTES!$A$6:$A$305,0)),""))</f>
        <v/>
      </c>
      <c r="AQ53" s="27" t="n">
        <f aca="false">IF(AND(ISNUMBER(AO53),ISNUMBER(AP53)),IF(AND(AP53&gt;0,AO53&gt;AP53),1,0),0)</f>
        <v>0</v>
      </c>
      <c r="AR53" s="27" t="n">
        <f aca="false">IF(NOT(ISNUMBER(B53)),0,IF(B53&lt;MAX($B$5:B52),1,0))</f>
        <v>0</v>
      </c>
      <c r="AS53" s="0" t="str">
        <f aca="false">IF(C53="","",IFERROR(INDEX(CLIENTES!$H$6:$H$305,MATCH(C53,CLIENTES!$A$6:$A$305,0)),""))</f>
        <v/>
      </c>
      <c r="AT53" s="0" t="str">
        <f aca="false">IF(AND(LEFT(P53,5)="AVISO",T53&lt;&gt;"Presentado",ISNUMBER(Q53)),Q53,"")</f>
        <v/>
      </c>
      <c r="AU53" s="27" t="n">
        <f aca="false">IF(AND(D53="XVI - Activos virtuales (PSAV): operación de intercambio/transferencia",M53="Sí",ISNUMBER(AE53)),IF(AK53&gt;=AE53,1,0),0)</f>
        <v>0</v>
      </c>
      <c r="AV53" s="30" t="n">
        <f aca="false">IF(NOT(ISNUMBER(B53)),CONFIG!$B$4,IFERROR(INDEX(CONFIG!$I$5:$I$14,MATCH(IF(MONTH(B53)=1,YEAR(B53)-1,YEAR(B53)),CONFIG!$H$5:$H$14,0)),CONFIG!$B$4))</f>
        <v>117.31</v>
      </c>
      <c r="AW53" s="27" t="n">
        <f aca="false">IF(AND(LEFT(D53,4)="I - ",ISNUMBER(B53),C53&lt;&gt;""),SUMIFS($E$6:$E$505,$C$6:$C$505,C53,$D$6:$D$505,D53,$B$6:$B$505,"&gt;"&amp;(B53-1),$B$6:$B$505,"&lt;="&amp;B53),0)</f>
        <v>0</v>
      </c>
      <c r="AX53" s="0" t="str">
        <f aca="false">IF(E53="","",IF(AD53="Siempre","AVISO (siempre)",IF(AD53="No aplica","Sin Aviso (sólo preparas: Ley 17 XI)",IF(NOT(ISNUMBER(AE53)),"",IF(AA53&lt;&gt;"ACUMULA",IF(E53&gt;=AE53,IF(AND(D53="XVI - Activos virtuales (PSAV): cobro de contraprestación (comisión) por el servicio",COUNTIFS($C$6:$C$505,C53,$B$6:$B$505,"&gt;="&amp;INT(B53),$B$6:$B$505,"&lt;"&amp;(INT(B53)+1),$AU$6:$AU$505,1)&gt;0),"En el Aviso del inciso a) (R 31 Bis)","AVISO"),"—"),IF(M53&lt;&gt;"Sí","—",IF(AK53&gt;=AE53,IF(AK53=E53,"AVISO","AVISO (acumulado)"),"Acumulando")))))))</f>
        <v/>
      </c>
    </row>
    <row r="54" customFormat="false" ht="15" hidden="false" customHeight="false" outlineLevel="0" collapsed="false">
      <c r="A54" s="9" t="str">
        <f aca="false">IF(E54="","",ROW()-5)</f>
        <v/>
      </c>
      <c r="B54" s="20"/>
      <c r="C54" s="21"/>
      <c r="D54" s="21"/>
      <c r="E54" s="22"/>
      <c r="F54" s="22"/>
      <c r="G54" s="21"/>
      <c r="H54" s="21"/>
      <c r="I54" s="9" t="str">
        <f aca="false">IF(C54="","",IFERROR(INDEX(CLIENTES!$B$6:$B$305,MATCH(C54,CLIENTES!$A$6:$A$305,0)),"⚠ ID no registrado"))</f>
        <v/>
      </c>
      <c r="J54" s="9" t="str">
        <f aca="false">IF(C54="","",IFERROR(INDEX(CLIENTES!$Z$6:$Z$305,MATCH(C54,CLIENTES!$A$6:$A$305,0)),""))</f>
        <v/>
      </c>
      <c r="K54" s="9" t="str">
        <f aca="false">IF(E54="","",IF(AB54="Siempre","Sí",IF(ISNUMBER(AC54),IF(E54&gt;=AC54,"Sí",IF(AW54&gt;=AC54,"Sí (serie 24 h)","No")),"")))</f>
        <v/>
      </c>
      <c r="L54" s="9" t="str">
        <f aca="false">IF(E54="","",AA54)</f>
        <v/>
      </c>
      <c r="M54" s="9" t="str">
        <f aca="false">IF(E54="","",IF(AA54&lt;&gt;"ACUMULA","No aplica",IF(LEFT(K54,2)="Sí","Sí","No")))</f>
        <v/>
      </c>
      <c r="N54" s="23" t="str">
        <f aca="false">IF(M54="Sí",AJ54,"")</f>
        <v/>
      </c>
      <c r="O54" s="24" t="str">
        <f aca="false">IF(M54="Sí",AK54,"")</f>
        <v/>
      </c>
      <c r="P54" s="25" t="str">
        <f aca="false">IF(AND(LEFT(D54,6)="XIV - ",LEFT(AX54,5)="AVISO"),"Pedimento (R 16): no va al SPPLD",AX54)</f>
        <v/>
      </c>
      <c r="Q54" s="23" t="str">
        <f aca="false">IF(LEFT(P54,5)="AVISO",IF(ISNUMBER(B54),DATE(YEAR(B54),MONTH(B54)+1,17),"Falta fecha"),"")</f>
        <v/>
      </c>
      <c r="R54" s="9" t="str">
        <f aca="false">IF(OR(F54="",F54=0),"",IF(ISNUMBER(AG54),IF(F54&gt;=AG54,"PROHIBIDO","Dentro del límite"),"No aplica"))</f>
        <v/>
      </c>
      <c r="S54" s="26" t="str">
        <f aca="false">IF(E54="","",MID(IF(AQ54=1," · Excede el perfil declarado","")&amp;IF(H54="Sí"," · Paga un tercero","")&amp;IF(J54="Alto"," · Cliente de riesgo alto: DDR (RCG 23 Ter 3 y 4)","")&amp;IF(AND(AS54&lt;&gt;"",AS54&lt;&gt;"No",AS54&lt;&gt;0)," · PEP","")&amp;IF(R54="PROHIBIDO"," · Efectivo prohibido: no lo recibas (Art. 32)","")&amp;IF(AR54=1," · ⚠ Fecha fuera de orden","")&amp;IF(LEFT(I54,1)="⚠"," · ⚠ Cliente no registrado","")&amp;IF(D54=""," · ⚠ Falta la actividad","")&amp;IF(AND(LEFT(P54,5)="AVISO",W54="")," · Captura la cifra total con IVA para el Aviso","")&amp;IF(AND(ISNUMBER(W54),W54&lt;E54)," · ⚠ La cifra con IVA es menor que el monto sin IVA",""),4,400))</f>
        <v/>
      </c>
      <c r="T54" s="21"/>
      <c r="U54" s="20"/>
      <c r="V54" s="9" t="str">
        <f aca="false">IF(LEFT(P54,5)&lt;&gt;"AVISO","",IF(T54="Presentado",IF(AND(ISNUMBER(U54),ISNUMBER(Q54),U54&gt;Q54),"Presentado tarde","Presentado"),IF(NOT(ISNUMBER(Q54)),"Falta fecha",IF(Q54&lt;CONFIG!$B$6,"VENCIDO","Vence en "&amp;(Q54-CONFIG!$B$6)&amp;" días"))))</f>
        <v/>
      </c>
      <c r="W54" s="22"/>
      <c r="X54" s="21"/>
      <c r="AA54" s="0" t="str">
        <f aca="false">IF(AM54="","",INDEX(CATÁLOGO!$D$5:$D$39,AM54))</f>
        <v/>
      </c>
      <c r="AB54" s="0" t="str">
        <f aca="false">IF(AM54="","",INDEX(CATÁLOGO!$E$5:$E$39,AM54))</f>
        <v/>
      </c>
      <c r="AC54" s="0" t="str">
        <f aca="false">IF(AB54="","",IF(ISNUMBER(AB54),AB54*AV54,AB54))</f>
        <v/>
      </c>
      <c r="AD54" s="0" t="str">
        <f aca="false">IF(AM54="","",INDEX(CATÁLOGO!$F$5:$F$39,AM54))</f>
        <v/>
      </c>
      <c r="AE54" s="0" t="str">
        <f aca="false">IF(AD54="","",IF(ISNUMBER(AD54),AD54*AV54,AD54))</f>
        <v/>
      </c>
      <c r="AF54" s="0" t="str">
        <f aca="false">IF(AM54="","",INDEX(CATÁLOGO!$G$5:$G$39,AM54))</f>
        <v/>
      </c>
      <c r="AG54" s="0" t="str">
        <f aca="false">IF(AF54="","",IF(ISNUMBER(AF54),AF54*AV54,AF54))</f>
        <v/>
      </c>
      <c r="AH54" s="0" t="str">
        <f aca="false">IF(E54="","",C54&amp;"|"&amp;D54)</f>
        <v/>
      </c>
      <c r="AI54" s="27" t="n">
        <f aca="false">IF(M54&lt;&gt;"Sí",0,SUMPRODUCT(MAX(($AH$5:AH53=AH54)*($M$5:M53="Sí")*ROW($AH$5:AH53))))</f>
        <v>0</v>
      </c>
      <c r="AJ54" s="0" t="str">
        <f aca="false">IF(M54&lt;&gt;"Sí","",IF(AL54=1,B54,INDEX($AJ:$AJ,AI54)))</f>
        <v/>
      </c>
      <c r="AK54" s="0" t="str">
        <f aca="false">IF(M54&lt;&gt;"Sí","",IF(AL54=1,E54,INDEX($AK:$AK,AI54)+E54))</f>
        <v/>
      </c>
      <c r="AL54" s="0" t="str">
        <f aca="false">IF(M54&lt;&gt;"Sí","",IF(AI54=0,1,IF(INDEX($AN:$AN,AI54)=0,1,IF(B54&gt;=EDATE(INDEX($AJ:$AJ,AI54),6),1,0))))</f>
        <v/>
      </c>
      <c r="AM54" s="0" t="str">
        <f aca="false">IF(D54="","",IFERROR(MATCH(D54,CATÁLOGO!$C$5:$C$39,0),""))</f>
        <v/>
      </c>
      <c r="AN54" s="0" t="str">
        <f aca="false">IF(M54&lt;&gt;"Sí","",IF(AND(ISNUMBER(AE54),AK54&gt;=AE54),0,1))</f>
        <v/>
      </c>
      <c r="AO54" s="0" t="str">
        <f aca="false">IF(OR(E54="",C54="",NOT(ISNUMBER(B54))),"",SUMIFS($E$6:$E$505,$C$6:$C$505,C54,$B$6:$B$505,"&gt;="&amp;DATE(YEAR(B54),MONTH(B54),1),$B$6:$B$505,"&lt;"&amp;DATE(YEAR(B54),MONTH(B54)+1,1)))</f>
        <v/>
      </c>
      <c r="AP54" s="0" t="str">
        <f aca="false">IF(C54="","",IFERROR(INDEX(CLIENTES!$M$6:$M$305,MATCH(C54,CLIENTES!$A$6:$A$305,0)),""))</f>
        <v/>
      </c>
      <c r="AQ54" s="27" t="n">
        <f aca="false">IF(AND(ISNUMBER(AO54),ISNUMBER(AP54)),IF(AND(AP54&gt;0,AO54&gt;AP54),1,0),0)</f>
        <v>0</v>
      </c>
      <c r="AR54" s="27" t="n">
        <f aca="false">IF(NOT(ISNUMBER(B54)),0,IF(B54&lt;MAX($B$5:B53),1,0))</f>
        <v>0</v>
      </c>
      <c r="AS54" s="0" t="str">
        <f aca="false">IF(C54="","",IFERROR(INDEX(CLIENTES!$H$6:$H$305,MATCH(C54,CLIENTES!$A$6:$A$305,0)),""))</f>
        <v/>
      </c>
      <c r="AT54" s="0" t="str">
        <f aca="false">IF(AND(LEFT(P54,5)="AVISO",T54&lt;&gt;"Presentado",ISNUMBER(Q54)),Q54,"")</f>
        <v/>
      </c>
      <c r="AU54" s="27" t="n">
        <f aca="false">IF(AND(D54="XVI - Activos virtuales (PSAV): operación de intercambio/transferencia",M54="Sí",ISNUMBER(AE54)),IF(AK54&gt;=AE54,1,0),0)</f>
        <v>0</v>
      </c>
      <c r="AV54" s="30" t="n">
        <f aca="false">IF(NOT(ISNUMBER(B54)),CONFIG!$B$4,IFERROR(INDEX(CONFIG!$I$5:$I$14,MATCH(IF(MONTH(B54)=1,YEAR(B54)-1,YEAR(B54)),CONFIG!$H$5:$H$14,0)),CONFIG!$B$4))</f>
        <v>117.31</v>
      </c>
      <c r="AW54" s="27" t="n">
        <f aca="false">IF(AND(LEFT(D54,4)="I - ",ISNUMBER(B54),C54&lt;&gt;""),SUMIFS($E$6:$E$505,$C$6:$C$505,C54,$D$6:$D$505,D54,$B$6:$B$505,"&gt;"&amp;(B54-1),$B$6:$B$505,"&lt;="&amp;B54),0)</f>
        <v>0</v>
      </c>
      <c r="AX54" s="0" t="str">
        <f aca="false">IF(E54="","",IF(AD54="Siempre","AVISO (siempre)",IF(AD54="No aplica","Sin Aviso (sólo preparas: Ley 17 XI)",IF(NOT(ISNUMBER(AE54)),"",IF(AA54&lt;&gt;"ACUMULA",IF(E54&gt;=AE54,IF(AND(D54="XVI - Activos virtuales (PSAV): cobro de contraprestación (comisión) por el servicio",COUNTIFS($C$6:$C$505,C54,$B$6:$B$505,"&gt;="&amp;INT(B54),$B$6:$B$505,"&lt;"&amp;(INT(B54)+1),$AU$6:$AU$505,1)&gt;0),"En el Aviso del inciso a) (R 31 Bis)","AVISO"),"—"),IF(M54&lt;&gt;"Sí","—",IF(AK54&gt;=AE54,IF(AK54=E54,"AVISO","AVISO (acumulado)"),"Acumulando")))))))</f>
        <v/>
      </c>
    </row>
    <row r="55" customFormat="false" ht="15" hidden="false" customHeight="false" outlineLevel="0" collapsed="false">
      <c r="A55" s="9" t="str">
        <f aca="false">IF(E55="","",ROW()-5)</f>
        <v/>
      </c>
      <c r="B55" s="20"/>
      <c r="C55" s="21"/>
      <c r="D55" s="21"/>
      <c r="E55" s="22"/>
      <c r="F55" s="22"/>
      <c r="G55" s="21"/>
      <c r="H55" s="21"/>
      <c r="I55" s="9" t="str">
        <f aca="false">IF(C55="","",IFERROR(INDEX(CLIENTES!$B$6:$B$305,MATCH(C55,CLIENTES!$A$6:$A$305,0)),"⚠ ID no registrado"))</f>
        <v/>
      </c>
      <c r="J55" s="9" t="str">
        <f aca="false">IF(C55="","",IFERROR(INDEX(CLIENTES!$Z$6:$Z$305,MATCH(C55,CLIENTES!$A$6:$A$305,0)),""))</f>
        <v/>
      </c>
      <c r="K55" s="9" t="str">
        <f aca="false">IF(E55="","",IF(AB55="Siempre","Sí",IF(ISNUMBER(AC55),IF(E55&gt;=AC55,"Sí",IF(AW55&gt;=AC55,"Sí (serie 24 h)","No")),"")))</f>
        <v/>
      </c>
      <c r="L55" s="9" t="str">
        <f aca="false">IF(E55="","",AA55)</f>
        <v/>
      </c>
      <c r="M55" s="9" t="str">
        <f aca="false">IF(E55="","",IF(AA55&lt;&gt;"ACUMULA","No aplica",IF(LEFT(K55,2)="Sí","Sí","No")))</f>
        <v/>
      </c>
      <c r="N55" s="23" t="str">
        <f aca="false">IF(M55="Sí",AJ55,"")</f>
        <v/>
      </c>
      <c r="O55" s="24" t="str">
        <f aca="false">IF(M55="Sí",AK55,"")</f>
        <v/>
      </c>
      <c r="P55" s="25" t="str">
        <f aca="false">IF(AND(LEFT(D55,6)="XIV - ",LEFT(AX55,5)="AVISO"),"Pedimento (R 16): no va al SPPLD",AX55)</f>
        <v/>
      </c>
      <c r="Q55" s="23" t="str">
        <f aca="false">IF(LEFT(P55,5)="AVISO",IF(ISNUMBER(B55),DATE(YEAR(B55),MONTH(B55)+1,17),"Falta fecha"),"")</f>
        <v/>
      </c>
      <c r="R55" s="9" t="str">
        <f aca="false">IF(OR(F55="",F55=0),"",IF(ISNUMBER(AG55),IF(F55&gt;=AG55,"PROHIBIDO","Dentro del límite"),"No aplica"))</f>
        <v/>
      </c>
      <c r="S55" s="26" t="str">
        <f aca="false">IF(E55="","",MID(IF(AQ55=1," · Excede el perfil declarado","")&amp;IF(H55="Sí"," · Paga un tercero","")&amp;IF(J55="Alto"," · Cliente de riesgo alto: DDR (RCG 23 Ter 3 y 4)","")&amp;IF(AND(AS55&lt;&gt;"",AS55&lt;&gt;"No",AS55&lt;&gt;0)," · PEP","")&amp;IF(R55="PROHIBIDO"," · Efectivo prohibido: no lo recibas (Art. 32)","")&amp;IF(AR55=1," · ⚠ Fecha fuera de orden","")&amp;IF(LEFT(I55,1)="⚠"," · ⚠ Cliente no registrado","")&amp;IF(D55=""," · ⚠ Falta la actividad","")&amp;IF(AND(LEFT(P55,5)="AVISO",W55="")," · Captura la cifra total con IVA para el Aviso","")&amp;IF(AND(ISNUMBER(W55),W55&lt;E55)," · ⚠ La cifra con IVA es menor que el monto sin IVA",""),4,400))</f>
        <v/>
      </c>
      <c r="T55" s="21"/>
      <c r="U55" s="20"/>
      <c r="V55" s="9" t="str">
        <f aca="false">IF(LEFT(P55,5)&lt;&gt;"AVISO","",IF(T55="Presentado",IF(AND(ISNUMBER(U55),ISNUMBER(Q55),U55&gt;Q55),"Presentado tarde","Presentado"),IF(NOT(ISNUMBER(Q55)),"Falta fecha",IF(Q55&lt;CONFIG!$B$6,"VENCIDO","Vence en "&amp;(Q55-CONFIG!$B$6)&amp;" días"))))</f>
        <v/>
      </c>
      <c r="W55" s="22"/>
      <c r="X55" s="21"/>
      <c r="AA55" s="0" t="str">
        <f aca="false">IF(AM55="","",INDEX(CATÁLOGO!$D$5:$D$39,AM55))</f>
        <v/>
      </c>
      <c r="AB55" s="0" t="str">
        <f aca="false">IF(AM55="","",INDEX(CATÁLOGO!$E$5:$E$39,AM55))</f>
        <v/>
      </c>
      <c r="AC55" s="0" t="str">
        <f aca="false">IF(AB55="","",IF(ISNUMBER(AB55),AB55*AV55,AB55))</f>
        <v/>
      </c>
      <c r="AD55" s="0" t="str">
        <f aca="false">IF(AM55="","",INDEX(CATÁLOGO!$F$5:$F$39,AM55))</f>
        <v/>
      </c>
      <c r="AE55" s="0" t="str">
        <f aca="false">IF(AD55="","",IF(ISNUMBER(AD55),AD55*AV55,AD55))</f>
        <v/>
      </c>
      <c r="AF55" s="0" t="str">
        <f aca="false">IF(AM55="","",INDEX(CATÁLOGO!$G$5:$G$39,AM55))</f>
        <v/>
      </c>
      <c r="AG55" s="0" t="str">
        <f aca="false">IF(AF55="","",IF(ISNUMBER(AF55),AF55*AV55,AF55))</f>
        <v/>
      </c>
      <c r="AH55" s="0" t="str">
        <f aca="false">IF(E55="","",C55&amp;"|"&amp;D55)</f>
        <v/>
      </c>
      <c r="AI55" s="27" t="n">
        <f aca="false">IF(M55&lt;&gt;"Sí",0,SUMPRODUCT(MAX(($AH$5:AH54=AH55)*($M$5:M54="Sí")*ROW($AH$5:AH54))))</f>
        <v>0</v>
      </c>
      <c r="AJ55" s="0" t="str">
        <f aca="false">IF(M55&lt;&gt;"Sí","",IF(AL55=1,B55,INDEX($AJ:$AJ,AI55)))</f>
        <v/>
      </c>
      <c r="AK55" s="0" t="str">
        <f aca="false">IF(M55&lt;&gt;"Sí","",IF(AL55=1,E55,INDEX($AK:$AK,AI55)+E55))</f>
        <v/>
      </c>
      <c r="AL55" s="0" t="str">
        <f aca="false">IF(M55&lt;&gt;"Sí","",IF(AI55=0,1,IF(INDEX($AN:$AN,AI55)=0,1,IF(B55&gt;=EDATE(INDEX($AJ:$AJ,AI55),6),1,0))))</f>
        <v/>
      </c>
      <c r="AM55" s="0" t="str">
        <f aca="false">IF(D55="","",IFERROR(MATCH(D55,CATÁLOGO!$C$5:$C$39,0),""))</f>
        <v/>
      </c>
      <c r="AN55" s="0" t="str">
        <f aca="false">IF(M55&lt;&gt;"Sí","",IF(AND(ISNUMBER(AE55),AK55&gt;=AE55),0,1))</f>
        <v/>
      </c>
      <c r="AO55" s="0" t="str">
        <f aca="false">IF(OR(E55="",C55="",NOT(ISNUMBER(B55))),"",SUMIFS($E$6:$E$505,$C$6:$C$505,C55,$B$6:$B$505,"&gt;="&amp;DATE(YEAR(B55),MONTH(B55),1),$B$6:$B$505,"&lt;"&amp;DATE(YEAR(B55),MONTH(B55)+1,1)))</f>
        <v/>
      </c>
      <c r="AP55" s="0" t="str">
        <f aca="false">IF(C55="","",IFERROR(INDEX(CLIENTES!$M$6:$M$305,MATCH(C55,CLIENTES!$A$6:$A$305,0)),""))</f>
        <v/>
      </c>
      <c r="AQ55" s="27" t="n">
        <f aca="false">IF(AND(ISNUMBER(AO55),ISNUMBER(AP55)),IF(AND(AP55&gt;0,AO55&gt;AP55),1,0),0)</f>
        <v>0</v>
      </c>
      <c r="AR55" s="27" t="n">
        <f aca="false">IF(NOT(ISNUMBER(B55)),0,IF(B55&lt;MAX($B$5:B54),1,0))</f>
        <v>0</v>
      </c>
      <c r="AS55" s="0" t="str">
        <f aca="false">IF(C55="","",IFERROR(INDEX(CLIENTES!$H$6:$H$305,MATCH(C55,CLIENTES!$A$6:$A$305,0)),""))</f>
        <v/>
      </c>
      <c r="AT55" s="0" t="str">
        <f aca="false">IF(AND(LEFT(P55,5)="AVISO",T55&lt;&gt;"Presentado",ISNUMBER(Q55)),Q55,"")</f>
        <v/>
      </c>
      <c r="AU55" s="27" t="n">
        <f aca="false">IF(AND(D55="XVI - Activos virtuales (PSAV): operación de intercambio/transferencia",M55="Sí",ISNUMBER(AE55)),IF(AK55&gt;=AE55,1,0),0)</f>
        <v>0</v>
      </c>
      <c r="AV55" s="30" t="n">
        <f aca="false">IF(NOT(ISNUMBER(B55)),CONFIG!$B$4,IFERROR(INDEX(CONFIG!$I$5:$I$14,MATCH(IF(MONTH(B55)=1,YEAR(B55)-1,YEAR(B55)),CONFIG!$H$5:$H$14,0)),CONFIG!$B$4))</f>
        <v>117.31</v>
      </c>
      <c r="AW55" s="27" t="n">
        <f aca="false">IF(AND(LEFT(D55,4)="I - ",ISNUMBER(B55),C55&lt;&gt;""),SUMIFS($E$6:$E$505,$C$6:$C$505,C55,$D$6:$D$505,D55,$B$6:$B$505,"&gt;"&amp;(B55-1),$B$6:$B$505,"&lt;="&amp;B55),0)</f>
        <v>0</v>
      </c>
      <c r="AX55" s="0" t="str">
        <f aca="false">IF(E55="","",IF(AD55="Siempre","AVISO (siempre)",IF(AD55="No aplica","Sin Aviso (sólo preparas: Ley 17 XI)",IF(NOT(ISNUMBER(AE55)),"",IF(AA55&lt;&gt;"ACUMULA",IF(E55&gt;=AE55,IF(AND(D55="XVI - Activos virtuales (PSAV): cobro de contraprestación (comisión) por el servicio",COUNTIFS($C$6:$C$505,C55,$B$6:$B$505,"&gt;="&amp;INT(B55),$B$6:$B$505,"&lt;"&amp;(INT(B55)+1),$AU$6:$AU$505,1)&gt;0),"En el Aviso del inciso a) (R 31 Bis)","AVISO"),"—"),IF(M55&lt;&gt;"Sí","—",IF(AK55&gt;=AE55,IF(AK55=E55,"AVISO","AVISO (acumulado)"),"Acumulando")))))))</f>
        <v/>
      </c>
    </row>
    <row r="56" customFormat="false" ht="15" hidden="false" customHeight="false" outlineLevel="0" collapsed="false">
      <c r="A56" s="9" t="str">
        <f aca="false">IF(E56="","",ROW()-5)</f>
        <v/>
      </c>
      <c r="B56" s="20"/>
      <c r="C56" s="21"/>
      <c r="D56" s="21"/>
      <c r="E56" s="22"/>
      <c r="F56" s="22"/>
      <c r="G56" s="21"/>
      <c r="H56" s="21"/>
      <c r="I56" s="9" t="str">
        <f aca="false">IF(C56="","",IFERROR(INDEX(CLIENTES!$B$6:$B$305,MATCH(C56,CLIENTES!$A$6:$A$305,0)),"⚠ ID no registrado"))</f>
        <v/>
      </c>
      <c r="J56" s="9" t="str">
        <f aca="false">IF(C56="","",IFERROR(INDEX(CLIENTES!$Z$6:$Z$305,MATCH(C56,CLIENTES!$A$6:$A$305,0)),""))</f>
        <v/>
      </c>
      <c r="K56" s="9" t="str">
        <f aca="false">IF(E56="","",IF(AB56="Siempre","Sí",IF(ISNUMBER(AC56),IF(E56&gt;=AC56,"Sí",IF(AW56&gt;=AC56,"Sí (serie 24 h)","No")),"")))</f>
        <v/>
      </c>
      <c r="L56" s="9" t="str">
        <f aca="false">IF(E56="","",AA56)</f>
        <v/>
      </c>
      <c r="M56" s="9" t="str">
        <f aca="false">IF(E56="","",IF(AA56&lt;&gt;"ACUMULA","No aplica",IF(LEFT(K56,2)="Sí","Sí","No")))</f>
        <v/>
      </c>
      <c r="N56" s="23" t="str">
        <f aca="false">IF(M56="Sí",AJ56,"")</f>
        <v/>
      </c>
      <c r="O56" s="24" t="str">
        <f aca="false">IF(M56="Sí",AK56,"")</f>
        <v/>
      </c>
      <c r="P56" s="25" t="str">
        <f aca="false">IF(AND(LEFT(D56,6)="XIV - ",LEFT(AX56,5)="AVISO"),"Pedimento (R 16): no va al SPPLD",AX56)</f>
        <v/>
      </c>
      <c r="Q56" s="23" t="str">
        <f aca="false">IF(LEFT(P56,5)="AVISO",IF(ISNUMBER(B56),DATE(YEAR(B56),MONTH(B56)+1,17),"Falta fecha"),"")</f>
        <v/>
      </c>
      <c r="R56" s="9" t="str">
        <f aca="false">IF(OR(F56="",F56=0),"",IF(ISNUMBER(AG56),IF(F56&gt;=AG56,"PROHIBIDO","Dentro del límite"),"No aplica"))</f>
        <v/>
      </c>
      <c r="S56" s="26" t="str">
        <f aca="false">IF(E56="","",MID(IF(AQ56=1," · Excede el perfil declarado","")&amp;IF(H56="Sí"," · Paga un tercero","")&amp;IF(J56="Alto"," · Cliente de riesgo alto: DDR (RCG 23 Ter 3 y 4)","")&amp;IF(AND(AS56&lt;&gt;"",AS56&lt;&gt;"No",AS56&lt;&gt;0)," · PEP","")&amp;IF(R56="PROHIBIDO"," · Efectivo prohibido: no lo recibas (Art. 32)","")&amp;IF(AR56=1," · ⚠ Fecha fuera de orden","")&amp;IF(LEFT(I56,1)="⚠"," · ⚠ Cliente no registrado","")&amp;IF(D56=""," · ⚠ Falta la actividad","")&amp;IF(AND(LEFT(P56,5)="AVISO",W56="")," · Captura la cifra total con IVA para el Aviso","")&amp;IF(AND(ISNUMBER(W56),W56&lt;E56)," · ⚠ La cifra con IVA es menor que el monto sin IVA",""),4,400))</f>
        <v/>
      </c>
      <c r="T56" s="21"/>
      <c r="U56" s="20"/>
      <c r="V56" s="9" t="str">
        <f aca="false">IF(LEFT(P56,5)&lt;&gt;"AVISO","",IF(T56="Presentado",IF(AND(ISNUMBER(U56),ISNUMBER(Q56),U56&gt;Q56),"Presentado tarde","Presentado"),IF(NOT(ISNUMBER(Q56)),"Falta fecha",IF(Q56&lt;CONFIG!$B$6,"VENCIDO","Vence en "&amp;(Q56-CONFIG!$B$6)&amp;" días"))))</f>
        <v/>
      </c>
      <c r="W56" s="22"/>
      <c r="X56" s="21"/>
      <c r="AA56" s="0" t="str">
        <f aca="false">IF(AM56="","",INDEX(CATÁLOGO!$D$5:$D$39,AM56))</f>
        <v/>
      </c>
      <c r="AB56" s="0" t="str">
        <f aca="false">IF(AM56="","",INDEX(CATÁLOGO!$E$5:$E$39,AM56))</f>
        <v/>
      </c>
      <c r="AC56" s="0" t="str">
        <f aca="false">IF(AB56="","",IF(ISNUMBER(AB56),AB56*AV56,AB56))</f>
        <v/>
      </c>
      <c r="AD56" s="0" t="str">
        <f aca="false">IF(AM56="","",INDEX(CATÁLOGO!$F$5:$F$39,AM56))</f>
        <v/>
      </c>
      <c r="AE56" s="0" t="str">
        <f aca="false">IF(AD56="","",IF(ISNUMBER(AD56),AD56*AV56,AD56))</f>
        <v/>
      </c>
      <c r="AF56" s="0" t="str">
        <f aca="false">IF(AM56="","",INDEX(CATÁLOGO!$G$5:$G$39,AM56))</f>
        <v/>
      </c>
      <c r="AG56" s="0" t="str">
        <f aca="false">IF(AF56="","",IF(ISNUMBER(AF56),AF56*AV56,AF56))</f>
        <v/>
      </c>
      <c r="AH56" s="0" t="str">
        <f aca="false">IF(E56="","",C56&amp;"|"&amp;D56)</f>
        <v/>
      </c>
      <c r="AI56" s="27" t="n">
        <f aca="false">IF(M56&lt;&gt;"Sí",0,SUMPRODUCT(MAX(($AH$5:AH55=AH56)*($M$5:M55="Sí")*ROW($AH$5:AH55))))</f>
        <v>0</v>
      </c>
      <c r="AJ56" s="0" t="str">
        <f aca="false">IF(M56&lt;&gt;"Sí","",IF(AL56=1,B56,INDEX($AJ:$AJ,AI56)))</f>
        <v/>
      </c>
      <c r="AK56" s="0" t="str">
        <f aca="false">IF(M56&lt;&gt;"Sí","",IF(AL56=1,E56,INDEX($AK:$AK,AI56)+E56))</f>
        <v/>
      </c>
      <c r="AL56" s="0" t="str">
        <f aca="false">IF(M56&lt;&gt;"Sí","",IF(AI56=0,1,IF(INDEX($AN:$AN,AI56)=0,1,IF(B56&gt;=EDATE(INDEX($AJ:$AJ,AI56),6),1,0))))</f>
        <v/>
      </c>
      <c r="AM56" s="0" t="str">
        <f aca="false">IF(D56="","",IFERROR(MATCH(D56,CATÁLOGO!$C$5:$C$39,0),""))</f>
        <v/>
      </c>
      <c r="AN56" s="0" t="str">
        <f aca="false">IF(M56&lt;&gt;"Sí","",IF(AND(ISNUMBER(AE56),AK56&gt;=AE56),0,1))</f>
        <v/>
      </c>
      <c r="AO56" s="0" t="str">
        <f aca="false">IF(OR(E56="",C56="",NOT(ISNUMBER(B56))),"",SUMIFS($E$6:$E$505,$C$6:$C$505,C56,$B$6:$B$505,"&gt;="&amp;DATE(YEAR(B56),MONTH(B56),1),$B$6:$B$505,"&lt;"&amp;DATE(YEAR(B56),MONTH(B56)+1,1)))</f>
        <v/>
      </c>
      <c r="AP56" s="0" t="str">
        <f aca="false">IF(C56="","",IFERROR(INDEX(CLIENTES!$M$6:$M$305,MATCH(C56,CLIENTES!$A$6:$A$305,0)),""))</f>
        <v/>
      </c>
      <c r="AQ56" s="27" t="n">
        <f aca="false">IF(AND(ISNUMBER(AO56),ISNUMBER(AP56)),IF(AND(AP56&gt;0,AO56&gt;AP56),1,0),0)</f>
        <v>0</v>
      </c>
      <c r="AR56" s="27" t="n">
        <f aca="false">IF(NOT(ISNUMBER(B56)),0,IF(B56&lt;MAX($B$5:B55),1,0))</f>
        <v>0</v>
      </c>
      <c r="AS56" s="0" t="str">
        <f aca="false">IF(C56="","",IFERROR(INDEX(CLIENTES!$H$6:$H$305,MATCH(C56,CLIENTES!$A$6:$A$305,0)),""))</f>
        <v/>
      </c>
      <c r="AT56" s="0" t="str">
        <f aca="false">IF(AND(LEFT(P56,5)="AVISO",T56&lt;&gt;"Presentado",ISNUMBER(Q56)),Q56,"")</f>
        <v/>
      </c>
      <c r="AU56" s="27" t="n">
        <f aca="false">IF(AND(D56="XVI - Activos virtuales (PSAV): operación de intercambio/transferencia",M56="Sí",ISNUMBER(AE56)),IF(AK56&gt;=AE56,1,0),0)</f>
        <v>0</v>
      </c>
      <c r="AV56" s="30" t="n">
        <f aca="false">IF(NOT(ISNUMBER(B56)),CONFIG!$B$4,IFERROR(INDEX(CONFIG!$I$5:$I$14,MATCH(IF(MONTH(B56)=1,YEAR(B56)-1,YEAR(B56)),CONFIG!$H$5:$H$14,0)),CONFIG!$B$4))</f>
        <v>117.31</v>
      </c>
      <c r="AW56" s="27" t="n">
        <f aca="false">IF(AND(LEFT(D56,4)="I - ",ISNUMBER(B56),C56&lt;&gt;""),SUMIFS($E$6:$E$505,$C$6:$C$505,C56,$D$6:$D$505,D56,$B$6:$B$505,"&gt;"&amp;(B56-1),$B$6:$B$505,"&lt;="&amp;B56),0)</f>
        <v>0</v>
      </c>
      <c r="AX56" s="0" t="str">
        <f aca="false">IF(E56="","",IF(AD56="Siempre","AVISO (siempre)",IF(AD56="No aplica","Sin Aviso (sólo preparas: Ley 17 XI)",IF(NOT(ISNUMBER(AE56)),"",IF(AA56&lt;&gt;"ACUMULA",IF(E56&gt;=AE56,IF(AND(D56="XVI - Activos virtuales (PSAV): cobro de contraprestación (comisión) por el servicio",COUNTIFS($C$6:$C$505,C56,$B$6:$B$505,"&gt;="&amp;INT(B56),$B$6:$B$505,"&lt;"&amp;(INT(B56)+1),$AU$6:$AU$505,1)&gt;0),"En el Aviso del inciso a) (R 31 Bis)","AVISO"),"—"),IF(M56&lt;&gt;"Sí","—",IF(AK56&gt;=AE56,IF(AK56=E56,"AVISO","AVISO (acumulado)"),"Acumulando")))))))</f>
        <v/>
      </c>
    </row>
    <row r="57" customFormat="false" ht="15" hidden="false" customHeight="false" outlineLevel="0" collapsed="false">
      <c r="A57" s="9" t="str">
        <f aca="false">IF(E57="","",ROW()-5)</f>
        <v/>
      </c>
      <c r="B57" s="20"/>
      <c r="C57" s="21"/>
      <c r="D57" s="21"/>
      <c r="E57" s="22"/>
      <c r="F57" s="22"/>
      <c r="G57" s="21"/>
      <c r="H57" s="21"/>
      <c r="I57" s="9" t="str">
        <f aca="false">IF(C57="","",IFERROR(INDEX(CLIENTES!$B$6:$B$305,MATCH(C57,CLIENTES!$A$6:$A$305,0)),"⚠ ID no registrado"))</f>
        <v/>
      </c>
      <c r="J57" s="9" t="str">
        <f aca="false">IF(C57="","",IFERROR(INDEX(CLIENTES!$Z$6:$Z$305,MATCH(C57,CLIENTES!$A$6:$A$305,0)),""))</f>
        <v/>
      </c>
      <c r="K57" s="9" t="str">
        <f aca="false">IF(E57="","",IF(AB57="Siempre","Sí",IF(ISNUMBER(AC57),IF(E57&gt;=AC57,"Sí",IF(AW57&gt;=AC57,"Sí (serie 24 h)","No")),"")))</f>
        <v/>
      </c>
      <c r="L57" s="9" t="str">
        <f aca="false">IF(E57="","",AA57)</f>
        <v/>
      </c>
      <c r="M57" s="9" t="str">
        <f aca="false">IF(E57="","",IF(AA57&lt;&gt;"ACUMULA","No aplica",IF(LEFT(K57,2)="Sí","Sí","No")))</f>
        <v/>
      </c>
      <c r="N57" s="23" t="str">
        <f aca="false">IF(M57="Sí",AJ57,"")</f>
        <v/>
      </c>
      <c r="O57" s="24" t="str">
        <f aca="false">IF(M57="Sí",AK57,"")</f>
        <v/>
      </c>
      <c r="P57" s="25" t="str">
        <f aca="false">IF(AND(LEFT(D57,6)="XIV - ",LEFT(AX57,5)="AVISO"),"Pedimento (R 16): no va al SPPLD",AX57)</f>
        <v/>
      </c>
      <c r="Q57" s="23" t="str">
        <f aca="false">IF(LEFT(P57,5)="AVISO",IF(ISNUMBER(B57),DATE(YEAR(B57),MONTH(B57)+1,17),"Falta fecha"),"")</f>
        <v/>
      </c>
      <c r="R57" s="9" t="str">
        <f aca="false">IF(OR(F57="",F57=0),"",IF(ISNUMBER(AG57),IF(F57&gt;=AG57,"PROHIBIDO","Dentro del límite"),"No aplica"))</f>
        <v/>
      </c>
      <c r="S57" s="26" t="str">
        <f aca="false">IF(E57="","",MID(IF(AQ57=1," · Excede el perfil declarado","")&amp;IF(H57="Sí"," · Paga un tercero","")&amp;IF(J57="Alto"," · Cliente de riesgo alto: DDR (RCG 23 Ter 3 y 4)","")&amp;IF(AND(AS57&lt;&gt;"",AS57&lt;&gt;"No",AS57&lt;&gt;0)," · PEP","")&amp;IF(R57="PROHIBIDO"," · Efectivo prohibido: no lo recibas (Art. 32)","")&amp;IF(AR57=1," · ⚠ Fecha fuera de orden","")&amp;IF(LEFT(I57,1)="⚠"," · ⚠ Cliente no registrado","")&amp;IF(D57=""," · ⚠ Falta la actividad","")&amp;IF(AND(LEFT(P57,5)="AVISO",W57="")," · Captura la cifra total con IVA para el Aviso","")&amp;IF(AND(ISNUMBER(W57),W57&lt;E57)," · ⚠ La cifra con IVA es menor que el monto sin IVA",""),4,400))</f>
        <v/>
      </c>
      <c r="T57" s="21"/>
      <c r="U57" s="20"/>
      <c r="V57" s="9" t="str">
        <f aca="false">IF(LEFT(P57,5)&lt;&gt;"AVISO","",IF(T57="Presentado",IF(AND(ISNUMBER(U57),ISNUMBER(Q57),U57&gt;Q57),"Presentado tarde","Presentado"),IF(NOT(ISNUMBER(Q57)),"Falta fecha",IF(Q57&lt;CONFIG!$B$6,"VENCIDO","Vence en "&amp;(Q57-CONFIG!$B$6)&amp;" días"))))</f>
        <v/>
      </c>
      <c r="W57" s="22"/>
      <c r="X57" s="21"/>
      <c r="AA57" s="0" t="str">
        <f aca="false">IF(AM57="","",INDEX(CATÁLOGO!$D$5:$D$39,AM57))</f>
        <v/>
      </c>
      <c r="AB57" s="0" t="str">
        <f aca="false">IF(AM57="","",INDEX(CATÁLOGO!$E$5:$E$39,AM57))</f>
        <v/>
      </c>
      <c r="AC57" s="0" t="str">
        <f aca="false">IF(AB57="","",IF(ISNUMBER(AB57),AB57*AV57,AB57))</f>
        <v/>
      </c>
      <c r="AD57" s="0" t="str">
        <f aca="false">IF(AM57="","",INDEX(CATÁLOGO!$F$5:$F$39,AM57))</f>
        <v/>
      </c>
      <c r="AE57" s="0" t="str">
        <f aca="false">IF(AD57="","",IF(ISNUMBER(AD57),AD57*AV57,AD57))</f>
        <v/>
      </c>
      <c r="AF57" s="0" t="str">
        <f aca="false">IF(AM57="","",INDEX(CATÁLOGO!$G$5:$G$39,AM57))</f>
        <v/>
      </c>
      <c r="AG57" s="0" t="str">
        <f aca="false">IF(AF57="","",IF(ISNUMBER(AF57),AF57*AV57,AF57))</f>
        <v/>
      </c>
      <c r="AH57" s="0" t="str">
        <f aca="false">IF(E57="","",C57&amp;"|"&amp;D57)</f>
        <v/>
      </c>
      <c r="AI57" s="27" t="n">
        <f aca="false">IF(M57&lt;&gt;"Sí",0,SUMPRODUCT(MAX(($AH$5:AH56=AH57)*($M$5:M56="Sí")*ROW($AH$5:AH56))))</f>
        <v>0</v>
      </c>
      <c r="AJ57" s="0" t="str">
        <f aca="false">IF(M57&lt;&gt;"Sí","",IF(AL57=1,B57,INDEX($AJ:$AJ,AI57)))</f>
        <v/>
      </c>
      <c r="AK57" s="0" t="str">
        <f aca="false">IF(M57&lt;&gt;"Sí","",IF(AL57=1,E57,INDEX($AK:$AK,AI57)+E57))</f>
        <v/>
      </c>
      <c r="AL57" s="0" t="str">
        <f aca="false">IF(M57&lt;&gt;"Sí","",IF(AI57=0,1,IF(INDEX($AN:$AN,AI57)=0,1,IF(B57&gt;=EDATE(INDEX($AJ:$AJ,AI57),6),1,0))))</f>
        <v/>
      </c>
      <c r="AM57" s="0" t="str">
        <f aca="false">IF(D57="","",IFERROR(MATCH(D57,CATÁLOGO!$C$5:$C$39,0),""))</f>
        <v/>
      </c>
      <c r="AN57" s="0" t="str">
        <f aca="false">IF(M57&lt;&gt;"Sí","",IF(AND(ISNUMBER(AE57),AK57&gt;=AE57),0,1))</f>
        <v/>
      </c>
      <c r="AO57" s="0" t="str">
        <f aca="false">IF(OR(E57="",C57="",NOT(ISNUMBER(B57))),"",SUMIFS($E$6:$E$505,$C$6:$C$505,C57,$B$6:$B$505,"&gt;="&amp;DATE(YEAR(B57),MONTH(B57),1),$B$6:$B$505,"&lt;"&amp;DATE(YEAR(B57),MONTH(B57)+1,1)))</f>
        <v/>
      </c>
      <c r="AP57" s="0" t="str">
        <f aca="false">IF(C57="","",IFERROR(INDEX(CLIENTES!$M$6:$M$305,MATCH(C57,CLIENTES!$A$6:$A$305,0)),""))</f>
        <v/>
      </c>
      <c r="AQ57" s="27" t="n">
        <f aca="false">IF(AND(ISNUMBER(AO57),ISNUMBER(AP57)),IF(AND(AP57&gt;0,AO57&gt;AP57),1,0),0)</f>
        <v>0</v>
      </c>
      <c r="AR57" s="27" t="n">
        <f aca="false">IF(NOT(ISNUMBER(B57)),0,IF(B57&lt;MAX($B$5:B56),1,0))</f>
        <v>0</v>
      </c>
      <c r="AS57" s="0" t="str">
        <f aca="false">IF(C57="","",IFERROR(INDEX(CLIENTES!$H$6:$H$305,MATCH(C57,CLIENTES!$A$6:$A$305,0)),""))</f>
        <v/>
      </c>
      <c r="AT57" s="0" t="str">
        <f aca="false">IF(AND(LEFT(P57,5)="AVISO",T57&lt;&gt;"Presentado",ISNUMBER(Q57)),Q57,"")</f>
        <v/>
      </c>
      <c r="AU57" s="27" t="n">
        <f aca="false">IF(AND(D57="XVI - Activos virtuales (PSAV): operación de intercambio/transferencia",M57="Sí",ISNUMBER(AE57)),IF(AK57&gt;=AE57,1,0),0)</f>
        <v>0</v>
      </c>
      <c r="AV57" s="30" t="n">
        <f aca="false">IF(NOT(ISNUMBER(B57)),CONFIG!$B$4,IFERROR(INDEX(CONFIG!$I$5:$I$14,MATCH(IF(MONTH(B57)=1,YEAR(B57)-1,YEAR(B57)),CONFIG!$H$5:$H$14,0)),CONFIG!$B$4))</f>
        <v>117.31</v>
      </c>
      <c r="AW57" s="27" t="n">
        <f aca="false">IF(AND(LEFT(D57,4)="I - ",ISNUMBER(B57),C57&lt;&gt;""),SUMIFS($E$6:$E$505,$C$6:$C$505,C57,$D$6:$D$505,D57,$B$6:$B$505,"&gt;"&amp;(B57-1),$B$6:$B$505,"&lt;="&amp;B57),0)</f>
        <v>0</v>
      </c>
      <c r="AX57" s="0" t="str">
        <f aca="false">IF(E57="","",IF(AD57="Siempre","AVISO (siempre)",IF(AD57="No aplica","Sin Aviso (sólo preparas: Ley 17 XI)",IF(NOT(ISNUMBER(AE57)),"",IF(AA57&lt;&gt;"ACUMULA",IF(E57&gt;=AE57,IF(AND(D57="XVI - Activos virtuales (PSAV): cobro de contraprestación (comisión) por el servicio",COUNTIFS($C$6:$C$505,C57,$B$6:$B$505,"&gt;="&amp;INT(B57),$B$6:$B$505,"&lt;"&amp;(INT(B57)+1),$AU$6:$AU$505,1)&gt;0),"En el Aviso del inciso a) (R 31 Bis)","AVISO"),"—"),IF(M57&lt;&gt;"Sí","—",IF(AK57&gt;=AE57,IF(AK57=E57,"AVISO","AVISO (acumulado)"),"Acumulando")))))))</f>
        <v/>
      </c>
    </row>
    <row r="58" customFormat="false" ht="15" hidden="false" customHeight="false" outlineLevel="0" collapsed="false">
      <c r="A58" s="9" t="str">
        <f aca="false">IF(E58="","",ROW()-5)</f>
        <v/>
      </c>
      <c r="B58" s="20"/>
      <c r="C58" s="21"/>
      <c r="D58" s="21"/>
      <c r="E58" s="22"/>
      <c r="F58" s="22"/>
      <c r="G58" s="21"/>
      <c r="H58" s="21"/>
      <c r="I58" s="9" t="str">
        <f aca="false">IF(C58="","",IFERROR(INDEX(CLIENTES!$B$6:$B$305,MATCH(C58,CLIENTES!$A$6:$A$305,0)),"⚠ ID no registrado"))</f>
        <v/>
      </c>
      <c r="J58" s="9" t="str">
        <f aca="false">IF(C58="","",IFERROR(INDEX(CLIENTES!$Z$6:$Z$305,MATCH(C58,CLIENTES!$A$6:$A$305,0)),""))</f>
        <v/>
      </c>
      <c r="K58" s="9" t="str">
        <f aca="false">IF(E58="","",IF(AB58="Siempre","Sí",IF(ISNUMBER(AC58),IF(E58&gt;=AC58,"Sí",IF(AW58&gt;=AC58,"Sí (serie 24 h)","No")),"")))</f>
        <v/>
      </c>
      <c r="L58" s="9" t="str">
        <f aca="false">IF(E58="","",AA58)</f>
        <v/>
      </c>
      <c r="M58" s="9" t="str">
        <f aca="false">IF(E58="","",IF(AA58&lt;&gt;"ACUMULA","No aplica",IF(LEFT(K58,2)="Sí","Sí","No")))</f>
        <v/>
      </c>
      <c r="N58" s="23" t="str">
        <f aca="false">IF(M58="Sí",AJ58,"")</f>
        <v/>
      </c>
      <c r="O58" s="24" t="str">
        <f aca="false">IF(M58="Sí",AK58,"")</f>
        <v/>
      </c>
      <c r="P58" s="25" t="str">
        <f aca="false">IF(AND(LEFT(D58,6)="XIV - ",LEFT(AX58,5)="AVISO"),"Pedimento (R 16): no va al SPPLD",AX58)</f>
        <v/>
      </c>
      <c r="Q58" s="23" t="str">
        <f aca="false">IF(LEFT(P58,5)="AVISO",IF(ISNUMBER(B58),DATE(YEAR(B58),MONTH(B58)+1,17),"Falta fecha"),"")</f>
        <v/>
      </c>
      <c r="R58" s="9" t="str">
        <f aca="false">IF(OR(F58="",F58=0),"",IF(ISNUMBER(AG58),IF(F58&gt;=AG58,"PROHIBIDO","Dentro del límite"),"No aplica"))</f>
        <v/>
      </c>
      <c r="S58" s="26" t="str">
        <f aca="false">IF(E58="","",MID(IF(AQ58=1," · Excede el perfil declarado","")&amp;IF(H58="Sí"," · Paga un tercero","")&amp;IF(J58="Alto"," · Cliente de riesgo alto: DDR (RCG 23 Ter 3 y 4)","")&amp;IF(AND(AS58&lt;&gt;"",AS58&lt;&gt;"No",AS58&lt;&gt;0)," · PEP","")&amp;IF(R58="PROHIBIDO"," · Efectivo prohibido: no lo recibas (Art. 32)","")&amp;IF(AR58=1," · ⚠ Fecha fuera de orden","")&amp;IF(LEFT(I58,1)="⚠"," · ⚠ Cliente no registrado","")&amp;IF(D58=""," · ⚠ Falta la actividad","")&amp;IF(AND(LEFT(P58,5)="AVISO",W58="")," · Captura la cifra total con IVA para el Aviso","")&amp;IF(AND(ISNUMBER(W58),W58&lt;E58)," · ⚠ La cifra con IVA es menor que el monto sin IVA",""),4,400))</f>
        <v/>
      </c>
      <c r="T58" s="21"/>
      <c r="U58" s="20"/>
      <c r="V58" s="9" t="str">
        <f aca="false">IF(LEFT(P58,5)&lt;&gt;"AVISO","",IF(T58="Presentado",IF(AND(ISNUMBER(U58),ISNUMBER(Q58),U58&gt;Q58),"Presentado tarde","Presentado"),IF(NOT(ISNUMBER(Q58)),"Falta fecha",IF(Q58&lt;CONFIG!$B$6,"VENCIDO","Vence en "&amp;(Q58-CONFIG!$B$6)&amp;" días"))))</f>
        <v/>
      </c>
      <c r="W58" s="22"/>
      <c r="X58" s="21"/>
      <c r="AA58" s="0" t="str">
        <f aca="false">IF(AM58="","",INDEX(CATÁLOGO!$D$5:$D$39,AM58))</f>
        <v/>
      </c>
      <c r="AB58" s="0" t="str">
        <f aca="false">IF(AM58="","",INDEX(CATÁLOGO!$E$5:$E$39,AM58))</f>
        <v/>
      </c>
      <c r="AC58" s="0" t="str">
        <f aca="false">IF(AB58="","",IF(ISNUMBER(AB58),AB58*AV58,AB58))</f>
        <v/>
      </c>
      <c r="AD58" s="0" t="str">
        <f aca="false">IF(AM58="","",INDEX(CATÁLOGO!$F$5:$F$39,AM58))</f>
        <v/>
      </c>
      <c r="AE58" s="0" t="str">
        <f aca="false">IF(AD58="","",IF(ISNUMBER(AD58),AD58*AV58,AD58))</f>
        <v/>
      </c>
      <c r="AF58" s="0" t="str">
        <f aca="false">IF(AM58="","",INDEX(CATÁLOGO!$G$5:$G$39,AM58))</f>
        <v/>
      </c>
      <c r="AG58" s="0" t="str">
        <f aca="false">IF(AF58="","",IF(ISNUMBER(AF58),AF58*AV58,AF58))</f>
        <v/>
      </c>
      <c r="AH58" s="0" t="str">
        <f aca="false">IF(E58="","",C58&amp;"|"&amp;D58)</f>
        <v/>
      </c>
      <c r="AI58" s="27" t="n">
        <f aca="false">IF(M58&lt;&gt;"Sí",0,SUMPRODUCT(MAX(($AH$5:AH57=AH58)*($M$5:M57="Sí")*ROW($AH$5:AH57))))</f>
        <v>0</v>
      </c>
      <c r="AJ58" s="0" t="str">
        <f aca="false">IF(M58&lt;&gt;"Sí","",IF(AL58=1,B58,INDEX($AJ:$AJ,AI58)))</f>
        <v/>
      </c>
      <c r="AK58" s="0" t="str">
        <f aca="false">IF(M58&lt;&gt;"Sí","",IF(AL58=1,E58,INDEX($AK:$AK,AI58)+E58))</f>
        <v/>
      </c>
      <c r="AL58" s="0" t="str">
        <f aca="false">IF(M58&lt;&gt;"Sí","",IF(AI58=0,1,IF(INDEX($AN:$AN,AI58)=0,1,IF(B58&gt;=EDATE(INDEX($AJ:$AJ,AI58),6),1,0))))</f>
        <v/>
      </c>
      <c r="AM58" s="0" t="str">
        <f aca="false">IF(D58="","",IFERROR(MATCH(D58,CATÁLOGO!$C$5:$C$39,0),""))</f>
        <v/>
      </c>
      <c r="AN58" s="0" t="str">
        <f aca="false">IF(M58&lt;&gt;"Sí","",IF(AND(ISNUMBER(AE58),AK58&gt;=AE58),0,1))</f>
        <v/>
      </c>
      <c r="AO58" s="0" t="str">
        <f aca="false">IF(OR(E58="",C58="",NOT(ISNUMBER(B58))),"",SUMIFS($E$6:$E$505,$C$6:$C$505,C58,$B$6:$B$505,"&gt;="&amp;DATE(YEAR(B58),MONTH(B58),1),$B$6:$B$505,"&lt;"&amp;DATE(YEAR(B58),MONTH(B58)+1,1)))</f>
        <v/>
      </c>
      <c r="AP58" s="0" t="str">
        <f aca="false">IF(C58="","",IFERROR(INDEX(CLIENTES!$M$6:$M$305,MATCH(C58,CLIENTES!$A$6:$A$305,0)),""))</f>
        <v/>
      </c>
      <c r="AQ58" s="27" t="n">
        <f aca="false">IF(AND(ISNUMBER(AO58),ISNUMBER(AP58)),IF(AND(AP58&gt;0,AO58&gt;AP58),1,0),0)</f>
        <v>0</v>
      </c>
      <c r="AR58" s="27" t="n">
        <f aca="false">IF(NOT(ISNUMBER(B58)),0,IF(B58&lt;MAX($B$5:B57),1,0))</f>
        <v>0</v>
      </c>
      <c r="AS58" s="0" t="str">
        <f aca="false">IF(C58="","",IFERROR(INDEX(CLIENTES!$H$6:$H$305,MATCH(C58,CLIENTES!$A$6:$A$305,0)),""))</f>
        <v/>
      </c>
      <c r="AT58" s="0" t="str">
        <f aca="false">IF(AND(LEFT(P58,5)="AVISO",T58&lt;&gt;"Presentado",ISNUMBER(Q58)),Q58,"")</f>
        <v/>
      </c>
      <c r="AU58" s="27" t="n">
        <f aca="false">IF(AND(D58="XVI - Activos virtuales (PSAV): operación de intercambio/transferencia",M58="Sí",ISNUMBER(AE58)),IF(AK58&gt;=AE58,1,0),0)</f>
        <v>0</v>
      </c>
      <c r="AV58" s="30" t="n">
        <f aca="false">IF(NOT(ISNUMBER(B58)),CONFIG!$B$4,IFERROR(INDEX(CONFIG!$I$5:$I$14,MATCH(IF(MONTH(B58)=1,YEAR(B58)-1,YEAR(B58)),CONFIG!$H$5:$H$14,0)),CONFIG!$B$4))</f>
        <v>117.31</v>
      </c>
      <c r="AW58" s="27" t="n">
        <f aca="false">IF(AND(LEFT(D58,4)="I - ",ISNUMBER(B58),C58&lt;&gt;""),SUMIFS($E$6:$E$505,$C$6:$C$505,C58,$D$6:$D$505,D58,$B$6:$B$505,"&gt;"&amp;(B58-1),$B$6:$B$505,"&lt;="&amp;B58),0)</f>
        <v>0</v>
      </c>
      <c r="AX58" s="0" t="str">
        <f aca="false">IF(E58="","",IF(AD58="Siempre","AVISO (siempre)",IF(AD58="No aplica","Sin Aviso (sólo preparas: Ley 17 XI)",IF(NOT(ISNUMBER(AE58)),"",IF(AA58&lt;&gt;"ACUMULA",IF(E58&gt;=AE58,IF(AND(D58="XVI - Activos virtuales (PSAV): cobro de contraprestación (comisión) por el servicio",COUNTIFS($C$6:$C$505,C58,$B$6:$B$505,"&gt;="&amp;INT(B58),$B$6:$B$505,"&lt;"&amp;(INT(B58)+1),$AU$6:$AU$505,1)&gt;0),"En el Aviso del inciso a) (R 31 Bis)","AVISO"),"—"),IF(M58&lt;&gt;"Sí","—",IF(AK58&gt;=AE58,IF(AK58=E58,"AVISO","AVISO (acumulado)"),"Acumulando")))))))</f>
        <v/>
      </c>
    </row>
    <row r="59" customFormat="false" ht="15" hidden="false" customHeight="false" outlineLevel="0" collapsed="false">
      <c r="A59" s="9" t="str">
        <f aca="false">IF(E59="","",ROW()-5)</f>
        <v/>
      </c>
      <c r="B59" s="20"/>
      <c r="C59" s="21"/>
      <c r="D59" s="21"/>
      <c r="E59" s="22"/>
      <c r="F59" s="22"/>
      <c r="G59" s="21"/>
      <c r="H59" s="21"/>
      <c r="I59" s="9" t="str">
        <f aca="false">IF(C59="","",IFERROR(INDEX(CLIENTES!$B$6:$B$305,MATCH(C59,CLIENTES!$A$6:$A$305,0)),"⚠ ID no registrado"))</f>
        <v/>
      </c>
      <c r="J59" s="9" t="str">
        <f aca="false">IF(C59="","",IFERROR(INDEX(CLIENTES!$Z$6:$Z$305,MATCH(C59,CLIENTES!$A$6:$A$305,0)),""))</f>
        <v/>
      </c>
      <c r="K59" s="9" t="str">
        <f aca="false">IF(E59="","",IF(AB59="Siempre","Sí",IF(ISNUMBER(AC59),IF(E59&gt;=AC59,"Sí",IF(AW59&gt;=AC59,"Sí (serie 24 h)","No")),"")))</f>
        <v/>
      </c>
      <c r="L59" s="9" t="str">
        <f aca="false">IF(E59="","",AA59)</f>
        <v/>
      </c>
      <c r="M59" s="9" t="str">
        <f aca="false">IF(E59="","",IF(AA59&lt;&gt;"ACUMULA","No aplica",IF(LEFT(K59,2)="Sí","Sí","No")))</f>
        <v/>
      </c>
      <c r="N59" s="23" t="str">
        <f aca="false">IF(M59="Sí",AJ59,"")</f>
        <v/>
      </c>
      <c r="O59" s="24" t="str">
        <f aca="false">IF(M59="Sí",AK59,"")</f>
        <v/>
      </c>
      <c r="P59" s="25" t="str">
        <f aca="false">IF(AND(LEFT(D59,6)="XIV - ",LEFT(AX59,5)="AVISO"),"Pedimento (R 16): no va al SPPLD",AX59)</f>
        <v/>
      </c>
      <c r="Q59" s="23" t="str">
        <f aca="false">IF(LEFT(P59,5)="AVISO",IF(ISNUMBER(B59),DATE(YEAR(B59),MONTH(B59)+1,17),"Falta fecha"),"")</f>
        <v/>
      </c>
      <c r="R59" s="9" t="str">
        <f aca="false">IF(OR(F59="",F59=0),"",IF(ISNUMBER(AG59),IF(F59&gt;=AG59,"PROHIBIDO","Dentro del límite"),"No aplica"))</f>
        <v/>
      </c>
      <c r="S59" s="26" t="str">
        <f aca="false">IF(E59="","",MID(IF(AQ59=1," · Excede el perfil declarado","")&amp;IF(H59="Sí"," · Paga un tercero","")&amp;IF(J59="Alto"," · Cliente de riesgo alto: DDR (RCG 23 Ter 3 y 4)","")&amp;IF(AND(AS59&lt;&gt;"",AS59&lt;&gt;"No",AS59&lt;&gt;0)," · PEP","")&amp;IF(R59="PROHIBIDO"," · Efectivo prohibido: no lo recibas (Art. 32)","")&amp;IF(AR59=1," · ⚠ Fecha fuera de orden","")&amp;IF(LEFT(I59,1)="⚠"," · ⚠ Cliente no registrado","")&amp;IF(D59=""," · ⚠ Falta la actividad","")&amp;IF(AND(LEFT(P59,5)="AVISO",W59="")," · Captura la cifra total con IVA para el Aviso","")&amp;IF(AND(ISNUMBER(W59),W59&lt;E59)," · ⚠ La cifra con IVA es menor que el monto sin IVA",""),4,400))</f>
        <v/>
      </c>
      <c r="T59" s="21"/>
      <c r="U59" s="20"/>
      <c r="V59" s="9" t="str">
        <f aca="false">IF(LEFT(P59,5)&lt;&gt;"AVISO","",IF(T59="Presentado",IF(AND(ISNUMBER(U59),ISNUMBER(Q59),U59&gt;Q59),"Presentado tarde","Presentado"),IF(NOT(ISNUMBER(Q59)),"Falta fecha",IF(Q59&lt;CONFIG!$B$6,"VENCIDO","Vence en "&amp;(Q59-CONFIG!$B$6)&amp;" días"))))</f>
        <v/>
      </c>
      <c r="W59" s="22"/>
      <c r="X59" s="21"/>
      <c r="AA59" s="0" t="str">
        <f aca="false">IF(AM59="","",INDEX(CATÁLOGO!$D$5:$D$39,AM59))</f>
        <v/>
      </c>
      <c r="AB59" s="0" t="str">
        <f aca="false">IF(AM59="","",INDEX(CATÁLOGO!$E$5:$E$39,AM59))</f>
        <v/>
      </c>
      <c r="AC59" s="0" t="str">
        <f aca="false">IF(AB59="","",IF(ISNUMBER(AB59),AB59*AV59,AB59))</f>
        <v/>
      </c>
      <c r="AD59" s="0" t="str">
        <f aca="false">IF(AM59="","",INDEX(CATÁLOGO!$F$5:$F$39,AM59))</f>
        <v/>
      </c>
      <c r="AE59" s="0" t="str">
        <f aca="false">IF(AD59="","",IF(ISNUMBER(AD59),AD59*AV59,AD59))</f>
        <v/>
      </c>
      <c r="AF59" s="0" t="str">
        <f aca="false">IF(AM59="","",INDEX(CATÁLOGO!$G$5:$G$39,AM59))</f>
        <v/>
      </c>
      <c r="AG59" s="0" t="str">
        <f aca="false">IF(AF59="","",IF(ISNUMBER(AF59),AF59*AV59,AF59))</f>
        <v/>
      </c>
      <c r="AH59" s="0" t="str">
        <f aca="false">IF(E59="","",C59&amp;"|"&amp;D59)</f>
        <v/>
      </c>
      <c r="AI59" s="27" t="n">
        <f aca="false">IF(M59&lt;&gt;"Sí",0,SUMPRODUCT(MAX(($AH$5:AH58=AH59)*($M$5:M58="Sí")*ROW($AH$5:AH58))))</f>
        <v>0</v>
      </c>
      <c r="AJ59" s="0" t="str">
        <f aca="false">IF(M59&lt;&gt;"Sí","",IF(AL59=1,B59,INDEX($AJ:$AJ,AI59)))</f>
        <v/>
      </c>
      <c r="AK59" s="0" t="str">
        <f aca="false">IF(M59&lt;&gt;"Sí","",IF(AL59=1,E59,INDEX($AK:$AK,AI59)+E59))</f>
        <v/>
      </c>
      <c r="AL59" s="0" t="str">
        <f aca="false">IF(M59&lt;&gt;"Sí","",IF(AI59=0,1,IF(INDEX($AN:$AN,AI59)=0,1,IF(B59&gt;=EDATE(INDEX($AJ:$AJ,AI59),6),1,0))))</f>
        <v/>
      </c>
      <c r="AM59" s="0" t="str">
        <f aca="false">IF(D59="","",IFERROR(MATCH(D59,CATÁLOGO!$C$5:$C$39,0),""))</f>
        <v/>
      </c>
      <c r="AN59" s="0" t="str">
        <f aca="false">IF(M59&lt;&gt;"Sí","",IF(AND(ISNUMBER(AE59),AK59&gt;=AE59),0,1))</f>
        <v/>
      </c>
      <c r="AO59" s="0" t="str">
        <f aca="false">IF(OR(E59="",C59="",NOT(ISNUMBER(B59))),"",SUMIFS($E$6:$E$505,$C$6:$C$505,C59,$B$6:$B$505,"&gt;="&amp;DATE(YEAR(B59),MONTH(B59),1),$B$6:$B$505,"&lt;"&amp;DATE(YEAR(B59),MONTH(B59)+1,1)))</f>
        <v/>
      </c>
      <c r="AP59" s="0" t="str">
        <f aca="false">IF(C59="","",IFERROR(INDEX(CLIENTES!$M$6:$M$305,MATCH(C59,CLIENTES!$A$6:$A$305,0)),""))</f>
        <v/>
      </c>
      <c r="AQ59" s="27" t="n">
        <f aca="false">IF(AND(ISNUMBER(AO59),ISNUMBER(AP59)),IF(AND(AP59&gt;0,AO59&gt;AP59),1,0),0)</f>
        <v>0</v>
      </c>
      <c r="AR59" s="27" t="n">
        <f aca="false">IF(NOT(ISNUMBER(B59)),0,IF(B59&lt;MAX($B$5:B58),1,0))</f>
        <v>0</v>
      </c>
      <c r="AS59" s="0" t="str">
        <f aca="false">IF(C59="","",IFERROR(INDEX(CLIENTES!$H$6:$H$305,MATCH(C59,CLIENTES!$A$6:$A$305,0)),""))</f>
        <v/>
      </c>
      <c r="AT59" s="0" t="str">
        <f aca="false">IF(AND(LEFT(P59,5)="AVISO",T59&lt;&gt;"Presentado",ISNUMBER(Q59)),Q59,"")</f>
        <v/>
      </c>
      <c r="AU59" s="27" t="n">
        <f aca="false">IF(AND(D59="XVI - Activos virtuales (PSAV): operación de intercambio/transferencia",M59="Sí",ISNUMBER(AE59)),IF(AK59&gt;=AE59,1,0),0)</f>
        <v>0</v>
      </c>
      <c r="AV59" s="30" t="n">
        <f aca="false">IF(NOT(ISNUMBER(B59)),CONFIG!$B$4,IFERROR(INDEX(CONFIG!$I$5:$I$14,MATCH(IF(MONTH(B59)=1,YEAR(B59)-1,YEAR(B59)),CONFIG!$H$5:$H$14,0)),CONFIG!$B$4))</f>
        <v>117.31</v>
      </c>
      <c r="AW59" s="27" t="n">
        <f aca="false">IF(AND(LEFT(D59,4)="I - ",ISNUMBER(B59),C59&lt;&gt;""),SUMIFS($E$6:$E$505,$C$6:$C$505,C59,$D$6:$D$505,D59,$B$6:$B$505,"&gt;"&amp;(B59-1),$B$6:$B$505,"&lt;="&amp;B59),0)</f>
        <v>0</v>
      </c>
      <c r="AX59" s="0" t="str">
        <f aca="false">IF(E59="","",IF(AD59="Siempre","AVISO (siempre)",IF(AD59="No aplica","Sin Aviso (sólo preparas: Ley 17 XI)",IF(NOT(ISNUMBER(AE59)),"",IF(AA59&lt;&gt;"ACUMULA",IF(E59&gt;=AE59,IF(AND(D59="XVI - Activos virtuales (PSAV): cobro de contraprestación (comisión) por el servicio",COUNTIFS($C$6:$C$505,C59,$B$6:$B$505,"&gt;="&amp;INT(B59),$B$6:$B$505,"&lt;"&amp;(INT(B59)+1),$AU$6:$AU$505,1)&gt;0),"En el Aviso del inciso a) (R 31 Bis)","AVISO"),"—"),IF(M59&lt;&gt;"Sí","—",IF(AK59&gt;=AE59,IF(AK59=E59,"AVISO","AVISO (acumulado)"),"Acumulando")))))))</f>
        <v/>
      </c>
    </row>
    <row r="60" customFormat="false" ht="15" hidden="false" customHeight="false" outlineLevel="0" collapsed="false">
      <c r="A60" s="9" t="str">
        <f aca="false">IF(E60="","",ROW()-5)</f>
        <v/>
      </c>
      <c r="B60" s="20"/>
      <c r="C60" s="21"/>
      <c r="D60" s="21"/>
      <c r="E60" s="22"/>
      <c r="F60" s="22"/>
      <c r="G60" s="21"/>
      <c r="H60" s="21"/>
      <c r="I60" s="9" t="str">
        <f aca="false">IF(C60="","",IFERROR(INDEX(CLIENTES!$B$6:$B$305,MATCH(C60,CLIENTES!$A$6:$A$305,0)),"⚠ ID no registrado"))</f>
        <v/>
      </c>
      <c r="J60" s="9" t="str">
        <f aca="false">IF(C60="","",IFERROR(INDEX(CLIENTES!$Z$6:$Z$305,MATCH(C60,CLIENTES!$A$6:$A$305,0)),""))</f>
        <v/>
      </c>
      <c r="K60" s="9" t="str">
        <f aca="false">IF(E60="","",IF(AB60="Siempre","Sí",IF(ISNUMBER(AC60),IF(E60&gt;=AC60,"Sí",IF(AW60&gt;=AC60,"Sí (serie 24 h)","No")),"")))</f>
        <v/>
      </c>
      <c r="L60" s="9" t="str">
        <f aca="false">IF(E60="","",AA60)</f>
        <v/>
      </c>
      <c r="M60" s="9" t="str">
        <f aca="false">IF(E60="","",IF(AA60&lt;&gt;"ACUMULA","No aplica",IF(LEFT(K60,2)="Sí","Sí","No")))</f>
        <v/>
      </c>
      <c r="N60" s="23" t="str">
        <f aca="false">IF(M60="Sí",AJ60,"")</f>
        <v/>
      </c>
      <c r="O60" s="24" t="str">
        <f aca="false">IF(M60="Sí",AK60,"")</f>
        <v/>
      </c>
      <c r="P60" s="25" t="str">
        <f aca="false">IF(AND(LEFT(D60,6)="XIV - ",LEFT(AX60,5)="AVISO"),"Pedimento (R 16): no va al SPPLD",AX60)</f>
        <v/>
      </c>
      <c r="Q60" s="23" t="str">
        <f aca="false">IF(LEFT(P60,5)="AVISO",IF(ISNUMBER(B60),DATE(YEAR(B60),MONTH(B60)+1,17),"Falta fecha"),"")</f>
        <v/>
      </c>
      <c r="R60" s="9" t="str">
        <f aca="false">IF(OR(F60="",F60=0),"",IF(ISNUMBER(AG60),IF(F60&gt;=AG60,"PROHIBIDO","Dentro del límite"),"No aplica"))</f>
        <v/>
      </c>
      <c r="S60" s="26" t="str">
        <f aca="false">IF(E60="","",MID(IF(AQ60=1," · Excede el perfil declarado","")&amp;IF(H60="Sí"," · Paga un tercero","")&amp;IF(J60="Alto"," · Cliente de riesgo alto: DDR (RCG 23 Ter 3 y 4)","")&amp;IF(AND(AS60&lt;&gt;"",AS60&lt;&gt;"No",AS60&lt;&gt;0)," · PEP","")&amp;IF(R60="PROHIBIDO"," · Efectivo prohibido: no lo recibas (Art. 32)","")&amp;IF(AR60=1," · ⚠ Fecha fuera de orden","")&amp;IF(LEFT(I60,1)="⚠"," · ⚠ Cliente no registrado","")&amp;IF(D60=""," · ⚠ Falta la actividad","")&amp;IF(AND(LEFT(P60,5)="AVISO",W60="")," · Captura la cifra total con IVA para el Aviso","")&amp;IF(AND(ISNUMBER(W60),W60&lt;E60)," · ⚠ La cifra con IVA es menor que el monto sin IVA",""),4,400))</f>
        <v/>
      </c>
      <c r="T60" s="21"/>
      <c r="U60" s="20"/>
      <c r="V60" s="9" t="str">
        <f aca="false">IF(LEFT(P60,5)&lt;&gt;"AVISO","",IF(T60="Presentado",IF(AND(ISNUMBER(U60),ISNUMBER(Q60),U60&gt;Q60),"Presentado tarde","Presentado"),IF(NOT(ISNUMBER(Q60)),"Falta fecha",IF(Q60&lt;CONFIG!$B$6,"VENCIDO","Vence en "&amp;(Q60-CONFIG!$B$6)&amp;" días"))))</f>
        <v/>
      </c>
      <c r="W60" s="22"/>
      <c r="X60" s="21"/>
      <c r="AA60" s="0" t="str">
        <f aca="false">IF(AM60="","",INDEX(CATÁLOGO!$D$5:$D$39,AM60))</f>
        <v/>
      </c>
      <c r="AB60" s="0" t="str">
        <f aca="false">IF(AM60="","",INDEX(CATÁLOGO!$E$5:$E$39,AM60))</f>
        <v/>
      </c>
      <c r="AC60" s="0" t="str">
        <f aca="false">IF(AB60="","",IF(ISNUMBER(AB60),AB60*AV60,AB60))</f>
        <v/>
      </c>
      <c r="AD60" s="0" t="str">
        <f aca="false">IF(AM60="","",INDEX(CATÁLOGO!$F$5:$F$39,AM60))</f>
        <v/>
      </c>
      <c r="AE60" s="0" t="str">
        <f aca="false">IF(AD60="","",IF(ISNUMBER(AD60),AD60*AV60,AD60))</f>
        <v/>
      </c>
      <c r="AF60" s="0" t="str">
        <f aca="false">IF(AM60="","",INDEX(CATÁLOGO!$G$5:$G$39,AM60))</f>
        <v/>
      </c>
      <c r="AG60" s="0" t="str">
        <f aca="false">IF(AF60="","",IF(ISNUMBER(AF60),AF60*AV60,AF60))</f>
        <v/>
      </c>
      <c r="AH60" s="0" t="str">
        <f aca="false">IF(E60="","",C60&amp;"|"&amp;D60)</f>
        <v/>
      </c>
      <c r="AI60" s="27" t="n">
        <f aca="false">IF(M60&lt;&gt;"Sí",0,SUMPRODUCT(MAX(($AH$5:AH59=AH60)*($M$5:M59="Sí")*ROW($AH$5:AH59))))</f>
        <v>0</v>
      </c>
      <c r="AJ60" s="0" t="str">
        <f aca="false">IF(M60&lt;&gt;"Sí","",IF(AL60=1,B60,INDEX($AJ:$AJ,AI60)))</f>
        <v/>
      </c>
      <c r="AK60" s="0" t="str">
        <f aca="false">IF(M60&lt;&gt;"Sí","",IF(AL60=1,E60,INDEX($AK:$AK,AI60)+E60))</f>
        <v/>
      </c>
      <c r="AL60" s="0" t="str">
        <f aca="false">IF(M60&lt;&gt;"Sí","",IF(AI60=0,1,IF(INDEX($AN:$AN,AI60)=0,1,IF(B60&gt;=EDATE(INDEX($AJ:$AJ,AI60),6),1,0))))</f>
        <v/>
      </c>
      <c r="AM60" s="0" t="str">
        <f aca="false">IF(D60="","",IFERROR(MATCH(D60,CATÁLOGO!$C$5:$C$39,0),""))</f>
        <v/>
      </c>
      <c r="AN60" s="0" t="str">
        <f aca="false">IF(M60&lt;&gt;"Sí","",IF(AND(ISNUMBER(AE60),AK60&gt;=AE60),0,1))</f>
        <v/>
      </c>
      <c r="AO60" s="0" t="str">
        <f aca="false">IF(OR(E60="",C60="",NOT(ISNUMBER(B60))),"",SUMIFS($E$6:$E$505,$C$6:$C$505,C60,$B$6:$B$505,"&gt;="&amp;DATE(YEAR(B60),MONTH(B60),1),$B$6:$B$505,"&lt;"&amp;DATE(YEAR(B60),MONTH(B60)+1,1)))</f>
        <v/>
      </c>
      <c r="AP60" s="0" t="str">
        <f aca="false">IF(C60="","",IFERROR(INDEX(CLIENTES!$M$6:$M$305,MATCH(C60,CLIENTES!$A$6:$A$305,0)),""))</f>
        <v/>
      </c>
      <c r="AQ60" s="27" t="n">
        <f aca="false">IF(AND(ISNUMBER(AO60),ISNUMBER(AP60)),IF(AND(AP60&gt;0,AO60&gt;AP60),1,0),0)</f>
        <v>0</v>
      </c>
      <c r="AR60" s="27" t="n">
        <f aca="false">IF(NOT(ISNUMBER(B60)),0,IF(B60&lt;MAX($B$5:B59),1,0))</f>
        <v>0</v>
      </c>
      <c r="AS60" s="0" t="str">
        <f aca="false">IF(C60="","",IFERROR(INDEX(CLIENTES!$H$6:$H$305,MATCH(C60,CLIENTES!$A$6:$A$305,0)),""))</f>
        <v/>
      </c>
      <c r="AT60" s="0" t="str">
        <f aca="false">IF(AND(LEFT(P60,5)="AVISO",T60&lt;&gt;"Presentado",ISNUMBER(Q60)),Q60,"")</f>
        <v/>
      </c>
      <c r="AU60" s="27" t="n">
        <f aca="false">IF(AND(D60="XVI - Activos virtuales (PSAV): operación de intercambio/transferencia",M60="Sí",ISNUMBER(AE60)),IF(AK60&gt;=AE60,1,0),0)</f>
        <v>0</v>
      </c>
      <c r="AV60" s="30" t="n">
        <f aca="false">IF(NOT(ISNUMBER(B60)),CONFIG!$B$4,IFERROR(INDEX(CONFIG!$I$5:$I$14,MATCH(IF(MONTH(B60)=1,YEAR(B60)-1,YEAR(B60)),CONFIG!$H$5:$H$14,0)),CONFIG!$B$4))</f>
        <v>117.31</v>
      </c>
      <c r="AW60" s="27" t="n">
        <f aca="false">IF(AND(LEFT(D60,4)="I - ",ISNUMBER(B60),C60&lt;&gt;""),SUMIFS($E$6:$E$505,$C$6:$C$505,C60,$D$6:$D$505,D60,$B$6:$B$505,"&gt;"&amp;(B60-1),$B$6:$B$505,"&lt;="&amp;B60),0)</f>
        <v>0</v>
      </c>
      <c r="AX60" s="0" t="str">
        <f aca="false">IF(E60="","",IF(AD60="Siempre","AVISO (siempre)",IF(AD60="No aplica","Sin Aviso (sólo preparas: Ley 17 XI)",IF(NOT(ISNUMBER(AE60)),"",IF(AA60&lt;&gt;"ACUMULA",IF(E60&gt;=AE60,IF(AND(D60="XVI - Activos virtuales (PSAV): cobro de contraprestación (comisión) por el servicio",COUNTIFS($C$6:$C$505,C60,$B$6:$B$505,"&gt;="&amp;INT(B60),$B$6:$B$505,"&lt;"&amp;(INT(B60)+1),$AU$6:$AU$505,1)&gt;0),"En el Aviso del inciso a) (R 31 Bis)","AVISO"),"—"),IF(M60&lt;&gt;"Sí","—",IF(AK60&gt;=AE60,IF(AK60=E60,"AVISO","AVISO (acumulado)"),"Acumulando")))))))</f>
        <v/>
      </c>
    </row>
    <row r="61" customFormat="false" ht="15" hidden="false" customHeight="false" outlineLevel="0" collapsed="false">
      <c r="A61" s="9" t="str">
        <f aca="false">IF(E61="","",ROW()-5)</f>
        <v/>
      </c>
      <c r="B61" s="20"/>
      <c r="C61" s="21"/>
      <c r="D61" s="21"/>
      <c r="E61" s="22"/>
      <c r="F61" s="22"/>
      <c r="G61" s="21"/>
      <c r="H61" s="21"/>
      <c r="I61" s="9" t="str">
        <f aca="false">IF(C61="","",IFERROR(INDEX(CLIENTES!$B$6:$B$305,MATCH(C61,CLIENTES!$A$6:$A$305,0)),"⚠ ID no registrado"))</f>
        <v/>
      </c>
      <c r="J61" s="9" t="str">
        <f aca="false">IF(C61="","",IFERROR(INDEX(CLIENTES!$Z$6:$Z$305,MATCH(C61,CLIENTES!$A$6:$A$305,0)),""))</f>
        <v/>
      </c>
      <c r="K61" s="9" t="str">
        <f aca="false">IF(E61="","",IF(AB61="Siempre","Sí",IF(ISNUMBER(AC61),IF(E61&gt;=AC61,"Sí",IF(AW61&gt;=AC61,"Sí (serie 24 h)","No")),"")))</f>
        <v/>
      </c>
      <c r="L61" s="9" t="str">
        <f aca="false">IF(E61="","",AA61)</f>
        <v/>
      </c>
      <c r="M61" s="9" t="str">
        <f aca="false">IF(E61="","",IF(AA61&lt;&gt;"ACUMULA","No aplica",IF(LEFT(K61,2)="Sí","Sí","No")))</f>
        <v/>
      </c>
      <c r="N61" s="23" t="str">
        <f aca="false">IF(M61="Sí",AJ61,"")</f>
        <v/>
      </c>
      <c r="O61" s="24" t="str">
        <f aca="false">IF(M61="Sí",AK61,"")</f>
        <v/>
      </c>
      <c r="P61" s="25" t="str">
        <f aca="false">IF(AND(LEFT(D61,6)="XIV - ",LEFT(AX61,5)="AVISO"),"Pedimento (R 16): no va al SPPLD",AX61)</f>
        <v/>
      </c>
      <c r="Q61" s="23" t="str">
        <f aca="false">IF(LEFT(P61,5)="AVISO",IF(ISNUMBER(B61),DATE(YEAR(B61),MONTH(B61)+1,17),"Falta fecha"),"")</f>
        <v/>
      </c>
      <c r="R61" s="9" t="str">
        <f aca="false">IF(OR(F61="",F61=0),"",IF(ISNUMBER(AG61),IF(F61&gt;=AG61,"PROHIBIDO","Dentro del límite"),"No aplica"))</f>
        <v/>
      </c>
      <c r="S61" s="26" t="str">
        <f aca="false">IF(E61="","",MID(IF(AQ61=1," · Excede el perfil declarado","")&amp;IF(H61="Sí"," · Paga un tercero","")&amp;IF(J61="Alto"," · Cliente de riesgo alto: DDR (RCG 23 Ter 3 y 4)","")&amp;IF(AND(AS61&lt;&gt;"",AS61&lt;&gt;"No",AS61&lt;&gt;0)," · PEP","")&amp;IF(R61="PROHIBIDO"," · Efectivo prohibido: no lo recibas (Art. 32)","")&amp;IF(AR61=1," · ⚠ Fecha fuera de orden","")&amp;IF(LEFT(I61,1)="⚠"," · ⚠ Cliente no registrado","")&amp;IF(D61=""," · ⚠ Falta la actividad","")&amp;IF(AND(LEFT(P61,5)="AVISO",W61="")," · Captura la cifra total con IVA para el Aviso","")&amp;IF(AND(ISNUMBER(W61),W61&lt;E61)," · ⚠ La cifra con IVA es menor que el monto sin IVA",""),4,400))</f>
        <v/>
      </c>
      <c r="T61" s="21"/>
      <c r="U61" s="20"/>
      <c r="V61" s="9" t="str">
        <f aca="false">IF(LEFT(P61,5)&lt;&gt;"AVISO","",IF(T61="Presentado",IF(AND(ISNUMBER(U61),ISNUMBER(Q61),U61&gt;Q61),"Presentado tarde","Presentado"),IF(NOT(ISNUMBER(Q61)),"Falta fecha",IF(Q61&lt;CONFIG!$B$6,"VENCIDO","Vence en "&amp;(Q61-CONFIG!$B$6)&amp;" días"))))</f>
        <v/>
      </c>
      <c r="W61" s="22"/>
      <c r="X61" s="21"/>
      <c r="AA61" s="0" t="str">
        <f aca="false">IF(AM61="","",INDEX(CATÁLOGO!$D$5:$D$39,AM61))</f>
        <v/>
      </c>
      <c r="AB61" s="0" t="str">
        <f aca="false">IF(AM61="","",INDEX(CATÁLOGO!$E$5:$E$39,AM61))</f>
        <v/>
      </c>
      <c r="AC61" s="0" t="str">
        <f aca="false">IF(AB61="","",IF(ISNUMBER(AB61),AB61*AV61,AB61))</f>
        <v/>
      </c>
      <c r="AD61" s="0" t="str">
        <f aca="false">IF(AM61="","",INDEX(CATÁLOGO!$F$5:$F$39,AM61))</f>
        <v/>
      </c>
      <c r="AE61" s="0" t="str">
        <f aca="false">IF(AD61="","",IF(ISNUMBER(AD61),AD61*AV61,AD61))</f>
        <v/>
      </c>
      <c r="AF61" s="0" t="str">
        <f aca="false">IF(AM61="","",INDEX(CATÁLOGO!$G$5:$G$39,AM61))</f>
        <v/>
      </c>
      <c r="AG61" s="0" t="str">
        <f aca="false">IF(AF61="","",IF(ISNUMBER(AF61),AF61*AV61,AF61))</f>
        <v/>
      </c>
      <c r="AH61" s="0" t="str">
        <f aca="false">IF(E61="","",C61&amp;"|"&amp;D61)</f>
        <v/>
      </c>
      <c r="AI61" s="27" t="n">
        <f aca="false">IF(M61&lt;&gt;"Sí",0,SUMPRODUCT(MAX(($AH$5:AH60=AH61)*($M$5:M60="Sí")*ROW($AH$5:AH60))))</f>
        <v>0</v>
      </c>
      <c r="AJ61" s="0" t="str">
        <f aca="false">IF(M61&lt;&gt;"Sí","",IF(AL61=1,B61,INDEX($AJ:$AJ,AI61)))</f>
        <v/>
      </c>
      <c r="AK61" s="0" t="str">
        <f aca="false">IF(M61&lt;&gt;"Sí","",IF(AL61=1,E61,INDEX($AK:$AK,AI61)+E61))</f>
        <v/>
      </c>
      <c r="AL61" s="0" t="str">
        <f aca="false">IF(M61&lt;&gt;"Sí","",IF(AI61=0,1,IF(INDEX($AN:$AN,AI61)=0,1,IF(B61&gt;=EDATE(INDEX($AJ:$AJ,AI61),6),1,0))))</f>
        <v/>
      </c>
      <c r="AM61" s="0" t="str">
        <f aca="false">IF(D61="","",IFERROR(MATCH(D61,CATÁLOGO!$C$5:$C$39,0),""))</f>
        <v/>
      </c>
      <c r="AN61" s="0" t="str">
        <f aca="false">IF(M61&lt;&gt;"Sí","",IF(AND(ISNUMBER(AE61),AK61&gt;=AE61),0,1))</f>
        <v/>
      </c>
      <c r="AO61" s="0" t="str">
        <f aca="false">IF(OR(E61="",C61="",NOT(ISNUMBER(B61))),"",SUMIFS($E$6:$E$505,$C$6:$C$505,C61,$B$6:$B$505,"&gt;="&amp;DATE(YEAR(B61),MONTH(B61),1),$B$6:$B$505,"&lt;"&amp;DATE(YEAR(B61),MONTH(B61)+1,1)))</f>
        <v/>
      </c>
      <c r="AP61" s="0" t="str">
        <f aca="false">IF(C61="","",IFERROR(INDEX(CLIENTES!$M$6:$M$305,MATCH(C61,CLIENTES!$A$6:$A$305,0)),""))</f>
        <v/>
      </c>
      <c r="AQ61" s="27" t="n">
        <f aca="false">IF(AND(ISNUMBER(AO61),ISNUMBER(AP61)),IF(AND(AP61&gt;0,AO61&gt;AP61),1,0),0)</f>
        <v>0</v>
      </c>
      <c r="AR61" s="27" t="n">
        <f aca="false">IF(NOT(ISNUMBER(B61)),0,IF(B61&lt;MAX($B$5:B60),1,0))</f>
        <v>0</v>
      </c>
      <c r="AS61" s="0" t="str">
        <f aca="false">IF(C61="","",IFERROR(INDEX(CLIENTES!$H$6:$H$305,MATCH(C61,CLIENTES!$A$6:$A$305,0)),""))</f>
        <v/>
      </c>
      <c r="AT61" s="0" t="str">
        <f aca="false">IF(AND(LEFT(P61,5)="AVISO",T61&lt;&gt;"Presentado",ISNUMBER(Q61)),Q61,"")</f>
        <v/>
      </c>
      <c r="AU61" s="27" t="n">
        <f aca="false">IF(AND(D61="XVI - Activos virtuales (PSAV): operación de intercambio/transferencia",M61="Sí",ISNUMBER(AE61)),IF(AK61&gt;=AE61,1,0),0)</f>
        <v>0</v>
      </c>
      <c r="AV61" s="30" t="n">
        <f aca="false">IF(NOT(ISNUMBER(B61)),CONFIG!$B$4,IFERROR(INDEX(CONFIG!$I$5:$I$14,MATCH(IF(MONTH(B61)=1,YEAR(B61)-1,YEAR(B61)),CONFIG!$H$5:$H$14,0)),CONFIG!$B$4))</f>
        <v>117.31</v>
      </c>
      <c r="AW61" s="27" t="n">
        <f aca="false">IF(AND(LEFT(D61,4)="I - ",ISNUMBER(B61),C61&lt;&gt;""),SUMIFS($E$6:$E$505,$C$6:$C$505,C61,$D$6:$D$505,D61,$B$6:$B$505,"&gt;"&amp;(B61-1),$B$6:$B$505,"&lt;="&amp;B61),0)</f>
        <v>0</v>
      </c>
      <c r="AX61" s="0" t="str">
        <f aca="false">IF(E61="","",IF(AD61="Siempre","AVISO (siempre)",IF(AD61="No aplica","Sin Aviso (sólo preparas: Ley 17 XI)",IF(NOT(ISNUMBER(AE61)),"",IF(AA61&lt;&gt;"ACUMULA",IF(E61&gt;=AE61,IF(AND(D61="XVI - Activos virtuales (PSAV): cobro de contraprestación (comisión) por el servicio",COUNTIFS($C$6:$C$505,C61,$B$6:$B$505,"&gt;="&amp;INT(B61),$B$6:$B$505,"&lt;"&amp;(INT(B61)+1),$AU$6:$AU$505,1)&gt;0),"En el Aviso del inciso a) (R 31 Bis)","AVISO"),"—"),IF(M61&lt;&gt;"Sí","—",IF(AK61&gt;=AE61,IF(AK61=E61,"AVISO","AVISO (acumulado)"),"Acumulando")))))))</f>
        <v/>
      </c>
    </row>
    <row r="62" customFormat="false" ht="15" hidden="false" customHeight="false" outlineLevel="0" collapsed="false">
      <c r="A62" s="9" t="str">
        <f aca="false">IF(E62="","",ROW()-5)</f>
        <v/>
      </c>
      <c r="B62" s="20"/>
      <c r="C62" s="21"/>
      <c r="D62" s="21"/>
      <c r="E62" s="22"/>
      <c r="F62" s="22"/>
      <c r="G62" s="21"/>
      <c r="H62" s="21"/>
      <c r="I62" s="9" t="str">
        <f aca="false">IF(C62="","",IFERROR(INDEX(CLIENTES!$B$6:$B$305,MATCH(C62,CLIENTES!$A$6:$A$305,0)),"⚠ ID no registrado"))</f>
        <v/>
      </c>
      <c r="J62" s="9" t="str">
        <f aca="false">IF(C62="","",IFERROR(INDEX(CLIENTES!$Z$6:$Z$305,MATCH(C62,CLIENTES!$A$6:$A$305,0)),""))</f>
        <v/>
      </c>
      <c r="K62" s="9" t="str">
        <f aca="false">IF(E62="","",IF(AB62="Siempre","Sí",IF(ISNUMBER(AC62),IF(E62&gt;=AC62,"Sí",IF(AW62&gt;=AC62,"Sí (serie 24 h)","No")),"")))</f>
        <v/>
      </c>
      <c r="L62" s="9" t="str">
        <f aca="false">IF(E62="","",AA62)</f>
        <v/>
      </c>
      <c r="M62" s="9" t="str">
        <f aca="false">IF(E62="","",IF(AA62&lt;&gt;"ACUMULA","No aplica",IF(LEFT(K62,2)="Sí","Sí","No")))</f>
        <v/>
      </c>
      <c r="N62" s="23" t="str">
        <f aca="false">IF(M62="Sí",AJ62,"")</f>
        <v/>
      </c>
      <c r="O62" s="24" t="str">
        <f aca="false">IF(M62="Sí",AK62,"")</f>
        <v/>
      </c>
      <c r="P62" s="25" t="str">
        <f aca="false">IF(AND(LEFT(D62,6)="XIV - ",LEFT(AX62,5)="AVISO"),"Pedimento (R 16): no va al SPPLD",AX62)</f>
        <v/>
      </c>
      <c r="Q62" s="23" t="str">
        <f aca="false">IF(LEFT(P62,5)="AVISO",IF(ISNUMBER(B62),DATE(YEAR(B62),MONTH(B62)+1,17),"Falta fecha"),"")</f>
        <v/>
      </c>
      <c r="R62" s="9" t="str">
        <f aca="false">IF(OR(F62="",F62=0),"",IF(ISNUMBER(AG62),IF(F62&gt;=AG62,"PROHIBIDO","Dentro del límite"),"No aplica"))</f>
        <v/>
      </c>
      <c r="S62" s="26" t="str">
        <f aca="false">IF(E62="","",MID(IF(AQ62=1," · Excede el perfil declarado","")&amp;IF(H62="Sí"," · Paga un tercero","")&amp;IF(J62="Alto"," · Cliente de riesgo alto: DDR (RCG 23 Ter 3 y 4)","")&amp;IF(AND(AS62&lt;&gt;"",AS62&lt;&gt;"No",AS62&lt;&gt;0)," · PEP","")&amp;IF(R62="PROHIBIDO"," · Efectivo prohibido: no lo recibas (Art. 32)","")&amp;IF(AR62=1," · ⚠ Fecha fuera de orden","")&amp;IF(LEFT(I62,1)="⚠"," · ⚠ Cliente no registrado","")&amp;IF(D62=""," · ⚠ Falta la actividad","")&amp;IF(AND(LEFT(P62,5)="AVISO",W62="")," · Captura la cifra total con IVA para el Aviso","")&amp;IF(AND(ISNUMBER(W62),W62&lt;E62)," · ⚠ La cifra con IVA es menor que el monto sin IVA",""),4,400))</f>
        <v/>
      </c>
      <c r="T62" s="21"/>
      <c r="U62" s="20"/>
      <c r="V62" s="9" t="str">
        <f aca="false">IF(LEFT(P62,5)&lt;&gt;"AVISO","",IF(T62="Presentado",IF(AND(ISNUMBER(U62),ISNUMBER(Q62),U62&gt;Q62),"Presentado tarde","Presentado"),IF(NOT(ISNUMBER(Q62)),"Falta fecha",IF(Q62&lt;CONFIG!$B$6,"VENCIDO","Vence en "&amp;(Q62-CONFIG!$B$6)&amp;" días"))))</f>
        <v/>
      </c>
      <c r="W62" s="22"/>
      <c r="X62" s="21"/>
      <c r="AA62" s="0" t="str">
        <f aca="false">IF(AM62="","",INDEX(CATÁLOGO!$D$5:$D$39,AM62))</f>
        <v/>
      </c>
      <c r="AB62" s="0" t="str">
        <f aca="false">IF(AM62="","",INDEX(CATÁLOGO!$E$5:$E$39,AM62))</f>
        <v/>
      </c>
      <c r="AC62" s="0" t="str">
        <f aca="false">IF(AB62="","",IF(ISNUMBER(AB62),AB62*AV62,AB62))</f>
        <v/>
      </c>
      <c r="AD62" s="0" t="str">
        <f aca="false">IF(AM62="","",INDEX(CATÁLOGO!$F$5:$F$39,AM62))</f>
        <v/>
      </c>
      <c r="AE62" s="0" t="str">
        <f aca="false">IF(AD62="","",IF(ISNUMBER(AD62),AD62*AV62,AD62))</f>
        <v/>
      </c>
      <c r="AF62" s="0" t="str">
        <f aca="false">IF(AM62="","",INDEX(CATÁLOGO!$G$5:$G$39,AM62))</f>
        <v/>
      </c>
      <c r="AG62" s="0" t="str">
        <f aca="false">IF(AF62="","",IF(ISNUMBER(AF62),AF62*AV62,AF62))</f>
        <v/>
      </c>
      <c r="AH62" s="0" t="str">
        <f aca="false">IF(E62="","",C62&amp;"|"&amp;D62)</f>
        <v/>
      </c>
      <c r="AI62" s="27" t="n">
        <f aca="false">IF(M62&lt;&gt;"Sí",0,SUMPRODUCT(MAX(($AH$5:AH61=AH62)*($M$5:M61="Sí")*ROW($AH$5:AH61))))</f>
        <v>0</v>
      </c>
      <c r="AJ62" s="0" t="str">
        <f aca="false">IF(M62&lt;&gt;"Sí","",IF(AL62=1,B62,INDEX($AJ:$AJ,AI62)))</f>
        <v/>
      </c>
      <c r="AK62" s="0" t="str">
        <f aca="false">IF(M62&lt;&gt;"Sí","",IF(AL62=1,E62,INDEX($AK:$AK,AI62)+E62))</f>
        <v/>
      </c>
      <c r="AL62" s="0" t="str">
        <f aca="false">IF(M62&lt;&gt;"Sí","",IF(AI62=0,1,IF(INDEX($AN:$AN,AI62)=0,1,IF(B62&gt;=EDATE(INDEX($AJ:$AJ,AI62),6),1,0))))</f>
        <v/>
      </c>
      <c r="AM62" s="0" t="str">
        <f aca="false">IF(D62="","",IFERROR(MATCH(D62,CATÁLOGO!$C$5:$C$39,0),""))</f>
        <v/>
      </c>
      <c r="AN62" s="0" t="str">
        <f aca="false">IF(M62&lt;&gt;"Sí","",IF(AND(ISNUMBER(AE62),AK62&gt;=AE62),0,1))</f>
        <v/>
      </c>
      <c r="AO62" s="0" t="str">
        <f aca="false">IF(OR(E62="",C62="",NOT(ISNUMBER(B62))),"",SUMIFS($E$6:$E$505,$C$6:$C$505,C62,$B$6:$B$505,"&gt;="&amp;DATE(YEAR(B62),MONTH(B62),1),$B$6:$B$505,"&lt;"&amp;DATE(YEAR(B62),MONTH(B62)+1,1)))</f>
        <v/>
      </c>
      <c r="AP62" s="0" t="str">
        <f aca="false">IF(C62="","",IFERROR(INDEX(CLIENTES!$M$6:$M$305,MATCH(C62,CLIENTES!$A$6:$A$305,0)),""))</f>
        <v/>
      </c>
      <c r="AQ62" s="27" t="n">
        <f aca="false">IF(AND(ISNUMBER(AO62),ISNUMBER(AP62)),IF(AND(AP62&gt;0,AO62&gt;AP62),1,0),0)</f>
        <v>0</v>
      </c>
      <c r="AR62" s="27" t="n">
        <f aca="false">IF(NOT(ISNUMBER(B62)),0,IF(B62&lt;MAX($B$5:B61),1,0))</f>
        <v>0</v>
      </c>
      <c r="AS62" s="0" t="str">
        <f aca="false">IF(C62="","",IFERROR(INDEX(CLIENTES!$H$6:$H$305,MATCH(C62,CLIENTES!$A$6:$A$305,0)),""))</f>
        <v/>
      </c>
      <c r="AT62" s="0" t="str">
        <f aca="false">IF(AND(LEFT(P62,5)="AVISO",T62&lt;&gt;"Presentado",ISNUMBER(Q62)),Q62,"")</f>
        <v/>
      </c>
      <c r="AU62" s="27" t="n">
        <f aca="false">IF(AND(D62="XVI - Activos virtuales (PSAV): operación de intercambio/transferencia",M62="Sí",ISNUMBER(AE62)),IF(AK62&gt;=AE62,1,0),0)</f>
        <v>0</v>
      </c>
      <c r="AV62" s="30" t="n">
        <f aca="false">IF(NOT(ISNUMBER(B62)),CONFIG!$B$4,IFERROR(INDEX(CONFIG!$I$5:$I$14,MATCH(IF(MONTH(B62)=1,YEAR(B62)-1,YEAR(B62)),CONFIG!$H$5:$H$14,0)),CONFIG!$B$4))</f>
        <v>117.31</v>
      </c>
      <c r="AW62" s="27" t="n">
        <f aca="false">IF(AND(LEFT(D62,4)="I - ",ISNUMBER(B62),C62&lt;&gt;""),SUMIFS($E$6:$E$505,$C$6:$C$505,C62,$D$6:$D$505,D62,$B$6:$B$505,"&gt;"&amp;(B62-1),$B$6:$B$505,"&lt;="&amp;B62),0)</f>
        <v>0</v>
      </c>
      <c r="AX62" s="0" t="str">
        <f aca="false">IF(E62="","",IF(AD62="Siempre","AVISO (siempre)",IF(AD62="No aplica","Sin Aviso (sólo preparas: Ley 17 XI)",IF(NOT(ISNUMBER(AE62)),"",IF(AA62&lt;&gt;"ACUMULA",IF(E62&gt;=AE62,IF(AND(D62="XVI - Activos virtuales (PSAV): cobro de contraprestación (comisión) por el servicio",COUNTIFS($C$6:$C$505,C62,$B$6:$B$505,"&gt;="&amp;INT(B62),$B$6:$B$505,"&lt;"&amp;(INT(B62)+1),$AU$6:$AU$505,1)&gt;0),"En el Aviso del inciso a) (R 31 Bis)","AVISO"),"—"),IF(M62&lt;&gt;"Sí","—",IF(AK62&gt;=AE62,IF(AK62=E62,"AVISO","AVISO (acumulado)"),"Acumulando")))))))</f>
        <v/>
      </c>
    </row>
    <row r="63" customFormat="false" ht="15" hidden="false" customHeight="false" outlineLevel="0" collapsed="false">
      <c r="A63" s="9" t="str">
        <f aca="false">IF(E63="","",ROW()-5)</f>
        <v/>
      </c>
      <c r="B63" s="20"/>
      <c r="C63" s="21"/>
      <c r="D63" s="21"/>
      <c r="E63" s="22"/>
      <c r="F63" s="22"/>
      <c r="G63" s="21"/>
      <c r="H63" s="21"/>
      <c r="I63" s="9" t="str">
        <f aca="false">IF(C63="","",IFERROR(INDEX(CLIENTES!$B$6:$B$305,MATCH(C63,CLIENTES!$A$6:$A$305,0)),"⚠ ID no registrado"))</f>
        <v/>
      </c>
      <c r="J63" s="9" t="str">
        <f aca="false">IF(C63="","",IFERROR(INDEX(CLIENTES!$Z$6:$Z$305,MATCH(C63,CLIENTES!$A$6:$A$305,0)),""))</f>
        <v/>
      </c>
      <c r="K63" s="9" t="str">
        <f aca="false">IF(E63="","",IF(AB63="Siempre","Sí",IF(ISNUMBER(AC63),IF(E63&gt;=AC63,"Sí",IF(AW63&gt;=AC63,"Sí (serie 24 h)","No")),"")))</f>
        <v/>
      </c>
      <c r="L63" s="9" t="str">
        <f aca="false">IF(E63="","",AA63)</f>
        <v/>
      </c>
      <c r="M63" s="9" t="str">
        <f aca="false">IF(E63="","",IF(AA63&lt;&gt;"ACUMULA","No aplica",IF(LEFT(K63,2)="Sí","Sí","No")))</f>
        <v/>
      </c>
      <c r="N63" s="23" t="str">
        <f aca="false">IF(M63="Sí",AJ63,"")</f>
        <v/>
      </c>
      <c r="O63" s="24" t="str">
        <f aca="false">IF(M63="Sí",AK63,"")</f>
        <v/>
      </c>
      <c r="P63" s="25" t="str">
        <f aca="false">IF(AND(LEFT(D63,6)="XIV - ",LEFT(AX63,5)="AVISO"),"Pedimento (R 16): no va al SPPLD",AX63)</f>
        <v/>
      </c>
      <c r="Q63" s="23" t="str">
        <f aca="false">IF(LEFT(P63,5)="AVISO",IF(ISNUMBER(B63),DATE(YEAR(B63),MONTH(B63)+1,17),"Falta fecha"),"")</f>
        <v/>
      </c>
      <c r="R63" s="9" t="str">
        <f aca="false">IF(OR(F63="",F63=0),"",IF(ISNUMBER(AG63),IF(F63&gt;=AG63,"PROHIBIDO","Dentro del límite"),"No aplica"))</f>
        <v/>
      </c>
      <c r="S63" s="26" t="str">
        <f aca="false">IF(E63="","",MID(IF(AQ63=1," · Excede el perfil declarado","")&amp;IF(H63="Sí"," · Paga un tercero","")&amp;IF(J63="Alto"," · Cliente de riesgo alto: DDR (RCG 23 Ter 3 y 4)","")&amp;IF(AND(AS63&lt;&gt;"",AS63&lt;&gt;"No",AS63&lt;&gt;0)," · PEP","")&amp;IF(R63="PROHIBIDO"," · Efectivo prohibido: no lo recibas (Art. 32)","")&amp;IF(AR63=1," · ⚠ Fecha fuera de orden","")&amp;IF(LEFT(I63,1)="⚠"," · ⚠ Cliente no registrado","")&amp;IF(D63=""," · ⚠ Falta la actividad","")&amp;IF(AND(LEFT(P63,5)="AVISO",W63="")," · Captura la cifra total con IVA para el Aviso","")&amp;IF(AND(ISNUMBER(W63),W63&lt;E63)," · ⚠ La cifra con IVA es menor que el monto sin IVA",""),4,400))</f>
        <v/>
      </c>
      <c r="T63" s="21"/>
      <c r="U63" s="20"/>
      <c r="V63" s="9" t="str">
        <f aca="false">IF(LEFT(P63,5)&lt;&gt;"AVISO","",IF(T63="Presentado",IF(AND(ISNUMBER(U63),ISNUMBER(Q63),U63&gt;Q63),"Presentado tarde","Presentado"),IF(NOT(ISNUMBER(Q63)),"Falta fecha",IF(Q63&lt;CONFIG!$B$6,"VENCIDO","Vence en "&amp;(Q63-CONFIG!$B$6)&amp;" días"))))</f>
        <v/>
      </c>
      <c r="W63" s="22"/>
      <c r="X63" s="21"/>
      <c r="AA63" s="0" t="str">
        <f aca="false">IF(AM63="","",INDEX(CATÁLOGO!$D$5:$D$39,AM63))</f>
        <v/>
      </c>
      <c r="AB63" s="0" t="str">
        <f aca="false">IF(AM63="","",INDEX(CATÁLOGO!$E$5:$E$39,AM63))</f>
        <v/>
      </c>
      <c r="AC63" s="0" t="str">
        <f aca="false">IF(AB63="","",IF(ISNUMBER(AB63),AB63*AV63,AB63))</f>
        <v/>
      </c>
      <c r="AD63" s="0" t="str">
        <f aca="false">IF(AM63="","",INDEX(CATÁLOGO!$F$5:$F$39,AM63))</f>
        <v/>
      </c>
      <c r="AE63" s="0" t="str">
        <f aca="false">IF(AD63="","",IF(ISNUMBER(AD63),AD63*AV63,AD63))</f>
        <v/>
      </c>
      <c r="AF63" s="0" t="str">
        <f aca="false">IF(AM63="","",INDEX(CATÁLOGO!$G$5:$G$39,AM63))</f>
        <v/>
      </c>
      <c r="AG63" s="0" t="str">
        <f aca="false">IF(AF63="","",IF(ISNUMBER(AF63),AF63*AV63,AF63))</f>
        <v/>
      </c>
      <c r="AH63" s="0" t="str">
        <f aca="false">IF(E63="","",C63&amp;"|"&amp;D63)</f>
        <v/>
      </c>
      <c r="AI63" s="27" t="n">
        <f aca="false">IF(M63&lt;&gt;"Sí",0,SUMPRODUCT(MAX(($AH$5:AH62=AH63)*($M$5:M62="Sí")*ROW($AH$5:AH62))))</f>
        <v>0</v>
      </c>
      <c r="AJ63" s="0" t="str">
        <f aca="false">IF(M63&lt;&gt;"Sí","",IF(AL63=1,B63,INDEX($AJ:$AJ,AI63)))</f>
        <v/>
      </c>
      <c r="AK63" s="0" t="str">
        <f aca="false">IF(M63&lt;&gt;"Sí","",IF(AL63=1,E63,INDEX($AK:$AK,AI63)+E63))</f>
        <v/>
      </c>
      <c r="AL63" s="0" t="str">
        <f aca="false">IF(M63&lt;&gt;"Sí","",IF(AI63=0,1,IF(INDEX($AN:$AN,AI63)=0,1,IF(B63&gt;=EDATE(INDEX($AJ:$AJ,AI63),6),1,0))))</f>
        <v/>
      </c>
      <c r="AM63" s="0" t="str">
        <f aca="false">IF(D63="","",IFERROR(MATCH(D63,CATÁLOGO!$C$5:$C$39,0),""))</f>
        <v/>
      </c>
      <c r="AN63" s="0" t="str">
        <f aca="false">IF(M63&lt;&gt;"Sí","",IF(AND(ISNUMBER(AE63),AK63&gt;=AE63),0,1))</f>
        <v/>
      </c>
      <c r="AO63" s="0" t="str">
        <f aca="false">IF(OR(E63="",C63="",NOT(ISNUMBER(B63))),"",SUMIFS($E$6:$E$505,$C$6:$C$505,C63,$B$6:$B$505,"&gt;="&amp;DATE(YEAR(B63),MONTH(B63),1),$B$6:$B$505,"&lt;"&amp;DATE(YEAR(B63),MONTH(B63)+1,1)))</f>
        <v/>
      </c>
      <c r="AP63" s="0" t="str">
        <f aca="false">IF(C63="","",IFERROR(INDEX(CLIENTES!$M$6:$M$305,MATCH(C63,CLIENTES!$A$6:$A$305,0)),""))</f>
        <v/>
      </c>
      <c r="AQ63" s="27" t="n">
        <f aca="false">IF(AND(ISNUMBER(AO63),ISNUMBER(AP63)),IF(AND(AP63&gt;0,AO63&gt;AP63),1,0),0)</f>
        <v>0</v>
      </c>
      <c r="AR63" s="27" t="n">
        <f aca="false">IF(NOT(ISNUMBER(B63)),0,IF(B63&lt;MAX($B$5:B62),1,0))</f>
        <v>0</v>
      </c>
      <c r="AS63" s="0" t="str">
        <f aca="false">IF(C63="","",IFERROR(INDEX(CLIENTES!$H$6:$H$305,MATCH(C63,CLIENTES!$A$6:$A$305,0)),""))</f>
        <v/>
      </c>
      <c r="AT63" s="0" t="str">
        <f aca="false">IF(AND(LEFT(P63,5)="AVISO",T63&lt;&gt;"Presentado",ISNUMBER(Q63)),Q63,"")</f>
        <v/>
      </c>
      <c r="AU63" s="27" t="n">
        <f aca="false">IF(AND(D63="XVI - Activos virtuales (PSAV): operación de intercambio/transferencia",M63="Sí",ISNUMBER(AE63)),IF(AK63&gt;=AE63,1,0),0)</f>
        <v>0</v>
      </c>
      <c r="AV63" s="30" t="n">
        <f aca="false">IF(NOT(ISNUMBER(B63)),CONFIG!$B$4,IFERROR(INDEX(CONFIG!$I$5:$I$14,MATCH(IF(MONTH(B63)=1,YEAR(B63)-1,YEAR(B63)),CONFIG!$H$5:$H$14,0)),CONFIG!$B$4))</f>
        <v>117.31</v>
      </c>
      <c r="AW63" s="27" t="n">
        <f aca="false">IF(AND(LEFT(D63,4)="I - ",ISNUMBER(B63),C63&lt;&gt;""),SUMIFS($E$6:$E$505,$C$6:$C$505,C63,$D$6:$D$505,D63,$B$6:$B$505,"&gt;"&amp;(B63-1),$B$6:$B$505,"&lt;="&amp;B63),0)</f>
        <v>0</v>
      </c>
      <c r="AX63" s="0" t="str">
        <f aca="false">IF(E63="","",IF(AD63="Siempre","AVISO (siempre)",IF(AD63="No aplica","Sin Aviso (sólo preparas: Ley 17 XI)",IF(NOT(ISNUMBER(AE63)),"",IF(AA63&lt;&gt;"ACUMULA",IF(E63&gt;=AE63,IF(AND(D63="XVI - Activos virtuales (PSAV): cobro de contraprestación (comisión) por el servicio",COUNTIFS($C$6:$C$505,C63,$B$6:$B$505,"&gt;="&amp;INT(B63),$B$6:$B$505,"&lt;"&amp;(INT(B63)+1),$AU$6:$AU$505,1)&gt;0),"En el Aviso del inciso a) (R 31 Bis)","AVISO"),"—"),IF(M63&lt;&gt;"Sí","—",IF(AK63&gt;=AE63,IF(AK63=E63,"AVISO","AVISO (acumulado)"),"Acumulando")))))))</f>
        <v/>
      </c>
    </row>
    <row r="64" customFormat="false" ht="15" hidden="false" customHeight="false" outlineLevel="0" collapsed="false">
      <c r="A64" s="9" t="str">
        <f aca="false">IF(E64="","",ROW()-5)</f>
        <v/>
      </c>
      <c r="B64" s="20"/>
      <c r="C64" s="21"/>
      <c r="D64" s="21"/>
      <c r="E64" s="22"/>
      <c r="F64" s="22"/>
      <c r="G64" s="21"/>
      <c r="H64" s="21"/>
      <c r="I64" s="9" t="str">
        <f aca="false">IF(C64="","",IFERROR(INDEX(CLIENTES!$B$6:$B$305,MATCH(C64,CLIENTES!$A$6:$A$305,0)),"⚠ ID no registrado"))</f>
        <v/>
      </c>
      <c r="J64" s="9" t="str">
        <f aca="false">IF(C64="","",IFERROR(INDEX(CLIENTES!$Z$6:$Z$305,MATCH(C64,CLIENTES!$A$6:$A$305,0)),""))</f>
        <v/>
      </c>
      <c r="K64" s="9" t="str">
        <f aca="false">IF(E64="","",IF(AB64="Siempre","Sí",IF(ISNUMBER(AC64),IF(E64&gt;=AC64,"Sí",IF(AW64&gt;=AC64,"Sí (serie 24 h)","No")),"")))</f>
        <v/>
      </c>
      <c r="L64" s="9" t="str">
        <f aca="false">IF(E64="","",AA64)</f>
        <v/>
      </c>
      <c r="M64" s="9" t="str">
        <f aca="false">IF(E64="","",IF(AA64&lt;&gt;"ACUMULA","No aplica",IF(LEFT(K64,2)="Sí","Sí","No")))</f>
        <v/>
      </c>
      <c r="N64" s="23" t="str">
        <f aca="false">IF(M64="Sí",AJ64,"")</f>
        <v/>
      </c>
      <c r="O64" s="24" t="str">
        <f aca="false">IF(M64="Sí",AK64,"")</f>
        <v/>
      </c>
      <c r="P64" s="25" t="str">
        <f aca="false">IF(AND(LEFT(D64,6)="XIV - ",LEFT(AX64,5)="AVISO"),"Pedimento (R 16): no va al SPPLD",AX64)</f>
        <v/>
      </c>
      <c r="Q64" s="23" t="str">
        <f aca="false">IF(LEFT(P64,5)="AVISO",IF(ISNUMBER(B64),DATE(YEAR(B64),MONTH(B64)+1,17),"Falta fecha"),"")</f>
        <v/>
      </c>
      <c r="R64" s="9" t="str">
        <f aca="false">IF(OR(F64="",F64=0),"",IF(ISNUMBER(AG64),IF(F64&gt;=AG64,"PROHIBIDO","Dentro del límite"),"No aplica"))</f>
        <v/>
      </c>
      <c r="S64" s="26" t="str">
        <f aca="false">IF(E64="","",MID(IF(AQ64=1," · Excede el perfil declarado","")&amp;IF(H64="Sí"," · Paga un tercero","")&amp;IF(J64="Alto"," · Cliente de riesgo alto: DDR (RCG 23 Ter 3 y 4)","")&amp;IF(AND(AS64&lt;&gt;"",AS64&lt;&gt;"No",AS64&lt;&gt;0)," · PEP","")&amp;IF(R64="PROHIBIDO"," · Efectivo prohibido: no lo recibas (Art. 32)","")&amp;IF(AR64=1," · ⚠ Fecha fuera de orden","")&amp;IF(LEFT(I64,1)="⚠"," · ⚠ Cliente no registrado","")&amp;IF(D64=""," · ⚠ Falta la actividad","")&amp;IF(AND(LEFT(P64,5)="AVISO",W64="")," · Captura la cifra total con IVA para el Aviso","")&amp;IF(AND(ISNUMBER(W64),W64&lt;E64)," · ⚠ La cifra con IVA es menor que el monto sin IVA",""),4,400))</f>
        <v/>
      </c>
      <c r="T64" s="21"/>
      <c r="U64" s="20"/>
      <c r="V64" s="9" t="str">
        <f aca="false">IF(LEFT(P64,5)&lt;&gt;"AVISO","",IF(T64="Presentado",IF(AND(ISNUMBER(U64),ISNUMBER(Q64),U64&gt;Q64),"Presentado tarde","Presentado"),IF(NOT(ISNUMBER(Q64)),"Falta fecha",IF(Q64&lt;CONFIG!$B$6,"VENCIDO","Vence en "&amp;(Q64-CONFIG!$B$6)&amp;" días"))))</f>
        <v/>
      </c>
      <c r="W64" s="22"/>
      <c r="X64" s="21"/>
      <c r="AA64" s="0" t="str">
        <f aca="false">IF(AM64="","",INDEX(CATÁLOGO!$D$5:$D$39,AM64))</f>
        <v/>
      </c>
      <c r="AB64" s="0" t="str">
        <f aca="false">IF(AM64="","",INDEX(CATÁLOGO!$E$5:$E$39,AM64))</f>
        <v/>
      </c>
      <c r="AC64" s="0" t="str">
        <f aca="false">IF(AB64="","",IF(ISNUMBER(AB64),AB64*AV64,AB64))</f>
        <v/>
      </c>
      <c r="AD64" s="0" t="str">
        <f aca="false">IF(AM64="","",INDEX(CATÁLOGO!$F$5:$F$39,AM64))</f>
        <v/>
      </c>
      <c r="AE64" s="0" t="str">
        <f aca="false">IF(AD64="","",IF(ISNUMBER(AD64),AD64*AV64,AD64))</f>
        <v/>
      </c>
      <c r="AF64" s="0" t="str">
        <f aca="false">IF(AM64="","",INDEX(CATÁLOGO!$G$5:$G$39,AM64))</f>
        <v/>
      </c>
      <c r="AG64" s="0" t="str">
        <f aca="false">IF(AF64="","",IF(ISNUMBER(AF64),AF64*AV64,AF64))</f>
        <v/>
      </c>
      <c r="AH64" s="0" t="str">
        <f aca="false">IF(E64="","",C64&amp;"|"&amp;D64)</f>
        <v/>
      </c>
      <c r="AI64" s="27" t="n">
        <f aca="false">IF(M64&lt;&gt;"Sí",0,SUMPRODUCT(MAX(($AH$5:AH63=AH64)*($M$5:M63="Sí")*ROW($AH$5:AH63))))</f>
        <v>0</v>
      </c>
      <c r="AJ64" s="0" t="str">
        <f aca="false">IF(M64&lt;&gt;"Sí","",IF(AL64=1,B64,INDEX($AJ:$AJ,AI64)))</f>
        <v/>
      </c>
      <c r="AK64" s="0" t="str">
        <f aca="false">IF(M64&lt;&gt;"Sí","",IF(AL64=1,E64,INDEX($AK:$AK,AI64)+E64))</f>
        <v/>
      </c>
      <c r="AL64" s="0" t="str">
        <f aca="false">IF(M64&lt;&gt;"Sí","",IF(AI64=0,1,IF(INDEX($AN:$AN,AI64)=0,1,IF(B64&gt;=EDATE(INDEX($AJ:$AJ,AI64),6),1,0))))</f>
        <v/>
      </c>
      <c r="AM64" s="0" t="str">
        <f aca="false">IF(D64="","",IFERROR(MATCH(D64,CATÁLOGO!$C$5:$C$39,0),""))</f>
        <v/>
      </c>
      <c r="AN64" s="0" t="str">
        <f aca="false">IF(M64&lt;&gt;"Sí","",IF(AND(ISNUMBER(AE64),AK64&gt;=AE64),0,1))</f>
        <v/>
      </c>
      <c r="AO64" s="0" t="str">
        <f aca="false">IF(OR(E64="",C64="",NOT(ISNUMBER(B64))),"",SUMIFS($E$6:$E$505,$C$6:$C$505,C64,$B$6:$B$505,"&gt;="&amp;DATE(YEAR(B64),MONTH(B64),1),$B$6:$B$505,"&lt;"&amp;DATE(YEAR(B64),MONTH(B64)+1,1)))</f>
        <v/>
      </c>
      <c r="AP64" s="0" t="str">
        <f aca="false">IF(C64="","",IFERROR(INDEX(CLIENTES!$M$6:$M$305,MATCH(C64,CLIENTES!$A$6:$A$305,0)),""))</f>
        <v/>
      </c>
      <c r="AQ64" s="27" t="n">
        <f aca="false">IF(AND(ISNUMBER(AO64),ISNUMBER(AP64)),IF(AND(AP64&gt;0,AO64&gt;AP64),1,0),0)</f>
        <v>0</v>
      </c>
      <c r="AR64" s="27" t="n">
        <f aca="false">IF(NOT(ISNUMBER(B64)),0,IF(B64&lt;MAX($B$5:B63),1,0))</f>
        <v>0</v>
      </c>
      <c r="AS64" s="0" t="str">
        <f aca="false">IF(C64="","",IFERROR(INDEX(CLIENTES!$H$6:$H$305,MATCH(C64,CLIENTES!$A$6:$A$305,0)),""))</f>
        <v/>
      </c>
      <c r="AT64" s="0" t="str">
        <f aca="false">IF(AND(LEFT(P64,5)="AVISO",T64&lt;&gt;"Presentado",ISNUMBER(Q64)),Q64,"")</f>
        <v/>
      </c>
      <c r="AU64" s="27" t="n">
        <f aca="false">IF(AND(D64="XVI - Activos virtuales (PSAV): operación de intercambio/transferencia",M64="Sí",ISNUMBER(AE64)),IF(AK64&gt;=AE64,1,0),0)</f>
        <v>0</v>
      </c>
      <c r="AV64" s="30" t="n">
        <f aca="false">IF(NOT(ISNUMBER(B64)),CONFIG!$B$4,IFERROR(INDEX(CONFIG!$I$5:$I$14,MATCH(IF(MONTH(B64)=1,YEAR(B64)-1,YEAR(B64)),CONFIG!$H$5:$H$14,0)),CONFIG!$B$4))</f>
        <v>117.31</v>
      </c>
      <c r="AW64" s="27" t="n">
        <f aca="false">IF(AND(LEFT(D64,4)="I - ",ISNUMBER(B64),C64&lt;&gt;""),SUMIFS($E$6:$E$505,$C$6:$C$505,C64,$D$6:$D$505,D64,$B$6:$B$505,"&gt;"&amp;(B64-1),$B$6:$B$505,"&lt;="&amp;B64),0)</f>
        <v>0</v>
      </c>
      <c r="AX64" s="0" t="str">
        <f aca="false">IF(E64="","",IF(AD64="Siempre","AVISO (siempre)",IF(AD64="No aplica","Sin Aviso (sólo preparas: Ley 17 XI)",IF(NOT(ISNUMBER(AE64)),"",IF(AA64&lt;&gt;"ACUMULA",IF(E64&gt;=AE64,IF(AND(D64="XVI - Activos virtuales (PSAV): cobro de contraprestación (comisión) por el servicio",COUNTIFS($C$6:$C$505,C64,$B$6:$B$505,"&gt;="&amp;INT(B64),$B$6:$B$505,"&lt;"&amp;(INT(B64)+1),$AU$6:$AU$505,1)&gt;0),"En el Aviso del inciso a) (R 31 Bis)","AVISO"),"—"),IF(M64&lt;&gt;"Sí","—",IF(AK64&gt;=AE64,IF(AK64=E64,"AVISO","AVISO (acumulado)"),"Acumulando")))))))</f>
        <v/>
      </c>
    </row>
    <row r="65" customFormat="false" ht="15" hidden="false" customHeight="false" outlineLevel="0" collapsed="false">
      <c r="A65" s="9" t="str">
        <f aca="false">IF(E65="","",ROW()-5)</f>
        <v/>
      </c>
      <c r="B65" s="20"/>
      <c r="C65" s="21"/>
      <c r="D65" s="21"/>
      <c r="E65" s="22"/>
      <c r="F65" s="22"/>
      <c r="G65" s="21"/>
      <c r="H65" s="21"/>
      <c r="I65" s="9" t="str">
        <f aca="false">IF(C65="","",IFERROR(INDEX(CLIENTES!$B$6:$B$305,MATCH(C65,CLIENTES!$A$6:$A$305,0)),"⚠ ID no registrado"))</f>
        <v/>
      </c>
      <c r="J65" s="9" t="str">
        <f aca="false">IF(C65="","",IFERROR(INDEX(CLIENTES!$Z$6:$Z$305,MATCH(C65,CLIENTES!$A$6:$A$305,0)),""))</f>
        <v/>
      </c>
      <c r="K65" s="9" t="str">
        <f aca="false">IF(E65="","",IF(AB65="Siempre","Sí",IF(ISNUMBER(AC65),IF(E65&gt;=AC65,"Sí",IF(AW65&gt;=AC65,"Sí (serie 24 h)","No")),"")))</f>
        <v/>
      </c>
      <c r="L65" s="9" t="str">
        <f aca="false">IF(E65="","",AA65)</f>
        <v/>
      </c>
      <c r="M65" s="9" t="str">
        <f aca="false">IF(E65="","",IF(AA65&lt;&gt;"ACUMULA","No aplica",IF(LEFT(K65,2)="Sí","Sí","No")))</f>
        <v/>
      </c>
      <c r="N65" s="23" t="str">
        <f aca="false">IF(M65="Sí",AJ65,"")</f>
        <v/>
      </c>
      <c r="O65" s="24" t="str">
        <f aca="false">IF(M65="Sí",AK65,"")</f>
        <v/>
      </c>
      <c r="P65" s="25" t="str">
        <f aca="false">IF(AND(LEFT(D65,6)="XIV - ",LEFT(AX65,5)="AVISO"),"Pedimento (R 16): no va al SPPLD",AX65)</f>
        <v/>
      </c>
      <c r="Q65" s="23" t="str">
        <f aca="false">IF(LEFT(P65,5)="AVISO",IF(ISNUMBER(B65),DATE(YEAR(B65),MONTH(B65)+1,17),"Falta fecha"),"")</f>
        <v/>
      </c>
      <c r="R65" s="9" t="str">
        <f aca="false">IF(OR(F65="",F65=0),"",IF(ISNUMBER(AG65),IF(F65&gt;=AG65,"PROHIBIDO","Dentro del límite"),"No aplica"))</f>
        <v/>
      </c>
      <c r="S65" s="26" t="str">
        <f aca="false">IF(E65="","",MID(IF(AQ65=1," · Excede el perfil declarado","")&amp;IF(H65="Sí"," · Paga un tercero","")&amp;IF(J65="Alto"," · Cliente de riesgo alto: DDR (RCG 23 Ter 3 y 4)","")&amp;IF(AND(AS65&lt;&gt;"",AS65&lt;&gt;"No",AS65&lt;&gt;0)," · PEP","")&amp;IF(R65="PROHIBIDO"," · Efectivo prohibido: no lo recibas (Art. 32)","")&amp;IF(AR65=1," · ⚠ Fecha fuera de orden","")&amp;IF(LEFT(I65,1)="⚠"," · ⚠ Cliente no registrado","")&amp;IF(D65=""," · ⚠ Falta la actividad","")&amp;IF(AND(LEFT(P65,5)="AVISO",W65="")," · Captura la cifra total con IVA para el Aviso","")&amp;IF(AND(ISNUMBER(W65),W65&lt;E65)," · ⚠ La cifra con IVA es menor que el monto sin IVA",""),4,400))</f>
        <v/>
      </c>
      <c r="T65" s="21"/>
      <c r="U65" s="20"/>
      <c r="V65" s="9" t="str">
        <f aca="false">IF(LEFT(P65,5)&lt;&gt;"AVISO","",IF(T65="Presentado",IF(AND(ISNUMBER(U65),ISNUMBER(Q65),U65&gt;Q65),"Presentado tarde","Presentado"),IF(NOT(ISNUMBER(Q65)),"Falta fecha",IF(Q65&lt;CONFIG!$B$6,"VENCIDO","Vence en "&amp;(Q65-CONFIG!$B$6)&amp;" días"))))</f>
        <v/>
      </c>
      <c r="W65" s="22"/>
      <c r="X65" s="21"/>
      <c r="AA65" s="0" t="str">
        <f aca="false">IF(AM65="","",INDEX(CATÁLOGO!$D$5:$D$39,AM65))</f>
        <v/>
      </c>
      <c r="AB65" s="0" t="str">
        <f aca="false">IF(AM65="","",INDEX(CATÁLOGO!$E$5:$E$39,AM65))</f>
        <v/>
      </c>
      <c r="AC65" s="0" t="str">
        <f aca="false">IF(AB65="","",IF(ISNUMBER(AB65),AB65*AV65,AB65))</f>
        <v/>
      </c>
      <c r="AD65" s="0" t="str">
        <f aca="false">IF(AM65="","",INDEX(CATÁLOGO!$F$5:$F$39,AM65))</f>
        <v/>
      </c>
      <c r="AE65" s="0" t="str">
        <f aca="false">IF(AD65="","",IF(ISNUMBER(AD65),AD65*AV65,AD65))</f>
        <v/>
      </c>
      <c r="AF65" s="0" t="str">
        <f aca="false">IF(AM65="","",INDEX(CATÁLOGO!$G$5:$G$39,AM65))</f>
        <v/>
      </c>
      <c r="AG65" s="0" t="str">
        <f aca="false">IF(AF65="","",IF(ISNUMBER(AF65),AF65*AV65,AF65))</f>
        <v/>
      </c>
      <c r="AH65" s="0" t="str">
        <f aca="false">IF(E65="","",C65&amp;"|"&amp;D65)</f>
        <v/>
      </c>
      <c r="AI65" s="27" t="n">
        <f aca="false">IF(M65&lt;&gt;"Sí",0,SUMPRODUCT(MAX(($AH$5:AH64=AH65)*($M$5:M64="Sí")*ROW($AH$5:AH64))))</f>
        <v>0</v>
      </c>
      <c r="AJ65" s="0" t="str">
        <f aca="false">IF(M65&lt;&gt;"Sí","",IF(AL65=1,B65,INDEX($AJ:$AJ,AI65)))</f>
        <v/>
      </c>
      <c r="AK65" s="0" t="str">
        <f aca="false">IF(M65&lt;&gt;"Sí","",IF(AL65=1,E65,INDEX($AK:$AK,AI65)+E65))</f>
        <v/>
      </c>
      <c r="AL65" s="0" t="str">
        <f aca="false">IF(M65&lt;&gt;"Sí","",IF(AI65=0,1,IF(INDEX($AN:$AN,AI65)=0,1,IF(B65&gt;=EDATE(INDEX($AJ:$AJ,AI65),6),1,0))))</f>
        <v/>
      </c>
      <c r="AM65" s="0" t="str">
        <f aca="false">IF(D65="","",IFERROR(MATCH(D65,CATÁLOGO!$C$5:$C$39,0),""))</f>
        <v/>
      </c>
      <c r="AN65" s="0" t="str">
        <f aca="false">IF(M65&lt;&gt;"Sí","",IF(AND(ISNUMBER(AE65),AK65&gt;=AE65),0,1))</f>
        <v/>
      </c>
      <c r="AO65" s="0" t="str">
        <f aca="false">IF(OR(E65="",C65="",NOT(ISNUMBER(B65))),"",SUMIFS($E$6:$E$505,$C$6:$C$505,C65,$B$6:$B$505,"&gt;="&amp;DATE(YEAR(B65),MONTH(B65),1),$B$6:$B$505,"&lt;"&amp;DATE(YEAR(B65),MONTH(B65)+1,1)))</f>
        <v/>
      </c>
      <c r="AP65" s="0" t="str">
        <f aca="false">IF(C65="","",IFERROR(INDEX(CLIENTES!$M$6:$M$305,MATCH(C65,CLIENTES!$A$6:$A$305,0)),""))</f>
        <v/>
      </c>
      <c r="AQ65" s="27" t="n">
        <f aca="false">IF(AND(ISNUMBER(AO65),ISNUMBER(AP65)),IF(AND(AP65&gt;0,AO65&gt;AP65),1,0),0)</f>
        <v>0</v>
      </c>
      <c r="AR65" s="27" t="n">
        <f aca="false">IF(NOT(ISNUMBER(B65)),0,IF(B65&lt;MAX($B$5:B64),1,0))</f>
        <v>0</v>
      </c>
      <c r="AS65" s="0" t="str">
        <f aca="false">IF(C65="","",IFERROR(INDEX(CLIENTES!$H$6:$H$305,MATCH(C65,CLIENTES!$A$6:$A$305,0)),""))</f>
        <v/>
      </c>
      <c r="AT65" s="0" t="str">
        <f aca="false">IF(AND(LEFT(P65,5)="AVISO",T65&lt;&gt;"Presentado",ISNUMBER(Q65)),Q65,"")</f>
        <v/>
      </c>
      <c r="AU65" s="27" t="n">
        <f aca="false">IF(AND(D65="XVI - Activos virtuales (PSAV): operación de intercambio/transferencia",M65="Sí",ISNUMBER(AE65)),IF(AK65&gt;=AE65,1,0),0)</f>
        <v>0</v>
      </c>
      <c r="AV65" s="30" t="n">
        <f aca="false">IF(NOT(ISNUMBER(B65)),CONFIG!$B$4,IFERROR(INDEX(CONFIG!$I$5:$I$14,MATCH(IF(MONTH(B65)=1,YEAR(B65)-1,YEAR(B65)),CONFIG!$H$5:$H$14,0)),CONFIG!$B$4))</f>
        <v>117.31</v>
      </c>
      <c r="AW65" s="27" t="n">
        <f aca="false">IF(AND(LEFT(D65,4)="I - ",ISNUMBER(B65),C65&lt;&gt;""),SUMIFS($E$6:$E$505,$C$6:$C$505,C65,$D$6:$D$505,D65,$B$6:$B$505,"&gt;"&amp;(B65-1),$B$6:$B$505,"&lt;="&amp;B65),0)</f>
        <v>0</v>
      </c>
      <c r="AX65" s="0" t="str">
        <f aca="false">IF(E65="","",IF(AD65="Siempre","AVISO (siempre)",IF(AD65="No aplica","Sin Aviso (sólo preparas: Ley 17 XI)",IF(NOT(ISNUMBER(AE65)),"",IF(AA65&lt;&gt;"ACUMULA",IF(E65&gt;=AE65,IF(AND(D65="XVI - Activos virtuales (PSAV): cobro de contraprestación (comisión) por el servicio",COUNTIFS($C$6:$C$505,C65,$B$6:$B$505,"&gt;="&amp;INT(B65),$B$6:$B$505,"&lt;"&amp;(INT(B65)+1),$AU$6:$AU$505,1)&gt;0),"En el Aviso del inciso a) (R 31 Bis)","AVISO"),"—"),IF(M65&lt;&gt;"Sí","—",IF(AK65&gt;=AE65,IF(AK65=E65,"AVISO","AVISO (acumulado)"),"Acumulando")))))))</f>
        <v/>
      </c>
    </row>
    <row r="66" customFormat="false" ht="15" hidden="false" customHeight="false" outlineLevel="0" collapsed="false">
      <c r="A66" s="9" t="str">
        <f aca="false">IF(E66="","",ROW()-5)</f>
        <v/>
      </c>
      <c r="B66" s="20"/>
      <c r="C66" s="21"/>
      <c r="D66" s="21"/>
      <c r="E66" s="22"/>
      <c r="F66" s="22"/>
      <c r="G66" s="21"/>
      <c r="H66" s="21"/>
      <c r="I66" s="9" t="str">
        <f aca="false">IF(C66="","",IFERROR(INDEX(CLIENTES!$B$6:$B$305,MATCH(C66,CLIENTES!$A$6:$A$305,0)),"⚠ ID no registrado"))</f>
        <v/>
      </c>
      <c r="J66" s="9" t="str">
        <f aca="false">IF(C66="","",IFERROR(INDEX(CLIENTES!$Z$6:$Z$305,MATCH(C66,CLIENTES!$A$6:$A$305,0)),""))</f>
        <v/>
      </c>
      <c r="K66" s="9" t="str">
        <f aca="false">IF(E66="","",IF(AB66="Siempre","Sí",IF(ISNUMBER(AC66),IF(E66&gt;=AC66,"Sí",IF(AW66&gt;=AC66,"Sí (serie 24 h)","No")),"")))</f>
        <v/>
      </c>
      <c r="L66" s="9" t="str">
        <f aca="false">IF(E66="","",AA66)</f>
        <v/>
      </c>
      <c r="M66" s="9" t="str">
        <f aca="false">IF(E66="","",IF(AA66&lt;&gt;"ACUMULA","No aplica",IF(LEFT(K66,2)="Sí","Sí","No")))</f>
        <v/>
      </c>
      <c r="N66" s="23" t="str">
        <f aca="false">IF(M66="Sí",AJ66,"")</f>
        <v/>
      </c>
      <c r="O66" s="24" t="str">
        <f aca="false">IF(M66="Sí",AK66,"")</f>
        <v/>
      </c>
      <c r="P66" s="25" t="str">
        <f aca="false">IF(AND(LEFT(D66,6)="XIV - ",LEFT(AX66,5)="AVISO"),"Pedimento (R 16): no va al SPPLD",AX66)</f>
        <v/>
      </c>
      <c r="Q66" s="23" t="str">
        <f aca="false">IF(LEFT(P66,5)="AVISO",IF(ISNUMBER(B66),DATE(YEAR(B66),MONTH(B66)+1,17),"Falta fecha"),"")</f>
        <v/>
      </c>
      <c r="R66" s="9" t="str">
        <f aca="false">IF(OR(F66="",F66=0),"",IF(ISNUMBER(AG66),IF(F66&gt;=AG66,"PROHIBIDO","Dentro del límite"),"No aplica"))</f>
        <v/>
      </c>
      <c r="S66" s="26" t="str">
        <f aca="false">IF(E66="","",MID(IF(AQ66=1," · Excede el perfil declarado","")&amp;IF(H66="Sí"," · Paga un tercero","")&amp;IF(J66="Alto"," · Cliente de riesgo alto: DDR (RCG 23 Ter 3 y 4)","")&amp;IF(AND(AS66&lt;&gt;"",AS66&lt;&gt;"No",AS66&lt;&gt;0)," · PEP","")&amp;IF(R66="PROHIBIDO"," · Efectivo prohibido: no lo recibas (Art. 32)","")&amp;IF(AR66=1," · ⚠ Fecha fuera de orden","")&amp;IF(LEFT(I66,1)="⚠"," · ⚠ Cliente no registrado","")&amp;IF(D66=""," · ⚠ Falta la actividad","")&amp;IF(AND(LEFT(P66,5)="AVISO",W66="")," · Captura la cifra total con IVA para el Aviso","")&amp;IF(AND(ISNUMBER(W66),W66&lt;E66)," · ⚠ La cifra con IVA es menor que el monto sin IVA",""),4,400))</f>
        <v/>
      </c>
      <c r="T66" s="21"/>
      <c r="U66" s="20"/>
      <c r="V66" s="9" t="str">
        <f aca="false">IF(LEFT(P66,5)&lt;&gt;"AVISO","",IF(T66="Presentado",IF(AND(ISNUMBER(U66),ISNUMBER(Q66),U66&gt;Q66),"Presentado tarde","Presentado"),IF(NOT(ISNUMBER(Q66)),"Falta fecha",IF(Q66&lt;CONFIG!$B$6,"VENCIDO","Vence en "&amp;(Q66-CONFIG!$B$6)&amp;" días"))))</f>
        <v/>
      </c>
      <c r="W66" s="22"/>
      <c r="X66" s="21"/>
      <c r="AA66" s="0" t="str">
        <f aca="false">IF(AM66="","",INDEX(CATÁLOGO!$D$5:$D$39,AM66))</f>
        <v/>
      </c>
      <c r="AB66" s="0" t="str">
        <f aca="false">IF(AM66="","",INDEX(CATÁLOGO!$E$5:$E$39,AM66))</f>
        <v/>
      </c>
      <c r="AC66" s="0" t="str">
        <f aca="false">IF(AB66="","",IF(ISNUMBER(AB66),AB66*AV66,AB66))</f>
        <v/>
      </c>
      <c r="AD66" s="0" t="str">
        <f aca="false">IF(AM66="","",INDEX(CATÁLOGO!$F$5:$F$39,AM66))</f>
        <v/>
      </c>
      <c r="AE66" s="0" t="str">
        <f aca="false">IF(AD66="","",IF(ISNUMBER(AD66),AD66*AV66,AD66))</f>
        <v/>
      </c>
      <c r="AF66" s="0" t="str">
        <f aca="false">IF(AM66="","",INDEX(CATÁLOGO!$G$5:$G$39,AM66))</f>
        <v/>
      </c>
      <c r="AG66" s="0" t="str">
        <f aca="false">IF(AF66="","",IF(ISNUMBER(AF66),AF66*AV66,AF66))</f>
        <v/>
      </c>
      <c r="AH66" s="0" t="str">
        <f aca="false">IF(E66="","",C66&amp;"|"&amp;D66)</f>
        <v/>
      </c>
      <c r="AI66" s="27" t="n">
        <f aca="false">IF(M66&lt;&gt;"Sí",0,SUMPRODUCT(MAX(($AH$5:AH65=AH66)*($M$5:M65="Sí")*ROW($AH$5:AH65))))</f>
        <v>0</v>
      </c>
      <c r="AJ66" s="0" t="str">
        <f aca="false">IF(M66&lt;&gt;"Sí","",IF(AL66=1,B66,INDEX($AJ:$AJ,AI66)))</f>
        <v/>
      </c>
      <c r="AK66" s="0" t="str">
        <f aca="false">IF(M66&lt;&gt;"Sí","",IF(AL66=1,E66,INDEX($AK:$AK,AI66)+E66))</f>
        <v/>
      </c>
      <c r="AL66" s="0" t="str">
        <f aca="false">IF(M66&lt;&gt;"Sí","",IF(AI66=0,1,IF(INDEX($AN:$AN,AI66)=0,1,IF(B66&gt;=EDATE(INDEX($AJ:$AJ,AI66),6),1,0))))</f>
        <v/>
      </c>
      <c r="AM66" s="0" t="str">
        <f aca="false">IF(D66="","",IFERROR(MATCH(D66,CATÁLOGO!$C$5:$C$39,0),""))</f>
        <v/>
      </c>
      <c r="AN66" s="0" t="str">
        <f aca="false">IF(M66&lt;&gt;"Sí","",IF(AND(ISNUMBER(AE66),AK66&gt;=AE66),0,1))</f>
        <v/>
      </c>
      <c r="AO66" s="0" t="str">
        <f aca="false">IF(OR(E66="",C66="",NOT(ISNUMBER(B66))),"",SUMIFS($E$6:$E$505,$C$6:$C$505,C66,$B$6:$B$505,"&gt;="&amp;DATE(YEAR(B66),MONTH(B66),1),$B$6:$B$505,"&lt;"&amp;DATE(YEAR(B66),MONTH(B66)+1,1)))</f>
        <v/>
      </c>
      <c r="AP66" s="0" t="str">
        <f aca="false">IF(C66="","",IFERROR(INDEX(CLIENTES!$M$6:$M$305,MATCH(C66,CLIENTES!$A$6:$A$305,0)),""))</f>
        <v/>
      </c>
      <c r="AQ66" s="27" t="n">
        <f aca="false">IF(AND(ISNUMBER(AO66),ISNUMBER(AP66)),IF(AND(AP66&gt;0,AO66&gt;AP66),1,0),0)</f>
        <v>0</v>
      </c>
      <c r="AR66" s="27" t="n">
        <f aca="false">IF(NOT(ISNUMBER(B66)),0,IF(B66&lt;MAX($B$5:B65),1,0))</f>
        <v>0</v>
      </c>
      <c r="AS66" s="0" t="str">
        <f aca="false">IF(C66="","",IFERROR(INDEX(CLIENTES!$H$6:$H$305,MATCH(C66,CLIENTES!$A$6:$A$305,0)),""))</f>
        <v/>
      </c>
      <c r="AT66" s="0" t="str">
        <f aca="false">IF(AND(LEFT(P66,5)="AVISO",T66&lt;&gt;"Presentado",ISNUMBER(Q66)),Q66,"")</f>
        <v/>
      </c>
      <c r="AU66" s="27" t="n">
        <f aca="false">IF(AND(D66="XVI - Activos virtuales (PSAV): operación de intercambio/transferencia",M66="Sí",ISNUMBER(AE66)),IF(AK66&gt;=AE66,1,0),0)</f>
        <v>0</v>
      </c>
      <c r="AV66" s="30" t="n">
        <f aca="false">IF(NOT(ISNUMBER(B66)),CONFIG!$B$4,IFERROR(INDEX(CONFIG!$I$5:$I$14,MATCH(IF(MONTH(B66)=1,YEAR(B66)-1,YEAR(B66)),CONFIG!$H$5:$H$14,0)),CONFIG!$B$4))</f>
        <v>117.31</v>
      </c>
      <c r="AW66" s="27" t="n">
        <f aca="false">IF(AND(LEFT(D66,4)="I - ",ISNUMBER(B66),C66&lt;&gt;""),SUMIFS($E$6:$E$505,$C$6:$C$505,C66,$D$6:$D$505,D66,$B$6:$B$505,"&gt;"&amp;(B66-1),$B$6:$B$505,"&lt;="&amp;B66),0)</f>
        <v>0</v>
      </c>
      <c r="AX66" s="0" t="str">
        <f aca="false">IF(E66="","",IF(AD66="Siempre","AVISO (siempre)",IF(AD66="No aplica","Sin Aviso (sólo preparas: Ley 17 XI)",IF(NOT(ISNUMBER(AE66)),"",IF(AA66&lt;&gt;"ACUMULA",IF(E66&gt;=AE66,IF(AND(D66="XVI - Activos virtuales (PSAV): cobro de contraprestación (comisión) por el servicio",COUNTIFS($C$6:$C$505,C66,$B$6:$B$505,"&gt;="&amp;INT(B66),$B$6:$B$505,"&lt;"&amp;(INT(B66)+1),$AU$6:$AU$505,1)&gt;0),"En el Aviso del inciso a) (R 31 Bis)","AVISO"),"—"),IF(M66&lt;&gt;"Sí","—",IF(AK66&gt;=AE66,IF(AK66=E66,"AVISO","AVISO (acumulado)"),"Acumulando")))))))</f>
        <v/>
      </c>
    </row>
    <row r="67" customFormat="false" ht="15" hidden="false" customHeight="false" outlineLevel="0" collapsed="false">
      <c r="A67" s="9" t="str">
        <f aca="false">IF(E67="","",ROW()-5)</f>
        <v/>
      </c>
      <c r="B67" s="20"/>
      <c r="C67" s="21"/>
      <c r="D67" s="21"/>
      <c r="E67" s="22"/>
      <c r="F67" s="22"/>
      <c r="G67" s="21"/>
      <c r="H67" s="21"/>
      <c r="I67" s="9" t="str">
        <f aca="false">IF(C67="","",IFERROR(INDEX(CLIENTES!$B$6:$B$305,MATCH(C67,CLIENTES!$A$6:$A$305,0)),"⚠ ID no registrado"))</f>
        <v/>
      </c>
      <c r="J67" s="9" t="str">
        <f aca="false">IF(C67="","",IFERROR(INDEX(CLIENTES!$Z$6:$Z$305,MATCH(C67,CLIENTES!$A$6:$A$305,0)),""))</f>
        <v/>
      </c>
      <c r="K67" s="9" t="str">
        <f aca="false">IF(E67="","",IF(AB67="Siempre","Sí",IF(ISNUMBER(AC67),IF(E67&gt;=AC67,"Sí",IF(AW67&gt;=AC67,"Sí (serie 24 h)","No")),"")))</f>
        <v/>
      </c>
      <c r="L67" s="9" t="str">
        <f aca="false">IF(E67="","",AA67)</f>
        <v/>
      </c>
      <c r="M67" s="9" t="str">
        <f aca="false">IF(E67="","",IF(AA67&lt;&gt;"ACUMULA","No aplica",IF(LEFT(K67,2)="Sí","Sí","No")))</f>
        <v/>
      </c>
      <c r="N67" s="23" t="str">
        <f aca="false">IF(M67="Sí",AJ67,"")</f>
        <v/>
      </c>
      <c r="O67" s="24" t="str">
        <f aca="false">IF(M67="Sí",AK67,"")</f>
        <v/>
      </c>
      <c r="P67" s="25" t="str">
        <f aca="false">IF(AND(LEFT(D67,6)="XIV - ",LEFT(AX67,5)="AVISO"),"Pedimento (R 16): no va al SPPLD",AX67)</f>
        <v/>
      </c>
      <c r="Q67" s="23" t="str">
        <f aca="false">IF(LEFT(P67,5)="AVISO",IF(ISNUMBER(B67),DATE(YEAR(B67),MONTH(B67)+1,17),"Falta fecha"),"")</f>
        <v/>
      </c>
      <c r="R67" s="9" t="str">
        <f aca="false">IF(OR(F67="",F67=0),"",IF(ISNUMBER(AG67),IF(F67&gt;=AG67,"PROHIBIDO","Dentro del límite"),"No aplica"))</f>
        <v/>
      </c>
      <c r="S67" s="26" t="str">
        <f aca="false">IF(E67="","",MID(IF(AQ67=1," · Excede el perfil declarado","")&amp;IF(H67="Sí"," · Paga un tercero","")&amp;IF(J67="Alto"," · Cliente de riesgo alto: DDR (RCG 23 Ter 3 y 4)","")&amp;IF(AND(AS67&lt;&gt;"",AS67&lt;&gt;"No",AS67&lt;&gt;0)," · PEP","")&amp;IF(R67="PROHIBIDO"," · Efectivo prohibido: no lo recibas (Art. 32)","")&amp;IF(AR67=1," · ⚠ Fecha fuera de orden","")&amp;IF(LEFT(I67,1)="⚠"," · ⚠ Cliente no registrado","")&amp;IF(D67=""," · ⚠ Falta la actividad","")&amp;IF(AND(LEFT(P67,5)="AVISO",W67="")," · Captura la cifra total con IVA para el Aviso","")&amp;IF(AND(ISNUMBER(W67),W67&lt;E67)," · ⚠ La cifra con IVA es menor que el monto sin IVA",""),4,400))</f>
        <v/>
      </c>
      <c r="T67" s="21"/>
      <c r="U67" s="20"/>
      <c r="V67" s="9" t="str">
        <f aca="false">IF(LEFT(P67,5)&lt;&gt;"AVISO","",IF(T67="Presentado",IF(AND(ISNUMBER(U67),ISNUMBER(Q67),U67&gt;Q67),"Presentado tarde","Presentado"),IF(NOT(ISNUMBER(Q67)),"Falta fecha",IF(Q67&lt;CONFIG!$B$6,"VENCIDO","Vence en "&amp;(Q67-CONFIG!$B$6)&amp;" días"))))</f>
        <v/>
      </c>
      <c r="W67" s="22"/>
      <c r="X67" s="21"/>
      <c r="AA67" s="0" t="str">
        <f aca="false">IF(AM67="","",INDEX(CATÁLOGO!$D$5:$D$39,AM67))</f>
        <v/>
      </c>
      <c r="AB67" s="0" t="str">
        <f aca="false">IF(AM67="","",INDEX(CATÁLOGO!$E$5:$E$39,AM67))</f>
        <v/>
      </c>
      <c r="AC67" s="0" t="str">
        <f aca="false">IF(AB67="","",IF(ISNUMBER(AB67),AB67*AV67,AB67))</f>
        <v/>
      </c>
      <c r="AD67" s="0" t="str">
        <f aca="false">IF(AM67="","",INDEX(CATÁLOGO!$F$5:$F$39,AM67))</f>
        <v/>
      </c>
      <c r="AE67" s="0" t="str">
        <f aca="false">IF(AD67="","",IF(ISNUMBER(AD67),AD67*AV67,AD67))</f>
        <v/>
      </c>
      <c r="AF67" s="0" t="str">
        <f aca="false">IF(AM67="","",INDEX(CATÁLOGO!$G$5:$G$39,AM67))</f>
        <v/>
      </c>
      <c r="AG67" s="0" t="str">
        <f aca="false">IF(AF67="","",IF(ISNUMBER(AF67),AF67*AV67,AF67))</f>
        <v/>
      </c>
      <c r="AH67" s="0" t="str">
        <f aca="false">IF(E67="","",C67&amp;"|"&amp;D67)</f>
        <v/>
      </c>
      <c r="AI67" s="27" t="n">
        <f aca="false">IF(M67&lt;&gt;"Sí",0,SUMPRODUCT(MAX(($AH$5:AH66=AH67)*($M$5:M66="Sí")*ROW($AH$5:AH66))))</f>
        <v>0</v>
      </c>
      <c r="AJ67" s="0" t="str">
        <f aca="false">IF(M67&lt;&gt;"Sí","",IF(AL67=1,B67,INDEX($AJ:$AJ,AI67)))</f>
        <v/>
      </c>
      <c r="AK67" s="0" t="str">
        <f aca="false">IF(M67&lt;&gt;"Sí","",IF(AL67=1,E67,INDEX($AK:$AK,AI67)+E67))</f>
        <v/>
      </c>
      <c r="AL67" s="0" t="str">
        <f aca="false">IF(M67&lt;&gt;"Sí","",IF(AI67=0,1,IF(INDEX($AN:$AN,AI67)=0,1,IF(B67&gt;=EDATE(INDEX($AJ:$AJ,AI67),6),1,0))))</f>
        <v/>
      </c>
      <c r="AM67" s="0" t="str">
        <f aca="false">IF(D67="","",IFERROR(MATCH(D67,CATÁLOGO!$C$5:$C$39,0),""))</f>
        <v/>
      </c>
      <c r="AN67" s="0" t="str">
        <f aca="false">IF(M67&lt;&gt;"Sí","",IF(AND(ISNUMBER(AE67),AK67&gt;=AE67),0,1))</f>
        <v/>
      </c>
      <c r="AO67" s="0" t="str">
        <f aca="false">IF(OR(E67="",C67="",NOT(ISNUMBER(B67))),"",SUMIFS($E$6:$E$505,$C$6:$C$505,C67,$B$6:$B$505,"&gt;="&amp;DATE(YEAR(B67),MONTH(B67),1),$B$6:$B$505,"&lt;"&amp;DATE(YEAR(B67),MONTH(B67)+1,1)))</f>
        <v/>
      </c>
      <c r="AP67" s="0" t="str">
        <f aca="false">IF(C67="","",IFERROR(INDEX(CLIENTES!$M$6:$M$305,MATCH(C67,CLIENTES!$A$6:$A$305,0)),""))</f>
        <v/>
      </c>
      <c r="AQ67" s="27" t="n">
        <f aca="false">IF(AND(ISNUMBER(AO67),ISNUMBER(AP67)),IF(AND(AP67&gt;0,AO67&gt;AP67),1,0),0)</f>
        <v>0</v>
      </c>
      <c r="AR67" s="27" t="n">
        <f aca="false">IF(NOT(ISNUMBER(B67)),0,IF(B67&lt;MAX($B$5:B66),1,0))</f>
        <v>0</v>
      </c>
      <c r="AS67" s="0" t="str">
        <f aca="false">IF(C67="","",IFERROR(INDEX(CLIENTES!$H$6:$H$305,MATCH(C67,CLIENTES!$A$6:$A$305,0)),""))</f>
        <v/>
      </c>
      <c r="AT67" s="0" t="str">
        <f aca="false">IF(AND(LEFT(P67,5)="AVISO",T67&lt;&gt;"Presentado",ISNUMBER(Q67)),Q67,"")</f>
        <v/>
      </c>
      <c r="AU67" s="27" t="n">
        <f aca="false">IF(AND(D67="XVI - Activos virtuales (PSAV): operación de intercambio/transferencia",M67="Sí",ISNUMBER(AE67)),IF(AK67&gt;=AE67,1,0),0)</f>
        <v>0</v>
      </c>
      <c r="AV67" s="30" t="n">
        <f aca="false">IF(NOT(ISNUMBER(B67)),CONFIG!$B$4,IFERROR(INDEX(CONFIG!$I$5:$I$14,MATCH(IF(MONTH(B67)=1,YEAR(B67)-1,YEAR(B67)),CONFIG!$H$5:$H$14,0)),CONFIG!$B$4))</f>
        <v>117.31</v>
      </c>
      <c r="AW67" s="27" t="n">
        <f aca="false">IF(AND(LEFT(D67,4)="I - ",ISNUMBER(B67),C67&lt;&gt;""),SUMIFS($E$6:$E$505,$C$6:$C$505,C67,$D$6:$D$505,D67,$B$6:$B$505,"&gt;"&amp;(B67-1),$B$6:$B$505,"&lt;="&amp;B67),0)</f>
        <v>0</v>
      </c>
      <c r="AX67" s="0" t="str">
        <f aca="false">IF(E67="","",IF(AD67="Siempre","AVISO (siempre)",IF(AD67="No aplica","Sin Aviso (sólo preparas: Ley 17 XI)",IF(NOT(ISNUMBER(AE67)),"",IF(AA67&lt;&gt;"ACUMULA",IF(E67&gt;=AE67,IF(AND(D67="XVI - Activos virtuales (PSAV): cobro de contraprestación (comisión) por el servicio",COUNTIFS($C$6:$C$505,C67,$B$6:$B$505,"&gt;="&amp;INT(B67),$B$6:$B$505,"&lt;"&amp;(INT(B67)+1),$AU$6:$AU$505,1)&gt;0),"En el Aviso del inciso a) (R 31 Bis)","AVISO"),"—"),IF(M67&lt;&gt;"Sí","—",IF(AK67&gt;=AE67,IF(AK67=E67,"AVISO","AVISO (acumulado)"),"Acumulando")))))))</f>
        <v/>
      </c>
    </row>
    <row r="68" customFormat="false" ht="15" hidden="false" customHeight="false" outlineLevel="0" collapsed="false">
      <c r="A68" s="9" t="str">
        <f aca="false">IF(E68="","",ROW()-5)</f>
        <v/>
      </c>
      <c r="B68" s="20"/>
      <c r="C68" s="21"/>
      <c r="D68" s="21"/>
      <c r="E68" s="22"/>
      <c r="F68" s="22"/>
      <c r="G68" s="21"/>
      <c r="H68" s="21"/>
      <c r="I68" s="9" t="str">
        <f aca="false">IF(C68="","",IFERROR(INDEX(CLIENTES!$B$6:$B$305,MATCH(C68,CLIENTES!$A$6:$A$305,0)),"⚠ ID no registrado"))</f>
        <v/>
      </c>
      <c r="J68" s="9" t="str">
        <f aca="false">IF(C68="","",IFERROR(INDEX(CLIENTES!$Z$6:$Z$305,MATCH(C68,CLIENTES!$A$6:$A$305,0)),""))</f>
        <v/>
      </c>
      <c r="K68" s="9" t="str">
        <f aca="false">IF(E68="","",IF(AB68="Siempre","Sí",IF(ISNUMBER(AC68),IF(E68&gt;=AC68,"Sí",IF(AW68&gt;=AC68,"Sí (serie 24 h)","No")),"")))</f>
        <v/>
      </c>
      <c r="L68" s="9" t="str">
        <f aca="false">IF(E68="","",AA68)</f>
        <v/>
      </c>
      <c r="M68" s="9" t="str">
        <f aca="false">IF(E68="","",IF(AA68&lt;&gt;"ACUMULA","No aplica",IF(LEFT(K68,2)="Sí","Sí","No")))</f>
        <v/>
      </c>
      <c r="N68" s="23" t="str">
        <f aca="false">IF(M68="Sí",AJ68,"")</f>
        <v/>
      </c>
      <c r="O68" s="24" t="str">
        <f aca="false">IF(M68="Sí",AK68,"")</f>
        <v/>
      </c>
      <c r="P68" s="25" t="str">
        <f aca="false">IF(AND(LEFT(D68,6)="XIV - ",LEFT(AX68,5)="AVISO"),"Pedimento (R 16): no va al SPPLD",AX68)</f>
        <v/>
      </c>
      <c r="Q68" s="23" t="str">
        <f aca="false">IF(LEFT(P68,5)="AVISO",IF(ISNUMBER(B68),DATE(YEAR(B68),MONTH(B68)+1,17),"Falta fecha"),"")</f>
        <v/>
      </c>
      <c r="R68" s="9" t="str">
        <f aca="false">IF(OR(F68="",F68=0),"",IF(ISNUMBER(AG68),IF(F68&gt;=AG68,"PROHIBIDO","Dentro del límite"),"No aplica"))</f>
        <v/>
      </c>
      <c r="S68" s="26" t="str">
        <f aca="false">IF(E68="","",MID(IF(AQ68=1," · Excede el perfil declarado","")&amp;IF(H68="Sí"," · Paga un tercero","")&amp;IF(J68="Alto"," · Cliente de riesgo alto: DDR (RCG 23 Ter 3 y 4)","")&amp;IF(AND(AS68&lt;&gt;"",AS68&lt;&gt;"No",AS68&lt;&gt;0)," · PEP","")&amp;IF(R68="PROHIBIDO"," · Efectivo prohibido: no lo recibas (Art. 32)","")&amp;IF(AR68=1," · ⚠ Fecha fuera de orden","")&amp;IF(LEFT(I68,1)="⚠"," · ⚠ Cliente no registrado","")&amp;IF(D68=""," · ⚠ Falta la actividad","")&amp;IF(AND(LEFT(P68,5)="AVISO",W68="")," · Captura la cifra total con IVA para el Aviso","")&amp;IF(AND(ISNUMBER(W68),W68&lt;E68)," · ⚠ La cifra con IVA es menor que el monto sin IVA",""),4,400))</f>
        <v/>
      </c>
      <c r="T68" s="21"/>
      <c r="U68" s="20"/>
      <c r="V68" s="9" t="str">
        <f aca="false">IF(LEFT(P68,5)&lt;&gt;"AVISO","",IF(T68="Presentado",IF(AND(ISNUMBER(U68),ISNUMBER(Q68),U68&gt;Q68),"Presentado tarde","Presentado"),IF(NOT(ISNUMBER(Q68)),"Falta fecha",IF(Q68&lt;CONFIG!$B$6,"VENCIDO","Vence en "&amp;(Q68-CONFIG!$B$6)&amp;" días"))))</f>
        <v/>
      </c>
      <c r="W68" s="22"/>
      <c r="X68" s="21"/>
      <c r="AA68" s="0" t="str">
        <f aca="false">IF(AM68="","",INDEX(CATÁLOGO!$D$5:$D$39,AM68))</f>
        <v/>
      </c>
      <c r="AB68" s="0" t="str">
        <f aca="false">IF(AM68="","",INDEX(CATÁLOGO!$E$5:$E$39,AM68))</f>
        <v/>
      </c>
      <c r="AC68" s="0" t="str">
        <f aca="false">IF(AB68="","",IF(ISNUMBER(AB68),AB68*AV68,AB68))</f>
        <v/>
      </c>
      <c r="AD68" s="0" t="str">
        <f aca="false">IF(AM68="","",INDEX(CATÁLOGO!$F$5:$F$39,AM68))</f>
        <v/>
      </c>
      <c r="AE68" s="0" t="str">
        <f aca="false">IF(AD68="","",IF(ISNUMBER(AD68),AD68*AV68,AD68))</f>
        <v/>
      </c>
      <c r="AF68" s="0" t="str">
        <f aca="false">IF(AM68="","",INDEX(CATÁLOGO!$G$5:$G$39,AM68))</f>
        <v/>
      </c>
      <c r="AG68" s="0" t="str">
        <f aca="false">IF(AF68="","",IF(ISNUMBER(AF68),AF68*AV68,AF68))</f>
        <v/>
      </c>
      <c r="AH68" s="0" t="str">
        <f aca="false">IF(E68="","",C68&amp;"|"&amp;D68)</f>
        <v/>
      </c>
      <c r="AI68" s="27" t="n">
        <f aca="false">IF(M68&lt;&gt;"Sí",0,SUMPRODUCT(MAX(($AH$5:AH67=AH68)*($M$5:M67="Sí")*ROW($AH$5:AH67))))</f>
        <v>0</v>
      </c>
      <c r="AJ68" s="0" t="str">
        <f aca="false">IF(M68&lt;&gt;"Sí","",IF(AL68=1,B68,INDEX($AJ:$AJ,AI68)))</f>
        <v/>
      </c>
      <c r="AK68" s="0" t="str">
        <f aca="false">IF(M68&lt;&gt;"Sí","",IF(AL68=1,E68,INDEX($AK:$AK,AI68)+E68))</f>
        <v/>
      </c>
      <c r="AL68" s="0" t="str">
        <f aca="false">IF(M68&lt;&gt;"Sí","",IF(AI68=0,1,IF(INDEX($AN:$AN,AI68)=0,1,IF(B68&gt;=EDATE(INDEX($AJ:$AJ,AI68),6),1,0))))</f>
        <v/>
      </c>
      <c r="AM68" s="0" t="str">
        <f aca="false">IF(D68="","",IFERROR(MATCH(D68,CATÁLOGO!$C$5:$C$39,0),""))</f>
        <v/>
      </c>
      <c r="AN68" s="0" t="str">
        <f aca="false">IF(M68&lt;&gt;"Sí","",IF(AND(ISNUMBER(AE68),AK68&gt;=AE68),0,1))</f>
        <v/>
      </c>
      <c r="AO68" s="0" t="str">
        <f aca="false">IF(OR(E68="",C68="",NOT(ISNUMBER(B68))),"",SUMIFS($E$6:$E$505,$C$6:$C$505,C68,$B$6:$B$505,"&gt;="&amp;DATE(YEAR(B68),MONTH(B68),1),$B$6:$B$505,"&lt;"&amp;DATE(YEAR(B68),MONTH(B68)+1,1)))</f>
        <v/>
      </c>
      <c r="AP68" s="0" t="str">
        <f aca="false">IF(C68="","",IFERROR(INDEX(CLIENTES!$M$6:$M$305,MATCH(C68,CLIENTES!$A$6:$A$305,0)),""))</f>
        <v/>
      </c>
      <c r="AQ68" s="27" t="n">
        <f aca="false">IF(AND(ISNUMBER(AO68),ISNUMBER(AP68)),IF(AND(AP68&gt;0,AO68&gt;AP68),1,0),0)</f>
        <v>0</v>
      </c>
      <c r="AR68" s="27" t="n">
        <f aca="false">IF(NOT(ISNUMBER(B68)),0,IF(B68&lt;MAX($B$5:B67),1,0))</f>
        <v>0</v>
      </c>
      <c r="AS68" s="0" t="str">
        <f aca="false">IF(C68="","",IFERROR(INDEX(CLIENTES!$H$6:$H$305,MATCH(C68,CLIENTES!$A$6:$A$305,0)),""))</f>
        <v/>
      </c>
      <c r="AT68" s="0" t="str">
        <f aca="false">IF(AND(LEFT(P68,5)="AVISO",T68&lt;&gt;"Presentado",ISNUMBER(Q68)),Q68,"")</f>
        <v/>
      </c>
      <c r="AU68" s="27" t="n">
        <f aca="false">IF(AND(D68="XVI - Activos virtuales (PSAV): operación de intercambio/transferencia",M68="Sí",ISNUMBER(AE68)),IF(AK68&gt;=AE68,1,0),0)</f>
        <v>0</v>
      </c>
      <c r="AV68" s="30" t="n">
        <f aca="false">IF(NOT(ISNUMBER(B68)),CONFIG!$B$4,IFERROR(INDEX(CONFIG!$I$5:$I$14,MATCH(IF(MONTH(B68)=1,YEAR(B68)-1,YEAR(B68)),CONFIG!$H$5:$H$14,0)),CONFIG!$B$4))</f>
        <v>117.31</v>
      </c>
      <c r="AW68" s="27" t="n">
        <f aca="false">IF(AND(LEFT(D68,4)="I - ",ISNUMBER(B68),C68&lt;&gt;""),SUMIFS($E$6:$E$505,$C$6:$C$505,C68,$D$6:$D$505,D68,$B$6:$B$505,"&gt;"&amp;(B68-1),$B$6:$B$505,"&lt;="&amp;B68),0)</f>
        <v>0</v>
      </c>
      <c r="AX68" s="0" t="str">
        <f aca="false">IF(E68="","",IF(AD68="Siempre","AVISO (siempre)",IF(AD68="No aplica","Sin Aviso (sólo preparas: Ley 17 XI)",IF(NOT(ISNUMBER(AE68)),"",IF(AA68&lt;&gt;"ACUMULA",IF(E68&gt;=AE68,IF(AND(D68="XVI - Activos virtuales (PSAV): cobro de contraprestación (comisión) por el servicio",COUNTIFS($C$6:$C$505,C68,$B$6:$B$505,"&gt;="&amp;INT(B68),$B$6:$B$505,"&lt;"&amp;(INT(B68)+1),$AU$6:$AU$505,1)&gt;0),"En el Aviso del inciso a) (R 31 Bis)","AVISO"),"—"),IF(M68&lt;&gt;"Sí","—",IF(AK68&gt;=AE68,IF(AK68=E68,"AVISO","AVISO (acumulado)"),"Acumulando")))))))</f>
        <v/>
      </c>
    </row>
    <row r="69" customFormat="false" ht="15" hidden="false" customHeight="false" outlineLevel="0" collapsed="false">
      <c r="A69" s="9" t="str">
        <f aca="false">IF(E69="","",ROW()-5)</f>
        <v/>
      </c>
      <c r="B69" s="20"/>
      <c r="C69" s="21"/>
      <c r="D69" s="21"/>
      <c r="E69" s="22"/>
      <c r="F69" s="22"/>
      <c r="G69" s="21"/>
      <c r="H69" s="21"/>
      <c r="I69" s="9" t="str">
        <f aca="false">IF(C69="","",IFERROR(INDEX(CLIENTES!$B$6:$B$305,MATCH(C69,CLIENTES!$A$6:$A$305,0)),"⚠ ID no registrado"))</f>
        <v/>
      </c>
      <c r="J69" s="9" t="str">
        <f aca="false">IF(C69="","",IFERROR(INDEX(CLIENTES!$Z$6:$Z$305,MATCH(C69,CLIENTES!$A$6:$A$305,0)),""))</f>
        <v/>
      </c>
      <c r="K69" s="9" t="str">
        <f aca="false">IF(E69="","",IF(AB69="Siempre","Sí",IF(ISNUMBER(AC69),IF(E69&gt;=AC69,"Sí",IF(AW69&gt;=AC69,"Sí (serie 24 h)","No")),"")))</f>
        <v/>
      </c>
      <c r="L69" s="9" t="str">
        <f aca="false">IF(E69="","",AA69)</f>
        <v/>
      </c>
      <c r="M69" s="9" t="str">
        <f aca="false">IF(E69="","",IF(AA69&lt;&gt;"ACUMULA","No aplica",IF(LEFT(K69,2)="Sí","Sí","No")))</f>
        <v/>
      </c>
      <c r="N69" s="23" t="str">
        <f aca="false">IF(M69="Sí",AJ69,"")</f>
        <v/>
      </c>
      <c r="O69" s="24" t="str">
        <f aca="false">IF(M69="Sí",AK69,"")</f>
        <v/>
      </c>
      <c r="P69" s="25" t="str">
        <f aca="false">IF(AND(LEFT(D69,6)="XIV - ",LEFT(AX69,5)="AVISO"),"Pedimento (R 16): no va al SPPLD",AX69)</f>
        <v/>
      </c>
      <c r="Q69" s="23" t="str">
        <f aca="false">IF(LEFT(P69,5)="AVISO",IF(ISNUMBER(B69),DATE(YEAR(B69),MONTH(B69)+1,17),"Falta fecha"),"")</f>
        <v/>
      </c>
      <c r="R69" s="9" t="str">
        <f aca="false">IF(OR(F69="",F69=0),"",IF(ISNUMBER(AG69),IF(F69&gt;=AG69,"PROHIBIDO","Dentro del límite"),"No aplica"))</f>
        <v/>
      </c>
      <c r="S69" s="26" t="str">
        <f aca="false">IF(E69="","",MID(IF(AQ69=1," · Excede el perfil declarado","")&amp;IF(H69="Sí"," · Paga un tercero","")&amp;IF(J69="Alto"," · Cliente de riesgo alto: DDR (RCG 23 Ter 3 y 4)","")&amp;IF(AND(AS69&lt;&gt;"",AS69&lt;&gt;"No",AS69&lt;&gt;0)," · PEP","")&amp;IF(R69="PROHIBIDO"," · Efectivo prohibido: no lo recibas (Art. 32)","")&amp;IF(AR69=1," · ⚠ Fecha fuera de orden","")&amp;IF(LEFT(I69,1)="⚠"," · ⚠ Cliente no registrado","")&amp;IF(D69=""," · ⚠ Falta la actividad","")&amp;IF(AND(LEFT(P69,5)="AVISO",W69="")," · Captura la cifra total con IVA para el Aviso","")&amp;IF(AND(ISNUMBER(W69),W69&lt;E69)," · ⚠ La cifra con IVA es menor que el monto sin IVA",""),4,400))</f>
        <v/>
      </c>
      <c r="T69" s="21"/>
      <c r="U69" s="20"/>
      <c r="V69" s="9" t="str">
        <f aca="false">IF(LEFT(P69,5)&lt;&gt;"AVISO","",IF(T69="Presentado",IF(AND(ISNUMBER(U69),ISNUMBER(Q69),U69&gt;Q69),"Presentado tarde","Presentado"),IF(NOT(ISNUMBER(Q69)),"Falta fecha",IF(Q69&lt;CONFIG!$B$6,"VENCIDO","Vence en "&amp;(Q69-CONFIG!$B$6)&amp;" días"))))</f>
        <v/>
      </c>
      <c r="W69" s="22"/>
      <c r="X69" s="21"/>
      <c r="AA69" s="0" t="str">
        <f aca="false">IF(AM69="","",INDEX(CATÁLOGO!$D$5:$D$39,AM69))</f>
        <v/>
      </c>
      <c r="AB69" s="0" t="str">
        <f aca="false">IF(AM69="","",INDEX(CATÁLOGO!$E$5:$E$39,AM69))</f>
        <v/>
      </c>
      <c r="AC69" s="0" t="str">
        <f aca="false">IF(AB69="","",IF(ISNUMBER(AB69),AB69*AV69,AB69))</f>
        <v/>
      </c>
      <c r="AD69" s="0" t="str">
        <f aca="false">IF(AM69="","",INDEX(CATÁLOGO!$F$5:$F$39,AM69))</f>
        <v/>
      </c>
      <c r="AE69" s="0" t="str">
        <f aca="false">IF(AD69="","",IF(ISNUMBER(AD69),AD69*AV69,AD69))</f>
        <v/>
      </c>
      <c r="AF69" s="0" t="str">
        <f aca="false">IF(AM69="","",INDEX(CATÁLOGO!$G$5:$G$39,AM69))</f>
        <v/>
      </c>
      <c r="AG69" s="0" t="str">
        <f aca="false">IF(AF69="","",IF(ISNUMBER(AF69),AF69*AV69,AF69))</f>
        <v/>
      </c>
      <c r="AH69" s="0" t="str">
        <f aca="false">IF(E69="","",C69&amp;"|"&amp;D69)</f>
        <v/>
      </c>
      <c r="AI69" s="27" t="n">
        <f aca="false">IF(M69&lt;&gt;"Sí",0,SUMPRODUCT(MAX(($AH$5:AH68=AH69)*($M$5:M68="Sí")*ROW($AH$5:AH68))))</f>
        <v>0</v>
      </c>
      <c r="AJ69" s="0" t="str">
        <f aca="false">IF(M69&lt;&gt;"Sí","",IF(AL69=1,B69,INDEX($AJ:$AJ,AI69)))</f>
        <v/>
      </c>
      <c r="AK69" s="0" t="str">
        <f aca="false">IF(M69&lt;&gt;"Sí","",IF(AL69=1,E69,INDEX($AK:$AK,AI69)+E69))</f>
        <v/>
      </c>
      <c r="AL69" s="0" t="str">
        <f aca="false">IF(M69&lt;&gt;"Sí","",IF(AI69=0,1,IF(INDEX($AN:$AN,AI69)=0,1,IF(B69&gt;=EDATE(INDEX($AJ:$AJ,AI69),6),1,0))))</f>
        <v/>
      </c>
      <c r="AM69" s="0" t="str">
        <f aca="false">IF(D69="","",IFERROR(MATCH(D69,CATÁLOGO!$C$5:$C$39,0),""))</f>
        <v/>
      </c>
      <c r="AN69" s="0" t="str">
        <f aca="false">IF(M69&lt;&gt;"Sí","",IF(AND(ISNUMBER(AE69),AK69&gt;=AE69),0,1))</f>
        <v/>
      </c>
      <c r="AO69" s="0" t="str">
        <f aca="false">IF(OR(E69="",C69="",NOT(ISNUMBER(B69))),"",SUMIFS($E$6:$E$505,$C$6:$C$505,C69,$B$6:$B$505,"&gt;="&amp;DATE(YEAR(B69),MONTH(B69),1),$B$6:$B$505,"&lt;"&amp;DATE(YEAR(B69),MONTH(B69)+1,1)))</f>
        <v/>
      </c>
      <c r="AP69" s="0" t="str">
        <f aca="false">IF(C69="","",IFERROR(INDEX(CLIENTES!$M$6:$M$305,MATCH(C69,CLIENTES!$A$6:$A$305,0)),""))</f>
        <v/>
      </c>
      <c r="AQ69" s="27" t="n">
        <f aca="false">IF(AND(ISNUMBER(AO69),ISNUMBER(AP69)),IF(AND(AP69&gt;0,AO69&gt;AP69),1,0),0)</f>
        <v>0</v>
      </c>
      <c r="AR69" s="27" t="n">
        <f aca="false">IF(NOT(ISNUMBER(B69)),0,IF(B69&lt;MAX($B$5:B68),1,0))</f>
        <v>0</v>
      </c>
      <c r="AS69" s="0" t="str">
        <f aca="false">IF(C69="","",IFERROR(INDEX(CLIENTES!$H$6:$H$305,MATCH(C69,CLIENTES!$A$6:$A$305,0)),""))</f>
        <v/>
      </c>
      <c r="AT69" s="0" t="str">
        <f aca="false">IF(AND(LEFT(P69,5)="AVISO",T69&lt;&gt;"Presentado",ISNUMBER(Q69)),Q69,"")</f>
        <v/>
      </c>
      <c r="AU69" s="27" t="n">
        <f aca="false">IF(AND(D69="XVI - Activos virtuales (PSAV): operación de intercambio/transferencia",M69="Sí",ISNUMBER(AE69)),IF(AK69&gt;=AE69,1,0),0)</f>
        <v>0</v>
      </c>
      <c r="AV69" s="30" t="n">
        <f aca="false">IF(NOT(ISNUMBER(B69)),CONFIG!$B$4,IFERROR(INDEX(CONFIG!$I$5:$I$14,MATCH(IF(MONTH(B69)=1,YEAR(B69)-1,YEAR(B69)),CONFIG!$H$5:$H$14,0)),CONFIG!$B$4))</f>
        <v>117.31</v>
      </c>
      <c r="AW69" s="27" t="n">
        <f aca="false">IF(AND(LEFT(D69,4)="I - ",ISNUMBER(B69),C69&lt;&gt;""),SUMIFS($E$6:$E$505,$C$6:$C$505,C69,$D$6:$D$505,D69,$B$6:$B$505,"&gt;"&amp;(B69-1),$B$6:$B$505,"&lt;="&amp;B69),0)</f>
        <v>0</v>
      </c>
      <c r="AX69" s="0" t="str">
        <f aca="false">IF(E69="","",IF(AD69="Siempre","AVISO (siempre)",IF(AD69="No aplica","Sin Aviso (sólo preparas: Ley 17 XI)",IF(NOT(ISNUMBER(AE69)),"",IF(AA69&lt;&gt;"ACUMULA",IF(E69&gt;=AE69,IF(AND(D69="XVI - Activos virtuales (PSAV): cobro de contraprestación (comisión) por el servicio",COUNTIFS($C$6:$C$505,C69,$B$6:$B$505,"&gt;="&amp;INT(B69),$B$6:$B$505,"&lt;"&amp;(INT(B69)+1),$AU$6:$AU$505,1)&gt;0),"En el Aviso del inciso a) (R 31 Bis)","AVISO"),"—"),IF(M69&lt;&gt;"Sí","—",IF(AK69&gt;=AE69,IF(AK69=E69,"AVISO","AVISO (acumulado)"),"Acumulando")))))))</f>
        <v/>
      </c>
    </row>
    <row r="70" customFormat="false" ht="15" hidden="false" customHeight="false" outlineLevel="0" collapsed="false">
      <c r="A70" s="9" t="str">
        <f aca="false">IF(E70="","",ROW()-5)</f>
        <v/>
      </c>
      <c r="B70" s="20"/>
      <c r="C70" s="21"/>
      <c r="D70" s="21"/>
      <c r="E70" s="22"/>
      <c r="F70" s="22"/>
      <c r="G70" s="21"/>
      <c r="H70" s="21"/>
      <c r="I70" s="9" t="str">
        <f aca="false">IF(C70="","",IFERROR(INDEX(CLIENTES!$B$6:$B$305,MATCH(C70,CLIENTES!$A$6:$A$305,0)),"⚠ ID no registrado"))</f>
        <v/>
      </c>
      <c r="J70" s="9" t="str">
        <f aca="false">IF(C70="","",IFERROR(INDEX(CLIENTES!$Z$6:$Z$305,MATCH(C70,CLIENTES!$A$6:$A$305,0)),""))</f>
        <v/>
      </c>
      <c r="K70" s="9" t="str">
        <f aca="false">IF(E70="","",IF(AB70="Siempre","Sí",IF(ISNUMBER(AC70),IF(E70&gt;=AC70,"Sí",IF(AW70&gt;=AC70,"Sí (serie 24 h)","No")),"")))</f>
        <v/>
      </c>
      <c r="L70" s="9" t="str">
        <f aca="false">IF(E70="","",AA70)</f>
        <v/>
      </c>
      <c r="M70" s="9" t="str">
        <f aca="false">IF(E70="","",IF(AA70&lt;&gt;"ACUMULA","No aplica",IF(LEFT(K70,2)="Sí","Sí","No")))</f>
        <v/>
      </c>
      <c r="N70" s="23" t="str">
        <f aca="false">IF(M70="Sí",AJ70,"")</f>
        <v/>
      </c>
      <c r="O70" s="24" t="str">
        <f aca="false">IF(M70="Sí",AK70,"")</f>
        <v/>
      </c>
      <c r="P70" s="25" t="str">
        <f aca="false">IF(AND(LEFT(D70,6)="XIV - ",LEFT(AX70,5)="AVISO"),"Pedimento (R 16): no va al SPPLD",AX70)</f>
        <v/>
      </c>
      <c r="Q70" s="23" t="str">
        <f aca="false">IF(LEFT(P70,5)="AVISO",IF(ISNUMBER(B70),DATE(YEAR(B70),MONTH(B70)+1,17),"Falta fecha"),"")</f>
        <v/>
      </c>
      <c r="R70" s="9" t="str">
        <f aca="false">IF(OR(F70="",F70=0),"",IF(ISNUMBER(AG70),IF(F70&gt;=AG70,"PROHIBIDO","Dentro del límite"),"No aplica"))</f>
        <v/>
      </c>
      <c r="S70" s="26" t="str">
        <f aca="false">IF(E70="","",MID(IF(AQ70=1," · Excede el perfil declarado","")&amp;IF(H70="Sí"," · Paga un tercero","")&amp;IF(J70="Alto"," · Cliente de riesgo alto: DDR (RCG 23 Ter 3 y 4)","")&amp;IF(AND(AS70&lt;&gt;"",AS70&lt;&gt;"No",AS70&lt;&gt;0)," · PEP","")&amp;IF(R70="PROHIBIDO"," · Efectivo prohibido: no lo recibas (Art. 32)","")&amp;IF(AR70=1," · ⚠ Fecha fuera de orden","")&amp;IF(LEFT(I70,1)="⚠"," · ⚠ Cliente no registrado","")&amp;IF(D70=""," · ⚠ Falta la actividad","")&amp;IF(AND(LEFT(P70,5)="AVISO",W70="")," · Captura la cifra total con IVA para el Aviso","")&amp;IF(AND(ISNUMBER(W70),W70&lt;E70)," · ⚠ La cifra con IVA es menor que el monto sin IVA",""),4,400))</f>
        <v/>
      </c>
      <c r="T70" s="21"/>
      <c r="U70" s="20"/>
      <c r="V70" s="9" t="str">
        <f aca="false">IF(LEFT(P70,5)&lt;&gt;"AVISO","",IF(T70="Presentado",IF(AND(ISNUMBER(U70),ISNUMBER(Q70),U70&gt;Q70),"Presentado tarde","Presentado"),IF(NOT(ISNUMBER(Q70)),"Falta fecha",IF(Q70&lt;CONFIG!$B$6,"VENCIDO","Vence en "&amp;(Q70-CONFIG!$B$6)&amp;" días"))))</f>
        <v/>
      </c>
      <c r="W70" s="22"/>
      <c r="X70" s="21"/>
      <c r="AA70" s="0" t="str">
        <f aca="false">IF(AM70="","",INDEX(CATÁLOGO!$D$5:$D$39,AM70))</f>
        <v/>
      </c>
      <c r="AB70" s="0" t="str">
        <f aca="false">IF(AM70="","",INDEX(CATÁLOGO!$E$5:$E$39,AM70))</f>
        <v/>
      </c>
      <c r="AC70" s="0" t="str">
        <f aca="false">IF(AB70="","",IF(ISNUMBER(AB70),AB70*AV70,AB70))</f>
        <v/>
      </c>
      <c r="AD70" s="0" t="str">
        <f aca="false">IF(AM70="","",INDEX(CATÁLOGO!$F$5:$F$39,AM70))</f>
        <v/>
      </c>
      <c r="AE70" s="0" t="str">
        <f aca="false">IF(AD70="","",IF(ISNUMBER(AD70),AD70*AV70,AD70))</f>
        <v/>
      </c>
      <c r="AF70" s="0" t="str">
        <f aca="false">IF(AM70="","",INDEX(CATÁLOGO!$G$5:$G$39,AM70))</f>
        <v/>
      </c>
      <c r="AG70" s="0" t="str">
        <f aca="false">IF(AF70="","",IF(ISNUMBER(AF70),AF70*AV70,AF70))</f>
        <v/>
      </c>
      <c r="AH70" s="0" t="str">
        <f aca="false">IF(E70="","",C70&amp;"|"&amp;D70)</f>
        <v/>
      </c>
      <c r="AI70" s="27" t="n">
        <f aca="false">IF(M70&lt;&gt;"Sí",0,SUMPRODUCT(MAX(($AH$5:AH69=AH70)*($M$5:M69="Sí")*ROW($AH$5:AH69))))</f>
        <v>0</v>
      </c>
      <c r="AJ70" s="0" t="str">
        <f aca="false">IF(M70&lt;&gt;"Sí","",IF(AL70=1,B70,INDEX($AJ:$AJ,AI70)))</f>
        <v/>
      </c>
      <c r="AK70" s="0" t="str">
        <f aca="false">IF(M70&lt;&gt;"Sí","",IF(AL70=1,E70,INDEX($AK:$AK,AI70)+E70))</f>
        <v/>
      </c>
      <c r="AL70" s="0" t="str">
        <f aca="false">IF(M70&lt;&gt;"Sí","",IF(AI70=0,1,IF(INDEX($AN:$AN,AI70)=0,1,IF(B70&gt;=EDATE(INDEX($AJ:$AJ,AI70),6),1,0))))</f>
        <v/>
      </c>
      <c r="AM70" s="0" t="str">
        <f aca="false">IF(D70="","",IFERROR(MATCH(D70,CATÁLOGO!$C$5:$C$39,0),""))</f>
        <v/>
      </c>
      <c r="AN70" s="0" t="str">
        <f aca="false">IF(M70&lt;&gt;"Sí","",IF(AND(ISNUMBER(AE70),AK70&gt;=AE70),0,1))</f>
        <v/>
      </c>
      <c r="AO70" s="0" t="str">
        <f aca="false">IF(OR(E70="",C70="",NOT(ISNUMBER(B70))),"",SUMIFS($E$6:$E$505,$C$6:$C$505,C70,$B$6:$B$505,"&gt;="&amp;DATE(YEAR(B70),MONTH(B70),1),$B$6:$B$505,"&lt;"&amp;DATE(YEAR(B70),MONTH(B70)+1,1)))</f>
        <v/>
      </c>
      <c r="AP70" s="0" t="str">
        <f aca="false">IF(C70="","",IFERROR(INDEX(CLIENTES!$M$6:$M$305,MATCH(C70,CLIENTES!$A$6:$A$305,0)),""))</f>
        <v/>
      </c>
      <c r="AQ70" s="27" t="n">
        <f aca="false">IF(AND(ISNUMBER(AO70),ISNUMBER(AP70)),IF(AND(AP70&gt;0,AO70&gt;AP70),1,0),0)</f>
        <v>0</v>
      </c>
      <c r="AR70" s="27" t="n">
        <f aca="false">IF(NOT(ISNUMBER(B70)),0,IF(B70&lt;MAX($B$5:B69),1,0))</f>
        <v>0</v>
      </c>
      <c r="AS70" s="0" t="str">
        <f aca="false">IF(C70="","",IFERROR(INDEX(CLIENTES!$H$6:$H$305,MATCH(C70,CLIENTES!$A$6:$A$305,0)),""))</f>
        <v/>
      </c>
      <c r="AT70" s="0" t="str">
        <f aca="false">IF(AND(LEFT(P70,5)="AVISO",T70&lt;&gt;"Presentado",ISNUMBER(Q70)),Q70,"")</f>
        <v/>
      </c>
      <c r="AU70" s="27" t="n">
        <f aca="false">IF(AND(D70="XVI - Activos virtuales (PSAV): operación de intercambio/transferencia",M70="Sí",ISNUMBER(AE70)),IF(AK70&gt;=AE70,1,0),0)</f>
        <v>0</v>
      </c>
      <c r="AV70" s="30" t="n">
        <f aca="false">IF(NOT(ISNUMBER(B70)),CONFIG!$B$4,IFERROR(INDEX(CONFIG!$I$5:$I$14,MATCH(IF(MONTH(B70)=1,YEAR(B70)-1,YEAR(B70)),CONFIG!$H$5:$H$14,0)),CONFIG!$B$4))</f>
        <v>117.31</v>
      </c>
      <c r="AW70" s="27" t="n">
        <f aca="false">IF(AND(LEFT(D70,4)="I - ",ISNUMBER(B70),C70&lt;&gt;""),SUMIFS($E$6:$E$505,$C$6:$C$505,C70,$D$6:$D$505,D70,$B$6:$B$505,"&gt;"&amp;(B70-1),$B$6:$B$505,"&lt;="&amp;B70),0)</f>
        <v>0</v>
      </c>
      <c r="AX70" s="0" t="str">
        <f aca="false">IF(E70="","",IF(AD70="Siempre","AVISO (siempre)",IF(AD70="No aplica","Sin Aviso (sólo preparas: Ley 17 XI)",IF(NOT(ISNUMBER(AE70)),"",IF(AA70&lt;&gt;"ACUMULA",IF(E70&gt;=AE70,IF(AND(D70="XVI - Activos virtuales (PSAV): cobro de contraprestación (comisión) por el servicio",COUNTIFS($C$6:$C$505,C70,$B$6:$B$505,"&gt;="&amp;INT(B70),$B$6:$B$505,"&lt;"&amp;(INT(B70)+1),$AU$6:$AU$505,1)&gt;0),"En el Aviso del inciso a) (R 31 Bis)","AVISO"),"—"),IF(M70&lt;&gt;"Sí","—",IF(AK70&gt;=AE70,IF(AK70=E70,"AVISO","AVISO (acumulado)"),"Acumulando")))))))</f>
        <v/>
      </c>
    </row>
    <row r="71" customFormat="false" ht="15" hidden="false" customHeight="false" outlineLevel="0" collapsed="false">
      <c r="A71" s="9" t="str">
        <f aca="false">IF(E71="","",ROW()-5)</f>
        <v/>
      </c>
      <c r="B71" s="20"/>
      <c r="C71" s="21"/>
      <c r="D71" s="21"/>
      <c r="E71" s="22"/>
      <c r="F71" s="22"/>
      <c r="G71" s="21"/>
      <c r="H71" s="21"/>
      <c r="I71" s="9" t="str">
        <f aca="false">IF(C71="","",IFERROR(INDEX(CLIENTES!$B$6:$B$305,MATCH(C71,CLIENTES!$A$6:$A$305,0)),"⚠ ID no registrado"))</f>
        <v/>
      </c>
      <c r="J71" s="9" t="str">
        <f aca="false">IF(C71="","",IFERROR(INDEX(CLIENTES!$Z$6:$Z$305,MATCH(C71,CLIENTES!$A$6:$A$305,0)),""))</f>
        <v/>
      </c>
      <c r="K71" s="9" t="str">
        <f aca="false">IF(E71="","",IF(AB71="Siempre","Sí",IF(ISNUMBER(AC71),IF(E71&gt;=AC71,"Sí",IF(AW71&gt;=AC71,"Sí (serie 24 h)","No")),"")))</f>
        <v/>
      </c>
      <c r="L71" s="9" t="str">
        <f aca="false">IF(E71="","",AA71)</f>
        <v/>
      </c>
      <c r="M71" s="9" t="str">
        <f aca="false">IF(E71="","",IF(AA71&lt;&gt;"ACUMULA","No aplica",IF(LEFT(K71,2)="Sí","Sí","No")))</f>
        <v/>
      </c>
      <c r="N71" s="23" t="str">
        <f aca="false">IF(M71="Sí",AJ71,"")</f>
        <v/>
      </c>
      <c r="O71" s="24" t="str">
        <f aca="false">IF(M71="Sí",AK71,"")</f>
        <v/>
      </c>
      <c r="P71" s="25" t="str">
        <f aca="false">IF(AND(LEFT(D71,6)="XIV - ",LEFT(AX71,5)="AVISO"),"Pedimento (R 16): no va al SPPLD",AX71)</f>
        <v/>
      </c>
      <c r="Q71" s="23" t="str">
        <f aca="false">IF(LEFT(P71,5)="AVISO",IF(ISNUMBER(B71),DATE(YEAR(B71),MONTH(B71)+1,17),"Falta fecha"),"")</f>
        <v/>
      </c>
      <c r="R71" s="9" t="str">
        <f aca="false">IF(OR(F71="",F71=0),"",IF(ISNUMBER(AG71),IF(F71&gt;=AG71,"PROHIBIDO","Dentro del límite"),"No aplica"))</f>
        <v/>
      </c>
      <c r="S71" s="26" t="str">
        <f aca="false">IF(E71="","",MID(IF(AQ71=1," · Excede el perfil declarado","")&amp;IF(H71="Sí"," · Paga un tercero","")&amp;IF(J71="Alto"," · Cliente de riesgo alto: DDR (RCG 23 Ter 3 y 4)","")&amp;IF(AND(AS71&lt;&gt;"",AS71&lt;&gt;"No",AS71&lt;&gt;0)," · PEP","")&amp;IF(R71="PROHIBIDO"," · Efectivo prohibido: no lo recibas (Art. 32)","")&amp;IF(AR71=1," · ⚠ Fecha fuera de orden","")&amp;IF(LEFT(I71,1)="⚠"," · ⚠ Cliente no registrado","")&amp;IF(D71=""," · ⚠ Falta la actividad","")&amp;IF(AND(LEFT(P71,5)="AVISO",W71="")," · Captura la cifra total con IVA para el Aviso","")&amp;IF(AND(ISNUMBER(W71),W71&lt;E71)," · ⚠ La cifra con IVA es menor que el monto sin IVA",""),4,400))</f>
        <v/>
      </c>
      <c r="T71" s="21"/>
      <c r="U71" s="20"/>
      <c r="V71" s="9" t="str">
        <f aca="false">IF(LEFT(P71,5)&lt;&gt;"AVISO","",IF(T71="Presentado",IF(AND(ISNUMBER(U71),ISNUMBER(Q71),U71&gt;Q71),"Presentado tarde","Presentado"),IF(NOT(ISNUMBER(Q71)),"Falta fecha",IF(Q71&lt;CONFIG!$B$6,"VENCIDO","Vence en "&amp;(Q71-CONFIG!$B$6)&amp;" días"))))</f>
        <v/>
      </c>
      <c r="W71" s="22"/>
      <c r="X71" s="21"/>
      <c r="AA71" s="0" t="str">
        <f aca="false">IF(AM71="","",INDEX(CATÁLOGO!$D$5:$D$39,AM71))</f>
        <v/>
      </c>
      <c r="AB71" s="0" t="str">
        <f aca="false">IF(AM71="","",INDEX(CATÁLOGO!$E$5:$E$39,AM71))</f>
        <v/>
      </c>
      <c r="AC71" s="0" t="str">
        <f aca="false">IF(AB71="","",IF(ISNUMBER(AB71),AB71*AV71,AB71))</f>
        <v/>
      </c>
      <c r="AD71" s="0" t="str">
        <f aca="false">IF(AM71="","",INDEX(CATÁLOGO!$F$5:$F$39,AM71))</f>
        <v/>
      </c>
      <c r="AE71" s="0" t="str">
        <f aca="false">IF(AD71="","",IF(ISNUMBER(AD71),AD71*AV71,AD71))</f>
        <v/>
      </c>
      <c r="AF71" s="0" t="str">
        <f aca="false">IF(AM71="","",INDEX(CATÁLOGO!$G$5:$G$39,AM71))</f>
        <v/>
      </c>
      <c r="AG71" s="0" t="str">
        <f aca="false">IF(AF71="","",IF(ISNUMBER(AF71),AF71*AV71,AF71))</f>
        <v/>
      </c>
      <c r="AH71" s="0" t="str">
        <f aca="false">IF(E71="","",C71&amp;"|"&amp;D71)</f>
        <v/>
      </c>
      <c r="AI71" s="27" t="n">
        <f aca="false">IF(M71&lt;&gt;"Sí",0,SUMPRODUCT(MAX(($AH$5:AH70=AH71)*($M$5:M70="Sí")*ROW($AH$5:AH70))))</f>
        <v>0</v>
      </c>
      <c r="AJ71" s="0" t="str">
        <f aca="false">IF(M71&lt;&gt;"Sí","",IF(AL71=1,B71,INDEX($AJ:$AJ,AI71)))</f>
        <v/>
      </c>
      <c r="AK71" s="0" t="str">
        <f aca="false">IF(M71&lt;&gt;"Sí","",IF(AL71=1,E71,INDEX($AK:$AK,AI71)+E71))</f>
        <v/>
      </c>
      <c r="AL71" s="0" t="str">
        <f aca="false">IF(M71&lt;&gt;"Sí","",IF(AI71=0,1,IF(INDEX($AN:$AN,AI71)=0,1,IF(B71&gt;=EDATE(INDEX($AJ:$AJ,AI71),6),1,0))))</f>
        <v/>
      </c>
      <c r="AM71" s="0" t="str">
        <f aca="false">IF(D71="","",IFERROR(MATCH(D71,CATÁLOGO!$C$5:$C$39,0),""))</f>
        <v/>
      </c>
      <c r="AN71" s="0" t="str">
        <f aca="false">IF(M71&lt;&gt;"Sí","",IF(AND(ISNUMBER(AE71),AK71&gt;=AE71),0,1))</f>
        <v/>
      </c>
      <c r="AO71" s="0" t="str">
        <f aca="false">IF(OR(E71="",C71="",NOT(ISNUMBER(B71))),"",SUMIFS($E$6:$E$505,$C$6:$C$505,C71,$B$6:$B$505,"&gt;="&amp;DATE(YEAR(B71),MONTH(B71),1),$B$6:$B$505,"&lt;"&amp;DATE(YEAR(B71),MONTH(B71)+1,1)))</f>
        <v/>
      </c>
      <c r="AP71" s="0" t="str">
        <f aca="false">IF(C71="","",IFERROR(INDEX(CLIENTES!$M$6:$M$305,MATCH(C71,CLIENTES!$A$6:$A$305,0)),""))</f>
        <v/>
      </c>
      <c r="AQ71" s="27" t="n">
        <f aca="false">IF(AND(ISNUMBER(AO71),ISNUMBER(AP71)),IF(AND(AP71&gt;0,AO71&gt;AP71),1,0),0)</f>
        <v>0</v>
      </c>
      <c r="AR71" s="27" t="n">
        <f aca="false">IF(NOT(ISNUMBER(B71)),0,IF(B71&lt;MAX($B$5:B70),1,0))</f>
        <v>0</v>
      </c>
      <c r="AS71" s="0" t="str">
        <f aca="false">IF(C71="","",IFERROR(INDEX(CLIENTES!$H$6:$H$305,MATCH(C71,CLIENTES!$A$6:$A$305,0)),""))</f>
        <v/>
      </c>
      <c r="AT71" s="0" t="str">
        <f aca="false">IF(AND(LEFT(P71,5)="AVISO",T71&lt;&gt;"Presentado",ISNUMBER(Q71)),Q71,"")</f>
        <v/>
      </c>
      <c r="AU71" s="27" t="n">
        <f aca="false">IF(AND(D71="XVI - Activos virtuales (PSAV): operación de intercambio/transferencia",M71="Sí",ISNUMBER(AE71)),IF(AK71&gt;=AE71,1,0),0)</f>
        <v>0</v>
      </c>
      <c r="AV71" s="30" t="n">
        <f aca="false">IF(NOT(ISNUMBER(B71)),CONFIG!$B$4,IFERROR(INDEX(CONFIG!$I$5:$I$14,MATCH(IF(MONTH(B71)=1,YEAR(B71)-1,YEAR(B71)),CONFIG!$H$5:$H$14,0)),CONFIG!$B$4))</f>
        <v>117.31</v>
      </c>
      <c r="AW71" s="27" t="n">
        <f aca="false">IF(AND(LEFT(D71,4)="I - ",ISNUMBER(B71),C71&lt;&gt;""),SUMIFS($E$6:$E$505,$C$6:$C$505,C71,$D$6:$D$505,D71,$B$6:$B$505,"&gt;"&amp;(B71-1),$B$6:$B$505,"&lt;="&amp;B71),0)</f>
        <v>0</v>
      </c>
      <c r="AX71" s="0" t="str">
        <f aca="false">IF(E71="","",IF(AD71="Siempre","AVISO (siempre)",IF(AD71="No aplica","Sin Aviso (sólo preparas: Ley 17 XI)",IF(NOT(ISNUMBER(AE71)),"",IF(AA71&lt;&gt;"ACUMULA",IF(E71&gt;=AE71,IF(AND(D71="XVI - Activos virtuales (PSAV): cobro de contraprestación (comisión) por el servicio",COUNTIFS($C$6:$C$505,C71,$B$6:$B$505,"&gt;="&amp;INT(B71),$B$6:$B$505,"&lt;"&amp;(INT(B71)+1),$AU$6:$AU$505,1)&gt;0),"En el Aviso del inciso a) (R 31 Bis)","AVISO"),"—"),IF(M71&lt;&gt;"Sí","—",IF(AK71&gt;=AE71,IF(AK71=E71,"AVISO","AVISO (acumulado)"),"Acumulando")))))))</f>
        <v/>
      </c>
    </row>
    <row r="72" customFormat="false" ht="15" hidden="false" customHeight="false" outlineLevel="0" collapsed="false">
      <c r="A72" s="9" t="str">
        <f aca="false">IF(E72="","",ROW()-5)</f>
        <v/>
      </c>
      <c r="B72" s="20"/>
      <c r="C72" s="21"/>
      <c r="D72" s="21"/>
      <c r="E72" s="22"/>
      <c r="F72" s="22"/>
      <c r="G72" s="21"/>
      <c r="H72" s="21"/>
      <c r="I72" s="9" t="str">
        <f aca="false">IF(C72="","",IFERROR(INDEX(CLIENTES!$B$6:$B$305,MATCH(C72,CLIENTES!$A$6:$A$305,0)),"⚠ ID no registrado"))</f>
        <v/>
      </c>
      <c r="J72" s="9" t="str">
        <f aca="false">IF(C72="","",IFERROR(INDEX(CLIENTES!$Z$6:$Z$305,MATCH(C72,CLIENTES!$A$6:$A$305,0)),""))</f>
        <v/>
      </c>
      <c r="K72" s="9" t="str">
        <f aca="false">IF(E72="","",IF(AB72="Siempre","Sí",IF(ISNUMBER(AC72),IF(E72&gt;=AC72,"Sí",IF(AW72&gt;=AC72,"Sí (serie 24 h)","No")),"")))</f>
        <v/>
      </c>
      <c r="L72" s="9" t="str">
        <f aca="false">IF(E72="","",AA72)</f>
        <v/>
      </c>
      <c r="M72" s="9" t="str">
        <f aca="false">IF(E72="","",IF(AA72&lt;&gt;"ACUMULA","No aplica",IF(LEFT(K72,2)="Sí","Sí","No")))</f>
        <v/>
      </c>
      <c r="N72" s="23" t="str">
        <f aca="false">IF(M72="Sí",AJ72,"")</f>
        <v/>
      </c>
      <c r="O72" s="24" t="str">
        <f aca="false">IF(M72="Sí",AK72,"")</f>
        <v/>
      </c>
      <c r="P72" s="25" t="str">
        <f aca="false">IF(AND(LEFT(D72,6)="XIV - ",LEFT(AX72,5)="AVISO"),"Pedimento (R 16): no va al SPPLD",AX72)</f>
        <v/>
      </c>
      <c r="Q72" s="23" t="str">
        <f aca="false">IF(LEFT(P72,5)="AVISO",IF(ISNUMBER(B72),DATE(YEAR(B72),MONTH(B72)+1,17),"Falta fecha"),"")</f>
        <v/>
      </c>
      <c r="R72" s="9" t="str">
        <f aca="false">IF(OR(F72="",F72=0),"",IF(ISNUMBER(AG72),IF(F72&gt;=AG72,"PROHIBIDO","Dentro del límite"),"No aplica"))</f>
        <v/>
      </c>
      <c r="S72" s="26" t="str">
        <f aca="false">IF(E72="","",MID(IF(AQ72=1," · Excede el perfil declarado","")&amp;IF(H72="Sí"," · Paga un tercero","")&amp;IF(J72="Alto"," · Cliente de riesgo alto: DDR (RCG 23 Ter 3 y 4)","")&amp;IF(AND(AS72&lt;&gt;"",AS72&lt;&gt;"No",AS72&lt;&gt;0)," · PEP","")&amp;IF(R72="PROHIBIDO"," · Efectivo prohibido: no lo recibas (Art. 32)","")&amp;IF(AR72=1," · ⚠ Fecha fuera de orden","")&amp;IF(LEFT(I72,1)="⚠"," · ⚠ Cliente no registrado","")&amp;IF(D72=""," · ⚠ Falta la actividad","")&amp;IF(AND(LEFT(P72,5)="AVISO",W72="")," · Captura la cifra total con IVA para el Aviso","")&amp;IF(AND(ISNUMBER(W72),W72&lt;E72)," · ⚠ La cifra con IVA es menor que el monto sin IVA",""),4,400))</f>
        <v/>
      </c>
      <c r="T72" s="21"/>
      <c r="U72" s="20"/>
      <c r="V72" s="9" t="str">
        <f aca="false">IF(LEFT(P72,5)&lt;&gt;"AVISO","",IF(T72="Presentado",IF(AND(ISNUMBER(U72),ISNUMBER(Q72),U72&gt;Q72),"Presentado tarde","Presentado"),IF(NOT(ISNUMBER(Q72)),"Falta fecha",IF(Q72&lt;CONFIG!$B$6,"VENCIDO","Vence en "&amp;(Q72-CONFIG!$B$6)&amp;" días"))))</f>
        <v/>
      </c>
      <c r="W72" s="22"/>
      <c r="X72" s="21"/>
      <c r="AA72" s="0" t="str">
        <f aca="false">IF(AM72="","",INDEX(CATÁLOGO!$D$5:$D$39,AM72))</f>
        <v/>
      </c>
      <c r="AB72" s="0" t="str">
        <f aca="false">IF(AM72="","",INDEX(CATÁLOGO!$E$5:$E$39,AM72))</f>
        <v/>
      </c>
      <c r="AC72" s="0" t="str">
        <f aca="false">IF(AB72="","",IF(ISNUMBER(AB72),AB72*AV72,AB72))</f>
        <v/>
      </c>
      <c r="AD72" s="0" t="str">
        <f aca="false">IF(AM72="","",INDEX(CATÁLOGO!$F$5:$F$39,AM72))</f>
        <v/>
      </c>
      <c r="AE72" s="0" t="str">
        <f aca="false">IF(AD72="","",IF(ISNUMBER(AD72),AD72*AV72,AD72))</f>
        <v/>
      </c>
      <c r="AF72" s="0" t="str">
        <f aca="false">IF(AM72="","",INDEX(CATÁLOGO!$G$5:$G$39,AM72))</f>
        <v/>
      </c>
      <c r="AG72" s="0" t="str">
        <f aca="false">IF(AF72="","",IF(ISNUMBER(AF72),AF72*AV72,AF72))</f>
        <v/>
      </c>
      <c r="AH72" s="0" t="str">
        <f aca="false">IF(E72="","",C72&amp;"|"&amp;D72)</f>
        <v/>
      </c>
      <c r="AI72" s="27" t="n">
        <f aca="false">IF(M72&lt;&gt;"Sí",0,SUMPRODUCT(MAX(($AH$5:AH71=AH72)*($M$5:M71="Sí")*ROW($AH$5:AH71))))</f>
        <v>0</v>
      </c>
      <c r="AJ72" s="0" t="str">
        <f aca="false">IF(M72&lt;&gt;"Sí","",IF(AL72=1,B72,INDEX($AJ:$AJ,AI72)))</f>
        <v/>
      </c>
      <c r="AK72" s="0" t="str">
        <f aca="false">IF(M72&lt;&gt;"Sí","",IF(AL72=1,E72,INDEX($AK:$AK,AI72)+E72))</f>
        <v/>
      </c>
      <c r="AL72" s="0" t="str">
        <f aca="false">IF(M72&lt;&gt;"Sí","",IF(AI72=0,1,IF(INDEX($AN:$AN,AI72)=0,1,IF(B72&gt;=EDATE(INDEX($AJ:$AJ,AI72),6),1,0))))</f>
        <v/>
      </c>
      <c r="AM72" s="0" t="str">
        <f aca="false">IF(D72="","",IFERROR(MATCH(D72,CATÁLOGO!$C$5:$C$39,0),""))</f>
        <v/>
      </c>
      <c r="AN72" s="0" t="str">
        <f aca="false">IF(M72&lt;&gt;"Sí","",IF(AND(ISNUMBER(AE72),AK72&gt;=AE72),0,1))</f>
        <v/>
      </c>
      <c r="AO72" s="0" t="str">
        <f aca="false">IF(OR(E72="",C72="",NOT(ISNUMBER(B72))),"",SUMIFS($E$6:$E$505,$C$6:$C$505,C72,$B$6:$B$505,"&gt;="&amp;DATE(YEAR(B72),MONTH(B72),1),$B$6:$B$505,"&lt;"&amp;DATE(YEAR(B72),MONTH(B72)+1,1)))</f>
        <v/>
      </c>
      <c r="AP72" s="0" t="str">
        <f aca="false">IF(C72="","",IFERROR(INDEX(CLIENTES!$M$6:$M$305,MATCH(C72,CLIENTES!$A$6:$A$305,0)),""))</f>
        <v/>
      </c>
      <c r="AQ72" s="27" t="n">
        <f aca="false">IF(AND(ISNUMBER(AO72),ISNUMBER(AP72)),IF(AND(AP72&gt;0,AO72&gt;AP72),1,0),0)</f>
        <v>0</v>
      </c>
      <c r="AR72" s="27" t="n">
        <f aca="false">IF(NOT(ISNUMBER(B72)),0,IF(B72&lt;MAX($B$5:B71),1,0))</f>
        <v>0</v>
      </c>
      <c r="AS72" s="0" t="str">
        <f aca="false">IF(C72="","",IFERROR(INDEX(CLIENTES!$H$6:$H$305,MATCH(C72,CLIENTES!$A$6:$A$305,0)),""))</f>
        <v/>
      </c>
      <c r="AT72" s="0" t="str">
        <f aca="false">IF(AND(LEFT(P72,5)="AVISO",T72&lt;&gt;"Presentado",ISNUMBER(Q72)),Q72,"")</f>
        <v/>
      </c>
      <c r="AU72" s="27" t="n">
        <f aca="false">IF(AND(D72="XVI - Activos virtuales (PSAV): operación de intercambio/transferencia",M72="Sí",ISNUMBER(AE72)),IF(AK72&gt;=AE72,1,0),0)</f>
        <v>0</v>
      </c>
      <c r="AV72" s="30" t="n">
        <f aca="false">IF(NOT(ISNUMBER(B72)),CONFIG!$B$4,IFERROR(INDEX(CONFIG!$I$5:$I$14,MATCH(IF(MONTH(B72)=1,YEAR(B72)-1,YEAR(B72)),CONFIG!$H$5:$H$14,0)),CONFIG!$B$4))</f>
        <v>117.31</v>
      </c>
      <c r="AW72" s="27" t="n">
        <f aca="false">IF(AND(LEFT(D72,4)="I - ",ISNUMBER(B72),C72&lt;&gt;""),SUMIFS($E$6:$E$505,$C$6:$C$505,C72,$D$6:$D$505,D72,$B$6:$B$505,"&gt;"&amp;(B72-1),$B$6:$B$505,"&lt;="&amp;B72),0)</f>
        <v>0</v>
      </c>
      <c r="AX72" s="0" t="str">
        <f aca="false">IF(E72="","",IF(AD72="Siempre","AVISO (siempre)",IF(AD72="No aplica","Sin Aviso (sólo preparas: Ley 17 XI)",IF(NOT(ISNUMBER(AE72)),"",IF(AA72&lt;&gt;"ACUMULA",IF(E72&gt;=AE72,IF(AND(D72="XVI - Activos virtuales (PSAV): cobro de contraprestación (comisión) por el servicio",COUNTIFS($C$6:$C$505,C72,$B$6:$B$505,"&gt;="&amp;INT(B72),$B$6:$B$505,"&lt;"&amp;(INT(B72)+1),$AU$6:$AU$505,1)&gt;0),"En el Aviso del inciso a) (R 31 Bis)","AVISO"),"—"),IF(M72&lt;&gt;"Sí","—",IF(AK72&gt;=AE72,IF(AK72=E72,"AVISO","AVISO (acumulado)"),"Acumulando")))))))</f>
        <v/>
      </c>
    </row>
    <row r="73" customFormat="false" ht="15" hidden="false" customHeight="false" outlineLevel="0" collapsed="false">
      <c r="A73" s="9" t="str">
        <f aca="false">IF(E73="","",ROW()-5)</f>
        <v/>
      </c>
      <c r="B73" s="20"/>
      <c r="C73" s="21"/>
      <c r="D73" s="21"/>
      <c r="E73" s="22"/>
      <c r="F73" s="22"/>
      <c r="G73" s="21"/>
      <c r="H73" s="21"/>
      <c r="I73" s="9" t="str">
        <f aca="false">IF(C73="","",IFERROR(INDEX(CLIENTES!$B$6:$B$305,MATCH(C73,CLIENTES!$A$6:$A$305,0)),"⚠ ID no registrado"))</f>
        <v/>
      </c>
      <c r="J73" s="9" t="str">
        <f aca="false">IF(C73="","",IFERROR(INDEX(CLIENTES!$Z$6:$Z$305,MATCH(C73,CLIENTES!$A$6:$A$305,0)),""))</f>
        <v/>
      </c>
      <c r="K73" s="9" t="str">
        <f aca="false">IF(E73="","",IF(AB73="Siempre","Sí",IF(ISNUMBER(AC73),IF(E73&gt;=AC73,"Sí",IF(AW73&gt;=AC73,"Sí (serie 24 h)","No")),"")))</f>
        <v/>
      </c>
      <c r="L73" s="9" t="str">
        <f aca="false">IF(E73="","",AA73)</f>
        <v/>
      </c>
      <c r="M73" s="9" t="str">
        <f aca="false">IF(E73="","",IF(AA73&lt;&gt;"ACUMULA","No aplica",IF(LEFT(K73,2)="Sí","Sí","No")))</f>
        <v/>
      </c>
      <c r="N73" s="23" t="str">
        <f aca="false">IF(M73="Sí",AJ73,"")</f>
        <v/>
      </c>
      <c r="O73" s="24" t="str">
        <f aca="false">IF(M73="Sí",AK73,"")</f>
        <v/>
      </c>
      <c r="P73" s="25" t="str">
        <f aca="false">IF(AND(LEFT(D73,6)="XIV - ",LEFT(AX73,5)="AVISO"),"Pedimento (R 16): no va al SPPLD",AX73)</f>
        <v/>
      </c>
      <c r="Q73" s="23" t="str">
        <f aca="false">IF(LEFT(P73,5)="AVISO",IF(ISNUMBER(B73),DATE(YEAR(B73),MONTH(B73)+1,17),"Falta fecha"),"")</f>
        <v/>
      </c>
      <c r="R73" s="9" t="str">
        <f aca="false">IF(OR(F73="",F73=0),"",IF(ISNUMBER(AG73),IF(F73&gt;=AG73,"PROHIBIDO","Dentro del límite"),"No aplica"))</f>
        <v/>
      </c>
      <c r="S73" s="26" t="str">
        <f aca="false">IF(E73="","",MID(IF(AQ73=1," · Excede el perfil declarado","")&amp;IF(H73="Sí"," · Paga un tercero","")&amp;IF(J73="Alto"," · Cliente de riesgo alto: DDR (RCG 23 Ter 3 y 4)","")&amp;IF(AND(AS73&lt;&gt;"",AS73&lt;&gt;"No",AS73&lt;&gt;0)," · PEP","")&amp;IF(R73="PROHIBIDO"," · Efectivo prohibido: no lo recibas (Art. 32)","")&amp;IF(AR73=1," · ⚠ Fecha fuera de orden","")&amp;IF(LEFT(I73,1)="⚠"," · ⚠ Cliente no registrado","")&amp;IF(D73=""," · ⚠ Falta la actividad","")&amp;IF(AND(LEFT(P73,5)="AVISO",W73="")," · Captura la cifra total con IVA para el Aviso","")&amp;IF(AND(ISNUMBER(W73),W73&lt;E73)," · ⚠ La cifra con IVA es menor que el monto sin IVA",""),4,400))</f>
        <v/>
      </c>
      <c r="T73" s="21"/>
      <c r="U73" s="20"/>
      <c r="V73" s="9" t="str">
        <f aca="false">IF(LEFT(P73,5)&lt;&gt;"AVISO","",IF(T73="Presentado",IF(AND(ISNUMBER(U73),ISNUMBER(Q73),U73&gt;Q73),"Presentado tarde","Presentado"),IF(NOT(ISNUMBER(Q73)),"Falta fecha",IF(Q73&lt;CONFIG!$B$6,"VENCIDO","Vence en "&amp;(Q73-CONFIG!$B$6)&amp;" días"))))</f>
        <v/>
      </c>
      <c r="W73" s="22"/>
      <c r="X73" s="21"/>
      <c r="AA73" s="0" t="str">
        <f aca="false">IF(AM73="","",INDEX(CATÁLOGO!$D$5:$D$39,AM73))</f>
        <v/>
      </c>
      <c r="AB73" s="0" t="str">
        <f aca="false">IF(AM73="","",INDEX(CATÁLOGO!$E$5:$E$39,AM73))</f>
        <v/>
      </c>
      <c r="AC73" s="0" t="str">
        <f aca="false">IF(AB73="","",IF(ISNUMBER(AB73),AB73*AV73,AB73))</f>
        <v/>
      </c>
      <c r="AD73" s="0" t="str">
        <f aca="false">IF(AM73="","",INDEX(CATÁLOGO!$F$5:$F$39,AM73))</f>
        <v/>
      </c>
      <c r="AE73" s="0" t="str">
        <f aca="false">IF(AD73="","",IF(ISNUMBER(AD73),AD73*AV73,AD73))</f>
        <v/>
      </c>
      <c r="AF73" s="0" t="str">
        <f aca="false">IF(AM73="","",INDEX(CATÁLOGO!$G$5:$G$39,AM73))</f>
        <v/>
      </c>
      <c r="AG73" s="0" t="str">
        <f aca="false">IF(AF73="","",IF(ISNUMBER(AF73),AF73*AV73,AF73))</f>
        <v/>
      </c>
      <c r="AH73" s="0" t="str">
        <f aca="false">IF(E73="","",C73&amp;"|"&amp;D73)</f>
        <v/>
      </c>
      <c r="AI73" s="27" t="n">
        <f aca="false">IF(M73&lt;&gt;"Sí",0,SUMPRODUCT(MAX(($AH$5:AH72=AH73)*($M$5:M72="Sí")*ROW($AH$5:AH72))))</f>
        <v>0</v>
      </c>
      <c r="AJ73" s="0" t="str">
        <f aca="false">IF(M73&lt;&gt;"Sí","",IF(AL73=1,B73,INDEX($AJ:$AJ,AI73)))</f>
        <v/>
      </c>
      <c r="AK73" s="0" t="str">
        <f aca="false">IF(M73&lt;&gt;"Sí","",IF(AL73=1,E73,INDEX($AK:$AK,AI73)+E73))</f>
        <v/>
      </c>
      <c r="AL73" s="0" t="str">
        <f aca="false">IF(M73&lt;&gt;"Sí","",IF(AI73=0,1,IF(INDEX($AN:$AN,AI73)=0,1,IF(B73&gt;=EDATE(INDEX($AJ:$AJ,AI73),6),1,0))))</f>
        <v/>
      </c>
      <c r="AM73" s="0" t="str">
        <f aca="false">IF(D73="","",IFERROR(MATCH(D73,CATÁLOGO!$C$5:$C$39,0),""))</f>
        <v/>
      </c>
      <c r="AN73" s="0" t="str">
        <f aca="false">IF(M73&lt;&gt;"Sí","",IF(AND(ISNUMBER(AE73),AK73&gt;=AE73),0,1))</f>
        <v/>
      </c>
      <c r="AO73" s="0" t="str">
        <f aca="false">IF(OR(E73="",C73="",NOT(ISNUMBER(B73))),"",SUMIFS($E$6:$E$505,$C$6:$C$505,C73,$B$6:$B$505,"&gt;="&amp;DATE(YEAR(B73),MONTH(B73),1),$B$6:$B$505,"&lt;"&amp;DATE(YEAR(B73),MONTH(B73)+1,1)))</f>
        <v/>
      </c>
      <c r="AP73" s="0" t="str">
        <f aca="false">IF(C73="","",IFERROR(INDEX(CLIENTES!$M$6:$M$305,MATCH(C73,CLIENTES!$A$6:$A$305,0)),""))</f>
        <v/>
      </c>
      <c r="AQ73" s="27" t="n">
        <f aca="false">IF(AND(ISNUMBER(AO73),ISNUMBER(AP73)),IF(AND(AP73&gt;0,AO73&gt;AP73),1,0),0)</f>
        <v>0</v>
      </c>
      <c r="AR73" s="27" t="n">
        <f aca="false">IF(NOT(ISNUMBER(B73)),0,IF(B73&lt;MAX($B$5:B72),1,0))</f>
        <v>0</v>
      </c>
      <c r="AS73" s="0" t="str">
        <f aca="false">IF(C73="","",IFERROR(INDEX(CLIENTES!$H$6:$H$305,MATCH(C73,CLIENTES!$A$6:$A$305,0)),""))</f>
        <v/>
      </c>
      <c r="AT73" s="0" t="str">
        <f aca="false">IF(AND(LEFT(P73,5)="AVISO",T73&lt;&gt;"Presentado",ISNUMBER(Q73)),Q73,"")</f>
        <v/>
      </c>
      <c r="AU73" s="27" t="n">
        <f aca="false">IF(AND(D73="XVI - Activos virtuales (PSAV): operación de intercambio/transferencia",M73="Sí",ISNUMBER(AE73)),IF(AK73&gt;=AE73,1,0),0)</f>
        <v>0</v>
      </c>
      <c r="AV73" s="30" t="n">
        <f aca="false">IF(NOT(ISNUMBER(B73)),CONFIG!$B$4,IFERROR(INDEX(CONFIG!$I$5:$I$14,MATCH(IF(MONTH(B73)=1,YEAR(B73)-1,YEAR(B73)),CONFIG!$H$5:$H$14,0)),CONFIG!$B$4))</f>
        <v>117.31</v>
      </c>
      <c r="AW73" s="27" t="n">
        <f aca="false">IF(AND(LEFT(D73,4)="I - ",ISNUMBER(B73),C73&lt;&gt;""),SUMIFS($E$6:$E$505,$C$6:$C$505,C73,$D$6:$D$505,D73,$B$6:$B$505,"&gt;"&amp;(B73-1),$B$6:$B$505,"&lt;="&amp;B73),0)</f>
        <v>0</v>
      </c>
      <c r="AX73" s="0" t="str">
        <f aca="false">IF(E73="","",IF(AD73="Siempre","AVISO (siempre)",IF(AD73="No aplica","Sin Aviso (sólo preparas: Ley 17 XI)",IF(NOT(ISNUMBER(AE73)),"",IF(AA73&lt;&gt;"ACUMULA",IF(E73&gt;=AE73,IF(AND(D73="XVI - Activos virtuales (PSAV): cobro de contraprestación (comisión) por el servicio",COUNTIFS($C$6:$C$505,C73,$B$6:$B$505,"&gt;="&amp;INT(B73),$B$6:$B$505,"&lt;"&amp;(INT(B73)+1),$AU$6:$AU$505,1)&gt;0),"En el Aviso del inciso a) (R 31 Bis)","AVISO"),"—"),IF(M73&lt;&gt;"Sí","—",IF(AK73&gt;=AE73,IF(AK73=E73,"AVISO","AVISO (acumulado)"),"Acumulando")))))))</f>
        <v/>
      </c>
    </row>
    <row r="74" customFormat="false" ht="15" hidden="false" customHeight="false" outlineLevel="0" collapsed="false">
      <c r="A74" s="9" t="str">
        <f aca="false">IF(E74="","",ROW()-5)</f>
        <v/>
      </c>
      <c r="B74" s="20"/>
      <c r="C74" s="21"/>
      <c r="D74" s="21"/>
      <c r="E74" s="22"/>
      <c r="F74" s="22"/>
      <c r="G74" s="21"/>
      <c r="H74" s="21"/>
      <c r="I74" s="9" t="str">
        <f aca="false">IF(C74="","",IFERROR(INDEX(CLIENTES!$B$6:$B$305,MATCH(C74,CLIENTES!$A$6:$A$305,0)),"⚠ ID no registrado"))</f>
        <v/>
      </c>
      <c r="J74" s="9" t="str">
        <f aca="false">IF(C74="","",IFERROR(INDEX(CLIENTES!$Z$6:$Z$305,MATCH(C74,CLIENTES!$A$6:$A$305,0)),""))</f>
        <v/>
      </c>
      <c r="K74" s="9" t="str">
        <f aca="false">IF(E74="","",IF(AB74="Siempre","Sí",IF(ISNUMBER(AC74),IF(E74&gt;=AC74,"Sí",IF(AW74&gt;=AC74,"Sí (serie 24 h)","No")),"")))</f>
        <v/>
      </c>
      <c r="L74" s="9" t="str">
        <f aca="false">IF(E74="","",AA74)</f>
        <v/>
      </c>
      <c r="M74" s="9" t="str">
        <f aca="false">IF(E74="","",IF(AA74&lt;&gt;"ACUMULA","No aplica",IF(LEFT(K74,2)="Sí","Sí","No")))</f>
        <v/>
      </c>
      <c r="N74" s="23" t="str">
        <f aca="false">IF(M74="Sí",AJ74,"")</f>
        <v/>
      </c>
      <c r="O74" s="24" t="str">
        <f aca="false">IF(M74="Sí",AK74,"")</f>
        <v/>
      </c>
      <c r="P74" s="25" t="str">
        <f aca="false">IF(AND(LEFT(D74,6)="XIV - ",LEFT(AX74,5)="AVISO"),"Pedimento (R 16): no va al SPPLD",AX74)</f>
        <v/>
      </c>
      <c r="Q74" s="23" t="str">
        <f aca="false">IF(LEFT(P74,5)="AVISO",IF(ISNUMBER(B74),DATE(YEAR(B74),MONTH(B74)+1,17),"Falta fecha"),"")</f>
        <v/>
      </c>
      <c r="R74" s="9" t="str">
        <f aca="false">IF(OR(F74="",F74=0),"",IF(ISNUMBER(AG74),IF(F74&gt;=AG74,"PROHIBIDO","Dentro del límite"),"No aplica"))</f>
        <v/>
      </c>
      <c r="S74" s="26" t="str">
        <f aca="false">IF(E74="","",MID(IF(AQ74=1," · Excede el perfil declarado","")&amp;IF(H74="Sí"," · Paga un tercero","")&amp;IF(J74="Alto"," · Cliente de riesgo alto: DDR (RCG 23 Ter 3 y 4)","")&amp;IF(AND(AS74&lt;&gt;"",AS74&lt;&gt;"No",AS74&lt;&gt;0)," · PEP","")&amp;IF(R74="PROHIBIDO"," · Efectivo prohibido: no lo recibas (Art. 32)","")&amp;IF(AR74=1," · ⚠ Fecha fuera de orden","")&amp;IF(LEFT(I74,1)="⚠"," · ⚠ Cliente no registrado","")&amp;IF(D74=""," · ⚠ Falta la actividad","")&amp;IF(AND(LEFT(P74,5)="AVISO",W74="")," · Captura la cifra total con IVA para el Aviso","")&amp;IF(AND(ISNUMBER(W74),W74&lt;E74)," · ⚠ La cifra con IVA es menor que el monto sin IVA",""),4,400))</f>
        <v/>
      </c>
      <c r="T74" s="21"/>
      <c r="U74" s="20"/>
      <c r="V74" s="9" t="str">
        <f aca="false">IF(LEFT(P74,5)&lt;&gt;"AVISO","",IF(T74="Presentado",IF(AND(ISNUMBER(U74),ISNUMBER(Q74),U74&gt;Q74),"Presentado tarde","Presentado"),IF(NOT(ISNUMBER(Q74)),"Falta fecha",IF(Q74&lt;CONFIG!$B$6,"VENCIDO","Vence en "&amp;(Q74-CONFIG!$B$6)&amp;" días"))))</f>
        <v/>
      </c>
      <c r="W74" s="22"/>
      <c r="X74" s="21"/>
      <c r="AA74" s="0" t="str">
        <f aca="false">IF(AM74="","",INDEX(CATÁLOGO!$D$5:$D$39,AM74))</f>
        <v/>
      </c>
      <c r="AB74" s="0" t="str">
        <f aca="false">IF(AM74="","",INDEX(CATÁLOGO!$E$5:$E$39,AM74))</f>
        <v/>
      </c>
      <c r="AC74" s="0" t="str">
        <f aca="false">IF(AB74="","",IF(ISNUMBER(AB74),AB74*AV74,AB74))</f>
        <v/>
      </c>
      <c r="AD74" s="0" t="str">
        <f aca="false">IF(AM74="","",INDEX(CATÁLOGO!$F$5:$F$39,AM74))</f>
        <v/>
      </c>
      <c r="AE74" s="0" t="str">
        <f aca="false">IF(AD74="","",IF(ISNUMBER(AD74),AD74*AV74,AD74))</f>
        <v/>
      </c>
      <c r="AF74" s="0" t="str">
        <f aca="false">IF(AM74="","",INDEX(CATÁLOGO!$G$5:$G$39,AM74))</f>
        <v/>
      </c>
      <c r="AG74" s="0" t="str">
        <f aca="false">IF(AF74="","",IF(ISNUMBER(AF74),AF74*AV74,AF74))</f>
        <v/>
      </c>
      <c r="AH74" s="0" t="str">
        <f aca="false">IF(E74="","",C74&amp;"|"&amp;D74)</f>
        <v/>
      </c>
      <c r="AI74" s="27" t="n">
        <f aca="false">IF(M74&lt;&gt;"Sí",0,SUMPRODUCT(MAX(($AH$5:AH73=AH74)*($M$5:M73="Sí")*ROW($AH$5:AH73))))</f>
        <v>0</v>
      </c>
      <c r="AJ74" s="0" t="str">
        <f aca="false">IF(M74&lt;&gt;"Sí","",IF(AL74=1,B74,INDEX($AJ:$AJ,AI74)))</f>
        <v/>
      </c>
      <c r="AK74" s="0" t="str">
        <f aca="false">IF(M74&lt;&gt;"Sí","",IF(AL74=1,E74,INDEX($AK:$AK,AI74)+E74))</f>
        <v/>
      </c>
      <c r="AL74" s="0" t="str">
        <f aca="false">IF(M74&lt;&gt;"Sí","",IF(AI74=0,1,IF(INDEX($AN:$AN,AI74)=0,1,IF(B74&gt;=EDATE(INDEX($AJ:$AJ,AI74),6),1,0))))</f>
        <v/>
      </c>
      <c r="AM74" s="0" t="str">
        <f aca="false">IF(D74="","",IFERROR(MATCH(D74,CATÁLOGO!$C$5:$C$39,0),""))</f>
        <v/>
      </c>
      <c r="AN74" s="0" t="str">
        <f aca="false">IF(M74&lt;&gt;"Sí","",IF(AND(ISNUMBER(AE74),AK74&gt;=AE74),0,1))</f>
        <v/>
      </c>
      <c r="AO74" s="0" t="str">
        <f aca="false">IF(OR(E74="",C74="",NOT(ISNUMBER(B74))),"",SUMIFS($E$6:$E$505,$C$6:$C$505,C74,$B$6:$B$505,"&gt;="&amp;DATE(YEAR(B74),MONTH(B74),1),$B$6:$B$505,"&lt;"&amp;DATE(YEAR(B74),MONTH(B74)+1,1)))</f>
        <v/>
      </c>
      <c r="AP74" s="0" t="str">
        <f aca="false">IF(C74="","",IFERROR(INDEX(CLIENTES!$M$6:$M$305,MATCH(C74,CLIENTES!$A$6:$A$305,0)),""))</f>
        <v/>
      </c>
      <c r="AQ74" s="27" t="n">
        <f aca="false">IF(AND(ISNUMBER(AO74),ISNUMBER(AP74)),IF(AND(AP74&gt;0,AO74&gt;AP74),1,0),0)</f>
        <v>0</v>
      </c>
      <c r="AR74" s="27" t="n">
        <f aca="false">IF(NOT(ISNUMBER(B74)),0,IF(B74&lt;MAX($B$5:B73),1,0))</f>
        <v>0</v>
      </c>
      <c r="AS74" s="0" t="str">
        <f aca="false">IF(C74="","",IFERROR(INDEX(CLIENTES!$H$6:$H$305,MATCH(C74,CLIENTES!$A$6:$A$305,0)),""))</f>
        <v/>
      </c>
      <c r="AT74" s="0" t="str">
        <f aca="false">IF(AND(LEFT(P74,5)="AVISO",T74&lt;&gt;"Presentado",ISNUMBER(Q74)),Q74,"")</f>
        <v/>
      </c>
      <c r="AU74" s="27" t="n">
        <f aca="false">IF(AND(D74="XVI - Activos virtuales (PSAV): operación de intercambio/transferencia",M74="Sí",ISNUMBER(AE74)),IF(AK74&gt;=AE74,1,0),0)</f>
        <v>0</v>
      </c>
      <c r="AV74" s="30" t="n">
        <f aca="false">IF(NOT(ISNUMBER(B74)),CONFIG!$B$4,IFERROR(INDEX(CONFIG!$I$5:$I$14,MATCH(IF(MONTH(B74)=1,YEAR(B74)-1,YEAR(B74)),CONFIG!$H$5:$H$14,0)),CONFIG!$B$4))</f>
        <v>117.31</v>
      </c>
      <c r="AW74" s="27" t="n">
        <f aca="false">IF(AND(LEFT(D74,4)="I - ",ISNUMBER(B74),C74&lt;&gt;""),SUMIFS($E$6:$E$505,$C$6:$C$505,C74,$D$6:$D$505,D74,$B$6:$B$505,"&gt;"&amp;(B74-1),$B$6:$B$505,"&lt;="&amp;B74),0)</f>
        <v>0</v>
      </c>
      <c r="AX74" s="0" t="str">
        <f aca="false">IF(E74="","",IF(AD74="Siempre","AVISO (siempre)",IF(AD74="No aplica","Sin Aviso (sólo preparas: Ley 17 XI)",IF(NOT(ISNUMBER(AE74)),"",IF(AA74&lt;&gt;"ACUMULA",IF(E74&gt;=AE74,IF(AND(D74="XVI - Activos virtuales (PSAV): cobro de contraprestación (comisión) por el servicio",COUNTIFS($C$6:$C$505,C74,$B$6:$B$505,"&gt;="&amp;INT(B74),$B$6:$B$505,"&lt;"&amp;(INT(B74)+1),$AU$6:$AU$505,1)&gt;0),"En el Aviso del inciso a) (R 31 Bis)","AVISO"),"—"),IF(M74&lt;&gt;"Sí","—",IF(AK74&gt;=AE74,IF(AK74=E74,"AVISO","AVISO (acumulado)"),"Acumulando")))))))</f>
        <v/>
      </c>
    </row>
    <row r="75" customFormat="false" ht="15" hidden="false" customHeight="false" outlineLevel="0" collapsed="false">
      <c r="A75" s="9" t="str">
        <f aca="false">IF(E75="","",ROW()-5)</f>
        <v/>
      </c>
      <c r="B75" s="20"/>
      <c r="C75" s="21"/>
      <c r="D75" s="21"/>
      <c r="E75" s="22"/>
      <c r="F75" s="22"/>
      <c r="G75" s="21"/>
      <c r="H75" s="21"/>
      <c r="I75" s="9" t="str">
        <f aca="false">IF(C75="","",IFERROR(INDEX(CLIENTES!$B$6:$B$305,MATCH(C75,CLIENTES!$A$6:$A$305,0)),"⚠ ID no registrado"))</f>
        <v/>
      </c>
      <c r="J75" s="9" t="str">
        <f aca="false">IF(C75="","",IFERROR(INDEX(CLIENTES!$Z$6:$Z$305,MATCH(C75,CLIENTES!$A$6:$A$305,0)),""))</f>
        <v/>
      </c>
      <c r="K75" s="9" t="str">
        <f aca="false">IF(E75="","",IF(AB75="Siempre","Sí",IF(ISNUMBER(AC75),IF(E75&gt;=AC75,"Sí",IF(AW75&gt;=AC75,"Sí (serie 24 h)","No")),"")))</f>
        <v/>
      </c>
      <c r="L75" s="9" t="str">
        <f aca="false">IF(E75="","",AA75)</f>
        <v/>
      </c>
      <c r="M75" s="9" t="str">
        <f aca="false">IF(E75="","",IF(AA75&lt;&gt;"ACUMULA","No aplica",IF(LEFT(K75,2)="Sí","Sí","No")))</f>
        <v/>
      </c>
      <c r="N75" s="23" t="str">
        <f aca="false">IF(M75="Sí",AJ75,"")</f>
        <v/>
      </c>
      <c r="O75" s="24" t="str">
        <f aca="false">IF(M75="Sí",AK75,"")</f>
        <v/>
      </c>
      <c r="P75" s="25" t="str">
        <f aca="false">IF(AND(LEFT(D75,6)="XIV - ",LEFT(AX75,5)="AVISO"),"Pedimento (R 16): no va al SPPLD",AX75)</f>
        <v/>
      </c>
      <c r="Q75" s="23" t="str">
        <f aca="false">IF(LEFT(P75,5)="AVISO",IF(ISNUMBER(B75),DATE(YEAR(B75),MONTH(B75)+1,17),"Falta fecha"),"")</f>
        <v/>
      </c>
      <c r="R75" s="9" t="str">
        <f aca="false">IF(OR(F75="",F75=0),"",IF(ISNUMBER(AG75),IF(F75&gt;=AG75,"PROHIBIDO","Dentro del límite"),"No aplica"))</f>
        <v/>
      </c>
      <c r="S75" s="26" t="str">
        <f aca="false">IF(E75="","",MID(IF(AQ75=1," · Excede el perfil declarado","")&amp;IF(H75="Sí"," · Paga un tercero","")&amp;IF(J75="Alto"," · Cliente de riesgo alto: DDR (RCG 23 Ter 3 y 4)","")&amp;IF(AND(AS75&lt;&gt;"",AS75&lt;&gt;"No",AS75&lt;&gt;0)," · PEP","")&amp;IF(R75="PROHIBIDO"," · Efectivo prohibido: no lo recibas (Art. 32)","")&amp;IF(AR75=1," · ⚠ Fecha fuera de orden","")&amp;IF(LEFT(I75,1)="⚠"," · ⚠ Cliente no registrado","")&amp;IF(D75=""," · ⚠ Falta la actividad","")&amp;IF(AND(LEFT(P75,5)="AVISO",W75="")," · Captura la cifra total con IVA para el Aviso","")&amp;IF(AND(ISNUMBER(W75),W75&lt;E75)," · ⚠ La cifra con IVA es menor que el monto sin IVA",""),4,400))</f>
        <v/>
      </c>
      <c r="T75" s="21"/>
      <c r="U75" s="20"/>
      <c r="V75" s="9" t="str">
        <f aca="false">IF(LEFT(P75,5)&lt;&gt;"AVISO","",IF(T75="Presentado",IF(AND(ISNUMBER(U75),ISNUMBER(Q75),U75&gt;Q75),"Presentado tarde","Presentado"),IF(NOT(ISNUMBER(Q75)),"Falta fecha",IF(Q75&lt;CONFIG!$B$6,"VENCIDO","Vence en "&amp;(Q75-CONFIG!$B$6)&amp;" días"))))</f>
        <v/>
      </c>
      <c r="W75" s="22"/>
      <c r="X75" s="21"/>
      <c r="AA75" s="0" t="str">
        <f aca="false">IF(AM75="","",INDEX(CATÁLOGO!$D$5:$D$39,AM75))</f>
        <v/>
      </c>
      <c r="AB75" s="0" t="str">
        <f aca="false">IF(AM75="","",INDEX(CATÁLOGO!$E$5:$E$39,AM75))</f>
        <v/>
      </c>
      <c r="AC75" s="0" t="str">
        <f aca="false">IF(AB75="","",IF(ISNUMBER(AB75),AB75*AV75,AB75))</f>
        <v/>
      </c>
      <c r="AD75" s="0" t="str">
        <f aca="false">IF(AM75="","",INDEX(CATÁLOGO!$F$5:$F$39,AM75))</f>
        <v/>
      </c>
      <c r="AE75" s="0" t="str">
        <f aca="false">IF(AD75="","",IF(ISNUMBER(AD75),AD75*AV75,AD75))</f>
        <v/>
      </c>
      <c r="AF75" s="0" t="str">
        <f aca="false">IF(AM75="","",INDEX(CATÁLOGO!$G$5:$G$39,AM75))</f>
        <v/>
      </c>
      <c r="AG75" s="0" t="str">
        <f aca="false">IF(AF75="","",IF(ISNUMBER(AF75),AF75*AV75,AF75))</f>
        <v/>
      </c>
      <c r="AH75" s="0" t="str">
        <f aca="false">IF(E75="","",C75&amp;"|"&amp;D75)</f>
        <v/>
      </c>
      <c r="AI75" s="27" t="n">
        <f aca="false">IF(M75&lt;&gt;"Sí",0,SUMPRODUCT(MAX(($AH$5:AH74=AH75)*($M$5:M74="Sí")*ROW($AH$5:AH74))))</f>
        <v>0</v>
      </c>
      <c r="AJ75" s="0" t="str">
        <f aca="false">IF(M75&lt;&gt;"Sí","",IF(AL75=1,B75,INDEX($AJ:$AJ,AI75)))</f>
        <v/>
      </c>
      <c r="AK75" s="0" t="str">
        <f aca="false">IF(M75&lt;&gt;"Sí","",IF(AL75=1,E75,INDEX($AK:$AK,AI75)+E75))</f>
        <v/>
      </c>
      <c r="AL75" s="0" t="str">
        <f aca="false">IF(M75&lt;&gt;"Sí","",IF(AI75=0,1,IF(INDEX($AN:$AN,AI75)=0,1,IF(B75&gt;=EDATE(INDEX($AJ:$AJ,AI75),6),1,0))))</f>
        <v/>
      </c>
      <c r="AM75" s="0" t="str">
        <f aca="false">IF(D75="","",IFERROR(MATCH(D75,CATÁLOGO!$C$5:$C$39,0),""))</f>
        <v/>
      </c>
      <c r="AN75" s="0" t="str">
        <f aca="false">IF(M75&lt;&gt;"Sí","",IF(AND(ISNUMBER(AE75),AK75&gt;=AE75),0,1))</f>
        <v/>
      </c>
      <c r="AO75" s="0" t="str">
        <f aca="false">IF(OR(E75="",C75="",NOT(ISNUMBER(B75))),"",SUMIFS($E$6:$E$505,$C$6:$C$505,C75,$B$6:$B$505,"&gt;="&amp;DATE(YEAR(B75),MONTH(B75),1),$B$6:$B$505,"&lt;"&amp;DATE(YEAR(B75),MONTH(B75)+1,1)))</f>
        <v/>
      </c>
      <c r="AP75" s="0" t="str">
        <f aca="false">IF(C75="","",IFERROR(INDEX(CLIENTES!$M$6:$M$305,MATCH(C75,CLIENTES!$A$6:$A$305,0)),""))</f>
        <v/>
      </c>
      <c r="AQ75" s="27" t="n">
        <f aca="false">IF(AND(ISNUMBER(AO75),ISNUMBER(AP75)),IF(AND(AP75&gt;0,AO75&gt;AP75),1,0),0)</f>
        <v>0</v>
      </c>
      <c r="AR75" s="27" t="n">
        <f aca="false">IF(NOT(ISNUMBER(B75)),0,IF(B75&lt;MAX($B$5:B74),1,0))</f>
        <v>0</v>
      </c>
      <c r="AS75" s="0" t="str">
        <f aca="false">IF(C75="","",IFERROR(INDEX(CLIENTES!$H$6:$H$305,MATCH(C75,CLIENTES!$A$6:$A$305,0)),""))</f>
        <v/>
      </c>
      <c r="AT75" s="0" t="str">
        <f aca="false">IF(AND(LEFT(P75,5)="AVISO",T75&lt;&gt;"Presentado",ISNUMBER(Q75)),Q75,"")</f>
        <v/>
      </c>
      <c r="AU75" s="27" t="n">
        <f aca="false">IF(AND(D75="XVI - Activos virtuales (PSAV): operación de intercambio/transferencia",M75="Sí",ISNUMBER(AE75)),IF(AK75&gt;=AE75,1,0),0)</f>
        <v>0</v>
      </c>
      <c r="AV75" s="30" t="n">
        <f aca="false">IF(NOT(ISNUMBER(B75)),CONFIG!$B$4,IFERROR(INDEX(CONFIG!$I$5:$I$14,MATCH(IF(MONTH(B75)=1,YEAR(B75)-1,YEAR(B75)),CONFIG!$H$5:$H$14,0)),CONFIG!$B$4))</f>
        <v>117.31</v>
      </c>
      <c r="AW75" s="27" t="n">
        <f aca="false">IF(AND(LEFT(D75,4)="I - ",ISNUMBER(B75),C75&lt;&gt;""),SUMIFS($E$6:$E$505,$C$6:$C$505,C75,$D$6:$D$505,D75,$B$6:$B$505,"&gt;"&amp;(B75-1),$B$6:$B$505,"&lt;="&amp;B75),0)</f>
        <v>0</v>
      </c>
      <c r="AX75" s="0" t="str">
        <f aca="false">IF(E75="","",IF(AD75="Siempre","AVISO (siempre)",IF(AD75="No aplica","Sin Aviso (sólo preparas: Ley 17 XI)",IF(NOT(ISNUMBER(AE75)),"",IF(AA75&lt;&gt;"ACUMULA",IF(E75&gt;=AE75,IF(AND(D75="XVI - Activos virtuales (PSAV): cobro de contraprestación (comisión) por el servicio",COUNTIFS($C$6:$C$505,C75,$B$6:$B$505,"&gt;="&amp;INT(B75),$B$6:$B$505,"&lt;"&amp;(INT(B75)+1),$AU$6:$AU$505,1)&gt;0),"En el Aviso del inciso a) (R 31 Bis)","AVISO"),"—"),IF(M75&lt;&gt;"Sí","—",IF(AK75&gt;=AE75,IF(AK75=E75,"AVISO","AVISO (acumulado)"),"Acumulando")))))))</f>
        <v/>
      </c>
    </row>
    <row r="76" customFormat="false" ht="15" hidden="false" customHeight="false" outlineLevel="0" collapsed="false">
      <c r="A76" s="9" t="str">
        <f aca="false">IF(E76="","",ROW()-5)</f>
        <v/>
      </c>
      <c r="B76" s="20"/>
      <c r="C76" s="21"/>
      <c r="D76" s="21"/>
      <c r="E76" s="22"/>
      <c r="F76" s="22"/>
      <c r="G76" s="21"/>
      <c r="H76" s="21"/>
      <c r="I76" s="9" t="str">
        <f aca="false">IF(C76="","",IFERROR(INDEX(CLIENTES!$B$6:$B$305,MATCH(C76,CLIENTES!$A$6:$A$305,0)),"⚠ ID no registrado"))</f>
        <v/>
      </c>
      <c r="J76" s="9" t="str">
        <f aca="false">IF(C76="","",IFERROR(INDEX(CLIENTES!$Z$6:$Z$305,MATCH(C76,CLIENTES!$A$6:$A$305,0)),""))</f>
        <v/>
      </c>
      <c r="K76" s="9" t="str">
        <f aca="false">IF(E76="","",IF(AB76="Siempre","Sí",IF(ISNUMBER(AC76),IF(E76&gt;=AC76,"Sí",IF(AW76&gt;=AC76,"Sí (serie 24 h)","No")),"")))</f>
        <v/>
      </c>
      <c r="L76" s="9" t="str">
        <f aca="false">IF(E76="","",AA76)</f>
        <v/>
      </c>
      <c r="M76" s="9" t="str">
        <f aca="false">IF(E76="","",IF(AA76&lt;&gt;"ACUMULA","No aplica",IF(LEFT(K76,2)="Sí","Sí","No")))</f>
        <v/>
      </c>
      <c r="N76" s="23" t="str">
        <f aca="false">IF(M76="Sí",AJ76,"")</f>
        <v/>
      </c>
      <c r="O76" s="24" t="str">
        <f aca="false">IF(M76="Sí",AK76,"")</f>
        <v/>
      </c>
      <c r="P76" s="25" t="str">
        <f aca="false">IF(AND(LEFT(D76,6)="XIV - ",LEFT(AX76,5)="AVISO"),"Pedimento (R 16): no va al SPPLD",AX76)</f>
        <v/>
      </c>
      <c r="Q76" s="23" t="str">
        <f aca="false">IF(LEFT(P76,5)="AVISO",IF(ISNUMBER(B76),DATE(YEAR(B76),MONTH(B76)+1,17),"Falta fecha"),"")</f>
        <v/>
      </c>
      <c r="R76" s="9" t="str">
        <f aca="false">IF(OR(F76="",F76=0),"",IF(ISNUMBER(AG76),IF(F76&gt;=AG76,"PROHIBIDO","Dentro del límite"),"No aplica"))</f>
        <v/>
      </c>
      <c r="S76" s="26" t="str">
        <f aca="false">IF(E76="","",MID(IF(AQ76=1," · Excede el perfil declarado","")&amp;IF(H76="Sí"," · Paga un tercero","")&amp;IF(J76="Alto"," · Cliente de riesgo alto: DDR (RCG 23 Ter 3 y 4)","")&amp;IF(AND(AS76&lt;&gt;"",AS76&lt;&gt;"No",AS76&lt;&gt;0)," · PEP","")&amp;IF(R76="PROHIBIDO"," · Efectivo prohibido: no lo recibas (Art. 32)","")&amp;IF(AR76=1," · ⚠ Fecha fuera de orden","")&amp;IF(LEFT(I76,1)="⚠"," · ⚠ Cliente no registrado","")&amp;IF(D76=""," · ⚠ Falta la actividad","")&amp;IF(AND(LEFT(P76,5)="AVISO",W76="")," · Captura la cifra total con IVA para el Aviso","")&amp;IF(AND(ISNUMBER(W76),W76&lt;E76)," · ⚠ La cifra con IVA es menor que el monto sin IVA",""),4,400))</f>
        <v/>
      </c>
      <c r="T76" s="21"/>
      <c r="U76" s="20"/>
      <c r="V76" s="9" t="str">
        <f aca="false">IF(LEFT(P76,5)&lt;&gt;"AVISO","",IF(T76="Presentado",IF(AND(ISNUMBER(U76),ISNUMBER(Q76),U76&gt;Q76),"Presentado tarde","Presentado"),IF(NOT(ISNUMBER(Q76)),"Falta fecha",IF(Q76&lt;CONFIG!$B$6,"VENCIDO","Vence en "&amp;(Q76-CONFIG!$B$6)&amp;" días"))))</f>
        <v/>
      </c>
      <c r="W76" s="22"/>
      <c r="X76" s="21"/>
      <c r="AA76" s="0" t="str">
        <f aca="false">IF(AM76="","",INDEX(CATÁLOGO!$D$5:$D$39,AM76))</f>
        <v/>
      </c>
      <c r="AB76" s="0" t="str">
        <f aca="false">IF(AM76="","",INDEX(CATÁLOGO!$E$5:$E$39,AM76))</f>
        <v/>
      </c>
      <c r="AC76" s="0" t="str">
        <f aca="false">IF(AB76="","",IF(ISNUMBER(AB76),AB76*AV76,AB76))</f>
        <v/>
      </c>
      <c r="AD76" s="0" t="str">
        <f aca="false">IF(AM76="","",INDEX(CATÁLOGO!$F$5:$F$39,AM76))</f>
        <v/>
      </c>
      <c r="AE76" s="0" t="str">
        <f aca="false">IF(AD76="","",IF(ISNUMBER(AD76),AD76*AV76,AD76))</f>
        <v/>
      </c>
      <c r="AF76" s="0" t="str">
        <f aca="false">IF(AM76="","",INDEX(CATÁLOGO!$G$5:$G$39,AM76))</f>
        <v/>
      </c>
      <c r="AG76" s="0" t="str">
        <f aca="false">IF(AF76="","",IF(ISNUMBER(AF76),AF76*AV76,AF76))</f>
        <v/>
      </c>
      <c r="AH76" s="0" t="str">
        <f aca="false">IF(E76="","",C76&amp;"|"&amp;D76)</f>
        <v/>
      </c>
      <c r="AI76" s="27" t="n">
        <f aca="false">IF(M76&lt;&gt;"Sí",0,SUMPRODUCT(MAX(($AH$5:AH75=AH76)*($M$5:M75="Sí")*ROW($AH$5:AH75))))</f>
        <v>0</v>
      </c>
      <c r="AJ76" s="0" t="str">
        <f aca="false">IF(M76&lt;&gt;"Sí","",IF(AL76=1,B76,INDEX($AJ:$AJ,AI76)))</f>
        <v/>
      </c>
      <c r="AK76" s="0" t="str">
        <f aca="false">IF(M76&lt;&gt;"Sí","",IF(AL76=1,E76,INDEX($AK:$AK,AI76)+E76))</f>
        <v/>
      </c>
      <c r="AL76" s="0" t="str">
        <f aca="false">IF(M76&lt;&gt;"Sí","",IF(AI76=0,1,IF(INDEX($AN:$AN,AI76)=0,1,IF(B76&gt;=EDATE(INDEX($AJ:$AJ,AI76),6),1,0))))</f>
        <v/>
      </c>
      <c r="AM76" s="0" t="str">
        <f aca="false">IF(D76="","",IFERROR(MATCH(D76,CATÁLOGO!$C$5:$C$39,0),""))</f>
        <v/>
      </c>
      <c r="AN76" s="0" t="str">
        <f aca="false">IF(M76&lt;&gt;"Sí","",IF(AND(ISNUMBER(AE76),AK76&gt;=AE76),0,1))</f>
        <v/>
      </c>
      <c r="AO76" s="0" t="str">
        <f aca="false">IF(OR(E76="",C76="",NOT(ISNUMBER(B76))),"",SUMIFS($E$6:$E$505,$C$6:$C$505,C76,$B$6:$B$505,"&gt;="&amp;DATE(YEAR(B76),MONTH(B76),1),$B$6:$B$505,"&lt;"&amp;DATE(YEAR(B76),MONTH(B76)+1,1)))</f>
        <v/>
      </c>
      <c r="AP76" s="0" t="str">
        <f aca="false">IF(C76="","",IFERROR(INDEX(CLIENTES!$M$6:$M$305,MATCH(C76,CLIENTES!$A$6:$A$305,0)),""))</f>
        <v/>
      </c>
      <c r="AQ76" s="27" t="n">
        <f aca="false">IF(AND(ISNUMBER(AO76),ISNUMBER(AP76)),IF(AND(AP76&gt;0,AO76&gt;AP76),1,0),0)</f>
        <v>0</v>
      </c>
      <c r="AR76" s="27" t="n">
        <f aca="false">IF(NOT(ISNUMBER(B76)),0,IF(B76&lt;MAX($B$5:B75),1,0))</f>
        <v>0</v>
      </c>
      <c r="AS76" s="0" t="str">
        <f aca="false">IF(C76="","",IFERROR(INDEX(CLIENTES!$H$6:$H$305,MATCH(C76,CLIENTES!$A$6:$A$305,0)),""))</f>
        <v/>
      </c>
      <c r="AT76" s="0" t="str">
        <f aca="false">IF(AND(LEFT(P76,5)="AVISO",T76&lt;&gt;"Presentado",ISNUMBER(Q76)),Q76,"")</f>
        <v/>
      </c>
      <c r="AU76" s="27" t="n">
        <f aca="false">IF(AND(D76="XVI - Activos virtuales (PSAV): operación de intercambio/transferencia",M76="Sí",ISNUMBER(AE76)),IF(AK76&gt;=AE76,1,0),0)</f>
        <v>0</v>
      </c>
      <c r="AV76" s="30" t="n">
        <f aca="false">IF(NOT(ISNUMBER(B76)),CONFIG!$B$4,IFERROR(INDEX(CONFIG!$I$5:$I$14,MATCH(IF(MONTH(B76)=1,YEAR(B76)-1,YEAR(B76)),CONFIG!$H$5:$H$14,0)),CONFIG!$B$4))</f>
        <v>117.31</v>
      </c>
      <c r="AW76" s="27" t="n">
        <f aca="false">IF(AND(LEFT(D76,4)="I - ",ISNUMBER(B76),C76&lt;&gt;""),SUMIFS($E$6:$E$505,$C$6:$C$505,C76,$D$6:$D$505,D76,$B$6:$B$505,"&gt;"&amp;(B76-1),$B$6:$B$505,"&lt;="&amp;B76),0)</f>
        <v>0</v>
      </c>
      <c r="AX76" s="0" t="str">
        <f aca="false">IF(E76="","",IF(AD76="Siempre","AVISO (siempre)",IF(AD76="No aplica","Sin Aviso (sólo preparas: Ley 17 XI)",IF(NOT(ISNUMBER(AE76)),"",IF(AA76&lt;&gt;"ACUMULA",IF(E76&gt;=AE76,IF(AND(D76="XVI - Activos virtuales (PSAV): cobro de contraprestación (comisión) por el servicio",COUNTIFS($C$6:$C$505,C76,$B$6:$B$505,"&gt;="&amp;INT(B76),$B$6:$B$505,"&lt;"&amp;(INT(B76)+1),$AU$6:$AU$505,1)&gt;0),"En el Aviso del inciso a) (R 31 Bis)","AVISO"),"—"),IF(M76&lt;&gt;"Sí","—",IF(AK76&gt;=AE76,IF(AK76=E76,"AVISO","AVISO (acumulado)"),"Acumulando")))))))</f>
        <v/>
      </c>
    </row>
    <row r="77" customFormat="false" ht="15" hidden="false" customHeight="false" outlineLevel="0" collapsed="false">
      <c r="A77" s="9" t="str">
        <f aca="false">IF(E77="","",ROW()-5)</f>
        <v/>
      </c>
      <c r="B77" s="20"/>
      <c r="C77" s="21"/>
      <c r="D77" s="21"/>
      <c r="E77" s="22"/>
      <c r="F77" s="22"/>
      <c r="G77" s="21"/>
      <c r="H77" s="21"/>
      <c r="I77" s="9" t="str">
        <f aca="false">IF(C77="","",IFERROR(INDEX(CLIENTES!$B$6:$B$305,MATCH(C77,CLIENTES!$A$6:$A$305,0)),"⚠ ID no registrado"))</f>
        <v/>
      </c>
      <c r="J77" s="9" t="str">
        <f aca="false">IF(C77="","",IFERROR(INDEX(CLIENTES!$Z$6:$Z$305,MATCH(C77,CLIENTES!$A$6:$A$305,0)),""))</f>
        <v/>
      </c>
      <c r="K77" s="9" t="str">
        <f aca="false">IF(E77="","",IF(AB77="Siempre","Sí",IF(ISNUMBER(AC77),IF(E77&gt;=AC77,"Sí",IF(AW77&gt;=AC77,"Sí (serie 24 h)","No")),"")))</f>
        <v/>
      </c>
      <c r="L77" s="9" t="str">
        <f aca="false">IF(E77="","",AA77)</f>
        <v/>
      </c>
      <c r="M77" s="9" t="str">
        <f aca="false">IF(E77="","",IF(AA77&lt;&gt;"ACUMULA","No aplica",IF(LEFT(K77,2)="Sí","Sí","No")))</f>
        <v/>
      </c>
      <c r="N77" s="23" t="str">
        <f aca="false">IF(M77="Sí",AJ77,"")</f>
        <v/>
      </c>
      <c r="O77" s="24" t="str">
        <f aca="false">IF(M77="Sí",AK77,"")</f>
        <v/>
      </c>
      <c r="P77" s="25" t="str">
        <f aca="false">IF(AND(LEFT(D77,6)="XIV - ",LEFT(AX77,5)="AVISO"),"Pedimento (R 16): no va al SPPLD",AX77)</f>
        <v/>
      </c>
      <c r="Q77" s="23" t="str">
        <f aca="false">IF(LEFT(P77,5)="AVISO",IF(ISNUMBER(B77),DATE(YEAR(B77),MONTH(B77)+1,17),"Falta fecha"),"")</f>
        <v/>
      </c>
      <c r="R77" s="9" t="str">
        <f aca="false">IF(OR(F77="",F77=0),"",IF(ISNUMBER(AG77),IF(F77&gt;=AG77,"PROHIBIDO","Dentro del límite"),"No aplica"))</f>
        <v/>
      </c>
      <c r="S77" s="26" t="str">
        <f aca="false">IF(E77="","",MID(IF(AQ77=1," · Excede el perfil declarado","")&amp;IF(H77="Sí"," · Paga un tercero","")&amp;IF(J77="Alto"," · Cliente de riesgo alto: DDR (RCG 23 Ter 3 y 4)","")&amp;IF(AND(AS77&lt;&gt;"",AS77&lt;&gt;"No",AS77&lt;&gt;0)," · PEP","")&amp;IF(R77="PROHIBIDO"," · Efectivo prohibido: no lo recibas (Art. 32)","")&amp;IF(AR77=1," · ⚠ Fecha fuera de orden","")&amp;IF(LEFT(I77,1)="⚠"," · ⚠ Cliente no registrado","")&amp;IF(D77=""," · ⚠ Falta la actividad","")&amp;IF(AND(LEFT(P77,5)="AVISO",W77="")," · Captura la cifra total con IVA para el Aviso","")&amp;IF(AND(ISNUMBER(W77),W77&lt;E77)," · ⚠ La cifra con IVA es menor que el monto sin IVA",""),4,400))</f>
        <v/>
      </c>
      <c r="T77" s="21"/>
      <c r="U77" s="20"/>
      <c r="V77" s="9" t="str">
        <f aca="false">IF(LEFT(P77,5)&lt;&gt;"AVISO","",IF(T77="Presentado",IF(AND(ISNUMBER(U77),ISNUMBER(Q77),U77&gt;Q77),"Presentado tarde","Presentado"),IF(NOT(ISNUMBER(Q77)),"Falta fecha",IF(Q77&lt;CONFIG!$B$6,"VENCIDO","Vence en "&amp;(Q77-CONFIG!$B$6)&amp;" días"))))</f>
        <v/>
      </c>
      <c r="W77" s="22"/>
      <c r="X77" s="21"/>
      <c r="AA77" s="0" t="str">
        <f aca="false">IF(AM77="","",INDEX(CATÁLOGO!$D$5:$D$39,AM77))</f>
        <v/>
      </c>
      <c r="AB77" s="0" t="str">
        <f aca="false">IF(AM77="","",INDEX(CATÁLOGO!$E$5:$E$39,AM77))</f>
        <v/>
      </c>
      <c r="AC77" s="0" t="str">
        <f aca="false">IF(AB77="","",IF(ISNUMBER(AB77),AB77*AV77,AB77))</f>
        <v/>
      </c>
      <c r="AD77" s="0" t="str">
        <f aca="false">IF(AM77="","",INDEX(CATÁLOGO!$F$5:$F$39,AM77))</f>
        <v/>
      </c>
      <c r="AE77" s="0" t="str">
        <f aca="false">IF(AD77="","",IF(ISNUMBER(AD77),AD77*AV77,AD77))</f>
        <v/>
      </c>
      <c r="AF77" s="0" t="str">
        <f aca="false">IF(AM77="","",INDEX(CATÁLOGO!$G$5:$G$39,AM77))</f>
        <v/>
      </c>
      <c r="AG77" s="0" t="str">
        <f aca="false">IF(AF77="","",IF(ISNUMBER(AF77),AF77*AV77,AF77))</f>
        <v/>
      </c>
      <c r="AH77" s="0" t="str">
        <f aca="false">IF(E77="","",C77&amp;"|"&amp;D77)</f>
        <v/>
      </c>
      <c r="AI77" s="27" t="n">
        <f aca="false">IF(M77&lt;&gt;"Sí",0,SUMPRODUCT(MAX(($AH$5:AH76=AH77)*($M$5:M76="Sí")*ROW($AH$5:AH76))))</f>
        <v>0</v>
      </c>
      <c r="AJ77" s="0" t="str">
        <f aca="false">IF(M77&lt;&gt;"Sí","",IF(AL77=1,B77,INDEX($AJ:$AJ,AI77)))</f>
        <v/>
      </c>
      <c r="AK77" s="0" t="str">
        <f aca="false">IF(M77&lt;&gt;"Sí","",IF(AL77=1,E77,INDEX($AK:$AK,AI77)+E77))</f>
        <v/>
      </c>
      <c r="AL77" s="0" t="str">
        <f aca="false">IF(M77&lt;&gt;"Sí","",IF(AI77=0,1,IF(INDEX($AN:$AN,AI77)=0,1,IF(B77&gt;=EDATE(INDEX($AJ:$AJ,AI77),6),1,0))))</f>
        <v/>
      </c>
      <c r="AM77" s="0" t="str">
        <f aca="false">IF(D77="","",IFERROR(MATCH(D77,CATÁLOGO!$C$5:$C$39,0),""))</f>
        <v/>
      </c>
      <c r="AN77" s="0" t="str">
        <f aca="false">IF(M77&lt;&gt;"Sí","",IF(AND(ISNUMBER(AE77),AK77&gt;=AE77),0,1))</f>
        <v/>
      </c>
      <c r="AO77" s="0" t="str">
        <f aca="false">IF(OR(E77="",C77="",NOT(ISNUMBER(B77))),"",SUMIFS($E$6:$E$505,$C$6:$C$505,C77,$B$6:$B$505,"&gt;="&amp;DATE(YEAR(B77),MONTH(B77),1),$B$6:$B$505,"&lt;"&amp;DATE(YEAR(B77),MONTH(B77)+1,1)))</f>
        <v/>
      </c>
      <c r="AP77" s="0" t="str">
        <f aca="false">IF(C77="","",IFERROR(INDEX(CLIENTES!$M$6:$M$305,MATCH(C77,CLIENTES!$A$6:$A$305,0)),""))</f>
        <v/>
      </c>
      <c r="AQ77" s="27" t="n">
        <f aca="false">IF(AND(ISNUMBER(AO77),ISNUMBER(AP77)),IF(AND(AP77&gt;0,AO77&gt;AP77),1,0),0)</f>
        <v>0</v>
      </c>
      <c r="AR77" s="27" t="n">
        <f aca="false">IF(NOT(ISNUMBER(B77)),0,IF(B77&lt;MAX($B$5:B76),1,0))</f>
        <v>0</v>
      </c>
      <c r="AS77" s="0" t="str">
        <f aca="false">IF(C77="","",IFERROR(INDEX(CLIENTES!$H$6:$H$305,MATCH(C77,CLIENTES!$A$6:$A$305,0)),""))</f>
        <v/>
      </c>
      <c r="AT77" s="0" t="str">
        <f aca="false">IF(AND(LEFT(P77,5)="AVISO",T77&lt;&gt;"Presentado",ISNUMBER(Q77)),Q77,"")</f>
        <v/>
      </c>
      <c r="AU77" s="27" t="n">
        <f aca="false">IF(AND(D77="XVI - Activos virtuales (PSAV): operación de intercambio/transferencia",M77="Sí",ISNUMBER(AE77)),IF(AK77&gt;=AE77,1,0),0)</f>
        <v>0</v>
      </c>
      <c r="AV77" s="30" t="n">
        <f aca="false">IF(NOT(ISNUMBER(B77)),CONFIG!$B$4,IFERROR(INDEX(CONFIG!$I$5:$I$14,MATCH(IF(MONTH(B77)=1,YEAR(B77)-1,YEAR(B77)),CONFIG!$H$5:$H$14,0)),CONFIG!$B$4))</f>
        <v>117.31</v>
      </c>
      <c r="AW77" s="27" t="n">
        <f aca="false">IF(AND(LEFT(D77,4)="I - ",ISNUMBER(B77),C77&lt;&gt;""),SUMIFS($E$6:$E$505,$C$6:$C$505,C77,$D$6:$D$505,D77,$B$6:$B$505,"&gt;"&amp;(B77-1),$B$6:$B$505,"&lt;="&amp;B77),0)</f>
        <v>0</v>
      </c>
      <c r="AX77" s="0" t="str">
        <f aca="false">IF(E77="","",IF(AD77="Siempre","AVISO (siempre)",IF(AD77="No aplica","Sin Aviso (sólo preparas: Ley 17 XI)",IF(NOT(ISNUMBER(AE77)),"",IF(AA77&lt;&gt;"ACUMULA",IF(E77&gt;=AE77,IF(AND(D77="XVI - Activos virtuales (PSAV): cobro de contraprestación (comisión) por el servicio",COUNTIFS($C$6:$C$505,C77,$B$6:$B$505,"&gt;="&amp;INT(B77),$B$6:$B$505,"&lt;"&amp;(INT(B77)+1),$AU$6:$AU$505,1)&gt;0),"En el Aviso del inciso a) (R 31 Bis)","AVISO"),"—"),IF(M77&lt;&gt;"Sí","—",IF(AK77&gt;=AE77,IF(AK77=E77,"AVISO","AVISO (acumulado)"),"Acumulando")))))))</f>
        <v/>
      </c>
    </row>
    <row r="78" customFormat="false" ht="15" hidden="false" customHeight="false" outlineLevel="0" collapsed="false">
      <c r="A78" s="9" t="str">
        <f aca="false">IF(E78="","",ROW()-5)</f>
        <v/>
      </c>
      <c r="B78" s="20"/>
      <c r="C78" s="21"/>
      <c r="D78" s="21"/>
      <c r="E78" s="22"/>
      <c r="F78" s="22"/>
      <c r="G78" s="21"/>
      <c r="H78" s="21"/>
      <c r="I78" s="9" t="str">
        <f aca="false">IF(C78="","",IFERROR(INDEX(CLIENTES!$B$6:$B$305,MATCH(C78,CLIENTES!$A$6:$A$305,0)),"⚠ ID no registrado"))</f>
        <v/>
      </c>
      <c r="J78" s="9" t="str">
        <f aca="false">IF(C78="","",IFERROR(INDEX(CLIENTES!$Z$6:$Z$305,MATCH(C78,CLIENTES!$A$6:$A$305,0)),""))</f>
        <v/>
      </c>
      <c r="K78" s="9" t="str">
        <f aca="false">IF(E78="","",IF(AB78="Siempre","Sí",IF(ISNUMBER(AC78),IF(E78&gt;=AC78,"Sí",IF(AW78&gt;=AC78,"Sí (serie 24 h)","No")),"")))</f>
        <v/>
      </c>
      <c r="L78" s="9" t="str">
        <f aca="false">IF(E78="","",AA78)</f>
        <v/>
      </c>
      <c r="M78" s="9" t="str">
        <f aca="false">IF(E78="","",IF(AA78&lt;&gt;"ACUMULA","No aplica",IF(LEFT(K78,2)="Sí","Sí","No")))</f>
        <v/>
      </c>
      <c r="N78" s="23" t="str">
        <f aca="false">IF(M78="Sí",AJ78,"")</f>
        <v/>
      </c>
      <c r="O78" s="24" t="str">
        <f aca="false">IF(M78="Sí",AK78,"")</f>
        <v/>
      </c>
      <c r="P78" s="25" t="str">
        <f aca="false">IF(AND(LEFT(D78,6)="XIV - ",LEFT(AX78,5)="AVISO"),"Pedimento (R 16): no va al SPPLD",AX78)</f>
        <v/>
      </c>
      <c r="Q78" s="23" t="str">
        <f aca="false">IF(LEFT(P78,5)="AVISO",IF(ISNUMBER(B78),DATE(YEAR(B78),MONTH(B78)+1,17),"Falta fecha"),"")</f>
        <v/>
      </c>
      <c r="R78" s="9" t="str">
        <f aca="false">IF(OR(F78="",F78=0),"",IF(ISNUMBER(AG78),IF(F78&gt;=AG78,"PROHIBIDO","Dentro del límite"),"No aplica"))</f>
        <v/>
      </c>
      <c r="S78" s="26" t="str">
        <f aca="false">IF(E78="","",MID(IF(AQ78=1," · Excede el perfil declarado","")&amp;IF(H78="Sí"," · Paga un tercero","")&amp;IF(J78="Alto"," · Cliente de riesgo alto: DDR (RCG 23 Ter 3 y 4)","")&amp;IF(AND(AS78&lt;&gt;"",AS78&lt;&gt;"No",AS78&lt;&gt;0)," · PEP","")&amp;IF(R78="PROHIBIDO"," · Efectivo prohibido: no lo recibas (Art. 32)","")&amp;IF(AR78=1," · ⚠ Fecha fuera de orden","")&amp;IF(LEFT(I78,1)="⚠"," · ⚠ Cliente no registrado","")&amp;IF(D78=""," · ⚠ Falta la actividad","")&amp;IF(AND(LEFT(P78,5)="AVISO",W78="")," · Captura la cifra total con IVA para el Aviso","")&amp;IF(AND(ISNUMBER(W78),W78&lt;E78)," · ⚠ La cifra con IVA es menor que el monto sin IVA",""),4,400))</f>
        <v/>
      </c>
      <c r="T78" s="21"/>
      <c r="U78" s="20"/>
      <c r="V78" s="9" t="str">
        <f aca="false">IF(LEFT(P78,5)&lt;&gt;"AVISO","",IF(T78="Presentado",IF(AND(ISNUMBER(U78),ISNUMBER(Q78),U78&gt;Q78),"Presentado tarde","Presentado"),IF(NOT(ISNUMBER(Q78)),"Falta fecha",IF(Q78&lt;CONFIG!$B$6,"VENCIDO","Vence en "&amp;(Q78-CONFIG!$B$6)&amp;" días"))))</f>
        <v/>
      </c>
      <c r="W78" s="22"/>
      <c r="X78" s="21"/>
      <c r="AA78" s="0" t="str">
        <f aca="false">IF(AM78="","",INDEX(CATÁLOGO!$D$5:$D$39,AM78))</f>
        <v/>
      </c>
      <c r="AB78" s="0" t="str">
        <f aca="false">IF(AM78="","",INDEX(CATÁLOGO!$E$5:$E$39,AM78))</f>
        <v/>
      </c>
      <c r="AC78" s="0" t="str">
        <f aca="false">IF(AB78="","",IF(ISNUMBER(AB78),AB78*AV78,AB78))</f>
        <v/>
      </c>
      <c r="AD78" s="0" t="str">
        <f aca="false">IF(AM78="","",INDEX(CATÁLOGO!$F$5:$F$39,AM78))</f>
        <v/>
      </c>
      <c r="AE78" s="0" t="str">
        <f aca="false">IF(AD78="","",IF(ISNUMBER(AD78),AD78*AV78,AD78))</f>
        <v/>
      </c>
      <c r="AF78" s="0" t="str">
        <f aca="false">IF(AM78="","",INDEX(CATÁLOGO!$G$5:$G$39,AM78))</f>
        <v/>
      </c>
      <c r="AG78" s="0" t="str">
        <f aca="false">IF(AF78="","",IF(ISNUMBER(AF78),AF78*AV78,AF78))</f>
        <v/>
      </c>
      <c r="AH78" s="0" t="str">
        <f aca="false">IF(E78="","",C78&amp;"|"&amp;D78)</f>
        <v/>
      </c>
      <c r="AI78" s="27" t="n">
        <f aca="false">IF(M78&lt;&gt;"Sí",0,SUMPRODUCT(MAX(($AH$5:AH77=AH78)*($M$5:M77="Sí")*ROW($AH$5:AH77))))</f>
        <v>0</v>
      </c>
      <c r="AJ78" s="0" t="str">
        <f aca="false">IF(M78&lt;&gt;"Sí","",IF(AL78=1,B78,INDEX($AJ:$AJ,AI78)))</f>
        <v/>
      </c>
      <c r="AK78" s="0" t="str">
        <f aca="false">IF(M78&lt;&gt;"Sí","",IF(AL78=1,E78,INDEX($AK:$AK,AI78)+E78))</f>
        <v/>
      </c>
      <c r="AL78" s="0" t="str">
        <f aca="false">IF(M78&lt;&gt;"Sí","",IF(AI78=0,1,IF(INDEX($AN:$AN,AI78)=0,1,IF(B78&gt;=EDATE(INDEX($AJ:$AJ,AI78),6),1,0))))</f>
        <v/>
      </c>
      <c r="AM78" s="0" t="str">
        <f aca="false">IF(D78="","",IFERROR(MATCH(D78,CATÁLOGO!$C$5:$C$39,0),""))</f>
        <v/>
      </c>
      <c r="AN78" s="0" t="str">
        <f aca="false">IF(M78&lt;&gt;"Sí","",IF(AND(ISNUMBER(AE78),AK78&gt;=AE78),0,1))</f>
        <v/>
      </c>
      <c r="AO78" s="0" t="str">
        <f aca="false">IF(OR(E78="",C78="",NOT(ISNUMBER(B78))),"",SUMIFS($E$6:$E$505,$C$6:$C$505,C78,$B$6:$B$505,"&gt;="&amp;DATE(YEAR(B78),MONTH(B78),1),$B$6:$B$505,"&lt;"&amp;DATE(YEAR(B78),MONTH(B78)+1,1)))</f>
        <v/>
      </c>
      <c r="AP78" s="0" t="str">
        <f aca="false">IF(C78="","",IFERROR(INDEX(CLIENTES!$M$6:$M$305,MATCH(C78,CLIENTES!$A$6:$A$305,0)),""))</f>
        <v/>
      </c>
      <c r="AQ78" s="27" t="n">
        <f aca="false">IF(AND(ISNUMBER(AO78),ISNUMBER(AP78)),IF(AND(AP78&gt;0,AO78&gt;AP78),1,0),0)</f>
        <v>0</v>
      </c>
      <c r="AR78" s="27" t="n">
        <f aca="false">IF(NOT(ISNUMBER(B78)),0,IF(B78&lt;MAX($B$5:B77),1,0))</f>
        <v>0</v>
      </c>
      <c r="AS78" s="0" t="str">
        <f aca="false">IF(C78="","",IFERROR(INDEX(CLIENTES!$H$6:$H$305,MATCH(C78,CLIENTES!$A$6:$A$305,0)),""))</f>
        <v/>
      </c>
      <c r="AT78" s="0" t="str">
        <f aca="false">IF(AND(LEFT(P78,5)="AVISO",T78&lt;&gt;"Presentado",ISNUMBER(Q78)),Q78,"")</f>
        <v/>
      </c>
      <c r="AU78" s="27" t="n">
        <f aca="false">IF(AND(D78="XVI - Activos virtuales (PSAV): operación de intercambio/transferencia",M78="Sí",ISNUMBER(AE78)),IF(AK78&gt;=AE78,1,0),0)</f>
        <v>0</v>
      </c>
      <c r="AV78" s="30" t="n">
        <f aca="false">IF(NOT(ISNUMBER(B78)),CONFIG!$B$4,IFERROR(INDEX(CONFIG!$I$5:$I$14,MATCH(IF(MONTH(B78)=1,YEAR(B78)-1,YEAR(B78)),CONFIG!$H$5:$H$14,0)),CONFIG!$B$4))</f>
        <v>117.31</v>
      </c>
      <c r="AW78" s="27" t="n">
        <f aca="false">IF(AND(LEFT(D78,4)="I - ",ISNUMBER(B78),C78&lt;&gt;""),SUMIFS($E$6:$E$505,$C$6:$C$505,C78,$D$6:$D$505,D78,$B$6:$B$505,"&gt;"&amp;(B78-1),$B$6:$B$505,"&lt;="&amp;B78),0)</f>
        <v>0</v>
      </c>
      <c r="AX78" s="0" t="str">
        <f aca="false">IF(E78="","",IF(AD78="Siempre","AVISO (siempre)",IF(AD78="No aplica","Sin Aviso (sólo preparas: Ley 17 XI)",IF(NOT(ISNUMBER(AE78)),"",IF(AA78&lt;&gt;"ACUMULA",IF(E78&gt;=AE78,IF(AND(D78="XVI - Activos virtuales (PSAV): cobro de contraprestación (comisión) por el servicio",COUNTIFS($C$6:$C$505,C78,$B$6:$B$505,"&gt;="&amp;INT(B78),$B$6:$B$505,"&lt;"&amp;(INT(B78)+1),$AU$6:$AU$505,1)&gt;0),"En el Aviso del inciso a) (R 31 Bis)","AVISO"),"—"),IF(M78&lt;&gt;"Sí","—",IF(AK78&gt;=AE78,IF(AK78=E78,"AVISO","AVISO (acumulado)"),"Acumulando")))))))</f>
        <v/>
      </c>
    </row>
    <row r="79" customFormat="false" ht="15" hidden="false" customHeight="false" outlineLevel="0" collapsed="false">
      <c r="A79" s="9" t="str">
        <f aca="false">IF(E79="","",ROW()-5)</f>
        <v/>
      </c>
      <c r="B79" s="20"/>
      <c r="C79" s="21"/>
      <c r="D79" s="21"/>
      <c r="E79" s="22"/>
      <c r="F79" s="22"/>
      <c r="G79" s="21"/>
      <c r="H79" s="21"/>
      <c r="I79" s="9" t="str">
        <f aca="false">IF(C79="","",IFERROR(INDEX(CLIENTES!$B$6:$B$305,MATCH(C79,CLIENTES!$A$6:$A$305,0)),"⚠ ID no registrado"))</f>
        <v/>
      </c>
      <c r="J79" s="9" t="str">
        <f aca="false">IF(C79="","",IFERROR(INDEX(CLIENTES!$Z$6:$Z$305,MATCH(C79,CLIENTES!$A$6:$A$305,0)),""))</f>
        <v/>
      </c>
      <c r="K79" s="9" t="str">
        <f aca="false">IF(E79="","",IF(AB79="Siempre","Sí",IF(ISNUMBER(AC79),IF(E79&gt;=AC79,"Sí",IF(AW79&gt;=AC79,"Sí (serie 24 h)","No")),"")))</f>
        <v/>
      </c>
      <c r="L79" s="9" t="str">
        <f aca="false">IF(E79="","",AA79)</f>
        <v/>
      </c>
      <c r="M79" s="9" t="str">
        <f aca="false">IF(E79="","",IF(AA79&lt;&gt;"ACUMULA","No aplica",IF(LEFT(K79,2)="Sí","Sí","No")))</f>
        <v/>
      </c>
      <c r="N79" s="23" t="str">
        <f aca="false">IF(M79="Sí",AJ79,"")</f>
        <v/>
      </c>
      <c r="O79" s="24" t="str">
        <f aca="false">IF(M79="Sí",AK79,"")</f>
        <v/>
      </c>
      <c r="P79" s="25" t="str">
        <f aca="false">IF(AND(LEFT(D79,6)="XIV - ",LEFT(AX79,5)="AVISO"),"Pedimento (R 16): no va al SPPLD",AX79)</f>
        <v/>
      </c>
      <c r="Q79" s="23" t="str">
        <f aca="false">IF(LEFT(P79,5)="AVISO",IF(ISNUMBER(B79),DATE(YEAR(B79),MONTH(B79)+1,17),"Falta fecha"),"")</f>
        <v/>
      </c>
      <c r="R79" s="9" t="str">
        <f aca="false">IF(OR(F79="",F79=0),"",IF(ISNUMBER(AG79),IF(F79&gt;=AG79,"PROHIBIDO","Dentro del límite"),"No aplica"))</f>
        <v/>
      </c>
      <c r="S79" s="26" t="str">
        <f aca="false">IF(E79="","",MID(IF(AQ79=1," · Excede el perfil declarado","")&amp;IF(H79="Sí"," · Paga un tercero","")&amp;IF(J79="Alto"," · Cliente de riesgo alto: DDR (RCG 23 Ter 3 y 4)","")&amp;IF(AND(AS79&lt;&gt;"",AS79&lt;&gt;"No",AS79&lt;&gt;0)," · PEP","")&amp;IF(R79="PROHIBIDO"," · Efectivo prohibido: no lo recibas (Art. 32)","")&amp;IF(AR79=1," · ⚠ Fecha fuera de orden","")&amp;IF(LEFT(I79,1)="⚠"," · ⚠ Cliente no registrado","")&amp;IF(D79=""," · ⚠ Falta la actividad","")&amp;IF(AND(LEFT(P79,5)="AVISO",W79="")," · Captura la cifra total con IVA para el Aviso","")&amp;IF(AND(ISNUMBER(W79),W79&lt;E79)," · ⚠ La cifra con IVA es menor que el monto sin IVA",""),4,400))</f>
        <v/>
      </c>
      <c r="T79" s="21"/>
      <c r="U79" s="20"/>
      <c r="V79" s="9" t="str">
        <f aca="false">IF(LEFT(P79,5)&lt;&gt;"AVISO","",IF(T79="Presentado",IF(AND(ISNUMBER(U79),ISNUMBER(Q79),U79&gt;Q79),"Presentado tarde","Presentado"),IF(NOT(ISNUMBER(Q79)),"Falta fecha",IF(Q79&lt;CONFIG!$B$6,"VENCIDO","Vence en "&amp;(Q79-CONFIG!$B$6)&amp;" días"))))</f>
        <v/>
      </c>
      <c r="W79" s="22"/>
      <c r="X79" s="21"/>
      <c r="AA79" s="0" t="str">
        <f aca="false">IF(AM79="","",INDEX(CATÁLOGO!$D$5:$D$39,AM79))</f>
        <v/>
      </c>
      <c r="AB79" s="0" t="str">
        <f aca="false">IF(AM79="","",INDEX(CATÁLOGO!$E$5:$E$39,AM79))</f>
        <v/>
      </c>
      <c r="AC79" s="0" t="str">
        <f aca="false">IF(AB79="","",IF(ISNUMBER(AB79),AB79*AV79,AB79))</f>
        <v/>
      </c>
      <c r="AD79" s="0" t="str">
        <f aca="false">IF(AM79="","",INDEX(CATÁLOGO!$F$5:$F$39,AM79))</f>
        <v/>
      </c>
      <c r="AE79" s="0" t="str">
        <f aca="false">IF(AD79="","",IF(ISNUMBER(AD79),AD79*AV79,AD79))</f>
        <v/>
      </c>
      <c r="AF79" s="0" t="str">
        <f aca="false">IF(AM79="","",INDEX(CATÁLOGO!$G$5:$G$39,AM79))</f>
        <v/>
      </c>
      <c r="AG79" s="0" t="str">
        <f aca="false">IF(AF79="","",IF(ISNUMBER(AF79),AF79*AV79,AF79))</f>
        <v/>
      </c>
      <c r="AH79" s="0" t="str">
        <f aca="false">IF(E79="","",C79&amp;"|"&amp;D79)</f>
        <v/>
      </c>
      <c r="AI79" s="27" t="n">
        <f aca="false">IF(M79&lt;&gt;"Sí",0,SUMPRODUCT(MAX(($AH$5:AH78=AH79)*($M$5:M78="Sí")*ROW($AH$5:AH78))))</f>
        <v>0</v>
      </c>
      <c r="AJ79" s="0" t="str">
        <f aca="false">IF(M79&lt;&gt;"Sí","",IF(AL79=1,B79,INDEX($AJ:$AJ,AI79)))</f>
        <v/>
      </c>
      <c r="AK79" s="0" t="str">
        <f aca="false">IF(M79&lt;&gt;"Sí","",IF(AL79=1,E79,INDEX($AK:$AK,AI79)+E79))</f>
        <v/>
      </c>
      <c r="AL79" s="0" t="str">
        <f aca="false">IF(M79&lt;&gt;"Sí","",IF(AI79=0,1,IF(INDEX($AN:$AN,AI79)=0,1,IF(B79&gt;=EDATE(INDEX($AJ:$AJ,AI79),6),1,0))))</f>
        <v/>
      </c>
      <c r="AM79" s="0" t="str">
        <f aca="false">IF(D79="","",IFERROR(MATCH(D79,CATÁLOGO!$C$5:$C$39,0),""))</f>
        <v/>
      </c>
      <c r="AN79" s="0" t="str">
        <f aca="false">IF(M79&lt;&gt;"Sí","",IF(AND(ISNUMBER(AE79),AK79&gt;=AE79),0,1))</f>
        <v/>
      </c>
      <c r="AO79" s="0" t="str">
        <f aca="false">IF(OR(E79="",C79="",NOT(ISNUMBER(B79))),"",SUMIFS($E$6:$E$505,$C$6:$C$505,C79,$B$6:$B$505,"&gt;="&amp;DATE(YEAR(B79),MONTH(B79),1),$B$6:$B$505,"&lt;"&amp;DATE(YEAR(B79),MONTH(B79)+1,1)))</f>
        <v/>
      </c>
      <c r="AP79" s="0" t="str">
        <f aca="false">IF(C79="","",IFERROR(INDEX(CLIENTES!$M$6:$M$305,MATCH(C79,CLIENTES!$A$6:$A$305,0)),""))</f>
        <v/>
      </c>
      <c r="AQ79" s="27" t="n">
        <f aca="false">IF(AND(ISNUMBER(AO79),ISNUMBER(AP79)),IF(AND(AP79&gt;0,AO79&gt;AP79),1,0),0)</f>
        <v>0</v>
      </c>
      <c r="AR79" s="27" t="n">
        <f aca="false">IF(NOT(ISNUMBER(B79)),0,IF(B79&lt;MAX($B$5:B78),1,0))</f>
        <v>0</v>
      </c>
      <c r="AS79" s="0" t="str">
        <f aca="false">IF(C79="","",IFERROR(INDEX(CLIENTES!$H$6:$H$305,MATCH(C79,CLIENTES!$A$6:$A$305,0)),""))</f>
        <v/>
      </c>
      <c r="AT79" s="0" t="str">
        <f aca="false">IF(AND(LEFT(P79,5)="AVISO",T79&lt;&gt;"Presentado",ISNUMBER(Q79)),Q79,"")</f>
        <v/>
      </c>
      <c r="AU79" s="27" t="n">
        <f aca="false">IF(AND(D79="XVI - Activos virtuales (PSAV): operación de intercambio/transferencia",M79="Sí",ISNUMBER(AE79)),IF(AK79&gt;=AE79,1,0),0)</f>
        <v>0</v>
      </c>
      <c r="AV79" s="30" t="n">
        <f aca="false">IF(NOT(ISNUMBER(B79)),CONFIG!$B$4,IFERROR(INDEX(CONFIG!$I$5:$I$14,MATCH(IF(MONTH(B79)=1,YEAR(B79)-1,YEAR(B79)),CONFIG!$H$5:$H$14,0)),CONFIG!$B$4))</f>
        <v>117.31</v>
      </c>
      <c r="AW79" s="27" t="n">
        <f aca="false">IF(AND(LEFT(D79,4)="I - ",ISNUMBER(B79),C79&lt;&gt;""),SUMIFS($E$6:$E$505,$C$6:$C$505,C79,$D$6:$D$505,D79,$B$6:$B$505,"&gt;"&amp;(B79-1),$B$6:$B$505,"&lt;="&amp;B79),0)</f>
        <v>0</v>
      </c>
      <c r="AX79" s="0" t="str">
        <f aca="false">IF(E79="","",IF(AD79="Siempre","AVISO (siempre)",IF(AD79="No aplica","Sin Aviso (sólo preparas: Ley 17 XI)",IF(NOT(ISNUMBER(AE79)),"",IF(AA79&lt;&gt;"ACUMULA",IF(E79&gt;=AE79,IF(AND(D79="XVI - Activos virtuales (PSAV): cobro de contraprestación (comisión) por el servicio",COUNTIFS($C$6:$C$505,C79,$B$6:$B$505,"&gt;="&amp;INT(B79),$B$6:$B$505,"&lt;"&amp;(INT(B79)+1),$AU$6:$AU$505,1)&gt;0),"En el Aviso del inciso a) (R 31 Bis)","AVISO"),"—"),IF(M79&lt;&gt;"Sí","—",IF(AK79&gt;=AE79,IF(AK79=E79,"AVISO","AVISO (acumulado)"),"Acumulando")))))))</f>
        <v/>
      </c>
    </row>
    <row r="80" customFormat="false" ht="15" hidden="false" customHeight="false" outlineLevel="0" collapsed="false">
      <c r="A80" s="9" t="str">
        <f aca="false">IF(E80="","",ROW()-5)</f>
        <v/>
      </c>
      <c r="B80" s="20"/>
      <c r="C80" s="21"/>
      <c r="D80" s="21"/>
      <c r="E80" s="22"/>
      <c r="F80" s="22"/>
      <c r="G80" s="21"/>
      <c r="H80" s="21"/>
      <c r="I80" s="9" t="str">
        <f aca="false">IF(C80="","",IFERROR(INDEX(CLIENTES!$B$6:$B$305,MATCH(C80,CLIENTES!$A$6:$A$305,0)),"⚠ ID no registrado"))</f>
        <v/>
      </c>
      <c r="J80" s="9" t="str">
        <f aca="false">IF(C80="","",IFERROR(INDEX(CLIENTES!$Z$6:$Z$305,MATCH(C80,CLIENTES!$A$6:$A$305,0)),""))</f>
        <v/>
      </c>
      <c r="K80" s="9" t="str">
        <f aca="false">IF(E80="","",IF(AB80="Siempre","Sí",IF(ISNUMBER(AC80),IF(E80&gt;=AC80,"Sí",IF(AW80&gt;=AC80,"Sí (serie 24 h)","No")),"")))</f>
        <v/>
      </c>
      <c r="L80" s="9" t="str">
        <f aca="false">IF(E80="","",AA80)</f>
        <v/>
      </c>
      <c r="M80" s="9" t="str">
        <f aca="false">IF(E80="","",IF(AA80&lt;&gt;"ACUMULA","No aplica",IF(LEFT(K80,2)="Sí","Sí","No")))</f>
        <v/>
      </c>
      <c r="N80" s="23" t="str">
        <f aca="false">IF(M80="Sí",AJ80,"")</f>
        <v/>
      </c>
      <c r="O80" s="24" t="str">
        <f aca="false">IF(M80="Sí",AK80,"")</f>
        <v/>
      </c>
      <c r="P80" s="25" t="str">
        <f aca="false">IF(AND(LEFT(D80,6)="XIV - ",LEFT(AX80,5)="AVISO"),"Pedimento (R 16): no va al SPPLD",AX80)</f>
        <v/>
      </c>
      <c r="Q80" s="23" t="str">
        <f aca="false">IF(LEFT(P80,5)="AVISO",IF(ISNUMBER(B80),DATE(YEAR(B80),MONTH(B80)+1,17),"Falta fecha"),"")</f>
        <v/>
      </c>
      <c r="R80" s="9" t="str">
        <f aca="false">IF(OR(F80="",F80=0),"",IF(ISNUMBER(AG80),IF(F80&gt;=AG80,"PROHIBIDO","Dentro del límite"),"No aplica"))</f>
        <v/>
      </c>
      <c r="S80" s="26" t="str">
        <f aca="false">IF(E80="","",MID(IF(AQ80=1," · Excede el perfil declarado","")&amp;IF(H80="Sí"," · Paga un tercero","")&amp;IF(J80="Alto"," · Cliente de riesgo alto: DDR (RCG 23 Ter 3 y 4)","")&amp;IF(AND(AS80&lt;&gt;"",AS80&lt;&gt;"No",AS80&lt;&gt;0)," · PEP","")&amp;IF(R80="PROHIBIDO"," · Efectivo prohibido: no lo recibas (Art. 32)","")&amp;IF(AR80=1," · ⚠ Fecha fuera de orden","")&amp;IF(LEFT(I80,1)="⚠"," · ⚠ Cliente no registrado","")&amp;IF(D80=""," · ⚠ Falta la actividad","")&amp;IF(AND(LEFT(P80,5)="AVISO",W80="")," · Captura la cifra total con IVA para el Aviso","")&amp;IF(AND(ISNUMBER(W80),W80&lt;E80)," · ⚠ La cifra con IVA es menor que el monto sin IVA",""),4,400))</f>
        <v/>
      </c>
      <c r="T80" s="21"/>
      <c r="U80" s="20"/>
      <c r="V80" s="9" t="str">
        <f aca="false">IF(LEFT(P80,5)&lt;&gt;"AVISO","",IF(T80="Presentado",IF(AND(ISNUMBER(U80),ISNUMBER(Q80),U80&gt;Q80),"Presentado tarde","Presentado"),IF(NOT(ISNUMBER(Q80)),"Falta fecha",IF(Q80&lt;CONFIG!$B$6,"VENCIDO","Vence en "&amp;(Q80-CONFIG!$B$6)&amp;" días"))))</f>
        <v/>
      </c>
      <c r="W80" s="22"/>
      <c r="X80" s="21"/>
      <c r="AA80" s="0" t="str">
        <f aca="false">IF(AM80="","",INDEX(CATÁLOGO!$D$5:$D$39,AM80))</f>
        <v/>
      </c>
      <c r="AB80" s="0" t="str">
        <f aca="false">IF(AM80="","",INDEX(CATÁLOGO!$E$5:$E$39,AM80))</f>
        <v/>
      </c>
      <c r="AC80" s="0" t="str">
        <f aca="false">IF(AB80="","",IF(ISNUMBER(AB80),AB80*AV80,AB80))</f>
        <v/>
      </c>
      <c r="AD80" s="0" t="str">
        <f aca="false">IF(AM80="","",INDEX(CATÁLOGO!$F$5:$F$39,AM80))</f>
        <v/>
      </c>
      <c r="AE80" s="0" t="str">
        <f aca="false">IF(AD80="","",IF(ISNUMBER(AD80),AD80*AV80,AD80))</f>
        <v/>
      </c>
      <c r="AF80" s="0" t="str">
        <f aca="false">IF(AM80="","",INDEX(CATÁLOGO!$G$5:$G$39,AM80))</f>
        <v/>
      </c>
      <c r="AG80" s="0" t="str">
        <f aca="false">IF(AF80="","",IF(ISNUMBER(AF80),AF80*AV80,AF80))</f>
        <v/>
      </c>
      <c r="AH80" s="0" t="str">
        <f aca="false">IF(E80="","",C80&amp;"|"&amp;D80)</f>
        <v/>
      </c>
      <c r="AI80" s="27" t="n">
        <f aca="false">IF(M80&lt;&gt;"Sí",0,SUMPRODUCT(MAX(($AH$5:AH79=AH80)*($M$5:M79="Sí")*ROW($AH$5:AH79))))</f>
        <v>0</v>
      </c>
      <c r="AJ80" s="0" t="str">
        <f aca="false">IF(M80&lt;&gt;"Sí","",IF(AL80=1,B80,INDEX($AJ:$AJ,AI80)))</f>
        <v/>
      </c>
      <c r="AK80" s="0" t="str">
        <f aca="false">IF(M80&lt;&gt;"Sí","",IF(AL80=1,E80,INDEX($AK:$AK,AI80)+E80))</f>
        <v/>
      </c>
      <c r="AL80" s="0" t="str">
        <f aca="false">IF(M80&lt;&gt;"Sí","",IF(AI80=0,1,IF(INDEX($AN:$AN,AI80)=0,1,IF(B80&gt;=EDATE(INDEX($AJ:$AJ,AI80),6),1,0))))</f>
        <v/>
      </c>
      <c r="AM80" s="0" t="str">
        <f aca="false">IF(D80="","",IFERROR(MATCH(D80,CATÁLOGO!$C$5:$C$39,0),""))</f>
        <v/>
      </c>
      <c r="AN80" s="0" t="str">
        <f aca="false">IF(M80&lt;&gt;"Sí","",IF(AND(ISNUMBER(AE80),AK80&gt;=AE80),0,1))</f>
        <v/>
      </c>
      <c r="AO80" s="0" t="str">
        <f aca="false">IF(OR(E80="",C80="",NOT(ISNUMBER(B80))),"",SUMIFS($E$6:$E$505,$C$6:$C$505,C80,$B$6:$B$505,"&gt;="&amp;DATE(YEAR(B80),MONTH(B80),1),$B$6:$B$505,"&lt;"&amp;DATE(YEAR(B80),MONTH(B80)+1,1)))</f>
        <v/>
      </c>
      <c r="AP80" s="0" t="str">
        <f aca="false">IF(C80="","",IFERROR(INDEX(CLIENTES!$M$6:$M$305,MATCH(C80,CLIENTES!$A$6:$A$305,0)),""))</f>
        <v/>
      </c>
      <c r="AQ80" s="27" t="n">
        <f aca="false">IF(AND(ISNUMBER(AO80),ISNUMBER(AP80)),IF(AND(AP80&gt;0,AO80&gt;AP80),1,0),0)</f>
        <v>0</v>
      </c>
      <c r="AR80" s="27" t="n">
        <f aca="false">IF(NOT(ISNUMBER(B80)),0,IF(B80&lt;MAX($B$5:B79),1,0))</f>
        <v>0</v>
      </c>
      <c r="AS80" s="0" t="str">
        <f aca="false">IF(C80="","",IFERROR(INDEX(CLIENTES!$H$6:$H$305,MATCH(C80,CLIENTES!$A$6:$A$305,0)),""))</f>
        <v/>
      </c>
      <c r="AT80" s="0" t="str">
        <f aca="false">IF(AND(LEFT(P80,5)="AVISO",T80&lt;&gt;"Presentado",ISNUMBER(Q80)),Q80,"")</f>
        <v/>
      </c>
      <c r="AU80" s="27" t="n">
        <f aca="false">IF(AND(D80="XVI - Activos virtuales (PSAV): operación de intercambio/transferencia",M80="Sí",ISNUMBER(AE80)),IF(AK80&gt;=AE80,1,0),0)</f>
        <v>0</v>
      </c>
      <c r="AV80" s="30" t="n">
        <f aca="false">IF(NOT(ISNUMBER(B80)),CONFIG!$B$4,IFERROR(INDEX(CONFIG!$I$5:$I$14,MATCH(IF(MONTH(B80)=1,YEAR(B80)-1,YEAR(B80)),CONFIG!$H$5:$H$14,0)),CONFIG!$B$4))</f>
        <v>117.31</v>
      </c>
      <c r="AW80" s="27" t="n">
        <f aca="false">IF(AND(LEFT(D80,4)="I - ",ISNUMBER(B80),C80&lt;&gt;""),SUMIFS($E$6:$E$505,$C$6:$C$505,C80,$D$6:$D$505,D80,$B$6:$B$505,"&gt;"&amp;(B80-1),$B$6:$B$505,"&lt;="&amp;B80),0)</f>
        <v>0</v>
      </c>
      <c r="AX80" s="0" t="str">
        <f aca="false">IF(E80="","",IF(AD80="Siempre","AVISO (siempre)",IF(AD80="No aplica","Sin Aviso (sólo preparas: Ley 17 XI)",IF(NOT(ISNUMBER(AE80)),"",IF(AA80&lt;&gt;"ACUMULA",IF(E80&gt;=AE80,IF(AND(D80="XVI - Activos virtuales (PSAV): cobro de contraprestación (comisión) por el servicio",COUNTIFS($C$6:$C$505,C80,$B$6:$B$505,"&gt;="&amp;INT(B80),$B$6:$B$505,"&lt;"&amp;(INT(B80)+1),$AU$6:$AU$505,1)&gt;0),"En el Aviso del inciso a) (R 31 Bis)","AVISO"),"—"),IF(M80&lt;&gt;"Sí","—",IF(AK80&gt;=AE80,IF(AK80=E80,"AVISO","AVISO (acumulado)"),"Acumulando")))))))</f>
        <v/>
      </c>
    </row>
    <row r="81" customFormat="false" ht="15" hidden="false" customHeight="false" outlineLevel="0" collapsed="false">
      <c r="A81" s="9" t="str">
        <f aca="false">IF(E81="","",ROW()-5)</f>
        <v/>
      </c>
      <c r="B81" s="20"/>
      <c r="C81" s="21"/>
      <c r="D81" s="21"/>
      <c r="E81" s="22"/>
      <c r="F81" s="22"/>
      <c r="G81" s="21"/>
      <c r="H81" s="21"/>
      <c r="I81" s="9" t="str">
        <f aca="false">IF(C81="","",IFERROR(INDEX(CLIENTES!$B$6:$B$305,MATCH(C81,CLIENTES!$A$6:$A$305,0)),"⚠ ID no registrado"))</f>
        <v/>
      </c>
      <c r="J81" s="9" t="str">
        <f aca="false">IF(C81="","",IFERROR(INDEX(CLIENTES!$Z$6:$Z$305,MATCH(C81,CLIENTES!$A$6:$A$305,0)),""))</f>
        <v/>
      </c>
      <c r="K81" s="9" t="str">
        <f aca="false">IF(E81="","",IF(AB81="Siempre","Sí",IF(ISNUMBER(AC81),IF(E81&gt;=AC81,"Sí",IF(AW81&gt;=AC81,"Sí (serie 24 h)","No")),"")))</f>
        <v/>
      </c>
      <c r="L81" s="9" t="str">
        <f aca="false">IF(E81="","",AA81)</f>
        <v/>
      </c>
      <c r="M81" s="9" t="str">
        <f aca="false">IF(E81="","",IF(AA81&lt;&gt;"ACUMULA","No aplica",IF(LEFT(K81,2)="Sí","Sí","No")))</f>
        <v/>
      </c>
      <c r="N81" s="23" t="str">
        <f aca="false">IF(M81="Sí",AJ81,"")</f>
        <v/>
      </c>
      <c r="O81" s="24" t="str">
        <f aca="false">IF(M81="Sí",AK81,"")</f>
        <v/>
      </c>
      <c r="P81" s="25" t="str">
        <f aca="false">IF(AND(LEFT(D81,6)="XIV - ",LEFT(AX81,5)="AVISO"),"Pedimento (R 16): no va al SPPLD",AX81)</f>
        <v/>
      </c>
      <c r="Q81" s="23" t="str">
        <f aca="false">IF(LEFT(P81,5)="AVISO",IF(ISNUMBER(B81),DATE(YEAR(B81),MONTH(B81)+1,17),"Falta fecha"),"")</f>
        <v/>
      </c>
      <c r="R81" s="9" t="str">
        <f aca="false">IF(OR(F81="",F81=0),"",IF(ISNUMBER(AG81),IF(F81&gt;=AG81,"PROHIBIDO","Dentro del límite"),"No aplica"))</f>
        <v/>
      </c>
      <c r="S81" s="26" t="str">
        <f aca="false">IF(E81="","",MID(IF(AQ81=1," · Excede el perfil declarado","")&amp;IF(H81="Sí"," · Paga un tercero","")&amp;IF(J81="Alto"," · Cliente de riesgo alto: DDR (RCG 23 Ter 3 y 4)","")&amp;IF(AND(AS81&lt;&gt;"",AS81&lt;&gt;"No",AS81&lt;&gt;0)," · PEP","")&amp;IF(R81="PROHIBIDO"," · Efectivo prohibido: no lo recibas (Art. 32)","")&amp;IF(AR81=1," · ⚠ Fecha fuera de orden","")&amp;IF(LEFT(I81,1)="⚠"," · ⚠ Cliente no registrado","")&amp;IF(D81=""," · ⚠ Falta la actividad","")&amp;IF(AND(LEFT(P81,5)="AVISO",W81="")," · Captura la cifra total con IVA para el Aviso","")&amp;IF(AND(ISNUMBER(W81),W81&lt;E81)," · ⚠ La cifra con IVA es menor que el monto sin IVA",""),4,400))</f>
        <v/>
      </c>
      <c r="T81" s="21"/>
      <c r="U81" s="20"/>
      <c r="V81" s="9" t="str">
        <f aca="false">IF(LEFT(P81,5)&lt;&gt;"AVISO","",IF(T81="Presentado",IF(AND(ISNUMBER(U81),ISNUMBER(Q81),U81&gt;Q81),"Presentado tarde","Presentado"),IF(NOT(ISNUMBER(Q81)),"Falta fecha",IF(Q81&lt;CONFIG!$B$6,"VENCIDO","Vence en "&amp;(Q81-CONFIG!$B$6)&amp;" días"))))</f>
        <v/>
      </c>
      <c r="W81" s="22"/>
      <c r="X81" s="21"/>
      <c r="AA81" s="0" t="str">
        <f aca="false">IF(AM81="","",INDEX(CATÁLOGO!$D$5:$D$39,AM81))</f>
        <v/>
      </c>
      <c r="AB81" s="0" t="str">
        <f aca="false">IF(AM81="","",INDEX(CATÁLOGO!$E$5:$E$39,AM81))</f>
        <v/>
      </c>
      <c r="AC81" s="0" t="str">
        <f aca="false">IF(AB81="","",IF(ISNUMBER(AB81),AB81*AV81,AB81))</f>
        <v/>
      </c>
      <c r="AD81" s="0" t="str">
        <f aca="false">IF(AM81="","",INDEX(CATÁLOGO!$F$5:$F$39,AM81))</f>
        <v/>
      </c>
      <c r="AE81" s="0" t="str">
        <f aca="false">IF(AD81="","",IF(ISNUMBER(AD81),AD81*AV81,AD81))</f>
        <v/>
      </c>
      <c r="AF81" s="0" t="str">
        <f aca="false">IF(AM81="","",INDEX(CATÁLOGO!$G$5:$G$39,AM81))</f>
        <v/>
      </c>
      <c r="AG81" s="0" t="str">
        <f aca="false">IF(AF81="","",IF(ISNUMBER(AF81),AF81*AV81,AF81))</f>
        <v/>
      </c>
      <c r="AH81" s="0" t="str">
        <f aca="false">IF(E81="","",C81&amp;"|"&amp;D81)</f>
        <v/>
      </c>
      <c r="AI81" s="27" t="n">
        <f aca="false">IF(M81&lt;&gt;"Sí",0,SUMPRODUCT(MAX(($AH$5:AH80=AH81)*($M$5:M80="Sí")*ROW($AH$5:AH80))))</f>
        <v>0</v>
      </c>
      <c r="AJ81" s="0" t="str">
        <f aca="false">IF(M81&lt;&gt;"Sí","",IF(AL81=1,B81,INDEX($AJ:$AJ,AI81)))</f>
        <v/>
      </c>
      <c r="AK81" s="0" t="str">
        <f aca="false">IF(M81&lt;&gt;"Sí","",IF(AL81=1,E81,INDEX($AK:$AK,AI81)+E81))</f>
        <v/>
      </c>
      <c r="AL81" s="0" t="str">
        <f aca="false">IF(M81&lt;&gt;"Sí","",IF(AI81=0,1,IF(INDEX($AN:$AN,AI81)=0,1,IF(B81&gt;=EDATE(INDEX($AJ:$AJ,AI81),6),1,0))))</f>
        <v/>
      </c>
      <c r="AM81" s="0" t="str">
        <f aca="false">IF(D81="","",IFERROR(MATCH(D81,CATÁLOGO!$C$5:$C$39,0),""))</f>
        <v/>
      </c>
      <c r="AN81" s="0" t="str">
        <f aca="false">IF(M81&lt;&gt;"Sí","",IF(AND(ISNUMBER(AE81),AK81&gt;=AE81),0,1))</f>
        <v/>
      </c>
      <c r="AO81" s="0" t="str">
        <f aca="false">IF(OR(E81="",C81="",NOT(ISNUMBER(B81))),"",SUMIFS($E$6:$E$505,$C$6:$C$505,C81,$B$6:$B$505,"&gt;="&amp;DATE(YEAR(B81),MONTH(B81),1),$B$6:$B$505,"&lt;"&amp;DATE(YEAR(B81),MONTH(B81)+1,1)))</f>
        <v/>
      </c>
      <c r="AP81" s="0" t="str">
        <f aca="false">IF(C81="","",IFERROR(INDEX(CLIENTES!$M$6:$M$305,MATCH(C81,CLIENTES!$A$6:$A$305,0)),""))</f>
        <v/>
      </c>
      <c r="AQ81" s="27" t="n">
        <f aca="false">IF(AND(ISNUMBER(AO81),ISNUMBER(AP81)),IF(AND(AP81&gt;0,AO81&gt;AP81),1,0),0)</f>
        <v>0</v>
      </c>
      <c r="AR81" s="27" t="n">
        <f aca="false">IF(NOT(ISNUMBER(B81)),0,IF(B81&lt;MAX($B$5:B80),1,0))</f>
        <v>0</v>
      </c>
      <c r="AS81" s="0" t="str">
        <f aca="false">IF(C81="","",IFERROR(INDEX(CLIENTES!$H$6:$H$305,MATCH(C81,CLIENTES!$A$6:$A$305,0)),""))</f>
        <v/>
      </c>
      <c r="AT81" s="0" t="str">
        <f aca="false">IF(AND(LEFT(P81,5)="AVISO",T81&lt;&gt;"Presentado",ISNUMBER(Q81)),Q81,"")</f>
        <v/>
      </c>
      <c r="AU81" s="27" t="n">
        <f aca="false">IF(AND(D81="XVI - Activos virtuales (PSAV): operación de intercambio/transferencia",M81="Sí",ISNUMBER(AE81)),IF(AK81&gt;=AE81,1,0),0)</f>
        <v>0</v>
      </c>
      <c r="AV81" s="30" t="n">
        <f aca="false">IF(NOT(ISNUMBER(B81)),CONFIG!$B$4,IFERROR(INDEX(CONFIG!$I$5:$I$14,MATCH(IF(MONTH(B81)=1,YEAR(B81)-1,YEAR(B81)),CONFIG!$H$5:$H$14,0)),CONFIG!$B$4))</f>
        <v>117.31</v>
      </c>
      <c r="AW81" s="27" t="n">
        <f aca="false">IF(AND(LEFT(D81,4)="I - ",ISNUMBER(B81),C81&lt;&gt;""),SUMIFS($E$6:$E$505,$C$6:$C$505,C81,$D$6:$D$505,D81,$B$6:$B$505,"&gt;"&amp;(B81-1),$B$6:$B$505,"&lt;="&amp;B81),0)</f>
        <v>0</v>
      </c>
      <c r="AX81" s="0" t="str">
        <f aca="false">IF(E81="","",IF(AD81="Siempre","AVISO (siempre)",IF(AD81="No aplica","Sin Aviso (sólo preparas: Ley 17 XI)",IF(NOT(ISNUMBER(AE81)),"",IF(AA81&lt;&gt;"ACUMULA",IF(E81&gt;=AE81,IF(AND(D81="XVI - Activos virtuales (PSAV): cobro de contraprestación (comisión) por el servicio",COUNTIFS($C$6:$C$505,C81,$B$6:$B$505,"&gt;="&amp;INT(B81),$B$6:$B$505,"&lt;"&amp;(INT(B81)+1),$AU$6:$AU$505,1)&gt;0),"En el Aviso del inciso a) (R 31 Bis)","AVISO"),"—"),IF(M81&lt;&gt;"Sí","—",IF(AK81&gt;=AE81,IF(AK81=E81,"AVISO","AVISO (acumulado)"),"Acumulando")))))))</f>
        <v/>
      </c>
    </row>
    <row r="82" customFormat="false" ht="15" hidden="false" customHeight="false" outlineLevel="0" collapsed="false">
      <c r="A82" s="9" t="str">
        <f aca="false">IF(E82="","",ROW()-5)</f>
        <v/>
      </c>
      <c r="B82" s="20"/>
      <c r="C82" s="21"/>
      <c r="D82" s="21"/>
      <c r="E82" s="22"/>
      <c r="F82" s="22"/>
      <c r="G82" s="21"/>
      <c r="H82" s="21"/>
      <c r="I82" s="9" t="str">
        <f aca="false">IF(C82="","",IFERROR(INDEX(CLIENTES!$B$6:$B$305,MATCH(C82,CLIENTES!$A$6:$A$305,0)),"⚠ ID no registrado"))</f>
        <v/>
      </c>
      <c r="J82" s="9" t="str">
        <f aca="false">IF(C82="","",IFERROR(INDEX(CLIENTES!$Z$6:$Z$305,MATCH(C82,CLIENTES!$A$6:$A$305,0)),""))</f>
        <v/>
      </c>
      <c r="K82" s="9" t="str">
        <f aca="false">IF(E82="","",IF(AB82="Siempre","Sí",IF(ISNUMBER(AC82),IF(E82&gt;=AC82,"Sí",IF(AW82&gt;=AC82,"Sí (serie 24 h)","No")),"")))</f>
        <v/>
      </c>
      <c r="L82" s="9" t="str">
        <f aca="false">IF(E82="","",AA82)</f>
        <v/>
      </c>
      <c r="M82" s="9" t="str">
        <f aca="false">IF(E82="","",IF(AA82&lt;&gt;"ACUMULA","No aplica",IF(LEFT(K82,2)="Sí","Sí","No")))</f>
        <v/>
      </c>
      <c r="N82" s="23" t="str">
        <f aca="false">IF(M82="Sí",AJ82,"")</f>
        <v/>
      </c>
      <c r="O82" s="24" t="str">
        <f aca="false">IF(M82="Sí",AK82,"")</f>
        <v/>
      </c>
      <c r="P82" s="25" t="str">
        <f aca="false">IF(AND(LEFT(D82,6)="XIV - ",LEFT(AX82,5)="AVISO"),"Pedimento (R 16): no va al SPPLD",AX82)</f>
        <v/>
      </c>
      <c r="Q82" s="23" t="str">
        <f aca="false">IF(LEFT(P82,5)="AVISO",IF(ISNUMBER(B82),DATE(YEAR(B82),MONTH(B82)+1,17),"Falta fecha"),"")</f>
        <v/>
      </c>
      <c r="R82" s="9" t="str">
        <f aca="false">IF(OR(F82="",F82=0),"",IF(ISNUMBER(AG82),IF(F82&gt;=AG82,"PROHIBIDO","Dentro del límite"),"No aplica"))</f>
        <v/>
      </c>
      <c r="S82" s="26" t="str">
        <f aca="false">IF(E82="","",MID(IF(AQ82=1," · Excede el perfil declarado","")&amp;IF(H82="Sí"," · Paga un tercero","")&amp;IF(J82="Alto"," · Cliente de riesgo alto: DDR (RCG 23 Ter 3 y 4)","")&amp;IF(AND(AS82&lt;&gt;"",AS82&lt;&gt;"No",AS82&lt;&gt;0)," · PEP","")&amp;IF(R82="PROHIBIDO"," · Efectivo prohibido: no lo recibas (Art. 32)","")&amp;IF(AR82=1," · ⚠ Fecha fuera de orden","")&amp;IF(LEFT(I82,1)="⚠"," · ⚠ Cliente no registrado","")&amp;IF(D82=""," · ⚠ Falta la actividad","")&amp;IF(AND(LEFT(P82,5)="AVISO",W82="")," · Captura la cifra total con IVA para el Aviso","")&amp;IF(AND(ISNUMBER(W82),W82&lt;E82)," · ⚠ La cifra con IVA es menor que el monto sin IVA",""),4,400))</f>
        <v/>
      </c>
      <c r="T82" s="21"/>
      <c r="U82" s="20"/>
      <c r="V82" s="9" t="str">
        <f aca="false">IF(LEFT(P82,5)&lt;&gt;"AVISO","",IF(T82="Presentado",IF(AND(ISNUMBER(U82),ISNUMBER(Q82),U82&gt;Q82),"Presentado tarde","Presentado"),IF(NOT(ISNUMBER(Q82)),"Falta fecha",IF(Q82&lt;CONFIG!$B$6,"VENCIDO","Vence en "&amp;(Q82-CONFIG!$B$6)&amp;" días"))))</f>
        <v/>
      </c>
      <c r="W82" s="22"/>
      <c r="X82" s="21"/>
      <c r="AA82" s="0" t="str">
        <f aca="false">IF(AM82="","",INDEX(CATÁLOGO!$D$5:$D$39,AM82))</f>
        <v/>
      </c>
      <c r="AB82" s="0" t="str">
        <f aca="false">IF(AM82="","",INDEX(CATÁLOGO!$E$5:$E$39,AM82))</f>
        <v/>
      </c>
      <c r="AC82" s="0" t="str">
        <f aca="false">IF(AB82="","",IF(ISNUMBER(AB82),AB82*AV82,AB82))</f>
        <v/>
      </c>
      <c r="AD82" s="0" t="str">
        <f aca="false">IF(AM82="","",INDEX(CATÁLOGO!$F$5:$F$39,AM82))</f>
        <v/>
      </c>
      <c r="AE82" s="0" t="str">
        <f aca="false">IF(AD82="","",IF(ISNUMBER(AD82),AD82*AV82,AD82))</f>
        <v/>
      </c>
      <c r="AF82" s="0" t="str">
        <f aca="false">IF(AM82="","",INDEX(CATÁLOGO!$G$5:$G$39,AM82))</f>
        <v/>
      </c>
      <c r="AG82" s="0" t="str">
        <f aca="false">IF(AF82="","",IF(ISNUMBER(AF82),AF82*AV82,AF82))</f>
        <v/>
      </c>
      <c r="AH82" s="0" t="str">
        <f aca="false">IF(E82="","",C82&amp;"|"&amp;D82)</f>
        <v/>
      </c>
      <c r="AI82" s="27" t="n">
        <f aca="false">IF(M82&lt;&gt;"Sí",0,SUMPRODUCT(MAX(($AH$5:AH81=AH82)*($M$5:M81="Sí")*ROW($AH$5:AH81))))</f>
        <v>0</v>
      </c>
      <c r="AJ82" s="0" t="str">
        <f aca="false">IF(M82&lt;&gt;"Sí","",IF(AL82=1,B82,INDEX($AJ:$AJ,AI82)))</f>
        <v/>
      </c>
      <c r="AK82" s="0" t="str">
        <f aca="false">IF(M82&lt;&gt;"Sí","",IF(AL82=1,E82,INDEX($AK:$AK,AI82)+E82))</f>
        <v/>
      </c>
      <c r="AL82" s="0" t="str">
        <f aca="false">IF(M82&lt;&gt;"Sí","",IF(AI82=0,1,IF(INDEX($AN:$AN,AI82)=0,1,IF(B82&gt;=EDATE(INDEX($AJ:$AJ,AI82),6),1,0))))</f>
        <v/>
      </c>
      <c r="AM82" s="0" t="str">
        <f aca="false">IF(D82="","",IFERROR(MATCH(D82,CATÁLOGO!$C$5:$C$39,0),""))</f>
        <v/>
      </c>
      <c r="AN82" s="0" t="str">
        <f aca="false">IF(M82&lt;&gt;"Sí","",IF(AND(ISNUMBER(AE82),AK82&gt;=AE82),0,1))</f>
        <v/>
      </c>
      <c r="AO82" s="0" t="str">
        <f aca="false">IF(OR(E82="",C82="",NOT(ISNUMBER(B82))),"",SUMIFS($E$6:$E$505,$C$6:$C$505,C82,$B$6:$B$505,"&gt;="&amp;DATE(YEAR(B82),MONTH(B82),1),$B$6:$B$505,"&lt;"&amp;DATE(YEAR(B82),MONTH(B82)+1,1)))</f>
        <v/>
      </c>
      <c r="AP82" s="0" t="str">
        <f aca="false">IF(C82="","",IFERROR(INDEX(CLIENTES!$M$6:$M$305,MATCH(C82,CLIENTES!$A$6:$A$305,0)),""))</f>
        <v/>
      </c>
      <c r="AQ82" s="27" t="n">
        <f aca="false">IF(AND(ISNUMBER(AO82),ISNUMBER(AP82)),IF(AND(AP82&gt;0,AO82&gt;AP82),1,0),0)</f>
        <v>0</v>
      </c>
      <c r="AR82" s="27" t="n">
        <f aca="false">IF(NOT(ISNUMBER(B82)),0,IF(B82&lt;MAX($B$5:B81),1,0))</f>
        <v>0</v>
      </c>
      <c r="AS82" s="0" t="str">
        <f aca="false">IF(C82="","",IFERROR(INDEX(CLIENTES!$H$6:$H$305,MATCH(C82,CLIENTES!$A$6:$A$305,0)),""))</f>
        <v/>
      </c>
      <c r="AT82" s="0" t="str">
        <f aca="false">IF(AND(LEFT(P82,5)="AVISO",T82&lt;&gt;"Presentado",ISNUMBER(Q82)),Q82,"")</f>
        <v/>
      </c>
      <c r="AU82" s="27" t="n">
        <f aca="false">IF(AND(D82="XVI - Activos virtuales (PSAV): operación de intercambio/transferencia",M82="Sí",ISNUMBER(AE82)),IF(AK82&gt;=AE82,1,0),0)</f>
        <v>0</v>
      </c>
      <c r="AV82" s="30" t="n">
        <f aca="false">IF(NOT(ISNUMBER(B82)),CONFIG!$B$4,IFERROR(INDEX(CONFIG!$I$5:$I$14,MATCH(IF(MONTH(B82)=1,YEAR(B82)-1,YEAR(B82)),CONFIG!$H$5:$H$14,0)),CONFIG!$B$4))</f>
        <v>117.31</v>
      </c>
      <c r="AW82" s="27" t="n">
        <f aca="false">IF(AND(LEFT(D82,4)="I - ",ISNUMBER(B82),C82&lt;&gt;""),SUMIFS($E$6:$E$505,$C$6:$C$505,C82,$D$6:$D$505,D82,$B$6:$B$505,"&gt;"&amp;(B82-1),$B$6:$B$505,"&lt;="&amp;B82),0)</f>
        <v>0</v>
      </c>
      <c r="AX82" s="0" t="str">
        <f aca="false">IF(E82="","",IF(AD82="Siempre","AVISO (siempre)",IF(AD82="No aplica","Sin Aviso (sólo preparas: Ley 17 XI)",IF(NOT(ISNUMBER(AE82)),"",IF(AA82&lt;&gt;"ACUMULA",IF(E82&gt;=AE82,IF(AND(D82="XVI - Activos virtuales (PSAV): cobro de contraprestación (comisión) por el servicio",COUNTIFS($C$6:$C$505,C82,$B$6:$B$505,"&gt;="&amp;INT(B82),$B$6:$B$505,"&lt;"&amp;(INT(B82)+1),$AU$6:$AU$505,1)&gt;0),"En el Aviso del inciso a) (R 31 Bis)","AVISO"),"—"),IF(M82&lt;&gt;"Sí","—",IF(AK82&gt;=AE82,IF(AK82=E82,"AVISO","AVISO (acumulado)"),"Acumulando")))))))</f>
        <v/>
      </c>
    </row>
    <row r="83" customFormat="false" ht="15" hidden="false" customHeight="false" outlineLevel="0" collapsed="false">
      <c r="A83" s="9" t="str">
        <f aca="false">IF(E83="","",ROW()-5)</f>
        <v/>
      </c>
      <c r="B83" s="20"/>
      <c r="C83" s="21"/>
      <c r="D83" s="21"/>
      <c r="E83" s="22"/>
      <c r="F83" s="22"/>
      <c r="G83" s="21"/>
      <c r="H83" s="21"/>
      <c r="I83" s="9" t="str">
        <f aca="false">IF(C83="","",IFERROR(INDEX(CLIENTES!$B$6:$B$305,MATCH(C83,CLIENTES!$A$6:$A$305,0)),"⚠ ID no registrado"))</f>
        <v/>
      </c>
      <c r="J83" s="9" t="str">
        <f aca="false">IF(C83="","",IFERROR(INDEX(CLIENTES!$Z$6:$Z$305,MATCH(C83,CLIENTES!$A$6:$A$305,0)),""))</f>
        <v/>
      </c>
      <c r="K83" s="9" t="str">
        <f aca="false">IF(E83="","",IF(AB83="Siempre","Sí",IF(ISNUMBER(AC83),IF(E83&gt;=AC83,"Sí",IF(AW83&gt;=AC83,"Sí (serie 24 h)","No")),"")))</f>
        <v/>
      </c>
      <c r="L83" s="9" t="str">
        <f aca="false">IF(E83="","",AA83)</f>
        <v/>
      </c>
      <c r="M83" s="9" t="str">
        <f aca="false">IF(E83="","",IF(AA83&lt;&gt;"ACUMULA","No aplica",IF(LEFT(K83,2)="Sí","Sí","No")))</f>
        <v/>
      </c>
      <c r="N83" s="23" t="str">
        <f aca="false">IF(M83="Sí",AJ83,"")</f>
        <v/>
      </c>
      <c r="O83" s="24" t="str">
        <f aca="false">IF(M83="Sí",AK83,"")</f>
        <v/>
      </c>
      <c r="P83" s="25" t="str">
        <f aca="false">IF(AND(LEFT(D83,6)="XIV - ",LEFT(AX83,5)="AVISO"),"Pedimento (R 16): no va al SPPLD",AX83)</f>
        <v/>
      </c>
      <c r="Q83" s="23" t="str">
        <f aca="false">IF(LEFT(P83,5)="AVISO",IF(ISNUMBER(B83),DATE(YEAR(B83),MONTH(B83)+1,17),"Falta fecha"),"")</f>
        <v/>
      </c>
      <c r="R83" s="9" t="str">
        <f aca="false">IF(OR(F83="",F83=0),"",IF(ISNUMBER(AG83),IF(F83&gt;=AG83,"PROHIBIDO","Dentro del límite"),"No aplica"))</f>
        <v/>
      </c>
      <c r="S83" s="26" t="str">
        <f aca="false">IF(E83="","",MID(IF(AQ83=1," · Excede el perfil declarado","")&amp;IF(H83="Sí"," · Paga un tercero","")&amp;IF(J83="Alto"," · Cliente de riesgo alto: DDR (RCG 23 Ter 3 y 4)","")&amp;IF(AND(AS83&lt;&gt;"",AS83&lt;&gt;"No",AS83&lt;&gt;0)," · PEP","")&amp;IF(R83="PROHIBIDO"," · Efectivo prohibido: no lo recibas (Art. 32)","")&amp;IF(AR83=1," · ⚠ Fecha fuera de orden","")&amp;IF(LEFT(I83,1)="⚠"," · ⚠ Cliente no registrado","")&amp;IF(D83=""," · ⚠ Falta la actividad","")&amp;IF(AND(LEFT(P83,5)="AVISO",W83="")," · Captura la cifra total con IVA para el Aviso","")&amp;IF(AND(ISNUMBER(W83),W83&lt;E83)," · ⚠ La cifra con IVA es menor que el monto sin IVA",""),4,400))</f>
        <v/>
      </c>
      <c r="T83" s="21"/>
      <c r="U83" s="20"/>
      <c r="V83" s="9" t="str">
        <f aca="false">IF(LEFT(P83,5)&lt;&gt;"AVISO","",IF(T83="Presentado",IF(AND(ISNUMBER(U83),ISNUMBER(Q83),U83&gt;Q83),"Presentado tarde","Presentado"),IF(NOT(ISNUMBER(Q83)),"Falta fecha",IF(Q83&lt;CONFIG!$B$6,"VENCIDO","Vence en "&amp;(Q83-CONFIG!$B$6)&amp;" días"))))</f>
        <v/>
      </c>
      <c r="W83" s="22"/>
      <c r="X83" s="21"/>
      <c r="AA83" s="0" t="str">
        <f aca="false">IF(AM83="","",INDEX(CATÁLOGO!$D$5:$D$39,AM83))</f>
        <v/>
      </c>
      <c r="AB83" s="0" t="str">
        <f aca="false">IF(AM83="","",INDEX(CATÁLOGO!$E$5:$E$39,AM83))</f>
        <v/>
      </c>
      <c r="AC83" s="0" t="str">
        <f aca="false">IF(AB83="","",IF(ISNUMBER(AB83),AB83*AV83,AB83))</f>
        <v/>
      </c>
      <c r="AD83" s="0" t="str">
        <f aca="false">IF(AM83="","",INDEX(CATÁLOGO!$F$5:$F$39,AM83))</f>
        <v/>
      </c>
      <c r="AE83" s="0" t="str">
        <f aca="false">IF(AD83="","",IF(ISNUMBER(AD83),AD83*AV83,AD83))</f>
        <v/>
      </c>
      <c r="AF83" s="0" t="str">
        <f aca="false">IF(AM83="","",INDEX(CATÁLOGO!$G$5:$G$39,AM83))</f>
        <v/>
      </c>
      <c r="AG83" s="0" t="str">
        <f aca="false">IF(AF83="","",IF(ISNUMBER(AF83),AF83*AV83,AF83))</f>
        <v/>
      </c>
      <c r="AH83" s="0" t="str">
        <f aca="false">IF(E83="","",C83&amp;"|"&amp;D83)</f>
        <v/>
      </c>
      <c r="AI83" s="27" t="n">
        <f aca="false">IF(M83&lt;&gt;"Sí",0,SUMPRODUCT(MAX(($AH$5:AH82=AH83)*($M$5:M82="Sí")*ROW($AH$5:AH82))))</f>
        <v>0</v>
      </c>
      <c r="AJ83" s="0" t="str">
        <f aca="false">IF(M83&lt;&gt;"Sí","",IF(AL83=1,B83,INDEX($AJ:$AJ,AI83)))</f>
        <v/>
      </c>
      <c r="AK83" s="0" t="str">
        <f aca="false">IF(M83&lt;&gt;"Sí","",IF(AL83=1,E83,INDEX($AK:$AK,AI83)+E83))</f>
        <v/>
      </c>
      <c r="AL83" s="0" t="str">
        <f aca="false">IF(M83&lt;&gt;"Sí","",IF(AI83=0,1,IF(INDEX($AN:$AN,AI83)=0,1,IF(B83&gt;=EDATE(INDEX($AJ:$AJ,AI83),6),1,0))))</f>
        <v/>
      </c>
      <c r="AM83" s="0" t="str">
        <f aca="false">IF(D83="","",IFERROR(MATCH(D83,CATÁLOGO!$C$5:$C$39,0),""))</f>
        <v/>
      </c>
      <c r="AN83" s="0" t="str">
        <f aca="false">IF(M83&lt;&gt;"Sí","",IF(AND(ISNUMBER(AE83),AK83&gt;=AE83),0,1))</f>
        <v/>
      </c>
      <c r="AO83" s="0" t="str">
        <f aca="false">IF(OR(E83="",C83="",NOT(ISNUMBER(B83))),"",SUMIFS($E$6:$E$505,$C$6:$C$505,C83,$B$6:$B$505,"&gt;="&amp;DATE(YEAR(B83),MONTH(B83),1),$B$6:$B$505,"&lt;"&amp;DATE(YEAR(B83),MONTH(B83)+1,1)))</f>
        <v/>
      </c>
      <c r="AP83" s="0" t="str">
        <f aca="false">IF(C83="","",IFERROR(INDEX(CLIENTES!$M$6:$M$305,MATCH(C83,CLIENTES!$A$6:$A$305,0)),""))</f>
        <v/>
      </c>
      <c r="AQ83" s="27" t="n">
        <f aca="false">IF(AND(ISNUMBER(AO83),ISNUMBER(AP83)),IF(AND(AP83&gt;0,AO83&gt;AP83),1,0),0)</f>
        <v>0</v>
      </c>
      <c r="AR83" s="27" t="n">
        <f aca="false">IF(NOT(ISNUMBER(B83)),0,IF(B83&lt;MAX($B$5:B82),1,0))</f>
        <v>0</v>
      </c>
      <c r="AS83" s="0" t="str">
        <f aca="false">IF(C83="","",IFERROR(INDEX(CLIENTES!$H$6:$H$305,MATCH(C83,CLIENTES!$A$6:$A$305,0)),""))</f>
        <v/>
      </c>
      <c r="AT83" s="0" t="str">
        <f aca="false">IF(AND(LEFT(P83,5)="AVISO",T83&lt;&gt;"Presentado",ISNUMBER(Q83)),Q83,"")</f>
        <v/>
      </c>
      <c r="AU83" s="27" t="n">
        <f aca="false">IF(AND(D83="XVI - Activos virtuales (PSAV): operación de intercambio/transferencia",M83="Sí",ISNUMBER(AE83)),IF(AK83&gt;=AE83,1,0),0)</f>
        <v>0</v>
      </c>
      <c r="AV83" s="30" t="n">
        <f aca="false">IF(NOT(ISNUMBER(B83)),CONFIG!$B$4,IFERROR(INDEX(CONFIG!$I$5:$I$14,MATCH(IF(MONTH(B83)=1,YEAR(B83)-1,YEAR(B83)),CONFIG!$H$5:$H$14,0)),CONFIG!$B$4))</f>
        <v>117.31</v>
      </c>
      <c r="AW83" s="27" t="n">
        <f aca="false">IF(AND(LEFT(D83,4)="I - ",ISNUMBER(B83),C83&lt;&gt;""),SUMIFS($E$6:$E$505,$C$6:$C$505,C83,$D$6:$D$505,D83,$B$6:$B$505,"&gt;"&amp;(B83-1),$B$6:$B$505,"&lt;="&amp;B83),0)</f>
        <v>0</v>
      </c>
      <c r="AX83" s="0" t="str">
        <f aca="false">IF(E83="","",IF(AD83="Siempre","AVISO (siempre)",IF(AD83="No aplica","Sin Aviso (sólo preparas: Ley 17 XI)",IF(NOT(ISNUMBER(AE83)),"",IF(AA83&lt;&gt;"ACUMULA",IF(E83&gt;=AE83,IF(AND(D83="XVI - Activos virtuales (PSAV): cobro de contraprestación (comisión) por el servicio",COUNTIFS($C$6:$C$505,C83,$B$6:$B$505,"&gt;="&amp;INT(B83),$B$6:$B$505,"&lt;"&amp;(INT(B83)+1),$AU$6:$AU$505,1)&gt;0),"En el Aviso del inciso a) (R 31 Bis)","AVISO"),"—"),IF(M83&lt;&gt;"Sí","—",IF(AK83&gt;=AE83,IF(AK83=E83,"AVISO","AVISO (acumulado)"),"Acumulando")))))))</f>
        <v/>
      </c>
    </row>
    <row r="84" customFormat="false" ht="15" hidden="false" customHeight="false" outlineLevel="0" collapsed="false">
      <c r="A84" s="9" t="str">
        <f aca="false">IF(E84="","",ROW()-5)</f>
        <v/>
      </c>
      <c r="B84" s="20"/>
      <c r="C84" s="21"/>
      <c r="D84" s="21"/>
      <c r="E84" s="22"/>
      <c r="F84" s="22"/>
      <c r="G84" s="21"/>
      <c r="H84" s="21"/>
      <c r="I84" s="9" t="str">
        <f aca="false">IF(C84="","",IFERROR(INDEX(CLIENTES!$B$6:$B$305,MATCH(C84,CLIENTES!$A$6:$A$305,0)),"⚠ ID no registrado"))</f>
        <v/>
      </c>
      <c r="J84" s="9" t="str">
        <f aca="false">IF(C84="","",IFERROR(INDEX(CLIENTES!$Z$6:$Z$305,MATCH(C84,CLIENTES!$A$6:$A$305,0)),""))</f>
        <v/>
      </c>
      <c r="K84" s="9" t="str">
        <f aca="false">IF(E84="","",IF(AB84="Siempre","Sí",IF(ISNUMBER(AC84),IF(E84&gt;=AC84,"Sí",IF(AW84&gt;=AC84,"Sí (serie 24 h)","No")),"")))</f>
        <v/>
      </c>
      <c r="L84" s="9" t="str">
        <f aca="false">IF(E84="","",AA84)</f>
        <v/>
      </c>
      <c r="M84" s="9" t="str">
        <f aca="false">IF(E84="","",IF(AA84&lt;&gt;"ACUMULA","No aplica",IF(LEFT(K84,2)="Sí","Sí","No")))</f>
        <v/>
      </c>
      <c r="N84" s="23" t="str">
        <f aca="false">IF(M84="Sí",AJ84,"")</f>
        <v/>
      </c>
      <c r="O84" s="24" t="str">
        <f aca="false">IF(M84="Sí",AK84,"")</f>
        <v/>
      </c>
      <c r="P84" s="25" t="str">
        <f aca="false">IF(AND(LEFT(D84,6)="XIV - ",LEFT(AX84,5)="AVISO"),"Pedimento (R 16): no va al SPPLD",AX84)</f>
        <v/>
      </c>
      <c r="Q84" s="23" t="str">
        <f aca="false">IF(LEFT(P84,5)="AVISO",IF(ISNUMBER(B84),DATE(YEAR(B84),MONTH(B84)+1,17),"Falta fecha"),"")</f>
        <v/>
      </c>
      <c r="R84" s="9" t="str">
        <f aca="false">IF(OR(F84="",F84=0),"",IF(ISNUMBER(AG84),IF(F84&gt;=AG84,"PROHIBIDO","Dentro del límite"),"No aplica"))</f>
        <v/>
      </c>
      <c r="S84" s="26" t="str">
        <f aca="false">IF(E84="","",MID(IF(AQ84=1," · Excede el perfil declarado","")&amp;IF(H84="Sí"," · Paga un tercero","")&amp;IF(J84="Alto"," · Cliente de riesgo alto: DDR (RCG 23 Ter 3 y 4)","")&amp;IF(AND(AS84&lt;&gt;"",AS84&lt;&gt;"No",AS84&lt;&gt;0)," · PEP","")&amp;IF(R84="PROHIBIDO"," · Efectivo prohibido: no lo recibas (Art. 32)","")&amp;IF(AR84=1," · ⚠ Fecha fuera de orden","")&amp;IF(LEFT(I84,1)="⚠"," · ⚠ Cliente no registrado","")&amp;IF(D84=""," · ⚠ Falta la actividad","")&amp;IF(AND(LEFT(P84,5)="AVISO",W84="")," · Captura la cifra total con IVA para el Aviso","")&amp;IF(AND(ISNUMBER(W84),W84&lt;E84)," · ⚠ La cifra con IVA es menor que el monto sin IVA",""),4,400))</f>
        <v/>
      </c>
      <c r="T84" s="21"/>
      <c r="U84" s="20"/>
      <c r="V84" s="9" t="str">
        <f aca="false">IF(LEFT(P84,5)&lt;&gt;"AVISO","",IF(T84="Presentado",IF(AND(ISNUMBER(U84),ISNUMBER(Q84),U84&gt;Q84),"Presentado tarde","Presentado"),IF(NOT(ISNUMBER(Q84)),"Falta fecha",IF(Q84&lt;CONFIG!$B$6,"VENCIDO","Vence en "&amp;(Q84-CONFIG!$B$6)&amp;" días"))))</f>
        <v/>
      </c>
      <c r="W84" s="22"/>
      <c r="X84" s="21"/>
      <c r="AA84" s="0" t="str">
        <f aca="false">IF(AM84="","",INDEX(CATÁLOGO!$D$5:$D$39,AM84))</f>
        <v/>
      </c>
      <c r="AB84" s="0" t="str">
        <f aca="false">IF(AM84="","",INDEX(CATÁLOGO!$E$5:$E$39,AM84))</f>
        <v/>
      </c>
      <c r="AC84" s="0" t="str">
        <f aca="false">IF(AB84="","",IF(ISNUMBER(AB84),AB84*AV84,AB84))</f>
        <v/>
      </c>
      <c r="AD84" s="0" t="str">
        <f aca="false">IF(AM84="","",INDEX(CATÁLOGO!$F$5:$F$39,AM84))</f>
        <v/>
      </c>
      <c r="AE84" s="0" t="str">
        <f aca="false">IF(AD84="","",IF(ISNUMBER(AD84),AD84*AV84,AD84))</f>
        <v/>
      </c>
      <c r="AF84" s="0" t="str">
        <f aca="false">IF(AM84="","",INDEX(CATÁLOGO!$G$5:$G$39,AM84))</f>
        <v/>
      </c>
      <c r="AG84" s="0" t="str">
        <f aca="false">IF(AF84="","",IF(ISNUMBER(AF84),AF84*AV84,AF84))</f>
        <v/>
      </c>
      <c r="AH84" s="0" t="str">
        <f aca="false">IF(E84="","",C84&amp;"|"&amp;D84)</f>
        <v/>
      </c>
      <c r="AI84" s="27" t="n">
        <f aca="false">IF(M84&lt;&gt;"Sí",0,SUMPRODUCT(MAX(($AH$5:AH83=AH84)*($M$5:M83="Sí")*ROW($AH$5:AH83))))</f>
        <v>0</v>
      </c>
      <c r="AJ84" s="0" t="str">
        <f aca="false">IF(M84&lt;&gt;"Sí","",IF(AL84=1,B84,INDEX($AJ:$AJ,AI84)))</f>
        <v/>
      </c>
      <c r="AK84" s="0" t="str">
        <f aca="false">IF(M84&lt;&gt;"Sí","",IF(AL84=1,E84,INDEX($AK:$AK,AI84)+E84))</f>
        <v/>
      </c>
      <c r="AL84" s="0" t="str">
        <f aca="false">IF(M84&lt;&gt;"Sí","",IF(AI84=0,1,IF(INDEX($AN:$AN,AI84)=0,1,IF(B84&gt;=EDATE(INDEX($AJ:$AJ,AI84),6),1,0))))</f>
        <v/>
      </c>
      <c r="AM84" s="0" t="str">
        <f aca="false">IF(D84="","",IFERROR(MATCH(D84,CATÁLOGO!$C$5:$C$39,0),""))</f>
        <v/>
      </c>
      <c r="AN84" s="0" t="str">
        <f aca="false">IF(M84&lt;&gt;"Sí","",IF(AND(ISNUMBER(AE84),AK84&gt;=AE84),0,1))</f>
        <v/>
      </c>
      <c r="AO84" s="0" t="str">
        <f aca="false">IF(OR(E84="",C84="",NOT(ISNUMBER(B84))),"",SUMIFS($E$6:$E$505,$C$6:$C$505,C84,$B$6:$B$505,"&gt;="&amp;DATE(YEAR(B84),MONTH(B84),1),$B$6:$B$505,"&lt;"&amp;DATE(YEAR(B84),MONTH(B84)+1,1)))</f>
        <v/>
      </c>
      <c r="AP84" s="0" t="str">
        <f aca="false">IF(C84="","",IFERROR(INDEX(CLIENTES!$M$6:$M$305,MATCH(C84,CLIENTES!$A$6:$A$305,0)),""))</f>
        <v/>
      </c>
      <c r="AQ84" s="27" t="n">
        <f aca="false">IF(AND(ISNUMBER(AO84),ISNUMBER(AP84)),IF(AND(AP84&gt;0,AO84&gt;AP84),1,0),0)</f>
        <v>0</v>
      </c>
      <c r="AR84" s="27" t="n">
        <f aca="false">IF(NOT(ISNUMBER(B84)),0,IF(B84&lt;MAX($B$5:B83),1,0))</f>
        <v>0</v>
      </c>
      <c r="AS84" s="0" t="str">
        <f aca="false">IF(C84="","",IFERROR(INDEX(CLIENTES!$H$6:$H$305,MATCH(C84,CLIENTES!$A$6:$A$305,0)),""))</f>
        <v/>
      </c>
      <c r="AT84" s="0" t="str">
        <f aca="false">IF(AND(LEFT(P84,5)="AVISO",T84&lt;&gt;"Presentado",ISNUMBER(Q84)),Q84,"")</f>
        <v/>
      </c>
      <c r="AU84" s="27" t="n">
        <f aca="false">IF(AND(D84="XVI - Activos virtuales (PSAV): operación de intercambio/transferencia",M84="Sí",ISNUMBER(AE84)),IF(AK84&gt;=AE84,1,0),0)</f>
        <v>0</v>
      </c>
      <c r="AV84" s="30" t="n">
        <f aca="false">IF(NOT(ISNUMBER(B84)),CONFIG!$B$4,IFERROR(INDEX(CONFIG!$I$5:$I$14,MATCH(IF(MONTH(B84)=1,YEAR(B84)-1,YEAR(B84)),CONFIG!$H$5:$H$14,0)),CONFIG!$B$4))</f>
        <v>117.31</v>
      </c>
      <c r="AW84" s="27" t="n">
        <f aca="false">IF(AND(LEFT(D84,4)="I - ",ISNUMBER(B84),C84&lt;&gt;""),SUMIFS($E$6:$E$505,$C$6:$C$505,C84,$D$6:$D$505,D84,$B$6:$B$505,"&gt;"&amp;(B84-1),$B$6:$B$505,"&lt;="&amp;B84),0)</f>
        <v>0</v>
      </c>
      <c r="AX84" s="0" t="str">
        <f aca="false">IF(E84="","",IF(AD84="Siempre","AVISO (siempre)",IF(AD84="No aplica","Sin Aviso (sólo preparas: Ley 17 XI)",IF(NOT(ISNUMBER(AE84)),"",IF(AA84&lt;&gt;"ACUMULA",IF(E84&gt;=AE84,IF(AND(D84="XVI - Activos virtuales (PSAV): cobro de contraprestación (comisión) por el servicio",COUNTIFS($C$6:$C$505,C84,$B$6:$B$505,"&gt;="&amp;INT(B84),$B$6:$B$505,"&lt;"&amp;(INT(B84)+1),$AU$6:$AU$505,1)&gt;0),"En el Aviso del inciso a) (R 31 Bis)","AVISO"),"—"),IF(M84&lt;&gt;"Sí","—",IF(AK84&gt;=AE84,IF(AK84=E84,"AVISO","AVISO (acumulado)"),"Acumulando")))))))</f>
        <v/>
      </c>
    </row>
    <row r="85" customFormat="false" ht="15" hidden="false" customHeight="false" outlineLevel="0" collapsed="false">
      <c r="A85" s="9" t="str">
        <f aca="false">IF(E85="","",ROW()-5)</f>
        <v/>
      </c>
      <c r="B85" s="20"/>
      <c r="C85" s="21"/>
      <c r="D85" s="21"/>
      <c r="E85" s="22"/>
      <c r="F85" s="22"/>
      <c r="G85" s="21"/>
      <c r="H85" s="21"/>
      <c r="I85" s="9" t="str">
        <f aca="false">IF(C85="","",IFERROR(INDEX(CLIENTES!$B$6:$B$305,MATCH(C85,CLIENTES!$A$6:$A$305,0)),"⚠ ID no registrado"))</f>
        <v/>
      </c>
      <c r="J85" s="9" t="str">
        <f aca="false">IF(C85="","",IFERROR(INDEX(CLIENTES!$Z$6:$Z$305,MATCH(C85,CLIENTES!$A$6:$A$305,0)),""))</f>
        <v/>
      </c>
      <c r="K85" s="9" t="str">
        <f aca="false">IF(E85="","",IF(AB85="Siempre","Sí",IF(ISNUMBER(AC85),IF(E85&gt;=AC85,"Sí",IF(AW85&gt;=AC85,"Sí (serie 24 h)","No")),"")))</f>
        <v/>
      </c>
      <c r="L85" s="9" t="str">
        <f aca="false">IF(E85="","",AA85)</f>
        <v/>
      </c>
      <c r="M85" s="9" t="str">
        <f aca="false">IF(E85="","",IF(AA85&lt;&gt;"ACUMULA","No aplica",IF(LEFT(K85,2)="Sí","Sí","No")))</f>
        <v/>
      </c>
      <c r="N85" s="23" t="str">
        <f aca="false">IF(M85="Sí",AJ85,"")</f>
        <v/>
      </c>
      <c r="O85" s="24" t="str">
        <f aca="false">IF(M85="Sí",AK85,"")</f>
        <v/>
      </c>
      <c r="P85" s="25" t="str">
        <f aca="false">IF(AND(LEFT(D85,6)="XIV - ",LEFT(AX85,5)="AVISO"),"Pedimento (R 16): no va al SPPLD",AX85)</f>
        <v/>
      </c>
      <c r="Q85" s="23" t="str">
        <f aca="false">IF(LEFT(P85,5)="AVISO",IF(ISNUMBER(B85),DATE(YEAR(B85),MONTH(B85)+1,17),"Falta fecha"),"")</f>
        <v/>
      </c>
      <c r="R85" s="9" t="str">
        <f aca="false">IF(OR(F85="",F85=0),"",IF(ISNUMBER(AG85),IF(F85&gt;=AG85,"PROHIBIDO","Dentro del límite"),"No aplica"))</f>
        <v/>
      </c>
      <c r="S85" s="26" t="str">
        <f aca="false">IF(E85="","",MID(IF(AQ85=1," · Excede el perfil declarado","")&amp;IF(H85="Sí"," · Paga un tercero","")&amp;IF(J85="Alto"," · Cliente de riesgo alto: DDR (RCG 23 Ter 3 y 4)","")&amp;IF(AND(AS85&lt;&gt;"",AS85&lt;&gt;"No",AS85&lt;&gt;0)," · PEP","")&amp;IF(R85="PROHIBIDO"," · Efectivo prohibido: no lo recibas (Art. 32)","")&amp;IF(AR85=1," · ⚠ Fecha fuera de orden","")&amp;IF(LEFT(I85,1)="⚠"," · ⚠ Cliente no registrado","")&amp;IF(D85=""," · ⚠ Falta la actividad","")&amp;IF(AND(LEFT(P85,5)="AVISO",W85="")," · Captura la cifra total con IVA para el Aviso","")&amp;IF(AND(ISNUMBER(W85),W85&lt;E85)," · ⚠ La cifra con IVA es menor que el monto sin IVA",""),4,400))</f>
        <v/>
      </c>
      <c r="T85" s="21"/>
      <c r="U85" s="20"/>
      <c r="V85" s="9" t="str">
        <f aca="false">IF(LEFT(P85,5)&lt;&gt;"AVISO","",IF(T85="Presentado",IF(AND(ISNUMBER(U85),ISNUMBER(Q85),U85&gt;Q85),"Presentado tarde","Presentado"),IF(NOT(ISNUMBER(Q85)),"Falta fecha",IF(Q85&lt;CONFIG!$B$6,"VENCIDO","Vence en "&amp;(Q85-CONFIG!$B$6)&amp;" días"))))</f>
        <v/>
      </c>
      <c r="W85" s="22"/>
      <c r="X85" s="21"/>
      <c r="AA85" s="0" t="str">
        <f aca="false">IF(AM85="","",INDEX(CATÁLOGO!$D$5:$D$39,AM85))</f>
        <v/>
      </c>
      <c r="AB85" s="0" t="str">
        <f aca="false">IF(AM85="","",INDEX(CATÁLOGO!$E$5:$E$39,AM85))</f>
        <v/>
      </c>
      <c r="AC85" s="0" t="str">
        <f aca="false">IF(AB85="","",IF(ISNUMBER(AB85),AB85*AV85,AB85))</f>
        <v/>
      </c>
      <c r="AD85" s="0" t="str">
        <f aca="false">IF(AM85="","",INDEX(CATÁLOGO!$F$5:$F$39,AM85))</f>
        <v/>
      </c>
      <c r="AE85" s="0" t="str">
        <f aca="false">IF(AD85="","",IF(ISNUMBER(AD85),AD85*AV85,AD85))</f>
        <v/>
      </c>
      <c r="AF85" s="0" t="str">
        <f aca="false">IF(AM85="","",INDEX(CATÁLOGO!$G$5:$G$39,AM85))</f>
        <v/>
      </c>
      <c r="AG85" s="0" t="str">
        <f aca="false">IF(AF85="","",IF(ISNUMBER(AF85),AF85*AV85,AF85))</f>
        <v/>
      </c>
      <c r="AH85" s="0" t="str">
        <f aca="false">IF(E85="","",C85&amp;"|"&amp;D85)</f>
        <v/>
      </c>
      <c r="AI85" s="27" t="n">
        <f aca="false">IF(M85&lt;&gt;"Sí",0,SUMPRODUCT(MAX(($AH$5:AH84=AH85)*($M$5:M84="Sí")*ROW($AH$5:AH84))))</f>
        <v>0</v>
      </c>
      <c r="AJ85" s="0" t="str">
        <f aca="false">IF(M85&lt;&gt;"Sí","",IF(AL85=1,B85,INDEX($AJ:$AJ,AI85)))</f>
        <v/>
      </c>
      <c r="AK85" s="0" t="str">
        <f aca="false">IF(M85&lt;&gt;"Sí","",IF(AL85=1,E85,INDEX($AK:$AK,AI85)+E85))</f>
        <v/>
      </c>
      <c r="AL85" s="0" t="str">
        <f aca="false">IF(M85&lt;&gt;"Sí","",IF(AI85=0,1,IF(INDEX($AN:$AN,AI85)=0,1,IF(B85&gt;=EDATE(INDEX($AJ:$AJ,AI85),6),1,0))))</f>
        <v/>
      </c>
      <c r="AM85" s="0" t="str">
        <f aca="false">IF(D85="","",IFERROR(MATCH(D85,CATÁLOGO!$C$5:$C$39,0),""))</f>
        <v/>
      </c>
      <c r="AN85" s="0" t="str">
        <f aca="false">IF(M85&lt;&gt;"Sí","",IF(AND(ISNUMBER(AE85),AK85&gt;=AE85),0,1))</f>
        <v/>
      </c>
      <c r="AO85" s="0" t="str">
        <f aca="false">IF(OR(E85="",C85="",NOT(ISNUMBER(B85))),"",SUMIFS($E$6:$E$505,$C$6:$C$505,C85,$B$6:$B$505,"&gt;="&amp;DATE(YEAR(B85),MONTH(B85),1),$B$6:$B$505,"&lt;"&amp;DATE(YEAR(B85),MONTH(B85)+1,1)))</f>
        <v/>
      </c>
      <c r="AP85" s="0" t="str">
        <f aca="false">IF(C85="","",IFERROR(INDEX(CLIENTES!$M$6:$M$305,MATCH(C85,CLIENTES!$A$6:$A$305,0)),""))</f>
        <v/>
      </c>
      <c r="AQ85" s="27" t="n">
        <f aca="false">IF(AND(ISNUMBER(AO85),ISNUMBER(AP85)),IF(AND(AP85&gt;0,AO85&gt;AP85),1,0),0)</f>
        <v>0</v>
      </c>
      <c r="AR85" s="27" t="n">
        <f aca="false">IF(NOT(ISNUMBER(B85)),0,IF(B85&lt;MAX($B$5:B84),1,0))</f>
        <v>0</v>
      </c>
      <c r="AS85" s="0" t="str">
        <f aca="false">IF(C85="","",IFERROR(INDEX(CLIENTES!$H$6:$H$305,MATCH(C85,CLIENTES!$A$6:$A$305,0)),""))</f>
        <v/>
      </c>
      <c r="AT85" s="0" t="str">
        <f aca="false">IF(AND(LEFT(P85,5)="AVISO",T85&lt;&gt;"Presentado",ISNUMBER(Q85)),Q85,"")</f>
        <v/>
      </c>
      <c r="AU85" s="27" t="n">
        <f aca="false">IF(AND(D85="XVI - Activos virtuales (PSAV): operación de intercambio/transferencia",M85="Sí",ISNUMBER(AE85)),IF(AK85&gt;=AE85,1,0),0)</f>
        <v>0</v>
      </c>
      <c r="AV85" s="30" t="n">
        <f aca="false">IF(NOT(ISNUMBER(B85)),CONFIG!$B$4,IFERROR(INDEX(CONFIG!$I$5:$I$14,MATCH(IF(MONTH(B85)=1,YEAR(B85)-1,YEAR(B85)),CONFIG!$H$5:$H$14,0)),CONFIG!$B$4))</f>
        <v>117.31</v>
      </c>
      <c r="AW85" s="27" t="n">
        <f aca="false">IF(AND(LEFT(D85,4)="I - ",ISNUMBER(B85),C85&lt;&gt;""),SUMIFS($E$6:$E$505,$C$6:$C$505,C85,$D$6:$D$505,D85,$B$6:$B$505,"&gt;"&amp;(B85-1),$B$6:$B$505,"&lt;="&amp;B85),0)</f>
        <v>0</v>
      </c>
      <c r="AX85" s="0" t="str">
        <f aca="false">IF(E85="","",IF(AD85="Siempre","AVISO (siempre)",IF(AD85="No aplica","Sin Aviso (sólo preparas: Ley 17 XI)",IF(NOT(ISNUMBER(AE85)),"",IF(AA85&lt;&gt;"ACUMULA",IF(E85&gt;=AE85,IF(AND(D85="XVI - Activos virtuales (PSAV): cobro de contraprestación (comisión) por el servicio",COUNTIFS($C$6:$C$505,C85,$B$6:$B$505,"&gt;="&amp;INT(B85),$B$6:$B$505,"&lt;"&amp;(INT(B85)+1),$AU$6:$AU$505,1)&gt;0),"En el Aviso del inciso a) (R 31 Bis)","AVISO"),"—"),IF(M85&lt;&gt;"Sí","—",IF(AK85&gt;=AE85,IF(AK85=E85,"AVISO","AVISO (acumulado)"),"Acumulando")))))))</f>
        <v/>
      </c>
    </row>
    <row r="86" customFormat="false" ht="15" hidden="false" customHeight="false" outlineLevel="0" collapsed="false">
      <c r="A86" s="9" t="str">
        <f aca="false">IF(E86="","",ROW()-5)</f>
        <v/>
      </c>
      <c r="B86" s="20"/>
      <c r="C86" s="21"/>
      <c r="D86" s="21"/>
      <c r="E86" s="22"/>
      <c r="F86" s="22"/>
      <c r="G86" s="21"/>
      <c r="H86" s="21"/>
      <c r="I86" s="9" t="str">
        <f aca="false">IF(C86="","",IFERROR(INDEX(CLIENTES!$B$6:$B$305,MATCH(C86,CLIENTES!$A$6:$A$305,0)),"⚠ ID no registrado"))</f>
        <v/>
      </c>
      <c r="J86" s="9" t="str">
        <f aca="false">IF(C86="","",IFERROR(INDEX(CLIENTES!$Z$6:$Z$305,MATCH(C86,CLIENTES!$A$6:$A$305,0)),""))</f>
        <v/>
      </c>
      <c r="K86" s="9" t="str">
        <f aca="false">IF(E86="","",IF(AB86="Siempre","Sí",IF(ISNUMBER(AC86),IF(E86&gt;=AC86,"Sí",IF(AW86&gt;=AC86,"Sí (serie 24 h)","No")),"")))</f>
        <v/>
      </c>
      <c r="L86" s="9" t="str">
        <f aca="false">IF(E86="","",AA86)</f>
        <v/>
      </c>
      <c r="M86" s="9" t="str">
        <f aca="false">IF(E86="","",IF(AA86&lt;&gt;"ACUMULA","No aplica",IF(LEFT(K86,2)="Sí","Sí","No")))</f>
        <v/>
      </c>
      <c r="N86" s="23" t="str">
        <f aca="false">IF(M86="Sí",AJ86,"")</f>
        <v/>
      </c>
      <c r="O86" s="24" t="str">
        <f aca="false">IF(M86="Sí",AK86,"")</f>
        <v/>
      </c>
      <c r="P86" s="25" t="str">
        <f aca="false">IF(AND(LEFT(D86,6)="XIV - ",LEFT(AX86,5)="AVISO"),"Pedimento (R 16): no va al SPPLD",AX86)</f>
        <v/>
      </c>
      <c r="Q86" s="23" t="str">
        <f aca="false">IF(LEFT(P86,5)="AVISO",IF(ISNUMBER(B86),DATE(YEAR(B86),MONTH(B86)+1,17),"Falta fecha"),"")</f>
        <v/>
      </c>
      <c r="R86" s="9" t="str">
        <f aca="false">IF(OR(F86="",F86=0),"",IF(ISNUMBER(AG86),IF(F86&gt;=AG86,"PROHIBIDO","Dentro del límite"),"No aplica"))</f>
        <v/>
      </c>
      <c r="S86" s="26" t="str">
        <f aca="false">IF(E86="","",MID(IF(AQ86=1," · Excede el perfil declarado","")&amp;IF(H86="Sí"," · Paga un tercero","")&amp;IF(J86="Alto"," · Cliente de riesgo alto: DDR (RCG 23 Ter 3 y 4)","")&amp;IF(AND(AS86&lt;&gt;"",AS86&lt;&gt;"No",AS86&lt;&gt;0)," · PEP","")&amp;IF(R86="PROHIBIDO"," · Efectivo prohibido: no lo recibas (Art. 32)","")&amp;IF(AR86=1," · ⚠ Fecha fuera de orden","")&amp;IF(LEFT(I86,1)="⚠"," · ⚠ Cliente no registrado","")&amp;IF(D86=""," · ⚠ Falta la actividad","")&amp;IF(AND(LEFT(P86,5)="AVISO",W86="")," · Captura la cifra total con IVA para el Aviso","")&amp;IF(AND(ISNUMBER(W86),W86&lt;E86)," · ⚠ La cifra con IVA es menor que el monto sin IVA",""),4,400))</f>
        <v/>
      </c>
      <c r="T86" s="21"/>
      <c r="U86" s="20"/>
      <c r="V86" s="9" t="str">
        <f aca="false">IF(LEFT(P86,5)&lt;&gt;"AVISO","",IF(T86="Presentado",IF(AND(ISNUMBER(U86),ISNUMBER(Q86),U86&gt;Q86),"Presentado tarde","Presentado"),IF(NOT(ISNUMBER(Q86)),"Falta fecha",IF(Q86&lt;CONFIG!$B$6,"VENCIDO","Vence en "&amp;(Q86-CONFIG!$B$6)&amp;" días"))))</f>
        <v/>
      </c>
      <c r="W86" s="22"/>
      <c r="X86" s="21"/>
      <c r="AA86" s="0" t="str">
        <f aca="false">IF(AM86="","",INDEX(CATÁLOGO!$D$5:$D$39,AM86))</f>
        <v/>
      </c>
      <c r="AB86" s="0" t="str">
        <f aca="false">IF(AM86="","",INDEX(CATÁLOGO!$E$5:$E$39,AM86))</f>
        <v/>
      </c>
      <c r="AC86" s="0" t="str">
        <f aca="false">IF(AB86="","",IF(ISNUMBER(AB86),AB86*AV86,AB86))</f>
        <v/>
      </c>
      <c r="AD86" s="0" t="str">
        <f aca="false">IF(AM86="","",INDEX(CATÁLOGO!$F$5:$F$39,AM86))</f>
        <v/>
      </c>
      <c r="AE86" s="0" t="str">
        <f aca="false">IF(AD86="","",IF(ISNUMBER(AD86),AD86*AV86,AD86))</f>
        <v/>
      </c>
      <c r="AF86" s="0" t="str">
        <f aca="false">IF(AM86="","",INDEX(CATÁLOGO!$G$5:$G$39,AM86))</f>
        <v/>
      </c>
      <c r="AG86" s="0" t="str">
        <f aca="false">IF(AF86="","",IF(ISNUMBER(AF86),AF86*AV86,AF86))</f>
        <v/>
      </c>
      <c r="AH86" s="0" t="str">
        <f aca="false">IF(E86="","",C86&amp;"|"&amp;D86)</f>
        <v/>
      </c>
      <c r="AI86" s="27" t="n">
        <f aca="false">IF(M86&lt;&gt;"Sí",0,SUMPRODUCT(MAX(($AH$5:AH85=AH86)*($M$5:M85="Sí")*ROW($AH$5:AH85))))</f>
        <v>0</v>
      </c>
      <c r="AJ86" s="0" t="str">
        <f aca="false">IF(M86&lt;&gt;"Sí","",IF(AL86=1,B86,INDEX($AJ:$AJ,AI86)))</f>
        <v/>
      </c>
      <c r="AK86" s="0" t="str">
        <f aca="false">IF(M86&lt;&gt;"Sí","",IF(AL86=1,E86,INDEX($AK:$AK,AI86)+E86))</f>
        <v/>
      </c>
      <c r="AL86" s="0" t="str">
        <f aca="false">IF(M86&lt;&gt;"Sí","",IF(AI86=0,1,IF(INDEX($AN:$AN,AI86)=0,1,IF(B86&gt;=EDATE(INDEX($AJ:$AJ,AI86),6),1,0))))</f>
        <v/>
      </c>
      <c r="AM86" s="0" t="str">
        <f aca="false">IF(D86="","",IFERROR(MATCH(D86,CATÁLOGO!$C$5:$C$39,0),""))</f>
        <v/>
      </c>
      <c r="AN86" s="0" t="str">
        <f aca="false">IF(M86&lt;&gt;"Sí","",IF(AND(ISNUMBER(AE86),AK86&gt;=AE86),0,1))</f>
        <v/>
      </c>
      <c r="AO86" s="0" t="str">
        <f aca="false">IF(OR(E86="",C86="",NOT(ISNUMBER(B86))),"",SUMIFS($E$6:$E$505,$C$6:$C$505,C86,$B$6:$B$505,"&gt;="&amp;DATE(YEAR(B86),MONTH(B86),1),$B$6:$B$505,"&lt;"&amp;DATE(YEAR(B86),MONTH(B86)+1,1)))</f>
        <v/>
      </c>
      <c r="AP86" s="0" t="str">
        <f aca="false">IF(C86="","",IFERROR(INDEX(CLIENTES!$M$6:$M$305,MATCH(C86,CLIENTES!$A$6:$A$305,0)),""))</f>
        <v/>
      </c>
      <c r="AQ86" s="27" t="n">
        <f aca="false">IF(AND(ISNUMBER(AO86),ISNUMBER(AP86)),IF(AND(AP86&gt;0,AO86&gt;AP86),1,0),0)</f>
        <v>0</v>
      </c>
      <c r="AR86" s="27" t="n">
        <f aca="false">IF(NOT(ISNUMBER(B86)),0,IF(B86&lt;MAX($B$5:B85),1,0))</f>
        <v>0</v>
      </c>
      <c r="AS86" s="0" t="str">
        <f aca="false">IF(C86="","",IFERROR(INDEX(CLIENTES!$H$6:$H$305,MATCH(C86,CLIENTES!$A$6:$A$305,0)),""))</f>
        <v/>
      </c>
      <c r="AT86" s="0" t="str">
        <f aca="false">IF(AND(LEFT(P86,5)="AVISO",T86&lt;&gt;"Presentado",ISNUMBER(Q86)),Q86,"")</f>
        <v/>
      </c>
      <c r="AU86" s="27" t="n">
        <f aca="false">IF(AND(D86="XVI - Activos virtuales (PSAV): operación de intercambio/transferencia",M86="Sí",ISNUMBER(AE86)),IF(AK86&gt;=AE86,1,0),0)</f>
        <v>0</v>
      </c>
      <c r="AV86" s="30" t="n">
        <f aca="false">IF(NOT(ISNUMBER(B86)),CONFIG!$B$4,IFERROR(INDEX(CONFIG!$I$5:$I$14,MATCH(IF(MONTH(B86)=1,YEAR(B86)-1,YEAR(B86)),CONFIG!$H$5:$H$14,0)),CONFIG!$B$4))</f>
        <v>117.31</v>
      </c>
      <c r="AW86" s="27" t="n">
        <f aca="false">IF(AND(LEFT(D86,4)="I - ",ISNUMBER(B86),C86&lt;&gt;""),SUMIFS($E$6:$E$505,$C$6:$C$505,C86,$D$6:$D$505,D86,$B$6:$B$505,"&gt;"&amp;(B86-1),$B$6:$B$505,"&lt;="&amp;B86),0)</f>
        <v>0</v>
      </c>
      <c r="AX86" s="0" t="str">
        <f aca="false">IF(E86="","",IF(AD86="Siempre","AVISO (siempre)",IF(AD86="No aplica","Sin Aviso (sólo preparas: Ley 17 XI)",IF(NOT(ISNUMBER(AE86)),"",IF(AA86&lt;&gt;"ACUMULA",IF(E86&gt;=AE86,IF(AND(D86="XVI - Activos virtuales (PSAV): cobro de contraprestación (comisión) por el servicio",COUNTIFS($C$6:$C$505,C86,$B$6:$B$505,"&gt;="&amp;INT(B86),$B$6:$B$505,"&lt;"&amp;(INT(B86)+1),$AU$6:$AU$505,1)&gt;0),"En el Aviso del inciso a) (R 31 Bis)","AVISO"),"—"),IF(M86&lt;&gt;"Sí","—",IF(AK86&gt;=AE86,IF(AK86=E86,"AVISO","AVISO (acumulado)"),"Acumulando")))))))</f>
        <v/>
      </c>
    </row>
    <row r="87" customFormat="false" ht="15" hidden="false" customHeight="false" outlineLevel="0" collapsed="false">
      <c r="A87" s="9" t="str">
        <f aca="false">IF(E87="","",ROW()-5)</f>
        <v/>
      </c>
      <c r="B87" s="20"/>
      <c r="C87" s="21"/>
      <c r="D87" s="21"/>
      <c r="E87" s="22"/>
      <c r="F87" s="22"/>
      <c r="G87" s="21"/>
      <c r="H87" s="21"/>
      <c r="I87" s="9" t="str">
        <f aca="false">IF(C87="","",IFERROR(INDEX(CLIENTES!$B$6:$B$305,MATCH(C87,CLIENTES!$A$6:$A$305,0)),"⚠ ID no registrado"))</f>
        <v/>
      </c>
      <c r="J87" s="9" t="str">
        <f aca="false">IF(C87="","",IFERROR(INDEX(CLIENTES!$Z$6:$Z$305,MATCH(C87,CLIENTES!$A$6:$A$305,0)),""))</f>
        <v/>
      </c>
      <c r="K87" s="9" t="str">
        <f aca="false">IF(E87="","",IF(AB87="Siempre","Sí",IF(ISNUMBER(AC87),IF(E87&gt;=AC87,"Sí",IF(AW87&gt;=AC87,"Sí (serie 24 h)","No")),"")))</f>
        <v/>
      </c>
      <c r="L87" s="9" t="str">
        <f aca="false">IF(E87="","",AA87)</f>
        <v/>
      </c>
      <c r="M87" s="9" t="str">
        <f aca="false">IF(E87="","",IF(AA87&lt;&gt;"ACUMULA","No aplica",IF(LEFT(K87,2)="Sí","Sí","No")))</f>
        <v/>
      </c>
      <c r="N87" s="23" t="str">
        <f aca="false">IF(M87="Sí",AJ87,"")</f>
        <v/>
      </c>
      <c r="O87" s="24" t="str">
        <f aca="false">IF(M87="Sí",AK87,"")</f>
        <v/>
      </c>
      <c r="P87" s="25" t="str">
        <f aca="false">IF(AND(LEFT(D87,6)="XIV - ",LEFT(AX87,5)="AVISO"),"Pedimento (R 16): no va al SPPLD",AX87)</f>
        <v/>
      </c>
      <c r="Q87" s="23" t="str">
        <f aca="false">IF(LEFT(P87,5)="AVISO",IF(ISNUMBER(B87),DATE(YEAR(B87),MONTH(B87)+1,17),"Falta fecha"),"")</f>
        <v/>
      </c>
      <c r="R87" s="9" t="str">
        <f aca="false">IF(OR(F87="",F87=0),"",IF(ISNUMBER(AG87),IF(F87&gt;=AG87,"PROHIBIDO","Dentro del límite"),"No aplica"))</f>
        <v/>
      </c>
      <c r="S87" s="26" t="str">
        <f aca="false">IF(E87="","",MID(IF(AQ87=1," · Excede el perfil declarado","")&amp;IF(H87="Sí"," · Paga un tercero","")&amp;IF(J87="Alto"," · Cliente de riesgo alto: DDR (RCG 23 Ter 3 y 4)","")&amp;IF(AND(AS87&lt;&gt;"",AS87&lt;&gt;"No",AS87&lt;&gt;0)," · PEP","")&amp;IF(R87="PROHIBIDO"," · Efectivo prohibido: no lo recibas (Art. 32)","")&amp;IF(AR87=1," · ⚠ Fecha fuera de orden","")&amp;IF(LEFT(I87,1)="⚠"," · ⚠ Cliente no registrado","")&amp;IF(D87=""," · ⚠ Falta la actividad","")&amp;IF(AND(LEFT(P87,5)="AVISO",W87="")," · Captura la cifra total con IVA para el Aviso","")&amp;IF(AND(ISNUMBER(W87),W87&lt;E87)," · ⚠ La cifra con IVA es menor que el monto sin IVA",""),4,400))</f>
        <v/>
      </c>
      <c r="T87" s="21"/>
      <c r="U87" s="20"/>
      <c r="V87" s="9" t="str">
        <f aca="false">IF(LEFT(P87,5)&lt;&gt;"AVISO","",IF(T87="Presentado",IF(AND(ISNUMBER(U87),ISNUMBER(Q87),U87&gt;Q87),"Presentado tarde","Presentado"),IF(NOT(ISNUMBER(Q87)),"Falta fecha",IF(Q87&lt;CONFIG!$B$6,"VENCIDO","Vence en "&amp;(Q87-CONFIG!$B$6)&amp;" días"))))</f>
        <v/>
      </c>
      <c r="W87" s="22"/>
      <c r="X87" s="21"/>
      <c r="AA87" s="0" t="str">
        <f aca="false">IF(AM87="","",INDEX(CATÁLOGO!$D$5:$D$39,AM87))</f>
        <v/>
      </c>
      <c r="AB87" s="0" t="str">
        <f aca="false">IF(AM87="","",INDEX(CATÁLOGO!$E$5:$E$39,AM87))</f>
        <v/>
      </c>
      <c r="AC87" s="0" t="str">
        <f aca="false">IF(AB87="","",IF(ISNUMBER(AB87),AB87*AV87,AB87))</f>
        <v/>
      </c>
      <c r="AD87" s="0" t="str">
        <f aca="false">IF(AM87="","",INDEX(CATÁLOGO!$F$5:$F$39,AM87))</f>
        <v/>
      </c>
      <c r="AE87" s="0" t="str">
        <f aca="false">IF(AD87="","",IF(ISNUMBER(AD87),AD87*AV87,AD87))</f>
        <v/>
      </c>
      <c r="AF87" s="0" t="str">
        <f aca="false">IF(AM87="","",INDEX(CATÁLOGO!$G$5:$G$39,AM87))</f>
        <v/>
      </c>
      <c r="AG87" s="0" t="str">
        <f aca="false">IF(AF87="","",IF(ISNUMBER(AF87),AF87*AV87,AF87))</f>
        <v/>
      </c>
      <c r="AH87" s="0" t="str">
        <f aca="false">IF(E87="","",C87&amp;"|"&amp;D87)</f>
        <v/>
      </c>
      <c r="AI87" s="27" t="n">
        <f aca="false">IF(M87&lt;&gt;"Sí",0,SUMPRODUCT(MAX(($AH$5:AH86=AH87)*($M$5:M86="Sí")*ROW($AH$5:AH86))))</f>
        <v>0</v>
      </c>
      <c r="AJ87" s="0" t="str">
        <f aca="false">IF(M87&lt;&gt;"Sí","",IF(AL87=1,B87,INDEX($AJ:$AJ,AI87)))</f>
        <v/>
      </c>
      <c r="AK87" s="0" t="str">
        <f aca="false">IF(M87&lt;&gt;"Sí","",IF(AL87=1,E87,INDEX($AK:$AK,AI87)+E87))</f>
        <v/>
      </c>
      <c r="AL87" s="0" t="str">
        <f aca="false">IF(M87&lt;&gt;"Sí","",IF(AI87=0,1,IF(INDEX($AN:$AN,AI87)=0,1,IF(B87&gt;=EDATE(INDEX($AJ:$AJ,AI87),6),1,0))))</f>
        <v/>
      </c>
      <c r="AM87" s="0" t="str">
        <f aca="false">IF(D87="","",IFERROR(MATCH(D87,CATÁLOGO!$C$5:$C$39,0),""))</f>
        <v/>
      </c>
      <c r="AN87" s="0" t="str">
        <f aca="false">IF(M87&lt;&gt;"Sí","",IF(AND(ISNUMBER(AE87),AK87&gt;=AE87),0,1))</f>
        <v/>
      </c>
      <c r="AO87" s="0" t="str">
        <f aca="false">IF(OR(E87="",C87="",NOT(ISNUMBER(B87))),"",SUMIFS($E$6:$E$505,$C$6:$C$505,C87,$B$6:$B$505,"&gt;="&amp;DATE(YEAR(B87),MONTH(B87),1),$B$6:$B$505,"&lt;"&amp;DATE(YEAR(B87),MONTH(B87)+1,1)))</f>
        <v/>
      </c>
      <c r="AP87" s="0" t="str">
        <f aca="false">IF(C87="","",IFERROR(INDEX(CLIENTES!$M$6:$M$305,MATCH(C87,CLIENTES!$A$6:$A$305,0)),""))</f>
        <v/>
      </c>
      <c r="AQ87" s="27" t="n">
        <f aca="false">IF(AND(ISNUMBER(AO87),ISNUMBER(AP87)),IF(AND(AP87&gt;0,AO87&gt;AP87),1,0),0)</f>
        <v>0</v>
      </c>
      <c r="AR87" s="27" t="n">
        <f aca="false">IF(NOT(ISNUMBER(B87)),0,IF(B87&lt;MAX($B$5:B86),1,0))</f>
        <v>0</v>
      </c>
      <c r="AS87" s="0" t="str">
        <f aca="false">IF(C87="","",IFERROR(INDEX(CLIENTES!$H$6:$H$305,MATCH(C87,CLIENTES!$A$6:$A$305,0)),""))</f>
        <v/>
      </c>
      <c r="AT87" s="0" t="str">
        <f aca="false">IF(AND(LEFT(P87,5)="AVISO",T87&lt;&gt;"Presentado",ISNUMBER(Q87)),Q87,"")</f>
        <v/>
      </c>
      <c r="AU87" s="27" t="n">
        <f aca="false">IF(AND(D87="XVI - Activos virtuales (PSAV): operación de intercambio/transferencia",M87="Sí",ISNUMBER(AE87)),IF(AK87&gt;=AE87,1,0),0)</f>
        <v>0</v>
      </c>
      <c r="AV87" s="30" t="n">
        <f aca="false">IF(NOT(ISNUMBER(B87)),CONFIG!$B$4,IFERROR(INDEX(CONFIG!$I$5:$I$14,MATCH(IF(MONTH(B87)=1,YEAR(B87)-1,YEAR(B87)),CONFIG!$H$5:$H$14,0)),CONFIG!$B$4))</f>
        <v>117.31</v>
      </c>
      <c r="AW87" s="27" t="n">
        <f aca="false">IF(AND(LEFT(D87,4)="I - ",ISNUMBER(B87),C87&lt;&gt;""),SUMIFS($E$6:$E$505,$C$6:$C$505,C87,$D$6:$D$505,D87,$B$6:$B$505,"&gt;"&amp;(B87-1),$B$6:$B$505,"&lt;="&amp;B87),0)</f>
        <v>0</v>
      </c>
      <c r="AX87" s="0" t="str">
        <f aca="false">IF(E87="","",IF(AD87="Siempre","AVISO (siempre)",IF(AD87="No aplica","Sin Aviso (sólo preparas: Ley 17 XI)",IF(NOT(ISNUMBER(AE87)),"",IF(AA87&lt;&gt;"ACUMULA",IF(E87&gt;=AE87,IF(AND(D87="XVI - Activos virtuales (PSAV): cobro de contraprestación (comisión) por el servicio",COUNTIFS($C$6:$C$505,C87,$B$6:$B$505,"&gt;="&amp;INT(B87),$B$6:$B$505,"&lt;"&amp;(INT(B87)+1),$AU$6:$AU$505,1)&gt;0),"En el Aviso del inciso a) (R 31 Bis)","AVISO"),"—"),IF(M87&lt;&gt;"Sí","—",IF(AK87&gt;=AE87,IF(AK87=E87,"AVISO","AVISO (acumulado)"),"Acumulando")))))))</f>
        <v/>
      </c>
    </row>
    <row r="88" customFormat="false" ht="15" hidden="false" customHeight="false" outlineLevel="0" collapsed="false">
      <c r="A88" s="9" t="str">
        <f aca="false">IF(E88="","",ROW()-5)</f>
        <v/>
      </c>
      <c r="B88" s="20"/>
      <c r="C88" s="21"/>
      <c r="D88" s="21"/>
      <c r="E88" s="22"/>
      <c r="F88" s="22"/>
      <c r="G88" s="21"/>
      <c r="H88" s="21"/>
      <c r="I88" s="9" t="str">
        <f aca="false">IF(C88="","",IFERROR(INDEX(CLIENTES!$B$6:$B$305,MATCH(C88,CLIENTES!$A$6:$A$305,0)),"⚠ ID no registrado"))</f>
        <v/>
      </c>
      <c r="J88" s="9" t="str">
        <f aca="false">IF(C88="","",IFERROR(INDEX(CLIENTES!$Z$6:$Z$305,MATCH(C88,CLIENTES!$A$6:$A$305,0)),""))</f>
        <v/>
      </c>
      <c r="K88" s="9" t="str">
        <f aca="false">IF(E88="","",IF(AB88="Siempre","Sí",IF(ISNUMBER(AC88),IF(E88&gt;=AC88,"Sí",IF(AW88&gt;=AC88,"Sí (serie 24 h)","No")),"")))</f>
        <v/>
      </c>
      <c r="L88" s="9" t="str">
        <f aca="false">IF(E88="","",AA88)</f>
        <v/>
      </c>
      <c r="M88" s="9" t="str">
        <f aca="false">IF(E88="","",IF(AA88&lt;&gt;"ACUMULA","No aplica",IF(LEFT(K88,2)="Sí","Sí","No")))</f>
        <v/>
      </c>
      <c r="N88" s="23" t="str">
        <f aca="false">IF(M88="Sí",AJ88,"")</f>
        <v/>
      </c>
      <c r="O88" s="24" t="str">
        <f aca="false">IF(M88="Sí",AK88,"")</f>
        <v/>
      </c>
      <c r="P88" s="25" t="str">
        <f aca="false">IF(AND(LEFT(D88,6)="XIV - ",LEFT(AX88,5)="AVISO"),"Pedimento (R 16): no va al SPPLD",AX88)</f>
        <v/>
      </c>
      <c r="Q88" s="23" t="str">
        <f aca="false">IF(LEFT(P88,5)="AVISO",IF(ISNUMBER(B88),DATE(YEAR(B88),MONTH(B88)+1,17),"Falta fecha"),"")</f>
        <v/>
      </c>
      <c r="R88" s="9" t="str">
        <f aca="false">IF(OR(F88="",F88=0),"",IF(ISNUMBER(AG88),IF(F88&gt;=AG88,"PROHIBIDO","Dentro del límite"),"No aplica"))</f>
        <v/>
      </c>
      <c r="S88" s="26" t="str">
        <f aca="false">IF(E88="","",MID(IF(AQ88=1," · Excede el perfil declarado","")&amp;IF(H88="Sí"," · Paga un tercero","")&amp;IF(J88="Alto"," · Cliente de riesgo alto: DDR (RCG 23 Ter 3 y 4)","")&amp;IF(AND(AS88&lt;&gt;"",AS88&lt;&gt;"No",AS88&lt;&gt;0)," · PEP","")&amp;IF(R88="PROHIBIDO"," · Efectivo prohibido: no lo recibas (Art. 32)","")&amp;IF(AR88=1," · ⚠ Fecha fuera de orden","")&amp;IF(LEFT(I88,1)="⚠"," · ⚠ Cliente no registrado","")&amp;IF(D88=""," · ⚠ Falta la actividad","")&amp;IF(AND(LEFT(P88,5)="AVISO",W88="")," · Captura la cifra total con IVA para el Aviso","")&amp;IF(AND(ISNUMBER(W88),W88&lt;E88)," · ⚠ La cifra con IVA es menor que el monto sin IVA",""),4,400))</f>
        <v/>
      </c>
      <c r="T88" s="21"/>
      <c r="U88" s="20"/>
      <c r="V88" s="9" t="str">
        <f aca="false">IF(LEFT(P88,5)&lt;&gt;"AVISO","",IF(T88="Presentado",IF(AND(ISNUMBER(U88),ISNUMBER(Q88),U88&gt;Q88),"Presentado tarde","Presentado"),IF(NOT(ISNUMBER(Q88)),"Falta fecha",IF(Q88&lt;CONFIG!$B$6,"VENCIDO","Vence en "&amp;(Q88-CONFIG!$B$6)&amp;" días"))))</f>
        <v/>
      </c>
      <c r="W88" s="22"/>
      <c r="X88" s="21"/>
      <c r="AA88" s="0" t="str">
        <f aca="false">IF(AM88="","",INDEX(CATÁLOGO!$D$5:$D$39,AM88))</f>
        <v/>
      </c>
      <c r="AB88" s="0" t="str">
        <f aca="false">IF(AM88="","",INDEX(CATÁLOGO!$E$5:$E$39,AM88))</f>
        <v/>
      </c>
      <c r="AC88" s="0" t="str">
        <f aca="false">IF(AB88="","",IF(ISNUMBER(AB88),AB88*AV88,AB88))</f>
        <v/>
      </c>
      <c r="AD88" s="0" t="str">
        <f aca="false">IF(AM88="","",INDEX(CATÁLOGO!$F$5:$F$39,AM88))</f>
        <v/>
      </c>
      <c r="AE88" s="0" t="str">
        <f aca="false">IF(AD88="","",IF(ISNUMBER(AD88),AD88*AV88,AD88))</f>
        <v/>
      </c>
      <c r="AF88" s="0" t="str">
        <f aca="false">IF(AM88="","",INDEX(CATÁLOGO!$G$5:$G$39,AM88))</f>
        <v/>
      </c>
      <c r="AG88" s="0" t="str">
        <f aca="false">IF(AF88="","",IF(ISNUMBER(AF88),AF88*AV88,AF88))</f>
        <v/>
      </c>
      <c r="AH88" s="0" t="str">
        <f aca="false">IF(E88="","",C88&amp;"|"&amp;D88)</f>
        <v/>
      </c>
      <c r="AI88" s="27" t="n">
        <f aca="false">IF(M88&lt;&gt;"Sí",0,SUMPRODUCT(MAX(($AH$5:AH87=AH88)*($M$5:M87="Sí")*ROW($AH$5:AH87))))</f>
        <v>0</v>
      </c>
      <c r="AJ88" s="0" t="str">
        <f aca="false">IF(M88&lt;&gt;"Sí","",IF(AL88=1,B88,INDEX($AJ:$AJ,AI88)))</f>
        <v/>
      </c>
      <c r="AK88" s="0" t="str">
        <f aca="false">IF(M88&lt;&gt;"Sí","",IF(AL88=1,E88,INDEX($AK:$AK,AI88)+E88))</f>
        <v/>
      </c>
      <c r="AL88" s="0" t="str">
        <f aca="false">IF(M88&lt;&gt;"Sí","",IF(AI88=0,1,IF(INDEX($AN:$AN,AI88)=0,1,IF(B88&gt;=EDATE(INDEX($AJ:$AJ,AI88),6),1,0))))</f>
        <v/>
      </c>
      <c r="AM88" s="0" t="str">
        <f aca="false">IF(D88="","",IFERROR(MATCH(D88,CATÁLOGO!$C$5:$C$39,0),""))</f>
        <v/>
      </c>
      <c r="AN88" s="0" t="str">
        <f aca="false">IF(M88&lt;&gt;"Sí","",IF(AND(ISNUMBER(AE88),AK88&gt;=AE88),0,1))</f>
        <v/>
      </c>
      <c r="AO88" s="0" t="str">
        <f aca="false">IF(OR(E88="",C88="",NOT(ISNUMBER(B88))),"",SUMIFS($E$6:$E$505,$C$6:$C$505,C88,$B$6:$B$505,"&gt;="&amp;DATE(YEAR(B88),MONTH(B88),1),$B$6:$B$505,"&lt;"&amp;DATE(YEAR(B88),MONTH(B88)+1,1)))</f>
        <v/>
      </c>
      <c r="AP88" s="0" t="str">
        <f aca="false">IF(C88="","",IFERROR(INDEX(CLIENTES!$M$6:$M$305,MATCH(C88,CLIENTES!$A$6:$A$305,0)),""))</f>
        <v/>
      </c>
      <c r="AQ88" s="27" t="n">
        <f aca="false">IF(AND(ISNUMBER(AO88),ISNUMBER(AP88)),IF(AND(AP88&gt;0,AO88&gt;AP88),1,0),0)</f>
        <v>0</v>
      </c>
      <c r="AR88" s="27" t="n">
        <f aca="false">IF(NOT(ISNUMBER(B88)),0,IF(B88&lt;MAX($B$5:B87),1,0))</f>
        <v>0</v>
      </c>
      <c r="AS88" s="0" t="str">
        <f aca="false">IF(C88="","",IFERROR(INDEX(CLIENTES!$H$6:$H$305,MATCH(C88,CLIENTES!$A$6:$A$305,0)),""))</f>
        <v/>
      </c>
      <c r="AT88" s="0" t="str">
        <f aca="false">IF(AND(LEFT(P88,5)="AVISO",T88&lt;&gt;"Presentado",ISNUMBER(Q88)),Q88,"")</f>
        <v/>
      </c>
      <c r="AU88" s="27" t="n">
        <f aca="false">IF(AND(D88="XVI - Activos virtuales (PSAV): operación de intercambio/transferencia",M88="Sí",ISNUMBER(AE88)),IF(AK88&gt;=AE88,1,0),0)</f>
        <v>0</v>
      </c>
      <c r="AV88" s="30" t="n">
        <f aca="false">IF(NOT(ISNUMBER(B88)),CONFIG!$B$4,IFERROR(INDEX(CONFIG!$I$5:$I$14,MATCH(IF(MONTH(B88)=1,YEAR(B88)-1,YEAR(B88)),CONFIG!$H$5:$H$14,0)),CONFIG!$B$4))</f>
        <v>117.31</v>
      </c>
      <c r="AW88" s="27" t="n">
        <f aca="false">IF(AND(LEFT(D88,4)="I - ",ISNUMBER(B88),C88&lt;&gt;""),SUMIFS($E$6:$E$505,$C$6:$C$505,C88,$D$6:$D$505,D88,$B$6:$B$505,"&gt;"&amp;(B88-1),$B$6:$B$505,"&lt;="&amp;B88),0)</f>
        <v>0</v>
      </c>
      <c r="AX88" s="0" t="str">
        <f aca="false">IF(E88="","",IF(AD88="Siempre","AVISO (siempre)",IF(AD88="No aplica","Sin Aviso (sólo preparas: Ley 17 XI)",IF(NOT(ISNUMBER(AE88)),"",IF(AA88&lt;&gt;"ACUMULA",IF(E88&gt;=AE88,IF(AND(D88="XVI - Activos virtuales (PSAV): cobro de contraprestación (comisión) por el servicio",COUNTIFS($C$6:$C$505,C88,$B$6:$B$505,"&gt;="&amp;INT(B88),$B$6:$B$505,"&lt;"&amp;(INT(B88)+1),$AU$6:$AU$505,1)&gt;0),"En el Aviso del inciso a) (R 31 Bis)","AVISO"),"—"),IF(M88&lt;&gt;"Sí","—",IF(AK88&gt;=AE88,IF(AK88=E88,"AVISO","AVISO (acumulado)"),"Acumulando")))))))</f>
        <v/>
      </c>
    </row>
    <row r="89" customFormat="false" ht="15" hidden="false" customHeight="false" outlineLevel="0" collapsed="false">
      <c r="A89" s="9" t="str">
        <f aca="false">IF(E89="","",ROW()-5)</f>
        <v/>
      </c>
      <c r="B89" s="20"/>
      <c r="C89" s="21"/>
      <c r="D89" s="21"/>
      <c r="E89" s="22"/>
      <c r="F89" s="22"/>
      <c r="G89" s="21"/>
      <c r="H89" s="21"/>
      <c r="I89" s="9" t="str">
        <f aca="false">IF(C89="","",IFERROR(INDEX(CLIENTES!$B$6:$B$305,MATCH(C89,CLIENTES!$A$6:$A$305,0)),"⚠ ID no registrado"))</f>
        <v/>
      </c>
      <c r="J89" s="9" t="str">
        <f aca="false">IF(C89="","",IFERROR(INDEX(CLIENTES!$Z$6:$Z$305,MATCH(C89,CLIENTES!$A$6:$A$305,0)),""))</f>
        <v/>
      </c>
      <c r="K89" s="9" t="str">
        <f aca="false">IF(E89="","",IF(AB89="Siempre","Sí",IF(ISNUMBER(AC89),IF(E89&gt;=AC89,"Sí",IF(AW89&gt;=AC89,"Sí (serie 24 h)","No")),"")))</f>
        <v/>
      </c>
      <c r="L89" s="9" t="str">
        <f aca="false">IF(E89="","",AA89)</f>
        <v/>
      </c>
      <c r="M89" s="9" t="str">
        <f aca="false">IF(E89="","",IF(AA89&lt;&gt;"ACUMULA","No aplica",IF(LEFT(K89,2)="Sí","Sí","No")))</f>
        <v/>
      </c>
      <c r="N89" s="23" t="str">
        <f aca="false">IF(M89="Sí",AJ89,"")</f>
        <v/>
      </c>
      <c r="O89" s="24" t="str">
        <f aca="false">IF(M89="Sí",AK89,"")</f>
        <v/>
      </c>
      <c r="P89" s="25" t="str">
        <f aca="false">IF(AND(LEFT(D89,6)="XIV - ",LEFT(AX89,5)="AVISO"),"Pedimento (R 16): no va al SPPLD",AX89)</f>
        <v/>
      </c>
      <c r="Q89" s="23" t="str">
        <f aca="false">IF(LEFT(P89,5)="AVISO",IF(ISNUMBER(B89),DATE(YEAR(B89),MONTH(B89)+1,17),"Falta fecha"),"")</f>
        <v/>
      </c>
      <c r="R89" s="9" t="str">
        <f aca="false">IF(OR(F89="",F89=0),"",IF(ISNUMBER(AG89),IF(F89&gt;=AG89,"PROHIBIDO","Dentro del límite"),"No aplica"))</f>
        <v/>
      </c>
      <c r="S89" s="26" t="str">
        <f aca="false">IF(E89="","",MID(IF(AQ89=1," · Excede el perfil declarado","")&amp;IF(H89="Sí"," · Paga un tercero","")&amp;IF(J89="Alto"," · Cliente de riesgo alto: DDR (RCG 23 Ter 3 y 4)","")&amp;IF(AND(AS89&lt;&gt;"",AS89&lt;&gt;"No",AS89&lt;&gt;0)," · PEP","")&amp;IF(R89="PROHIBIDO"," · Efectivo prohibido: no lo recibas (Art. 32)","")&amp;IF(AR89=1," · ⚠ Fecha fuera de orden","")&amp;IF(LEFT(I89,1)="⚠"," · ⚠ Cliente no registrado","")&amp;IF(D89=""," · ⚠ Falta la actividad","")&amp;IF(AND(LEFT(P89,5)="AVISO",W89="")," · Captura la cifra total con IVA para el Aviso","")&amp;IF(AND(ISNUMBER(W89),W89&lt;E89)," · ⚠ La cifra con IVA es menor que el monto sin IVA",""),4,400))</f>
        <v/>
      </c>
      <c r="T89" s="21"/>
      <c r="U89" s="20"/>
      <c r="V89" s="9" t="str">
        <f aca="false">IF(LEFT(P89,5)&lt;&gt;"AVISO","",IF(T89="Presentado",IF(AND(ISNUMBER(U89),ISNUMBER(Q89),U89&gt;Q89),"Presentado tarde","Presentado"),IF(NOT(ISNUMBER(Q89)),"Falta fecha",IF(Q89&lt;CONFIG!$B$6,"VENCIDO","Vence en "&amp;(Q89-CONFIG!$B$6)&amp;" días"))))</f>
        <v/>
      </c>
      <c r="W89" s="22"/>
      <c r="X89" s="21"/>
      <c r="AA89" s="0" t="str">
        <f aca="false">IF(AM89="","",INDEX(CATÁLOGO!$D$5:$D$39,AM89))</f>
        <v/>
      </c>
      <c r="AB89" s="0" t="str">
        <f aca="false">IF(AM89="","",INDEX(CATÁLOGO!$E$5:$E$39,AM89))</f>
        <v/>
      </c>
      <c r="AC89" s="0" t="str">
        <f aca="false">IF(AB89="","",IF(ISNUMBER(AB89),AB89*AV89,AB89))</f>
        <v/>
      </c>
      <c r="AD89" s="0" t="str">
        <f aca="false">IF(AM89="","",INDEX(CATÁLOGO!$F$5:$F$39,AM89))</f>
        <v/>
      </c>
      <c r="AE89" s="0" t="str">
        <f aca="false">IF(AD89="","",IF(ISNUMBER(AD89),AD89*AV89,AD89))</f>
        <v/>
      </c>
      <c r="AF89" s="0" t="str">
        <f aca="false">IF(AM89="","",INDEX(CATÁLOGO!$G$5:$G$39,AM89))</f>
        <v/>
      </c>
      <c r="AG89" s="0" t="str">
        <f aca="false">IF(AF89="","",IF(ISNUMBER(AF89),AF89*AV89,AF89))</f>
        <v/>
      </c>
      <c r="AH89" s="0" t="str">
        <f aca="false">IF(E89="","",C89&amp;"|"&amp;D89)</f>
        <v/>
      </c>
      <c r="AI89" s="27" t="n">
        <f aca="false">IF(M89&lt;&gt;"Sí",0,SUMPRODUCT(MAX(($AH$5:AH88=AH89)*($M$5:M88="Sí")*ROW($AH$5:AH88))))</f>
        <v>0</v>
      </c>
      <c r="AJ89" s="0" t="str">
        <f aca="false">IF(M89&lt;&gt;"Sí","",IF(AL89=1,B89,INDEX($AJ:$AJ,AI89)))</f>
        <v/>
      </c>
      <c r="AK89" s="0" t="str">
        <f aca="false">IF(M89&lt;&gt;"Sí","",IF(AL89=1,E89,INDEX($AK:$AK,AI89)+E89))</f>
        <v/>
      </c>
      <c r="AL89" s="0" t="str">
        <f aca="false">IF(M89&lt;&gt;"Sí","",IF(AI89=0,1,IF(INDEX($AN:$AN,AI89)=0,1,IF(B89&gt;=EDATE(INDEX($AJ:$AJ,AI89),6),1,0))))</f>
        <v/>
      </c>
      <c r="AM89" s="0" t="str">
        <f aca="false">IF(D89="","",IFERROR(MATCH(D89,CATÁLOGO!$C$5:$C$39,0),""))</f>
        <v/>
      </c>
      <c r="AN89" s="0" t="str">
        <f aca="false">IF(M89&lt;&gt;"Sí","",IF(AND(ISNUMBER(AE89),AK89&gt;=AE89),0,1))</f>
        <v/>
      </c>
      <c r="AO89" s="0" t="str">
        <f aca="false">IF(OR(E89="",C89="",NOT(ISNUMBER(B89))),"",SUMIFS($E$6:$E$505,$C$6:$C$505,C89,$B$6:$B$505,"&gt;="&amp;DATE(YEAR(B89),MONTH(B89),1),$B$6:$B$505,"&lt;"&amp;DATE(YEAR(B89),MONTH(B89)+1,1)))</f>
        <v/>
      </c>
      <c r="AP89" s="0" t="str">
        <f aca="false">IF(C89="","",IFERROR(INDEX(CLIENTES!$M$6:$M$305,MATCH(C89,CLIENTES!$A$6:$A$305,0)),""))</f>
        <v/>
      </c>
      <c r="AQ89" s="27" t="n">
        <f aca="false">IF(AND(ISNUMBER(AO89),ISNUMBER(AP89)),IF(AND(AP89&gt;0,AO89&gt;AP89),1,0),0)</f>
        <v>0</v>
      </c>
      <c r="AR89" s="27" t="n">
        <f aca="false">IF(NOT(ISNUMBER(B89)),0,IF(B89&lt;MAX($B$5:B88),1,0))</f>
        <v>0</v>
      </c>
      <c r="AS89" s="0" t="str">
        <f aca="false">IF(C89="","",IFERROR(INDEX(CLIENTES!$H$6:$H$305,MATCH(C89,CLIENTES!$A$6:$A$305,0)),""))</f>
        <v/>
      </c>
      <c r="AT89" s="0" t="str">
        <f aca="false">IF(AND(LEFT(P89,5)="AVISO",T89&lt;&gt;"Presentado",ISNUMBER(Q89)),Q89,"")</f>
        <v/>
      </c>
      <c r="AU89" s="27" t="n">
        <f aca="false">IF(AND(D89="XVI - Activos virtuales (PSAV): operación de intercambio/transferencia",M89="Sí",ISNUMBER(AE89)),IF(AK89&gt;=AE89,1,0),0)</f>
        <v>0</v>
      </c>
      <c r="AV89" s="30" t="n">
        <f aca="false">IF(NOT(ISNUMBER(B89)),CONFIG!$B$4,IFERROR(INDEX(CONFIG!$I$5:$I$14,MATCH(IF(MONTH(B89)=1,YEAR(B89)-1,YEAR(B89)),CONFIG!$H$5:$H$14,0)),CONFIG!$B$4))</f>
        <v>117.31</v>
      </c>
      <c r="AW89" s="27" t="n">
        <f aca="false">IF(AND(LEFT(D89,4)="I - ",ISNUMBER(B89),C89&lt;&gt;""),SUMIFS($E$6:$E$505,$C$6:$C$505,C89,$D$6:$D$505,D89,$B$6:$B$505,"&gt;"&amp;(B89-1),$B$6:$B$505,"&lt;="&amp;B89),0)</f>
        <v>0</v>
      </c>
      <c r="AX89" s="0" t="str">
        <f aca="false">IF(E89="","",IF(AD89="Siempre","AVISO (siempre)",IF(AD89="No aplica","Sin Aviso (sólo preparas: Ley 17 XI)",IF(NOT(ISNUMBER(AE89)),"",IF(AA89&lt;&gt;"ACUMULA",IF(E89&gt;=AE89,IF(AND(D89="XVI - Activos virtuales (PSAV): cobro de contraprestación (comisión) por el servicio",COUNTIFS($C$6:$C$505,C89,$B$6:$B$505,"&gt;="&amp;INT(B89),$B$6:$B$505,"&lt;"&amp;(INT(B89)+1),$AU$6:$AU$505,1)&gt;0),"En el Aviso del inciso a) (R 31 Bis)","AVISO"),"—"),IF(M89&lt;&gt;"Sí","—",IF(AK89&gt;=AE89,IF(AK89=E89,"AVISO","AVISO (acumulado)"),"Acumulando")))))))</f>
        <v/>
      </c>
    </row>
    <row r="90" customFormat="false" ht="15" hidden="false" customHeight="false" outlineLevel="0" collapsed="false">
      <c r="A90" s="9" t="str">
        <f aca="false">IF(E90="","",ROW()-5)</f>
        <v/>
      </c>
      <c r="B90" s="20"/>
      <c r="C90" s="21"/>
      <c r="D90" s="21"/>
      <c r="E90" s="22"/>
      <c r="F90" s="22"/>
      <c r="G90" s="21"/>
      <c r="H90" s="21"/>
      <c r="I90" s="9" t="str">
        <f aca="false">IF(C90="","",IFERROR(INDEX(CLIENTES!$B$6:$B$305,MATCH(C90,CLIENTES!$A$6:$A$305,0)),"⚠ ID no registrado"))</f>
        <v/>
      </c>
      <c r="J90" s="9" t="str">
        <f aca="false">IF(C90="","",IFERROR(INDEX(CLIENTES!$Z$6:$Z$305,MATCH(C90,CLIENTES!$A$6:$A$305,0)),""))</f>
        <v/>
      </c>
      <c r="K90" s="9" t="str">
        <f aca="false">IF(E90="","",IF(AB90="Siempre","Sí",IF(ISNUMBER(AC90),IF(E90&gt;=AC90,"Sí",IF(AW90&gt;=AC90,"Sí (serie 24 h)","No")),"")))</f>
        <v/>
      </c>
      <c r="L90" s="9" t="str">
        <f aca="false">IF(E90="","",AA90)</f>
        <v/>
      </c>
      <c r="M90" s="9" t="str">
        <f aca="false">IF(E90="","",IF(AA90&lt;&gt;"ACUMULA","No aplica",IF(LEFT(K90,2)="Sí","Sí","No")))</f>
        <v/>
      </c>
      <c r="N90" s="23" t="str">
        <f aca="false">IF(M90="Sí",AJ90,"")</f>
        <v/>
      </c>
      <c r="O90" s="24" t="str">
        <f aca="false">IF(M90="Sí",AK90,"")</f>
        <v/>
      </c>
      <c r="P90" s="25" t="str">
        <f aca="false">IF(AND(LEFT(D90,6)="XIV - ",LEFT(AX90,5)="AVISO"),"Pedimento (R 16): no va al SPPLD",AX90)</f>
        <v/>
      </c>
      <c r="Q90" s="23" t="str">
        <f aca="false">IF(LEFT(P90,5)="AVISO",IF(ISNUMBER(B90),DATE(YEAR(B90),MONTH(B90)+1,17),"Falta fecha"),"")</f>
        <v/>
      </c>
      <c r="R90" s="9" t="str">
        <f aca="false">IF(OR(F90="",F90=0),"",IF(ISNUMBER(AG90),IF(F90&gt;=AG90,"PROHIBIDO","Dentro del límite"),"No aplica"))</f>
        <v/>
      </c>
      <c r="S90" s="26" t="str">
        <f aca="false">IF(E90="","",MID(IF(AQ90=1," · Excede el perfil declarado","")&amp;IF(H90="Sí"," · Paga un tercero","")&amp;IF(J90="Alto"," · Cliente de riesgo alto: DDR (RCG 23 Ter 3 y 4)","")&amp;IF(AND(AS90&lt;&gt;"",AS90&lt;&gt;"No",AS90&lt;&gt;0)," · PEP","")&amp;IF(R90="PROHIBIDO"," · Efectivo prohibido: no lo recibas (Art. 32)","")&amp;IF(AR90=1," · ⚠ Fecha fuera de orden","")&amp;IF(LEFT(I90,1)="⚠"," · ⚠ Cliente no registrado","")&amp;IF(D90=""," · ⚠ Falta la actividad","")&amp;IF(AND(LEFT(P90,5)="AVISO",W90="")," · Captura la cifra total con IVA para el Aviso","")&amp;IF(AND(ISNUMBER(W90),W90&lt;E90)," · ⚠ La cifra con IVA es menor que el monto sin IVA",""),4,400))</f>
        <v/>
      </c>
      <c r="T90" s="21"/>
      <c r="U90" s="20"/>
      <c r="V90" s="9" t="str">
        <f aca="false">IF(LEFT(P90,5)&lt;&gt;"AVISO","",IF(T90="Presentado",IF(AND(ISNUMBER(U90),ISNUMBER(Q90),U90&gt;Q90),"Presentado tarde","Presentado"),IF(NOT(ISNUMBER(Q90)),"Falta fecha",IF(Q90&lt;CONFIG!$B$6,"VENCIDO","Vence en "&amp;(Q90-CONFIG!$B$6)&amp;" días"))))</f>
        <v/>
      </c>
      <c r="W90" s="22"/>
      <c r="X90" s="21"/>
      <c r="AA90" s="0" t="str">
        <f aca="false">IF(AM90="","",INDEX(CATÁLOGO!$D$5:$D$39,AM90))</f>
        <v/>
      </c>
      <c r="AB90" s="0" t="str">
        <f aca="false">IF(AM90="","",INDEX(CATÁLOGO!$E$5:$E$39,AM90))</f>
        <v/>
      </c>
      <c r="AC90" s="0" t="str">
        <f aca="false">IF(AB90="","",IF(ISNUMBER(AB90),AB90*AV90,AB90))</f>
        <v/>
      </c>
      <c r="AD90" s="0" t="str">
        <f aca="false">IF(AM90="","",INDEX(CATÁLOGO!$F$5:$F$39,AM90))</f>
        <v/>
      </c>
      <c r="AE90" s="0" t="str">
        <f aca="false">IF(AD90="","",IF(ISNUMBER(AD90),AD90*AV90,AD90))</f>
        <v/>
      </c>
      <c r="AF90" s="0" t="str">
        <f aca="false">IF(AM90="","",INDEX(CATÁLOGO!$G$5:$G$39,AM90))</f>
        <v/>
      </c>
      <c r="AG90" s="0" t="str">
        <f aca="false">IF(AF90="","",IF(ISNUMBER(AF90),AF90*AV90,AF90))</f>
        <v/>
      </c>
      <c r="AH90" s="0" t="str">
        <f aca="false">IF(E90="","",C90&amp;"|"&amp;D90)</f>
        <v/>
      </c>
      <c r="AI90" s="27" t="n">
        <f aca="false">IF(M90&lt;&gt;"Sí",0,SUMPRODUCT(MAX(($AH$5:AH89=AH90)*($M$5:M89="Sí")*ROW($AH$5:AH89))))</f>
        <v>0</v>
      </c>
      <c r="AJ90" s="0" t="str">
        <f aca="false">IF(M90&lt;&gt;"Sí","",IF(AL90=1,B90,INDEX($AJ:$AJ,AI90)))</f>
        <v/>
      </c>
      <c r="AK90" s="0" t="str">
        <f aca="false">IF(M90&lt;&gt;"Sí","",IF(AL90=1,E90,INDEX($AK:$AK,AI90)+E90))</f>
        <v/>
      </c>
      <c r="AL90" s="0" t="str">
        <f aca="false">IF(M90&lt;&gt;"Sí","",IF(AI90=0,1,IF(INDEX($AN:$AN,AI90)=0,1,IF(B90&gt;=EDATE(INDEX($AJ:$AJ,AI90),6),1,0))))</f>
        <v/>
      </c>
      <c r="AM90" s="0" t="str">
        <f aca="false">IF(D90="","",IFERROR(MATCH(D90,CATÁLOGO!$C$5:$C$39,0),""))</f>
        <v/>
      </c>
      <c r="AN90" s="0" t="str">
        <f aca="false">IF(M90&lt;&gt;"Sí","",IF(AND(ISNUMBER(AE90),AK90&gt;=AE90),0,1))</f>
        <v/>
      </c>
      <c r="AO90" s="0" t="str">
        <f aca="false">IF(OR(E90="",C90="",NOT(ISNUMBER(B90))),"",SUMIFS($E$6:$E$505,$C$6:$C$505,C90,$B$6:$B$505,"&gt;="&amp;DATE(YEAR(B90),MONTH(B90),1),$B$6:$B$505,"&lt;"&amp;DATE(YEAR(B90),MONTH(B90)+1,1)))</f>
        <v/>
      </c>
      <c r="AP90" s="0" t="str">
        <f aca="false">IF(C90="","",IFERROR(INDEX(CLIENTES!$M$6:$M$305,MATCH(C90,CLIENTES!$A$6:$A$305,0)),""))</f>
        <v/>
      </c>
      <c r="AQ90" s="27" t="n">
        <f aca="false">IF(AND(ISNUMBER(AO90),ISNUMBER(AP90)),IF(AND(AP90&gt;0,AO90&gt;AP90),1,0),0)</f>
        <v>0</v>
      </c>
      <c r="AR90" s="27" t="n">
        <f aca="false">IF(NOT(ISNUMBER(B90)),0,IF(B90&lt;MAX($B$5:B89),1,0))</f>
        <v>0</v>
      </c>
      <c r="AS90" s="0" t="str">
        <f aca="false">IF(C90="","",IFERROR(INDEX(CLIENTES!$H$6:$H$305,MATCH(C90,CLIENTES!$A$6:$A$305,0)),""))</f>
        <v/>
      </c>
      <c r="AT90" s="0" t="str">
        <f aca="false">IF(AND(LEFT(P90,5)="AVISO",T90&lt;&gt;"Presentado",ISNUMBER(Q90)),Q90,"")</f>
        <v/>
      </c>
      <c r="AU90" s="27" t="n">
        <f aca="false">IF(AND(D90="XVI - Activos virtuales (PSAV): operación de intercambio/transferencia",M90="Sí",ISNUMBER(AE90)),IF(AK90&gt;=AE90,1,0),0)</f>
        <v>0</v>
      </c>
      <c r="AV90" s="30" t="n">
        <f aca="false">IF(NOT(ISNUMBER(B90)),CONFIG!$B$4,IFERROR(INDEX(CONFIG!$I$5:$I$14,MATCH(IF(MONTH(B90)=1,YEAR(B90)-1,YEAR(B90)),CONFIG!$H$5:$H$14,0)),CONFIG!$B$4))</f>
        <v>117.31</v>
      </c>
      <c r="AW90" s="27" t="n">
        <f aca="false">IF(AND(LEFT(D90,4)="I - ",ISNUMBER(B90),C90&lt;&gt;""),SUMIFS($E$6:$E$505,$C$6:$C$505,C90,$D$6:$D$505,D90,$B$6:$B$505,"&gt;"&amp;(B90-1),$B$6:$B$505,"&lt;="&amp;B90),0)</f>
        <v>0</v>
      </c>
      <c r="AX90" s="0" t="str">
        <f aca="false">IF(E90="","",IF(AD90="Siempre","AVISO (siempre)",IF(AD90="No aplica","Sin Aviso (sólo preparas: Ley 17 XI)",IF(NOT(ISNUMBER(AE90)),"",IF(AA90&lt;&gt;"ACUMULA",IF(E90&gt;=AE90,IF(AND(D90="XVI - Activos virtuales (PSAV): cobro de contraprestación (comisión) por el servicio",COUNTIFS($C$6:$C$505,C90,$B$6:$B$505,"&gt;="&amp;INT(B90),$B$6:$B$505,"&lt;"&amp;(INT(B90)+1),$AU$6:$AU$505,1)&gt;0),"En el Aviso del inciso a) (R 31 Bis)","AVISO"),"—"),IF(M90&lt;&gt;"Sí","—",IF(AK90&gt;=AE90,IF(AK90=E90,"AVISO","AVISO (acumulado)"),"Acumulando")))))))</f>
        <v/>
      </c>
    </row>
    <row r="91" customFormat="false" ht="15" hidden="false" customHeight="false" outlineLevel="0" collapsed="false">
      <c r="A91" s="9" t="str">
        <f aca="false">IF(E91="","",ROW()-5)</f>
        <v/>
      </c>
      <c r="B91" s="20"/>
      <c r="C91" s="21"/>
      <c r="D91" s="21"/>
      <c r="E91" s="22"/>
      <c r="F91" s="22"/>
      <c r="G91" s="21"/>
      <c r="H91" s="21"/>
      <c r="I91" s="9" t="str">
        <f aca="false">IF(C91="","",IFERROR(INDEX(CLIENTES!$B$6:$B$305,MATCH(C91,CLIENTES!$A$6:$A$305,0)),"⚠ ID no registrado"))</f>
        <v/>
      </c>
      <c r="J91" s="9" t="str">
        <f aca="false">IF(C91="","",IFERROR(INDEX(CLIENTES!$Z$6:$Z$305,MATCH(C91,CLIENTES!$A$6:$A$305,0)),""))</f>
        <v/>
      </c>
      <c r="K91" s="9" t="str">
        <f aca="false">IF(E91="","",IF(AB91="Siempre","Sí",IF(ISNUMBER(AC91),IF(E91&gt;=AC91,"Sí",IF(AW91&gt;=AC91,"Sí (serie 24 h)","No")),"")))</f>
        <v/>
      </c>
      <c r="L91" s="9" t="str">
        <f aca="false">IF(E91="","",AA91)</f>
        <v/>
      </c>
      <c r="M91" s="9" t="str">
        <f aca="false">IF(E91="","",IF(AA91&lt;&gt;"ACUMULA","No aplica",IF(LEFT(K91,2)="Sí","Sí","No")))</f>
        <v/>
      </c>
      <c r="N91" s="23" t="str">
        <f aca="false">IF(M91="Sí",AJ91,"")</f>
        <v/>
      </c>
      <c r="O91" s="24" t="str">
        <f aca="false">IF(M91="Sí",AK91,"")</f>
        <v/>
      </c>
      <c r="P91" s="25" t="str">
        <f aca="false">IF(AND(LEFT(D91,6)="XIV - ",LEFT(AX91,5)="AVISO"),"Pedimento (R 16): no va al SPPLD",AX91)</f>
        <v/>
      </c>
      <c r="Q91" s="23" t="str">
        <f aca="false">IF(LEFT(P91,5)="AVISO",IF(ISNUMBER(B91),DATE(YEAR(B91),MONTH(B91)+1,17),"Falta fecha"),"")</f>
        <v/>
      </c>
      <c r="R91" s="9" t="str">
        <f aca="false">IF(OR(F91="",F91=0),"",IF(ISNUMBER(AG91),IF(F91&gt;=AG91,"PROHIBIDO","Dentro del límite"),"No aplica"))</f>
        <v/>
      </c>
      <c r="S91" s="26" t="str">
        <f aca="false">IF(E91="","",MID(IF(AQ91=1," · Excede el perfil declarado","")&amp;IF(H91="Sí"," · Paga un tercero","")&amp;IF(J91="Alto"," · Cliente de riesgo alto: DDR (RCG 23 Ter 3 y 4)","")&amp;IF(AND(AS91&lt;&gt;"",AS91&lt;&gt;"No",AS91&lt;&gt;0)," · PEP","")&amp;IF(R91="PROHIBIDO"," · Efectivo prohibido: no lo recibas (Art. 32)","")&amp;IF(AR91=1," · ⚠ Fecha fuera de orden","")&amp;IF(LEFT(I91,1)="⚠"," · ⚠ Cliente no registrado","")&amp;IF(D91=""," · ⚠ Falta la actividad","")&amp;IF(AND(LEFT(P91,5)="AVISO",W91="")," · Captura la cifra total con IVA para el Aviso","")&amp;IF(AND(ISNUMBER(W91),W91&lt;E91)," · ⚠ La cifra con IVA es menor que el monto sin IVA",""),4,400))</f>
        <v/>
      </c>
      <c r="T91" s="21"/>
      <c r="U91" s="20"/>
      <c r="V91" s="9" t="str">
        <f aca="false">IF(LEFT(P91,5)&lt;&gt;"AVISO","",IF(T91="Presentado",IF(AND(ISNUMBER(U91),ISNUMBER(Q91),U91&gt;Q91),"Presentado tarde","Presentado"),IF(NOT(ISNUMBER(Q91)),"Falta fecha",IF(Q91&lt;CONFIG!$B$6,"VENCIDO","Vence en "&amp;(Q91-CONFIG!$B$6)&amp;" días"))))</f>
        <v/>
      </c>
      <c r="W91" s="22"/>
      <c r="X91" s="21"/>
      <c r="AA91" s="0" t="str">
        <f aca="false">IF(AM91="","",INDEX(CATÁLOGO!$D$5:$D$39,AM91))</f>
        <v/>
      </c>
      <c r="AB91" s="0" t="str">
        <f aca="false">IF(AM91="","",INDEX(CATÁLOGO!$E$5:$E$39,AM91))</f>
        <v/>
      </c>
      <c r="AC91" s="0" t="str">
        <f aca="false">IF(AB91="","",IF(ISNUMBER(AB91),AB91*AV91,AB91))</f>
        <v/>
      </c>
      <c r="AD91" s="0" t="str">
        <f aca="false">IF(AM91="","",INDEX(CATÁLOGO!$F$5:$F$39,AM91))</f>
        <v/>
      </c>
      <c r="AE91" s="0" t="str">
        <f aca="false">IF(AD91="","",IF(ISNUMBER(AD91),AD91*AV91,AD91))</f>
        <v/>
      </c>
      <c r="AF91" s="0" t="str">
        <f aca="false">IF(AM91="","",INDEX(CATÁLOGO!$G$5:$G$39,AM91))</f>
        <v/>
      </c>
      <c r="AG91" s="0" t="str">
        <f aca="false">IF(AF91="","",IF(ISNUMBER(AF91),AF91*AV91,AF91))</f>
        <v/>
      </c>
      <c r="AH91" s="0" t="str">
        <f aca="false">IF(E91="","",C91&amp;"|"&amp;D91)</f>
        <v/>
      </c>
      <c r="AI91" s="27" t="n">
        <f aca="false">IF(M91&lt;&gt;"Sí",0,SUMPRODUCT(MAX(($AH$5:AH90=AH91)*($M$5:M90="Sí")*ROW($AH$5:AH90))))</f>
        <v>0</v>
      </c>
      <c r="AJ91" s="0" t="str">
        <f aca="false">IF(M91&lt;&gt;"Sí","",IF(AL91=1,B91,INDEX($AJ:$AJ,AI91)))</f>
        <v/>
      </c>
      <c r="AK91" s="0" t="str">
        <f aca="false">IF(M91&lt;&gt;"Sí","",IF(AL91=1,E91,INDEX($AK:$AK,AI91)+E91))</f>
        <v/>
      </c>
      <c r="AL91" s="0" t="str">
        <f aca="false">IF(M91&lt;&gt;"Sí","",IF(AI91=0,1,IF(INDEX($AN:$AN,AI91)=0,1,IF(B91&gt;=EDATE(INDEX($AJ:$AJ,AI91),6),1,0))))</f>
        <v/>
      </c>
      <c r="AM91" s="0" t="str">
        <f aca="false">IF(D91="","",IFERROR(MATCH(D91,CATÁLOGO!$C$5:$C$39,0),""))</f>
        <v/>
      </c>
      <c r="AN91" s="0" t="str">
        <f aca="false">IF(M91&lt;&gt;"Sí","",IF(AND(ISNUMBER(AE91),AK91&gt;=AE91),0,1))</f>
        <v/>
      </c>
      <c r="AO91" s="0" t="str">
        <f aca="false">IF(OR(E91="",C91="",NOT(ISNUMBER(B91))),"",SUMIFS($E$6:$E$505,$C$6:$C$505,C91,$B$6:$B$505,"&gt;="&amp;DATE(YEAR(B91),MONTH(B91),1),$B$6:$B$505,"&lt;"&amp;DATE(YEAR(B91),MONTH(B91)+1,1)))</f>
        <v/>
      </c>
      <c r="AP91" s="0" t="str">
        <f aca="false">IF(C91="","",IFERROR(INDEX(CLIENTES!$M$6:$M$305,MATCH(C91,CLIENTES!$A$6:$A$305,0)),""))</f>
        <v/>
      </c>
      <c r="AQ91" s="27" t="n">
        <f aca="false">IF(AND(ISNUMBER(AO91),ISNUMBER(AP91)),IF(AND(AP91&gt;0,AO91&gt;AP91),1,0),0)</f>
        <v>0</v>
      </c>
      <c r="AR91" s="27" t="n">
        <f aca="false">IF(NOT(ISNUMBER(B91)),0,IF(B91&lt;MAX($B$5:B90),1,0))</f>
        <v>0</v>
      </c>
      <c r="AS91" s="0" t="str">
        <f aca="false">IF(C91="","",IFERROR(INDEX(CLIENTES!$H$6:$H$305,MATCH(C91,CLIENTES!$A$6:$A$305,0)),""))</f>
        <v/>
      </c>
      <c r="AT91" s="0" t="str">
        <f aca="false">IF(AND(LEFT(P91,5)="AVISO",T91&lt;&gt;"Presentado",ISNUMBER(Q91)),Q91,"")</f>
        <v/>
      </c>
      <c r="AU91" s="27" t="n">
        <f aca="false">IF(AND(D91="XVI - Activos virtuales (PSAV): operación de intercambio/transferencia",M91="Sí",ISNUMBER(AE91)),IF(AK91&gt;=AE91,1,0),0)</f>
        <v>0</v>
      </c>
      <c r="AV91" s="30" t="n">
        <f aca="false">IF(NOT(ISNUMBER(B91)),CONFIG!$B$4,IFERROR(INDEX(CONFIG!$I$5:$I$14,MATCH(IF(MONTH(B91)=1,YEAR(B91)-1,YEAR(B91)),CONFIG!$H$5:$H$14,0)),CONFIG!$B$4))</f>
        <v>117.31</v>
      </c>
      <c r="AW91" s="27" t="n">
        <f aca="false">IF(AND(LEFT(D91,4)="I - ",ISNUMBER(B91),C91&lt;&gt;""),SUMIFS($E$6:$E$505,$C$6:$C$505,C91,$D$6:$D$505,D91,$B$6:$B$505,"&gt;"&amp;(B91-1),$B$6:$B$505,"&lt;="&amp;B91),0)</f>
        <v>0</v>
      </c>
      <c r="AX91" s="0" t="str">
        <f aca="false">IF(E91="","",IF(AD91="Siempre","AVISO (siempre)",IF(AD91="No aplica","Sin Aviso (sólo preparas: Ley 17 XI)",IF(NOT(ISNUMBER(AE91)),"",IF(AA91&lt;&gt;"ACUMULA",IF(E91&gt;=AE91,IF(AND(D91="XVI - Activos virtuales (PSAV): cobro de contraprestación (comisión) por el servicio",COUNTIFS($C$6:$C$505,C91,$B$6:$B$505,"&gt;="&amp;INT(B91),$B$6:$B$505,"&lt;"&amp;(INT(B91)+1),$AU$6:$AU$505,1)&gt;0),"En el Aviso del inciso a) (R 31 Bis)","AVISO"),"—"),IF(M91&lt;&gt;"Sí","—",IF(AK91&gt;=AE91,IF(AK91=E91,"AVISO","AVISO (acumulado)"),"Acumulando")))))))</f>
        <v/>
      </c>
    </row>
    <row r="92" customFormat="false" ht="15" hidden="false" customHeight="false" outlineLevel="0" collapsed="false">
      <c r="A92" s="9" t="str">
        <f aca="false">IF(E92="","",ROW()-5)</f>
        <v/>
      </c>
      <c r="B92" s="20"/>
      <c r="C92" s="21"/>
      <c r="D92" s="21"/>
      <c r="E92" s="22"/>
      <c r="F92" s="22"/>
      <c r="G92" s="21"/>
      <c r="H92" s="21"/>
      <c r="I92" s="9" t="str">
        <f aca="false">IF(C92="","",IFERROR(INDEX(CLIENTES!$B$6:$B$305,MATCH(C92,CLIENTES!$A$6:$A$305,0)),"⚠ ID no registrado"))</f>
        <v/>
      </c>
      <c r="J92" s="9" t="str">
        <f aca="false">IF(C92="","",IFERROR(INDEX(CLIENTES!$Z$6:$Z$305,MATCH(C92,CLIENTES!$A$6:$A$305,0)),""))</f>
        <v/>
      </c>
      <c r="K92" s="9" t="str">
        <f aca="false">IF(E92="","",IF(AB92="Siempre","Sí",IF(ISNUMBER(AC92),IF(E92&gt;=AC92,"Sí",IF(AW92&gt;=AC92,"Sí (serie 24 h)","No")),"")))</f>
        <v/>
      </c>
      <c r="L92" s="9" t="str">
        <f aca="false">IF(E92="","",AA92)</f>
        <v/>
      </c>
      <c r="M92" s="9" t="str">
        <f aca="false">IF(E92="","",IF(AA92&lt;&gt;"ACUMULA","No aplica",IF(LEFT(K92,2)="Sí","Sí","No")))</f>
        <v/>
      </c>
      <c r="N92" s="23" t="str">
        <f aca="false">IF(M92="Sí",AJ92,"")</f>
        <v/>
      </c>
      <c r="O92" s="24" t="str">
        <f aca="false">IF(M92="Sí",AK92,"")</f>
        <v/>
      </c>
      <c r="P92" s="25" t="str">
        <f aca="false">IF(AND(LEFT(D92,6)="XIV - ",LEFT(AX92,5)="AVISO"),"Pedimento (R 16): no va al SPPLD",AX92)</f>
        <v/>
      </c>
      <c r="Q92" s="23" t="str">
        <f aca="false">IF(LEFT(P92,5)="AVISO",IF(ISNUMBER(B92),DATE(YEAR(B92),MONTH(B92)+1,17),"Falta fecha"),"")</f>
        <v/>
      </c>
      <c r="R92" s="9" t="str">
        <f aca="false">IF(OR(F92="",F92=0),"",IF(ISNUMBER(AG92),IF(F92&gt;=AG92,"PROHIBIDO","Dentro del límite"),"No aplica"))</f>
        <v/>
      </c>
      <c r="S92" s="26" t="str">
        <f aca="false">IF(E92="","",MID(IF(AQ92=1," · Excede el perfil declarado","")&amp;IF(H92="Sí"," · Paga un tercero","")&amp;IF(J92="Alto"," · Cliente de riesgo alto: DDR (RCG 23 Ter 3 y 4)","")&amp;IF(AND(AS92&lt;&gt;"",AS92&lt;&gt;"No",AS92&lt;&gt;0)," · PEP","")&amp;IF(R92="PROHIBIDO"," · Efectivo prohibido: no lo recibas (Art. 32)","")&amp;IF(AR92=1," · ⚠ Fecha fuera de orden","")&amp;IF(LEFT(I92,1)="⚠"," · ⚠ Cliente no registrado","")&amp;IF(D92=""," · ⚠ Falta la actividad","")&amp;IF(AND(LEFT(P92,5)="AVISO",W92="")," · Captura la cifra total con IVA para el Aviso","")&amp;IF(AND(ISNUMBER(W92),W92&lt;E92)," · ⚠ La cifra con IVA es menor que el monto sin IVA",""),4,400))</f>
        <v/>
      </c>
      <c r="T92" s="21"/>
      <c r="U92" s="20"/>
      <c r="V92" s="9" t="str">
        <f aca="false">IF(LEFT(P92,5)&lt;&gt;"AVISO","",IF(T92="Presentado",IF(AND(ISNUMBER(U92),ISNUMBER(Q92),U92&gt;Q92),"Presentado tarde","Presentado"),IF(NOT(ISNUMBER(Q92)),"Falta fecha",IF(Q92&lt;CONFIG!$B$6,"VENCIDO","Vence en "&amp;(Q92-CONFIG!$B$6)&amp;" días"))))</f>
        <v/>
      </c>
      <c r="W92" s="22"/>
      <c r="X92" s="21"/>
      <c r="AA92" s="0" t="str">
        <f aca="false">IF(AM92="","",INDEX(CATÁLOGO!$D$5:$D$39,AM92))</f>
        <v/>
      </c>
      <c r="AB92" s="0" t="str">
        <f aca="false">IF(AM92="","",INDEX(CATÁLOGO!$E$5:$E$39,AM92))</f>
        <v/>
      </c>
      <c r="AC92" s="0" t="str">
        <f aca="false">IF(AB92="","",IF(ISNUMBER(AB92),AB92*AV92,AB92))</f>
        <v/>
      </c>
      <c r="AD92" s="0" t="str">
        <f aca="false">IF(AM92="","",INDEX(CATÁLOGO!$F$5:$F$39,AM92))</f>
        <v/>
      </c>
      <c r="AE92" s="0" t="str">
        <f aca="false">IF(AD92="","",IF(ISNUMBER(AD92),AD92*AV92,AD92))</f>
        <v/>
      </c>
      <c r="AF92" s="0" t="str">
        <f aca="false">IF(AM92="","",INDEX(CATÁLOGO!$G$5:$G$39,AM92))</f>
        <v/>
      </c>
      <c r="AG92" s="0" t="str">
        <f aca="false">IF(AF92="","",IF(ISNUMBER(AF92),AF92*AV92,AF92))</f>
        <v/>
      </c>
      <c r="AH92" s="0" t="str">
        <f aca="false">IF(E92="","",C92&amp;"|"&amp;D92)</f>
        <v/>
      </c>
      <c r="AI92" s="27" t="n">
        <f aca="false">IF(M92&lt;&gt;"Sí",0,SUMPRODUCT(MAX(($AH$5:AH91=AH92)*($M$5:M91="Sí")*ROW($AH$5:AH91))))</f>
        <v>0</v>
      </c>
      <c r="AJ92" s="0" t="str">
        <f aca="false">IF(M92&lt;&gt;"Sí","",IF(AL92=1,B92,INDEX($AJ:$AJ,AI92)))</f>
        <v/>
      </c>
      <c r="AK92" s="0" t="str">
        <f aca="false">IF(M92&lt;&gt;"Sí","",IF(AL92=1,E92,INDEX($AK:$AK,AI92)+E92))</f>
        <v/>
      </c>
      <c r="AL92" s="0" t="str">
        <f aca="false">IF(M92&lt;&gt;"Sí","",IF(AI92=0,1,IF(INDEX($AN:$AN,AI92)=0,1,IF(B92&gt;=EDATE(INDEX($AJ:$AJ,AI92),6),1,0))))</f>
        <v/>
      </c>
      <c r="AM92" s="0" t="str">
        <f aca="false">IF(D92="","",IFERROR(MATCH(D92,CATÁLOGO!$C$5:$C$39,0),""))</f>
        <v/>
      </c>
      <c r="AN92" s="0" t="str">
        <f aca="false">IF(M92&lt;&gt;"Sí","",IF(AND(ISNUMBER(AE92),AK92&gt;=AE92),0,1))</f>
        <v/>
      </c>
      <c r="AO92" s="0" t="str">
        <f aca="false">IF(OR(E92="",C92="",NOT(ISNUMBER(B92))),"",SUMIFS($E$6:$E$505,$C$6:$C$505,C92,$B$6:$B$505,"&gt;="&amp;DATE(YEAR(B92),MONTH(B92),1),$B$6:$B$505,"&lt;"&amp;DATE(YEAR(B92),MONTH(B92)+1,1)))</f>
        <v/>
      </c>
      <c r="AP92" s="0" t="str">
        <f aca="false">IF(C92="","",IFERROR(INDEX(CLIENTES!$M$6:$M$305,MATCH(C92,CLIENTES!$A$6:$A$305,0)),""))</f>
        <v/>
      </c>
      <c r="AQ92" s="27" t="n">
        <f aca="false">IF(AND(ISNUMBER(AO92),ISNUMBER(AP92)),IF(AND(AP92&gt;0,AO92&gt;AP92),1,0),0)</f>
        <v>0</v>
      </c>
      <c r="AR92" s="27" t="n">
        <f aca="false">IF(NOT(ISNUMBER(B92)),0,IF(B92&lt;MAX($B$5:B91),1,0))</f>
        <v>0</v>
      </c>
      <c r="AS92" s="0" t="str">
        <f aca="false">IF(C92="","",IFERROR(INDEX(CLIENTES!$H$6:$H$305,MATCH(C92,CLIENTES!$A$6:$A$305,0)),""))</f>
        <v/>
      </c>
      <c r="AT92" s="0" t="str">
        <f aca="false">IF(AND(LEFT(P92,5)="AVISO",T92&lt;&gt;"Presentado",ISNUMBER(Q92)),Q92,"")</f>
        <v/>
      </c>
      <c r="AU92" s="27" t="n">
        <f aca="false">IF(AND(D92="XVI - Activos virtuales (PSAV): operación de intercambio/transferencia",M92="Sí",ISNUMBER(AE92)),IF(AK92&gt;=AE92,1,0),0)</f>
        <v>0</v>
      </c>
      <c r="AV92" s="30" t="n">
        <f aca="false">IF(NOT(ISNUMBER(B92)),CONFIG!$B$4,IFERROR(INDEX(CONFIG!$I$5:$I$14,MATCH(IF(MONTH(B92)=1,YEAR(B92)-1,YEAR(B92)),CONFIG!$H$5:$H$14,0)),CONFIG!$B$4))</f>
        <v>117.31</v>
      </c>
      <c r="AW92" s="27" t="n">
        <f aca="false">IF(AND(LEFT(D92,4)="I - ",ISNUMBER(B92),C92&lt;&gt;""),SUMIFS($E$6:$E$505,$C$6:$C$505,C92,$D$6:$D$505,D92,$B$6:$B$505,"&gt;"&amp;(B92-1),$B$6:$B$505,"&lt;="&amp;B92),0)</f>
        <v>0</v>
      </c>
      <c r="AX92" s="0" t="str">
        <f aca="false">IF(E92="","",IF(AD92="Siempre","AVISO (siempre)",IF(AD92="No aplica","Sin Aviso (sólo preparas: Ley 17 XI)",IF(NOT(ISNUMBER(AE92)),"",IF(AA92&lt;&gt;"ACUMULA",IF(E92&gt;=AE92,IF(AND(D92="XVI - Activos virtuales (PSAV): cobro de contraprestación (comisión) por el servicio",COUNTIFS($C$6:$C$505,C92,$B$6:$B$505,"&gt;="&amp;INT(B92),$B$6:$B$505,"&lt;"&amp;(INT(B92)+1),$AU$6:$AU$505,1)&gt;0),"En el Aviso del inciso a) (R 31 Bis)","AVISO"),"—"),IF(M92&lt;&gt;"Sí","—",IF(AK92&gt;=AE92,IF(AK92=E92,"AVISO","AVISO (acumulado)"),"Acumulando")))))))</f>
        <v/>
      </c>
    </row>
    <row r="93" customFormat="false" ht="15" hidden="false" customHeight="false" outlineLevel="0" collapsed="false">
      <c r="A93" s="9" t="str">
        <f aca="false">IF(E93="","",ROW()-5)</f>
        <v/>
      </c>
      <c r="B93" s="20"/>
      <c r="C93" s="21"/>
      <c r="D93" s="21"/>
      <c r="E93" s="22"/>
      <c r="F93" s="22"/>
      <c r="G93" s="21"/>
      <c r="H93" s="21"/>
      <c r="I93" s="9" t="str">
        <f aca="false">IF(C93="","",IFERROR(INDEX(CLIENTES!$B$6:$B$305,MATCH(C93,CLIENTES!$A$6:$A$305,0)),"⚠ ID no registrado"))</f>
        <v/>
      </c>
      <c r="J93" s="9" t="str">
        <f aca="false">IF(C93="","",IFERROR(INDEX(CLIENTES!$Z$6:$Z$305,MATCH(C93,CLIENTES!$A$6:$A$305,0)),""))</f>
        <v/>
      </c>
      <c r="K93" s="9" t="str">
        <f aca="false">IF(E93="","",IF(AB93="Siempre","Sí",IF(ISNUMBER(AC93),IF(E93&gt;=AC93,"Sí",IF(AW93&gt;=AC93,"Sí (serie 24 h)","No")),"")))</f>
        <v/>
      </c>
      <c r="L93" s="9" t="str">
        <f aca="false">IF(E93="","",AA93)</f>
        <v/>
      </c>
      <c r="M93" s="9" t="str">
        <f aca="false">IF(E93="","",IF(AA93&lt;&gt;"ACUMULA","No aplica",IF(LEFT(K93,2)="Sí","Sí","No")))</f>
        <v/>
      </c>
      <c r="N93" s="23" t="str">
        <f aca="false">IF(M93="Sí",AJ93,"")</f>
        <v/>
      </c>
      <c r="O93" s="24" t="str">
        <f aca="false">IF(M93="Sí",AK93,"")</f>
        <v/>
      </c>
      <c r="P93" s="25" t="str">
        <f aca="false">IF(AND(LEFT(D93,6)="XIV - ",LEFT(AX93,5)="AVISO"),"Pedimento (R 16): no va al SPPLD",AX93)</f>
        <v/>
      </c>
      <c r="Q93" s="23" t="str">
        <f aca="false">IF(LEFT(P93,5)="AVISO",IF(ISNUMBER(B93),DATE(YEAR(B93),MONTH(B93)+1,17),"Falta fecha"),"")</f>
        <v/>
      </c>
      <c r="R93" s="9" t="str">
        <f aca="false">IF(OR(F93="",F93=0),"",IF(ISNUMBER(AG93),IF(F93&gt;=AG93,"PROHIBIDO","Dentro del límite"),"No aplica"))</f>
        <v/>
      </c>
      <c r="S93" s="26" t="str">
        <f aca="false">IF(E93="","",MID(IF(AQ93=1," · Excede el perfil declarado","")&amp;IF(H93="Sí"," · Paga un tercero","")&amp;IF(J93="Alto"," · Cliente de riesgo alto: DDR (RCG 23 Ter 3 y 4)","")&amp;IF(AND(AS93&lt;&gt;"",AS93&lt;&gt;"No",AS93&lt;&gt;0)," · PEP","")&amp;IF(R93="PROHIBIDO"," · Efectivo prohibido: no lo recibas (Art. 32)","")&amp;IF(AR93=1," · ⚠ Fecha fuera de orden","")&amp;IF(LEFT(I93,1)="⚠"," · ⚠ Cliente no registrado","")&amp;IF(D93=""," · ⚠ Falta la actividad","")&amp;IF(AND(LEFT(P93,5)="AVISO",W93="")," · Captura la cifra total con IVA para el Aviso","")&amp;IF(AND(ISNUMBER(W93),W93&lt;E93)," · ⚠ La cifra con IVA es menor que el monto sin IVA",""),4,400))</f>
        <v/>
      </c>
      <c r="T93" s="21"/>
      <c r="U93" s="20"/>
      <c r="V93" s="9" t="str">
        <f aca="false">IF(LEFT(P93,5)&lt;&gt;"AVISO","",IF(T93="Presentado",IF(AND(ISNUMBER(U93),ISNUMBER(Q93),U93&gt;Q93),"Presentado tarde","Presentado"),IF(NOT(ISNUMBER(Q93)),"Falta fecha",IF(Q93&lt;CONFIG!$B$6,"VENCIDO","Vence en "&amp;(Q93-CONFIG!$B$6)&amp;" días"))))</f>
        <v/>
      </c>
      <c r="W93" s="22"/>
      <c r="X93" s="21"/>
      <c r="AA93" s="0" t="str">
        <f aca="false">IF(AM93="","",INDEX(CATÁLOGO!$D$5:$D$39,AM93))</f>
        <v/>
      </c>
      <c r="AB93" s="0" t="str">
        <f aca="false">IF(AM93="","",INDEX(CATÁLOGO!$E$5:$E$39,AM93))</f>
        <v/>
      </c>
      <c r="AC93" s="0" t="str">
        <f aca="false">IF(AB93="","",IF(ISNUMBER(AB93),AB93*AV93,AB93))</f>
        <v/>
      </c>
      <c r="AD93" s="0" t="str">
        <f aca="false">IF(AM93="","",INDEX(CATÁLOGO!$F$5:$F$39,AM93))</f>
        <v/>
      </c>
      <c r="AE93" s="0" t="str">
        <f aca="false">IF(AD93="","",IF(ISNUMBER(AD93),AD93*AV93,AD93))</f>
        <v/>
      </c>
      <c r="AF93" s="0" t="str">
        <f aca="false">IF(AM93="","",INDEX(CATÁLOGO!$G$5:$G$39,AM93))</f>
        <v/>
      </c>
      <c r="AG93" s="0" t="str">
        <f aca="false">IF(AF93="","",IF(ISNUMBER(AF93),AF93*AV93,AF93))</f>
        <v/>
      </c>
      <c r="AH93" s="0" t="str">
        <f aca="false">IF(E93="","",C93&amp;"|"&amp;D93)</f>
        <v/>
      </c>
      <c r="AI93" s="27" t="n">
        <f aca="false">IF(M93&lt;&gt;"Sí",0,SUMPRODUCT(MAX(($AH$5:AH92=AH93)*($M$5:M92="Sí")*ROW($AH$5:AH92))))</f>
        <v>0</v>
      </c>
      <c r="AJ93" s="0" t="str">
        <f aca="false">IF(M93&lt;&gt;"Sí","",IF(AL93=1,B93,INDEX($AJ:$AJ,AI93)))</f>
        <v/>
      </c>
      <c r="AK93" s="0" t="str">
        <f aca="false">IF(M93&lt;&gt;"Sí","",IF(AL93=1,E93,INDEX($AK:$AK,AI93)+E93))</f>
        <v/>
      </c>
      <c r="AL93" s="0" t="str">
        <f aca="false">IF(M93&lt;&gt;"Sí","",IF(AI93=0,1,IF(INDEX($AN:$AN,AI93)=0,1,IF(B93&gt;=EDATE(INDEX($AJ:$AJ,AI93),6),1,0))))</f>
        <v/>
      </c>
      <c r="AM93" s="0" t="str">
        <f aca="false">IF(D93="","",IFERROR(MATCH(D93,CATÁLOGO!$C$5:$C$39,0),""))</f>
        <v/>
      </c>
      <c r="AN93" s="0" t="str">
        <f aca="false">IF(M93&lt;&gt;"Sí","",IF(AND(ISNUMBER(AE93),AK93&gt;=AE93),0,1))</f>
        <v/>
      </c>
      <c r="AO93" s="0" t="str">
        <f aca="false">IF(OR(E93="",C93="",NOT(ISNUMBER(B93))),"",SUMIFS($E$6:$E$505,$C$6:$C$505,C93,$B$6:$B$505,"&gt;="&amp;DATE(YEAR(B93),MONTH(B93),1),$B$6:$B$505,"&lt;"&amp;DATE(YEAR(B93),MONTH(B93)+1,1)))</f>
        <v/>
      </c>
      <c r="AP93" s="0" t="str">
        <f aca="false">IF(C93="","",IFERROR(INDEX(CLIENTES!$M$6:$M$305,MATCH(C93,CLIENTES!$A$6:$A$305,0)),""))</f>
        <v/>
      </c>
      <c r="AQ93" s="27" t="n">
        <f aca="false">IF(AND(ISNUMBER(AO93),ISNUMBER(AP93)),IF(AND(AP93&gt;0,AO93&gt;AP93),1,0),0)</f>
        <v>0</v>
      </c>
      <c r="AR93" s="27" t="n">
        <f aca="false">IF(NOT(ISNUMBER(B93)),0,IF(B93&lt;MAX($B$5:B92),1,0))</f>
        <v>0</v>
      </c>
      <c r="AS93" s="0" t="str">
        <f aca="false">IF(C93="","",IFERROR(INDEX(CLIENTES!$H$6:$H$305,MATCH(C93,CLIENTES!$A$6:$A$305,0)),""))</f>
        <v/>
      </c>
      <c r="AT93" s="0" t="str">
        <f aca="false">IF(AND(LEFT(P93,5)="AVISO",T93&lt;&gt;"Presentado",ISNUMBER(Q93)),Q93,"")</f>
        <v/>
      </c>
      <c r="AU93" s="27" t="n">
        <f aca="false">IF(AND(D93="XVI - Activos virtuales (PSAV): operación de intercambio/transferencia",M93="Sí",ISNUMBER(AE93)),IF(AK93&gt;=AE93,1,0),0)</f>
        <v>0</v>
      </c>
      <c r="AV93" s="30" t="n">
        <f aca="false">IF(NOT(ISNUMBER(B93)),CONFIG!$B$4,IFERROR(INDEX(CONFIG!$I$5:$I$14,MATCH(IF(MONTH(B93)=1,YEAR(B93)-1,YEAR(B93)),CONFIG!$H$5:$H$14,0)),CONFIG!$B$4))</f>
        <v>117.31</v>
      </c>
      <c r="AW93" s="27" t="n">
        <f aca="false">IF(AND(LEFT(D93,4)="I - ",ISNUMBER(B93),C93&lt;&gt;""),SUMIFS($E$6:$E$505,$C$6:$C$505,C93,$D$6:$D$505,D93,$B$6:$B$505,"&gt;"&amp;(B93-1),$B$6:$B$505,"&lt;="&amp;B93),0)</f>
        <v>0</v>
      </c>
      <c r="AX93" s="0" t="str">
        <f aca="false">IF(E93="","",IF(AD93="Siempre","AVISO (siempre)",IF(AD93="No aplica","Sin Aviso (sólo preparas: Ley 17 XI)",IF(NOT(ISNUMBER(AE93)),"",IF(AA93&lt;&gt;"ACUMULA",IF(E93&gt;=AE93,IF(AND(D93="XVI - Activos virtuales (PSAV): cobro de contraprestación (comisión) por el servicio",COUNTIFS($C$6:$C$505,C93,$B$6:$B$505,"&gt;="&amp;INT(B93),$B$6:$B$505,"&lt;"&amp;(INT(B93)+1),$AU$6:$AU$505,1)&gt;0),"En el Aviso del inciso a) (R 31 Bis)","AVISO"),"—"),IF(M93&lt;&gt;"Sí","—",IF(AK93&gt;=AE93,IF(AK93=E93,"AVISO","AVISO (acumulado)"),"Acumulando")))))))</f>
        <v/>
      </c>
    </row>
    <row r="94" customFormat="false" ht="15" hidden="false" customHeight="false" outlineLevel="0" collapsed="false">
      <c r="A94" s="9" t="str">
        <f aca="false">IF(E94="","",ROW()-5)</f>
        <v/>
      </c>
      <c r="B94" s="20"/>
      <c r="C94" s="21"/>
      <c r="D94" s="21"/>
      <c r="E94" s="22"/>
      <c r="F94" s="22"/>
      <c r="G94" s="21"/>
      <c r="H94" s="21"/>
      <c r="I94" s="9" t="str">
        <f aca="false">IF(C94="","",IFERROR(INDEX(CLIENTES!$B$6:$B$305,MATCH(C94,CLIENTES!$A$6:$A$305,0)),"⚠ ID no registrado"))</f>
        <v/>
      </c>
      <c r="J94" s="9" t="str">
        <f aca="false">IF(C94="","",IFERROR(INDEX(CLIENTES!$Z$6:$Z$305,MATCH(C94,CLIENTES!$A$6:$A$305,0)),""))</f>
        <v/>
      </c>
      <c r="K94" s="9" t="str">
        <f aca="false">IF(E94="","",IF(AB94="Siempre","Sí",IF(ISNUMBER(AC94),IF(E94&gt;=AC94,"Sí",IF(AW94&gt;=AC94,"Sí (serie 24 h)","No")),"")))</f>
        <v/>
      </c>
      <c r="L94" s="9" t="str">
        <f aca="false">IF(E94="","",AA94)</f>
        <v/>
      </c>
      <c r="M94" s="9" t="str">
        <f aca="false">IF(E94="","",IF(AA94&lt;&gt;"ACUMULA","No aplica",IF(LEFT(K94,2)="Sí","Sí","No")))</f>
        <v/>
      </c>
      <c r="N94" s="23" t="str">
        <f aca="false">IF(M94="Sí",AJ94,"")</f>
        <v/>
      </c>
      <c r="O94" s="24" t="str">
        <f aca="false">IF(M94="Sí",AK94,"")</f>
        <v/>
      </c>
      <c r="P94" s="25" t="str">
        <f aca="false">IF(AND(LEFT(D94,6)="XIV - ",LEFT(AX94,5)="AVISO"),"Pedimento (R 16): no va al SPPLD",AX94)</f>
        <v/>
      </c>
      <c r="Q94" s="23" t="str">
        <f aca="false">IF(LEFT(P94,5)="AVISO",IF(ISNUMBER(B94),DATE(YEAR(B94),MONTH(B94)+1,17),"Falta fecha"),"")</f>
        <v/>
      </c>
      <c r="R94" s="9" t="str">
        <f aca="false">IF(OR(F94="",F94=0),"",IF(ISNUMBER(AG94),IF(F94&gt;=AG94,"PROHIBIDO","Dentro del límite"),"No aplica"))</f>
        <v/>
      </c>
      <c r="S94" s="26" t="str">
        <f aca="false">IF(E94="","",MID(IF(AQ94=1," · Excede el perfil declarado","")&amp;IF(H94="Sí"," · Paga un tercero","")&amp;IF(J94="Alto"," · Cliente de riesgo alto: DDR (RCG 23 Ter 3 y 4)","")&amp;IF(AND(AS94&lt;&gt;"",AS94&lt;&gt;"No",AS94&lt;&gt;0)," · PEP","")&amp;IF(R94="PROHIBIDO"," · Efectivo prohibido: no lo recibas (Art. 32)","")&amp;IF(AR94=1," · ⚠ Fecha fuera de orden","")&amp;IF(LEFT(I94,1)="⚠"," · ⚠ Cliente no registrado","")&amp;IF(D94=""," · ⚠ Falta la actividad","")&amp;IF(AND(LEFT(P94,5)="AVISO",W94="")," · Captura la cifra total con IVA para el Aviso","")&amp;IF(AND(ISNUMBER(W94),W94&lt;E94)," · ⚠ La cifra con IVA es menor que el monto sin IVA",""),4,400))</f>
        <v/>
      </c>
      <c r="T94" s="21"/>
      <c r="U94" s="20"/>
      <c r="V94" s="9" t="str">
        <f aca="false">IF(LEFT(P94,5)&lt;&gt;"AVISO","",IF(T94="Presentado",IF(AND(ISNUMBER(U94),ISNUMBER(Q94),U94&gt;Q94),"Presentado tarde","Presentado"),IF(NOT(ISNUMBER(Q94)),"Falta fecha",IF(Q94&lt;CONFIG!$B$6,"VENCIDO","Vence en "&amp;(Q94-CONFIG!$B$6)&amp;" días"))))</f>
        <v/>
      </c>
      <c r="W94" s="22"/>
      <c r="X94" s="21"/>
      <c r="AA94" s="0" t="str">
        <f aca="false">IF(AM94="","",INDEX(CATÁLOGO!$D$5:$D$39,AM94))</f>
        <v/>
      </c>
      <c r="AB94" s="0" t="str">
        <f aca="false">IF(AM94="","",INDEX(CATÁLOGO!$E$5:$E$39,AM94))</f>
        <v/>
      </c>
      <c r="AC94" s="0" t="str">
        <f aca="false">IF(AB94="","",IF(ISNUMBER(AB94),AB94*AV94,AB94))</f>
        <v/>
      </c>
      <c r="AD94" s="0" t="str">
        <f aca="false">IF(AM94="","",INDEX(CATÁLOGO!$F$5:$F$39,AM94))</f>
        <v/>
      </c>
      <c r="AE94" s="0" t="str">
        <f aca="false">IF(AD94="","",IF(ISNUMBER(AD94),AD94*AV94,AD94))</f>
        <v/>
      </c>
      <c r="AF94" s="0" t="str">
        <f aca="false">IF(AM94="","",INDEX(CATÁLOGO!$G$5:$G$39,AM94))</f>
        <v/>
      </c>
      <c r="AG94" s="0" t="str">
        <f aca="false">IF(AF94="","",IF(ISNUMBER(AF94),AF94*AV94,AF94))</f>
        <v/>
      </c>
      <c r="AH94" s="0" t="str">
        <f aca="false">IF(E94="","",C94&amp;"|"&amp;D94)</f>
        <v/>
      </c>
      <c r="AI94" s="27" t="n">
        <f aca="false">IF(M94&lt;&gt;"Sí",0,SUMPRODUCT(MAX(($AH$5:AH93=AH94)*($M$5:M93="Sí")*ROW($AH$5:AH93))))</f>
        <v>0</v>
      </c>
      <c r="AJ94" s="0" t="str">
        <f aca="false">IF(M94&lt;&gt;"Sí","",IF(AL94=1,B94,INDEX($AJ:$AJ,AI94)))</f>
        <v/>
      </c>
      <c r="AK94" s="0" t="str">
        <f aca="false">IF(M94&lt;&gt;"Sí","",IF(AL94=1,E94,INDEX($AK:$AK,AI94)+E94))</f>
        <v/>
      </c>
      <c r="AL94" s="0" t="str">
        <f aca="false">IF(M94&lt;&gt;"Sí","",IF(AI94=0,1,IF(INDEX($AN:$AN,AI94)=0,1,IF(B94&gt;=EDATE(INDEX($AJ:$AJ,AI94),6),1,0))))</f>
        <v/>
      </c>
      <c r="AM94" s="0" t="str">
        <f aca="false">IF(D94="","",IFERROR(MATCH(D94,CATÁLOGO!$C$5:$C$39,0),""))</f>
        <v/>
      </c>
      <c r="AN94" s="0" t="str">
        <f aca="false">IF(M94&lt;&gt;"Sí","",IF(AND(ISNUMBER(AE94),AK94&gt;=AE94),0,1))</f>
        <v/>
      </c>
      <c r="AO94" s="0" t="str">
        <f aca="false">IF(OR(E94="",C94="",NOT(ISNUMBER(B94))),"",SUMIFS($E$6:$E$505,$C$6:$C$505,C94,$B$6:$B$505,"&gt;="&amp;DATE(YEAR(B94),MONTH(B94),1),$B$6:$B$505,"&lt;"&amp;DATE(YEAR(B94),MONTH(B94)+1,1)))</f>
        <v/>
      </c>
      <c r="AP94" s="0" t="str">
        <f aca="false">IF(C94="","",IFERROR(INDEX(CLIENTES!$M$6:$M$305,MATCH(C94,CLIENTES!$A$6:$A$305,0)),""))</f>
        <v/>
      </c>
      <c r="AQ94" s="27" t="n">
        <f aca="false">IF(AND(ISNUMBER(AO94),ISNUMBER(AP94)),IF(AND(AP94&gt;0,AO94&gt;AP94),1,0),0)</f>
        <v>0</v>
      </c>
      <c r="AR94" s="27" t="n">
        <f aca="false">IF(NOT(ISNUMBER(B94)),0,IF(B94&lt;MAX($B$5:B93),1,0))</f>
        <v>0</v>
      </c>
      <c r="AS94" s="0" t="str">
        <f aca="false">IF(C94="","",IFERROR(INDEX(CLIENTES!$H$6:$H$305,MATCH(C94,CLIENTES!$A$6:$A$305,0)),""))</f>
        <v/>
      </c>
      <c r="AT94" s="0" t="str">
        <f aca="false">IF(AND(LEFT(P94,5)="AVISO",T94&lt;&gt;"Presentado",ISNUMBER(Q94)),Q94,"")</f>
        <v/>
      </c>
      <c r="AU94" s="27" t="n">
        <f aca="false">IF(AND(D94="XVI - Activos virtuales (PSAV): operación de intercambio/transferencia",M94="Sí",ISNUMBER(AE94)),IF(AK94&gt;=AE94,1,0),0)</f>
        <v>0</v>
      </c>
      <c r="AV94" s="30" t="n">
        <f aca="false">IF(NOT(ISNUMBER(B94)),CONFIG!$B$4,IFERROR(INDEX(CONFIG!$I$5:$I$14,MATCH(IF(MONTH(B94)=1,YEAR(B94)-1,YEAR(B94)),CONFIG!$H$5:$H$14,0)),CONFIG!$B$4))</f>
        <v>117.31</v>
      </c>
      <c r="AW94" s="27" t="n">
        <f aca="false">IF(AND(LEFT(D94,4)="I - ",ISNUMBER(B94),C94&lt;&gt;""),SUMIFS($E$6:$E$505,$C$6:$C$505,C94,$D$6:$D$505,D94,$B$6:$B$505,"&gt;"&amp;(B94-1),$B$6:$B$505,"&lt;="&amp;B94),0)</f>
        <v>0</v>
      </c>
      <c r="AX94" s="0" t="str">
        <f aca="false">IF(E94="","",IF(AD94="Siempre","AVISO (siempre)",IF(AD94="No aplica","Sin Aviso (sólo preparas: Ley 17 XI)",IF(NOT(ISNUMBER(AE94)),"",IF(AA94&lt;&gt;"ACUMULA",IF(E94&gt;=AE94,IF(AND(D94="XVI - Activos virtuales (PSAV): cobro de contraprestación (comisión) por el servicio",COUNTIFS($C$6:$C$505,C94,$B$6:$B$505,"&gt;="&amp;INT(B94),$B$6:$B$505,"&lt;"&amp;(INT(B94)+1),$AU$6:$AU$505,1)&gt;0),"En el Aviso del inciso a) (R 31 Bis)","AVISO"),"—"),IF(M94&lt;&gt;"Sí","—",IF(AK94&gt;=AE94,IF(AK94=E94,"AVISO","AVISO (acumulado)"),"Acumulando")))))))</f>
        <v/>
      </c>
    </row>
    <row r="95" customFormat="false" ht="15" hidden="false" customHeight="false" outlineLevel="0" collapsed="false">
      <c r="A95" s="9" t="str">
        <f aca="false">IF(E95="","",ROW()-5)</f>
        <v/>
      </c>
      <c r="B95" s="20"/>
      <c r="C95" s="21"/>
      <c r="D95" s="21"/>
      <c r="E95" s="22"/>
      <c r="F95" s="22"/>
      <c r="G95" s="21"/>
      <c r="H95" s="21"/>
      <c r="I95" s="9" t="str">
        <f aca="false">IF(C95="","",IFERROR(INDEX(CLIENTES!$B$6:$B$305,MATCH(C95,CLIENTES!$A$6:$A$305,0)),"⚠ ID no registrado"))</f>
        <v/>
      </c>
      <c r="J95" s="9" t="str">
        <f aca="false">IF(C95="","",IFERROR(INDEX(CLIENTES!$Z$6:$Z$305,MATCH(C95,CLIENTES!$A$6:$A$305,0)),""))</f>
        <v/>
      </c>
      <c r="K95" s="9" t="str">
        <f aca="false">IF(E95="","",IF(AB95="Siempre","Sí",IF(ISNUMBER(AC95),IF(E95&gt;=AC95,"Sí",IF(AW95&gt;=AC95,"Sí (serie 24 h)","No")),"")))</f>
        <v/>
      </c>
      <c r="L95" s="9" t="str">
        <f aca="false">IF(E95="","",AA95)</f>
        <v/>
      </c>
      <c r="M95" s="9" t="str">
        <f aca="false">IF(E95="","",IF(AA95&lt;&gt;"ACUMULA","No aplica",IF(LEFT(K95,2)="Sí","Sí","No")))</f>
        <v/>
      </c>
      <c r="N95" s="23" t="str">
        <f aca="false">IF(M95="Sí",AJ95,"")</f>
        <v/>
      </c>
      <c r="O95" s="24" t="str">
        <f aca="false">IF(M95="Sí",AK95,"")</f>
        <v/>
      </c>
      <c r="P95" s="25" t="str">
        <f aca="false">IF(AND(LEFT(D95,6)="XIV - ",LEFT(AX95,5)="AVISO"),"Pedimento (R 16): no va al SPPLD",AX95)</f>
        <v/>
      </c>
      <c r="Q95" s="23" t="str">
        <f aca="false">IF(LEFT(P95,5)="AVISO",IF(ISNUMBER(B95),DATE(YEAR(B95),MONTH(B95)+1,17),"Falta fecha"),"")</f>
        <v/>
      </c>
      <c r="R95" s="9" t="str">
        <f aca="false">IF(OR(F95="",F95=0),"",IF(ISNUMBER(AG95),IF(F95&gt;=AG95,"PROHIBIDO","Dentro del límite"),"No aplica"))</f>
        <v/>
      </c>
      <c r="S95" s="26" t="str">
        <f aca="false">IF(E95="","",MID(IF(AQ95=1," · Excede el perfil declarado","")&amp;IF(H95="Sí"," · Paga un tercero","")&amp;IF(J95="Alto"," · Cliente de riesgo alto: DDR (RCG 23 Ter 3 y 4)","")&amp;IF(AND(AS95&lt;&gt;"",AS95&lt;&gt;"No",AS95&lt;&gt;0)," · PEP","")&amp;IF(R95="PROHIBIDO"," · Efectivo prohibido: no lo recibas (Art. 32)","")&amp;IF(AR95=1," · ⚠ Fecha fuera de orden","")&amp;IF(LEFT(I95,1)="⚠"," · ⚠ Cliente no registrado","")&amp;IF(D95=""," · ⚠ Falta la actividad","")&amp;IF(AND(LEFT(P95,5)="AVISO",W95="")," · Captura la cifra total con IVA para el Aviso","")&amp;IF(AND(ISNUMBER(W95),W95&lt;E95)," · ⚠ La cifra con IVA es menor que el monto sin IVA",""),4,400))</f>
        <v/>
      </c>
      <c r="T95" s="21"/>
      <c r="U95" s="20"/>
      <c r="V95" s="9" t="str">
        <f aca="false">IF(LEFT(P95,5)&lt;&gt;"AVISO","",IF(T95="Presentado",IF(AND(ISNUMBER(U95),ISNUMBER(Q95),U95&gt;Q95),"Presentado tarde","Presentado"),IF(NOT(ISNUMBER(Q95)),"Falta fecha",IF(Q95&lt;CONFIG!$B$6,"VENCIDO","Vence en "&amp;(Q95-CONFIG!$B$6)&amp;" días"))))</f>
        <v/>
      </c>
      <c r="W95" s="22"/>
      <c r="X95" s="21"/>
      <c r="AA95" s="0" t="str">
        <f aca="false">IF(AM95="","",INDEX(CATÁLOGO!$D$5:$D$39,AM95))</f>
        <v/>
      </c>
      <c r="AB95" s="0" t="str">
        <f aca="false">IF(AM95="","",INDEX(CATÁLOGO!$E$5:$E$39,AM95))</f>
        <v/>
      </c>
      <c r="AC95" s="0" t="str">
        <f aca="false">IF(AB95="","",IF(ISNUMBER(AB95),AB95*AV95,AB95))</f>
        <v/>
      </c>
      <c r="AD95" s="0" t="str">
        <f aca="false">IF(AM95="","",INDEX(CATÁLOGO!$F$5:$F$39,AM95))</f>
        <v/>
      </c>
      <c r="AE95" s="0" t="str">
        <f aca="false">IF(AD95="","",IF(ISNUMBER(AD95),AD95*AV95,AD95))</f>
        <v/>
      </c>
      <c r="AF95" s="0" t="str">
        <f aca="false">IF(AM95="","",INDEX(CATÁLOGO!$G$5:$G$39,AM95))</f>
        <v/>
      </c>
      <c r="AG95" s="0" t="str">
        <f aca="false">IF(AF95="","",IF(ISNUMBER(AF95),AF95*AV95,AF95))</f>
        <v/>
      </c>
      <c r="AH95" s="0" t="str">
        <f aca="false">IF(E95="","",C95&amp;"|"&amp;D95)</f>
        <v/>
      </c>
      <c r="AI95" s="27" t="n">
        <f aca="false">IF(M95&lt;&gt;"Sí",0,SUMPRODUCT(MAX(($AH$5:AH94=AH95)*($M$5:M94="Sí")*ROW($AH$5:AH94))))</f>
        <v>0</v>
      </c>
      <c r="AJ95" s="0" t="str">
        <f aca="false">IF(M95&lt;&gt;"Sí","",IF(AL95=1,B95,INDEX($AJ:$AJ,AI95)))</f>
        <v/>
      </c>
      <c r="AK95" s="0" t="str">
        <f aca="false">IF(M95&lt;&gt;"Sí","",IF(AL95=1,E95,INDEX($AK:$AK,AI95)+E95))</f>
        <v/>
      </c>
      <c r="AL95" s="0" t="str">
        <f aca="false">IF(M95&lt;&gt;"Sí","",IF(AI95=0,1,IF(INDEX($AN:$AN,AI95)=0,1,IF(B95&gt;=EDATE(INDEX($AJ:$AJ,AI95),6),1,0))))</f>
        <v/>
      </c>
      <c r="AM95" s="0" t="str">
        <f aca="false">IF(D95="","",IFERROR(MATCH(D95,CATÁLOGO!$C$5:$C$39,0),""))</f>
        <v/>
      </c>
      <c r="AN95" s="0" t="str">
        <f aca="false">IF(M95&lt;&gt;"Sí","",IF(AND(ISNUMBER(AE95),AK95&gt;=AE95),0,1))</f>
        <v/>
      </c>
      <c r="AO95" s="0" t="str">
        <f aca="false">IF(OR(E95="",C95="",NOT(ISNUMBER(B95))),"",SUMIFS($E$6:$E$505,$C$6:$C$505,C95,$B$6:$B$505,"&gt;="&amp;DATE(YEAR(B95),MONTH(B95),1),$B$6:$B$505,"&lt;"&amp;DATE(YEAR(B95),MONTH(B95)+1,1)))</f>
        <v/>
      </c>
      <c r="AP95" s="0" t="str">
        <f aca="false">IF(C95="","",IFERROR(INDEX(CLIENTES!$M$6:$M$305,MATCH(C95,CLIENTES!$A$6:$A$305,0)),""))</f>
        <v/>
      </c>
      <c r="AQ95" s="27" t="n">
        <f aca="false">IF(AND(ISNUMBER(AO95),ISNUMBER(AP95)),IF(AND(AP95&gt;0,AO95&gt;AP95),1,0),0)</f>
        <v>0</v>
      </c>
      <c r="AR95" s="27" t="n">
        <f aca="false">IF(NOT(ISNUMBER(B95)),0,IF(B95&lt;MAX($B$5:B94),1,0))</f>
        <v>0</v>
      </c>
      <c r="AS95" s="0" t="str">
        <f aca="false">IF(C95="","",IFERROR(INDEX(CLIENTES!$H$6:$H$305,MATCH(C95,CLIENTES!$A$6:$A$305,0)),""))</f>
        <v/>
      </c>
      <c r="AT95" s="0" t="str">
        <f aca="false">IF(AND(LEFT(P95,5)="AVISO",T95&lt;&gt;"Presentado",ISNUMBER(Q95)),Q95,"")</f>
        <v/>
      </c>
      <c r="AU95" s="27" t="n">
        <f aca="false">IF(AND(D95="XVI - Activos virtuales (PSAV): operación de intercambio/transferencia",M95="Sí",ISNUMBER(AE95)),IF(AK95&gt;=AE95,1,0),0)</f>
        <v>0</v>
      </c>
      <c r="AV95" s="30" t="n">
        <f aca="false">IF(NOT(ISNUMBER(B95)),CONFIG!$B$4,IFERROR(INDEX(CONFIG!$I$5:$I$14,MATCH(IF(MONTH(B95)=1,YEAR(B95)-1,YEAR(B95)),CONFIG!$H$5:$H$14,0)),CONFIG!$B$4))</f>
        <v>117.31</v>
      </c>
      <c r="AW95" s="27" t="n">
        <f aca="false">IF(AND(LEFT(D95,4)="I - ",ISNUMBER(B95),C95&lt;&gt;""),SUMIFS($E$6:$E$505,$C$6:$C$505,C95,$D$6:$D$505,D95,$B$6:$B$505,"&gt;"&amp;(B95-1),$B$6:$B$505,"&lt;="&amp;B95),0)</f>
        <v>0</v>
      </c>
      <c r="AX95" s="0" t="str">
        <f aca="false">IF(E95="","",IF(AD95="Siempre","AVISO (siempre)",IF(AD95="No aplica","Sin Aviso (sólo preparas: Ley 17 XI)",IF(NOT(ISNUMBER(AE95)),"",IF(AA95&lt;&gt;"ACUMULA",IF(E95&gt;=AE95,IF(AND(D95="XVI - Activos virtuales (PSAV): cobro de contraprestación (comisión) por el servicio",COUNTIFS($C$6:$C$505,C95,$B$6:$B$505,"&gt;="&amp;INT(B95),$B$6:$B$505,"&lt;"&amp;(INT(B95)+1),$AU$6:$AU$505,1)&gt;0),"En el Aviso del inciso a) (R 31 Bis)","AVISO"),"—"),IF(M95&lt;&gt;"Sí","—",IF(AK95&gt;=AE95,IF(AK95=E95,"AVISO","AVISO (acumulado)"),"Acumulando")))))))</f>
        <v/>
      </c>
    </row>
    <row r="96" customFormat="false" ht="15" hidden="false" customHeight="false" outlineLevel="0" collapsed="false">
      <c r="A96" s="9" t="str">
        <f aca="false">IF(E96="","",ROW()-5)</f>
        <v/>
      </c>
      <c r="B96" s="20"/>
      <c r="C96" s="21"/>
      <c r="D96" s="21"/>
      <c r="E96" s="22"/>
      <c r="F96" s="22"/>
      <c r="G96" s="21"/>
      <c r="H96" s="21"/>
      <c r="I96" s="9" t="str">
        <f aca="false">IF(C96="","",IFERROR(INDEX(CLIENTES!$B$6:$B$305,MATCH(C96,CLIENTES!$A$6:$A$305,0)),"⚠ ID no registrado"))</f>
        <v/>
      </c>
      <c r="J96" s="9" t="str">
        <f aca="false">IF(C96="","",IFERROR(INDEX(CLIENTES!$Z$6:$Z$305,MATCH(C96,CLIENTES!$A$6:$A$305,0)),""))</f>
        <v/>
      </c>
      <c r="K96" s="9" t="str">
        <f aca="false">IF(E96="","",IF(AB96="Siempre","Sí",IF(ISNUMBER(AC96),IF(E96&gt;=AC96,"Sí",IF(AW96&gt;=AC96,"Sí (serie 24 h)","No")),"")))</f>
        <v/>
      </c>
      <c r="L96" s="9" t="str">
        <f aca="false">IF(E96="","",AA96)</f>
        <v/>
      </c>
      <c r="M96" s="9" t="str">
        <f aca="false">IF(E96="","",IF(AA96&lt;&gt;"ACUMULA","No aplica",IF(LEFT(K96,2)="Sí","Sí","No")))</f>
        <v/>
      </c>
      <c r="N96" s="23" t="str">
        <f aca="false">IF(M96="Sí",AJ96,"")</f>
        <v/>
      </c>
      <c r="O96" s="24" t="str">
        <f aca="false">IF(M96="Sí",AK96,"")</f>
        <v/>
      </c>
      <c r="P96" s="25" t="str">
        <f aca="false">IF(AND(LEFT(D96,6)="XIV - ",LEFT(AX96,5)="AVISO"),"Pedimento (R 16): no va al SPPLD",AX96)</f>
        <v/>
      </c>
      <c r="Q96" s="23" t="str">
        <f aca="false">IF(LEFT(P96,5)="AVISO",IF(ISNUMBER(B96),DATE(YEAR(B96),MONTH(B96)+1,17),"Falta fecha"),"")</f>
        <v/>
      </c>
      <c r="R96" s="9" t="str">
        <f aca="false">IF(OR(F96="",F96=0),"",IF(ISNUMBER(AG96),IF(F96&gt;=AG96,"PROHIBIDO","Dentro del límite"),"No aplica"))</f>
        <v/>
      </c>
      <c r="S96" s="26" t="str">
        <f aca="false">IF(E96="","",MID(IF(AQ96=1," · Excede el perfil declarado","")&amp;IF(H96="Sí"," · Paga un tercero","")&amp;IF(J96="Alto"," · Cliente de riesgo alto: DDR (RCG 23 Ter 3 y 4)","")&amp;IF(AND(AS96&lt;&gt;"",AS96&lt;&gt;"No",AS96&lt;&gt;0)," · PEP","")&amp;IF(R96="PROHIBIDO"," · Efectivo prohibido: no lo recibas (Art. 32)","")&amp;IF(AR96=1," · ⚠ Fecha fuera de orden","")&amp;IF(LEFT(I96,1)="⚠"," · ⚠ Cliente no registrado","")&amp;IF(D96=""," · ⚠ Falta la actividad","")&amp;IF(AND(LEFT(P96,5)="AVISO",W96="")," · Captura la cifra total con IVA para el Aviso","")&amp;IF(AND(ISNUMBER(W96),W96&lt;E96)," · ⚠ La cifra con IVA es menor que el monto sin IVA",""),4,400))</f>
        <v/>
      </c>
      <c r="T96" s="21"/>
      <c r="U96" s="20"/>
      <c r="V96" s="9" t="str">
        <f aca="false">IF(LEFT(P96,5)&lt;&gt;"AVISO","",IF(T96="Presentado",IF(AND(ISNUMBER(U96),ISNUMBER(Q96),U96&gt;Q96),"Presentado tarde","Presentado"),IF(NOT(ISNUMBER(Q96)),"Falta fecha",IF(Q96&lt;CONFIG!$B$6,"VENCIDO","Vence en "&amp;(Q96-CONFIG!$B$6)&amp;" días"))))</f>
        <v/>
      </c>
      <c r="W96" s="22"/>
      <c r="X96" s="21"/>
      <c r="AA96" s="0" t="str">
        <f aca="false">IF(AM96="","",INDEX(CATÁLOGO!$D$5:$D$39,AM96))</f>
        <v/>
      </c>
      <c r="AB96" s="0" t="str">
        <f aca="false">IF(AM96="","",INDEX(CATÁLOGO!$E$5:$E$39,AM96))</f>
        <v/>
      </c>
      <c r="AC96" s="0" t="str">
        <f aca="false">IF(AB96="","",IF(ISNUMBER(AB96),AB96*AV96,AB96))</f>
        <v/>
      </c>
      <c r="AD96" s="0" t="str">
        <f aca="false">IF(AM96="","",INDEX(CATÁLOGO!$F$5:$F$39,AM96))</f>
        <v/>
      </c>
      <c r="AE96" s="0" t="str">
        <f aca="false">IF(AD96="","",IF(ISNUMBER(AD96),AD96*AV96,AD96))</f>
        <v/>
      </c>
      <c r="AF96" s="0" t="str">
        <f aca="false">IF(AM96="","",INDEX(CATÁLOGO!$G$5:$G$39,AM96))</f>
        <v/>
      </c>
      <c r="AG96" s="0" t="str">
        <f aca="false">IF(AF96="","",IF(ISNUMBER(AF96),AF96*AV96,AF96))</f>
        <v/>
      </c>
      <c r="AH96" s="0" t="str">
        <f aca="false">IF(E96="","",C96&amp;"|"&amp;D96)</f>
        <v/>
      </c>
      <c r="AI96" s="27" t="n">
        <f aca="false">IF(M96&lt;&gt;"Sí",0,SUMPRODUCT(MAX(($AH$5:AH95=AH96)*($M$5:M95="Sí")*ROW($AH$5:AH95))))</f>
        <v>0</v>
      </c>
      <c r="AJ96" s="0" t="str">
        <f aca="false">IF(M96&lt;&gt;"Sí","",IF(AL96=1,B96,INDEX($AJ:$AJ,AI96)))</f>
        <v/>
      </c>
      <c r="AK96" s="0" t="str">
        <f aca="false">IF(M96&lt;&gt;"Sí","",IF(AL96=1,E96,INDEX($AK:$AK,AI96)+E96))</f>
        <v/>
      </c>
      <c r="AL96" s="0" t="str">
        <f aca="false">IF(M96&lt;&gt;"Sí","",IF(AI96=0,1,IF(INDEX($AN:$AN,AI96)=0,1,IF(B96&gt;=EDATE(INDEX($AJ:$AJ,AI96),6),1,0))))</f>
        <v/>
      </c>
      <c r="AM96" s="0" t="str">
        <f aca="false">IF(D96="","",IFERROR(MATCH(D96,CATÁLOGO!$C$5:$C$39,0),""))</f>
        <v/>
      </c>
      <c r="AN96" s="0" t="str">
        <f aca="false">IF(M96&lt;&gt;"Sí","",IF(AND(ISNUMBER(AE96),AK96&gt;=AE96),0,1))</f>
        <v/>
      </c>
      <c r="AO96" s="0" t="str">
        <f aca="false">IF(OR(E96="",C96="",NOT(ISNUMBER(B96))),"",SUMIFS($E$6:$E$505,$C$6:$C$505,C96,$B$6:$B$505,"&gt;="&amp;DATE(YEAR(B96),MONTH(B96),1),$B$6:$B$505,"&lt;"&amp;DATE(YEAR(B96),MONTH(B96)+1,1)))</f>
        <v/>
      </c>
      <c r="AP96" s="0" t="str">
        <f aca="false">IF(C96="","",IFERROR(INDEX(CLIENTES!$M$6:$M$305,MATCH(C96,CLIENTES!$A$6:$A$305,0)),""))</f>
        <v/>
      </c>
      <c r="AQ96" s="27" t="n">
        <f aca="false">IF(AND(ISNUMBER(AO96),ISNUMBER(AP96)),IF(AND(AP96&gt;0,AO96&gt;AP96),1,0),0)</f>
        <v>0</v>
      </c>
      <c r="AR96" s="27" t="n">
        <f aca="false">IF(NOT(ISNUMBER(B96)),0,IF(B96&lt;MAX($B$5:B95),1,0))</f>
        <v>0</v>
      </c>
      <c r="AS96" s="0" t="str">
        <f aca="false">IF(C96="","",IFERROR(INDEX(CLIENTES!$H$6:$H$305,MATCH(C96,CLIENTES!$A$6:$A$305,0)),""))</f>
        <v/>
      </c>
      <c r="AT96" s="0" t="str">
        <f aca="false">IF(AND(LEFT(P96,5)="AVISO",T96&lt;&gt;"Presentado",ISNUMBER(Q96)),Q96,"")</f>
        <v/>
      </c>
      <c r="AU96" s="27" t="n">
        <f aca="false">IF(AND(D96="XVI - Activos virtuales (PSAV): operación de intercambio/transferencia",M96="Sí",ISNUMBER(AE96)),IF(AK96&gt;=AE96,1,0),0)</f>
        <v>0</v>
      </c>
      <c r="AV96" s="30" t="n">
        <f aca="false">IF(NOT(ISNUMBER(B96)),CONFIG!$B$4,IFERROR(INDEX(CONFIG!$I$5:$I$14,MATCH(IF(MONTH(B96)=1,YEAR(B96)-1,YEAR(B96)),CONFIG!$H$5:$H$14,0)),CONFIG!$B$4))</f>
        <v>117.31</v>
      </c>
      <c r="AW96" s="27" t="n">
        <f aca="false">IF(AND(LEFT(D96,4)="I - ",ISNUMBER(B96),C96&lt;&gt;""),SUMIFS($E$6:$E$505,$C$6:$C$505,C96,$D$6:$D$505,D96,$B$6:$B$505,"&gt;"&amp;(B96-1),$B$6:$B$505,"&lt;="&amp;B96),0)</f>
        <v>0</v>
      </c>
      <c r="AX96" s="0" t="str">
        <f aca="false">IF(E96="","",IF(AD96="Siempre","AVISO (siempre)",IF(AD96="No aplica","Sin Aviso (sólo preparas: Ley 17 XI)",IF(NOT(ISNUMBER(AE96)),"",IF(AA96&lt;&gt;"ACUMULA",IF(E96&gt;=AE96,IF(AND(D96="XVI - Activos virtuales (PSAV): cobro de contraprestación (comisión) por el servicio",COUNTIFS($C$6:$C$505,C96,$B$6:$B$505,"&gt;="&amp;INT(B96),$B$6:$B$505,"&lt;"&amp;(INT(B96)+1),$AU$6:$AU$505,1)&gt;0),"En el Aviso del inciso a) (R 31 Bis)","AVISO"),"—"),IF(M96&lt;&gt;"Sí","—",IF(AK96&gt;=AE96,IF(AK96=E96,"AVISO","AVISO (acumulado)"),"Acumulando")))))))</f>
        <v/>
      </c>
    </row>
    <row r="97" customFormat="false" ht="15" hidden="false" customHeight="false" outlineLevel="0" collapsed="false">
      <c r="A97" s="9" t="str">
        <f aca="false">IF(E97="","",ROW()-5)</f>
        <v/>
      </c>
      <c r="B97" s="20"/>
      <c r="C97" s="21"/>
      <c r="D97" s="21"/>
      <c r="E97" s="22"/>
      <c r="F97" s="22"/>
      <c r="G97" s="21"/>
      <c r="H97" s="21"/>
      <c r="I97" s="9" t="str">
        <f aca="false">IF(C97="","",IFERROR(INDEX(CLIENTES!$B$6:$B$305,MATCH(C97,CLIENTES!$A$6:$A$305,0)),"⚠ ID no registrado"))</f>
        <v/>
      </c>
      <c r="J97" s="9" t="str">
        <f aca="false">IF(C97="","",IFERROR(INDEX(CLIENTES!$Z$6:$Z$305,MATCH(C97,CLIENTES!$A$6:$A$305,0)),""))</f>
        <v/>
      </c>
      <c r="K97" s="9" t="str">
        <f aca="false">IF(E97="","",IF(AB97="Siempre","Sí",IF(ISNUMBER(AC97),IF(E97&gt;=AC97,"Sí",IF(AW97&gt;=AC97,"Sí (serie 24 h)","No")),"")))</f>
        <v/>
      </c>
      <c r="L97" s="9" t="str">
        <f aca="false">IF(E97="","",AA97)</f>
        <v/>
      </c>
      <c r="M97" s="9" t="str">
        <f aca="false">IF(E97="","",IF(AA97&lt;&gt;"ACUMULA","No aplica",IF(LEFT(K97,2)="Sí","Sí","No")))</f>
        <v/>
      </c>
      <c r="N97" s="23" t="str">
        <f aca="false">IF(M97="Sí",AJ97,"")</f>
        <v/>
      </c>
      <c r="O97" s="24" t="str">
        <f aca="false">IF(M97="Sí",AK97,"")</f>
        <v/>
      </c>
      <c r="P97" s="25" t="str">
        <f aca="false">IF(AND(LEFT(D97,6)="XIV - ",LEFT(AX97,5)="AVISO"),"Pedimento (R 16): no va al SPPLD",AX97)</f>
        <v/>
      </c>
      <c r="Q97" s="23" t="str">
        <f aca="false">IF(LEFT(P97,5)="AVISO",IF(ISNUMBER(B97),DATE(YEAR(B97),MONTH(B97)+1,17),"Falta fecha"),"")</f>
        <v/>
      </c>
      <c r="R97" s="9" t="str">
        <f aca="false">IF(OR(F97="",F97=0),"",IF(ISNUMBER(AG97),IF(F97&gt;=AG97,"PROHIBIDO","Dentro del límite"),"No aplica"))</f>
        <v/>
      </c>
      <c r="S97" s="26" t="str">
        <f aca="false">IF(E97="","",MID(IF(AQ97=1," · Excede el perfil declarado","")&amp;IF(H97="Sí"," · Paga un tercero","")&amp;IF(J97="Alto"," · Cliente de riesgo alto: DDR (RCG 23 Ter 3 y 4)","")&amp;IF(AND(AS97&lt;&gt;"",AS97&lt;&gt;"No",AS97&lt;&gt;0)," · PEP","")&amp;IF(R97="PROHIBIDO"," · Efectivo prohibido: no lo recibas (Art. 32)","")&amp;IF(AR97=1," · ⚠ Fecha fuera de orden","")&amp;IF(LEFT(I97,1)="⚠"," · ⚠ Cliente no registrado","")&amp;IF(D97=""," · ⚠ Falta la actividad","")&amp;IF(AND(LEFT(P97,5)="AVISO",W97="")," · Captura la cifra total con IVA para el Aviso","")&amp;IF(AND(ISNUMBER(W97),W97&lt;E97)," · ⚠ La cifra con IVA es menor que el monto sin IVA",""),4,400))</f>
        <v/>
      </c>
      <c r="T97" s="21"/>
      <c r="U97" s="20"/>
      <c r="V97" s="9" t="str">
        <f aca="false">IF(LEFT(P97,5)&lt;&gt;"AVISO","",IF(T97="Presentado",IF(AND(ISNUMBER(U97),ISNUMBER(Q97),U97&gt;Q97),"Presentado tarde","Presentado"),IF(NOT(ISNUMBER(Q97)),"Falta fecha",IF(Q97&lt;CONFIG!$B$6,"VENCIDO","Vence en "&amp;(Q97-CONFIG!$B$6)&amp;" días"))))</f>
        <v/>
      </c>
      <c r="W97" s="22"/>
      <c r="X97" s="21"/>
      <c r="AA97" s="0" t="str">
        <f aca="false">IF(AM97="","",INDEX(CATÁLOGO!$D$5:$D$39,AM97))</f>
        <v/>
      </c>
      <c r="AB97" s="0" t="str">
        <f aca="false">IF(AM97="","",INDEX(CATÁLOGO!$E$5:$E$39,AM97))</f>
        <v/>
      </c>
      <c r="AC97" s="0" t="str">
        <f aca="false">IF(AB97="","",IF(ISNUMBER(AB97),AB97*AV97,AB97))</f>
        <v/>
      </c>
      <c r="AD97" s="0" t="str">
        <f aca="false">IF(AM97="","",INDEX(CATÁLOGO!$F$5:$F$39,AM97))</f>
        <v/>
      </c>
      <c r="AE97" s="0" t="str">
        <f aca="false">IF(AD97="","",IF(ISNUMBER(AD97),AD97*AV97,AD97))</f>
        <v/>
      </c>
      <c r="AF97" s="0" t="str">
        <f aca="false">IF(AM97="","",INDEX(CATÁLOGO!$G$5:$G$39,AM97))</f>
        <v/>
      </c>
      <c r="AG97" s="0" t="str">
        <f aca="false">IF(AF97="","",IF(ISNUMBER(AF97),AF97*AV97,AF97))</f>
        <v/>
      </c>
      <c r="AH97" s="0" t="str">
        <f aca="false">IF(E97="","",C97&amp;"|"&amp;D97)</f>
        <v/>
      </c>
      <c r="AI97" s="27" t="n">
        <f aca="false">IF(M97&lt;&gt;"Sí",0,SUMPRODUCT(MAX(($AH$5:AH96=AH97)*($M$5:M96="Sí")*ROW($AH$5:AH96))))</f>
        <v>0</v>
      </c>
      <c r="AJ97" s="0" t="str">
        <f aca="false">IF(M97&lt;&gt;"Sí","",IF(AL97=1,B97,INDEX($AJ:$AJ,AI97)))</f>
        <v/>
      </c>
      <c r="AK97" s="0" t="str">
        <f aca="false">IF(M97&lt;&gt;"Sí","",IF(AL97=1,E97,INDEX($AK:$AK,AI97)+E97))</f>
        <v/>
      </c>
      <c r="AL97" s="0" t="str">
        <f aca="false">IF(M97&lt;&gt;"Sí","",IF(AI97=0,1,IF(INDEX($AN:$AN,AI97)=0,1,IF(B97&gt;=EDATE(INDEX($AJ:$AJ,AI97),6),1,0))))</f>
        <v/>
      </c>
      <c r="AM97" s="0" t="str">
        <f aca="false">IF(D97="","",IFERROR(MATCH(D97,CATÁLOGO!$C$5:$C$39,0),""))</f>
        <v/>
      </c>
      <c r="AN97" s="0" t="str">
        <f aca="false">IF(M97&lt;&gt;"Sí","",IF(AND(ISNUMBER(AE97),AK97&gt;=AE97),0,1))</f>
        <v/>
      </c>
      <c r="AO97" s="0" t="str">
        <f aca="false">IF(OR(E97="",C97="",NOT(ISNUMBER(B97))),"",SUMIFS($E$6:$E$505,$C$6:$C$505,C97,$B$6:$B$505,"&gt;="&amp;DATE(YEAR(B97),MONTH(B97),1),$B$6:$B$505,"&lt;"&amp;DATE(YEAR(B97),MONTH(B97)+1,1)))</f>
        <v/>
      </c>
      <c r="AP97" s="0" t="str">
        <f aca="false">IF(C97="","",IFERROR(INDEX(CLIENTES!$M$6:$M$305,MATCH(C97,CLIENTES!$A$6:$A$305,0)),""))</f>
        <v/>
      </c>
      <c r="AQ97" s="27" t="n">
        <f aca="false">IF(AND(ISNUMBER(AO97),ISNUMBER(AP97)),IF(AND(AP97&gt;0,AO97&gt;AP97),1,0),0)</f>
        <v>0</v>
      </c>
      <c r="AR97" s="27" t="n">
        <f aca="false">IF(NOT(ISNUMBER(B97)),0,IF(B97&lt;MAX($B$5:B96),1,0))</f>
        <v>0</v>
      </c>
      <c r="AS97" s="0" t="str">
        <f aca="false">IF(C97="","",IFERROR(INDEX(CLIENTES!$H$6:$H$305,MATCH(C97,CLIENTES!$A$6:$A$305,0)),""))</f>
        <v/>
      </c>
      <c r="AT97" s="0" t="str">
        <f aca="false">IF(AND(LEFT(P97,5)="AVISO",T97&lt;&gt;"Presentado",ISNUMBER(Q97)),Q97,"")</f>
        <v/>
      </c>
      <c r="AU97" s="27" t="n">
        <f aca="false">IF(AND(D97="XVI - Activos virtuales (PSAV): operación de intercambio/transferencia",M97="Sí",ISNUMBER(AE97)),IF(AK97&gt;=AE97,1,0),0)</f>
        <v>0</v>
      </c>
      <c r="AV97" s="30" t="n">
        <f aca="false">IF(NOT(ISNUMBER(B97)),CONFIG!$B$4,IFERROR(INDEX(CONFIG!$I$5:$I$14,MATCH(IF(MONTH(B97)=1,YEAR(B97)-1,YEAR(B97)),CONFIG!$H$5:$H$14,0)),CONFIG!$B$4))</f>
        <v>117.31</v>
      </c>
      <c r="AW97" s="27" t="n">
        <f aca="false">IF(AND(LEFT(D97,4)="I - ",ISNUMBER(B97),C97&lt;&gt;""),SUMIFS($E$6:$E$505,$C$6:$C$505,C97,$D$6:$D$505,D97,$B$6:$B$505,"&gt;"&amp;(B97-1),$B$6:$B$505,"&lt;="&amp;B97),0)</f>
        <v>0</v>
      </c>
      <c r="AX97" s="0" t="str">
        <f aca="false">IF(E97="","",IF(AD97="Siempre","AVISO (siempre)",IF(AD97="No aplica","Sin Aviso (sólo preparas: Ley 17 XI)",IF(NOT(ISNUMBER(AE97)),"",IF(AA97&lt;&gt;"ACUMULA",IF(E97&gt;=AE97,IF(AND(D97="XVI - Activos virtuales (PSAV): cobro de contraprestación (comisión) por el servicio",COUNTIFS($C$6:$C$505,C97,$B$6:$B$505,"&gt;="&amp;INT(B97),$B$6:$B$505,"&lt;"&amp;(INT(B97)+1),$AU$6:$AU$505,1)&gt;0),"En el Aviso del inciso a) (R 31 Bis)","AVISO"),"—"),IF(M97&lt;&gt;"Sí","—",IF(AK97&gt;=AE97,IF(AK97=E97,"AVISO","AVISO (acumulado)"),"Acumulando")))))))</f>
        <v/>
      </c>
    </row>
    <row r="98" customFormat="false" ht="15" hidden="false" customHeight="false" outlineLevel="0" collapsed="false">
      <c r="A98" s="9" t="str">
        <f aca="false">IF(E98="","",ROW()-5)</f>
        <v/>
      </c>
      <c r="B98" s="20"/>
      <c r="C98" s="21"/>
      <c r="D98" s="21"/>
      <c r="E98" s="22"/>
      <c r="F98" s="22"/>
      <c r="G98" s="21"/>
      <c r="H98" s="21"/>
      <c r="I98" s="9" t="str">
        <f aca="false">IF(C98="","",IFERROR(INDEX(CLIENTES!$B$6:$B$305,MATCH(C98,CLIENTES!$A$6:$A$305,0)),"⚠ ID no registrado"))</f>
        <v/>
      </c>
      <c r="J98" s="9" t="str">
        <f aca="false">IF(C98="","",IFERROR(INDEX(CLIENTES!$Z$6:$Z$305,MATCH(C98,CLIENTES!$A$6:$A$305,0)),""))</f>
        <v/>
      </c>
      <c r="K98" s="9" t="str">
        <f aca="false">IF(E98="","",IF(AB98="Siempre","Sí",IF(ISNUMBER(AC98),IF(E98&gt;=AC98,"Sí",IF(AW98&gt;=AC98,"Sí (serie 24 h)","No")),"")))</f>
        <v/>
      </c>
      <c r="L98" s="9" t="str">
        <f aca="false">IF(E98="","",AA98)</f>
        <v/>
      </c>
      <c r="M98" s="9" t="str">
        <f aca="false">IF(E98="","",IF(AA98&lt;&gt;"ACUMULA","No aplica",IF(LEFT(K98,2)="Sí","Sí","No")))</f>
        <v/>
      </c>
      <c r="N98" s="23" t="str">
        <f aca="false">IF(M98="Sí",AJ98,"")</f>
        <v/>
      </c>
      <c r="O98" s="24" t="str">
        <f aca="false">IF(M98="Sí",AK98,"")</f>
        <v/>
      </c>
      <c r="P98" s="25" t="str">
        <f aca="false">IF(AND(LEFT(D98,6)="XIV - ",LEFT(AX98,5)="AVISO"),"Pedimento (R 16): no va al SPPLD",AX98)</f>
        <v/>
      </c>
      <c r="Q98" s="23" t="str">
        <f aca="false">IF(LEFT(P98,5)="AVISO",IF(ISNUMBER(B98),DATE(YEAR(B98),MONTH(B98)+1,17),"Falta fecha"),"")</f>
        <v/>
      </c>
      <c r="R98" s="9" t="str">
        <f aca="false">IF(OR(F98="",F98=0),"",IF(ISNUMBER(AG98),IF(F98&gt;=AG98,"PROHIBIDO","Dentro del límite"),"No aplica"))</f>
        <v/>
      </c>
      <c r="S98" s="26" t="str">
        <f aca="false">IF(E98="","",MID(IF(AQ98=1," · Excede el perfil declarado","")&amp;IF(H98="Sí"," · Paga un tercero","")&amp;IF(J98="Alto"," · Cliente de riesgo alto: DDR (RCG 23 Ter 3 y 4)","")&amp;IF(AND(AS98&lt;&gt;"",AS98&lt;&gt;"No",AS98&lt;&gt;0)," · PEP","")&amp;IF(R98="PROHIBIDO"," · Efectivo prohibido: no lo recibas (Art. 32)","")&amp;IF(AR98=1," · ⚠ Fecha fuera de orden","")&amp;IF(LEFT(I98,1)="⚠"," · ⚠ Cliente no registrado","")&amp;IF(D98=""," · ⚠ Falta la actividad","")&amp;IF(AND(LEFT(P98,5)="AVISO",W98="")," · Captura la cifra total con IVA para el Aviso","")&amp;IF(AND(ISNUMBER(W98),W98&lt;E98)," · ⚠ La cifra con IVA es menor que el monto sin IVA",""),4,400))</f>
        <v/>
      </c>
      <c r="T98" s="21"/>
      <c r="U98" s="20"/>
      <c r="V98" s="9" t="str">
        <f aca="false">IF(LEFT(P98,5)&lt;&gt;"AVISO","",IF(T98="Presentado",IF(AND(ISNUMBER(U98),ISNUMBER(Q98),U98&gt;Q98),"Presentado tarde","Presentado"),IF(NOT(ISNUMBER(Q98)),"Falta fecha",IF(Q98&lt;CONFIG!$B$6,"VENCIDO","Vence en "&amp;(Q98-CONFIG!$B$6)&amp;" días"))))</f>
        <v/>
      </c>
      <c r="W98" s="22"/>
      <c r="X98" s="21"/>
      <c r="AA98" s="0" t="str">
        <f aca="false">IF(AM98="","",INDEX(CATÁLOGO!$D$5:$D$39,AM98))</f>
        <v/>
      </c>
      <c r="AB98" s="0" t="str">
        <f aca="false">IF(AM98="","",INDEX(CATÁLOGO!$E$5:$E$39,AM98))</f>
        <v/>
      </c>
      <c r="AC98" s="0" t="str">
        <f aca="false">IF(AB98="","",IF(ISNUMBER(AB98),AB98*AV98,AB98))</f>
        <v/>
      </c>
      <c r="AD98" s="0" t="str">
        <f aca="false">IF(AM98="","",INDEX(CATÁLOGO!$F$5:$F$39,AM98))</f>
        <v/>
      </c>
      <c r="AE98" s="0" t="str">
        <f aca="false">IF(AD98="","",IF(ISNUMBER(AD98),AD98*AV98,AD98))</f>
        <v/>
      </c>
      <c r="AF98" s="0" t="str">
        <f aca="false">IF(AM98="","",INDEX(CATÁLOGO!$G$5:$G$39,AM98))</f>
        <v/>
      </c>
      <c r="AG98" s="0" t="str">
        <f aca="false">IF(AF98="","",IF(ISNUMBER(AF98),AF98*AV98,AF98))</f>
        <v/>
      </c>
      <c r="AH98" s="0" t="str">
        <f aca="false">IF(E98="","",C98&amp;"|"&amp;D98)</f>
        <v/>
      </c>
      <c r="AI98" s="27" t="n">
        <f aca="false">IF(M98&lt;&gt;"Sí",0,SUMPRODUCT(MAX(($AH$5:AH97=AH98)*($M$5:M97="Sí")*ROW($AH$5:AH97))))</f>
        <v>0</v>
      </c>
      <c r="AJ98" s="0" t="str">
        <f aca="false">IF(M98&lt;&gt;"Sí","",IF(AL98=1,B98,INDEX($AJ:$AJ,AI98)))</f>
        <v/>
      </c>
      <c r="AK98" s="0" t="str">
        <f aca="false">IF(M98&lt;&gt;"Sí","",IF(AL98=1,E98,INDEX($AK:$AK,AI98)+E98))</f>
        <v/>
      </c>
      <c r="AL98" s="0" t="str">
        <f aca="false">IF(M98&lt;&gt;"Sí","",IF(AI98=0,1,IF(INDEX($AN:$AN,AI98)=0,1,IF(B98&gt;=EDATE(INDEX($AJ:$AJ,AI98),6),1,0))))</f>
        <v/>
      </c>
      <c r="AM98" s="0" t="str">
        <f aca="false">IF(D98="","",IFERROR(MATCH(D98,CATÁLOGO!$C$5:$C$39,0),""))</f>
        <v/>
      </c>
      <c r="AN98" s="0" t="str">
        <f aca="false">IF(M98&lt;&gt;"Sí","",IF(AND(ISNUMBER(AE98),AK98&gt;=AE98),0,1))</f>
        <v/>
      </c>
      <c r="AO98" s="0" t="str">
        <f aca="false">IF(OR(E98="",C98="",NOT(ISNUMBER(B98))),"",SUMIFS($E$6:$E$505,$C$6:$C$505,C98,$B$6:$B$505,"&gt;="&amp;DATE(YEAR(B98),MONTH(B98),1),$B$6:$B$505,"&lt;"&amp;DATE(YEAR(B98),MONTH(B98)+1,1)))</f>
        <v/>
      </c>
      <c r="AP98" s="0" t="str">
        <f aca="false">IF(C98="","",IFERROR(INDEX(CLIENTES!$M$6:$M$305,MATCH(C98,CLIENTES!$A$6:$A$305,0)),""))</f>
        <v/>
      </c>
      <c r="AQ98" s="27" t="n">
        <f aca="false">IF(AND(ISNUMBER(AO98),ISNUMBER(AP98)),IF(AND(AP98&gt;0,AO98&gt;AP98),1,0),0)</f>
        <v>0</v>
      </c>
      <c r="AR98" s="27" t="n">
        <f aca="false">IF(NOT(ISNUMBER(B98)),0,IF(B98&lt;MAX($B$5:B97),1,0))</f>
        <v>0</v>
      </c>
      <c r="AS98" s="0" t="str">
        <f aca="false">IF(C98="","",IFERROR(INDEX(CLIENTES!$H$6:$H$305,MATCH(C98,CLIENTES!$A$6:$A$305,0)),""))</f>
        <v/>
      </c>
      <c r="AT98" s="0" t="str">
        <f aca="false">IF(AND(LEFT(P98,5)="AVISO",T98&lt;&gt;"Presentado",ISNUMBER(Q98)),Q98,"")</f>
        <v/>
      </c>
      <c r="AU98" s="27" t="n">
        <f aca="false">IF(AND(D98="XVI - Activos virtuales (PSAV): operación de intercambio/transferencia",M98="Sí",ISNUMBER(AE98)),IF(AK98&gt;=AE98,1,0),0)</f>
        <v>0</v>
      </c>
      <c r="AV98" s="30" t="n">
        <f aca="false">IF(NOT(ISNUMBER(B98)),CONFIG!$B$4,IFERROR(INDEX(CONFIG!$I$5:$I$14,MATCH(IF(MONTH(B98)=1,YEAR(B98)-1,YEAR(B98)),CONFIG!$H$5:$H$14,0)),CONFIG!$B$4))</f>
        <v>117.31</v>
      </c>
      <c r="AW98" s="27" t="n">
        <f aca="false">IF(AND(LEFT(D98,4)="I - ",ISNUMBER(B98),C98&lt;&gt;""),SUMIFS($E$6:$E$505,$C$6:$C$505,C98,$D$6:$D$505,D98,$B$6:$B$505,"&gt;"&amp;(B98-1),$B$6:$B$505,"&lt;="&amp;B98),0)</f>
        <v>0</v>
      </c>
      <c r="AX98" s="0" t="str">
        <f aca="false">IF(E98="","",IF(AD98="Siempre","AVISO (siempre)",IF(AD98="No aplica","Sin Aviso (sólo preparas: Ley 17 XI)",IF(NOT(ISNUMBER(AE98)),"",IF(AA98&lt;&gt;"ACUMULA",IF(E98&gt;=AE98,IF(AND(D98="XVI - Activos virtuales (PSAV): cobro de contraprestación (comisión) por el servicio",COUNTIFS($C$6:$C$505,C98,$B$6:$B$505,"&gt;="&amp;INT(B98),$B$6:$B$505,"&lt;"&amp;(INT(B98)+1),$AU$6:$AU$505,1)&gt;0),"En el Aviso del inciso a) (R 31 Bis)","AVISO"),"—"),IF(M98&lt;&gt;"Sí","—",IF(AK98&gt;=AE98,IF(AK98=E98,"AVISO","AVISO (acumulado)"),"Acumulando")))))))</f>
        <v/>
      </c>
    </row>
    <row r="99" customFormat="false" ht="15" hidden="false" customHeight="false" outlineLevel="0" collapsed="false">
      <c r="A99" s="9" t="str">
        <f aca="false">IF(E99="","",ROW()-5)</f>
        <v/>
      </c>
      <c r="B99" s="20"/>
      <c r="C99" s="21"/>
      <c r="D99" s="21"/>
      <c r="E99" s="22"/>
      <c r="F99" s="22"/>
      <c r="G99" s="21"/>
      <c r="H99" s="21"/>
      <c r="I99" s="9" t="str">
        <f aca="false">IF(C99="","",IFERROR(INDEX(CLIENTES!$B$6:$B$305,MATCH(C99,CLIENTES!$A$6:$A$305,0)),"⚠ ID no registrado"))</f>
        <v/>
      </c>
      <c r="J99" s="9" t="str">
        <f aca="false">IF(C99="","",IFERROR(INDEX(CLIENTES!$Z$6:$Z$305,MATCH(C99,CLIENTES!$A$6:$A$305,0)),""))</f>
        <v/>
      </c>
      <c r="K99" s="9" t="str">
        <f aca="false">IF(E99="","",IF(AB99="Siempre","Sí",IF(ISNUMBER(AC99),IF(E99&gt;=AC99,"Sí",IF(AW99&gt;=AC99,"Sí (serie 24 h)","No")),"")))</f>
        <v/>
      </c>
      <c r="L99" s="9" t="str">
        <f aca="false">IF(E99="","",AA99)</f>
        <v/>
      </c>
      <c r="M99" s="9" t="str">
        <f aca="false">IF(E99="","",IF(AA99&lt;&gt;"ACUMULA","No aplica",IF(LEFT(K99,2)="Sí","Sí","No")))</f>
        <v/>
      </c>
      <c r="N99" s="23" t="str">
        <f aca="false">IF(M99="Sí",AJ99,"")</f>
        <v/>
      </c>
      <c r="O99" s="24" t="str">
        <f aca="false">IF(M99="Sí",AK99,"")</f>
        <v/>
      </c>
      <c r="P99" s="25" t="str">
        <f aca="false">IF(AND(LEFT(D99,6)="XIV - ",LEFT(AX99,5)="AVISO"),"Pedimento (R 16): no va al SPPLD",AX99)</f>
        <v/>
      </c>
      <c r="Q99" s="23" t="str">
        <f aca="false">IF(LEFT(P99,5)="AVISO",IF(ISNUMBER(B99),DATE(YEAR(B99),MONTH(B99)+1,17),"Falta fecha"),"")</f>
        <v/>
      </c>
      <c r="R99" s="9" t="str">
        <f aca="false">IF(OR(F99="",F99=0),"",IF(ISNUMBER(AG99),IF(F99&gt;=AG99,"PROHIBIDO","Dentro del límite"),"No aplica"))</f>
        <v/>
      </c>
      <c r="S99" s="26" t="str">
        <f aca="false">IF(E99="","",MID(IF(AQ99=1," · Excede el perfil declarado","")&amp;IF(H99="Sí"," · Paga un tercero","")&amp;IF(J99="Alto"," · Cliente de riesgo alto: DDR (RCG 23 Ter 3 y 4)","")&amp;IF(AND(AS99&lt;&gt;"",AS99&lt;&gt;"No",AS99&lt;&gt;0)," · PEP","")&amp;IF(R99="PROHIBIDO"," · Efectivo prohibido: no lo recibas (Art. 32)","")&amp;IF(AR99=1," · ⚠ Fecha fuera de orden","")&amp;IF(LEFT(I99,1)="⚠"," · ⚠ Cliente no registrado","")&amp;IF(D99=""," · ⚠ Falta la actividad","")&amp;IF(AND(LEFT(P99,5)="AVISO",W99="")," · Captura la cifra total con IVA para el Aviso","")&amp;IF(AND(ISNUMBER(W99),W99&lt;E99)," · ⚠ La cifra con IVA es menor que el monto sin IVA",""),4,400))</f>
        <v/>
      </c>
      <c r="T99" s="21"/>
      <c r="U99" s="20"/>
      <c r="V99" s="9" t="str">
        <f aca="false">IF(LEFT(P99,5)&lt;&gt;"AVISO","",IF(T99="Presentado",IF(AND(ISNUMBER(U99),ISNUMBER(Q99),U99&gt;Q99),"Presentado tarde","Presentado"),IF(NOT(ISNUMBER(Q99)),"Falta fecha",IF(Q99&lt;CONFIG!$B$6,"VENCIDO","Vence en "&amp;(Q99-CONFIG!$B$6)&amp;" días"))))</f>
        <v/>
      </c>
      <c r="W99" s="22"/>
      <c r="X99" s="21"/>
      <c r="AA99" s="0" t="str">
        <f aca="false">IF(AM99="","",INDEX(CATÁLOGO!$D$5:$D$39,AM99))</f>
        <v/>
      </c>
      <c r="AB99" s="0" t="str">
        <f aca="false">IF(AM99="","",INDEX(CATÁLOGO!$E$5:$E$39,AM99))</f>
        <v/>
      </c>
      <c r="AC99" s="0" t="str">
        <f aca="false">IF(AB99="","",IF(ISNUMBER(AB99),AB99*AV99,AB99))</f>
        <v/>
      </c>
      <c r="AD99" s="0" t="str">
        <f aca="false">IF(AM99="","",INDEX(CATÁLOGO!$F$5:$F$39,AM99))</f>
        <v/>
      </c>
      <c r="AE99" s="0" t="str">
        <f aca="false">IF(AD99="","",IF(ISNUMBER(AD99),AD99*AV99,AD99))</f>
        <v/>
      </c>
      <c r="AF99" s="0" t="str">
        <f aca="false">IF(AM99="","",INDEX(CATÁLOGO!$G$5:$G$39,AM99))</f>
        <v/>
      </c>
      <c r="AG99" s="0" t="str">
        <f aca="false">IF(AF99="","",IF(ISNUMBER(AF99),AF99*AV99,AF99))</f>
        <v/>
      </c>
      <c r="AH99" s="0" t="str">
        <f aca="false">IF(E99="","",C99&amp;"|"&amp;D99)</f>
        <v/>
      </c>
      <c r="AI99" s="27" t="n">
        <f aca="false">IF(M99&lt;&gt;"Sí",0,SUMPRODUCT(MAX(($AH$5:AH98=AH99)*($M$5:M98="Sí")*ROW($AH$5:AH98))))</f>
        <v>0</v>
      </c>
      <c r="AJ99" s="0" t="str">
        <f aca="false">IF(M99&lt;&gt;"Sí","",IF(AL99=1,B99,INDEX($AJ:$AJ,AI99)))</f>
        <v/>
      </c>
      <c r="AK99" s="0" t="str">
        <f aca="false">IF(M99&lt;&gt;"Sí","",IF(AL99=1,E99,INDEX($AK:$AK,AI99)+E99))</f>
        <v/>
      </c>
      <c r="AL99" s="0" t="str">
        <f aca="false">IF(M99&lt;&gt;"Sí","",IF(AI99=0,1,IF(INDEX($AN:$AN,AI99)=0,1,IF(B99&gt;=EDATE(INDEX($AJ:$AJ,AI99),6),1,0))))</f>
        <v/>
      </c>
      <c r="AM99" s="0" t="str">
        <f aca="false">IF(D99="","",IFERROR(MATCH(D99,CATÁLOGO!$C$5:$C$39,0),""))</f>
        <v/>
      </c>
      <c r="AN99" s="0" t="str">
        <f aca="false">IF(M99&lt;&gt;"Sí","",IF(AND(ISNUMBER(AE99),AK99&gt;=AE99),0,1))</f>
        <v/>
      </c>
      <c r="AO99" s="0" t="str">
        <f aca="false">IF(OR(E99="",C99="",NOT(ISNUMBER(B99))),"",SUMIFS($E$6:$E$505,$C$6:$C$505,C99,$B$6:$B$505,"&gt;="&amp;DATE(YEAR(B99),MONTH(B99),1),$B$6:$B$505,"&lt;"&amp;DATE(YEAR(B99),MONTH(B99)+1,1)))</f>
        <v/>
      </c>
      <c r="AP99" s="0" t="str">
        <f aca="false">IF(C99="","",IFERROR(INDEX(CLIENTES!$M$6:$M$305,MATCH(C99,CLIENTES!$A$6:$A$305,0)),""))</f>
        <v/>
      </c>
      <c r="AQ99" s="27" t="n">
        <f aca="false">IF(AND(ISNUMBER(AO99),ISNUMBER(AP99)),IF(AND(AP99&gt;0,AO99&gt;AP99),1,0),0)</f>
        <v>0</v>
      </c>
      <c r="AR99" s="27" t="n">
        <f aca="false">IF(NOT(ISNUMBER(B99)),0,IF(B99&lt;MAX($B$5:B98),1,0))</f>
        <v>0</v>
      </c>
      <c r="AS99" s="0" t="str">
        <f aca="false">IF(C99="","",IFERROR(INDEX(CLIENTES!$H$6:$H$305,MATCH(C99,CLIENTES!$A$6:$A$305,0)),""))</f>
        <v/>
      </c>
      <c r="AT99" s="0" t="str">
        <f aca="false">IF(AND(LEFT(P99,5)="AVISO",T99&lt;&gt;"Presentado",ISNUMBER(Q99)),Q99,"")</f>
        <v/>
      </c>
      <c r="AU99" s="27" t="n">
        <f aca="false">IF(AND(D99="XVI - Activos virtuales (PSAV): operación de intercambio/transferencia",M99="Sí",ISNUMBER(AE99)),IF(AK99&gt;=AE99,1,0),0)</f>
        <v>0</v>
      </c>
      <c r="AV99" s="30" t="n">
        <f aca="false">IF(NOT(ISNUMBER(B99)),CONFIG!$B$4,IFERROR(INDEX(CONFIG!$I$5:$I$14,MATCH(IF(MONTH(B99)=1,YEAR(B99)-1,YEAR(B99)),CONFIG!$H$5:$H$14,0)),CONFIG!$B$4))</f>
        <v>117.31</v>
      </c>
      <c r="AW99" s="27" t="n">
        <f aca="false">IF(AND(LEFT(D99,4)="I - ",ISNUMBER(B99),C99&lt;&gt;""),SUMIFS($E$6:$E$505,$C$6:$C$505,C99,$D$6:$D$505,D99,$B$6:$B$505,"&gt;"&amp;(B99-1),$B$6:$B$505,"&lt;="&amp;B99),0)</f>
        <v>0</v>
      </c>
      <c r="AX99" s="0" t="str">
        <f aca="false">IF(E99="","",IF(AD99="Siempre","AVISO (siempre)",IF(AD99="No aplica","Sin Aviso (sólo preparas: Ley 17 XI)",IF(NOT(ISNUMBER(AE99)),"",IF(AA99&lt;&gt;"ACUMULA",IF(E99&gt;=AE99,IF(AND(D99="XVI - Activos virtuales (PSAV): cobro de contraprestación (comisión) por el servicio",COUNTIFS($C$6:$C$505,C99,$B$6:$B$505,"&gt;="&amp;INT(B99),$B$6:$B$505,"&lt;"&amp;(INT(B99)+1),$AU$6:$AU$505,1)&gt;0),"En el Aviso del inciso a) (R 31 Bis)","AVISO"),"—"),IF(M99&lt;&gt;"Sí","—",IF(AK99&gt;=AE99,IF(AK99=E99,"AVISO","AVISO (acumulado)"),"Acumulando")))))))</f>
        <v/>
      </c>
    </row>
    <row r="100" customFormat="false" ht="15" hidden="false" customHeight="false" outlineLevel="0" collapsed="false">
      <c r="A100" s="9" t="str">
        <f aca="false">IF(E100="","",ROW()-5)</f>
        <v/>
      </c>
      <c r="B100" s="20"/>
      <c r="C100" s="21"/>
      <c r="D100" s="21"/>
      <c r="E100" s="22"/>
      <c r="F100" s="22"/>
      <c r="G100" s="21"/>
      <c r="H100" s="21"/>
      <c r="I100" s="9" t="str">
        <f aca="false">IF(C100="","",IFERROR(INDEX(CLIENTES!$B$6:$B$305,MATCH(C100,CLIENTES!$A$6:$A$305,0)),"⚠ ID no registrado"))</f>
        <v/>
      </c>
      <c r="J100" s="9" t="str">
        <f aca="false">IF(C100="","",IFERROR(INDEX(CLIENTES!$Z$6:$Z$305,MATCH(C100,CLIENTES!$A$6:$A$305,0)),""))</f>
        <v/>
      </c>
      <c r="K100" s="9" t="str">
        <f aca="false">IF(E100="","",IF(AB100="Siempre","Sí",IF(ISNUMBER(AC100),IF(E100&gt;=AC100,"Sí",IF(AW100&gt;=AC100,"Sí (serie 24 h)","No")),"")))</f>
        <v/>
      </c>
      <c r="L100" s="9" t="str">
        <f aca="false">IF(E100="","",AA100)</f>
        <v/>
      </c>
      <c r="M100" s="9" t="str">
        <f aca="false">IF(E100="","",IF(AA100&lt;&gt;"ACUMULA","No aplica",IF(LEFT(K100,2)="Sí","Sí","No")))</f>
        <v/>
      </c>
      <c r="N100" s="23" t="str">
        <f aca="false">IF(M100="Sí",AJ100,"")</f>
        <v/>
      </c>
      <c r="O100" s="24" t="str">
        <f aca="false">IF(M100="Sí",AK100,"")</f>
        <v/>
      </c>
      <c r="P100" s="25" t="str">
        <f aca="false">IF(AND(LEFT(D100,6)="XIV - ",LEFT(AX100,5)="AVISO"),"Pedimento (R 16): no va al SPPLD",AX100)</f>
        <v/>
      </c>
      <c r="Q100" s="23" t="str">
        <f aca="false">IF(LEFT(P100,5)="AVISO",IF(ISNUMBER(B100),DATE(YEAR(B100),MONTH(B100)+1,17),"Falta fecha"),"")</f>
        <v/>
      </c>
      <c r="R100" s="9" t="str">
        <f aca="false">IF(OR(F100="",F100=0),"",IF(ISNUMBER(AG100),IF(F100&gt;=AG100,"PROHIBIDO","Dentro del límite"),"No aplica"))</f>
        <v/>
      </c>
      <c r="S100" s="26" t="str">
        <f aca="false">IF(E100="","",MID(IF(AQ100=1," · Excede el perfil declarado","")&amp;IF(H100="Sí"," · Paga un tercero","")&amp;IF(J100="Alto"," · Cliente de riesgo alto: DDR (RCG 23 Ter 3 y 4)","")&amp;IF(AND(AS100&lt;&gt;"",AS100&lt;&gt;"No",AS100&lt;&gt;0)," · PEP","")&amp;IF(R100="PROHIBIDO"," · Efectivo prohibido: no lo recibas (Art. 32)","")&amp;IF(AR100=1," · ⚠ Fecha fuera de orden","")&amp;IF(LEFT(I100,1)="⚠"," · ⚠ Cliente no registrado","")&amp;IF(D100=""," · ⚠ Falta la actividad","")&amp;IF(AND(LEFT(P100,5)="AVISO",W100="")," · Captura la cifra total con IVA para el Aviso","")&amp;IF(AND(ISNUMBER(W100),W100&lt;E100)," · ⚠ La cifra con IVA es menor que el monto sin IVA",""),4,400))</f>
        <v/>
      </c>
      <c r="T100" s="21"/>
      <c r="U100" s="20"/>
      <c r="V100" s="9" t="str">
        <f aca="false">IF(LEFT(P100,5)&lt;&gt;"AVISO","",IF(T100="Presentado",IF(AND(ISNUMBER(U100),ISNUMBER(Q100),U100&gt;Q100),"Presentado tarde","Presentado"),IF(NOT(ISNUMBER(Q100)),"Falta fecha",IF(Q100&lt;CONFIG!$B$6,"VENCIDO","Vence en "&amp;(Q100-CONFIG!$B$6)&amp;" días"))))</f>
        <v/>
      </c>
      <c r="W100" s="22"/>
      <c r="X100" s="21"/>
      <c r="AA100" s="0" t="str">
        <f aca="false">IF(AM100="","",INDEX(CATÁLOGO!$D$5:$D$39,AM100))</f>
        <v/>
      </c>
      <c r="AB100" s="0" t="str">
        <f aca="false">IF(AM100="","",INDEX(CATÁLOGO!$E$5:$E$39,AM100))</f>
        <v/>
      </c>
      <c r="AC100" s="0" t="str">
        <f aca="false">IF(AB100="","",IF(ISNUMBER(AB100),AB100*AV100,AB100))</f>
        <v/>
      </c>
      <c r="AD100" s="0" t="str">
        <f aca="false">IF(AM100="","",INDEX(CATÁLOGO!$F$5:$F$39,AM100))</f>
        <v/>
      </c>
      <c r="AE100" s="0" t="str">
        <f aca="false">IF(AD100="","",IF(ISNUMBER(AD100),AD100*AV100,AD100))</f>
        <v/>
      </c>
      <c r="AF100" s="0" t="str">
        <f aca="false">IF(AM100="","",INDEX(CATÁLOGO!$G$5:$G$39,AM100))</f>
        <v/>
      </c>
      <c r="AG100" s="0" t="str">
        <f aca="false">IF(AF100="","",IF(ISNUMBER(AF100),AF100*AV100,AF100))</f>
        <v/>
      </c>
      <c r="AH100" s="0" t="str">
        <f aca="false">IF(E100="","",C100&amp;"|"&amp;D100)</f>
        <v/>
      </c>
      <c r="AI100" s="27" t="n">
        <f aca="false">IF(M100&lt;&gt;"Sí",0,SUMPRODUCT(MAX(($AH$5:AH99=AH100)*($M$5:M99="Sí")*ROW($AH$5:AH99))))</f>
        <v>0</v>
      </c>
      <c r="AJ100" s="0" t="str">
        <f aca="false">IF(M100&lt;&gt;"Sí","",IF(AL100=1,B100,INDEX($AJ:$AJ,AI100)))</f>
        <v/>
      </c>
      <c r="AK100" s="0" t="str">
        <f aca="false">IF(M100&lt;&gt;"Sí","",IF(AL100=1,E100,INDEX($AK:$AK,AI100)+E100))</f>
        <v/>
      </c>
      <c r="AL100" s="0" t="str">
        <f aca="false">IF(M100&lt;&gt;"Sí","",IF(AI100=0,1,IF(INDEX($AN:$AN,AI100)=0,1,IF(B100&gt;=EDATE(INDEX($AJ:$AJ,AI100),6),1,0))))</f>
        <v/>
      </c>
      <c r="AM100" s="0" t="str">
        <f aca="false">IF(D100="","",IFERROR(MATCH(D100,CATÁLOGO!$C$5:$C$39,0),""))</f>
        <v/>
      </c>
      <c r="AN100" s="0" t="str">
        <f aca="false">IF(M100&lt;&gt;"Sí","",IF(AND(ISNUMBER(AE100),AK100&gt;=AE100),0,1))</f>
        <v/>
      </c>
      <c r="AO100" s="0" t="str">
        <f aca="false">IF(OR(E100="",C100="",NOT(ISNUMBER(B100))),"",SUMIFS($E$6:$E$505,$C$6:$C$505,C100,$B$6:$B$505,"&gt;="&amp;DATE(YEAR(B100),MONTH(B100),1),$B$6:$B$505,"&lt;"&amp;DATE(YEAR(B100),MONTH(B100)+1,1)))</f>
        <v/>
      </c>
      <c r="AP100" s="0" t="str">
        <f aca="false">IF(C100="","",IFERROR(INDEX(CLIENTES!$M$6:$M$305,MATCH(C100,CLIENTES!$A$6:$A$305,0)),""))</f>
        <v/>
      </c>
      <c r="AQ100" s="27" t="n">
        <f aca="false">IF(AND(ISNUMBER(AO100),ISNUMBER(AP100)),IF(AND(AP100&gt;0,AO100&gt;AP100),1,0),0)</f>
        <v>0</v>
      </c>
      <c r="AR100" s="27" t="n">
        <f aca="false">IF(NOT(ISNUMBER(B100)),0,IF(B100&lt;MAX($B$5:B99),1,0))</f>
        <v>0</v>
      </c>
      <c r="AS100" s="0" t="str">
        <f aca="false">IF(C100="","",IFERROR(INDEX(CLIENTES!$H$6:$H$305,MATCH(C100,CLIENTES!$A$6:$A$305,0)),""))</f>
        <v/>
      </c>
      <c r="AT100" s="0" t="str">
        <f aca="false">IF(AND(LEFT(P100,5)="AVISO",T100&lt;&gt;"Presentado",ISNUMBER(Q100)),Q100,"")</f>
        <v/>
      </c>
      <c r="AU100" s="27" t="n">
        <f aca="false">IF(AND(D100="XVI - Activos virtuales (PSAV): operación de intercambio/transferencia",M100="Sí",ISNUMBER(AE100)),IF(AK100&gt;=AE100,1,0),0)</f>
        <v>0</v>
      </c>
      <c r="AV100" s="30" t="n">
        <f aca="false">IF(NOT(ISNUMBER(B100)),CONFIG!$B$4,IFERROR(INDEX(CONFIG!$I$5:$I$14,MATCH(IF(MONTH(B100)=1,YEAR(B100)-1,YEAR(B100)),CONFIG!$H$5:$H$14,0)),CONFIG!$B$4))</f>
        <v>117.31</v>
      </c>
      <c r="AW100" s="27" t="n">
        <f aca="false">IF(AND(LEFT(D100,4)="I - ",ISNUMBER(B100),C100&lt;&gt;""),SUMIFS($E$6:$E$505,$C$6:$C$505,C100,$D$6:$D$505,D100,$B$6:$B$505,"&gt;"&amp;(B100-1),$B$6:$B$505,"&lt;="&amp;B100),0)</f>
        <v>0</v>
      </c>
      <c r="AX100" s="0" t="str">
        <f aca="false">IF(E100="","",IF(AD100="Siempre","AVISO (siempre)",IF(AD100="No aplica","Sin Aviso (sólo preparas: Ley 17 XI)",IF(NOT(ISNUMBER(AE100)),"",IF(AA100&lt;&gt;"ACUMULA",IF(E100&gt;=AE100,IF(AND(D100="XVI - Activos virtuales (PSAV): cobro de contraprestación (comisión) por el servicio",COUNTIFS($C$6:$C$505,C100,$B$6:$B$505,"&gt;="&amp;INT(B100),$B$6:$B$505,"&lt;"&amp;(INT(B100)+1),$AU$6:$AU$505,1)&gt;0),"En el Aviso del inciso a) (R 31 Bis)","AVISO"),"—"),IF(M100&lt;&gt;"Sí","—",IF(AK100&gt;=AE100,IF(AK100=E100,"AVISO","AVISO (acumulado)"),"Acumulando")))))))</f>
        <v/>
      </c>
    </row>
    <row r="101" customFormat="false" ht="15" hidden="false" customHeight="false" outlineLevel="0" collapsed="false">
      <c r="A101" s="9" t="str">
        <f aca="false">IF(E101="","",ROW()-5)</f>
        <v/>
      </c>
      <c r="B101" s="20"/>
      <c r="C101" s="21"/>
      <c r="D101" s="21"/>
      <c r="E101" s="22"/>
      <c r="F101" s="22"/>
      <c r="G101" s="21"/>
      <c r="H101" s="21"/>
      <c r="I101" s="9" t="str">
        <f aca="false">IF(C101="","",IFERROR(INDEX(CLIENTES!$B$6:$B$305,MATCH(C101,CLIENTES!$A$6:$A$305,0)),"⚠ ID no registrado"))</f>
        <v/>
      </c>
      <c r="J101" s="9" t="str">
        <f aca="false">IF(C101="","",IFERROR(INDEX(CLIENTES!$Z$6:$Z$305,MATCH(C101,CLIENTES!$A$6:$A$305,0)),""))</f>
        <v/>
      </c>
      <c r="K101" s="9" t="str">
        <f aca="false">IF(E101="","",IF(AB101="Siempre","Sí",IF(ISNUMBER(AC101),IF(E101&gt;=AC101,"Sí",IF(AW101&gt;=AC101,"Sí (serie 24 h)","No")),"")))</f>
        <v/>
      </c>
      <c r="L101" s="9" t="str">
        <f aca="false">IF(E101="","",AA101)</f>
        <v/>
      </c>
      <c r="M101" s="9" t="str">
        <f aca="false">IF(E101="","",IF(AA101&lt;&gt;"ACUMULA","No aplica",IF(LEFT(K101,2)="Sí","Sí","No")))</f>
        <v/>
      </c>
      <c r="N101" s="23" t="str">
        <f aca="false">IF(M101="Sí",AJ101,"")</f>
        <v/>
      </c>
      <c r="O101" s="24" t="str">
        <f aca="false">IF(M101="Sí",AK101,"")</f>
        <v/>
      </c>
      <c r="P101" s="25" t="str">
        <f aca="false">IF(AND(LEFT(D101,6)="XIV - ",LEFT(AX101,5)="AVISO"),"Pedimento (R 16): no va al SPPLD",AX101)</f>
        <v/>
      </c>
      <c r="Q101" s="23" t="str">
        <f aca="false">IF(LEFT(P101,5)="AVISO",IF(ISNUMBER(B101),DATE(YEAR(B101),MONTH(B101)+1,17),"Falta fecha"),"")</f>
        <v/>
      </c>
      <c r="R101" s="9" t="str">
        <f aca="false">IF(OR(F101="",F101=0),"",IF(ISNUMBER(AG101),IF(F101&gt;=AG101,"PROHIBIDO","Dentro del límite"),"No aplica"))</f>
        <v/>
      </c>
      <c r="S101" s="26" t="str">
        <f aca="false">IF(E101="","",MID(IF(AQ101=1," · Excede el perfil declarado","")&amp;IF(H101="Sí"," · Paga un tercero","")&amp;IF(J101="Alto"," · Cliente de riesgo alto: DDR (RCG 23 Ter 3 y 4)","")&amp;IF(AND(AS101&lt;&gt;"",AS101&lt;&gt;"No",AS101&lt;&gt;0)," · PEP","")&amp;IF(R101="PROHIBIDO"," · Efectivo prohibido: no lo recibas (Art. 32)","")&amp;IF(AR101=1," · ⚠ Fecha fuera de orden","")&amp;IF(LEFT(I101,1)="⚠"," · ⚠ Cliente no registrado","")&amp;IF(D101=""," · ⚠ Falta la actividad","")&amp;IF(AND(LEFT(P101,5)="AVISO",W101="")," · Captura la cifra total con IVA para el Aviso","")&amp;IF(AND(ISNUMBER(W101),W101&lt;E101)," · ⚠ La cifra con IVA es menor que el monto sin IVA",""),4,400))</f>
        <v/>
      </c>
      <c r="T101" s="21"/>
      <c r="U101" s="20"/>
      <c r="V101" s="9" t="str">
        <f aca="false">IF(LEFT(P101,5)&lt;&gt;"AVISO","",IF(T101="Presentado",IF(AND(ISNUMBER(U101),ISNUMBER(Q101),U101&gt;Q101),"Presentado tarde","Presentado"),IF(NOT(ISNUMBER(Q101)),"Falta fecha",IF(Q101&lt;CONFIG!$B$6,"VENCIDO","Vence en "&amp;(Q101-CONFIG!$B$6)&amp;" días"))))</f>
        <v/>
      </c>
      <c r="W101" s="22"/>
      <c r="X101" s="21"/>
      <c r="AA101" s="0" t="str">
        <f aca="false">IF(AM101="","",INDEX(CATÁLOGO!$D$5:$D$39,AM101))</f>
        <v/>
      </c>
      <c r="AB101" s="0" t="str">
        <f aca="false">IF(AM101="","",INDEX(CATÁLOGO!$E$5:$E$39,AM101))</f>
        <v/>
      </c>
      <c r="AC101" s="0" t="str">
        <f aca="false">IF(AB101="","",IF(ISNUMBER(AB101),AB101*AV101,AB101))</f>
        <v/>
      </c>
      <c r="AD101" s="0" t="str">
        <f aca="false">IF(AM101="","",INDEX(CATÁLOGO!$F$5:$F$39,AM101))</f>
        <v/>
      </c>
      <c r="AE101" s="0" t="str">
        <f aca="false">IF(AD101="","",IF(ISNUMBER(AD101),AD101*AV101,AD101))</f>
        <v/>
      </c>
      <c r="AF101" s="0" t="str">
        <f aca="false">IF(AM101="","",INDEX(CATÁLOGO!$G$5:$G$39,AM101))</f>
        <v/>
      </c>
      <c r="AG101" s="0" t="str">
        <f aca="false">IF(AF101="","",IF(ISNUMBER(AF101),AF101*AV101,AF101))</f>
        <v/>
      </c>
      <c r="AH101" s="0" t="str">
        <f aca="false">IF(E101="","",C101&amp;"|"&amp;D101)</f>
        <v/>
      </c>
      <c r="AI101" s="27" t="n">
        <f aca="false">IF(M101&lt;&gt;"Sí",0,SUMPRODUCT(MAX(($AH$5:AH100=AH101)*($M$5:M100="Sí")*ROW($AH$5:AH100))))</f>
        <v>0</v>
      </c>
      <c r="AJ101" s="0" t="str">
        <f aca="false">IF(M101&lt;&gt;"Sí","",IF(AL101=1,B101,INDEX($AJ:$AJ,AI101)))</f>
        <v/>
      </c>
      <c r="AK101" s="0" t="str">
        <f aca="false">IF(M101&lt;&gt;"Sí","",IF(AL101=1,E101,INDEX($AK:$AK,AI101)+E101))</f>
        <v/>
      </c>
      <c r="AL101" s="0" t="str">
        <f aca="false">IF(M101&lt;&gt;"Sí","",IF(AI101=0,1,IF(INDEX($AN:$AN,AI101)=0,1,IF(B101&gt;=EDATE(INDEX($AJ:$AJ,AI101),6),1,0))))</f>
        <v/>
      </c>
      <c r="AM101" s="0" t="str">
        <f aca="false">IF(D101="","",IFERROR(MATCH(D101,CATÁLOGO!$C$5:$C$39,0),""))</f>
        <v/>
      </c>
      <c r="AN101" s="0" t="str">
        <f aca="false">IF(M101&lt;&gt;"Sí","",IF(AND(ISNUMBER(AE101),AK101&gt;=AE101),0,1))</f>
        <v/>
      </c>
      <c r="AO101" s="0" t="str">
        <f aca="false">IF(OR(E101="",C101="",NOT(ISNUMBER(B101))),"",SUMIFS($E$6:$E$505,$C$6:$C$505,C101,$B$6:$B$505,"&gt;="&amp;DATE(YEAR(B101),MONTH(B101),1),$B$6:$B$505,"&lt;"&amp;DATE(YEAR(B101),MONTH(B101)+1,1)))</f>
        <v/>
      </c>
      <c r="AP101" s="0" t="str">
        <f aca="false">IF(C101="","",IFERROR(INDEX(CLIENTES!$M$6:$M$305,MATCH(C101,CLIENTES!$A$6:$A$305,0)),""))</f>
        <v/>
      </c>
      <c r="AQ101" s="27" t="n">
        <f aca="false">IF(AND(ISNUMBER(AO101),ISNUMBER(AP101)),IF(AND(AP101&gt;0,AO101&gt;AP101),1,0),0)</f>
        <v>0</v>
      </c>
      <c r="AR101" s="27" t="n">
        <f aca="false">IF(NOT(ISNUMBER(B101)),0,IF(B101&lt;MAX($B$5:B100),1,0))</f>
        <v>0</v>
      </c>
      <c r="AS101" s="0" t="str">
        <f aca="false">IF(C101="","",IFERROR(INDEX(CLIENTES!$H$6:$H$305,MATCH(C101,CLIENTES!$A$6:$A$305,0)),""))</f>
        <v/>
      </c>
      <c r="AT101" s="0" t="str">
        <f aca="false">IF(AND(LEFT(P101,5)="AVISO",T101&lt;&gt;"Presentado",ISNUMBER(Q101)),Q101,"")</f>
        <v/>
      </c>
      <c r="AU101" s="27" t="n">
        <f aca="false">IF(AND(D101="XVI - Activos virtuales (PSAV): operación de intercambio/transferencia",M101="Sí",ISNUMBER(AE101)),IF(AK101&gt;=AE101,1,0),0)</f>
        <v>0</v>
      </c>
      <c r="AV101" s="30" t="n">
        <f aca="false">IF(NOT(ISNUMBER(B101)),CONFIG!$B$4,IFERROR(INDEX(CONFIG!$I$5:$I$14,MATCH(IF(MONTH(B101)=1,YEAR(B101)-1,YEAR(B101)),CONFIG!$H$5:$H$14,0)),CONFIG!$B$4))</f>
        <v>117.31</v>
      </c>
      <c r="AW101" s="27" t="n">
        <f aca="false">IF(AND(LEFT(D101,4)="I - ",ISNUMBER(B101),C101&lt;&gt;""),SUMIFS($E$6:$E$505,$C$6:$C$505,C101,$D$6:$D$505,D101,$B$6:$B$505,"&gt;"&amp;(B101-1),$B$6:$B$505,"&lt;="&amp;B101),0)</f>
        <v>0</v>
      </c>
      <c r="AX101" s="0" t="str">
        <f aca="false">IF(E101="","",IF(AD101="Siempre","AVISO (siempre)",IF(AD101="No aplica","Sin Aviso (sólo preparas: Ley 17 XI)",IF(NOT(ISNUMBER(AE101)),"",IF(AA101&lt;&gt;"ACUMULA",IF(E101&gt;=AE101,IF(AND(D101="XVI - Activos virtuales (PSAV): cobro de contraprestación (comisión) por el servicio",COUNTIFS($C$6:$C$505,C101,$B$6:$B$505,"&gt;="&amp;INT(B101),$B$6:$B$505,"&lt;"&amp;(INT(B101)+1),$AU$6:$AU$505,1)&gt;0),"En el Aviso del inciso a) (R 31 Bis)","AVISO"),"—"),IF(M101&lt;&gt;"Sí","—",IF(AK101&gt;=AE101,IF(AK101=E101,"AVISO","AVISO (acumulado)"),"Acumulando")))))))</f>
        <v/>
      </c>
    </row>
    <row r="102" customFormat="false" ht="15" hidden="false" customHeight="false" outlineLevel="0" collapsed="false">
      <c r="A102" s="9" t="str">
        <f aca="false">IF(E102="","",ROW()-5)</f>
        <v/>
      </c>
      <c r="B102" s="20"/>
      <c r="C102" s="21"/>
      <c r="D102" s="21"/>
      <c r="E102" s="22"/>
      <c r="F102" s="22"/>
      <c r="G102" s="21"/>
      <c r="H102" s="21"/>
      <c r="I102" s="9" t="str">
        <f aca="false">IF(C102="","",IFERROR(INDEX(CLIENTES!$B$6:$B$305,MATCH(C102,CLIENTES!$A$6:$A$305,0)),"⚠ ID no registrado"))</f>
        <v/>
      </c>
      <c r="J102" s="9" t="str">
        <f aca="false">IF(C102="","",IFERROR(INDEX(CLIENTES!$Z$6:$Z$305,MATCH(C102,CLIENTES!$A$6:$A$305,0)),""))</f>
        <v/>
      </c>
      <c r="K102" s="9" t="str">
        <f aca="false">IF(E102="","",IF(AB102="Siempre","Sí",IF(ISNUMBER(AC102),IF(E102&gt;=AC102,"Sí",IF(AW102&gt;=AC102,"Sí (serie 24 h)","No")),"")))</f>
        <v/>
      </c>
      <c r="L102" s="9" t="str">
        <f aca="false">IF(E102="","",AA102)</f>
        <v/>
      </c>
      <c r="M102" s="9" t="str">
        <f aca="false">IF(E102="","",IF(AA102&lt;&gt;"ACUMULA","No aplica",IF(LEFT(K102,2)="Sí","Sí","No")))</f>
        <v/>
      </c>
      <c r="N102" s="23" t="str">
        <f aca="false">IF(M102="Sí",AJ102,"")</f>
        <v/>
      </c>
      <c r="O102" s="24" t="str">
        <f aca="false">IF(M102="Sí",AK102,"")</f>
        <v/>
      </c>
      <c r="P102" s="25" t="str">
        <f aca="false">IF(AND(LEFT(D102,6)="XIV - ",LEFT(AX102,5)="AVISO"),"Pedimento (R 16): no va al SPPLD",AX102)</f>
        <v/>
      </c>
      <c r="Q102" s="23" t="str">
        <f aca="false">IF(LEFT(P102,5)="AVISO",IF(ISNUMBER(B102),DATE(YEAR(B102),MONTH(B102)+1,17),"Falta fecha"),"")</f>
        <v/>
      </c>
      <c r="R102" s="9" t="str">
        <f aca="false">IF(OR(F102="",F102=0),"",IF(ISNUMBER(AG102),IF(F102&gt;=AG102,"PROHIBIDO","Dentro del límite"),"No aplica"))</f>
        <v/>
      </c>
      <c r="S102" s="26" t="str">
        <f aca="false">IF(E102="","",MID(IF(AQ102=1," · Excede el perfil declarado","")&amp;IF(H102="Sí"," · Paga un tercero","")&amp;IF(J102="Alto"," · Cliente de riesgo alto: DDR (RCG 23 Ter 3 y 4)","")&amp;IF(AND(AS102&lt;&gt;"",AS102&lt;&gt;"No",AS102&lt;&gt;0)," · PEP","")&amp;IF(R102="PROHIBIDO"," · Efectivo prohibido: no lo recibas (Art. 32)","")&amp;IF(AR102=1," · ⚠ Fecha fuera de orden","")&amp;IF(LEFT(I102,1)="⚠"," · ⚠ Cliente no registrado","")&amp;IF(D102=""," · ⚠ Falta la actividad","")&amp;IF(AND(LEFT(P102,5)="AVISO",W102="")," · Captura la cifra total con IVA para el Aviso","")&amp;IF(AND(ISNUMBER(W102),W102&lt;E102)," · ⚠ La cifra con IVA es menor que el monto sin IVA",""),4,400))</f>
        <v/>
      </c>
      <c r="T102" s="21"/>
      <c r="U102" s="20"/>
      <c r="V102" s="9" t="str">
        <f aca="false">IF(LEFT(P102,5)&lt;&gt;"AVISO","",IF(T102="Presentado",IF(AND(ISNUMBER(U102),ISNUMBER(Q102),U102&gt;Q102),"Presentado tarde","Presentado"),IF(NOT(ISNUMBER(Q102)),"Falta fecha",IF(Q102&lt;CONFIG!$B$6,"VENCIDO","Vence en "&amp;(Q102-CONFIG!$B$6)&amp;" días"))))</f>
        <v/>
      </c>
      <c r="W102" s="22"/>
      <c r="X102" s="21"/>
      <c r="AA102" s="0" t="str">
        <f aca="false">IF(AM102="","",INDEX(CATÁLOGO!$D$5:$D$39,AM102))</f>
        <v/>
      </c>
      <c r="AB102" s="0" t="str">
        <f aca="false">IF(AM102="","",INDEX(CATÁLOGO!$E$5:$E$39,AM102))</f>
        <v/>
      </c>
      <c r="AC102" s="0" t="str">
        <f aca="false">IF(AB102="","",IF(ISNUMBER(AB102),AB102*AV102,AB102))</f>
        <v/>
      </c>
      <c r="AD102" s="0" t="str">
        <f aca="false">IF(AM102="","",INDEX(CATÁLOGO!$F$5:$F$39,AM102))</f>
        <v/>
      </c>
      <c r="AE102" s="0" t="str">
        <f aca="false">IF(AD102="","",IF(ISNUMBER(AD102),AD102*AV102,AD102))</f>
        <v/>
      </c>
      <c r="AF102" s="0" t="str">
        <f aca="false">IF(AM102="","",INDEX(CATÁLOGO!$G$5:$G$39,AM102))</f>
        <v/>
      </c>
      <c r="AG102" s="0" t="str">
        <f aca="false">IF(AF102="","",IF(ISNUMBER(AF102),AF102*AV102,AF102))</f>
        <v/>
      </c>
      <c r="AH102" s="0" t="str">
        <f aca="false">IF(E102="","",C102&amp;"|"&amp;D102)</f>
        <v/>
      </c>
      <c r="AI102" s="27" t="n">
        <f aca="false">IF(M102&lt;&gt;"Sí",0,SUMPRODUCT(MAX(($AH$5:AH101=AH102)*($M$5:M101="Sí")*ROW($AH$5:AH101))))</f>
        <v>0</v>
      </c>
      <c r="AJ102" s="0" t="str">
        <f aca="false">IF(M102&lt;&gt;"Sí","",IF(AL102=1,B102,INDEX($AJ:$AJ,AI102)))</f>
        <v/>
      </c>
      <c r="AK102" s="0" t="str">
        <f aca="false">IF(M102&lt;&gt;"Sí","",IF(AL102=1,E102,INDEX($AK:$AK,AI102)+E102))</f>
        <v/>
      </c>
      <c r="AL102" s="0" t="str">
        <f aca="false">IF(M102&lt;&gt;"Sí","",IF(AI102=0,1,IF(INDEX($AN:$AN,AI102)=0,1,IF(B102&gt;=EDATE(INDEX($AJ:$AJ,AI102),6),1,0))))</f>
        <v/>
      </c>
      <c r="AM102" s="0" t="str">
        <f aca="false">IF(D102="","",IFERROR(MATCH(D102,CATÁLOGO!$C$5:$C$39,0),""))</f>
        <v/>
      </c>
      <c r="AN102" s="0" t="str">
        <f aca="false">IF(M102&lt;&gt;"Sí","",IF(AND(ISNUMBER(AE102),AK102&gt;=AE102),0,1))</f>
        <v/>
      </c>
      <c r="AO102" s="0" t="str">
        <f aca="false">IF(OR(E102="",C102="",NOT(ISNUMBER(B102))),"",SUMIFS($E$6:$E$505,$C$6:$C$505,C102,$B$6:$B$505,"&gt;="&amp;DATE(YEAR(B102),MONTH(B102),1),$B$6:$B$505,"&lt;"&amp;DATE(YEAR(B102),MONTH(B102)+1,1)))</f>
        <v/>
      </c>
      <c r="AP102" s="0" t="str">
        <f aca="false">IF(C102="","",IFERROR(INDEX(CLIENTES!$M$6:$M$305,MATCH(C102,CLIENTES!$A$6:$A$305,0)),""))</f>
        <v/>
      </c>
      <c r="AQ102" s="27" t="n">
        <f aca="false">IF(AND(ISNUMBER(AO102),ISNUMBER(AP102)),IF(AND(AP102&gt;0,AO102&gt;AP102),1,0),0)</f>
        <v>0</v>
      </c>
      <c r="AR102" s="27" t="n">
        <f aca="false">IF(NOT(ISNUMBER(B102)),0,IF(B102&lt;MAX($B$5:B101),1,0))</f>
        <v>0</v>
      </c>
      <c r="AS102" s="0" t="str">
        <f aca="false">IF(C102="","",IFERROR(INDEX(CLIENTES!$H$6:$H$305,MATCH(C102,CLIENTES!$A$6:$A$305,0)),""))</f>
        <v/>
      </c>
      <c r="AT102" s="0" t="str">
        <f aca="false">IF(AND(LEFT(P102,5)="AVISO",T102&lt;&gt;"Presentado",ISNUMBER(Q102)),Q102,"")</f>
        <v/>
      </c>
      <c r="AU102" s="27" t="n">
        <f aca="false">IF(AND(D102="XVI - Activos virtuales (PSAV): operación de intercambio/transferencia",M102="Sí",ISNUMBER(AE102)),IF(AK102&gt;=AE102,1,0),0)</f>
        <v>0</v>
      </c>
      <c r="AV102" s="30" t="n">
        <f aca="false">IF(NOT(ISNUMBER(B102)),CONFIG!$B$4,IFERROR(INDEX(CONFIG!$I$5:$I$14,MATCH(IF(MONTH(B102)=1,YEAR(B102)-1,YEAR(B102)),CONFIG!$H$5:$H$14,0)),CONFIG!$B$4))</f>
        <v>117.31</v>
      </c>
      <c r="AW102" s="27" t="n">
        <f aca="false">IF(AND(LEFT(D102,4)="I - ",ISNUMBER(B102),C102&lt;&gt;""),SUMIFS($E$6:$E$505,$C$6:$C$505,C102,$D$6:$D$505,D102,$B$6:$B$505,"&gt;"&amp;(B102-1),$B$6:$B$505,"&lt;="&amp;B102),0)</f>
        <v>0</v>
      </c>
      <c r="AX102" s="0" t="str">
        <f aca="false">IF(E102="","",IF(AD102="Siempre","AVISO (siempre)",IF(AD102="No aplica","Sin Aviso (sólo preparas: Ley 17 XI)",IF(NOT(ISNUMBER(AE102)),"",IF(AA102&lt;&gt;"ACUMULA",IF(E102&gt;=AE102,IF(AND(D102="XVI - Activos virtuales (PSAV): cobro de contraprestación (comisión) por el servicio",COUNTIFS($C$6:$C$505,C102,$B$6:$B$505,"&gt;="&amp;INT(B102),$B$6:$B$505,"&lt;"&amp;(INT(B102)+1),$AU$6:$AU$505,1)&gt;0),"En el Aviso del inciso a) (R 31 Bis)","AVISO"),"—"),IF(M102&lt;&gt;"Sí","—",IF(AK102&gt;=AE102,IF(AK102=E102,"AVISO","AVISO (acumulado)"),"Acumulando")))))))</f>
        <v/>
      </c>
    </row>
    <row r="103" customFormat="false" ht="15" hidden="false" customHeight="false" outlineLevel="0" collapsed="false">
      <c r="A103" s="9" t="str">
        <f aca="false">IF(E103="","",ROW()-5)</f>
        <v/>
      </c>
      <c r="B103" s="20"/>
      <c r="C103" s="21"/>
      <c r="D103" s="21"/>
      <c r="E103" s="22"/>
      <c r="F103" s="22"/>
      <c r="G103" s="21"/>
      <c r="H103" s="21"/>
      <c r="I103" s="9" t="str">
        <f aca="false">IF(C103="","",IFERROR(INDEX(CLIENTES!$B$6:$B$305,MATCH(C103,CLIENTES!$A$6:$A$305,0)),"⚠ ID no registrado"))</f>
        <v/>
      </c>
      <c r="J103" s="9" t="str">
        <f aca="false">IF(C103="","",IFERROR(INDEX(CLIENTES!$Z$6:$Z$305,MATCH(C103,CLIENTES!$A$6:$A$305,0)),""))</f>
        <v/>
      </c>
      <c r="K103" s="9" t="str">
        <f aca="false">IF(E103="","",IF(AB103="Siempre","Sí",IF(ISNUMBER(AC103),IF(E103&gt;=AC103,"Sí",IF(AW103&gt;=AC103,"Sí (serie 24 h)","No")),"")))</f>
        <v/>
      </c>
      <c r="L103" s="9" t="str">
        <f aca="false">IF(E103="","",AA103)</f>
        <v/>
      </c>
      <c r="M103" s="9" t="str">
        <f aca="false">IF(E103="","",IF(AA103&lt;&gt;"ACUMULA","No aplica",IF(LEFT(K103,2)="Sí","Sí","No")))</f>
        <v/>
      </c>
      <c r="N103" s="23" t="str">
        <f aca="false">IF(M103="Sí",AJ103,"")</f>
        <v/>
      </c>
      <c r="O103" s="24" t="str">
        <f aca="false">IF(M103="Sí",AK103,"")</f>
        <v/>
      </c>
      <c r="P103" s="25" t="str">
        <f aca="false">IF(AND(LEFT(D103,6)="XIV - ",LEFT(AX103,5)="AVISO"),"Pedimento (R 16): no va al SPPLD",AX103)</f>
        <v/>
      </c>
      <c r="Q103" s="23" t="str">
        <f aca="false">IF(LEFT(P103,5)="AVISO",IF(ISNUMBER(B103),DATE(YEAR(B103),MONTH(B103)+1,17),"Falta fecha"),"")</f>
        <v/>
      </c>
      <c r="R103" s="9" t="str">
        <f aca="false">IF(OR(F103="",F103=0),"",IF(ISNUMBER(AG103),IF(F103&gt;=AG103,"PROHIBIDO","Dentro del límite"),"No aplica"))</f>
        <v/>
      </c>
      <c r="S103" s="26" t="str">
        <f aca="false">IF(E103="","",MID(IF(AQ103=1," · Excede el perfil declarado","")&amp;IF(H103="Sí"," · Paga un tercero","")&amp;IF(J103="Alto"," · Cliente de riesgo alto: DDR (RCG 23 Ter 3 y 4)","")&amp;IF(AND(AS103&lt;&gt;"",AS103&lt;&gt;"No",AS103&lt;&gt;0)," · PEP","")&amp;IF(R103="PROHIBIDO"," · Efectivo prohibido: no lo recibas (Art. 32)","")&amp;IF(AR103=1," · ⚠ Fecha fuera de orden","")&amp;IF(LEFT(I103,1)="⚠"," · ⚠ Cliente no registrado","")&amp;IF(D103=""," · ⚠ Falta la actividad","")&amp;IF(AND(LEFT(P103,5)="AVISO",W103="")," · Captura la cifra total con IVA para el Aviso","")&amp;IF(AND(ISNUMBER(W103),W103&lt;E103)," · ⚠ La cifra con IVA es menor que el monto sin IVA",""),4,400))</f>
        <v/>
      </c>
      <c r="T103" s="21"/>
      <c r="U103" s="20"/>
      <c r="V103" s="9" t="str">
        <f aca="false">IF(LEFT(P103,5)&lt;&gt;"AVISO","",IF(T103="Presentado",IF(AND(ISNUMBER(U103),ISNUMBER(Q103),U103&gt;Q103),"Presentado tarde","Presentado"),IF(NOT(ISNUMBER(Q103)),"Falta fecha",IF(Q103&lt;CONFIG!$B$6,"VENCIDO","Vence en "&amp;(Q103-CONFIG!$B$6)&amp;" días"))))</f>
        <v/>
      </c>
      <c r="W103" s="22"/>
      <c r="X103" s="21"/>
      <c r="AA103" s="0" t="str">
        <f aca="false">IF(AM103="","",INDEX(CATÁLOGO!$D$5:$D$39,AM103))</f>
        <v/>
      </c>
      <c r="AB103" s="0" t="str">
        <f aca="false">IF(AM103="","",INDEX(CATÁLOGO!$E$5:$E$39,AM103))</f>
        <v/>
      </c>
      <c r="AC103" s="0" t="str">
        <f aca="false">IF(AB103="","",IF(ISNUMBER(AB103),AB103*AV103,AB103))</f>
        <v/>
      </c>
      <c r="AD103" s="0" t="str">
        <f aca="false">IF(AM103="","",INDEX(CATÁLOGO!$F$5:$F$39,AM103))</f>
        <v/>
      </c>
      <c r="AE103" s="0" t="str">
        <f aca="false">IF(AD103="","",IF(ISNUMBER(AD103),AD103*AV103,AD103))</f>
        <v/>
      </c>
      <c r="AF103" s="0" t="str">
        <f aca="false">IF(AM103="","",INDEX(CATÁLOGO!$G$5:$G$39,AM103))</f>
        <v/>
      </c>
      <c r="AG103" s="0" t="str">
        <f aca="false">IF(AF103="","",IF(ISNUMBER(AF103),AF103*AV103,AF103))</f>
        <v/>
      </c>
      <c r="AH103" s="0" t="str">
        <f aca="false">IF(E103="","",C103&amp;"|"&amp;D103)</f>
        <v/>
      </c>
      <c r="AI103" s="27" t="n">
        <f aca="false">IF(M103&lt;&gt;"Sí",0,SUMPRODUCT(MAX(($AH$5:AH102=AH103)*($M$5:M102="Sí")*ROW($AH$5:AH102))))</f>
        <v>0</v>
      </c>
      <c r="AJ103" s="0" t="str">
        <f aca="false">IF(M103&lt;&gt;"Sí","",IF(AL103=1,B103,INDEX($AJ:$AJ,AI103)))</f>
        <v/>
      </c>
      <c r="AK103" s="0" t="str">
        <f aca="false">IF(M103&lt;&gt;"Sí","",IF(AL103=1,E103,INDEX($AK:$AK,AI103)+E103))</f>
        <v/>
      </c>
      <c r="AL103" s="0" t="str">
        <f aca="false">IF(M103&lt;&gt;"Sí","",IF(AI103=0,1,IF(INDEX($AN:$AN,AI103)=0,1,IF(B103&gt;=EDATE(INDEX($AJ:$AJ,AI103),6),1,0))))</f>
        <v/>
      </c>
      <c r="AM103" s="0" t="str">
        <f aca="false">IF(D103="","",IFERROR(MATCH(D103,CATÁLOGO!$C$5:$C$39,0),""))</f>
        <v/>
      </c>
      <c r="AN103" s="0" t="str">
        <f aca="false">IF(M103&lt;&gt;"Sí","",IF(AND(ISNUMBER(AE103),AK103&gt;=AE103),0,1))</f>
        <v/>
      </c>
      <c r="AO103" s="0" t="str">
        <f aca="false">IF(OR(E103="",C103="",NOT(ISNUMBER(B103))),"",SUMIFS($E$6:$E$505,$C$6:$C$505,C103,$B$6:$B$505,"&gt;="&amp;DATE(YEAR(B103),MONTH(B103),1),$B$6:$B$505,"&lt;"&amp;DATE(YEAR(B103),MONTH(B103)+1,1)))</f>
        <v/>
      </c>
      <c r="AP103" s="0" t="str">
        <f aca="false">IF(C103="","",IFERROR(INDEX(CLIENTES!$M$6:$M$305,MATCH(C103,CLIENTES!$A$6:$A$305,0)),""))</f>
        <v/>
      </c>
      <c r="AQ103" s="27" t="n">
        <f aca="false">IF(AND(ISNUMBER(AO103),ISNUMBER(AP103)),IF(AND(AP103&gt;0,AO103&gt;AP103),1,0),0)</f>
        <v>0</v>
      </c>
      <c r="AR103" s="27" t="n">
        <f aca="false">IF(NOT(ISNUMBER(B103)),0,IF(B103&lt;MAX($B$5:B102),1,0))</f>
        <v>0</v>
      </c>
      <c r="AS103" s="0" t="str">
        <f aca="false">IF(C103="","",IFERROR(INDEX(CLIENTES!$H$6:$H$305,MATCH(C103,CLIENTES!$A$6:$A$305,0)),""))</f>
        <v/>
      </c>
      <c r="AT103" s="0" t="str">
        <f aca="false">IF(AND(LEFT(P103,5)="AVISO",T103&lt;&gt;"Presentado",ISNUMBER(Q103)),Q103,"")</f>
        <v/>
      </c>
      <c r="AU103" s="27" t="n">
        <f aca="false">IF(AND(D103="XVI - Activos virtuales (PSAV): operación de intercambio/transferencia",M103="Sí",ISNUMBER(AE103)),IF(AK103&gt;=AE103,1,0),0)</f>
        <v>0</v>
      </c>
      <c r="AV103" s="30" t="n">
        <f aca="false">IF(NOT(ISNUMBER(B103)),CONFIG!$B$4,IFERROR(INDEX(CONFIG!$I$5:$I$14,MATCH(IF(MONTH(B103)=1,YEAR(B103)-1,YEAR(B103)),CONFIG!$H$5:$H$14,0)),CONFIG!$B$4))</f>
        <v>117.31</v>
      </c>
      <c r="AW103" s="27" t="n">
        <f aca="false">IF(AND(LEFT(D103,4)="I - ",ISNUMBER(B103),C103&lt;&gt;""),SUMIFS($E$6:$E$505,$C$6:$C$505,C103,$D$6:$D$505,D103,$B$6:$B$505,"&gt;"&amp;(B103-1),$B$6:$B$505,"&lt;="&amp;B103),0)</f>
        <v>0</v>
      </c>
      <c r="AX103" s="0" t="str">
        <f aca="false">IF(E103="","",IF(AD103="Siempre","AVISO (siempre)",IF(AD103="No aplica","Sin Aviso (sólo preparas: Ley 17 XI)",IF(NOT(ISNUMBER(AE103)),"",IF(AA103&lt;&gt;"ACUMULA",IF(E103&gt;=AE103,IF(AND(D103="XVI - Activos virtuales (PSAV): cobro de contraprestación (comisión) por el servicio",COUNTIFS($C$6:$C$505,C103,$B$6:$B$505,"&gt;="&amp;INT(B103),$B$6:$B$505,"&lt;"&amp;(INT(B103)+1),$AU$6:$AU$505,1)&gt;0),"En el Aviso del inciso a) (R 31 Bis)","AVISO"),"—"),IF(M103&lt;&gt;"Sí","—",IF(AK103&gt;=AE103,IF(AK103=E103,"AVISO","AVISO (acumulado)"),"Acumulando")))))))</f>
        <v/>
      </c>
    </row>
    <row r="104" customFormat="false" ht="15" hidden="false" customHeight="false" outlineLevel="0" collapsed="false">
      <c r="A104" s="9" t="str">
        <f aca="false">IF(E104="","",ROW()-5)</f>
        <v/>
      </c>
      <c r="B104" s="20"/>
      <c r="C104" s="21"/>
      <c r="D104" s="21"/>
      <c r="E104" s="22"/>
      <c r="F104" s="22"/>
      <c r="G104" s="21"/>
      <c r="H104" s="21"/>
      <c r="I104" s="9" t="str">
        <f aca="false">IF(C104="","",IFERROR(INDEX(CLIENTES!$B$6:$B$305,MATCH(C104,CLIENTES!$A$6:$A$305,0)),"⚠ ID no registrado"))</f>
        <v/>
      </c>
      <c r="J104" s="9" t="str">
        <f aca="false">IF(C104="","",IFERROR(INDEX(CLIENTES!$Z$6:$Z$305,MATCH(C104,CLIENTES!$A$6:$A$305,0)),""))</f>
        <v/>
      </c>
      <c r="K104" s="9" t="str">
        <f aca="false">IF(E104="","",IF(AB104="Siempre","Sí",IF(ISNUMBER(AC104),IF(E104&gt;=AC104,"Sí",IF(AW104&gt;=AC104,"Sí (serie 24 h)","No")),"")))</f>
        <v/>
      </c>
      <c r="L104" s="9" t="str">
        <f aca="false">IF(E104="","",AA104)</f>
        <v/>
      </c>
      <c r="M104" s="9" t="str">
        <f aca="false">IF(E104="","",IF(AA104&lt;&gt;"ACUMULA","No aplica",IF(LEFT(K104,2)="Sí","Sí","No")))</f>
        <v/>
      </c>
      <c r="N104" s="23" t="str">
        <f aca="false">IF(M104="Sí",AJ104,"")</f>
        <v/>
      </c>
      <c r="O104" s="24" t="str">
        <f aca="false">IF(M104="Sí",AK104,"")</f>
        <v/>
      </c>
      <c r="P104" s="25" t="str">
        <f aca="false">IF(AND(LEFT(D104,6)="XIV - ",LEFT(AX104,5)="AVISO"),"Pedimento (R 16): no va al SPPLD",AX104)</f>
        <v/>
      </c>
      <c r="Q104" s="23" t="str">
        <f aca="false">IF(LEFT(P104,5)="AVISO",IF(ISNUMBER(B104),DATE(YEAR(B104),MONTH(B104)+1,17),"Falta fecha"),"")</f>
        <v/>
      </c>
      <c r="R104" s="9" t="str">
        <f aca="false">IF(OR(F104="",F104=0),"",IF(ISNUMBER(AG104),IF(F104&gt;=AG104,"PROHIBIDO","Dentro del límite"),"No aplica"))</f>
        <v/>
      </c>
      <c r="S104" s="26" t="str">
        <f aca="false">IF(E104="","",MID(IF(AQ104=1," · Excede el perfil declarado","")&amp;IF(H104="Sí"," · Paga un tercero","")&amp;IF(J104="Alto"," · Cliente de riesgo alto: DDR (RCG 23 Ter 3 y 4)","")&amp;IF(AND(AS104&lt;&gt;"",AS104&lt;&gt;"No",AS104&lt;&gt;0)," · PEP","")&amp;IF(R104="PROHIBIDO"," · Efectivo prohibido: no lo recibas (Art. 32)","")&amp;IF(AR104=1," · ⚠ Fecha fuera de orden","")&amp;IF(LEFT(I104,1)="⚠"," · ⚠ Cliente no registrado","")&amp;IF(D104=""," · ⚠ Falta la actividad","")&amp;IF(AND(LEFT(P104,5)="AVISO",W104="")," · Captura la cifra total con IVA para el Aviso","")&amp;IF(AND(ISNUMBER(W104),W104&lt;E104)," · ⚠ La cifra con IVA es menor que el monto sin IVA",""),4,400))</f>
        <v/>
      </c>
      <c r="T104" s="21"/>
      <c r="U104" s="20"/>
      <c r="V104" s="9" t="str">
        <f aca="false">IF(LEFT(P104,5)&lt;&gt;"AVISO","",IF(T104="Presentado",IF(AND(ISNUMBER(U104),ISNUMBER(Q104),U104&gt;Q104),"Presentado tarde","Presentado"),IF(NOT(ISNUMBER(Q104)),"Falta fecha",IF(Q104&lt;CONFIG!$B$6,"VENCIDO","Vence en "&amp;(Q104-CONFIG!$B$6)&amp;" días"))))</f>
        <v/>
      </c>
      <c r="W104" s="22"/>
      <c r="X104" s="21"/>
      <c r="AA104" s="0" t="str">
        <f aca="false">IF(AM104="","",INDEX(CATÁLOGO!$D$5:$D$39,AM104))</f>
        <v/>
      </c>
      <c r="AB104" s="0" t="str">
        <f aca="false">IF(AM104="","",INDEX(CATÁLOGO!$E$5:$E$39,AM104))</f>
        <v/>
      </c>
      <c r="AC104" s="0" t="str">
        <f aca="false">IF(AB104="","",IF(ISNUMBER(AB104),AB104*AV104,AB104))</f>
        <v/>
      </c>
      <c r="AD104" s="0" t="str">
        <f aca="false">IF(AM104="","",INDEX(CATÁLOGO!$F$5:$F$39,AM104))</f>
        <v/>
      </c>
      <c r="AE104" s="0" t="str">
        <f aca="false">IF(AD104="","",IF(ISNUMBER(AD104),AD104*AV104,AD104))</f>
        <v/>
      </c>
      <c r="AF104" s="0" t="str">
        <f aca="false">IF(AM104="","",INDEX(CATÁLOGO!$G$5:$G$39,AM104))</f>
        <v/>
      </c>
      <c r="AG104" s="0" t="str">
        <f aca="false">IF(AF104="","",IF(ISNUMBER(AF104),AF104*AV104,AF104))</f>
        <v/>
      </c>
      <c r="AH104" s="0" t="str">
        <f aca="false">IF(E104="","",C104&amp;"|"&amp;D104)</f>
        <v/>
      </c>
      <c r="AI104" s="27" t="n">
        <f aca="false">IF(M104&lt;&gt;"Sí",0,SUMPRODUCT(MAX(($AH$5:AH103=AH104)*($M$5:M103="Sí")*ROW($AH$5:AH103))))</f>
        <v>0</v>
      </c>
      <c r="AJ104" s="0" t="str">
        <f aca="false">IF(M104&lt;&gt;"Sí","",IF(AL104=1,B104,INDEX($AJ:$AJ,AI104)))</f>
        <v/>
      </c>
      <c r="AK104" s="0" t="str">
        <f aca="false">IF(M104&lt;&gt;"Sí","",IF(AL104=1,E104,INDEX($AK:$AK,AI104)+E104))</f>
        <v/>
      </c>
      <c r="AL104" s="0" t="str">
        <f aca="false">IF(M104&lt;&gt;"Sí","",IF(AI104=0,1,IF(INDEX($AN:$AN,AI104)=0,1,IF(B104&gt;=EDATE(INDEX($AJ:$AJ,AI104),6),1,0))))</f>
        <v/>
      </c>
      <c r="AM104" s="0" t="str">
        <f aca="false">IF(D104="","",IFERROR(MATCH(D104,CATÁLOGO!$C$5:$C$39,0),""))</f>
        <v/>
      </c>
      <c r="AN104" s="0" t="str">
        <f aca="false">IF(M104&lt;&gt;"Sí","",IF(AND(ISNUMBER(AE104),AK104&gt;=AE104),0,1))</f>
        <v/>
      </c>
      <c r="AO104" s="0" t="str">
        <f aca="false">IF(OR(E104="",C104="",NOT(ISNUMBER(B104))),"",SUMIFS($E$6:$E$505,$C$6:$C$505,C104,$B$6:$B$505,"&gt;="&amp;DATE(YEAR(B104),MONTH(B104),1),$B$6:$B$505,"&lt;"&amp;DATE(YEAR(B104),MONTH(B104)+1,1)))</f>
        <v/>
      </c>
      <c r="AP104" s="0" t="str">
        <f aca="false">IF(C104="","",IFERROR(INDEX(CLIENTES!$M$6:$M$305,MATCH(C104,CLIENTES!$A$6:$A$305,0)),""))</f>
        <v/>
      </c>
      <c r="AQ104" s="27" t="n">
        <f aca="false">IF(AND(ISNUMBER(AO104),ISNUMBER(AP104)),IF(AND(AP104&gt;0,AO104&gt;AP104),1,0),0)</f>
        <v>0</v>
      </c>
      <c r="AR104" s="27" t="n">
        <f aca="false">IF(NOT(ISNUMBER(B104)),0,IF(B104&lt;MAX($B$5:B103),1,0))</f>
        <v>0</v>
      </c>
      <c r="AS104" s="0" t="str">
        <f aca="false">IF(C104="","",IFERROR(INDEX(CLIENTES!$H$6:$H$305,MATCH(C104,CLIENTES!$A$6:$A$305,0)),""))</f>
        <v/>
      </c>
      <c r="AT104" s="0" t="str">
        <f aca="false">IF(AND(LEFT(P104,5)="AVISO",T104&lt;&gt;"Presentado",ISNUMBER(Q104)),Q104,"")</f>
        <v/>
      </c>
      <c r="AU104" s="27" t="n">
        <f aca="false">IF(AND(D104="XVI - Activos virtuales (PSAV): operación de intercambio/transferencia",M104="Sí",ISNUMBER(AE104)),IF(AK104&gt;=AE104,1,0),0)</f>
        <v>0</v>
      </c>
      <c r="AV104" s="30" t="n">
        <f aca="false">IF(NOT(ISNUMBER(B104)),CONFIG!$B$4,IFERROR(INDEX(CONFIG!$I$5:$I$14,MATCH(IF(MONTH(B104)=1,YEAR(B104)-1,YEAR(B104)),CONFIG!$H$5:$H$14,0)),CONFIG!$B$4))</f>
        <v>117.31</v>
      </c>
      <c r="AW104" s="27" t="n">
        <f aca="false">IF(AND(LEFT(D104,4)="I - ",ISNUMBER(B104),C104&lt;&gt;""),SUMIFS($E$6:$E$505,$C$6:$C$505,C104,$D$6:$D$505,D104,$B$6:$B$505,"&gt;"&amp;(B104-1),$B$6:$B$505,"&lt;="&amp;B104),0)</f>
        <v>0</v>
      </c>
      <c r="AX104" s="0" t="str">
        <f aca="false">IF(E104="","",IF(AD104="Siempre","AVISO (siempre)",IF(AD104="No aplica","Sin Aviso (sólo preparas: Ley 17 XI)",IF(NOT(ISNUMBER(AE104)),"",IF(AA104&lt;&gt;"ACUMULA",IF(E104&gt;=AE104,IF(AND(D104="XVI - Activos virtuales (PSAV): cobro de contraprestación (comisión) por el servicio",COUNTIFS($C$6:$C$505,C104,$B$6:$B$505,"&gt;="&amp;INT(B104),$B$6:$B$505,"&lt;"&amp;(INT(B104)+1),$AU$6:$AU$505,1)&gt;0),"En el Aviso del inciso a) (R 31 Bis)","AVISO"),"—"),IF(M104&lt;&gt;"Sí","—",IF(AK104&gt;=AE104,IF(AK104=E104,"AVISO","AVISO (acumulado)"),"Acumulando")))))))</f>
        <v/>
      </c>
    </row>
    <row r="105" customFormat="false" ht="15" hidden="false" customHeight="false" outlineLevel="0" collapsed="false">
      <c r="A105" s="9" t="str">
        <f aca="false">IF(E105="","",ROW()-5)</f>
        <v/>
      </c>
      <c r="B105" s="20"/>
      <c r="C105" s="21"/>
      <c r="D105" s="21"/>
      <c r="E105" s="22"/>
      <c r="F105" s="22"/>
      <c r="G105" s="21"/>
      <c r="H105" s="21"/>
      <c r="I105" s="9" t="str">
        <f aca="false">IF(C105="","",IFERROR(INDEX(CLIENTES!$B$6:$B$305,MATCH(C105,CLIENTES!$A$6:$A$305,0)),"⚠ ID no registrado"))</f>
        <v/>
      </c>
      <c r="J105" s="9" t="str">
        <f aca="false">IF(C105="","",IFERROR(INDEX(CLIENTES!$Z$6:$Z$305,MATCH(C105,CLIENTES!$A$6:$A$305,0)),""))</f>
        <v/>
      </c>
      <c r="K105" s="9" t="str">
        <f aca="false">IF(E105="","",IF(AB105="Siempre","Sí",IF(ISNUMBER(AC105),IF(E105&gt;=AC105,"Sí",IF(AW105&gt;=AC105,"Sí (serie 24 h)","No")),"")))</f>
        <v/>
      </c>
      <c r="L105" s="9" t="str">
        <f aca="false">IF(E105="","",AA105)</f>
        <v/>
      </c>
      <c r="M105" s="9" t="str">
        <f aca="false">IF(E105="","",IF(AA105&lt;&gt;"ACUMULA","No aplica",IF(LEFT(K105,2)="Sí","Sí","No")))</f>
        <v/>
      </c>
      <c r="N105" s="23" t="str">
        <f aca="false">IF(M105="Sí",AJ105,"")</f>
        <v/>
      </c>
      <c r="O105" s="24" t="str">
        <f aca="false">IF(M105="Sí",AK105,"")</f>
        <v/>
      </c>
      <c r="P105" s="25" t="str">
        <f aca="false">IF(AND(LEFT(D105,6)="XIV - ",LEFT(AX105,5)="AVISO"),"Pedimento (R 16): no va al SPPLD",AX105)</f>
        <v/>
      </c>
      <c r="Q105" s="23" t="str">
        <f aca="false">IF(LEFT(P105,5)="AVISO",IF(ISNUMBER(B105),DATE(YEAR(B105),MONTH(B105)+1,17),"Falta fecha"),"")</f>
        <v/>
      </c>
      <c r="R105" s="9" t="str">
        <f aca="false">IF(OR(F105="",F105=0),"",IF(ISNUMBER(AG105),IF(F105&gt;=AG105,"PROHIBIDO","Dentro del límite"),"No aplica"))</f>
        <v/>
      </c>
      <c r="S105" s="26" t="str">
        <f aca="false">IF(E105="","",MID(IF(AQ105=1," · Excede el perfil declarado","")&amp;IF(H105="Sí"," · Paga un tercero","")&amp;IF(J105="Alto"," · Cliente de riesgo alto: DDR (RCG 23 Ter 3 y 4)","")&amp;IF(AND(AS105&lt;&gt;"",AS105&lt;&gt;"No",AS105&lt;&gt;0)," · PEP","")&amp;IF(R105="PROHIBIDO"," · Efectivo prohibido: no lo recibas (Art. 32)","")&amp;IF(AR105=1," · ⚠ Fecha fuera de orden","")&amp;IF(LEFT(I105,1)="⚠"," · ⚠ Cliente no registrado","")&amp;IF(D105=""," · ⚠ Falta la actividad","")&amp;IF(AND(LEFT(P105,5)="AVISO",W105="")," · Captura la cifra total con IVA para el Aviso","")&amp;IF(AND(ISNUMBER(W105),W105&lt;E105)," · ⚠ La cifra con IVA es menor que el monto sin IVA",""),4,400))</f>
        <v/>
      </c>
      <c r="T105" s="21"/>
      <c r="U105" s="20"/>
      <c r="V105" s="9" t="str">
        <f aca="false">IF(LEFT(P105,5)&lt;&gt;"AVISO","",IF(T105="Presentado",IF(AND(ISNUMBER(U105),ISNUMBER(Q105),U105&gt;Q105),"Presentado tarde","Presentado"),IF(NOT(ISNUMBER(Q105)),"Falta fecha",IF(Q105&lt;CONFIG!$B$6,"VENCIDO","Vence en "&amp;(Q105-CONFIG!$B$6)&amp;" días"))))</f>
        <v/>
      </c>
      <c r="W105" s="22"/>
      <c r="X105" s="21"/>
      <c r="AA105" s="0" t="str">
        <f aca="false">IF(AM105="","",INDEX(CATÁLOGO!$D$5:$D$39,AM105))</f>
        <v/>
      </c>
      <c r="AB105" s="0" t="str">
        <f aca="false">IF(AM105="","",INDEX(CATÁLOGO!$E$5:$E$39,AM105))</f>
        <v/>
      </c>
      <c r="AC105" s="0" t="str">
        <f aca="false">IF(AB105="","",IF(ISNUMBER(AB105),AB105*AV105,AB105))</f>
        <v/>
      </c>
      <c r="AD105" s="0" t="str">
        <f aca="false">IF(AM105="","",INDEX(CATÁLOGO!$F$5:$F$39,AM105))</f>
        <v/>
      </c>
      <c r="AE105" s="0" t="str">
        <f aca="false">IF(AD105="","",IF(ISNUMBER(AD105),AD105*AV105,AD105))</f>
        <v/>
      </c>
      <c r="AF105" s="0" t="str">
        <f aca="false">IF(AM105="","",INDEX(CATÁLOGO!$G$5:$G$39,AM105))</f>
        <v/>
      </c>
      <c r="AG105" s="0" t="str">
        <f aca="false">IF(AF105="","",IF(ISNUMBER(AF105),AF105*AV105,AF105))</f>
        <v/>
      </c>
      <c r="AH105" s="0" t="str">
        <f aca="false">IF(E105="","",C105&amp;"|"&amp;D105)</f>
        <v/>
      </c>
      <c r="AI105" s="27" t="n">
        <f aca="false">IF(M105&lt;&gt;"Sí",0,SUMPRODUCT(MAX(($AH$5:AH104=AH105)*($M$5:M104="Sí")*ROW($AH$5:AH104))))</f>
        <v>0</v>
      </c>
      <c r="AJ105" s="0" t="str">
        <f aca="false">IF(M105&lt;&gt;"Sí","",IF(AL105=1,B105,INDEX($AJ:$AJ,AI105)))</f>
        <v/>
      </c>
      <c r="AK105" s="0" t="str">
        <f aca="false">IF(M105&lt;&gt;"Sí","",IF(AL105=1,E105,INDEX($AK:$AK,AI105)+E105))</f>
        <v/>
      </c>
      <c r="AL105" s="0" t="str">
        <f aca="false">IF(M105&lt;&gt;"Sí","",IF(AI105=0,1,IF(INDEX($AN:$AN,AI105)=0,1,IF(B105&gt;=EDATE(INDEX($AJ:$AJ,AI105),6),1,0))))</f>
        <v/>
      </c>
      <c r="AM105" s="0" t="str">
        <f aca="false">IF(D105="","",IFERROR(MATCH(D105,CATÁLOGO!$C$5:$C$39,0),""))</f>
        <v/>
      </c>
      <c r="AN105" s="0" t="str">
        <f aca="false">IF(M105&lt;&gt;"Sí","",IF(AND(ISNUMBER(AE105),AK105&gt;=AE105),0,1))</f>
        <v/>
      </c>
      <c r="AO105" s="0" t="str">
        <f aca="false">IF(OR(E105="",C105="",NOT(ISNUMBER(B105))),"",SUMIFS($E$6:$E$505,$C$6:$C$505,C105,$B$6:$B$505,"&gt;="&amp;DATE(YEAR(B105),MONTH(B105),1),$B$6:$B$505,"&lt;"&amp;DATE(YEAR(B105),MONTH(B105)+1,1)))</f>
        <v/>
      </c>
      <c r="AP105" s="0" t="str">
        <f aca="false">IF(C105="","",IFERROR(INDEX(CLIENTES!$M$6:$M$305,MATCH(C105,CLIENTES!$A$6:$A$305,0)),""))</f>
        <v/>
      </c>
      <c r="AQ105" s="27" t="n">
        <f aca="false">IF(AND(ISNUMBER(AO105),ISNUMBER(AP105)),IF(AND(AP105&gt;0,AO105&gt;AP105),1,0),0)</f>
        <v>0</v>
      </c>
      <c r="AR105" s="27" t="n">
        <f aca="false">IF(NOT(ISNUMBER(B105)),0,IF(B105&lt;MAX($B$5:B104),1,0))</f>
        <v>0</v>
      </c>
      <c r="AS105" s="0" t="str">
        <f aca="false">IF(C105="","",IFERROR(INDEX(CLIENTES!$H$6:$H$305,MATCH(C105,CLIENTES!$A$6:$A$305,0)),""))</f>
        <v/>
      </c>
      <c r="AT105" s="0" t="str">
        <f aca="false">IF(AND(LEFT(P105,5)="AVISO",T105&lt;&gt;"Presentado",ISNUMBER(Q105)),Q105,"")</f>
        <v/>
      </c>
      <c r="AU105" s="27" t="n">
        <f aca="false">IF(AND(D105="XVI - Activos virtuales (PSAV): operación de intercambio/transferencia",M105="Sí",ISNUMBER(AE105)),IF(AK105&gt;=AE105,1,0),0)</f>
        <v>0</v>
      </c>
      <c r="AV105" s="30" t="n">
        <f aca="false">IF(NOT(ISNUMBER(B105)),CONFIG!$B$4,IFERROR(INDEX(CONFIG!$I$5:$I$14,MATCH(IF(MONTH(B105)=1,YEAR(B105)-1,YEAR(B105)),CONFIG!$H$5:$H$14,0)),CONFIG!$B$4))</f>
        <v>117.31</v>
      </c>
      <c r="AW105" s="27" t="n">
        <f aca="false">IF(AND(LEFT(D105,4)="I - ",ISNUMBER(B105),C105&lt;&gt;""),SUMIFS($E$6:$E$505,$C$6:$C$505,C105,$D$6:$D$505,D105,$B$6:$B$505,"&gt;"&amp;(B105-1),$B$6:$B$505,"&lt;="&amp;B105),0)</f>
        <v>0</v>
      </c>
      <c r="AX105" s="0" t="str">
        <f aca="false">IF(E105="","",IF(AD105="Siempre","AVISO (siempre)",IF(AD105="No aplica","Sin Aviso (sólo preparas: Ley 17 XI)",IF(NOT(ISNUMBER(AE105)),"",IF(AA105&lt;&gt;"ACUMULA",IF(E105&gt;=AE105,IF(AND(D105="XVI - Activos virtuales (PSAV): cobro de contraprestación (comisión) por el servicio",COUNTIFS($C$6:$C$505,C105,$B$6:$B$505,"&gt;="&amp;INT(B105),$B$6:$B$505,"&lt;"&amp;(INT(B105)+1),$AU$6:$AU$505,1)&gt;0),"En el Aviso del inciso a) (R 31 Bis)","AVISO"),"—"),IF(M105&lt;&gt;"Sí","—",IF(AK105&gt;=AE105,IF(AK105=E105,"AVISO","AVISO (acumulado)"),"Acumulando")))))))</f>
        <v/>
      </c>
    </row>
    <row r="106" customFormat="false" ht="15" hidden="false" customHeight="false" outlineLevel="0" collapsed="false">
      <c r="A106" s="9" t="str">
        <f aca="false">IF(E106="","",ROW()-5)</f>
        <v/>
      </c>
      <c r="B106" s="20"/>
      <c r="C106" s="21"/>
      <c r="D106" s="21"/>
      <c r="E106" s="22"/>
      <c r="F106" s="22"/>
      <c r="G106" s="21"/>
      <c r="H106" s="21"/>
      <c r="I106" s="9" t="str">
        <f aca="false">IF(C106="","",IFERROR(INDEX(CLIENTES!$B$6:$B$305,MATCH(C106,CLIENTES!$A$6:$A$305,0)),"⚠ ID no registrado"))</f>
        <v/>
      </c>
      <c r="J106" s="9" t="str">
        <f aca="false">IF(C106="","",IFERROR(INDEX(CLIENTES!$Z$6:$Z$305,MATCH(C106,CLIENTES!$A$6:$A$305,0)),""))</f>
        <v/>
      </c>
      <c r="K106" s="9" t="str">
        <f aca="false">IF(E106="","",IF(AB106="Siempre","Sí",IF(ISNUMBER(AC106),IF(E106&gt;=AC106,"Sí",IF(AW106&gt;=AC106,"Sí (serie 24 h)","No")),"")))</f>
        <v/>
      </c>
      <c r="L106" s="9" t="str">
        <f aca="false">IF(E106="","",AA106)</f>
        <v/>
      </c>
      <c r="M106" s="9" t="str">
        <f aca="false">IF(E106="","",IF(AA106&lt;&gt;"ACUMULA","No aplica",IF(LEFT(K106,2)="Sí","Sí","No")))</f>
        <v/>
      </c>
      <c r="N106" s="23" t="str">
        <f aca="false">IF(M106="Sí",AJ106,"")</f>
        <v/>
      </c>
      <c r="O106" s="24" t="str">
        <f aca="false">IF(M106="Sí",AK106,"")</f>
        <v/>
      </c>
      <c r="P106" s="25" t="str">
        <f aca="false">IF(AND(LEFT(D106,6)="XIV - ",LEFT(AX106,5)="AVISO"),"Pedimento (R 16): no va al SPPLD",AX106)</f>
        <v/>
      </c>
      <c r="Q106" s="23" t="str">
        <f aca="false">IF(LEFT(P106,5)="AVISO",IF(ISNUMBER(B106),DATE(YEAR(B106),MONTH(B106)+1,17),"Falta fecha"),"")</f>
        <v/>
      </c>
      <c r="R106" s="9" t="str">
        <f aca="false">IF(OR(F106="",F106=0),"",IF(ISNUMBER(AG106),IF(F106&gt;=AG106,"PROHIBIDO","Dentro del límite"),"No aplica"))</f>
        <v/>
      </c>
      <c r="S106" s="26" t="str">
        <f aca="false">IF(E106="","",MID(IF(AQ106=1," · Excede el perfil declarado","")&amp;IF(H106="Sí"," · Paga un tercero","")&amp;IF(J106="Alto"," · Cliente de riesgo alto: DDR (RCG 23 Ter 3 y 4)","")&amp;IF(AND(AS106&lt;&gt;"",AS106&lt;&gt;"No",AS106&lt;&gt;0)," · PEP","")&amp;IF(R106="PROHIBIDO"," · Efectivo prohibido: no lo recibas (Art. 32)","")&amp;IF(AR106=1," · ⚠ Fecha fuera de orden","")&amp;IF(LEFT(I106,1)="⚠"," · ⚠ Cliente no registrado","")&amp;IF(D106=""," · ⚠ Falta la actividad","")&amp;IF(AND(LEFT(P106,5)="AVISO",W106="")," · Captura la cifra total con IVA para el Aviso","")&amp;IF(AND(ISNUMBER(W106),W106&lt;E106)," · ⚠ La cifra con IVA es menor que el monto sin IVA",""),4,400))</f>
        <v/>
      </c>
      <c r="T106" s="21"/>
      <c r="U106" s="20"/>
      <c r="V106" s="9" t="str">
        <f aca="false">IF(LEFT(P106,5)&lt;&gt;"AVISO","",IF(T106="Presentado",IF(AND(ISNUMBER(U106),ISNUMBER(Q106),U106&gt;Q106),"Presentado tarde","Presentado"),IF(NOT(ISNUMBER(Q106)),"Falta fecha",IF(Q106&lt;CONFIG!$B$6,"VENCIDO","Vence en "&amp;(Q106-CONFIG!$B$6)&amp;" días"))))</f>
        <v/>
      </c>
      <c r="W106" s="22"/>
      <c r="X106" s="21"/>
      <c r="AA106" s="0" t="str">
        <f aca="false">IF(AM106="","",INDEX(CATÁLOGO!$D$5:$D$39,AM106))</f>
        <v/>
      </c>
      <c r="AB106" s="0" t="str">
        <f aca="false">IF(AM106="","",INDEX(CATÁLOGO!$E$5:$E$39,AM106))</f>
        <v/>
      </c>
      <c r="AC106" s="0" t="str">
        <f aca="false">IF(AB106="","",IF(ISNUMBER(AB106),AB106*AV106,AB106))</f>
        <v/>
      </c>
      <c r="AD106" s="0" t="str">
        <f aca="false">IF(AM106="","",INDEX(CATÁLOGO!$F$5:$F$39,AM106))</f>
        <v/>
      </c>
      <c r="AE106" s="0" t="str">
        <f aca="false">IF(AD106="","",IF(ISNUMBER(AD106),AD106*AV106,AD106))</f>
        <v/>
      </c>
      <c r="AF106" s="0" t="str">
        <f aca="false">IF(AM106="","",INDEX(CATÁLOGO!$G$5:$G$39,AM106))</f>
        <v/>
      </c>
      <c r="AG106" s="0" t="str">
        <f aca="false">IF(AF106="","",IF(ISNUMBER(AF106),AF106*AV106,AF106))</f>
        <v/>
      </c>
      <c r="AH106" s="0" t="str">
        <f aca="false">IF(E106="","",C106&amp;"|"&amp;D106)</f>
        <v/>
      </c>
      <c r="AI106" s="27" t="n">
        <f aca="false">IF(M106&lt;&gt;"Sí",0,SUMPRODUCT(MAX(($AH$5:AH105=AH106)*($M$5:M105="Sí")*ROW($AH$5:AH105))))</f>
        <v>0</v>
      </c>
      <c r="AJ106" s="0" t="str">
        <f aca="false">IF(M106&lt;&gt;"Sí","",IF(AL106=1,B106,INDEX($AJ:$AJ,AI106)))</f>
        <v/>
      </c>
      <c r="AK106" s="0" t="str">
        <f aca="false">IF(M106&lt;&gt;"Sí","",IF(AL106=1,E106,INDEX($AK:$AK,AI106)+E106))</f>
        <v/>
      </c>
      <c r="AL106" s="0" t="str">
        <f aca="false">IF(M106&lt;&gt;"Sí","",IF(AI106=0,1,IF(INDEX($AN:$AN,AI106)=0,1,IF(B106&gt;=EDATE(INDEX($AJ:$AJ,AI106),6),1,0))))</f>
        <v/>
      </c>
      <c r="AM106" s="0" t="str">
        <f aca="false">IF(D106="","",IFERROR(MATCH(D106,CATÁLOGO!$C$5:$C$39,0),""))</f>
        <v/>
      </c>
      <c r="AN106" s="0" t="str">
        <f aca="false">IF(M106&lt;&gt;"Sí","",IF(AND(ISNUMBER(AE106),AK106&gt;=AE106),0,1))</f>
        <v/>
      </c>
      <c r="AO106" s="0" t="str">
        <f aca="false">IF(OR(E106="",C106="",NOT(ISNUMBER(B106))),"",SUMIFS($E$6:$E$505,$C$6:$C$505,C106,$B$6:$B$505,"&gt;="&amp;DATE(YEAR(B106),MONTH(B106),1),$B$6:$B$505,"&lt;"&amp;DATE(YEAR(B106),MONTH(B106)+1,1)))</f>
        <v/>
      </c>
      <c r="AP106" s="0" t="str">
        <f aca="false">IF(C106="","",IFERROR(INDEX(CLIENTES!$M$6:$M$305,MATCH(C106,CLIENTES!$A$6:$A$305,0)),""))</f>
        <v/>
      </c>
      <c r="AQ106" s="27" t="n">
        <f aca="false">IF(AND(ISNUMBER(AO106),ISNUMBER(AP106)),IF(AND(AP106&gt;0,AO106&gt;AP106),1,0),0)</f>
        <v>0</v>
      </c>
      <c r="AR106" s="27" t="n">
        <f aca="false">IF(NOT(ISNUMBER(B106)),0,IF(B106&lt;MAX($B$5:B105),1,0))</f>
        <v>0</v>
      </c>
      <c r="AS106" s="0" t="str">
        <f aca="false">IF(C106="","",IFERROR(INDEX(CLIENTES!$H$6:$H$305,MATCH(C106,CLIENTES!$A$6:$A$305,0)),""))</f>
        <v/>
      </c>
      <c r="AT106" s="0" t="str">
        <f aca="false">IF(AND(LEFT(P106,5)="AVISO",T106&lt;&gt;"Presentado",ISNUMBER(Q106)),Q106,"")</f>
        <v/>
      </c>
      <c r="AU106" s="27" t="n">
        <f aca="false">IF(AND(D106="XVI - Activos virtuales (PSAV): operación de intercambio/transferencia",M106="Sí",ISNUMBER(AE106)),IF(AK106&gt;=AE106,1,0),0)</f>
        <v>0</v>
      </c>
      <c r="AV106" s="30" t="n">
        <f aca="false">IF(NOT(ISNUMBER(B106)),CONFIG!$B$4,IFERROR(INDEX(CONFIG!$I$5:$I$14,MATCH(IF(MONTH(B106)=1,YEAR(B106)-1,YEAR(B106)),CONFIG!$H$5:$H$14,0)),CONFIG!$B$4))</f>
        <v>117.31</v>
      </c>
      <c r="AW106" s="27" t="n">
        <f aca="false">IF(AND(LEFT(D106,4)="I - ",ISNUMBER(B106),C106&lt;&gt;""),SUMIFS($E$6:$E$505,$C$6:$C$505,C106,$D$6:$D$505,D106,$B$6:$B$505,"&gt;"&amp;(B106-1),$B$6:$B$505,"&lt;="&amp;B106),0)</f>
        <v>0</v>
      </c>
      <c r="AX106" s="0" t="str">
        <f aca="false">IF(E106="","",IF(AD106="Siempre","AVISO (siempre)",IF(AD106="No aplica","Sin Aviso (sólo preparas: Ley 17 XI)",IF(NOT(ISNUMBER(AE106)),"",IF(AA106&lt;&gt;"ACUMULA",IF(E106&gt;=AE106,IF(AND(D106="XVI - Activos virtuales (PSAV): cobro de contraprestación (comisión) por el servicio",COUNTIFS($C$6:$C$505,C106,$B$6:$B$505,"&gt;="&amp;INT(B106),$B$6:$B$505,"&lt;"&amp;(INT(B106)+1),$AU$6:$AU$505,1)&gt;0),"En el Aviso del inciso a) (R 31 Bis)","AVISO"),"—"),IF(M106&lt;&gt;"Sí","—",IF(AK106&gt;=AE106,IF(AK106=E106,"AVISO","AVISO (acumulado)"),"Acumulando")))))))</f>
        <v/>
      </c>
    </row>
    <row r="107" customFormat="false" ht="15" hidden="false" customHeight="false" outlineLevel="0" collapsed="false">
      <c r="A107" s="9" t="str">
        <f aca="false">IF(E107="","",ROW()-5)</f>
        <v/>
      </c>
      <c r="B107" s="20"/>
      <c r="C107" s="21"/>
      <c r="D107" s="21"/>
      <c r="E107" s="22"/>
      <c r="F107" s="22"/>
      <c r="G107" s="21"/>
      <c r="H107" s="21"/>
      <c r="I107" s="9" t="str">
        <f aca="false">IF(C107="","",IFERROR(INDEX(CLIENTES!$B$6:$B$305,MATCH(C107,CLIENTES!$A$6:$A$305,0)),"⚠ ID no registrado"))</f>
        <v/>
      </c>
      <c r="J107" s="9" t="str">
        <f aca="false">IF(C107="","",IFERROR(INDEX(CLIENTES!$Z$6:$Z$305,MATCH(C107,CLIENTES!$A$6:$A$305,0)),""))</f>
        <v/>
      </c>
      <c r="K107" s="9" t="str">
        <f aca="false">IF(E107="","",IF(AB107="Siempre","Sí",IF(ISNUMBER(AC107),IF(E107&gt;=AC107,"Sí",IF(AW107&gt;=AC107,"Sí (serie 24 h)","No")),"")))</f>
        <v/>
      </c>
      <c r="L107" s="9" t="str">
        <f aca="false">IF(E107="","",AA107)</f>
        <v/>
      </c>
      <c r="M107" s="9" t="str">
        <f aca="false">IF(E107="","",IF(AA107&lt;&gt;"ACUMULA","No aplica",IF(LEFT(K107,2)="Sí","Sí","No")))</f>
        <v/>
      </c>
      <c r="N107" s="23" t="str">
        <f aca="false">IF(M107="Sí",AJ107,"")</f>
        <v/>
      </c>
      <c r="O107" s="24" t="str">
        <f aca="false">IF(M107="Sí",AK107,"")</f>
        <v/>
      </c>
      <c r="P107" s="25" t="str">
        <f aca="false">IF(AND(LEFT(D107,6)="XIV - ",LEFT(AX107,5)="AVISO"),"Pedimento (R 16): no va al SPPLD",AX107)</f>
        <v/>
      </c>
      <c r="Q107" s="23" t="str">
        <f aca="false">IF(LEFT(P107,5)="AVISO",IF(ISNUMBER(B107),DATE(YEAR(B107),MONTH(B107)+1,17),"Falta fecha"),"")</f>
        <v/>
      </c>
      <c r="R107" s="9" t="str">
        <f aca="false">IF(OR(F107="",F107=0),"",IF(ISNUMBER(AG107),IF(F107&gt;=AG107,"PROHIBIDO","Dentro del límite"),"No aplica"))</f>
        <v/>
      </c>
      <c r="S107" s="26" t="str">
        <f aca="false">IF(E107="","",MID(IF(AQ107=1," · Excede el perfil declarado","")&amp;IF(H107="Sí"," · Paga un tercero","")&amp;IF(J107="Alto"," · Cliente de riesgo alto: DDR (RCG 23 Ter 3 y 4)","")&amp;IF(AND(AS107&lt;&gt;"",AS107&lt;&gt;"No",AS107&lt;&gt;0)," · PEP","")&amp;IF(R107="PROHIBIDO"," · Efectivo prohibido: no lo recibas (Art. 32)","")&amp;IF(AR107=1," · ⚠ Fecha fuera de orden","")&amp;IF(LEFT(I107,1)="⚠"," · ⚠ Cliente no registrado","")&amp;IF(D107=""," · ⚠ Falta la actividad","")&amp;IF(AND(LEFT(P107,5)="AVISO",W107="")," · Captura la cifra total con IVA para el Aviso","")&amp;IF(AND(ISNUMBER(W107),W107&lt;E107)," · ⚠ La cifra con IVA es menor que el monto sin IVA",""),4,400))</f>
        <v/>
      </c>
      <c r="T107" s="21"/>
      <c r="U107" s="20"/>
      <c r="V107" s="9" t="str">
        <f aca="false">IF(LEFT(P107,5)&lt;&gt;"AVISO","",IF(T107="Presentado",IF(AND(ISNUMBER(U107),ISNUMBER(Q107),U107&gt;Q107),"Presentado tarde","Presentado"),IF(NOT(ISNUMBER(Q107)),"Falta fecha",IF(Q107&lt;CONFIG!$B$6,"VENCIDO","Vence en "&amp;(Q107-CONFIG!$B$6)&amp;" días"))))</f>
        <v/>
      </c>
      <c r="W107" s="22"/>
      <c r="X107" s="21"/>
      <c r="AA107" s="0" t="str">
        <f aca="false">IF(AM107="","",INDEX(CATÁLOGO!$D$5:$D$39,AM107))</f>
        <v/>
      </c>
      <c r="AB107" s="0" t="str">
        <f aca="false">IF(AM107="","",INDEX(CATÁLOGO!$E$5:$E$39,AM107))</f>
        <v/>
      </c>
      <c r="AC107" s="0" t="str">
        <f aca="false">IF(AB107="","",IF(ISNUMBER(AB107),AB107*AV107,AB107))</f>
        <v/>
      </c>
      <c r="AD107" s="0" t="str">
        <f aca="false">IF(AM107="","",INDEX(CATÁLOGO!$F$5:$F$39,AM107))</f>
        <v/>
      </c>
      <c r="AE107" s="0" t="str">
        <f aca="false">IF(AD107="","",IF(ISNUMBER(AD107),AD107*AV107,AD107))</f>
        <v/>
      </c>
      <c r="AF107" s="0" t="str">
        <f aca="false">IF(AM107="","",INDEX(CATÁLOGO!$G$5:$G$39,AM107))</f>
        <v/>
      </c>
      <c r="AG107" s="0" t="str">
        <f aca="false">IF(AF107="","",IF(ISNUMBER(AF107),AF107*AV107,AF107))</f>
        <v/>
      </c>
      <c r="AH107" s="0" t="str">
        <f aca="false">IF(E107="","",C107&amp;"|"&amp;D107)</f>
        <v/>
      </c>
      <c r="AI107" s="27" t="n">
        <f aca="false">IF(M107&lt;&gt;"Sí",0,SUMPRODUCT(MAX(($AH$5:AH106=AH107)*($M$5:M106="Sí")*ROW($AH$5:AH106))))</f>
        <v>0</v>
      </c>
      <c r="AJ107" s="0" t="str">
        <f aca="false">IF(M107&lt;&gt;"Sí","",IF(AL107=1,B107,INDEX($AJ:$AJ,AI107)))</f>
        <v/>
      </c>
      <c r="AK107" s="0" t="str">
        <f aca="false">IF(M107&lt;&gt;"Sí","",IF(AL107=1,E107,INDEX($AK:$AK,AI107)+E107))</f>
        <v/>
      </c>
      <c r="AL107" s="0" t="str">
        <f aca="false">IF(M107&lt;&gt;"Sí","",IF(AI107=0,1,IF(INDEX($AN:$AN,AI107)=0,1,IF(B107&gt;=EDATE(INDEX($AJ:$AJ,AI107),6),1,0))))</f>
        <v/>
      </c>
      <c r="AM107" s="0" t="str">
        <f aca="false">IF(D107="","",IFERROR(MATCH(D107,CATÁLOGO!$C$5:$C$39,0),""))</f>
        <v/>
      </c>
      <c r="AN107" s="0" t="str">
        <f aca="false">IF(M107&lt;&gt;"Sí","",IF(AND(ISNUMBER(AE107),AK107&gt;=AE107),0,1))</f>
        <v/>
      </c>
      <c r="AO107" s="0" t="str">
        <f aca="false">IF(OR(E107="",C107="",NOT(ISNUMBER(B107))),"",SUMIFS($E$6:$E$505,$C$6:$C$505,C107,$B$6:$B$505,"&gt;="&amp;DATE(YEAR(B107),MONTH(B107),1),$B$6:$B$505,"&lt;"&amp;DATE(YEAR(B107),MONTH(B107)+1,1)))</f>
        <v/>
      </c>
      <c r="AP107" s="0" t="str">
        <f aca="false">IF(C107="","",IFERROR(INDEX(CLIENTES!$M$6:$M$305,MATCH(C107,CLIENTES!$A$6:$A$305,0)),""))</f>
        <v/>
      </c>
      <c r="AQ107" s="27" t="n">
        <f aca="false">IF(AND(ISNUMBER(AO107),ISNUMBER(AP107)),IF(AND(AP107&gt;0,AO107&gt;AP107),1,0),0)</f>
        <v>0</v>
      </c>
      <c r="AR107" s="27" t="n">
        <f aca="false">IF(NOT(ISNUMBER(B107)),0,IF(B107&lt;MAX($B$5:B106),1,0))</f>
        <v>0</v>
      </c>
      <c r="AS107" s="0" t="str">
        <f aca="false">IF(C107="","",IFERROR(INDEX(CLIENTES!$H$6:$H$305,MATCH(C107,CLIENTES!$A$6:$A$305,0)),""))</f>
        <v/>
      </c>
      <c r="AT107" s="0" t="str">
        <f aca="false">IF(AND(LEFT(P107,5)="AVISO",T107&lt;&gt;"Presentado",ISNUMBER(Q107)),Q107,"")</f>
        <v/>
      </c>
      <c r="AU107" s="27" t="n">
        <f aca="false">IF(AND(D107="XVI - Activos virtuales (PSAV): operación de intercambio/transferencia",M107="Sí",ISNUMBER(AE107)),IF(AK107&gt;=AE107,1,0),0)</f>
        <v>0</v>
      </c>
      <c r="AV107" s="30" t="n">
        <f aca="false">IF(NOT(ISNUMBER(B107)),CONFIG!$B$4,IFERROR(INDEX(CONFIG!$I$5:$I$14,MATCH(IF(MONTH(B107)=1,YEAR(B107)-1,YEAR(B107)),CONFIG!$H$5:$H$14,0)),CONFIG!$B$4))</f>
        <v>117.31</v>
      </c>
      <c r="AW107" s="27" t="n">
        <f aca="false">IF(AND(LEFT(D107,4)="I - ",ISNUMBER(B107),C107&lt;&gt;""),SUMIFS($E$6:$E$505,$C$6:$C$505,C107,$D$6:$D$505,D107,$B$6:$B$505,"&gt;"&amp;(B107-1),$B$6:$B$505,"&lt;="&amp;B107),0)</f>
        <v>0</v>
      </c>
      <c r="AX107" s="0" t="str">
        <f aca="false">IF(E107="","",IF(AD107="Siempre","AVISO (siempre)",IF(AD107="No aplica","Sin Aviso (sólo preparas: Ley 17 XI)",IF(NOT(ISNUMBER(AE107)),"",IF(AA107&lt;&gt;"ACUMULA",IF(E107&gt;=AE107,IF(AND(D107="XVI - Activos virtuales (PSAV): cobro de contraprestación (comisión) por el servicio",COUNTIFS($C$6:$C$505,C107,$B$6:$B$505,"&gt;="&amp;INT(B107),$B$6:$B$505,"&lt;"&amp;(INT(B107)+1),$AU$6:$AU$505,1)&gt;0),"En el Aviso del inciso a) (R 31 Bis)","AVISO"),"—"),IF(M107&lt;&gt;"Sí","—",IF(AK107&gt;=AE107,IF(AK107=E107,"AVISO","AVISO (acumulado)"),"Acumulando")))))))</f>
        <v/>
      </c>
    </row>
    <row r="108" customFormat="false" ht="15" hidden="false" customHeight="false" outlineLevel="0" collapsed="false">
      <c r="A108" s="9" t="str">
        <f aca="false">IF(E108="","",ROW()-5)</f>
        <v/>
      </c>
      <c r="B108" s="20"/>
      <c r="C108" s="21"/>
      <c r="D108" s="21"/>
      <c r="E108" s="22"/>
      <c r="F108" s="22"/>
      <c r="G108" s="21"/>
      <c r="H108" s="21"/>
      <c r="I108" s="9" t="str">
        <f aca="false">IF(C108="","",IFERROR(INDEX(CLIENTES!$B$6:$B$305,MATCH(C108,CLIENTES!$A$6:$A$305,0)),"⚠ ID no registrado"))</f>
        <v/>
      </c>
      <c r="J108" s="9" t="str">
        <f aca="false">IF(C108="","",IFERROR(INDEX(CLIENTES!$Z$6:$Z$305,MATCH(C108,CLIENTES!$A$6:$A$305,0)),""))</f>
        <v/>
      </c>
      <c r="K108" s="9" t="str">
        <f aca="false">IF(E108="","",IF(AB108="Siempre","Sí",IF(ISNUMBER(AC108),IF(E108&gt;=AC108,"Sí",IF(AW108&gt;=AC108,"Sí (serie 24 h)","No")),"")))</f>
        <v/>
      </c>
      <c r="L108" s="9" t="str">
        <f aca="false">IF(E108="","",AA108)</f>
        <v/>
      </c>
      <c r="M108" s="9" t="str">
        <f aca="false">IF(E108="","",IF(AA108&lt;&gt;"ACUMULA","No aplica",IF(LEFT(K108,2)="Sí","Sí","No")))</f>
        <v/>
      </c>
      <c r="N108" s="23" t="str">
        <f aca="false">IF(M108="Sí",AJ108,"")</f>
        <v/>
      </c>
      <c r="O108" s="24" t="str">
        <f aca="false">IF(M108="Sí",AK108,"")</f>
        <v/>
      </c>
      <c r="P108" s="25" t="str">
        <f aca="false">IF(AND(LEFT(D108,6)="XIV - ",LEFT(AX108,5)="AVISO"),"Pedimento (R 16): no va al SPPLD",AX108)</f>
        <v/>
      </c>
      <c r="Q108" s="23" t="str">
        <f aca="false">IF(LEFT(P108,5)="AVISO",IF(ISNUMBER(B108),DATE(YEAR(B108),MONTH(B108)+1,17),"Falta fecha"),"")</f>
        <v/>
      </c>
      <c r="R108" s="9" t="str">
        <f aca="false">IF(OR(F108="",F108=0),"",IF(ISNUMBER(AG108),IF(F108&gt;=AG108,"PROHIBIDO","Dentro del límite"),"No aplica"))</f>
        <v/>
      </c>
      <c r="S108" s="26" t="str">
        <f aca="false">IF(E108="","",MID(IF(AQ108=1," · Excede el perfil declarado","")&amp;IF(H108="Sí"," · Paga un tercero","")&amp;IF(J108="Alto"," · Cliente de riesgo alto: DDR (RCG 23 Ter 3 y 4)","")&amp;IF(AND(AS108&lt;&gt;"",AS108&lt;&gt;"No",AS108&lt;&gt;0)," · PEP","")&amp;IF(R108="PROHIBIDO"," · Efectivo prohibido: no lo recibas (Art. 32)","")&amp;IF(AR108=1," · ⚠ Fecha fuera de orden","")&amp;IF(LEFT(I108,1)="⚠"," · ⚠ Cliente no registrado","")&amp;IF(D108=""," · ⚠ Falta la actividad","")&amp;IF(AND(LEFT(P108,5)="AVISO",W108="")," · Captura la cifra total con IVA para el Aviso","")&amp;IF(AND(ISNUMBER(W108),W108&lt;E108)," · ⚠ La cifra con IVA es menor que el monto sin IVA",""),4,400))</f>
        <v/>
      </c>
      <c r="T108" s="21"/>
      <c r="U108" s="20"/>
      <c r="V108" s="9" t="str">
        <f aca="false">IF(LEFT(P108,5)&lt;&gt;"AVISO","",IF(T108="Presentado",IF(AND(ISNUMBER(U108),ISNUMBER(Q108),U108&gt;Q108),"Presentado tarde","Presentado"),IF(NOT(ISNUMBER(Q108)),"Falta fecha",IF(Q108&lt;CONFIG!$B$6,"VENCIDO","Vence en "&amp;(Q108-CONFIG!$B$6)&amp;" días"))))</f>
        <v/>
      </c>
      <c r="W108" s="22"/>
      <c r="X108" s="21"/>
      <c r="AA108" s="0" t="str">
        <f aca="false">IF(AM108="","",INDEX(CATÁLOGO!$D$5:$D$39,AM108))</f>
        <v/>
      </c>
      <c r="AB108" s="0" t="str">
        <f aca="false">IF(AM108="","",INDEX(CATÁLOGO!$E$5:$E$39,AM108))</f>
        <v/>
      </c>
      <c r="AC108" s="0" t="str">
        <f aca="false">IF(AB108="","",IF(ISNUMBER(AB108),AB108*AV108,AB108))</f>
        <v/>
      </c>
      <c r="AD108" s="0" t="str">
        <f aca="false">IF(AM108="","",INDEX(CATÁLOGO!$F$5:$F$39,AM108))</f>
        <v/>
      </c>
      <c r="AE108" s="0" t="str">
        <f aca="false">IF(AD108="","",IF(ISNUMBER(AD108),AD108*AV108,AD108))</f>
        <v/>
      </c>
      <c r="AF108" s="0" t="str">
        <f aca="false">IF(AM108="","",INDEX(CATÁLOGO!$G$5:$G$39,AM108))</f>
        <v/>
      </c>
      <c r="AG108" s="0" t="str">
        <f aca="false">IF(AF108="","",IF(ISNUMBER(AF108),AF108*AV108,AF108))</f>
        <v/>
      </c>
      <c r="AH108" s="0" t="str">
        <f aca="false">IF(E108="","",C108&amp;"|"&amp;D108)</f>
        <v/>
      </c>
      <c r="AI108" s="27" t="n">
        <f aca="false">IF(M108&lt;&gt;"Sí",0,SUMPRODUCT(MAX(($AH$5:AH107=AH108)*($M$5:M107="Sí")*ROW($AH$5:AH107))))</f>
        <v>0</v>
      </c>
      <c r="AJ108" s="0" t="str">
        <f aca="false">IF(M108&lt;&gt;"Sí","",IF(AL108=1,B108,INDEX($AJ:$AJ,AI108)))</f>
        <v/>
      </c>
      <c r="AK108" s="0" t="str">
        <f aca="false">IF(M108&lt;&gt;"Sí","",IF(AL108=1,E108,INDEX($AK:$AK,AI108)+E108))</f>
        <v/>
      </c>
      <c r="AL108" s="0" t="str">
        <f aca="false">IF(M108&lt;&gt;"Sí","",IF(AI108=0,1,IF(INDEX($AN:$AN,AI108)=0,1,IF(B108&gt;=EDATE(INDEX($AJ:$AJ,AI108),6),1,0))))</f>
        <v/>
      </c>
      <c r="AM108" s="0" t="str">
        <f aca="false">IF(D108="","",IFERROR(MATCH(D108,CATÁLOGO!$C$5:$C$39,0),""))</f>
        <v/>
      </c>
      <c r="AN108" s="0" t="str">
        <f aca="false">IF(M108&lt;&gt;"Sí","",IF(AND(ISNUMBER(AE108),AK108&gt;=AE108),0,1))</f>
        <v/>
      </c>
      <c r="AO108" s="0" t="str">
        <f aca="false">IF(OR(E108="",C108="",NOT(ISNUMBER(B108))),"",SUMIFS($E$6:$E$505,$C$6:$C$505,C108,$B$6:$B$505,"&gt;="&amp;DATE(YEAR(B108),MONTH(B108),1),$B$6:$B$505,"&lt;"&amp;DATE(YEAR(B108),MONTH(B108)+1,1)))</f>
        <v/>
      </c>
      <c r="AP108" s="0" t="str">
        <f aca="false">IF(C108="","",IFERROR(INDEX(CLIENTES!$M$6:$M$305,MATCH(C108,CLIENTES!$A$6:$A$305,0)),""))</f>
        <v/>
      </c>
      <c r="AQ108" s="27" t="n">
        <f aca="false">IF(AND(ISNUMBER(AO108),ISNUMBER(AP108)),IF(AND(AP108&gt;0,AO108&gt;AP108),1,0),0)</f>
        <v>0</v>
      </c>
      <c r="AR108" s="27" t="n">
        <f aca="false">IF(NOT(ISNUMBER(B108)),0,IF(B108&lt;MAX($B$5:B107),1,0))</f>
        <v>0</v>
      </c>
      <c r="AS108" s="0" t="str">
        <f aca="false">IF(C108="","",IFERROR(INDEX(CLIENTES!$H$6:$H$305,MATCH(C108,CLIENTES!$A$6:$A$305,0)),""))</f>
        <v/>
      </c>
      <c r="AT108" s="0" t="str">
        <f aca="false">IF(AND(LEFT(P108,5)="AVISO",T108&lt;&gt;"Presentado",ISNUMBER(Q108)),Q108,"")</f>
        <v/>
      </c>
      <c r="AU108" s="27" t="n">
        <f aca="false">IF(AND(D108="XVI - Activos virtuales (PSAV): operación de intercambio/transferencia",M108="Sí",ISNUMBER(AE108)),IF(AK108&gt;=AE108,1,0),0)</f>
        <v>0</v>
      </c>
      <c r="AV108" s="30" t="n">
        <f aca="false">IF(NOT(ISNUMBER(B108)),CONFIG!$B$4,IFERROR(INDEX(CONFIG!$I$5:$I$14,MATCH(IF(MONTH(B108)=1,YEAR(B108)-1,YEAR(B108)),CONFIG!$H$5:$H$14,0)),CONFIG!$B$4))</f>
        <v>117.31</v>
      </c>
      <c r="AW108" s="27" t="n">
        <f aca="false">IF(AND(LEFT(D108,4)="I - ",ISNUMBER(B108),C108&lt;&gt;""),SUMIFS($E$6:$E$505,$C$6:$C$505,C108,$D$6:$D$505,D108,$B$6:$B$505,"&gt;"&amp;(B108-1),$B$6:$B$505,"&lt;="&amp;B108),0)</f>
        <v>0</v>
      </c>
      <c r="AX108" s="0" t="str">
        <f aca="false">IF(E108="","",IF(AD108="Siempre","AVISO (siempre)",IF(AD108="No aplica","Sin Aviso (sólo preparas: Ley 17 XI)",IF(NOT(ISNUMBER(AE108)),"",IF(AA108&lt;&gt;"ACUMULA",IF(E108&gt;=AE108,IF(AND(D108="XVI - Activos virtuales (PSAV): cobro de contraprestación (comisión) por el servicio",COUNTIFS($C$6:$C$505,C108,$B$6:$B$505,"&gt;="&amp;INT(B108),$B$6:$B$505,"&lt;"&amp;(INT(B108)+1),$AU$6:$AU$505,1)&gt;0),"En el Aviso del inciso a) (R 31 Bis)","AVISO"),"—"),IF(M108&lt;&gt;"Sí","—",IF(AK108&gt;=AE108,IF(AK108=E108,"AVISO","AVISO (acumulado)"),"Acumulando")))))))</f>
        <v/>
      </c>
    </row>
    <row r="109" customFormat="false" ht="15" hidden="false" customHeight="false" outlineLevel="0" collapsed="false">
      <c r="A109" s="9" t="str">
        <f aca="false">IF(E109="","",ROW()-5)</f>
        <v/>
      </c>
      <c r="B109" s="20"/>
      <c r="C109" s="21"/>
      <c r="D109" s="21"/>
      <c r="E109" s="22"/>
      <c r="F109" s="22"/>
      <c r="G109" s="21"/>
      <c r="H109" s="21"/>
      <c r="I109" s="9" t="str">
        <f aca="false">IF(C109="","",IFERROR(INDEX(CLIENTES!$B$6:$B$305,MATCH(C109,CLIENTES!$A$6:$A$305,0)),"⚠ ID no registrado"))</f>
        <v/>
      </c>
      <c r="J109" s="9" t="str">
        <f aca="false">IF(C109="","",IFERROR(INDEX(CLIENTES!$Z$6:$Z$305,MATCH(C109,CLIENTES!$A$6:$A$305,0)),""))</f>
        <v/>
      </c>
      <c r="K109" s="9" t="str">
        <f aca="false">IF(E109="","",IF(AB109="Siempre","Sí",IF(ISNUMBER(AC109),IF(E109&gt;=AC109,"Sí",IF(AW109&gt;=AC109,"Sí (serie 24 h)","No")),"")))</f>
        <v/>
      </c>
      <c r="L109" s="9" t="str">
        <f aca="false">IF(E109="","",AA109)</f>
        <v/>
      </c>
      <c r="M109" s="9" t="str">
        <f aca="false">IF(E109="","",IF(AA109&lt;&gt;"ACUMULA","No aplica",IF(LEFT(K109,2)="Sí","Sí","No")))</f>
        <v/>
      </c>
      <c r="N109" s="23" t="str">
        <f aca="false">IF(M109="Sí",AJ109,"")</f>
        <v/>
      </c>
      <c r="O109" s="24" t="str">
        <f aca="false">IF(M109="Sí",AK109,"")</f>
        <v/>
      </c>
      <c r="P109" s="25" t="str">
        <f aca="false">IF(AND(LEFT(D109,6)="XIV - ",LEFT(AX109,5)="AVISO"),"Pedimento (R 16): no va al SPPLD",AX109)</f>
        <v/>
      </c>
      <c r="Q109" s="23" t="str">
        <f aca="false">IF(LEFT(P109,5)="AVISO",IF(ISNUMBER(B109),DATE(YEAR(B109),MONTH(B109)+1,17),"Falta fecha"),"")</f>
        <v/>
      </c>
      <c r="R109" s="9" t="str">
        <f aca="false">IF(OR(F109="",F109=0),"",IF(ISNUMBER(AG109),IF(F109&gt;=AG109,"PROHIBIDO","Dentro del límite"),"No aplica"))</f>
        <v/>
      </c>
      <c r="S109" s="26" t="str">
        <f aca="false">IF(E109="","",MID(IF(AQ109=1," · Excede el perfil declarado","")&amp;IF(H109="Sí"," · Paga un tercero","")&amp;IF(J109="Alto"," · Cliente de riesgo alto: DDR (RCG 23 Ter 3 y 4)","")&amp;IF(AND(AS109&lt;&gt;"",AS109&lt;&gt;"No",AS109&lt;&gt;0)," · PEP","")&amp;IF(R109="PROHIBIDO"," · Efectivo prohibido: no lo recibas (Art. 32)","")&amp;IF(AR109=1," · ⚠ Fecha fuera de orden","")&amp;IF(LEFT(I109,1)="⚠"," · ⚠ Cliente no registrado","")&amp;IF(D109=""," · ⚠ Falta la actividad","")&amp;IF(AND(LEFT(P109,5)="AVISO",W109="")," · Captura la cifra total con IVA para el Aviso","")&amp;IF(AND(ISNUMBER(W109),W109&lt;E109)," · ⚠ La cifra con IVA es menor que el monto sin IVA",""),4,400))</f>
        <v/>
      </c>
      <c r="T109" s="21"/>
      <c r="U109" s="20"/>
      <c r="V109" s="9" t="str">
        <f aca="false">IF(LEFT(P109,5)&lt;&gt;"AVISO","",IF(T109="Presentado",IF(AND(ISNUMBER(U109),ISNUMBER(Q109),U109&gt;Q109),"Presentado tarde","Presentado"),IF(NOT(ISNUMBER(Q109)),"Falta fecha",IF(Q109&lt;CONFIG!$B$6,"VENCIDO","Vence en "&amp;(Q109-CONFIG!$B$6)&amp;" días"))))</f>
        <v/>
      </c>
      <c r="W109" s="22"/>
      <c r="X109" s="21"/>
      <c r="AA109" s="0" t="str">
        <f aca="false">IF(AM109="","",INDEX(CATÁLOGO!$D$5:$D$39,AM109))</f>
        <v/>
      </c>
      <c r="AB109" s="0" t="str">
        <f aca="false">IF(AM109="","",INDEX(CATÁLOGO!$E$5:$E$39,AM109))</f>
        <v/>
      </c>
      <c r="AC109" s="0" t="str">
        <f aca="false">IF(AB109="","",IF(ISNUMBER(AB109),AB109*AV109,AB109))</f>
        <v/>
      </c>
      <c r="AD109" s="0" t="str">
        <f aca="false">IF(AM109="","",INDEX(CATÁLOGO!$F$5:$F$39,AM109))</f>
        <v/>
      </c>
      <c r="AE109" s="0" t="str">
        <f aca="false">IF(AD109="","",IF(ISNUMBER(AD109),AD109*AV109,AD109))</f>
        <v/>
      </c>
      <c r="AF109" s="0" t="str">
        <f aca="false">IF(AM109="","",INDEX(CATÁLOGO!$G$5:$G$39,AM109))</f>
        <v/>
      </c>
      <c r="AG109" s="0" t="str">
        <f aca="false">IF(AF109="","",IF(ISNUMBER(AF109),AF109*AV109,AF109))</f>
        <v/>
      </c>
      <c r="AH109" s="0" t="str">
        <f aca="false">IF(E109="","",C109&amp;"|"&amp;D109)</f>
        <v/>
      </c>
      <c r="AI109" s="27" t="n">
        <f aca="false">IF(M109&lt;&gt;"Sí",0,SUMPRODUCT(MAX(($AH$5:AH108=AH109)*($M$5:M108="Sí")*ROW($AH$5:AH108))))</f>
        <v>0</v>
      </c>
      <c r="AJ109" s="0" t="str">
        <f aca="false">IF(M109&lt;&gt;"Sí","",IF(AL109=1,B109,INDEX($AJ:$AJ,AI109)))</f>
        <v/>
      </c>
      <c r="AK109" s="0" t="str">
        <f aca="false">IF(M109&lt;&gt;"Sí","",IF(AL109=1,E109,INDEX($AK:$AK,AI109)+E109))</f>
        <v/>
      </c>
      <c r="AL109" s="0" t="str">
        <f aca="false">IF(M109&lt;&gt;"Sí","",IF(AI109=0,1,IF(INDEX($AN:$AN,AI109)=0,1,IF(B109&gt;=EDATE(INDEX($AJ:$AJ,AI109),6),1,0))))</f>
        <v/>
      </c>
      <c r="AM109" s="0" t="str">
        <f aca="false">IF(D109="","",IFERROR(MATCH(D109,CATÁLOGO!$C$5:$C$39,0),""))</f>
        <v/>
      </c>
      <c r="AN109" s="0" t="str">
        <f aca="false">IF(M109&lt;&gt;"Sí","",IF(AND(ISNUMBER(AE109),AK109&gt;=AE109),0,1))</f>
        <v/>
      </c>
      <c r="AO109" s="0" t="str">
        <f aca="false">IF(OR(E109="",C109="",NOT(ISNUMBER(B109))),"",SUMIFS($E$6:$E$505,$C$6:$C$505,C109,$B$6:$B$505,"&gt;="&amp;DATE(YEAR(B109),MONTH(B109),1),$B$6:$B$505,"&lt;"&amp;DATE(YEAR(B109),MONTH(B109)+1,1)))</f>
        <v/>
      </c>
      <c r="AP109" s="0" t="str">
        <f aca="false">IF(C109="","",IFERROR(INDEX(CLIENTES!$M$6:$M$305,MATCH(C109,CLIENTES!$A$6:$A$305,0)),""))</f>
        <v/>
      </c>
      <c r="AQ109" s="27" t="n">
        <f aca="false">IF(AND(ISNUMBER(AO109),ISNUMBER(AP109)),IF(AND(AP109&gt;0,AO109&gt;AP109),1,0),0)</f>
        <v>0</v>
      </c>
      <c r="AR109" s="27" t="n">
        <f aca="false">IF(NOT(ISNUMBER(B109)),0,IF(B109&lt;MAX($B$5:B108),1,0))</f>
        <v>0</v>
      </c>
      <c r="AS109" s="0" t="str">
        <f aca="false">IF(C109="","",IFERROR(INDEX(CLIENTES!$H$6:$H$305,MATCH(C109,CLIENTES!$A$6:$A$305,0)),""))</f>
        <v/>
      </c>
      <c r="AT109" s="0" t="str">
        <f aca="false">IF(AND(LEFT(P109,5)="AVISO",T109&lt;&gt;"Presentado",ISNUMBER(Q109)),Q109,"")</f>
        <v/>
      </c>
      <c r="AU109" s="27" t="n">
        <f aca="false">IF(AND(D109="XVI - Activos virtuales (PSAV): operación de intercambio/transferencia",M109="Sí",ISNUMBER(AE109)),IF(AK109&gt;=AE109,1,0),0)</f>
        <v>0</v>
      </c>
      <c r="AV109" s="30" t="n">
        <f aca="false">IF(NOT(ISNUMBER(B109)),CONFIG!$B$4,IFERROR(INDEX(CONFIG!$I$5:$I$14,MATCH(IF(MONTH(B109)=1,YEAR(B109)-1,YEAR(B109)),CONFIG!$H$5:$H$14,0)),CONFIG!$B$4))</f>
        <v>117.31</v>
      </c>
      <c r="AW109" s="27" t="n">
        <f aca="false">IF(AND(LEFT(D109,4)="I - ",ISNUMBER(B109),C109&lt;&gt;""),SUMIFS($E$6:$E$505,$C$6:$C$505,C109,$D$6:$D$505,D109,$B$6:$B$505,"&gt;"&amp;(B109-1),$B$6:$B$505,"&lt;="&amp;B109),0)</f>
        <v>0</v>
      </c>
      <c r="AX109" s="0" t="str">
        <f aca="false">IF(E109="","",IF(AD109="Siempre","AVISO (siempre)",IF(AD109="No aplica","Sin Aviso (sólo preparas: Ley 17 XI)",IF(NOT(ISNUMBER(AE109)),"",IF(AA109&lt;&gt;"ACUMULA",IF(E109&gt;=AE109,IF(AND(D109="XVI - Activos virtuales (PSAV): cobro de contraprestación (comisión) por el servicio",COUNTIFS($C$6:$C$505,C109,$B$6:$B$505,"&gt;="&amp;INT(B109),$B$6:$B$505,"&lt;"&amp;(INT(B109)+1),$AU$6:$AU$505,1)&gt;0),"En el Aviso del inciso a) (R 31 Bis)","AVISO"),"—"),IF(M109&lt;&gt;"Sí","—",IF(AK109&gt;=AE109,IF(AK109=E109,"AVISO","AVISO (acumulado)"),"Acumulando")))))))</f>
        <v/>
      </c>
    </row>
    <row r="110" customFormat="false" ht="15" hidden="false" customHeight="false" outlineLevel="0" collapsed="false">
      <c r="A110" s="9" t="str">
        <f aca="false">IF(E110="","",ROW()-5)</f>
        <v/>
      </c>
      <c r="B110" s="20"/>
      <c r="C110" s="21"/>
      <c r="D110" s="21"/>
      <c r="E110" s="22"/>
      <c r="F110" s="22"/>
      <c r="G110" s="21"/>
      <c r="H110" s="21"/>
      <c r="I110" s="9" t="str">
        <f aca="false">IF(C110="","",IFERROR(INDEX(CLIENTES!$B$6:$B$305,MATCH(C110,CLIENTES!$A$6:$A$305,0)),"⚠ ID no registrado"))</f>
        <v/>
      </c>
      <c r="J110" s="9" t="str">
        <f aca="false">IF(C110="","",IFERROR(INDEX(CLIENTES!$Z$6:$Z$305,MATCH(C110,CLIENTES!$A$6:$A$305,0)),""))</f>
        <v/>
      </c>
      <c r="K110" s="9" t="str">
        <f aca="false">IF(E110="","",IF(AB110="Siempre","Sí",IF(ISNUMBER(AC110),IF(E110&gt;=AC110,"Sí",IF(AW110&gt;=AC110,"Sí (serie 24 h)","No")),"")))</f>
        <v/>
      </c>
      <c r="L110" s="9" t="str">
        <f aca="false">IF(E110="","",AA110)</f>
        <v/>
      </c>
      <c r="M110" s="9" t="str">
        <f aca="false">IF(E110="","",IF(AA110&lt;&gt;"ACUMULA","No aplica",IF(LEFT(K110,2)="Sí","Sí","No")))</f>
        <v/>
      </c>
      <c r="N110" s="23" t="str">
        <f aca="false">IF(M110="Sí",AJ110,"")</f>
        <v/>
      </c>
      <c r="O110" s="24" t="str">
        <f aca="false">IF(M110="Sí",AK110,"")</f>
        <v/>
      </c>
      <c r="P110" s="25" t="str">
        <f aca="false">IF(AND(LEFT(D110,6)="XIV - ",LEFT(AX110,5)="AVISO"),"Pedimento (R 16): no va al SPPLD",AX110)</f>
        <v/>
      </c>
      <c r="Q110" s="23" t="str">
        <f aca="false">IF(LEFT(P110,5)="AVISO",IF(ISNUMBER(B110),DATE(YEAR(B110),MONTH(B110)+1,17),"Falta fecha"),"")</f>
        <v/>
      </c>
      <c r="R110" s="9" t="str">
        <f aca="false">IF(OR(F110="",F110=0),"",IF(ISNUMBER(AG110),IF(F110&gt;=AG110,"PROHIBIDO","Dentro del límite"),"No aplica"))</f>
        <v/>
      </c>
      <c r="S110" s="26" t="str">
        <f aca="false">IF(E110="","",MID(IF(AQ110=1," · Excede el perfil declarado","")&amp;IF(H110="Sí"," · Paga un tercero","")&amp;IF(J110="Alto"," · Cliente de riesgo alto: DDR (RCG 23 Ter 3 y 4)","")&amp;IF(AND(AS110&lt;&gt;"",AS110&lt;&gt;"No",AS110&lt;&gt;0)," · PEP","")&amp;IF(R110="PROHIBIDO"," · Efectivo prohibido: no lo recibas (Art. 32)","")&amp;IF(AR110=1," · ⚠ Fecha fuera de orden","")&amp;IF(LEFT(I110,1)="⚠"," · ⚠ Cliente no registrado","")&amp;IF(D110=""," · ⚠ Falta la actividad","")&amp;IF(AND(LEFT(P110,5)="AVISO",W110="")," · Captura la cifra total con IVA para el Aviso","")&amp;IF(AND(ISNUMBER(W110),W110&lt;E110)," · ⚠ La cifra con IVA es menor que el monto sin IVA",""),4,400))</f>
        <v/>
      </c>
      <c r="T110" s="21"/>
      <c r="U110" s="20"/>
      <c r="V110" s="9" t="str">
        <f aca="false">IF(LEFT(P110,5)&lt;&gt;"AVISO","",IF(T110="Presentado",IF(AND(ISNUMBER(U110),ISNUMBER(Q110),U110&gt;Q110),"Presentado tarde","Presentado"),IF(NOT(ISNUMBER(Q110)),"Falta fecha",IF(Q110&lt;CONFIG!$B$6,"VENCIDO","Vence en "&amp;(Q110-CONFIG!$B$6)&amp;" días"))))</f>
        <v/>
      </c>
      <c r="W110" s="22"/>
      <c r="X110" s="21"/>
      <c r="AA110" s="0" t="str">
        <f aca="false">IF(AM110="","",INDEX(CATÁLOGO!$D$5:$D$39,AM110))</f>
        <v/>
      </c>
      <c r="AB110" s="0" t="str">
        <f aca="false">IF(AM110="","",INDEX(CATÁLOGO!$E$5:$E$39,AM110))</f>
        <v/>
      </c>
      <c r="AC110" s="0" t="str">
        <f aca="false">IF(AB110="","",IF(ISNUMBER(AB110),AB110*AV110,AB110))</f>
        <v/>
      </c>
      <c r="AD110" s="0" t="str">
        <f aca="false">IF(AM110="","",INDEX(CATÁLOGO!$F$5:$F$39,AM110))</f>
        <v/>
      </c>
      <c r="AE110" s="0" t="str">
        <f aca="false">IF(AD110="","",IF(ISNUMBER(AD110),AD110*AV110,AD110))</f>
        <v/>
      </c>
      <c r="AF110" s="0" t="str">
        <f aca="false">IF(AM110="","",INDEX(CATÁLOGO!$G$5:$G$39,AM110))</f>
        <v/>
      </c>
      <c r="AG110" s="0" t="str">
        <f aca="false">IF(AF110="","",IF(ISNUMBER(AF110),AF110*AV110,AF110))</f>
        <v/>
      </c>
      <c r="AH110" s="0" t="str">
        <f aca="false">IF(E110="","",C110&amp;"|"&amp;D110)</f>
        <v/>
      </c>
      <c r="AI110" s="27" t="n">
        <f aca="false">IF(M110&lt;&gt;"Sí",0,SUMPRODUCT(MAX(($AH$5:AH109=AH110)*($M$5:M109="Sí")*ROW($AH$5:AH109))))</f>
        <v>0</v>
      </c>
      <c r="AJ110" s="0" t="str">
        <f aca="false">IF(M110&lt;&gt;"Sí","",IF(AL110=1,B110,INDEX($AJ:$AJ,AI110)))</f>
        <v/>
      </c>
      <c r="AK110" s="0" t="str">
        <f aca="false">IF(M110&lt;&gt;"Sí","",IF(AL110=1,E110,INDEX($AK:$AK,AI110)+E110))</f>
        <v/>
      </c>
      <c r="AL110" s="0" t="str">
        <f aca="false">IF(M110&lt;&gt;"Sí","",IF(AI110=0,1,IF(INDEX($AN:$AN,AI110)=0,1,IF(B110&gt;=EDATE(INDEX($AJ:$AJ,AI110),6),1,0))))</f>
        <v/>
      </c>
      <c r="AM110" s="0" t="str">
        <f aca="false">IF(D110="","",IFERROR(MATCH(D110,CATÁLOGO!$C$5:$C$39,0),""))</f>
        <v/>
      </c>
      <c r="AN110" s="0" t="str">
        <f aca="false">IF(M110&lt;&gt;"Sí","",IF(AND(ISNUMBER(AE110),AK110&gt;=AE110),0,1))</f>
        <v/>
      </c>
      <c r="AO110" s="0" t="str">
        <f aca="false">IF(OR(E110="",C110="",NOT(ISNUMBER(B110))),"",SUMIFS($E$6:$E$505,$C$6:$C$505,C110,$B$6:$B$505,"&gt;="&amp;DATE(YEAR(B110),MONTH(B110),1),$B$6:$B$505,"&lt;"&amp;DATE(YEAR(B110),MONTH(B110)+1,1)))</f>
        <v/>
      </c>
      <c r="AP110" s="0" t="str">
        <f aca="false">IF(C110="","",IFERROR(INDEX(CLIENTES!$M$6:$M$305,MATCH(C110,CLIENTES!$A$6:$A$305,0)),""))</f>
        <v/>
      </c>
      <c r="AQ110" s="27" t="n">
        <f aca="false">IF(AND(ISNUMBER(AO110),ISNUMBER(AP110)),IF(AND(AP110&gt;0,AO110&gt;AP110),1,0),0)</f>
        <v>0</v>
      </c>
      <c r="AR110" s="27" t="n">
        <f aca="false">IF(NOT(ISNUMBER(B110)),0,IF(B110&lt;MAX($B$5:B109),1,0))</f>
        <v>0</v>
      </c>
      <c r="AS110" s="0" t="str">
        <f aca="false">IF(C110="","",IFERROR(INDEX(CLIENTES!$H$6:$H$305,MATCH(C110,CLIENTES!$A$6:$A$305,0)),""))</f>
        <v/>
      </c>
      <c r="AT110" s="0" t="str">
        <f aca="false">IF(AND(LEFT(P110,5)="AVISO",T110&lt;&gt;"Presentado",ISNUMBER(Q110)),Q110,"")</f>
        <v/>
      </c>
      <c r="AU110" s="27" t="n">
        <f aca="false">IF(AND(D110="XVI - Activos virtuales (PSAV): operación de intercambio/transferencia",M110="Sí",ISNUMBER(AE110)),IF(AK110&gt;=AE110,1,0),0)</f>
        <v>0</v>
      </c>
      <c r="AV110" s="30" t="n">
        <f aca="false">IF(NOT(ISNUMBER(B110)),CONFIG!$B$4,IFERROR(INDEX(CONFIG!$I$5:$I$14,MATCH(IF(MONTH(B110)=1,YEAR(B110)-1,YEAR(B110)),CONFIG!$H$5:$H$14,0)),CONFIG!$B$4))</f>
        <v>117.31</v>
      </c>
      <c r="AW110" s="27" t="n">
        <f aca="false">IF(AND(LEFT(D110,4)="I - ",ISNUMBER(B110),C110&lt;&gt;""),SUMIFS($E$6:$E$505,$C$6:$C$505,C110,$D$6:$D$505,D110,$B$6:$B$505,"&gt;"&amp;(B110-1),$B$6:$B$505,"&lt;="&amp;B110),0)</f>
        <v>0</v>
      </c>
      <c r="AX110" s="0" t="str">
        <f aca="false">IF(E110="","",IF(AD110="Siempre","AVISO (siempre)",IF(AD110="No aplica","Sin Aviso (sólo preparas: Ley 17 XI)",IF(NOT(ISNUMBER(AE110)),"",IF(AA110&lt;&gt;"ACUMULA",IF(E110&gt;=AE110,IF(AND(D110="XVI - Activos virtuales (PSAV): cobro de contraprestación (comisión) por el servicio",COUNTIFS($C$6:$C$505,C110,$B$6:$B$505,"&gt;="&amp;INT(B110),$B$6:$B$505,"&lt;"&amp;(INT(B110)+1),$AU$6:$AU$505,1)&gt;0),"En el Aviso del inciso a) (R 31 Bis)","AVISO"),"—"),IF(M110&lt;&gt;"Sí","—",IF(AK110&gt;=AE110,IF(AK110=E110,"AVISO","AVISO (acumulado)"),"Acumulando")))))))</f>
        <v/>
      </c>
    </row>
    <row r="111" customFormat="false" ht="15" hidden="false" customHeight="false" outlineLevel="0" collapsed="false">
      <c r="A111" s="9" t="str">
        <f aca="false">IF(E111="","",ROW()-5)</f>
        <v/>
      </c>
      <c r="B111" s="20"/>
      <c r="C111" s="21"/>
      <c r="D111" s="21"/>
      <c r="E111" s="22"/>
      <c r="F111" s="22"/>
      <c r="G111" s="21"/>
      <c r="H111" s="21"/>
      <c r="I111" s="9" t="str">
        <f aca="false">IF(C111="","",IFERROR(INDEX(CLIENTES!$B$6:$B$305,MATCH(C111,CLIENTES!$A$6:$A$305,0)),"⚠ ID no registrado"))</f>
        <v/>
      </c>
      <c r="J111" s="9" t="str">
        <f aca="false">IF(C111="","",IFERROR(INDEX(CLIENTES!$Z$6:$Z$305,MATCH(C111,CLIENTES!$A$6:$A$305,0)),""))</f>
        <v/>
      </c>
      <c r="K111" s="9" t="str">
        <f aca="false">IF(E111="","",IF(AB111="Siempre","Sí",IF(ISNUMBER(AC111),IF(E111&gt;=AC111,"Sí",IF(AW111&gt;=AC111,"Sí (serie 24 h)","No")),"")))</f>
        <v/>
      </c>
      <c r="L111" s="9" t="str">
        <f aca="false">IF(E111="","",AA111)</f>
        <v/>
      </c>
      <c r="M111" s="9" t="str">
        <f aca="false">IF(E111="","",IF(AA111&lt;&gt;"ACUMULA","No aplica",IF(LEFT(K111,2)="Sí","Sí","No")))</f>
        <v/>
      </c>
      <c r="N111" s="23" t="str">
        <f aca="false">IF(M111="Sí",AJ111,"")</f>
        <v/>
      </c>
      <c r="O111" s="24" t="str">
        <f aca="false">IF(M111="Sí",AK111,"")</f>
        <v/>
      </c>
      <c r="P111" s="25" t="str">
        <f aca="false">IF(AND(LEFT(D111,6)="XIV - ",LEFT(AX111,5)="AVISO"),"Pedimento (R 16): no va al SPPLD",AX111)</f>
        <v/>
      </c>
      <c r="Q111" s="23" t="str">
        <f aca="false">IF(LEFT(P111,5)="AVISO",IF(ISNUMBER(B111),DATE(YEAR(B111),MONTH(B111)+1,17),"Falta fecha"),"")</f>
        <v/>
      </c>
      <c r="R111" s="9" t="str">
        <f aca="false">IF(OR(F111="",F111=0),"",IF(ISNUMBER(AG111),IF(F111&gt;=AG111,"PROHIBIDO","Dentro del límite"),"No aplica"))</f>
        <v/>
      </c>
      <c r="S111" s="26" t="str">
        <f aca="false">IF(E111="","",MID(IF(AQ111=1," · Excede el perfil declarado","")&amp;IF(H111="Sí"," · Paga un tercero","")&amp;IF(J111="Alto"," · Cliente de riesgo alto: DDR (RCG 23 Ter 3 y 4)","")&amp;IF(AND(AS111&lt;&gt;"",AS111&lt;&gt;"No",AS111&lt;&gt;0)," · PEP","")&amp;IF(R111="PROHIBIDO"," · Efectivo prohibido: no lo recibas (Art. 32)","")&amp;IF(AR111=1," · ⚠ Fecha fuera de orden","")&amp;IF(LEFT(I111,1)="⚠"," · ⚠ Cliente no registrado","")&amp;IF(D111=""," · ⚠ Falta la actividad","")&amp;IF(AND(LEFT(P111,5)="AVISO",W111="")," · Captura la cifra total con IVA para el Aviso","")&amp;IF(AND(ISNUMBER(W111),W111&lt;E111)," · ⚠ La cifra con IVA es menor que el monto sin IVA",""),4,400))</f>
        <v/>
      </c>
      <c r="T111" s="21"/>
      <c r="U111" s="20"/>
      <c r="V111" s="9" t="str">
        <f aca="false">IF(LEFT(P111,5)&lt;&gt;"AVISO","",IF(T111="Presentado",IF(AND(ISNUMBER(U111),ISNUMBER(Q111),U111&gt;Q111),"Presentado tarde","Presentado"),IF(NOT(ISNUMBER(Q111)),"Falta fecha",IF(Q111&lt;CONFIG!$B$6,"VENCIDO","Vence en "&amp;(Q111-CONFIG!$B$6)&amp;" días"))))</f>
        <v/>
      </c>
      <c r="W111" s="22"/>
      <c r="X111" s="21"/>
      <c r="AA111" s="0" t="str">
        <f aca="false">IF(AM111="","",INDEX(CATÁLOGO!$D$5:$D$39,AM111))</f>
        <v/>
      </c>
      <c r="AB111" s="0" t="str">
        <f aca="false">IF(AM111="","",INDEX(CATÁLOGO!$E$5:$E$39,AM111))</f>
        <v/>
      </c>
      <c r="AC111" s="0" t="str">
        <f aca="false">IF(AB111="","",IF(ISNUMBER(AB111),AB111*AV111,AB111))</f>
        <v/>
      </c>
      <c r="AD111" s="0" t="str">
        <f aca="false">IF(AM111="","",INDEX(CATÁLOGO!$F$5:$F$39,AM111))</f>
        <v/>
      </c>
      <c r="AE111" s="0" t="str">
        <f aca="false">IF(AD111="","",IF(ISNUMBER(AD111),AD111*AV111,AD111))</f>
        <v/>
      </c>
      <c r="AF111" s="0" t="str">
        <f aca="false">IF(AM111="","",INDEX(CATÁLOGO!$G$5:$G$39,AM111))</f>
        <v/>
      </c>
      <c r="AG111" s="0" t="str">
        <f aca="false">IF(AF111="","",IF(ISNUMBER(AF111),AF111*AV111,AF111))</f>
        <v/>
      </c>
      <c r="AH111" s="0" t="str">
        <f aca="false">IF(E111="","",C111&amp;"|"&amp;D111)</f>
        <v/>
      </c>
      <c r="AI111" s="27" t="n">
        <f aca="false">IF(M111&lt;&gt;"Sí",0,SUMPRODUCT(MAX(($AH$5:AH110=AH111)*($M$5:M110="Sí")*ROW($AH$5:AH110))))</f>
        <v>0</v>
      </c>
      <c r="AJ111" s="0" t="str">
        <f aca="false">IF(M111&lt;&gt;"Sí","",IF(AL111=1,B111,INDEX($AJ:$AJ,AI111)))</f>
        <v/>
      </c>
      <c r="AK111" s="0" t="str">
        <f aca="false">IF(M111&lt;&gt;"Sí","",IF(AL111=1,E111,INDEX($AK:$AK,AI111)+E111))</f>
        <v/>
      </c>
      <c r="AL111" s="0" t="str">
        <f aca="false">IF(M111&lt;&gt;"Sí","",IF(AI111=0,1,IF(INDEX($AN:$AN,AI111)=0,1,IF(B111&gt;=EDATE(INDEX($AJ:$AJ,AI111),6),1,0))))</f>
        <v/>
      </c>
      <c r="AM111" s="0" t="str">
        <f aca="false">IF(D111="","",IFERROR(MATCH(D111,CATÁLOGO!$C$5:$C$39,0),""))</f>
        <v/>
      </c>
      <c r="AN111" s="0" t="str">
        <f aca="false">IF(M111&lt;&gt;"Sí","",IF(AND(ISNUMBER(AE111),AK111&gt;=AE111),0,1))</f>
        <v/>
      </c>
      <c r="AO111" s="0" t="str">
        <f aca="false">IF(OR(E111="",C111="",NOT(ISNUMBER(B111))),"",SUMIFS($E$6:$E$505,$C$6:$C$505,C111,$B$6:$B$505,"&gt;="&amp;DATE(YEAR(B111),MONTH(B111),1),$B$6:$B$505,"&lt;"&amp;DATE(YEAR(B111),MONTH(B111)+1,1)))</f>
        <v/>
      </c>
      <c r="AP111" s="0" t="str">
        <f aca="false">IF(C111="","",IFERROR(INDEX(CLIENTES!$M$6:$M$305,MATCH(C111,CLIENTES!$A$6:$A$305,0)),""))</f>
        <v/>
      </c>
      <c r="AQ111" s="27" t="n">
        <f aca="false">IF(AND(ISNUMBER(AO111),ISNUMBER(AP111)),IF(AND(AP111&gt;0,AO111&gt;AP111),1,0),0)</f>
        <v>0</v>
      </c>
      <c r="AR111" s="27" t="n">
        <f aca="false">IF(NOT(ISNUMBER(B111)),0,IF(B111&lt;MAX($B$5:B110),1,0))</f>
        <v>0</v>
      </c>
      <c r="AS111" s="0" t="str">
        <f aca="false">IF(C111="","",IFERROR(INDEX(CLIENTES!$H$6:$H$305,MATCH(C111,CLIENTES!$A$6:$A$305,0)),""))</f>
        <v/>
      </c>
      <c r="AT111" s="0" t="str">
        <f aca="false">IF(AND(LEFT(P111,5)="AVISO",T111&lt;&gt;"Presentado",ISNUMBER(Q111)),Q111,"")</f>
        <v/>
      </c>
      <c r="AU111" s="27" t="n">
        <f aca="false">IF(AND(D111="XVI - Activos virtuales (PSAV): operación de intercambio/transferencia",M111="Sí",ISNUMBER(AE111)),IF(AK111&gt;=AE111,1,0),0)</f>
        <v>0</v>
      </c>
      <c r="AV111" s="30" t="n">
        <f aca="false">IF(NOT(ISNUMBER(B111)),CONFIG!$B$4,IFERROR(INDEX(CONFIG!$I$5:$I$14,MATCH(IF(MONTH(B111)=1,YEAR(B111)-1,YEAR(B111)),CONFIG!$H$5:$H$14,0)),CONFIG!$B$4))</f>
        <v>117.31</v>
      </c>
      <c r="AW111" s="27" t="n">
        <f aca="false">IF(AND(LEFT(D111,4)="I - ",ISNUMBER(B111),C111&lt;&gt;""),SUMIFS($E$6:$E$505,$C$6:$C$505,C111,$D$6:$D$505,D111,$B$6:$B$505,"&gt;"&amp;(B111-1),$B$6:$B$505,"&lt;="&amp;B111),0)</f>
        <v>0</v>
      </c>
      <c r="AX111" s="0" t="str">
        <f aca="false">IF(E111="","",IF(AD111="Siempre","AVISO (siempre)",IF(AD111="No aplica","Sin Aviso (sólo preparas: Ley 17 XI)",IF(NOT(ISNUMBER(AE111)),"",IF(AA111&lt;&gt;"ACUMULA",IF(E111&gt;=AE111,IF(AND(D111="XVI - Activos virtuales (PSAV): cobro de contraprestación (comisión) por el servicio",COUNTIFS($C$6:$C$505,C111,$B$6:$B$505,"&gt;="&amp;INT(B111),$B$6:$B$505,"&lt;"&amp;(INT(B111)+1),$AU$6:$AU$505,1)&gt;0),"En el Aviso del inciso a) (R 31 Bis)","AVISO"),"—"),IF(M111&lt;&gt;"Sí","—",IF(AK111&gt;=AE111,IF(AK111=E111,"AVISO","AVISO (acumulado)"),"Acumulando")))))))</f>
        <v/>
      </c>
    </row>
    <row r="112" customFormat="false" ht="15" hidden="false" customHeight="false" outlineLevel="0" collapsed="false">
      <c r="A112" s="9" t="str">
        <f aca="false">IF(E112="","",ROW()-5)</f>
        <v/>
      </c>
      <c r="B112" s="20"/>
      <c r="C112" s="21"/>
      <c r="D112" s="21"/>
      <c r="E112" s="22"/>
      <c r="F112" s="22"/>
      <c r="G112" s="21"/>
      <c r="H112" s="21"/>
      <c r="I112" s="9" t="str">
        <f aca="false">IF(C112="","",IFERROR(INDEX(CLIENTES!$B$6:$B$305,MATCH(C112,CLIENTES!$A$6:$A$305,0)),"⚠ ID no registrado"))</f>
        <v/>
      </c>
      <c r="J112" s="9" t="str">
        <f aca="false">IF(C112="","",IFERROR(INDEX(CLIENTES!$Z$6:$Z$305,MATCH(C112,CLIENTES!$A$6:$A$305,0)),""))</f>
        <v/>
      </c>
      <c r="K112" s="9" t="str">
        <f aca="false">IF(E112="","",IF(AB112="Siempre","Sí",IF(ISNUMBER(AC112),IF(E112&gt;=AC112,"Sí",IF(AW112&gt;=AC112,"Sí (serie 24 h)","No")),"")))</f>
        <v/>
      </c>
      <c r="L112" s="9" t="str">
        <f aca="false">IF(E112="","",AA112)</f>
        <v/>
      </c>
      <c r="M112" s="9" t="str">
        <f aca="false">IF(E112="","",IF(AA112&lt;&gt;"ACUMULA","No aplica",IF(LEFT(K112,2)="Sí","Sí","No")))</f>
        <v/>
      </c>
      <c r="N112" s="23" t="str">
        <f aca="false">IF(M112="Sí",AJ112,"")</f>
        <v/>
      </c>
      <c r="O112" s="24" t="str">
        <f aca="false">IF(M112="Sí",AK112,"")</f>
        <v/>
      </c>
      <c r="P112" s="25" t="str">
        <f aca="false">IF(AND(LEFT(D112,6)="XIV - ",LEFT(AX112,5)="AVISO"),"Pedimento (R 16): no va al SPPLD",AX112)</f>
        <v/>
      </c>
      <c r="Q112" s="23" t="str">
        <f aca="false">IF(LEFT(P112,5)="AVISO",IF(ISNUMBER(B112),DATE(YEAR(B112),MONTH(B112)+1,17),"Falta fecha"),"")</f>
        <v/>
      </c>
      <c r="R112" s="9" t="str">
        <f aca="false">IF(OR(F112="",F112=0),"",IF(ISNUMBER(AG112),IF(F112&gt;=AG112,"PROHIBIDO","Dentro del límite"),"No aplica"))</f>
        <v/>
      </c>
      <c r="S112" s="26" t="str">
        <f aca="false">IF(E112="","",MID(IF(AQ112=1," · Excede el perfil declarado","")&amp;IF(H112="Sí"," · Paga un tercero","")&amp;IF(J112="Alto"," · Cliente de riesgo alto: DDR (RCG 23 Ter 3 y 4)","")&amp;IF(AND(AS112&lt;&gt;"",AS112&lt;&gt;"No",AS112&lt;&gt;0)," · PEP","")&amp;IF(R112="PROHIBIDO"," · Efectivo prohibido: no lo recibas (Art. 32)","")&amp;IF(AR112=1," · ⚠ Fecha fuera de orden","")&amp;IF(LEFT(I112,1)="⚠"," · ⚠ Cliente no registrado","")&amp;IF(D112=""," · ⚠ Falta la actividad","")&amp;IF(AND(LEFT(P112,5)="AVISO",W112="")," · Captura la cifra total con IVA para el Aviso","")&amp;IF(AND(ISNUMBER(W112),W112&lt;E112)," · ⚠ La cifra con IVA es menor que el monto sin IVA",""),4,400))</f>
        <v/>
      </c>
      <c r="T112" s="21"/>
      <c r="U112" s="20"/>
      <c r="V112" s="9" t="str">
        <f aca="false">IF(LEFT(P112,5)&lt;&gt;"AVISO","",IF(T112="Presentado",IF(AND(ISNUMBER(U112),ISNUMBER(Q112),U112&gt;Q112),"Presentado tarde","Presentado"),IF(NOT(ISNUMBER(Q112)),"Falta fecha",IF(Q112&lt;CONFIG!$B$6,"VENCIDO","Vence en "&amp;(Q112-CONFIG!$B$6)&amp;" días"))))</f>
        <v/>
      </c>
      <c r="W112" s="22"/>
      <c r="X112" s="21"/>
      <c r="AA112" s="0" t="str">
        <f aca="false">IF(AM112="","",INDEX(CATÁLOGO!$D$5:$D$39,AM112))</f>
        <v/>
      </c>
      <c r="AB112" s="0" t="str">
        <f aca="false">IF(AM112="","",INDEX(CATÁLOGO!$E$5:$E$39,AM112))</f>
        <v/>
      </c>
      <c r="AC112" s="0" t="str">
        <f aca="false">IF(AB112="","",IF(ISNUMBER(AB112),AB112*AV112,AB112))</f>
        <v/>
      </c>
      <c r="AD112" s="0" t="str">
        <f aca="false">IF(AM112="","",INDEX(CATÁLOGO!$F$5:$F$39,AM112))</f>
        <v/>
      </c>
      <c r="AE112" s="0" t="str">
        <f aca="false">IF(AD112="","",IF(ISNUMBER(AD112),AD112*AV112,AD112))</f>
        <v/>
      </c>
      <c r="AF112" s="0" t="str">
        <f aca="false">IF(AM112="","",INDEX(CATÁLOGO!$G$5:$G$39,AM112))</f>
        <v/>
      </c>
      <c r="AG112" s="0" t="str">
        <f aca="false">IF(AF112="","",IF(ISNUMBER(AF112),AF112*AV112,AF112))</f>
        <v/>
      </c>
      <c r="AH112" s="0" t="str">
        <f aca="false">IF(E112="","",C112&amp;"|"&amp;D112)</f>
        <v/>
      </c>
      <c r="AI112" s="27" t="n">
        <f aca="false">IF(M112&lt;&gt;"Sí",0,SUMPRODUCT(MAX(($AH$5:AH111=AH112)*($M$5:M111="Sí")*ROW($AH$5:AH111))))</f>
        <v>0</v>
      </c>
      <c r="AJ112" s="0" t="str">
        <f aca="false">IF(M112&lt;&gt;"Sí","",IF(AL112=1,B112,INDEX($AJ:$AJ,AI112)))</f>
        <v/>
      </c>
      <c r="AK112" s="0" t="str">
        <f aca="false">IF(M112&lt;&gt;"Sí","",IF(AL112=1,E112,INDEX($AK:$AK,AI112)+E112))</f>
        <v/>
      </c>
      <c r="AL112" s="0" t="str">
        <f aca="false">IF(M112&lt;&gt;"Sí","",IF(AI112=0,1,IF(INDEX($AN:$AN,AI112)=0,1,IF(B112&gt;=EDATE(INDEX($AJ:$AJ,AI112),6),1,0))))</f>
        <v/>
      </c>
      <c r="AM112" s="0" t="str">
        <f aca="false">IF(D112="","",IFERROR(MATCH(D112,CATÁLOGO!$C$5:$C$39,0),""))</f>
        <v/>
      </c>
      <c r="AN112" s="0" t="str">
        <f aca="false">IF(M112&lt;&gt;"Sí","",IF(AND(ISNUMBER(AE112),AK112&gt;=AE112),0,1))</f>
        <v/>
      </c>
      <c r="AO112" s="0" t="str">
        <f aca="false">IF(OR(E112="",C112="",NOT(ISNUMBER(B112))),"",SUMIFS($E$6:$E$505,$C$6:$C$505,C112,$B$6:$B$505,"&gt;="&amp;DATE(YEAR(B112),MONTH(B112),1),$B$6:$B$505,"&lt;"&amp;DATE(YEAR(B112),MONTH(B112)+1,1)))</f>
        <v/>
      </c>
      <c r="AP112" s="0" t="str">
        <f aca="false">IF(C112="","",IFERROR(INDEX(CLIENTES!$M$6:$M$305,MATCH(C112,CLIENTES!$A$6:$A$305,0)),""))</f>
        <v/>
      </c>
      <c r="AQ112" s="27" t="n">
        <f aca="false">IF(AND(ISNUMBER(AO112),ISNUMBER(AP112)),IF(AND(AP112&gt;0,AO112&gt;AP112),1,0),0)</f>
        <v>0</v>
      </c>
      <c r="AR112" s="27" t="n">
        <f aca="false">IF(NOT(ISNUMBER(B112)),0,IF(B112&lt;MAX($B$5:B111),1,0))</f>
        <v>0</v>
      </c>
      <c r="AS112" s="0" t="str">
        <f aca="false">IF(C112="","",IFERROR(INDEX(CLIENTES!$H$6:$H$305,MATCH(C112,CLIENTES!$A$6:$A$305,0)),""))</f>
        <v/>
      </c>
      <c r="AT112" s="0" t="str">
        <f aca="false">IF(AND(LEFT(P112,5)="AVISO",T112&lt;&gt;"Presentado",ISNUMBER(Q112)),Q112,"")</f>
        <v/>
      </c>
      <c r="AU112" s="27" t="n">
        <f aca="false">IF(AND(D112="XVI - Activos virtuales (PSAV): operación de intercambio/transferencia",M112="Sí",ISNUMBER(AE112)),IF(AK112&gt;=AE112,1,0),0)</f>
        <v>0</v>
      </c>
      <c r="AV112" s="30" t="n">
        <f aca="false">IF(NOT(ISNUMBER(B112)),CONFIG!$B$4,IFERROR(INDEX(CONFIG!$I$5:$I$14,MATCH(IF(MONTH(B112)=1,YEAR(B112)-1,YEAR(B112)),CONFIG!$H$5:$H$14,0)),CONFIG!$B$4))</f>
        <v>117.31</v>
      </c>
      <c r="AW112" s="27" t="n">
        <f aca="false">IF(AND(LEFT(D112,4)="I - ",ISNUMBER(B112),C112&lt;&gt;""),SUMIFS($E$6:$E$505,$C$6:$C$505,C112,$D$6:$D$505,D112,$B$6:$B$505,"&gt;"&amp;(B112-1),$B$6:$B$505,"&lt;="&amp;B112),0)</f>
        <v>0</v>
      </c>
      <c r="AX112" s="0" t="str">
        <f aca="false">IF(E112="","",IF(AD112="Siempre","AVISO (siempre)",IF(AD112="No aplica","Sin Aviso (sólo preparas: Ley 17 XI)",IF(NOT(ISNUMBER(AE112)),"",IF(AA112&lt;&gt;"ACUMULA",IF(E112&gt;=AE112,IF(AND(D112="XVI - Activos virtuales (PSAV): cobro de contraprestación (comisión) por el servicio",COUNTIFS($C$6:$C$505,C112,$B$6:$B$505,"&gt;="&amp;INT(B112),$B$6:$B$505,"&lt;"&amp;(INT(B112)+1),$AU$6:$AU$505,1)&gt;0),"En el Aviso del inciso a) (R 31 Bis)","AVISO"),"—"),IF(M112&lt;&gt;"Sí","—",IF(AK112&gt;=AE112,IF(AK112=E112,"AVISO","AVISO (acumulado)"),"Acumulando")))))))</f>
        <v/>
      </c>
    </row>
    <row r="113" customFormat="false" ht="15" hidden="false" customHeight="false" outlineLevel="0" collapsed="false">
      <c r="A113" s="9" t="str">
        <f aca="false">IF(E113="","",ROW()-5)</f>
        <v/>
      </c>
      <c r="B113" s="20"/>
      <c r="C113" s="21"/>
      <c r="D113" s="21"/>
      <c r="E113" s="22"/>
      <c r="F113" s="22"/>
      <c r="G113" s="21"/>
      <c r="H113" s="21"/>
      <c r="I113" s="9" t="str">
        <f aca="false">IF(C113="","",IFERROR(INDEX(CLIENTES!$B$6:$B$305,MATCH(C113,CLIENTES!$A$6:$A$305,0)),"⚠ ID no registrado"))</f>
        <v/>
      </c>
      <c r="J113" s="9" t="str">
        <f aca="false">IF(C113="","",IFERROR(INDEX(CLIENTES!$Z$6:$Z$305,MATCH(C113,CLIENTES!$A$6:$A$305,0)),""))</f>
        <v/>
      </c>
      <c r="K113" s="9" t="str">
        <f aca="false">IF(E113="","",IF(AB113="Siempre","Sí",IF(ISNUMBER(AC113),IF(E113&gt;=AC113,"Sí",IF(AW113&gt;=AC113,"Sí (serie 24 h)","No")),"")))</f>
        <v/>
      </c>
      <c r="L113" s="9" t="str">
        <f aca="false">IF(E113="","",AA113)</f>
        <v/>
      </c>
      <c r="M113" s="9" t="str">
        <f aca="false">IF(E113="","",IF(AA113&lt;&gt;"ACUMULA","No aplica",IF(LEFT(K113,2)="Sí","Sí","No")))</f>
        <v/>
      </c>
      <c r="N113" s="23" t="str">
        <f aca="false">IF(M113="Sí",AJ113,"")</f>
        <v/>
      </c>
      <c r="O113" s="24" t="str">
        <f aca="false">IF(M113="Sí",AK113,"")</f>
        <v/>
      </c>
      <c r="P113" s="25" t="str">
        <f aca="false">IF(AND(LEFT(D113,6)="XIV - ",LEFT(AX113,5)="AVISO"),"Pedimento (R 16): no va al SPPLD",AX113)</f>
        <v/>
      </c>
      <c r="Q113" s="23" t="str">
        <f aca="false">IF(LEFT(P113,5)="AVISO",IF(ISNUMBER(B113),DATE(YEAR(B113),MONTH(B113)+1,17),"Falta fecha"),"")</f>
        <v/>
      </c>
      <c r="R113" s="9" t="str">
        <f aca="false">IF(OR(F113="",F113=0),"",IF(ISNUMBER(AG113),IF(F113&gt;=AG113,"PROHIBIDO","Dentro del límite"),"No aplica"))</f>
        <v/>
      </c>
      <c r="S113" s="26" t="str">
        <f aca="false">IF(E113="","",MID(IF(AQ113=1," · Excede el perfil declarado","")&amp;IF(H113="Sí"," · Paga un tercero","")&amp;IF(J113="Alto"," · Cliente de riesgo alto: DDR (RCG 23 Ter 3 y 4)","")&amp;IF(AND(AS113&lt;&gt;"",AS113&lt;&gt;"No",AS113&lt;&gt;0)," · PEP","")&amp;IF(R113="PROHIBIDO"," · Efectivo prohibido: no lo recibas (Art. 32)","")&amp;IF(AR113=1," · ⚠ Fecha fuera de orden","")&amp;IF(LEFT(I113,1)="⚠"," · ⚠ Cliente no registrado","")&amp;IF(D113=""," · ⚠ Falta la actividad","")&amp;IF(AND(LEFT(P113,5)="AVISO",W113="")," · Captura la cifra total con IVA para el Aviso","")&amp;IF(AND(ISNUMBER(W113),W113&lt;E113)," · ⚠ La cifra con IVA es menor que el monto sin IVA",""),4,400))</f>
        <v/>
      </c>
      <c r="T113" s="21"/>
      <c r="U113" s="20"/>
      <c r="V113" s="9" t="str">
        <f aca="false">IF(LEFT(P113,5)&lt;&gt;"AVISO","",IF(T113="Presentado",IF(AND(ISNUMBER(U113),ISNUMBER(Q113),U113&gt;Q113),"Presentado tarde","Presentado"),IF(NOT(ISNUMBER(Q113)),"Falta fecha",IF(Q113&lt;CONFIG!$B$6,"VENCIDO","Vence en "&amp;(Q113-CONFIG!$B$6)&amp;" días"))))</f>
        <v/>
      </c>
      <c r="W113" s="22"/>
      <c r="X113" s="21"/>
      <c r="AA113" s="0" t="str">
        <f aca="false">IF(AM113="","",INDEX(CATÁLOGO!$D$5:$D$39,AM113))</f>
        <v/>
      </c>
      <c r="AB113" s="0" t="str">
        <f aca="false">IF(AM113="","",INDEX(CATÁLOGO!$E$5:$E$39,AM113))</f>
        <v/>
      </c>
      <c r="AC113" s="0" t="str">
        <f aca="false">IF(AB113="","",IF(ISNUMBER(AB113),AB113*AV113,AB113))</f>
        <v/>
      </c>
      <c r="AD113" s="0" t="str">
        <f aca="false">IF(AM113="","",INDEX(CATÁLOGO!$F$5:$F$39,AM113))</f>
        <v/>
      </c>
      <c r="AE113" s="0" t="str">
        <f aca="false">IF(AD113="","",IF(ISNUMBER(AD113),AD113*AV113,AD113))</f>
        <v/>
      </c>
      <c r="AF113" s="0" t="str">
        <f aca="false">IF(AM113="","",INDEX(CATÁLOGO!$G$5:$G$39,AM113))</f>
        <v/>
      </c>
      <c r="AG113" s="0" t="str">
        <f aca="false">IF(AF113="","",IF(ISNUMBER(AF113),AF113*AV113,AF113))</f>
        <v/>
      </c>
      <c r="AH113" s="0" t="str">
        <f aca="false">IF(E113="","",C113&amp;"|"&amp;D113)</f>
        <v/>
      </c>
      <c r="AI113" s="27" t="n">
        <f aca="false">IF(M113&lt;&gt;"Sí",0,SUMPRODUCT(MAX(($AH$5:AH112=AH113)*($M$5:M112="Sí")*ROW($AH$5:AH112))))</f>
        <v>0</v>
      </c>
      <c r="AJ113" s="0" t="str">
        <f aca="false">IF(M113&lt;&gt;"Sí","",IF(AL113=1,B113,INDEX($AJ:$AJ,AI113)))</f>
        <v/>
      </c>
      <c r="AK113" s="0" t="str">
        <f aca="false">IF(M113&lt;&gt;"Sí","",IF(AL113=1,E113,INDEX($AK:$AK,AI113)+E113))</f>
        <v/>
      </c>
      <c r="AL113" s="0" t="str">
        <f aca="false">IF(M113&lt;&gt;"Sí","",IF(AI113=0,1,IF(INDEX($AN:$AN,AI113)=0,1,IF(B113&gt;=EDATE(INDEX($AJ:$AJ,AI113),6),1,0))))</f>
        <v/>
      </c>
      <c r="AM113" s="0" t="str">
        <f aca="false">IF(D113="","",IFERROR(MATCH(D113,CATÁLOGO!$C$5:$C$39,0),""))</f>
        <v/>
      </c>
      <c r="AN113" s="0" t="str">
        <f aca="false">IF(M113&lt;&gt;"Sí","",IF(AND(ISNUMBER(AE113),AK113&gt;=AE113),0,1))</f>
        <v/>
      </c>
      <c r="AO113" s="0" t="str">
        <f aca="false">IF(OR(E113="",C113="",NOT(ISNUMBER(B113))),"",SUMIFS($E$6:$E$505,$C$6:$C$505,C113,$B$6:$B$505,"&gt;="&amp;DATE(YEAR(B113),MONTH(B113),1),$B$6:$B$505,"&lt;"&amp;DATE(YEAR(B113),MONTH(B113)+1,1)))</f>
        <v/>
      </c>
      <c r="AP113" s="0" t="str">
        <f aca="false">IF(C113="","",IFERROR(INDEX(CLIENTES!$M$6:$M$305,MATCH(C113,CLIENTES!$A$6:$A$305,0)),""))</f>
        <v/>
      </c>
      <c r="AQ113" s="27" t="n">
        <f aca="false">IF(AND(ISNUMBER(AO113),ISNUMBER(AP113)),IF(AND(AP113&gt;0,AO113&gt;AP113),1,0),0)</f>
        <v>0</v>
      </c>
      <c r="AR113" s="27" t="n">
        <f aca="false">IF(NOT(ISNUMBER(B113)),0,IF(B113&lt;MAX($B$5:B112),1,0))</f>
        <v>0</v>
      </c>
      <c r="AS113" s="0" t="str">
        <f aca="false">IF(C113="","",IFERROR(INDEX(CLIENTES!$H$6:$H$305,MATCH(C113,CLIENTES!$A$6:$A$305,0)),""))</f>
        <v/>
      </c>
      <c r="AT113" s="0" t="str">
        <f aca="false">IF(AND(LEFT(P113,5)="AVISO",T113&lt;&gt;"Presentado",ISNUMBER(Q113)),Q113,"")</f>
        <v/>
      </c>
      <c r="AU113" s="27" t="n">
        <f aca="false">IF(AND(D113="XVI - Activos virtuales (PSAV): operación de intercambio/transferencia",M113="Sí",ISNUMBER(AE113)),IF(AK113&gt;=AE113,1,0),0)</f>
        <v>0</v>
      </c>
      <c r="AV113" s="30" t="n">
        <f aca="false">IF(NOT(ISNUMBER(B113)),CONFIG!$B$4,IFERROR(INDEX(CONFIG!$I$5:$I$14,MATCH(IF(MONTH(B113)=1,YEAR(B113)-1,YEAR(B113)),CONFIG!$H$5:$H$14,0)),CONFIG!$B$4))</f>
        <v>117.31</v>
      </c>
      <c r="AW113" s="27" t="n">
        <f aca="false">IF(AND(LEFT(D113,4)="I - ",ISNUMBER(B113),C113&lt;&gt;""),SUMIFS($E$6:$E$505,$C$6:$C$505,C113,$D$6:$D$505,D113,$B$6:$B$505,"&gt;"&amp;(B113-1),$B$6:$B$505,"&lt;="&amp;B113),0)</f>
        <v>0</v>
      </c>
      <c r="AX113" s="0" t="str">
        <f aca="false">IF(E113="","",IF(AD113="Siempre","AVISO (siempre)",IF(AD113="No aplica","Sin Aviso (sólo preparas: Ley 17 XI)",IF(NOT(ISNUMBER(AE113)),"",IF(AA113&lt;&gt;"ACUMULA",IF(E113&gt;=AE113,IF(AND(D113="XVI - Activos virtuales (PSAV): cobro de contraprestación (comisión) por el servicio",COUNTIFS($C$6:$C$505,C113,$B$6:$B$505,"&gt;="&amp;INT(B113),$B$6:$B$505,"&lt;"&amp;(INT(B113)+1),$AU$6:$AU$505,1)&gt;0),"En el Aviso del inciso a) (R 31 Bis)","AVISO"),"—"),IF(M113&lt;&gt;"Sí","—",IF(AK113&gt;=AE113,IF(AK113=E113,"AVISO","AVISO (acumulado)"),"Acumulando")))))))</f>
        <v/>
      </c>
    </row>
    <row r="114" customFormat="false" ht="15" hidden="false" customHeight="false" outlineLevel="0" collapsed="false">
      <c r="A114" s="9" t="str">
        <f aca="false">IF(E114="","",ROW()-5)</f>
        <v/>
      </c>
      <c r="B114" s="20"/>
      <c r="C114" s="21"/>
      <c r="D114" s="21"/>
      <c r="E114" s="22"/>
      <c r="F114" s="22"/>
      <c r="G114" s="21"/>
      <c r="H114" s="21"/>
      <c r="I114" s="9" t="str">
        <f aca="false">IF(C114="","",IFERROR(INDEX(CLIENTES!$B$6:$B$305,MATCH(C114,CLIENTES!$A$6:$A$305,0)),"⚠ ID no registrado"))</f>
        <v/>
      </c>
      <c r="J114" s="9" t="str">
        <f aca="false">IF(C114="","",IFERROR(INDEX(CLIENTES!$Z$6:$Z$305,MATCH(C114,CLIENTES!$A$6:$A$305,0)),""))</f>
        <v/>
      </c>
      <c r="K114" s="9" t="str">
        <f aca="false">IF(E114="","",IF(AB114="Siempre","Sí",IF(ISNUMBER(AC114),IF(E114&gt;=AC114,"Sí",IF(AW114&gt;=AC114,"Sí (serie 24 h)","No")),"")))</f>
        <v/>
      </c>
      <c r="L114" s="9" t="str">
        <f aca="false">IF(E114="","",AA114)</f>
        <v/>
      </c>
      <c r="M114" s="9" t="str">
        <f aca="false">IF(E114="","",IF(AA114&lt;&gt;"ACUMULA","No aplica",IF(LEFT(K114,2)="Sí","Sí","No")))</f>
        <v/>
      </c>
      <c r="N114" s="23" t="str">
        <f aca="false">IF(M114="Sí",AJ114,"")</f>
        <v/>
      </c>
      <c r="O114" s="24" t="str">
        <f aca="false">IF(M114="Sí",AK114,"")</f>
        <v/>
      </c>
      <c r="P114" s="25" t="str">
        <f aca="false">IF(AND(LEFT(D114,6)="XIV - ",LEFT(AX114,5)="AVISO"),"Pedimento (R 16): no va al SPPLD",AX114)</f>
        <v/>
      </c>
      <c r="Q114" s="23" t="str">
        <f aca="false">IF(LEFT(P114,5)="AVISO",IF(ISNUMBER(B114),DATE(YEAR(B114),MONTH(B114)+1,17),"Falta fecha"),"")</f>
        <v/>
      </c>
      <c r="R114" s="9" t="str">
        <f aca="false">IF(OR(F114="",F114=0),"",IF(ISNUMBER(AG114),IF(F114&gt;=AG114,"PROHIBIDO","Dentro del límite"),"No aplica"))</f>
        <v/>
      </c>
      <c r="S114" s="26" t="str">
        <f aca="false">IF(E114="","",MID(IF(AQ114=1," · Excede el perfil declarado","")&amp;IF(H114="Sí"," · Paga un tercero","")&amp;IF(J114="Alto"," · Cliente de riesgo alto: DDR (RCG 23 Ter 3 y 4)","")&amp;IF(AND(AS114&lt;&gt;"",AS114&lt;&gt;"No",AS114&lt;&gt;0)," · PEP","")&amp;IF(R114="PROHIBIDO"," · Efectivo prohibido: no lo recibas (Art. 32)","")&amp;IF(AR114=1," · ⚠ Fecha fuera de orden","")&amp;IF(LEFT(I114,1)="⚠"," · ⚠ Cliente no registrado","")&amp;IF(D114=""," · ⚠ Falta la actividad","")&amp;IF(AND(LEFT(P114,5)="AVISO",W114="")," · Captura la cifra total con IVA para el Aviso","")&amp;IF(AND(ISNUMBER(W114),W114&lt;E114)," · ⚠ La cifra con IVA es menor que el monto sin IVA",""),4,400))</f>
        <v/>
      </c>
      <c r="T114" s="21"/>
      <c r="U114" s="20"/>
      <c r="V114" s="9" t="str">
        <f aca="false">IF(LEFT(P114,5)&lt;&gt;"AVISO","",IF(T114="Presentado",IF(AND(ISNUMBER(U114),ISNUMBER(Q114),U114&gt;Q114),"Presentado tarde","Presentado"),IF(NOT(ISNUMBER(Q114)),"Falta fecha",IF(Q114&lt;CONFIG!$B$6,"VENCIDO","Vence en "&amp;(Q114-CONFIG!$B$6)&amp;" días"))))</f>
        <v/>
      </c>
      <c r="W114" s="22"/>
      <c r="X114" s="21"/>
      <c r="AA114" s="0" t="str">
        <f aca="false">IF(AM114="","",INDEX(CATÁLOGO!$D$5:$D$39,AM114))</f>
        <v/>
      </c>
      <c r="AB114" s="0" t="str">
        <f aca="false">IF(AM114="","",INDEX(CATÁLOGO!$E$5:$E$39,AM114))</f>
        <v/>
      </c>
      <c r="AC114" s="0" t="str">
        <f aca="false">IF(AB114="","",IF(ISNUMBER(AB114),AB114*AV114,AB114))</f>
        <v/>
      </c>
      <c r="AD114" s="0" t="str">
        <f aca="false">IF(AM114="","",INDEX(CATÁLOGO!$F$5:$F$39,AM114))</f>
        <v/>
      </c>
      <c r="AE114" s="0" t="str">
        <f aca="false">IF(AD114="","",IF(ISNUMBER(AD114),AD114*AV114,AD114))</f>
        <v/>
      </c>
      <c r="AF114" s="0" t="str">
        <f aca="false">IF(AM114="","",INDEX(CATÁLOGO!$G$5:$G$39,AM114))</f>
        <v/>
      </c>
      <c r="AG114" s="0" t="str">
        <f aca="false">IF(AF114="","",IF(ISNUMBER(AF114),AF114*AV114,AF114))</f>
        <v/>
      </c>
      <c r="AH114" s="0" t="str">
        <f aca="false">IF(E114="","",C114&amp;"|"&amp;D114)</f>
        <v/>
      </c>
      <c r="AI114" s="27" t="n">
        <f aca="false">IF(M114&lt;&gt;"Sí",0,SUMPRODUCT(MAX(($AH$5:AH113=AH114)*($M$5:M113="Sí")*ROW($AH$5:AH113))))</f>
        <v>0</v>
      </c>
      <c r="AJ114" s="0" t="str">
        <f aca="false">IF(M114&lt;&gt;"Sí","",IF(AL114=1,B114,INDEX($AJ:$AJ,AI114)))</f>
        <v/>
      </c>
      <c r="AK114" s="0" t="str">
        <f aca="false">IF(M114&lt;&gt;"Sí","",IF(AL114=1,E114,INDEX($AK:$AK,AI114)+E114))</f>
        <v/>
      </c>
      <c r="AL114" s="0" t="str">
        <f aca="false">IF(M114&lt;&gt;"Sí","",IF(AI114=0,1,IF(INDEX($AN:$AN,AI114)=0,1,IF(B114&gt;=EDATE(INDEX($AJ:$AJ,AI114),6),1,0))))</f>
        <v/>
      </c>
      <c r="AM114" s="0" t="str">
        <f aca="false">IF(D114="","",IFERROR(MATCH(D114,CATÁLOGO!$C$5:$C$39,0),""))</f>
        <v/>
      </c>
      <c r="AN114" s="0" t="str">
        <f aca="false">IF(M114&lt;&gt;"Sí","",IF(AND(ISNUMBER(AE114),AK114&gt;=AE114),0,1))</f>
        <v/>
      </c>
      <c r="AO114" s="0" t="str">
        <f aca="false">IF(OR(E114="",C114="",NOT(ISNUMBER(B114))),"",SUMIFS($E$6:$E$505,$C$6:$C$505,C114,$B$6:$B$505,"&gt;="&amp;DATE(YEAR(B114),MONTH(B114),1),$B$6:$B$505,"&lt;"&amp;DATE(YEAR(B114),MONTH(B114)+1,1)))</f>
        <v/>
      </c>
      <c r="AP114" s="0" t="str">
        <f aca="false">IF(C114="","",IFERROR(INDEX(CLIENTES!$M$6:$M$305,MATCH(C114,CLIENTES!$A$6:$A$305,0)),""))</f>
        <v/>
      </c>
      <c r="AQ114" s="27" t="n">
        <f aca="false">IF(AND(ISNUMBER(AO114),ISNUMBER(AP114)),IF(AND(AP114&gt;0,AO114&gt;AP114),1,0),0)</f>
        <v>0</v>
      </c>
      <c r="AR114" s="27" t="n">
        <f aca="false">IF(NOT(ISNUMBER(B114)),0,IF(B114&lt;MAX($B$5:B113),1,0))</f>
        <v>0</v>
      </c>
      <c r="AS114" s="0" t="str">
        <f aca="false">IF(C114="","",IFERROR(INDEX(CLIENTES!$H$6:$H$305,MATCH(C114,CLIENTES!$A$6:$A$305,0)),""))</f>
        <v/>
      </c>
      <c r="AT114" s="0" t="str">
        <f aca="false">IF(AND(LEFT(P114,5)="AVISO",T114&lt;&gt;"Presentado",ISNUMBER(Q114)),Q114,"")</f>
        <v/>
      </c>
      <c r="AU114" s="27" t="n">
        <f aca="false">IF(AND(D114="XVI - Activos virtuales (PSAV): operación de intercambio/transferencia",M114="Sí",ISNUMBER(AE114)),IF(AK114&gt;=AE114,1,0),0)</f>
        <v>0</v>
      </c>
      <c r="AV114" s="30" t="n">
        <f aca="false">IF(NOT(ISNUMBER(B114)),CONFIG!$B$4,IFERROR(INDEX(CONFIG!$I$5:$I$14,MATCH(IF(MONTH(B114)=1,YEAR(B114)-1,YEAR(B114)),CONFIG!$H$5:$H$14,0)),CONFIG!$B$4))</f>
        <v>117.31</v>
      </c>
      <c r="AW114" s="27" t="n">
        <f aca="false">IF(AND(LEFT(D114,4)="I - ",ISNUMBER(B114),C114&lt;&gt;""),SUMIFS($E$6:$E$505,$C$6:$C$505,C114,$D$6:$D$505,D114,$B$6:$B$505,"&gt;"&amp;(B114-1),$B$6:$B$505,"&lt;="&amp;B114),0)</f>
        <v>0</v>
      </c>
      <c r="AX114" s="0" t="str">
        <f aca="false">IF(E114="","",IF(AD114="Siempre","AVISO (siempre)",IF(AD114="No aplica","Sin Aviso (sólo preparas: Ley 17 XI)",IF(NOT(ISNUMBER(AE114)),"",IF(AA114&lt;&gt;"ACUMULA",IF(E114&gt;=AE114,IF(AND(D114="XVI - Activos virtuales (PSAV): cobro de contraprestación (comisión) por el servicio",COUNTIFS($C$6:$C$505,C114,$B$6:$B$505,"&gt;="&amp;INT(B114),$B$6:$B$505,"&lt;"&amp;(INT(B114)+1),$AU$6:$AU$505,1)&gt;0),"En el Aviso del inciso a) (R 31 Bis)","AVISO"),"—"),IF(M114&lt;&gt;"Sí","—",IF(AK114&gt;=AE114,IF(AK114=E114,"AVISO","AVISO (acumulado)"),"Acumulando")))))))</f>
        <v/>
      </c>
    </row>
    <row r="115" customFormat="false" ht="15" hidden="false" customHeight="false" outlineLevel="0" collapsed="false">
      <c r="A115" s="9" t="str">
        <f aca="false">IF(E115="","",ROW()-5)</f>
        <v/>
      </c>
      <c r="B115" s="20"/>
      <c r="C115" s="21"/>
      <c r="D115" s="21"/>
      <c r="E115" s="22"/>
      <c r="F115" s="22"/>
      <c r="G115" s="21"/>
      <c r="H115" s="21"/>
      <c r="I115" s="9" t="str">
        <f aca="false">IF(C115="","",IFERROR(INDEX(CLIENTES!$B$6:$B$305,MATCH(C115,CLIENTES!$A$6:$A$305,0)),"⚠ ID no registrado"))</f>
        <v/>
      </c>
      <c r="J115" s="9" t="str">
        <f aca="false">IF(C115="","",IFERROR(INDEX(CLIENTES!$Z$6:$Z$305,MATCH(C115,CLIENTES!$A$6:$A$305,0)),""))</f>
        <v/>
      </c>
      <c r="K115" s="9" t="str">
        <f aca="false">IF(E115="","",IF(AB115="Siempre","Sí",IF(ISNUMBER(AC115),IF(E115&gt;=AC115,"Sí",IF(AW115&gt;=AC115,"Sí (serie 24 h)","No")),"")))</f>
        <v/>
      </c>
      <c r="L115" s="9" t="str">
        <f aca="false">IF(E115="","",AA115)</f>
        <v/>
      </c>
      <c r="M115" s="9" t="str">
        <f aca="false">IF(E115="","",IF(AA115&lt;&gt;"ACUMULA","No aplica",IF(LEFT(K115,2)="Sí","Sí","No")))</f>
        <v/>
      </c>
      <c r="N115" s="23" t="str">
        <f aca="false">IF(M115="Sí",AJ115,"")</f>
        <v/>
      </c>
      <c r="O115" s="24" t="str">
        <f aca="false">IF(M115="Sí",AK115,"")</f>
        <v/>
      </c>
      <c r="P115" s="25" t="str">
        <f aca="false">IF(AND(LEFT(D115,6)="XIV - ",LEFT(AX115,5)="AVISO"),"Pedimento (R 16): no va al SPPLD",AX115)</f>
        <v/>
      </c>
      <c r="Q115" s="23" t="str">
        <f aca="false">IF(LEFT(P115,5)="AVISO",IF(ISNUMBER(B115),DATE(YEAR(B115),MONTH(B115)+1,17),"Falta fecha"),"")</f>
        <v/>
      </c>
      <c r="R115" s="9" t="str">
        <f aca="false">IF(OR(F115="",F115=0),"",IF(ISNUMBER(AG115),IF(F115&gt;=AG115,"PROHIBIDO","Dentro del límite"),"No aplica"))</f>
        <v/>
      </c>
      <c r="S115" s="26" t="str">
        <f aca="false">IF(E115="","",MID(IF(AQ115=1," · Excede el perfil declarado","")&amp;IF(H115="Sí"," · Paga un tercero","")&amp;IF(J115="Alto"," · Cliente de riesgo alto: DDR (RCG 23 Ter 3 y 4)","")&amp;IF(AND(AS115&lt;&gt;"",AS115&lt;&gt;"No",AS115&lt;&gt;0)," · PEP","")&amp;IF(R115="PROHIBIDO"," · Efectivo prohibido: no lo recibas (Art. 32)","")&amp;IF(AR115=1," · ⚠ Fecha fuera de orden","")&amp;IF(LEFT(I115,1)="⚠"," · ⚠ Cliente no registrado","")&amp;IF(D115=""," · ⚠ Falta la actividad","")&amp;IF(AND(LEFT(P115,5)="AVISO",W115="")," · Captura la cifra total con IVA para el Aviso","")&amp;IF(AND(ISNUMBER(W115),W115&lt;E115)," · ⚠ La cifra con IVA es menor que el monto sin IVA",""),4,400))</f>
        <v/>
      </c>
      <c r="T115" s="21"/>
      <c r="U115" s="20"/>
      <c r="V115" s="9" t="str">
        <f aca="false">IF(LEFT(P115,5)&lt;&gt;"AVISO","",IF(T115="Presentado",IF(AND(ISNUMBER(U115),ISNUMBER(Q115),U115&gt;Q115),"Presentado tarde","Presentado"),IF(NOT(ISNUMBER(Q115)),"Falta fecha",IF(Q115&lt;CONFIG!$B$6,"VENCIDO","Vence en "&amp;(Q115-CONFIG!$B$6)&amp;" días"))))</f>
        <v/>
      </c>
      <c r="W115" s="22"/>
      <c r="X115" s="21"/>
      <c r="AA115" s="0" t="str">
        <f aca="false">IF(AM115="","",INDEX(CATÁLOGO!$D$5:$D$39,AM115))</f>
        <v/>
      </c>
      <c r="AB115" s="0" t="str">
        <f aca="false">IF(AM115="","",INDEX(CATÁLOGO!$E$5:$E$39,AM115))</f>
        <v/>
      </c>
      <c r="AC115" s="0" t="str">
        <f aca="false">IF(AB115="","",IF(ISNUMBER(AB115),AB115*AV115,AB115))</f>
        <v/>
      </c>
      <c r="AD115" s="0" t="str">
        <f aca="false">IF(AM115="","",INDEX(CATÁLOGO!$F$5:$F$39,AM115))</f>
        <v/>
      </c>
      <c r="AE115" s="0" t="str">
        <f aca="false">IF(AD115="","",IF(ISNUMBER(AD115),AD115*AV115,AD115))</f>
        <v/>
      </c>
      <c r="AF115" s="0" t="str">
        <f aca="false">IF(AM115="","",INDEX(CATÁLOGO!$G$5:$G$39,AM115))</f>
        <v/>
      </c>
      <c r="AG115" s="0" t="str">
        <f aca="false">IF(AF115="","",IF(ISNUMBER(AF115),AF115*AV115,AF115))</f>
        <v/>
      </c>
      <c r="AH115" s="0" t="str">
        <f aca="false">IF(E115="","",C115&amp;"|"&amp;D115)</f>
        <v/>
      </c>
      <c r="AI115" s="27" t="n">
        <f aca="false">IF(M115&lt;&gt;"Sí",0,SUMPRODUCT(MAX(($AH$5:AH114=AH115)*($M$5:M114="Sí")*ROW($AH$5:AH114))))</f>
        <v>0</v>
      </c>
      <c r="AJ115" s="0" t="str">
        <f aca="false">IF(M115&lt;&gt;"Sí","",IF(AL115=1,B115,INDEX($AJ:$AJ,AI115)))</f>
        <v/>
      </c>
      <c r="AK115" s="0" t="str">
        <f aca="false">IF(M115&lt;&gt;"Sí","",IF(AL115=1,E115,INDEX($AK:$AK,AI115)+E115))</f>
        <v/>
      </c>
      <c r="AL115" s="0" t="str">
        <f aca="false">IF(M115&lt;&gt;"Sí","",IF(AI115=0,1,IF(INDEX($AN:$AN,AI115)=0,1,IF(B115&gt;=EDATE(INDEX($AJ:$AJ,AI115),6),1,0))))</f>
        <v/>
      </c>
      <c r="AM115" s="0" t="str">
        <f aca="false">IF(D115="","",IFERROR(MATCH(D115,CATÁLOGO!$C$5:$C$39,0),""))</f>
        <v/>
      </c>
      <c r="AN115" s="0" t="str">
        <f aca="false">IF(M115&lt;&gt;"Sí","",IF(AND(ISNUMBER(AE115),AK115&gt;=AE115),0,1))</f>
        <v/>
      </c>
      <c r="AO115" s="0" t="str">
        <f aca="false">IF(OR(E115="",C115="",NOT(ISNUMBER(B115))),"",SUMIFS($E$6:$E$505,$C$6:$C$505,C115,$B$6:$B$505,"&gt;="&amp;DATE(YEAR(B115),MONTH(B115),1),$B$6:$B$505,"&lt;"&amp;DATE(YEAR(B115),MONTH(B115)+1,1)))</f>
        <v/>
      </c>
      <c r="AP115" s="0" t="str">
        <f aca="false">IF(C115="","",IFERROR(INDEX(CLIENTES!$M$6:$M$305,MATCH(C115,CLIENTES!$A$6:$A$305,0)),""))</f>
        <v/>
      </c>
      <c r="AQ115" s="27" t="n">
        <f aca="false">IF(AND(ISNUMBER(AO115),ISNUMBER(AP115)),IF(AND(AP115&gt;0,AO115&gt;AP115),1,0),0)</f>
        <v>0</v>
      </c>
      <c r="AR115" s="27" t="n">
        <f aca="false">IF(NOT(ISNUMBER(B115)),0,IF(B115&lt;MAX($B$5:B114),1,0))</f>
        <v>0</v>
      </c>
      <c r="AS115" s="0" t="str">
        <f aca="false">IF(C115="","",IFERROR(INDEX(CLIENTES!$H$6:$H$305,MATCH(C115,CLIENTES!$A$6:$A$305,0)),""))</f>
        <v/>
      </c>
      <c r="AT115" s="0" t="str">
        <f aca="false">IF(AND(LEFT(P115,5)="AVISO",T115&lt;&gt;"Presentado",ISNUMBER(Q115)),Q115,"")</f>
        <v/>
      </c>
      <c r="AU115" s="27" t="n">
        <f aca="false">IF(AND(D115="XVI - Activos virtuales (PSAV): operación de intercambio/transferencia",M115="Sí",ISNUMBER(AE115)),IF(AK115&gt;=AE115,1,0),0)</f>
        <v>0</v>
      </c>
      <c r="AV115" s="30" t="n">
        <f aca="false">IF(NOT(ISNUMBER(B115)),CONFIG!$B$4,IFERROR(INDEX(CONFIG!$I$5:$I$14,MATCH(IF(MONTH(B115)=1,YEAR(B115)-1,YEAR(B115)),CONFIG!$H$5:$H$14,0)),CONFIG!$B$4))</f>
        <v>117.31</v>
      </c>
      <c r="AW115" s="27" t="n">
        <f aca="false">IF(AND(LEFT(D115,4)="I - ",ISNUMBER(B115),C115&lt;&gt;""),SUMIFS($E$6:$E$505,$C$6:$C$505,C115,$D$6:$D$505,D115,$B$6:$B$505,"&gt;"&amp;(B115-1),$B$6:$B$505,"&lt;="&amp;B115),0)</f>
        <v>0</v>
      </c>
      <c r="AX115" s="0" t="str">
        <f aca="false">IF(E115="","",IF(AD115="Siempre","AVISO (siempre)",IF(AD115="No aplica","Sin Aviso (sólo preparas: Ley 17 XI)",IF(NOT(ISNUMBER(AE115)),"",IF(AA115&lt;&gt;"ACUMULA",IF(E115&gt;=AE115,IF(AND(D115="XVI - Activos virtuales (PSAV): cobro de contraprestación (comisión) por el servicio",COUNTIFS($C$6:$C$505,C115,$B$6:$B$505,"&gt;="&amp;INT(B115),$B$6:$B$505,"&lt;"&amp;(INT(B115)+1),$AU$6:$AU$505,1)&gt;0),"En el Aviso del inciso a) (R 31 Bis)","AVISO"),"—"),IF(M115&lt;&gt;"Sí","—",IF(AK115&gt;=AE115,IF(AK115=E115,"AVISO","AVISO (acumulado)"),"Acumulando")))))))</f>
        <v/>
      </c>
    </row>
    <row r="116" customFormat="false" ht="15" hidden="false" customHeight="false" outlineLevel="0" collapsed="false">
      <c r="A116" s="9" t="str">
        <f aca="false">IF(E116="","",ROW()-5)</f>
        <v/>
      </c>
      <c r="B116" s="20"/>
      <c r="C116" s="21"/>
      <c r="D116" s="21"/>
      <c r="E116" s="22"/>
      <c r="F116" s="22"/>
      <c r="G116" s="21"/>
      <c r="H116" s="21"/>
      <c r="I116" s="9" t="str">
        <f aca="false">IF(C116="","",IFERROR(INDEX(CLIENTES!$B$6:$B$305,MATCH(C116,CLIENTES!$A$6:$A$305,0)),"⚠ ID no registrado"))</f>
        <v/>
      </c>
      <c r="J116" s="9" t="str">
        <f aca="false">IF(C116="","",IFERROR(INDEX(CLIENTES!$Z$6:$Z$305,MATCH(C116,CLIENTES!$A$6:$A$305,0)),""))</f>
        <v/>
      </c>
      <c r="K116" s="9" t="str">
        <f aca="false">IF(E116="","",IF(AB116="Siempre","Sí",IF(ISNUMBER(AC116),IF(E116&gt;=AC116,"Sí",IF(AW116&gt;=AC116,"Sí (serie 24 h)","No")),"")))</f>
        <v/>
      </c>
      <c r="L116" s="9" t="str">
        <f aca="false">IF(E116="","",AA116)</f>
        <v/>
      </c>
      <c r="M116" s="9" t="str">
        <f aca="false">IF(E116="","",IF(AA116&lt;&gt;"ACUMULA","No aplica",IF(LEFT(K116,2)="Sí","Sí","No")))</f>
        <v/>
      </c>
      <c r="N116" s="23" t="str">
        <f aca="false">IF(M116="Sí",AJ116,"")</f>
        <v/>
      </c>
      <c r="O116" s="24" t="str">
        <f aca="false">IF(M116="Sí",AK116,"")</f>
        <v/>
      </c>
      <c r="P116" s="25" t="str">
        <f aca="false">IF(AND(LEFT(D116,6)="XIV - ",LEFT(AX116,5)="AVISO"),"Pedimento (R 16): no va al SPPLD",AX116)</f>
        <v/>
      </c>
      <c r="Q116" s="23" t="str">
        <f aca="false">IF(LEFT(P116,5)="AVISO",IF(ISNUMBER(B116),DATE(YEAR(B116),MONTH(B116)+1,17),"Falta fecha"),"")</f>
        <v/>
      </c>
      <c r="R116" s="9" t="str">
        <f aca="false">IF(OR(F116="",F116=0),"",IF(ISNUMBER(AG116),IF(F116&gt;=AG116,"PROHIBIDO","Dentro del límite"),"No aplica"))</f>
        <v/>
      </c>
      <c r="S116" s="26" t="str">
        <f aca="false">IF(E116="","",MID(IF(AQ116=1," · Excede el perfil declarado","")&amp;IF(H116="Sí"," · Paga un tercero","")&amp;IF(J116="Alto"," · Cliente de riesgo alto: DDR (RCG 23 Ter 3 y 4)","")&amp;IF(AND(AS116&lt;&gt;"",AS116&lt;&gt;"No",AS116&lt;&gt;0)," · PEP","")&amp;IF(R116="PROHIBIDO"," · Efectivo prohibido: no lo recibas (Art. 32)","")&amp;IF(AR116=1," · ⚠ Fecha fuera de orden","")&amp;IF(LEFT(I116,1)="⚠"," · ⚠ Cliente no registrado","")&amp;IF(D116=""," · ⚠ Falta la actividad","")&amp;IF(AND(LEFT(P116,5)="AVISO",W116="")," · Captura la cifra total con IVA para el Aviso","")&amp;IF(AND(ISNUMBER(W116),W116&lt;E116)," · ⚠ La cifra con IVA es menor que el monto sin IVA",""),4,400))</f>
        <v/>
      </c>
      <c r="T116" s="21"/>
      <c r="U116" s="20"/>
      <c r="V116" s="9" t="str">
        <f aca="false">IF(LEFT(P116,5)&lt;&gt;"AVISO","",IF(T116="Presentado",IF(AND(ISNUMBER(U116),ISNUMBER(Q116),U116&gt;Q116),"Presentado tarde","Presentado"),IF(NOT(ISNUMBER(Q116)),"Falta fecha",IF(Q116&lt;CONFIG!$B$6,"VENCIDO","Vence en "&amp;(Q116-CONFIG!$B$6)&amp;" días"))))</f>
        <v/>
      </c>
      <c r="W116" s="22"/>
      <c r="X116" s="21"/>
      <c r="AA116" s="0" t="str">
        <f aca="false">IF(AM116="","",INDEX(CATÁLOGO!$D$5:$D$39,AM116))</f>
        <v/>
      </c>
      <c r="AB116" s="0" t="str">
        <f aca="false">IF(AM116="","",INDEX(CATÁLOGO!$E$5:$E$39,AM116))</f>
        <v/>
      </c>
      <c r="AC116" s="0" t="str">
        <f aca="false">IF(AB116="","",IF(ISNUMBER(AB116),AB116*AV116,AB116))</f>
        <v/>
      </c>
      <c r="AD116" s="0" t="str">
        <f aca="false">IF(AM116="","",INDEX(CATÁLOGO!$F$5:$F$39,AM116))</f>
        <v/>
      </c>
      <c r="AE116" s="0" t="str">
        <f aca="false">IF(AD116="","",IF(ISNUMBER(AD116),AD116*AV116,AD116))</f>
        <v/>
      </c>
      <c r="AF116" s="0" t="str">
        <f aca="false">IF(AM116="","",INDEX(CATÁLOGO!$G$5:$G$39,AM116))</f>
        <v/>
      </c>
      <c r="AG116" s="0" t="str">
        <f aca="false">IF(AF116="","",IF(ISNUMBER(AF116),AF116*AV116,AF116))</f>
        <v/>
      </c>
      <c r="AH116" s="0" t="str">
        <f aca="false">IF(E116="","",C116&amp;"|"&amp;D116)</f>
        <v/>
      </c>
      <c r="AI116" s="27" t="n">
        <f aca="false">IF(M116&lt;&gt;"Sí",0,SUMPRODUCT(MAX(($AH$5:AH115=AH116)*($M$5:M115="Sí")*ROW($AH$5:AH115))))</f>
        <v>0</v>
      </c>
      <c r="AJ116" s="0" t="str">
        <f aca="false">IF(M116&lt;&gt;"Sí","",IF(AL116=1,B116,INDEX($AJ:$AJ,AI116)))</f>
        <v/>
      </c>
      <c r="AK116" s="0" t="str">
        <f aca="false">IF(M116&lt;&gt;"Sí","",IF(AL116=1,E116,INDEX($AK:$AK,AI116)+E116))</f>
        <v/>
      </c>
      <c r="AL116" s="0" t="str">
        <f aca="false">IF(M116&lt;&gt;"Sí","",IF(AI116=0,1,IF(INDEX($AN:$AN,AI116)=0,1,IF(B116&gt;=EDATE(INDEX($AJ:$AJ,AI116),6),1,0))))</f>
        <v/>
      </c>
      <c r="AM116" s="0" t="str">
        <f aca="false">IF(D116="","",IFERROR(MATCH(D116,CATÁLOGO!$C$5:$C$39,0),""))</f>
        <v/>
      </c>
      <c r="AN116" s="0" t="str">
        <f aca="false">IF(M116&lt;&gt;"Sí","",IF(AND(ISNUMBER(AE116),AK116&gt;=AE116),0,1))</f>
        <v/>
      </c>
      <c r="AO116" s="0" t="str">
        <f aca="false">IF(OR(E116="",C116="",NOT(ISNUMBER(B116))),"",SUMIFS($E$6:$E$505,$C$6:$C$505,C116,$B$6:$B$505,"&gt;="&amp;DATE(YEAR(B116),MONTH(B116),1),$B$6:$B$505,"&lt;"&amp;DATE(YEAR(B116),MONTH(B116)+1,1)))</f>
        <v/>
      </c>
      <c r="AP116" s="0" t="str">
        <f aca="false">IF(C116="","",IFERROR(INDEX(CLIENTES!$M$6:$M$305,MATCH(C116,CLIENTES!$A$6:$A$305,0)),""))</f>
        <v/>
      </c>
      <c r="AQ116" s="27" t="n">
        <f aca="false">IF(AND(ISNUMBER(AO116),ISNUMBER(AP116)),IF(AND(AP116&gt;0,AO116&gt;AP116),1,0),0)</f>
        <v>0</v>
      </c>
      <c r="AR116" s="27" t="n">
        <f aca="false">IF(NOT(ISNUMBER(B116)),0,IF(B116&lt;MAX($B$5:B115),1,0))</f>
        <v>0</v>
      </c>
      <c r="AS116" s="0" t="str">
        <f aca="false">IF(C116="","",IFERROR(INDEX(CLIENTES!$H$6:$H$305,MATCH(C116,CLIENTES!$A$6:$A$305,0)),""))</f>
        <v/>
      </c>
      <c r="AT116" s="0" t="str">
        <f aca="false">IF(AND(LEFT(P116,5)="AVISO",T116&lt;&gt;"Presentado",ISNUMBER(Q116)),Q116,"")</f>
        <v/>
      </c>
      <c r="AU116" s="27" t="n">
        <f aca="false">IF(AND(D116="XVI - Activos virtuales (PSAV): operación de intercambio/transferencia",M116="Sí",ISNUMBER(AE116)),IF(AK116&gt;=AE116,1,0),0)</f>
        <v>0</v>
      </c>
      <c r="AV116" s="30" t="n">
        <f aca="false">IF(NOT(ISNUMBER(B116)),CONFIG!$B$4,IFERROR(INDEX(CONFIG!$I$5:$I$14,MATCH(IF(MONTH(B116)=1,YEAR(B116)-1,YEAR(B116)),CONFIG!$H$5:$H$14,0)),CONFIG!$B$4))</f>
        <v>117.31</v>
      </c>
      <c r="AW116" s="27" t="n">
        <f aca="false">IF(AND(LEFT(D116,4)="I - ",ISNUMBER(B116),C116&lt;&gt;""),SUMIFS($E$6:$E$505,$C$6:$C$505,C116,$D$6:$D$505,D116,$B$6:$B$505,"&gt;"&amp;(B116-1),$B$6:$B$505,"&lt;="&amp;B116),0)</f>
        <v>0</v>
      </c>
      <c r="AX116" s="0" t="str">
        <f aca="false">IF(E116="","",IF(AD116="Siempre","AVISO (siempre)",IF(AD116="No aplica","Sin Aviso (sólo preparas: Ley 17 XI)",IF(NOT(ISNUMBER(AE116)),"",IF(AA116&lt;&gt;"ACUMULA",IF(E116&gt;=AE116,IF(AND(D116="XVI - Activos virtuales (PSAV): cobro de contraprestación (comisión) por el servicio",COUNTIFS($C$6:$C$505,C116,$B$6:$B$505,"&gt;="&amp;INT(B116),$B$6:$B$505,"&lt;"&amp;(INT(B116)+1),$AU$6:$AU$505,1)&gt;0),"En el Aviso del inciso a) (R 31 Bis)","AVISO"),"—"),IF(M116&lt;&gt;"Sí","—",IF(AK116&gt;=AE116,IF(AK116=E116,"AVISO","AVISO (acumulado)"),"Acumulando")))))))</f>
        <v/>
      </c>
    </row>
    <row r="117" customFormat="false" ht="15" hidden="false" customHeight="false" outlineLevel="0" collapsed="false">
      <c r="A117" s="9" t="str">
        <f aca="false">IF(E117="","",ROW()-5)</f>
        <v/>
      </c>
      <c r="B117" s="20"/>
      <c r="C117" s="21"/>
      <c r="D117" s="21"/>
      <c r="E117" s="22"/>
      <c r="F117" s="22"/>
      <c r="G117" s="21"/>
      <c r="H117" s="21"/>
      <c r="I117" s="9" t="str">
        <f aca="false">IF(C117="","",IFERROR(INDEX(CLIENTES!$B$6:$B$305,MATCH(C117,CLIENTES!$A$6:$A$305,0)),"⚠ ID no registrado"))</f>
        <v/>
      </c>
      <c r="J117" s="9" t="str">
        <f aca="false">IF(C117="","",IFERROR(INDEX(CLIENTES!$Z$6:$Z$305,MATCH(C117,CLIENTES!$A$6:$A$305,0)),""))</f>
        <v/>
      </c>
      <c r="K117" s="9" t="str">
        <f aca="false">IF(E117="","",IF(AB117="Siempre","Sí",IF(ISNUMBER(AC117),IF(E117&gt;=AC117,"Sí",IF(AW117&gt;=AC117,"Sí (serie 24 h)","No")),"")))</f>
        <v/>
      </c>
      <c r="L117" s="9" t="str">
        <f aca="false">IF(E117="","",AA117)</f>
        <v/>
      </c>
      <c r="M117" s="9" t="str">
        <f aca="false">IF(E117="","",IF(AA117&lt;&gt;"ACUMULA","No aplica",IF(LEFT(K117,2)="Sí","Sí","No")))</f>
        <v/>
      </c>
      <c r="N117" s="23" t="str">
        <f aca="false">IF(M117="Sí",AJ117,"")</f>
        <v/>
      </c>
      <c r="O117" s="24" t="str">
        <f aca="false">IF(M117="Sí",AK117,"")</f>
        <v/>
      </c>
      <c r="P117" s="25" t="str">
        <f aca="false">IF(AND(LEFT(D117,6)="XIV - ",LEFT(AX117,5)="AVISO"),"Pedimento (R 16): no va al SPPLD",AX117)</f>
        <v/>
      </c>
      <c r="Q117" s="23" t="str">
        <f aca="false">IF(LEFT(P117,5)="AVISO",IF(ISNUMBER(B117),DATE(YEAR(B117),MONTH(B117)+1,17),"Falta fecha"),"")</f>
        <v/>
      </c>
      <c r="R117" s="9" t="str">
        <f aca="false">IF(OR(F117="",F117=0),"",IF(ISNUMBER(AG117),IF(F117&gt;=AG117,"PROHIBIDO","Dentro del límite"),"No aplica"))</f>
        <v/>
      </c>
      <c r="S117" s="26" t="str">
        <f aca="false">IF(E117="","",MID(IF(AQ117=1," · Excede el perfil declarado","")&amp;IF(H117="Sí"," · Paga un tercero","")&amp;IF(J117="Alto"," · Cliente de riesgo alto: DDR (RCG 23 Ter 3 y 4)","")&amp;IF(AND(AS117&lt;&gt;"",AS117&lt;&gt;"No",AS117&lt;&gt;0)," · PEP","")&amp;IF(R117="PROHIBIDO"," · Efectivo prohibido: no lo recibas (Art. 32)","")&amp;IF(AR117=1," · ⚠ Fecha fuera de orden","")&amp;IF(LEFT(I117,1)="⚠"," · ⚠ Cliente no registrado","")&amp;IF(D117=""," · ⚠ Falta la actividad","")&amp;IF(AND(LEFT(P117,5)="AVISO",W117="")," · Captura la cifra total con IVA para el Aviso","")&amp;IF(AND(ISNUMBER(W117),W117&lt;E117)," · ⚠ La cifra con IVA es menor que el monto sin IVA",""),4,400))</f>
        <v/>
      </c>
      <c r="T117" s="21"/>
      <c r="U117" s="20"/>
      <c r="V117" s="9" t="str">
        <f aca="false">IF(LEFT(P117,5)&lt;&gt;"AVISO","",IF(T117="Presentado",IF(AND(ISNUMBER(U117),ISNUMBER(Q117),U117&gt;Q117),"Presentado tarde","Presentado"),IF(NOT(ISNUMBER(Q117)),"Falta fecha",IF(Q117&lt;CONFIG!$B$6,"VENCIDO","Vence en "&amp;(Q117-CONFIG!$B$6)&amp;" días"))))</f>
        <v/>
      </c>
      <c r="W117" s="22"/>
      <c r="X117" s="21"/>
      <c r="AA117" s="0" t="str">
        <f aca="false">IF(AM117="","",INDEX(CATÁLOGO!$D$5:$D$39,AM117))</f>
        <v/>
      </c>
      <c r="AB117" s="0" t="str">
        <f aca="false">IF(AM117="","",INDEX(CATÁLOGO!$E$5:$E$39,AM117))</f>
        <v/>
      </c>
      <c r="AC117" s="0" t="str">
        <f aca="false">IF(AB117="","",IF(ISNUMBER(AB117),AB117*AV117,AB117))</f>
        <v/>
      </c>
      <c r="AD117" s="0" t="str">
        <f aca="false">IF(AM117="","",INDEX(CATÁLOGO!$F$5:$F$39,AM117))</f>
        <v/>
      </c>
      <c r="AE117" s="0" t="str">
        <f aca="false">IF(AD117="","",IF(ISNUMBER(AD117),AD117*AV117,AD117))</f>
        <v/>
      </c>
      <c r="AF117" s="0" t="str">
        <f aca="false">IF(AM117="","",INDEX(CATÁLOGO!$G$5:$G$39,AM117))</f>
        <v/>
      </c>
      <c r="AG117" s="0" t="str">
        <f aca="false">IF(AF117="","",IF(ISNUMBER(AF117),AF117*AV117,AF117))</f>
        <v/>
      </c>
      <c r="AH117" s="0" t="str">
        <f aca="false">IF(E117="","",C117&amp;"|"&amp;D117)</f>
        <v/>
      </c>
      <c r="AI117" s="27" t="n">
        <f aca="false">IF(M117&lt;&gt;"Sí",0,SUMPRODUCT(MAX(($AH$5:AH116=AH117)*($M$5:M116="Sí")*ROW($AH$5:AH116))))</f>
        <v>0</v>
      </c>
      <c r="AJ117" s="0" t="str">
        <f aca="false">IF(M117&lt;&gt;"Sí","",IF(AL117=1,B117,INDEX($AJ:$AJ,AI117)))</f>
        <v/>
      </c>
      <c r="AK117" s="0" t="str">
        <f aca="false">IF(M117&lt;&gt;"Sí","",IF(AL117=1,E117,INDEX($AK:$AK,AI117)+E117))</f>
        <v/>
      </c>
      <c r="AL117" s="0" t="str">
        <f aca="false">IF(M117&lt;&gt;"Sí","",IF(AI117=0,1,IF(INDEX($AN:$AN,AI117)=0,1,IF(B117&gt;=EDATE(INDEX($AJ:$AJ,AI117),6),1,0))))</f>
        <v/>
      </c>
      <c r="AM117" s="0" t="str">
        <f aca="false">IF(D117="","",IFERROR(MATCH(D117,CATÁLOGO!$C$5:$C$39,0),""))</f>
        <v/>
      </c>
      <c r="AN117" s="0" t="str">
        <f aca="false">IF(M117&lt;&gt;"Sí","",IF(AND(ISNUMBER(AE117),AK117&gt;=AE117),0,1))</f>
        <v/>
      </c>
      <c r="AO117" s="0" t="str">
        <f aca="false">IF(OR(E117="",C117="",NOT(ISNUMBER(B117))),"",SUMIFS($E$6:$E$505,$C$6:$C$505,C117,$B$6:$B$505,"&gt;="&amp;DATE(YEAR(B117),MONTH(B117),1),$B$6:$B$505,"&lt;"&amp;DATE(YEAR(B117),MONTH(B117)+1,1)))</f>
        <v/>
      </c>
      <c r="AP117" s="0" t="str">
        <f aca="false">IF(C117="","",IFERROR(INDEX(CLIENTES!$M$6:$M$305,MATCH(C117,CLIENTES!$A$6:$A$305,0)),""))</f>
        <v/>
      </c>
      <c r="AQ117" s="27" t="n">
        <f aca="false">IF(AND(ISNUMBER(AO117),ISNUMBER(AP117)),IF(AND(AP117&gt;0,AO117&gt;AP117),1,0),0)</f>
        <v>0</v>
      </c>
      <c r="AR117" s="27" t="n">
        <f aca="false">IF(NOT(ISNUMBER(B117)),0,IF(B117&lt;MAX($B$5:B116),1,0))</f>
        <v>0</v>
      </c>
      <c r="AS117" s="0" t="str">
        <f aca="false">IF(C117="","",IFERROR(INDEX(CLIENTES!$H$6:$H$305,MATCH(C117,CLIENTES!$A$6:$A$305,0)),""))</f>
        <v/>
      </c>
      <c r="AT117" s="0" t="str">
        <f aca="false">IF(AND(LEFT(P117,5)="AVISO",T117&lt;&gt;"Presentado",ISNUMBER(Q117)),Q117,"")</f>
        <v/>
      </c>
      <c r="AU117" s="27" t="n">
        <f aca="false">IF(AND(D117="XVI - Activos virtuales (PSAV): operación de intercambio/transferencia",M117="Sí",ISNUMBER(AE117)),IF(AK117&gt;=AE117,1,0),0)</f>
        <v>0</v>
      </c>
      <c r="AV117" s="30" t="n">
        <f aca="false">IF(NOT(ISNUMBER(B117)),CONFIG!$B$4,IFERROR(INDEX(CONFIG!$I$5:$I$14,MATCH(IF(MONTH(B117)=1,YEAR(B117)-1,YEAR(B117)),CONFIG!$H$5:$H$14,0)),CONFIG!$B$4))</f>
        <v>117.31</v>
      </c>
      <c r="AW117" s="27" t="n">
        <f aca="false">IF(AND(LEFT(D117,4)="I - ",ISNUMBER(B117),C117&lt;&gt;""),SUMIFS($E$6:$E$505,$C$6:$C$505,C117,$D$6:$D$505,D117,$B$6:$B$505,"&gt;"&amp;(B117-1),$B$6:$B$505,"&lt;="&amp;B117),0)</f>
        <v>0</v>
      </c>
      <c r="AX117" s="0" t="str">
        <f aca="false">IF(E117="","",IF(AD117="Siempre","AVISO (siempre)",IF(AD117="No aplica","Sin Aviso (sólo preparas: Ley 17 XI)",IF(NOT(ISNUMBER(AE117)),"",IF(AA117&lt;&gt;"ACUMULA",IF(E117&gt;=AE117,IF(AND(D117="XVI - Activos virtuales (PSAV): cobro de contraprestación (comisión) por el servicio",COUNTIFS($C$6:$C$505,C117,$B$6:$B$505,"&gt;="&amp;INT(B117),$B$6:$B$505,"&lt;"&amp;(INT(B117)+1),$AU$6:$AU$505,1)&gt;0),"En el Aviso del inciso a) (R 31 Bis)","AVISO"),"—"),IF(M117&lt;&gt;"Sí","—",IF(AK117&gt;=AE117,IF(AK117=E117,"AVISO","AVISO (acumulado)"),"Acumulando")))))))</f>
        <v/>
      </c>
    </row>
    <row r="118" customFormat="false" ht="15" hidden="false" customHeight="false" outlineLevel="0" collapsed="false">
      <c r="A118" s="9" t="str">
        <f aca="false">IF(E118="","",ROW()-5)</f>
        <v/>
      </c>
      <c r="B118" s="20"/>
      <c r="C118" s="21"/>
      <c r="D118" s="21"/>
      <c r="E118" s="22"/>
      <c r="F118" s="22"/>
      <c r="G118" s="21"/>
      <c r="H118" s="21"/>
      <c r="I118" s="9" t="str">
        <f aca="false">IF(C118="","",IFERROR(INDEX(CLIENTES!$B$6:$B$305,MATCH(C118,CLIENTES!$A$6:$A$305,0)),"⚠ ID no registrado"))</f>
        <v/>
      </c>
      <c r="J118" s="9" t="str">
        <f aca="false">IF(C118="","",IFERROR(INDEX(CLIENTES!$Z$6:$Z$305,MATCH(C118,CLIENTES!$A$6:$A$305,0)),""))</f>
        <v/>
      </c>
      <c r="K118" s="9" t="str">
        <f aca="false">IF(E118="","",IF(AB118="Siempre","Sí",IF(ISNUMBER(AC118),IF(E118&gt;=AC118,"Sí",IF(AW118&gt;=AC118,"Sí (serie 24 h)","No")),"")))</f>
        <v/>
      </c>
      <c r="L118" s="9" t="str">
        <f aca="false">IF(E118="","",AA118)</f>
        <v/>
      </c>
      <c r="M118" s="9" t="str">
        <f aca="false">IF(E118="","",IF(AA118&lt;&gt;"ACUMULA","No aplica",IF(LEFT(K118,2)="Sí","Sí","No")))</f>
        <v/>
      </c>
      <c r="N118" s="23" t="str">
        <f aca="false">IF(M118="Sí",AJ118,"")</f>
        <v/>
      </c>
      <c r="O118" s="24" t="str">
        <f aca="false">IF(M118="Sí",AK118,"")</f>
        <v/>
      </c>
      <c r="P118" s="25" t="str">
        <f aca="false">IF(AND(LEFT(D118,6)="XIV - ",LEFT(AX118,5)="AVISO"),"Pedimento (R 16): no va al SPPLD",AX118)</f>
        <v/>
      </c>
      <c r="Q118" s="23" t="str">
        <f aca="false">IF(LEFT(P118,5)="AVISO",IF(ISNUMBER(B118),DATE(YEAR(B118),MONTH(B118)+1,17),"Falta fecha"),"")</f>
        <v/>
      </c>
      <c r="R118" s="9" t="str">
        <f aca="false">IF(OR(F118="",F118=0),"",IF(ISNUMBER(AG118),IF(F118&gt;=AG118,"PROHIBIDO","Dentro del límite"),"No aplica"))</f>
        <v/>
      </c>
      <c r="S118" s="26" t="str">
        <f aca="false">IF(E118="","",MID(IF(AQ118=1," · Excede el perfil declarado","")&amp;IF(H118="Sí"," · Paga un tercero","")&amp;IF(J118="Alto"," · Cliente de riesgo alto: DDR (RCG 23 Ter 3 y 4)","")&amp;IF(AND(AS118&lt;&gt;"",AS118&lt;&gt;"No",AS118&lt;&gt;0)," · PEP","")&amp;IF(R118="PROHIBIDO"," · Efectivo prohibido: no lo recibas (Art. 32)","")&amp;IF(AR118=1," · ⚠ Fecha fuera de orden","")&amp;IF(LEFT(I118,1)="⚠"," · ⚠ Cliente no registrado","")&amp;IF(D118=""," · ⚠ Falta la actividad","")&amp;IF(AND(LEFT(P118,5)="AVISO",W118="")," · Captura la cifra total con IVA para el Aviso","")&amp;IF(AND(ISNUMBER(W118),W118&lt;E118)," · ⚠ La cifra con IVA es menor que el monto sin IVA",""),4,400))</f>
        <v/>
      </c>
      <c r="T118" s="21"/>
      <c r="U118" s="20"/>
      <c r="V118" s="9" t="str">
        <f aca="false">IF(LEFT(P118,5)&lt;&gt;"AVISO","",IF(T118="Presentado",IF(AND(ISNUMBER(U118),ISNUMBER(Q118),U118&gt;Q118),"Presentado tarde","Presentado"),IF(NOT(ISNUMBER(Q118)),"Falta fecha",IF(Q118&lt;CONFIG!$B$6,"VENCIDO","Vence en "&amp;(Q118-CONFIG!$B$6)&amp;" días"))))</f>
        <v/>
      </c>
      <c r="W118" s="22"/>
      <c r="X118" s="21"/>
      <c r="AA118" s="0" t="str">
        <f aca="false">IF(AM118="","",INDEX(CATÁLOGO!$D$5:$D$39,AM118))</f>
        <v/>
      </c>
      <c r="AB118" s="0" t="str">
        <f aca="false">IF(AM118="","",INDEX(CATÁLOGO!$E$5:$E$39,AM118))</f>
        <v/>
      </c>
      <c r="AC118" s="0" t="str">
        <f aca="false">IF(AB118="","",IF(ISNUMBER(AB118),AB118*AV118,AB118))</f>
        <v/>
      </c>
      <c r="AD118" s="0" t="str">
        <f aca="false">IF(AM118="","",INDEX(CATÁLOGO!$F$5:$F$39,AM118))</f>
        <v/>
      </c>
      <c r="AE118" s="0" t="str">
        <f aca="false">IF(AD118="","",IF(ISNUMBER(AD118),AD118*AV118,AD118))</f>
        <v/>
      </c>
      <c r="AF118" s="0" t="str">
        <f aca="false">IF(AM118="","",INDEX(CATÁLOGO!$G$5:$G$39,AM118))</f>
        <v/>
      </c>
      <c r="AG118" s="0" t="str">
        <f aca="false">IF(AF118="","",IF(ISNUMBER(AF118),AF118*AV118,AF118))</f>
        <v/>
      </c>
      <c r="AH118" s="0" t="str">
        <f aca="false">IF(E118="","",C118&amp;"|"&amp;D118)</f>
        <v/>
      </c>
      <c r="AI118" s="27" t="n">
        <f aca="false">IF(M118&lt;&gt;"Sí",0,SUMPRODUCT(MAX(($AH$5:AH117=AH118)*($M$5:M117="Sí")*ROW($AH$5:AH117))))</f>
        <v>0</v>
      </c>
      <c r="AJ118" s="0" t="str">
        <f aca="false">IF(M118&lt;&gt;"Sí","",IF(AL118=1,B118,INDEX($AJ:$AJ,AI118)))</f>
        <v/>
      </c>
      <c r="AK118" s="0" t="str">
        <f aca="false">IF(M118&lt;&gt;"Sí","",IF(AL118=1,E118,INDEX($AK:$AK,AI118)+E118))</f>
        <v/>
      </c>
      <c r="AL118" s="0" t="str">
        <f aca="false">IF(M118&lt;&gt;"Sí","",IF(AI118=0,1,IF(INDEX($AN:$AN,AI118)=0,1,IF(B118&gt;=EDATE(INDEX($AJ:$AJ,AI118),6),1,0))))</f>
        <v/>
      </c>
      <c r="AM118" s="0" t="str">
        <f aca="false">IF(D118="","",IFERROR(MATCH(D118,CATÁLOGO!$C$5:$C$39,0),""))</f>
        <v/>
      </c>
      <c r="AN118" s="0" t="str">
        <f aca="false">IF(M118&lt;&gt;"Sí","",IF(AND(ISNUMBER(AE118),AK118&gt;=AE118),0,1))</f>
        <v/>
      </c>
      <c r="AO118" s="0" t="str">
        <f aca="false">IF(OR(E118="",C118="",NOT(ISNUMBER(B118))),"",SUMIFS($E$6:$E$505,$C$6:$C$505,C118,$B$6:$B$505,"&gt;="&amp;DATE(YEAR(B118),MONTH(B118),1),$B$6:$B$505,"&lt;"&amp;DATE(YEAR(B118),MONTH(B118)+1,1)))</f>
        <v/>
      </c>
      <c r="AP118" s="0" t="str">
        <f aca="false">IF(C118="","",IFERROR(INDEX(CLIENTES!$M$6:$M$305,MATCH(C118,CLIENTES!$A$6:$A$305,0)),""))</f>
        <v/>
      </c>
      <c r="AQ118" s="27" t="n">
        <f aca="false">IF(AND(ISNUMBER(AO118),ISNUMBER(AP118)),IF(AND(AP118&gt;0,AO118&gt;AP118),1,0),0)</f>
        <v>0</v>
      </c>
      <c r="AR118" s="27" t="n">
        <f aca="false">IF(NOT(ISNUMBER(B118)),0,IF(B118&lt;MAX($B$5:B117),1,0))</f>
        <v>0</v>
      </c>
      <c r="AS118" s="0" t="str">
        <f aca="false">IF(C118="","",IFERROR(INDEX(CLIENTES!$H$6:$H$305,MATCH(C118,CLIENTES!$A$6:$A$305,0)),""))</f>
        <v/>
      </c>
      <c r="AT118" s="0" t="str">
        <f aca="false">IF(AND(LEFT(P118,5)="AVISO",T118&lt;&gt;"Presentado",ISNUMBER(Q118)),Q118,"")</f>
        <v/>
      </c>
      <c r="AU118" s="27" t="n">
        <f aca="false">IF(AND(D118="XVI - Activos virtuales (PSAV): operación de intercambio/transferencia",M118="Sí",ISNUMBER(AE118)),IF(AK118&gt;=AE118,1,0),0)</f>
        <v>0</v>
      </c>
      <c r="AV118" s="30" t="n">
        <f aca="false">IF(NOT(ISNUMBER(B118)),CONFIG!$B$4,IFERROR(INDEX(CONFIG!$I$5:$I$14,MATCH(IF(MONTH(B118)=1,YEAR(B118)-1,YEAR(B118)),CONFIG!$H$5:$H$14,0)),CONFIG!$B$4))</f>
        <v>117.31</v>
      </c>
      <c r="AW118" s="27" t="n">
        <f aca="false">IF(AND(LEFT(D118,4)="I - ",ISNUMBER(B118),C118&lt;&gt;""),SUMIFS($E$6:$E$505,$C$6:$C$505,C118,$D$6:$D$505,D118,$B$6:$B$505,"&gt;"&amp;(B118-1),$B$6:$B$505,"&lt;="&amp;B118),0)</f>
        <v>0</v>
      </c>
      <c r="AX118" s="0" t="str">
        <f aca="false">IF(E118="","",IF(AD118="Siempre","AVISO (siempre)",IF(AD118="No aplica","Sin Aviso (sólo preparas: Ley 17 XI)",IF(NOT(ISNUMBER(AE118)),"",IF(AA118&lt;&gt;"ACUMULA",IF(E118&gt;=AE118,IF(AND(D118="XVI - Activos virtuales (PSAV): cobro de contraprestación (comisión) por el servicio",COUNTIFS($C$6:$C$505,C118,$B$6:$B$505,"&gt;="&amp;INT(B118),$B$6:$B$505,"&lt;"&amp;(INT(B118)+1),$AU$6:$AU$505,1)&gt;0),"En el Aviso del inciso a) (R 31 Bis)","AVISO"),"—"),IF(M118&lt;&gt;"Sí","—",IF(AK118&gt;=AE118,IF(AK118=E118,"AVISO","AVISO (acumulado)"),"Acumulando")))))))</f>
        <v/>
      </c>
    </row>
    <row r="119" customFormat="false" ht="15" hidden="false" customHeight="false" outlineLevel="0" collapsed="false">
      <c r="A119" s="9" t="str">
        <f aca="false">IF(E119="","",ROW()-5)</f>
        <v/>
      </c>
      <c r="B119" s="20"/>
      <c r="C119" s="21"/>
      <c r="D119" s="21"/>
      <c r="E119" s="22"/>
      <c r="F119" s="22"/>
      <c r="G119" s="21"/>
      <c r="H119" s="21"/>
      <c r="I119" s="9" t="str">
        <f aca="false">IF(C119="","",IFERROR(INDEX(CLIENTES!$B$6:$B$305,MATCH(C119,CLIENTES!$A$6:$A$305,0)),"⚠ ID no registrado"))</f>
        <v/>
      </c>
      <c r="J119" s="9" t="str">
        <f aca="false">IF(C119="","",IFERROR(INDEX(CLIENTES!$Z$6:$Z$305,MATCH(C119,CLIENTES!$A$6:$A$305,0)),""))</f>
        <v/>
      </c>
      <c r="K119" s="9" t="str">
        <f aca="false">IF(E119="","",IF(AB119="Siempre","Sí",IF(ISNUMBER(AC119),IF(E119&gt;=AC119,"Sí",IF(AW119&gt;=AC119,"Sí (serie 24 h)","No")),"")))</f>
        <v/>
      </c>
      <c r="L119" s="9" t="str">
        <f aca="false">IF(E119="","",AA119)</f>
        <v/>
      </c>
      <c r="M119" s="9" t="str">
        <f aca="false">IF(E119="","",IF(AA119&lt;&gt;"ACUMULA","No aplica",IF(LEFT(K119,2)="Sí","Sí","No")))</f>
        <v/>
      </c>
      <c r="N119" s="23" t="str">
        <f aca="false">IF(M119="Sí",AJ119,"")</f>
        <v/>
      </c>
      <c r="O119" s="24" t="str">
        <f aca="false">IF(M119="Sí",AK119,"")</f>
        <v/>
      </c>
      <c r="P119" s="25" t="str">
        <f aca="false">IF(AND(LEFT(D119,6)="XIV - ",LEFT(AX119,5)="AVISO"),"Pedimento (R 16): no va al SPPLD",AX119)</f>
        <v/>
      </c>
      <c r="Q119" s="23" t="str">
        <f aca="false">IF(LEFT(P119,5)="AVISO",IF(ISNUMBER(B119),DATE(YEAR(B119),MONTH(B119)+1,17),"Falta fecha"),"")</f>
        <v/>
      </c>
      <c r="R119" s="9" t="str">
        <f aca="false">IF(OR(F119="",F119=0),"",IF(ISNUMBER(AG119),IF(F119&gt;=AG119,"PROHIBIDO","Dentro del límite"),"No aplica"))</f>
        <v/>
      </c>
      <c r="S119" s="26" t="str">
        <f aca="false">IF(E119="","",MID(IF(AQ119=1," · Excede el perfil declarado","")&amp;IF(H119="Sí"," · Paga un tercero","")&amp;IF(J119="Alto"," · Cliente de riesgo alto: DDR (RCG 23 Ter 3 y 4)","")&amp;IF(AND(AS119&lt;&gt;"",AS119&lt;&gt;"No",AS119&lt;&gt;0)," · PEP","")&amp;IF(R119="PROHIBIDO"," · Efectivo prohibido: no lo recibas (Art. 32)","")&amp;IF(AR119=1," · ⚠ Fecha fuera de orden","")&amp;IF(LEFT(I119,1)="⚠"," · ⚠ Cliente no registrado","")&amp;IF(D119=""," · ⚠ Falta la actividad","")&amp;IF(AND(LEFT(P119,5)="AVISO",W119="")," · Captura la cifra total con IVA para el Aviso","")&amp;IF(AND(ISNUMBER(W119),W119&lt;E119)," · ⚠ La cifra con IVA es menor que el monto sin IVA",""),4,400))</f>
        <v/>
      </c>
      <c r="T119" s="21"/>
      <c r="U119" s="20"/>
      <c r="V119" s="9" t="str">
        <f aca="false">IF(LEFT(P119,5)&lt;&gt;"AVISO","",IF(T119="Presentado",IF(AND(ISNUMBER(U119),ISNUMBER(Q119),U119&gt;Q119),"Presentado tarde","Presentado"),IF(NOT(ISNUMBER(Q119)),"Falta fecha",IF(Q119&lt;CONFIG!$B$6,"VENCIDO","Vence en "&amp;(Q119-CONFIG!$B$6)&amp;" días"))))</f>
        <v/>
      </c>
      <c r="W119" s="22"/>
      <c r="X119" s="21"/>
      <c r="AA119" s="0" t="str">
        <f aca="false">IF(AM119="","",INDEX(CATÁLOGO!$D$5:$D$39,AM119))</f>
        <v/>
      </c>
      <c r="AB119" s="0" t="str">
        <f aca="false">IF(AM119="","",INDEX(CATÁLOGO!$E$5:$E$39,AM119))</f>
        <v/>
      </c>
      <c r="AC119" s="0" t="str">
        <f aca="false">IF(AB119="","",IF(ISNUMBER(AB119),AB119*AV119,AB119))</f>
        <v/>
      </c>
      <c r="AD119" s="0" t="str">
        <f aca="false">IF(AM119="","",INDEX(CATÁLOGO!$F$5:$F$39,AM119))</f>
        <v/>
      </c>
      <c r="AE119" s="0" t="str">
        <f aca="false">IF(AD119="","",IF(ISNUMBER(AD119),AD119*AV119,AD119))</f>
        <v/>
      </c>
      <c r="AF119" s="0" t="str">
        <f aca="false">IF(AM119="","",INDEX(CATÁLOGO!$G$5:$G$39,AM119))</f>
        <v/>
      </c>
      <c r="AG119" s="0" t="str">
        <f aca="false">IF(AF119="","",IF(ISNUMBER(AF119),AF119*AV119,AF119))</f>
        <v/>
      </c>
      <c r="AH119" s="0" t="str">
        <f aca="false">IF(E119="","",C119&amp;"|"&amp;D119)</f>
        <v/>
      </c>
      <c r="AI119" s="27" t="n">
        <f aca="false">IF(M119&lt;&gt;"Sí",0,SUMPRODUCT(MAX(($AH$5:AH118=AH119)*($M$5:M118="Sí")*ROW($AH$5:AH118))))</f>
        <v>0</v>
      </c>
      <c r="AJ119" s="0" t="str">
        <f aca="false">IF(M119&lt;&gt;"Sí","",IF(AL119=1,B119,INDEX($AJ:$AJ,AI119)))</f>
        <v/>
      </c>
      <c r="AK119" s="0" t="str">
        <f aca="false">IF(M119&lt;&gt;"Sí","",IF(AL119=1,E119,INDEX($AK:$AK,AI119)+E119))</f>
        <v/>
      </c>
      <c r="AL119" s="0" t="str">
        <f aca="false">IF(M119&lt;&gt;"Sí","",IF(AI119=0,1,IF(INDEX($AN:$AN,AI119)=0,1,IF(B119&gt;=EDATE(INDEX($AJ:$AJ,AI119),6),1,0))))</f>
        <v/>
      </c>
      <c r="AM119" s="0" t="str">
        <f aca="false">IF(D119="","",IFERROR(MATCH(D119,CATÁLOGO!$C$5:$C$39,0),""))</f>
        <v/>
      </c>
      <c r="AN119" s="0" t="str">
        <f aca="false">IF(M119&lt;&gt;"Sí","",IF(AND(ISNUMBER(AE119),AK119&gt;=AE119),0,1))</f>
        <v/>
      </c>
      <c r="AO119" s="0" t="str">
        <f aca="false">IF(OR(E119="",C119="",NOT(ISNUMBER(B119))),"",SUMIFS($E$6:$E$505,$C$6:$C$505,C119,$B$6:$B$505,"&gt;="&amp;DATE(YEAR(B119),MONTH(B119),1),$B$6:$B$505,"&lt;"&amp;DATE(YEAR(B119),MONTH(B119)+1,1)))</f>
        <v/>
      </c>
      <c r="AP119" s="0" t="str">
        <f aca="false">IF(C119="","",IFERROR(INDEX(CLIENTES!$M$6:$M$305,MATCH(C119,CLIENTES!$A$6:$A$305,0)),""))</f>
        <v/>
      </c>
      <c r="AQ119" s="27" t="n">
        <f aca="false">IF(AND(ISNUMBER(AO119),ISNUMBER(AP119)),IF(AND(AP119&gt;0,AO119&gt;AP119),1,0),0)</f>
        <v>0</v>
      </c>
      <c r="AR119" s="27" t="n">
        <f aca="false">IF(NOT(ISNUMBER(B119)),0,IF(B119&lt;MAX($B$5:B118),1,0))</f>
        <v>0</v>
      </c>
      <c r="AS119" s="0" t="str">
        <f aca="false">IF(C119="","",IFERROR(INDEX(CLIENTES!$H$6:$H$305,MATCH(C119,CLIENTES!$A$6:$A$305,0)),""))</f>
        <v/>
      </c>
      <c r="AT119" s="0" t="str">
        <f aca="false">IF(AND(LEFT(P119,5)="AVISO",T119&lt;&gt;"Presentado",ISNUMBER(Q119)),Q119,"")</f>
        <v/>
      </c>
      <c r="AU119" s="27" t="n">
        <f aca="false">IF(AND(D119="XVI - Activos virtuales (PSAV): operación de intercambio/transferencia",M119="Sí",ISNUMBER(AE119)),IF(AK119&gt;=AE119,1,0),0)</f>
        <v>0</v>
      </c>
      <c r="AV119" s="30" t="n">
        <f aca="false">IF(NOT(ISNUMBER(B119)),CONFIG!$B$4,IFERROR(INDEX(CONFIG!$I$5:$I$14,MATCH(IF(MONTH(B119)=1,YEAR(B119)-1,YEAR(B119)),CONFIG!$H$5:$H$14,0)),CONFIG!$B$4))</f>
        <v>117.31</v>
      </c>
      <c r="AW119" s="27" t="n">
        <f aca="false">IF(AND(LEFT(D119,4)="I - ",ISNUMBER(B119),C119&lt;&gt;""),SUMIFS($E$6:$E$505,$C$6:$C$505,C119,$D$6:$D$505,D119,$B$6:$B$505,"&gt;"&amp;(B119-1),$B$6:$B$505,"&lt;="&amp;B119),0)</f>
        <v>0</v>
      </c>
      <c r="AX119" s="0" t="str">
        <f aca="false">IF(E119="","",IF(AD119="Siempre","AVISO (siempre)",IF(AD119="No aplica","Sin Aviso (sólo preparas: Ley 17 XI)",IF(NOT(ISNUMBER(AE119)),"",IF(AA119&lt;&gt;"ACUMULA",IF(E119&gt;=AE119,IF(AND(D119="XVI - Activos virtuales (PSAV): cobro de contraprestación (comisión) por el servicio",COUNTIFS($C$6:$C$505,C119,$B$6:$B$505,"&gt;="&amp;INT(B119),$B$6:$B$505,"&lt;"&amp;(INT(B119)+1),$AU$6:$AU$505,1)&gt;0),"En el Aviso del inciso a) (R 31 Bis)","AVISO"),"—"),IF(M119&lt;&gt;"Sí","—",IF(AK119&gt;=AE119,IF(AK119=E119,"AVISO","AVISO (acumulado)"),"Acumulando")))))))</f>
        <v/>
      </c>
    </row>
    <row r="120" customFormat="false" ht="15" hidden="false" customHeight="false" outlineLevel="0" collapsed="false">
      <c r="A120" s="9" t="str">
        <f aca="false">IF(E120="","",ROW()-5)</f>
        <v/>
      </c>
      <c r="B120" s="20"/>
      <c r="C120" s="21"/>
      <c r="D120" s="21"/>
      <c r="E120" s="22"/>
      <c r="F120" s="22"/>
      <c r="G120" s="21"/>
      <c r="H120" s="21"/>
      <c r="I120" s="9" t="str">
        <f aca="false">IF(C120="","",IFERROR(INDEX(CLIENTES!$B$6:$B$305,MATCH(C120,CLIENTES!$A$6:$A$305,0)),"⚠ ID no registrado"))</f>
        <v/>
      </c>
      <c r="J120" s="9" t="str">
        <f aca="false">IF(C120="","",IFERROR(INDEX(CLIENTES!$Z$6:$Z$305,MATCH(C120,CLIENTES!$A$6:$A$305,0)),""))</f>
        <v/>
      </c>
      <c r="K120" s="9" t="str">
        <f aca="false">IF(E120="","",IF(AB120="Siempre","Sí",IF(ISNUMBER(AC120),IF(E120&gt;=AC120,"Sí",IF(AW120&gt;=AC120,"Sí (serie 24 h)","No")),"")))</f>
        <v/>
      </c>
      <c r="L120" s="9" t="str">
        <f aca="false">IF(E120="","",AA120)</f>
        <v/>
      </c>
      <c r="M120" s="9" t="str">
        <f aca="false">IF(E120="","",IF(AA120&lt;&gt;"ACUMULA","No aplica",IF(LEFT(K120,2)="Sí","Sí","No")))</f>
        <v/>
      </c>
      <c r="N120" s="23" t="str">
        <f aca="false">IF(M120="Sí",AJ120,"")</f>
        <v/>
      </c>
      <c r="O120" s="24" t="str">
        <f aca="false">IF(M120="Sí",AK120,"")</f>
        <v/>
      </c>
      <c r="P120" s="25" t="str">
        <f aca="false">IF(AND(LEFT(D120,6)="XIV - ",LEFT(AX120,5)="AVISO"),"Pedimento (R 16): no va al SPPLD",AX120)</f>
        <v/>
      </c>
      <c r="Q120" s="23" t="str">
        <f aca="false">IF(LEFT(P120,5)="AVISO",IF(ISNUMBER(B120),DATE(YEAR(B120),MONTH(B120)+1,17),"Falta fecha"),"")</f>
        <v/>
      </c>
      <c r="R120" s="9" t="str">
        <f aca="false">IF(OR(F120="",F120=0),"",IF(ISNUMBER(AG120),IF(F120&gt;=AG120,"PROHIBIDO","Dentro del límite"),"No aplica"))</f>
        <v/>
      </c>
      <c r="S120" s="26" t="str">
        <f aca="false">IF(E120="","",MID(IF(AQ120=1," · Excede el perfil declarado","")&amp;IF(H120="Sí"," · Paga un tercero","")&amp;IF(J120="Alto"," · Cliente de riesgo alto: DDR (RCG 23 Ter 3 y 4)","")&amp;IF(AND(AS120&lt;&gt;"",AS120&lt;&gt;"No",AS120&lt;&gt;0)," · PEP","")&amp;IF(R120="PROHIBIDO"," · Efectivo prohibido: no lo recibas (Art. 32)","")&amp;IF(AR120=1," · ⚠ Fecha fuera de orden","")&amp;IF(LEFT(I120,1)="⚠"," · ⚠ Cliente no registrado","")&amp;IF(D120=""," · ⚠ Falta la actividad","")&amp;IF(AND(LEFT(P120,5)="AVISO",W120="")," · Captura la cifra total con IVA para el Aviso","")&amp;IF(AND(ISNUMBER(W120),W120&lt;E120)," · ⚠ La cifra con IVA es menor que el monto sin IVA",""),4,400))</f>
        <v/>
      </c>
      <c r="T120" s="21"/>
      <c r="U120" s="20"/>
      <c r="V120" s="9" t="str">
        <f aca="false">IF(LEFT(P120,5)&lt;&gt;"AVISO","",IF(T120="Presentado",IF(AND(ISNUMBER(U120),ISNUMBER(Q120),U120&gt;Q120),"Presentado tarde","Presentado"),IF(NOT(ISNUMBER(Q120)),"Falta fecha",IF(Q120&lt;CONFIG!$B$6,"VENCIDO","Vence en "&amp;(Q120-CONFIG!$B$6)&amp;" días"))))</f>
        <v/>
      </c>
      <c r="W120" s="22"/>
      <c r="X120" s="21"/>
      <c r="AA120" s="0" t="str">
        <f aca="false">IF(AM120="","",INDEX(CATÁLOGO!$D$5:$D$39,AM120))</f>
        <v/>
      </c>
      <c r="AB120" s="0" t="str">
        <f aca="false">IF(AM120="","",INDEX(CATÁLOGO!$E$5:$E$39,AM120))</f>
        <v/>
      </c>
      <c r="AC120" s="0" t="str">
        <f aca="false">IF(AB120="","",IF(ISNUMBER(AB120),AB120*AV120,AB120))</f>
        <v/>
      </c>
      <c r="AD120" s="0" t="str">
        <f aca="false">IF(AM120="","",INDEX(CATÁLOGO!$F$5:$F$39,AM120))</f>
        <v/>
      </c>
      <c r="AE120" s="0" t="str">
        <f aca="false">IF(AD120="","",IF(ISNUMBER(AD120),AD120*AV120,AD120))</f>
        <v/>
      </c>
      <c r="AF120" s="0" t="str">
        <f aca="false">IF(AM120="","",INDEX(CATÁLOGO!$G$5:$G$39,AM120))</f>
        <v/>
      </c>
      <c r="AG120" s="0" t="str">
        <f aca="false">IF(AF120="","",IF(ISNUMBER(AF120),AF120*AV120,AF120))</f>
        <v/>
      </c>
      <c r="AH120" s="0" t="str">
        <f aca="false">IF(E120="","",C120&amp;"|"&amp;D120)</f>
        <v/>
      </c>
      <c r="AI120" s="27" t="n">
        <f aca="false">IF(M120&lt;&gt;"Sí",0,SUMPRODUCT(MAX(($AH$5:AH119=AH120)*($M$5:M119="Sí")*ROW($AH$5:AH119))))</f>
        <v>0</v>
      </c>
      <c r="AJ120" s="0" t="str">
        <f aca="false">IF(M120&lt;&gt;"Sí","",IF(AL120=1,B120,INDEX($AJ:$AJ,AI120)))</f>
        <v/>
      </c>
      <c r="AK120" s="0" t="str">
        <f aca="false">IF(M120&lt;&gt;"Sí","",IF(AL120=1,E120,INDEX($AK:$AK,AI120)+E120))</f>
        <v/>
      </c>
      <c r="AL120" s="0" t="str">
        <f aca="false">IF(M120&lt;&gt;"Sí","",IF(AI120=0,1,IF(INDEX($AN:$AN,AI120)=0,1,IF(B120&gt;=EDATE(INDEX($AJ:$AJ,AI120),6),1,0))))</f>
        <v/>
      </c>
      <c r="AM120" s="0" t="str">
        <f aca="false">IF(D120="","",IFERROR(MATCH(D120,CATÁLOGO!$C$5:$C$39,0),""))</f>
        <v/>
      </c>
      <c r="AN120" s="0" t="str">
        <f aca="false">IF(M120&lt;&gt;"Sí","",IF(AND(ISNUMBER(AE120),AK120&gt;=AE120),0,1))</f>
        <v/>
      </c>
      <c r="AO120" s="0" t="str">
        <f aca="false">IF(OR(E120="",C120="",NOT(ISNUMBER(B120))),"",SUMIFS($E$6:$E$505,$C$6:$C$505,C120,$B$6:$B$505,"&gt;="&amp;DATE(YEAR(B120),MONTH(B120),1),$B$6:$B$505,"&lt;"&amp;DATE(YEAR(B120),MONTH(B120)+1,1)))</f>
        <v/>
      </c>
      <c r="AP120" s="0" t="str">
        <f aca="false">IF(C120="","",IFERROR(INDEX(CLIENTES!$M$6:$M$305,MATCH(C120,CLIENTES!$A$6:$A$305,0)),""))</f>
        <v/>
      </c>
      <c r="AQ120" s="27" t="n">
        <f aca="false">IF(AND(ISNUMBER(AO120),ISNUMBER(AP120)),IF(AND(AP120&gt;0,AO120&gt;AP120),1,0),0)</f>
        <v>0</v>
      </c>
      <c r="AR120" s="27" t="n">
        <f aca="false">IF(NOT(ISNUMBER(B120)),0,IF(B120&lt;MAX($B$5:B119),1,0))</f>
        <v>0</v>
      </c>
      <c r="AS120" s="0" t="str">
        <f aca="false">IF(C120="","",IFERROR(INDEX(CLIENTES!$H$6:$H$305,MATCH(C120,CLIENTES!$A$6:$A$305,0)),""))</f>
        <v/>
      </c>
      <c r="AT120" s="0" t="str">
        <f aca="false">IF(AND(LEFT(P120,5)="AVISO",T120&lt;&gt;"Presentado",ISNUMBER(Q120)),Q120,"")</f>
        <v/>
      </c>
      <c r="AU120" s="27" t="n">
        <f aca="false">IF(AND(D120="XVI - Activos virtuales (PSAV): operación de intercambio/transferencia",M120="Sí",ISNUMBER(AE120)),IF(AK120&gt;=AE120,1,0),0)</f>
        <v>0</v>
      </c>
      <c r="AV120" s="30" t="n">
        <f aca="false">IF(NOT(ISNUMBER(B120)),CONFIG!$B$4,IFERROR(INDEX(CONFIG!$I$5:$I$14,MATCH(IF(MONTH(B120)=1,YEAR(B120)-1,YEAR(B120)),CONFIG!$H$5:$H$14,0)),CONFIG!$B$4))</f>
        <v>117.31</v>
      </c>
      <c r="AW120" s="27" t="n">
        <f aca="false">IF(AND(LEFT(D120,4)="I - ",ISNUMBER(B120),C120&lt;&gt;""),SUMIFS($E$6:$E$505,$C$6:$C$505,C120,$D$6:$D$505,D120,$B$6:$B$505,"&gt;"&amp;(B120-1),$B$6:$B$505,"&lt;="&amp;B120),0)</f>
        <v>0</v>
      </c>
      <c r="AX120" s="0" t="str">
        <f aca="false">IF(E120="","",IF(AD120="Siempre","AVISO (siempre)",IF(AD120="No aplica","Sin Aviso (sólo preparas: Ley 17 XI)",IF(NOT(ISNUMBER(AE120)),"",IF(AA120&lt;&gt;"ACUMULA",IF(E120&gt;=AE120,IF(AND(D120="XVI - Activos virtuales (PSAV): cobro de contraprestación (comisión) por el servicio",COUNTIFS($C$6:$C$505,C120,$B$6:$B$505,"&gt;="&amp;INT(B120),$B$6:$B$505,"&lt;"&amp;(INT(B120)+1),$AU$6:$AU$505,1)&gt;0),"En el Aviso del inciso a) (R 31 Bis)","AVISO"),"—"),IF(M120&lt;&gt;"Sí","—",IF(AK120&gt;=AE120,IF(AK120=E120,"AVISO","AVISO (acumulado)"),"Acumulando")))))))</f>
        <v/>
      </c>
    </row>
    <row r="121" customFormat="false" ht="15" hidden="false" customHeight="false" outlineLevel="0" collapsed="false">
      <c r="A121" s="9" t="str">
        <f aca="false">IF(E121="","",ROW()-5)</f>
        <v/>
      </c>
      <c r="B121" s="20"/>
      <c r="C121" s="21"/>
      <c r="D121" s="21"/>
      <c r="E121" s="22"/>
      <c r="F121" s="22"/>
      <c r="G121" s="21"/>
      <c r="H121" s="21"/>
      <c r="I121" s="9" t="str">
        <f aca="false">IF(C121="","",IFERROR(INDEX(CLIENTES!$B$6:$B$305,MATCH(C121,CLIENTES!$A$6:$A$305,0)),"⚠ ID no registrado"))</f>
        <v/>
      </c>
      <c r="J121" s="9" t="str">
        <f aca="false">IF(C121="","",IFERROR(INDEX(CLIENTES!$Z$6:$Z$305,MATCH(C121,CLIENTES!$A$6:$A$305,0)),""))</f>
        <v/>
      </c>
      <c r="K121" s="9" t="str">
        <f aca="false">IF(E121="","",IF(AB121="Siempre","Sí",IF(ISNUMBER(AC121),IF(E121&gt;=AC121,"Sí",IF(AW121&gt;=AC121,"Sí (serie 24 h)","No")),"")))</f>
        <v/>
      </c>
      <c r="L121" s="9" t="str">
        <f aca="false">IF(E121="","",AA121)</f>
        <v/>
      </c>
      <c r="M121" s="9" t="str">
        <f aca="false">IF(E121="","",IF(AA121&lt;&gt;"ACUMULA","No aplica",IF(LEFT(K121,2)="Sí","Sí","No")))</f>
        <v/>
      </c>
      <c r="N121" s="23" t="str">
        <f aca="false">IF(M121="Sí",AJ121,"")</f>
        <v/>
      </c>
      <c r="O121" s="24" t="str">
        <f aca="false">IF(M121="Sí",AK121,"")</f>
        <v/>
      </c>
      <c r="P121" s="25" t="str">
        <f aca="false">IF(AND(LEFT(D121,6)="XIV - ",LEFT(AX121,5)="AVISO"),"Pedimento (R 16): no va al SPPLD",AX121)</f>
        <v/>
      </c>
      <c r="Q121" s="23" t="str">
        <f aca="false">IF(LEFT(P121,5)="AVISO",IF(ISNUMBER(B121),DATE(YEAR(B121),MONTH(B121)+1,17),"Falta fecha"),"")</f>
        <v/>
      </c>
      <c r="R121" s="9" t="str">
        <f aca="false">IF(OR(F121="",F121=0),"",IF(ISNUMBER(AG121),IF(F121&gt;=AG121,"PROHIBIDO","Dentro del límite"),"No aplica"))</f>
        <v/>
      </c>
      <c r="S121" s="26" t="str">
        <f aca="false">IF(E121="","",MID(IF(AQ121=1," · Excede el perfil declarado","")&amp;IF(H121="Sí"," · Paga un tercero","")&amp;IF(J121="Alto"," · Cliente de riesgo alto: DDR (RCG 23 Ter 3 y 4)","")&amp;IF(AND(AS121&lt;&gt;"",AS121&lt;&gt;"No",AS121&lt;&gt;0)," · PEP","")&amp;IF(R121="PROHIBIDO"," · Efectivo prohibido: no lo recibas (Art. 32)","")&amp;IF(AR121=1," · ⚠ Fecha fuera de orden","")&amp;IF(LEFT(I121,1)="⚠"," · ⚠ Cliente no registrado","")&amp;IF(D121=""," · ⚠ Falta la actividad","")&amp;IF(AND(LEFT(P121,5)="AVISO",W121="")," · Captura la cifra total con IVA para el Aviso","")&amp;IF(AND(ISNUMBER(W121),W121&lt;E121)," · ⚠ La cifra con IVA es menor que el monto sin IVA",""),4,400))</f>
        <v/>
      </c>
      <c r="T121" s="21"/>
      <c r="U121" s="20"/>
      <c r="V121" s="9" t="str">
        <f aca="false">IF(LEFT(P121,5)&lt;&gt;"AVISO","",IF(T121="Presentado",IF(AND(ISNUMBER(U121),ISNUMBER(Q121),U121&gt;Q121),"Presentado tarde","Presentado"),IF(NOT(ISNUMBER(Q121)),"Falta fecha",IF(Q121&lt;CONFIG!$B$6,"VENCIDO","Vence en "&amp;(Q121-CONFIG!$B$6)&amp;" días"))))</f>
        <v/>
      </c>
      <c r="W121" s="22"/>
      <c r="X121" s="21"/>
      <c r="AA121" s="0" t="str">
        <f aca="false">IF(AM121="","",INDEX(CATÁLOGO!$D$5:$D$39,AM121))</f>
        <v/>
      </c>
      <c r="AB121" s="0" t="str">
        <f aca="false">IF(AM121="","",INDEX(CATÁLOGO!$E$5:$E$39,AM121))</f>
        <v/>
      </c>
      <c r="AC121" s="0" t="str">
        <f aca="false">IF(AB121="","",IF(ISNUMBER(AB121),AB121*AV121,AB121))</f>
        <v/>
      </c>
      <c r="AD121" s="0" t="str">
        <f aca="false">IF(AM121="","",INDEX(CATÁLOGO!$F$5:$F$39,AM121))</f>
        <v/>
      </c>
      <c r="AE121" s="0" t="str">
        <f aca="false">IF(AD121="","",IF(ISNUMBER(AD121),AD121*AV121,AD121))</f>
        <v/>
      </c>
      <c r="AF121" s="0" t="str">
        <f aca="false">IF(AM121="","",INDEX(CATÁLOGO!$G$5:$G$39,AM121))</f>
        <v/>
      </c>
      <c r="AG121" s="0" t="str">
        <f aca="false">IF(AF121="","",IF(ISNUMBER(AF121),AF121*AV121,AF121))</f>
        <v/>
      </c>
      <c r="AH121" s="0" t="str">
        <f aca="false">IF(E121="","",C121&amp;"|"&amp;D121)</f>
        <v/>
      </c>
      <c r="AI121" s="27" t="n">
        <f aca="false">IF(M121&lt;&gt;"Sí",0,SUMPRODUCT(MAX(($AH$5:AH120=AH121)*($M$5:M120="Sí")*ROW($AH$5:AH120))))</f>
        <v>0</v>
      </c>
      <c r="AJ121" s="0" t="str">
        <f aca="false">IF(M121&lt;&gt;"Sí","",IF(AL121=1,B121,INDEX($AJ:$AJ,AI121)))</f>
        <v/>
      </c>
      <c r="AK121" s="0" t="str">
        <f aca="false">IF(M121&lt;&gt;"Sí","",IF(AL121=1,E121,INDEX($AK:$AK,AI121)+E121))</f>
        <v/>
      </c>
      <c r="AL121" s="0" t="str">
        <f aca="false">IF(M121&lt;&gt;"Sí","",IF(AI121=0,1,IF(INDEX($AN:$AN,AI121)=0,1,IF(B121&gt;=EDATE(INDEX($AJ:$AJ,AI121),6),1,0))))</f>
        <v/>
      </c>
      <c r="AM121" s="0" t="str">
        <f aca="false">IF(D121="","",IFERROR(MATCH(D121,CATÁLOGO!$C$5:$C$39,0),""))</f>
        <v/>
      </c>
      <c r="AN121" s="0" t="str">
        <f aca="false">IF(M121&lt;&gt;"Sí","",IF(AND(ISNUMBER(AE121),AK121&gt;=AE121),0,1))</f>
        <v/>
      </c>
      <c r="AO121" s="0" t="str">
        <f aca="false">IF(OR(E121="",C121="",NOT(ISNUMBER(B121))),"",SUMIFS($E$6:$E$505,$C$6:$C$505,C121,$B$6:$B$505,"&gt;="&amp;DATE(YEAR(B121),MONTH(B121),1),$B$6:$B$505,"&lt;"&amp;DATE(YEAR(B121),MONTH(B121)+1,1)))</f>
        <v/>
      </c>
      <c r="AP121" s="0" t="str">
        <f aca="false">IF(C121="","",IFERROR(INDEX(CLIENTES!$M$6:$M$305,MATCH(C121,CLIENTES!$A$6:$A$305,0)),""))</f>
        <v/>
      </c>
      <c r="AQ121" s="27" t="n">
        <f aca="false">IF(AND(ISNUMBER(AO121),ISNUMBER(AP121)),IF(AND(AP121&gt;0,AO121&gt;AP121),1,0),0)</f>
        <v>0</v>
      </c>
      <c r="AR121" s="27" t="n">
        <f aca="false">IF(NOT(ISNUMBER(B121)),0,IF(B121&lt;MAX($B$5:B120),1,0))</f>
        <v>0</v>
      </c>
      <c r="AS121" s="0" t="str">
        <f aca="false">IF(C121="","",IFERROR(INDEX(CLIENTES!$H$6:$H$305,MATCH(C121,CLIENTES!$A$6:$A$305,0)),""))</f>
        <v/>
      </c>
      <c r="AT121" s="0" t="str">
        <f aca="false">IF(AND(LEFT(P121,5)="AVISO",T121&lt;&gt;"Presentado",ISNUMBER(Q121)),Q121,"")</f>
        <v/>
      </c>
      <c r="AU121" s="27" t="n">
        <f aca="false">IF(AND(D121="XVI - Activos virtuales (PSAV): operación de intercambio/transferencia",M121="Sí",ISNUMBER(AE121)),IF(AK121&gt;=AE121,1,0),0)</f>
        <v>0</v>
      </c>
      <c r="AV121" s="30" t="n">
        <f aca="false">IF(NOT(ISNUMBER(B121)),CONFIG!$B$4,IFERROR(INDEX(CONFIG!$I$5:$I$14,MATCH(IF(MONTH(B121)=1,YEAR(B121)-1,YEAR(B121)),CONFIG!$H$5:$H$14,0)),CONFIG!$B$4))</f>
        <v>117.31</v>
      </c>
      <c r="AW121" s="27" t="n">
        <f aca="false">IF(AND(LEFT(D121,4)="I - ",ISNUMBER(B121),C121&lt;&gt;""),SUMIFS($E$6:$E$505,$C$6:$C$505,C121,$D$6:$D$505,D121,$B$6:$B$505,"&gt;"&amp;(B121-1),$B$6:$B$505,"&lt;="&amp;B121),0)</f>
        <v>0</v>
      </c>
      <c r="AX121" s="0" t="str">
        <f aca="false">IF(E121="","",IF(AD121="Siempre","AVISO (siempre)",IF(AD121="No aplica","Sin Aviso (sólo preparas: Ley 17 XI)",IF(NOT(ISNUMBER(AE121)),"",IF(AA121&lt;&gt;"ACUMULA",IF(E121&gt;=AE121,IF(AND(D121="XVI - Activos virtuales (PSAV): cobro de contraprestación (comisión) por el servicio",COUNTIFS($C$6:$C$505,C121,$B$6:$B$505,"&gt;="&amp;INT(B121),$B$6:$B$505,"&lt;"&amp;(INT(B121)+1),$AU$6:$AU$505,1)&gt;0),"En el Aviso del inciso a) (R 31 Bis)","AVISO"),"—"),IF(M121&lt;&gt;"Sí","—",IF(AK121&gt;=AE121,IF(AK121=E121,"AVISO","AVISO (acumulado)"),"Acumulando")))))))</f>
        <v/>
      </c>
    </row>
    <row r="122" customFormat="false" ht="15" hidden="false" customHeight="false" outlineLevel="0" collapsed="false">
      <c r="A122" s="9" t="str">
        <f aca="false">IF(E122="","",ROW()-5)</f>
        <v/>
      </c>
      <c r="B122" s="20"/>
      <c r="C122" s="21"/>
      <c r="D122" s="21"/>
      <c r="E122" s="22"/>
      <c r="F122" s="22"/>
      <c r="G122" s="21"/>
      <c r="H122" s="21"/>
      <c r="I122" s="9" t="str">
        <f aca="false">IF(C122="","",IFERROR(INDEX(CLIENTES!$B$6:$B$305,MATCH(C122,CLIENTES!$A$6:$A$305,0)),"⚠ ID no registrado"))</f>
        <v/>
      </c>
      <c r="J122" s="9" t="str">
        <f aca="false">IF(C122="","",IFERROR(INDEX(CLIENTES!$Z$6:$Z$305,MATCH(C122,CLIENTES!$A$6:$A$305,0)),""))</f>
        <v/>
      </c>
      <c r="K122" s="9" t="str">
        <f aca="false">IF(E122="","",IF(AB122="Siempre","Sí",IF(ISNUMBER(AC122),IF(E122&gt;=AC122,"Sí",IF(AW122&gt;=AC122,"Sí (serie 24 h)","No")),"")))</f>
        <v/>
      </c>
      <c r="L122" s="9" t="str">
        <f aca="false">IF(E122="","",AA122)</f>
        <v/>
      </c>
      <c r="M122" s="9" t="str">
        <f aca="false">IF(E122="","",IF(AA122&lt;&gt;"ACUMULA","No aplica",IF(LEFT(K122,2)="Sí","Sí","No")))</f>
        <v/>
      </c>
      <c r="N122" s="23" t="str">
        <f aca="false">IF(M122="Sí",AJ122,"")</f>
        <v/>
      </c>
      <c r="O122" s="24" t="str">
        <f aca="false">IF(M122="Sí",AK122,"")</f>
        <v/>
      </c>
      <c r="P122" s="25" t="str">
        <f aca="false">IF(AND(LEFT(D122,6)="XIV - ",LEFT(AX122,5)="AVISO"),"Pedimento (R 16): no va al SPPLD",AX122)</f>
        <v/>
      </c>
      <c r="Q122" s="23" t="str">
        <f aca="false">IF(LEFT(P122,5)="AVISO",IF(ISNUMBER(B122),DATE(YEAR(B122),MONTH(B122)+1,17),"Falta fecha"),"")</f>
        <v/>
      </c>
      <c r="R122" s="9" t="str">
        <f aca="false">IF(OR(F122="",F122=0),"",IF(ISNUMBER(AG122),IF(F122&gt;=AG122,"PROHIBIDO","Dentro del límite"),"No aplica"))</f>
        <v/>
      </c>
      <c r="S122" s="26" t="str">
        <f aca="false">IF(E122="","",MID(IF(AQ122=1," · Excede el perfil declarado","")&amp;IF(H122="Sí"," · Paga un tercero","")&amp;IF(J122="Alto"," · Cliente de riesgo alto: DDR (RCG 23 Ter 3 y 4)","")&amp;IF(AND(AS122&lt;&gt;"",AS122&lt;&gt;"No",AS122&lt;&gt;0)," · PEP","")&amp;IF(R122="PROHIBIDO"," · Efectivo prohibido: no lo recibas (Art. 32)","")&amp;IF(AR122=1," · ⚠ Fecha fuera de orden","")&amp;IF(LEFT(I122,1)="⚠"," · ⚠ Cliente no registrado","")&amp;IF(D122=""," · ⚠ Falta la actividad","")&amp;IF(AND(LEFT(P122,5)="AVISO",W122="")," · Captura la cifra total con IVA para el Aviso","")&amp;IF(AND(ISNUMBER(W122),W122&lt;E122)," · ⚠ La cifra con IVA es menor que el monto sin IVA",""),4,400))</f>
        <v/>
      </c>
      <c r="T122" s="21"/>
      <c r="U122" s="20"/>
      <c r="V122" s="9" t="str">
        <f aca="false">IF(LEFT(P122,5)&lt;&gt;"AVISO","",IF(T122="Presentado",IF(AND(ISNUMBER(U122),ISNUMBER(Q122),U122&gt;Q122),"Presentado tarde","Presentado"),IF(NOT(ISNUMBER(Q122)),"Falta fecha",IF(Q122&lt;CONFIG!$B$6,"VENCIDO","Vence en "&amp;(Q122-CONFIG!$B$6)&amp;" días"))))</f>
        <v/>
      </c>
      <c r="W122" s="22"/>
      <c r="X122" s="21"/>
      <c r="AA122" s="0" t="str">
        <f aca="false">IF(AM122="","",INDEX(CATÁLOGO!$D$5:$D$39,AM122))</f>
        <v/>
      </c>
      <c r="AB122" s="0" t="str">
        <f aca="false">IF(AM122="","",INDEX(CATÁLOGO!$E$5:$E$39,AM122))</f>
        <v/>
      </c>
      <c r="AC122" s="0" t="str">
        <f aca="false">IF(AB122="","",IF(ISNUMBER(AB122),AB122*AV122,AB122))</f>
        <v/>
      </c>
      <c r="AD122" s="0" t="str">
        <f aca="false">IF(AM122="","",INDEX(CATÁLOGO!$F$5:$F$39,AM122))</f>
        <v/>
      </c>
      <c r="AE122" s="0" t="str">
        <f aca="false">IF(AD122="","",IF(ISNUMBER(AD122),AD122*AV122,AD122))</f>
        <v/>
      </c>
      <c r="AF122" s="0" t="str">
        <f aca="false">IF(AM122="","",INDEX(CATÁLOGO!$G$5:$G$39,AM122))</f>
        <v/>
      </c>
      <c r="AG122" s="0" t="str">
        <f aca="false">IF(AF122="","",IF(ISNUMBER(AF122),AF122*AV122,AF122))</f>
        <v/>
      </c>
      <c r="AH122" s="0" t="str">
        <f aca="false">IF(E122="","",C122&amp;"|"&amp;D122)</f>
        <v/>
      </c>
      <c r="AI122" s="27" t="n">
        <f aca="false">IF(M122&lt;&gt;"Sí",0,SUMPRODUCT(MAX(($AH$5:AH121=AH122)*($M$5:M121="Sí")*ROW($AH$5:AH121))))</f>
        <v>0</v>
      </c>
      <c r="AJ122" s="0" t="str">
        <f aca="false">IF(M122&lt;&gt;"Sí","",IF(AL122=1,B122,INDEX($AJ:$AJ,AI122)))</f>
        <v/>
      </c>
      <c r="AK122" s="0" t="str">
        <f aca="false">IF(M122&lt;&gt;"Sí","",IF(AL122=1,E122,INDEX($AK:$AK,AI122)+E122))</f>
        <v/>
      </c>
      <c r="AL122" s="0" t="str">
        <f aca="false">IF(M122&lt;&gt;"Sí","",IF(AI122=0,1,IF(INDEX($AN:$AN,AI122)=0,1,IF(B122&gt;=EDATE(INDEX($AJ:$AJ,AI122),6),1,0))))</f>
        <v/>
      </c>
      <c r="AM122" s="0" t="str">
        <f aca="false">IF(D122="","",IFERROR(MATCH(D122,CATÁLOGO!$C$5:$C$39,0),""))</f>
        <v/>
      </c>
      <c r="AN122" s="0" t="str">
        <f aca="false">IF(M122&lt;&gt;"Sí","",IF(AND(ISNUMBER(AE122),AK122&gt;=AE122),0,1))</f>
        <v/>
      </c>
      <c r="AO122" s="0" t="str">
        <f aca="false">IF(OR(E122="",C122="",NOT(ISNUMBER(B122))),"",SUMIFS($E$6:$E$505,$C$6:$C$505,C122,$B$6:$B$505,"&gt;="&amp;DATE(YEAR(B122),MONTH(B122),1),$B$6:$B$505,"&lt;"&amp;DATE(YEAR(B122),MONTH(B122)+1,1)))</f>
        <v/>
      </c>
      <c r="AP122" s="0" t="str">
        <f aca="false">IF(C122="","",IFERROR(INDEX(CLIENTES!$M$6:$M$305,MATCH(C122,CLIENTES!$A$6:$A$305,0)),""))</f>
        <v/>
      </c>
      <c r="AQ122" s="27" t="n">
        <f aca="false">IF(AND(ISNUMBER(AO122),ISNUMBER(AP122)),IF(AND(AP122&gt;0,AO122&gt;AP122),1,0),0)</f>
        <v>0</v>
      </c>
      <c r="AR122" s="27" t="n">
        <f aca="false">IF(NOT(ISNUMBER(B122)),0,IF(B122&lt;MAX($B$5:B121),1,0))</f>
        <v>0</v>
      </c>
      <c r="AS122" s="0" t="str">
        <f aca="false">IF(C122="","",IFERROR(INDEX(CLIENTES!$H$6:$H$305,MATCH(C122,CLIENTES!$A$6:$A$305,0)),""))</f>
        <v/>
      </c>
      <c r="AT122" s="0" t="str">
        <f aca="false">IF(AND(LEFT(P122,5)="AVISO",T122&lt;&gt;"Presentado",ISNUMBER(Q122)),Q122,"")</f>
        <v/>
      </c>
      <c r="AU122" s="27" t="n">
        <f aca="false">IF(AND(D122="XVI - Activos virtuales (PSAV): operación de intercambio/transferencia",M122="Sí",ISNUMBER(AE122)),IF(AK122&gt;=AE122,1,0),0)</f>
        <v>0</v>
      </c>
      <c r="AV122" s="30" t="n">
        <f aca="false">IF(NOT(ISNUMBER(B122)),CONFIG!$B$4,IFERROR(INDEX(CONFIG!$I$5:$I$14,MATCH(IF(MONTH(B122)=1,YEAR(B122)-1,YEAR(B122)),CONFIG!$H$5:$H$14,0)),CONFIG!$B$4))</f>
        <v>117.31</v>
      </c>
      <c r="AW122" s="27" t="n">
        <f aca="false">IF(AND(LEFT(D122,4)="I - ",ISNUMBER(B122),C122&lt;&gt;""),SUMIFS($E$6:$E$505,$C$6:$C$505,C122,$D$6:$D$505,D122,$B$6:$B$505,"&gt;"&amp;(B122-1),$B$6:$B$505,"&lt;="&amp;B122),0)</f>
        <v>0</v>
      </c>
      <c r="AX122" s="0" t="str">
        <f aca="false">IF(E122="","",IF(AD122="Siempre","AVISO (siempre)",IF(AD122="No aplica","Sin Aviso (sólo preparas: Ley 17 XI)",IF(NOT(ISNUMBER(AE122)),"",IF(AA122&lt;&gt;"ACUMULA",IF(E122&gt;=AE122,IF(AND(D122="XVI - Activos virtuales (PSAV): cobro de contraprestación (comisión) por el servicio",COUNTIFS($C$6:$C$505,C122,$B$6:$B$505,"&gt;="&amp;INT(B122),$B$6:$B$505,"&lt;"&amp;(INT(B122)+1),$AU$6:$AU$505,1)&gt;0),"En el Aviso del inciso a) (R 31 Bis)","AVISO"),"—"),IF(M122&lt;&gt;"Sí","—",IF(AK122&gt;=AE122,IF(AK122=E122,"AVISO","AVISO (acumulado)"),"Acumulando")))))))</f>
        <v/>
      </c>
    </row>
    <row r="123" customFormat="false" ht="15" hidden="false" customHeight="false" outlineLevel="0" collapsed="false">
      <c r="A123" s="9" t="str">
        <f aca="false">IF(E123="","",ROW()-5)</f>
        <v/>
      </c>
      <c r="B123" s="20"/>
      <c r="C123" s="21"/>
      <c r="D123" s="21"/>
      <c r="E123" s="22"/>
      <c r="F123" s="22"/>
      <c r="G123" s="21"/>
      <c r="H123" s="21"/>
      <c r="I123" s="9" t="str">
        <f aca="false">IF(C123="","",IFERROR(INDEX(CLIENTES!$B$6:$B$305,MATCH(C123,CLIENTES!$A$6:$A$305,0)),"⚠ ID no registrado"))</f>
        <v/>
      </c>
      <c r="J123" s="9" t="str">
        <f aca="false">IF(C123="","",IFERROR(INDEX(CLIENTES!$Z$6:$Z$305,MATCH(C123,CLIENTES!$A$6:$A$305,0)),""))</f>
        <v/>
      </c>
      <c r="K123" s="9" t="str">
        <f aca="false">IF(E123="","",IF(AB123="Siempre","Sí",IF(ISNUMBER(AC123),IF(E123&gt;=AC123,"Sí",IF(AW123&gt;=AC123,"Sí (serie 24 h)","No")),"")))</f>
        <v/>
      </c>
      <c r="L123" s="9" t="str">
        <f aca="false">IF(E123="","",AA123)</f>
        <v/>
      </c>
      <c r="M123" s="9" t="str">
        <f aca="false">IF(E123="","",IF(AA123&lt;&gt;"ACUMULA","No aplica",IF(LEFT(K123,2)="Sí","Sí","No")))</f>
        <v/>
      </c>
      <c r="N123" s="23" t="str">
        <f aca="false">IF(M123="Sí",AJ123,"")</f>
        <v/>
      </c>
      <c r="O123" s="24" t="str">
        <f aca="false">IF(M123="Sí",AK123,"")</f>
        <v/>
      </c>
      <c r="P123" s="25" t="str">
        <f aca="false">IF(AND(LEFT(D123,6)="XIV - ",LEFT(AX123,5)="AVISO"),"Pedimento (R 16): no va al SPPLD",AX123)</f>
        <v/>
      </c>
      <c r="Q123" s="23" t="str">
        <f aca="false">IF(LEFT(P123,5)="AVISO",IF(ISNUMBER(B123),DATE(YEAR(B123),MONTH(B123)+1,17),"Falta fecha"),"")</f>
        <v/>
      </c>
      <c r="R123" s="9" t="str">
        <f aca="false">IF(OR(F123="",F123=0),"",IF(ISNUMBER(AG123),IF(F123&gt;=AG123,"PROHIBIDO","Dentro del límite"),"No aplica"))</f>
        <v/>
      </c>
      <c r="S123" s="26" t="str">
        <f aca="false">IF(E123="","",MID(IF(AQ123=1," · Excede el perfil declarado","")&amp;IF(H123="Sí"," · Paga un tercero","")&amp;IF(J123="Alto"," · Cliente de riesgo alto: DDR (RCG 23 Ter 3 y 4)","")&amp;IF(AND(AS123&lt;&gt;"",AS123&lt;&gt;"No",AS123&lt;&gt;0)," · PEP","")&amp;IF(R123="PROHIBIDO"," · Efectivo prohibido: no lo recibas (Art. 32)","")&amp;IF(AR123=1," · ⚠ Fecha fuera de orden","")&amp;IF(LEFT(I123,1)="⚠"," · ⚠ Cliente no registrado","")&amp;IF(D123=""," · ⚠ Falta la actividad","")&amp;IF(AND(LEFT(P123,5)="AVISO",W123="")," · Captura la cifra total con IVA para el Aviso","")&amp;IF(AND(ISNUMBER(W123),W123&lt;E123)," · ⚠ La cifra con IVA es menor que el monto sin IVA",""),4,400))</f>
        <v/>
      </c>
      <c r="T123" s="21"/>
      <c r="U123" s="20"/>
      <c r="V123" s="9" t="str">
        <f aca="false">IF(LEFT(P123,5)&lt;&gt;"AVISO","",IF(T123="Presentado",IF(AND(ISNUMBER(U123),ISNUMBER(Q123),U123&gt;Q123),"Presentado tarde","Presentado"),IF(NOT(ISNUMBER(Q123)),"Falta fecha",IF(Q123&lt;CONFIG!$B$6,"VENCIDO","Vence en "&amp;(Q123-CONFIG!$B$6)&amp;" días"))))</f>
        <v/>
      </c>
      <c r="W123" s="22"/>
      <c r="X123" s="21"/>
      <c r="AA123" s="0" t="str">
        <f aca="false">IF(AM123="","",INDEX(CATÁLOGO!$D$5:$D$39,AM123))</f>
        <v/>
      </c>
      <c r="AB123" s="0" t="str">
        <f aca="false">IF(AM123="","",INDEX(CATÁLOGO!$E$5:$E$39,AM123))</f>
        <v/>
      </c>
      <c r="AC123" s="0" t="str">
        <f aca="false">IF(AB123="","",IF(ISNUMBER(AB123),AB123*AV123,AB123))</f>
        <v/>
      </c>
      <c r="AD123" s="0" t="str">
        <f aca="false">IF(AM123="","",INDEX(CATÁLOGO!$F$5:$F$39,AM123))</f>
        <v/>
      </c>
      <c r="AE123" s="0" t="str">
        <f aca="false">IF(AD123="","",IF(ISNUMBER(AD123),AD123*AV123,AD123))</f>
        <v/>
      </c>
      <c r="AF123" s="0" t="str">
        <f aca="false">IF(AM123="","",INDEX(CATÁLOGO!$G$5:$G$39,AM123))</f>
        <v/>
      </c>
      <c r="AG123" s="0" t="str">
        <f aca="false">IF(AF123="","",IF(ISNUMBER(AF123),AF123*AV123,AF123))</f>
        <v/>
      </c>
      <c r="AH123" s="0" t="str">
        <f aca="false">IF(E123="","",C123&amp;"|"&amp;D123)</f>
        <v/>
      </c>
      <c r="AI123" s="27" t="n">
        <f aca="false">IF(M123&lt;&gt;"Sí",0,SUMPRODUCT(MAX(($AH$5:AH122=AH123)*($M$5:M122="Sí")*ROW($AH$5:AH122))))</f>
        <v>0</v>
      </c>
      <c r="AJ123" s="0" t="str">
        <f aca="false">IF(M123&lt;&gt;"Sí","",IF(AL123=1,B123,INDEX($AJ:$AJ,AI123)))</f>
        <v/>
      </c>
      <c r="AK123" s="0" t="str">
        <f aca="false">IF(M123&lt;&gt;"Sí","",IF(AL123=1,E123,INDEX($AK:$AK,AI123)+E123))</f>
        <v/>
      </c>
      <c r="AL123" s="0" t="str">
        <f aca="false">IF(M123&lt;&gt;"Sí","",IF(AI123=0,1,IF(INDEX($AN:$AN,AI123)=0,1,IF(B123&gt;=EDATE(INDEX($AJ:$AJ,AI123),6),1,0))))</f>
        <v/>
      </c>
      <c r="AM123" s="0" t="str">
        <f aca="false">IF(D123="","",IFERROR(MATCH(D123,CATÁLOGO!$C$5:$C$39,0),""))</f>
        <v/>
      </c>
      <c r="AN123" s="0" t="str">
        <f aca="false">IF(M123&lt;&gt;"Sí","",IF(AND(ISNUMBER(AE123),AK123&gt;=AE123),0,1))</f>
        <v/>
      </c>
      <c r="AO123" s="0" t="str">
        <f aca="false">IF(OR(E123="",C123="",NOT(ISNUMBER(B123))),"",SUMIFS($E$6:$E$505,$C$6:$C$505,C123,$B$6:$B$505,"&gt;="&amp;DATE(YEAR(B123),MONTH(B123),1),$B$6:$B$505,"&lt;"&amp;DATE(YEAR(B123),MONTH(B123)+1,1)))</f>
        <v/>
      </c>
      <c r="AP123" s="0" t="str">
        <f aca="false">IF(C123="","",IFERROR(INDEX(CLIENTES!$M$6:$M$305,MATCH(C123,CLIENTES!$A$6:$A$305,0)),""))</f>
        <v/>
      </c>
      <c r="AQ123" s="27" t="n">
        <f aca="false">IF(AND(ISNUMBER(AO123),ISNUMBER(AP123)),IF(AND(AP123&gt;0,AO123&gt;AP123),1,0),0)</f>
        <v>0</v>
      </c>
      <c r="AR123" s="27" t="n">
        <f aca="false">IF(NOT(ISNUMBER(B123)),0,IF(B123&lt;MAX($B$5:B122),1,0))</f>
        <v>0</v>
      </c>
      <c r="AS123" s="0" t="str">
        <f aca="false">IF(C123="","",IFERROR(INDEX(CLIENTES!$H$6:$H$305,MATCH(C123,CLIENTES!$A$6:$A$305,0)),""))</f>
        <v/>
      </c>
      <c r="AT123" s="0" t="str">
        <f aca="false">IF(AND(LEFT(P123,5)="AVISO",T123&lt;&gt;"Presentado",ISNUMBER(Q123)),Q123,"")</f>
        <v/>
      </c>
      <c r="AU123" s="27" t="n">
        <f aca="false">IF(AND(D123="XVI - Activos virtuales (PSAV): operación de intercambio/transferencia",M123="Sí",ISNUMBER(AE123)),IF(AK123&gt;=AE123,1,0),0)</f>
        <v>0</v>
      </c>
      <c r="AV123" s="30" t="n">
        <f aca="false">IF(NOT(ISNUMBER(B123)),CONFIG!$B$4,IFERROR(INDEX(CONFIG!$I$5:$I$14,MATCH(IF(MONTH(B123)=1,YEAR(B123)-1,YEAR(B123)),CONFIG!$H$5:$H$14,0)),CONFIG!$B$4))</f>
        <v>117.31</v>
      </c>
      <c r="AW123" s="27" t="n">
        <f aca="false">IF(AND(LEFT(D123,4)="I - ",ISNUMBER(B123),C123&lt;&gt;""),SUMIFS($E$6:$E$505,$C$6:$C$505,C123,$D$6:$D$505,D123,$B$6:$B$505,"&gt;"&amp;(B123-1),$B$6:$B$505,"&lt;="&amp;B123),0)</f>
        <v>0</v>
      </c>
      <c r="AX123" s="0" t="str">
        <f aca="false">IF(E123="","",IF(AD123="Siempre","AVISO (siempre)",IF(AD123="No aplica","Sin Aviso (sólo preparas: Ley 17 XI)",IF(NOT(ISNUMBER(AE123)),"",IF(AA123&lt;&gt;"ACUMULA",IF(E123&gt;=AE123,IF(AND(D123="XVI - Activos virtuales (PSAV): cobro de contraprestación (comisión) por el servicio",COUNTIFS($C$6:$C$505,C123,$B$6:$B$505,"&gt;="&amp;INT(B123),$B$6:$B$505,"&lt;"&amp;(INT(B123)+1),$AU$6:$AU$505,1)&gt;0),"En el Aviso del inciso a) (R 31 Bis)","AVISO"),"—"),IF(M123&lt;&gt;"Sí","—",IF(AK123&gt;=AE123,IF(AK123=E123,"AVISO","AVISO (acumulado)"),"Acumulando")))))))</f>
        <v/>
      </c>
    </row>
    <row r="124" customFormat="false" ht="15" hidden="false" customHeight="false" outlineLevel="0" collapsed="false">
      <c r="A124" s="9" t="str">
        <f aca="false">IF(E124="","",ROW()-5)</f>
        <v/>
      </c>
      <c r="B124" s="20"/>
      <c r="C124" s="21"/>
      <c r="D124" s="21"/>
      <c r="E124" s="22"/>
      <c r="F124" s="22"/>
      <c r="G124" s="21"/>
      <c r="H124" s="21"/>
      <c r="I124" s="9" t="str">
        <f aca="false">IF(C124="","",IFERROR(INDEX(CLIENTES!$B$6:$B$305,MATCH(C124,CLIENTES!$A$6:$A$305,0)),"⚠ ID no registrado"))</f>
        <v/>
      </c>
      <c r="J124" s="9" t="str">
        <f aca="false">IF(C124="","",IFERROR(INDEX(CLIENTES!$Z$6:$Z$305,MATCH(C124,CLIENTES!$A$6:$A$305,0)),""))</f>
        <v/>
      </c>
      <c r="K124" s="9" t="str">
        <f aca="false">IF(E124="","",IF(AB124="Siempre","Sí",IF(ISNUMBER(AC124),IF(E124&gt;=AC124,"Sí",IF(AW124&gt;=AC124,"Sí (serie 24 h)","No")),"")))</f>
        <v/>
      </c>
      <c r="L124" s="9" t="str">
        <f aca="false">IF(E124="","",AA124)</f>
        <v/>
      </c>
      <c r="M124" s="9" t="str">
        <f aca="false">IF(E124="","",IF(AA124&lt;&gt;"ACUMULA","No aplica",IF(LEFT(K124,2)="Sí","Sí","No")))</f>
        <v/>
      </c>
      <c r="N124" s="23" t="str">
        <f aca="false">IF(M124="Sí",AJ124,"")</f>
        <v/>
      </c>
      <c r="O124" s="24" t="str">
        <f aca="false">IF(M124="Sí",AK124,"")</f>
        <v/>
      </c>
      <c r="P124" s="25" t="str">
        <f aca="false">IF(AND(LEFT(D124,6)="XIV - ",LEFT(AX124,5)="AVISO"),"Pedimento (R 16): no va al SPPLD",AX124)</f>
        <v/>
      </c>
      <c r="Q124" s="23" t="str">
        <f aca="false">IF(LEFT(P124,5)="AVISO",IF(ISNUMBER(B124),DATE(YEAR(B124),MONTH(B124)+1,17),"Falta fecha"),"")</f>
        <v/>
      </c>
      <c r="R124" s="9" t="str">
        <f aca="false">IF(OR(F124="",F124=0),"",IF(ISNUMBER(AG124),IF(F124&gt;=AG124,"PROHIBIDO","Dentro del límite"),"No aplica"))</f>
        <v/>
      </c>
      <c r="S124" s="26" t="str">
        <f aca="false">IF(E124="","",MID(IF(AQ124=1," · Excede el perfil declarado","")&amp;IF(H124="Sí"," · Paga un tercero","")&amp;IF(J124="Alto"," · Cliente de riesgo alto: DDR (RCG 23 Ter 3 y 4)","")&amp;IF(AND(AS124&lt;&gt;"",AS124&lt;&gt;"No",AS124&lt;&gt;0)," · PEP","")&amp;IF(R124="PROHIBIDO"," · Efectivo prohibido: no lo recibas (Art. 32)","")&amp;IF(AR124=1," · ⚠ Fecha fuera de orden","")&amp;IF(LEFT(I124,1)="⚠"," · ⚠ Cliente no registrado","")&amp;IF(D124=""," · ⚠ Falta la actividad","")&amp;IF(AND(LEFT(P124,5)="AVISO",W124="")," · Captura la cifra total con IVA para el Aviso","")&amp;IF(AND(ISNUMBER(W124),W124&lt;E124)," · ⚠ La cifra con IVA es menor que el monto sin IVA",""),4,400))</f>
        <v/>
      </c>
      <c r="T124" s="21"/>
      <c r="U124" s="20"/>
      <c r="V124" s="9" t="str">
        <f aca="false">IF(LEFT(P124,5)&lt;&gt;"AVISO","",IF(T124="Presentado",IF(AND(ISNUMBER(U124),ISNUMBER(Q124),U124&gt;Q124),"Presentado tarde","Presentado"),IF(NOT(ISNUMBER(Q124)),"Falta fecha",IF(Q124&lt;CONFIG!$B$6,"VENCIDO","Vence en "&amp;(Q124-CONFIG!$B$6)&amp;" días"))))</f>
        <v/>
      </c>
      <c r="W124" s="22"/>
      <c r="X124" s="21"/>
      <c r="AA124" s="0" t="str">
        <f aca="false">IF(AM124="","",INDEX(CATÁLOGO!$D$5:$D$39,AM124))</f>
        <v/>
      </c>
      <c r="AB124" s="0" t="str">
        <f aca="false">IF(AM124="","",INDEX(CATÁLOGO!$E$5:$E$39,AM124))</f>
        <v/>
      </c>
      <c r="AC124" s="0" t="str">
        <f aca="false">IF(AB124="","",IF(ISNUMBER(AB124),AB124*AV124,AB124))</f>
        <v/>
      </c>
      <c r="AD124" s="0" t="str">
        <f aca="false">IF(AM124="","",INDEX(CATÁLOGO!$F$5:$F$39,AM124))</f>
        <v/>
      </c>
      <c r="AE124" s="0" t="str">
        <f aca="false">IF(AD124="","",IF(ISNUMBER(AD124),AD124*AV124,AD124))</f>
        <v/>
      </c>
      <c r="AF124" s="0" t="str">
        <f aca="false">IF(AM124="","",INDEX(CATÁLOGO!$G$5:$G$39,AM124))</f>
        <v/>
      </c>
      <c r="AG124" s="0" t="str">
        <f aca="false">IF(AF124="","",IF(ISNUMBER(AF124),AF124*AV124,AF124))</f>
        <v/>
      </c>
      <c r="AH124" s="0" t="str">
        <f aca="false">IF(E124="","",C124&amp;"|"&amp;D124)</f>
        <v/>
      </c>
      <c r="AI124" s="27" t="n">
        <f aca="false">IF(M124&lt;&gt;"Sí",0,SUMPRODUCT(MAX(($AH$5:AH123=AH124)*($M$5:M123="Sí")*ROW($AH$5:AH123))))</f>
        <v>0</v>
      </c>
      <c r="AJ124" s="0" t="str">
        <f aca="false">IF(M124&lt;&gt;"Sí","",IF(AL124=1,B124,INDEX($AJ:$AJ,AI124)))</f>
        <v/>
      </c>
      <c r="AK124" s="0" t="str">
        <f aca="false">IF(M124&lt;&gt;"Sí","",IF(AL124=1,E124,INDEX($AK:$AK,AI124)+E124))</f>
        <v/>
      </c>
      <c r="AL124" s="0" t="str">
        <f aca="false">IF(M124&lt;&gt;"Sí","",IF(AI124=0,1,IF(INDEX($AN:$AN,AI124)=0,1,IF(B124&gt;=EDATE(INDEX($AJ:$AJ,AI124),6),1,0))))</f>
        <v/>
      </c>
      <c r="AM124" s="0" t="str">
        <f aca="false">IF(D124="","",IFERROR(MATCH(D124,CATÁLOGO!$C$5:$C$39,0),""))</f>
        <v/>
      </c>
      <c r="AN124" s="0" t="str">
        <f aca="false">IF(M124&lt;&gt;"Sí","",IF(AND(ISNUMBER(AE124),AK124&gt;=AE124),0,1))</f>
        <v/>
      </c>
      <c r="AO124" s="0" t="str">
        <f aca="false">IF(OR(E124="",C124="",NOT(ISNUMBER(B124))),"",SUMIFS($E$6:$E$505,$C$6:$C$505,C124,$B$6:$B$505,"&gt;="&amp;DATE(YEAR(B124),MONTH(B124),1),$B$6:$B$505,"&lt;"&amp;DATE(YEAR(B124),MONTH(B124)+1,1)))</f>
        <v/>
      </c>
      <c r="AP124" s="0" t="str">
        <f aca="false">IF(C124="","",IFERROR(INDEX(CLIENTES!$M$6:$M$305,MATCH(C124,CLIENTES!$A$6:$A$305,0)),""))</f>
        <v/>
      </c>
      <c r="AQ124" s="27" t="n">
        <f aca="false">IF(AND(ISNUMBER(AO124),ISNUMBER(AP124)),IF(AND(AP124&gt;0,AO124&gt;AP124),1,0),0)</f>
        <v>0</v>
      </c>
      <c r="AR124" s="27" t="n">
        <f aca="false">IF(NOT(ISNUMBER(B124)),0,IF(B124&lt;MAX($B$5:B123),1,0))</f>
        <v>0</v>
      </c>
      <c r="AS124" s="0" t="str">
        <f aca="false">IF(C124="","",IFERROR(INDEX(CLIENTES!$H$6:$H$305,MATCH(C124,CLIENTES!$A$6:$A$305,0)),""))</f>
        <v/>
      </c>
      <c r="AT124" s="0" t="str">
        <f aca="false">IF(AND(LEFT(P124,5)="AVISO",T124&lt;&gt;"Presentado",ISNUMBER(Q124)),Q124,"")</f>
        <v/>
      </c>
      <c r="AU124" s="27" t="n">
        <f aca="false">IF(AND(D124="XVI - Activos virtuales (PSAV): operación de intercambio/transferencia",M124="Sí",ISNUMBER(AE124)),IF(AK124&gt;=AE124,1,0),0)</f>
        <v>0</v>
      </c>
      <c r="AV124" s="30" t="n">
        <f aca="false">IF(NOT(ISNUMBER(B124)),CONFIG!$B$4,IFERROR(INDEX(CONFIG!$I$5:$I$14,MATCH(IF(MONTH(B124)=1,YEAR(B124)-1,YEAR(B124)),CONFIG!$H$5:$H$14,0)),CONFIG!$B$4))</f>
        <v>117.31</v>
      </c>
      <c r="AW124" s="27" t="n">
        <f aca="false">IF(AND(LEFT(D124,4)="I - ",ISNUMBER(B124),C124&lt;&gt;""),SUMIFS($E$6:$E$505,$C$6:$C$505,C124,$D$6:$D$505,D124,$B$6:$B$505,"&gt;"&amp;(B124-1),$B$6:$B$505,"&lt;="&amp;B124),0)</f>
        <v>0</v>
      </c>
      <c r="AX124" s="0" t="str">
        <f aca="false">IF(E124="","",IF(AD124="Siempre","AVISO (siempre)",IF(AD124="No aplica","Sin Aviso (sólo preparas: Ley 17 XI)",IF(NOT(ISNUMBER(AE124)),"",IF(AA124&lt;&gt;"ACUMULA",IF(E124&gt;=AE124,IF(AND(D124="XVI - Activos virtuales (PSAV): cobro de contraprestación (comisión) por el servicio",COUNTIFS($C$6:$C$505,C124,$B$6:$B$505,"&gt;="&amp;INT(B124),$B$6:$B$505,"&lt;"&amp;(INT(B124)+1),$AU$6:$AU$505,1)&gt;0),"En el Aviso del inciso a) (R 31 Bis)","AVISO"),"—"),IF(M124&lt;&gt;"Sí","—",IF(AK124&gt;=AE124,IF(AK124=E124,"AVISO","AVISO (acumulado)"),"Acumulando")))))))</f>
        <v/>
      </c>
    </row>
    <row r="125" customFormat="false" ht="15" hidden="false" customHeight="false" outlineLevel="0" collapsed="false">
      <c r="A125" s="9" t="str">
        <f aca="false">IF(E125="","",ROW()-5)</f>
        <v/>
      </c>
      <c r="B125" s="20"/>
      <c r="C125" s="21"/>
      <c r="D125" s="21"/>
      <c r="E125" s="22"/>
      <c r="F125" s="22"/>
      <c r="G125" s="21"/>
      <c r="H125" s="21"/>
      <c r="I125" s="9" t="str">
        <f aca="false">IF(C125="","",IFERROR(INDEX(CLIENTES!$B$6:$B$305,MATCH(C125,CLIENTES!$A$6:$A$305,0)),"⚠ ID no registrado"))</f>
        <v/>
      </c>
      <c r="J125" s="9" t="str">
        <f aca="false">IF(C125="","",IFERROR(INDEX(CLIENTES!$Z$6:$Z$305,MATCH(C125,CLIENTES!$A$6:$A$305,0)),""))</f>
        <v/>
      </c>
      <c r="K125" s="9" t="str">
        <f aca="false">IF(E125="","",IF(AB125="Siempre","Sí",IF(ISNUMBER(AC125),IF(E125&gt;=AC125,"Sí",IF(AW125&gt;=AC125,"Sí (serie 24 h)","No")),"")))</f>
        <v/>
      </c>
      <c r="L125" s="9" t="str">
        <f aca="false">IF(E125="","",AA125)</f>
        <v/>
      </c>
      <c r="M125" s="9" t="str">
        <f aca="false">IF(E125="","",IF(AA125&lt;&gt;"ACUMULA","No aplica",IF(LEFT(K125,2)="Sí","Sí","No")))</f>
        <v/>
      </c>
      <c r="N125" s="23" t="str">
        <f aca="false">IF(M125="Sí",AJ125,"")</f>
        <v/>
      </c>
      <c r="O125" s="24" t="str">
        <f aca="false">IF(M125="Sí",AK125,"")</f>
        <v/>
      </c>
      <c r="P125" s="25" t="str">
        <f aca="false">IF(AND(LEFT(D125,6)="XIV - ",LEFT(AX125,5)="AVISO"),"Pedimento (R 16): no va al SPPLD",AX125)</f>
        <v/>
      </c>
      <c r="Q125" s="23" t="str">
        <f aca="false">IF(LEFT(P125,5)="AVISO",IF(ISNUMBER(B125),DATE(YEAR(B125),MONTH(B125)+1,17),"Falta fecha"),"")</f>
        <v/>
      </c>
      <c r="R125" s="9" t="str">
        <f aca="false">IF(OR(F125="",F125=0),"",IF(ISNUMBER(AG125),IF(F125&gt;=AG125,"PROHIBIDO","Dentro del límite"),"No aplica"))</f>
        <v/>
      </c>
      <c r="S125" s="26" t="str">
        <f aca="false">IF(E125="","",MID(IF(AQ125=1," · Excede el perfil declarado","")&amp;IF(H125="Sí"," · Paga un tercero","")&amp;IF(J125="Alto"," · Cliente de riesgo alto: DDR (RCG 23 Ter 3 y 4)","")&amp;IF(AND(AS125&lt;&gt;"",AS125&lt;&gt;"No",AS125&lt;&gt;0)," · PEP","")&amp;IF(R125="PROHIBIDO"," · Efectivo prohibido: no lo recibas (Art. 32)","")&amp;IF(AR125=1," · ⚠ Fecha fuera de orden","")&amp;IF(LEFT(I125,1)="⚠"," · ⚠ Cliente no registrado","")&amp;IF(D125=""," · ⚠ Falta la actividad","")&amp;IF(AND(LEFT(P125,5)="AVISO",W125="")," · Captura la cifra total con IVA para el Aviso","")&amp;IF(AND(ISNUMBER(W125),W125&lt;E125)," · ⚠ La cifra con IVA es menor que el monto sin IVA",""),4,400))</f>
        <v/>
      </c>
      <c r="T125" s="21"/>
      <c r="U125" s="20"/>
      <c r="V125" s="9" t="str">
        <f aca="false">IF(LEFT(P125,5)&lt;&gt;"AVISO","",IF(T125="Presentado",IF(AND(ISNUMBER(U125),ISNUMBER(Q125),U125&gt;Q125),"Presentado tarde","Presentado"),IF(NOT(ISNUMBER(Q125)),"Falta fecha",IF(Q125&lt;CONFIG!$B$6,"VENCIDO","Vence en "&amp;(Q125-CONFIG!$B$6)&amp;" días"))))</f>
        <v/>
      </c>
      <c r="W125" s="22"/>
      <c r="X125" s="21"/>
      <c r="AA125" s="0" t="str">
        <f aca="false">IF(AM125="","",INDEX(CATÁLOGO!$D$5:$D$39,AM125))</f>
        <v/>
      </c>
      <c r="AB125" s="0" t="str">
        <f aca="false">IF(AM125="","",INDEX(CATÁLOGO!$E$5:$E$39,AM125))</f>
        <v/>
      </c>
      <c r="AC125" s="0" t="str">
        <f aca="false">IF(AB125="","",IF(ISNUMBER(AB125),AB125*AV125,AB125))</f>
        <v/>
      </c>
      <c r="AD125" s="0" t="str">
        <f aca="false">IF(AM125="","",INDEX(CATÁLOGO!$F$5:$F$39,AM125))</f>
        <v/>
      </c>
      <c r="AE125" s="0" t="str">
        <f aca="false">IF(AD125="","",IF(ISNUMBER(AD125),AD125*AV125,AD125))</f>
        <v/>
      </c>
      <c r="AF125" s="0" t="str">
        <f aca="false">IF(AM125="","",INDEX(CATÁLOGO!$G$5:$G$39,AM125))</f>
        <v/>
      </c>
      <c r="AG125" s="0" t="str">
        <f aca="false">IF(AF125="","",IF(ISNUMBER(AF125),AF125*AV125,AF125))</f>
        <v/>
      </c>
      <c r="AH125" s="0" t="str">
        <f aca="false">IF(E125="","",C125&amp;"|"&amp;D125)</f>
        <v/>
      </c>
      <c r="AI125" s="27" t="n">
        <f aca="false">IF(M125&lt;&gt;"Sí",0,SUMPRODUCT(MAX(($AH$5:AH124=AH125)*($M$5:M124="Sí")*ROW($AH$5:AH124))))</f>
        <v>0</v>
      </c>
      <c r="AJ125" s="0" t="str">
        <f aca="false">IF(M125&lt;&gt;"Sí","",IF(AL125=1,B125,INDEX($AJ:$AJ,AI125)))</f>
        <v/>
      </c>
      <c r="AK125" s="0" t="str">
        <f aca="false">IF(M125&lt;&gt;"Sí","",IF(AL125=1,E125,INDEX($AK:$AK,AI125)+E125))</f>
        <v/>
      </c>
      <c r="AL125" s="0" t="str">
        <f aca="false">IF(M125&lt;&gt;"Sí","",IF(AI125=0,1,IF(INDEX($AN:$AN,AI125)=0,1,IF(B125&gt;=EDATE(INDEX($AJ:$AJ,AI125),6),1,0))))</f>
        <v/>
      </c>
      <c r="AM125" s="0" t="str">
        <f aca="false">IF(D125="","",IFERROR(MATCH(D125,CATÁLOGO!$C$5:$C$39,0),""))</f>
        <v/>
      </c>
      <c r="AN125" s="0" t="str">
        <f aca="false">IF(M125&lt;&gt;"Sí","",IF(AND(ISNUMBER(AE125),AK125&gt;=AE125),0,1))</f>
        <v/>
      </c>
      <c r="AO125" s="0" t="str">
        <f aca="false">IF(OR(E125="",C125="",NOT(ISNUMBER(B125))),"",SUMIFS($E$6:$E$505,$C$6:$C$505,C125,$B$6:$B$505,"&gt;="&amp;DATE(YEAR(B125),MONTH(B125),1),$B$6:$B$505,"&lt;"&amp;DATE(YEAR(B125),MONTH(B125)+1,1)))</f>
        <v/>
      </c>
      <c r="AP125" s="0" t="str">
        <f aca="false">IF(C125="","",IFERROR(INDEX(CLIENTES!$M$6:$M$305,MATCH(C125,CLIENTES!$A$6:$A$305,0)),""))</f>
        <v/>
      </c>
      <c r="AQ125" s="27" t="n">
        <f aca="false">IF(AND(ISNUMBER(AO125),ISNUMBER(AP125)),IF(AND(AP125&gt;0,AO125&gt;AP125),1,0),0)</f>
        <v>0</v>
      </c>
      <c r="AR125" s="27" t="n">
        <f aca="false">IF(NOT(ISNUMBER(B125)),0,IF(B125&lt;MAX($B$5:B124),1,0))</f>
        <v>0</v>
      </c>
      <c r="AS125" s="0" t="str">
        <f aca="false">IF(C125="","",IFERROR(INDEX(CLIENTES!$H$6:$H$305,MATCH(C125,CLIENTES!$A$6:$A$305,0)),""))</f>
        <v/>
      </c>
      <c r="AT125" s="0" t="str">
        <f aca="false">IF(AND(LEFT(P125,5)="AVISO",T125&lt;&gt;"Presentado",ISNUMBER(Q125)),Q125,"")</f>
        <v/>
      </c>
      <c r="AU125" s="27" t="n">
        <f aca="false">IF(AND(D125="XVI - Activos virtuales (PSAV): operación de intercambio/transferencia",M125="Sí",ISNUMBER(AE125)),IF(AK125&gt;=AE125,1,0),0)</f>
        <v>0</v>
      </c>
      <c r="AV125" s="30" t="n">
        <f aca="false">IF(NOT(ISNUMBER(B125)),CONFIG!$B$4,IFERROR(INDEX(CONFIG!$I$5:$I$14,MATCH(IF(MONTH(B125)=1,YEAR(B125)-1,YEAR(B125)),CONFIG!$H$5:$H$14,0)),CONFIG!$B$4))</f>
        <v>117.31</v>
      </c>
      <c r="AW125" s="27" t="n">
        <f aca="false">IF(AND(LEFT(D125,4)="I - ",ISNUMBER(B125),C125&lt;&gt;""),SUMIFS($E$6:$E$505,$C$6:$C$505,C125,$D$6:$D$505,D125,$B$6:$B$505,"&gt;"&amp;(B125-1),$B$6:$B$505,"&lt;="&amp;B125),0)</f>
        <v>0</v>
      </c>
      <c r="AX125" s="0" t="str">
        <f aca="false">IF(E125="","",IF(AD125="Siempre","AVISO (siempre)",IF(AD125="No aplica","Sin Aviso (sólo preparas: Ley 17 XI)",IF(NOT(ISNUMBER(AE125)),"",IF(AA125&lt;&gt;"ACUMULA",IF(E125&gt;=AE125,IF(AND(D125="XVI - Activos virtuales (PSAV): cobro de contraprestación (comisión) por el servicio",COUNTIFS($C$6:$C$505,C125,$B$6:$B$505,"&gt;="&amp;INT(B125),$B$6:$B$505,"&lt;"&amp;(INT(B125)+1),$AU$6:$AU$505,1)&gt;0),"En el Aviso del inciso a) (R 31 Bis)","AVISO"),"—"),IF(M125&lt;&gt;"Sí","—",IF(AK125&gt;=AE125,IF(AK125=E125,"AVISO","AVISO (acumulado)"),"Acumulando")))))))</f>
        <v/>
      </c>
    </row>
    <row r="126" customFormat="false" ht="15" hidden="false" customHeight="false" outlineLevel="0" collapsed="false">
      <c r="A126" s="9" t="str">
        <f aca="false">IF(E126="","",ROW()-5)</f>
        <v/>
      </c>
      <c r="B126" s="20"/>
      <c r="C126" s="21"/>
      <c r="D126" s="21"/>
      <c r="E126" s="22"/>
      <c r="F126" s="22"/>
      <c r="G126" s="21"/>
      <c r="H126" s="21"/>
      <c r="I126" s="9" t="str">
        <f aca="false">IF(C126="","",IFERROR(INDEX(CLIENTES!$B$6:$B$305,MATCH(C126,CLIENTES!$A$6:$A$305,0)),"⚠ ID no registrado"))</f>
        <v/>
      </c>
      <c r="J126" s="9" t="str">
        <f aca="false">IF(C126="","",IFERROR(INDEX(CLIENTES!$Z$6:$Z$305,MATCH(C126,CLIENTES!$A$6:$A$305,0)),""))</f>
        <v/>
      </c>
      <c r="K126" s="9" t="str">
        <f aca="false">IF(E126="","",IF(AB126="Siempre","Sí",IF(ISNUMBER(AC126),IF(E126&gt;=AC126,"Sí",IF(AW126&gt;=AC126,"Sí (serie 24 h)","No")),"")))</f>
        <v/>
      </c>
      <c r="L126" s="9" t="str">
        <f aca="false">IF(E126="","",AA126)</f>
        <v/>
      </c>
      <c r="M126" s="9" t="str">
        <f aca="false">IF(E126="","",IF(AA126&lt;&gt;"ACUMULA","No aplica",IF(LEFT(K126,2)="Sí","Sí","No")))</f>
        <v/>
      </c>
      <c r="N126" s="23" t="str">
        <f aca="false">IF(M126="Sí",AJ126,"")</f>
        <v/>
      </c>
      <c r="O126" s="24" t="str">
        <f aca="false">IF(M126="Sí",AK126,"")</f>
        <v/>
      </c>
      <c r="P126" s="25" t="str">
        <f aca="false">IF(AND(LEFT(D126,6)="XIV - ",LEFT(AX126,5)="AVISO"),"Pedimento (R 16): no va al SPPLD",AX126)</f>
        <v/>
      </c>
      <c r="Q126" s="23" t="str">
        <f aca="false">IF(LEFT(P126,5)="AVISO",IF(ISNUMBER(B126),DATE(YEAR(B126),MONTH(B126)+1,17),"Falta fecha"),"")</f>
        <v/>
      </c>
      <c r="R126" s="9" t="str">
        <f aca="false">IF(OR(F126="",F126=0),"",IF(ISNUMBER(AG126),IF(F126&gt;=AG126,"PROHIBIDO","Dentro del límite"),"No aplica"))</f>
        <v/>
      </c>
      <c r="S126" s="26" t="str">
        <f aca="false">IF(E126="","",MID(IF(AQ126=1," · Excede el perfil declarado","")&amp;IF(H126="Sí"," · Paga un tercero","")&amp;IF(J126="Alto"," · Cliente de riesgo alto: DDR (RCG 23 Ter 3 y 4)","")&amp;IF(AND(AS126&lt;&gt;"",AS126&lt;&gt;"No",AS126&lt;&gt;0)," · PEP","")&amp;IF(R126="PROHIBIDO"," · Efectivo prohibido: no lo recibas (Art. 32)","")&amp;IF(AR126=1," · ⚠ Fecha fuera de orden","")&amp;IF(LEFT(I126,1)="⚠"," · ⚠ Cliente no registrado","")&amp;IF(D126=""," · ⚠ Falta la actividad","")&amp;IF(AND(LEFT(P126,5)="AVISO",W126="")," · Captura la cifra total con IVA para el Aviso","")&amp;IF(AND(ISNUMBER(W126),W126&lt;E126)," · ⚠ La cifra con IVA es menor que el monto sin IVA",""),4,400))</f>
        <v/>
      </c>
      <c r="T126" s="21"/>
      <c r="U126" s="20"/>
      <c r="V126" s="9" t="str">
        <f aca="false">IF(LEFT(P126,5)&lt;&gt;"AVISO","",IF(T126="Presentado",IF(AND(ISNUMBER(U126),ISNUMBER(Q126),U126&gt;Q126),"Presentado tarde","Presentado"),IF(NOT(ISNUMBER(Q126)),"Falta fecha",IF(Q126&lt;CONFIG!$B$6,"VENCIDO","Vence en "&amp;(Q126-CONFIG!$B$6)&amp;" días"))))</f>
        <v/>
      </c>
      <c r="W126" s="22"/>
      <c r="X126" s="21"/>
      <c r="AA126" s="0" t="str">
        <f aca="false">IF(AM126="","",INDEX(CATÁLOGO!$D$5:$D$39,AM126))</f>
        <v/>
      </c>
      <c r="AB126" s="0" t="str">
        <f aca="false">IF(AM126="","",INDEX(CATÁLOGO!$E$5:$E$39,AM126))</f>
        <v/>
      </c>
      <c r="AC126" s="0" t="str">
        <f aca="false">IF(AB126="","",IF(ISNUMBER(AB126),AB126*AV126,AB126))</f>
        <v/>
      </c>
      <c r="AD126" s="0" t="str">
        <f aca="false">IF(AM126="","",INDEX(CATÁLOGO!$F$5:$F$39,AM126))</f>
        <v/>
      </c>
      <c r="AE126" s="0" t="str">
        <f aca="false">IF(AD126="","",IF(ISNUMBER(AD126),AD126*AV126,AD126))</f>
        <v/>
      </c>
      <c r="AF126" s="0" t="str">
        <f aca="false">IF(AM126="","",INDEX(CATÁLOGO!$G$5:$G$39,AM126))</f>
        <v/>
      </c>
      <c r="AG126" s="0" t="str">
        <f aca="false">IF(AF126="","",IF(ISNUMBER(AF126),AF126*AV126,AF126))</f>
        <v/>
      </c>
      <c r="AH126" s="0" t="str">
        <f aca="false">IF(E126="","",C126&amp;"|"&amp;D126)</f>
        <v/>
      </c>
      <c r="AI126" s="27" t="n">
        <f aca="false">IF(M126&lt;&gt;"Sí",0,SUMPRODUCT(MAX(($AH$5:AH125=AH126)*($M$5:M125="Sí")*ROW($AH$5:AH125))))</f>
        <v>0</v>
      </c>
      <c r="AJ126" s="0" t="str">
        <f aca="false">IF(M126&lt;&gt;"Sí","",IF(AL126=1,B126,INDEX($AJ:$AJ,AI126)))</f>
        <v/>
      </c>
      <c r="AK126" s="0" t="str">
        <f aca="false">IF(M126&lt;&gt;"Sí","",IF(AL126=1,E126,INDEX($AK:$AK,AI126)+E126))</f>
        <v/>
      </c>
      <c r="AL126" s="0" t="str">
        <f aca="false">IF(M126&lt;&gt;"Sí","",IF(AI126=0,1,IF(INDEX($AN:$AN,AI126)=0,1,IF(B126&gt;=EDATE(INDEX($AJ:$AJ,AI126),6),1,0))))</f>
        <v/>
      </c>
      <c r="AM126" s="0" t="str">
        <f aca="false">IF(D126="","",IFERROR(MATCH(D126,CATÁLOGO!$C$5:$C$39,0),""))</f>
        <v/>
      </c>
      <c r="AN126" s="0" t="str">
        <f aca="false">IF(M126&lt;&gt;"Sí","",IF(AND(ISNUMBER(AE126),AK126&gt;=AE126),0,1))</f>
        <v/>
      </c>
      <c r="AO126" s="0" t="str">
        <f aca="false">IF(OR(E126="",C126="",NOT(ISNUMBER(B126))),"",SUMIFS($E$6:$E$505,$C$6:$C$505,C126,$B$6:$B$505,"&gt;="&amp;DATE(YEAR(B126),MONTH(B126),1),$B$6:$B$505,"&lt;"&amp;DATE(YEAR(B126),MONTH(B126)+1,1)))</f>
        <v/>
      </c>
      <c r="AP126" s="0" t="str">
        <f aca="false">IF(C126="","",IFERROR(INDEX(CLIENTES!$M$6:$M$305,MATCH(C126,CLIENTES!$A$6:$A$305,0)),""))</f>
        <v/>
      </c>
      <c r="AQ126" s="27" t="n">
        <f aca="false">IF(AND(ISNUMBER(AO126),ISNUMBER(AP126)),IF(AND(AP126&gt;0,AO126&gt;AP126),1,0),0)</f>
        <v>0</v>
      </c>
      <c r="AR126" s="27" t="n">
        <f aca="false">IF(NOT(ISNUMBER(B126)),0,IF(B126&lt;MAX($B$5:B125),1,0))</f>
        <v>0</v>
      </c>
      <c r="AS126" s="0" t="str">
        <f aca="false">IF(C126="","",IFERROR(INDEX(CLIENTES!$H$6:$H$305,MATCH(C126,CLIENTES!$A$6:$A$305,0)),""))</f>
        <v/>
      </c>
      <c r="AT126" s="0" t="str">
        <f aca="false">IF(AND(LEFT(P126,5)="AVISO",T126&lt;&gt;"Presentado",ISNUMBER(Q126)),Q126,"")</f>
        <v/>
      </c>
      <c r="AU126" s="27" t="n">
        <f aca="false">IF(AND(D126="XVI - Activos virtuales (PSAV): operación de intercambio/transferencia",M126="Sí",ISNUMBER(AE126)),IF(AK126&gt;=AE126,1,0),0)</f>
        <v>0</v>
      </c>
      <c r="AV126" s="30" t="n">
        <f aca="false">IF(NOT(ISNUMBER(B126)),CONFIG!$B$4,IFERROR(INDEX(CONFIG!$I$5:$I$14,MATCH(IF(MONTH(B126)=1,YEAR(B126)-1,YEAR(B126)),CONFIG!$H$5:$H$14,0)),CONFIG!$B$4))</f>
        <v>117.31</v>
      </c>
      <c r="AW126" s="27" t="n">
        <f aca="false">IF(AND(LEFT(D126,4)="I - ",ISNUMBER(B126),C126&lt;&gt;""),SUMIFS($E$6:$E$505,$C$6:$C$505,C126,$D$6:$D$505,D126,$B$6:$B$505,"&gt;"&amp;(B126-1),$B$6:$B$505,"&lt;="&amp;B126),0)</f>
        <v>0</v>
      </c>
      <c r="AX126" s="0" t="str">
        <f aca="false">IF(E126="","",IF(AD126="Siempre","AVISO (siempre)",IF(AD126="No aplica","Sin Aviso (sólo preparas: Ley 17 XI)",IF(NOT(ISNUMBER(AE126)),"",IF(AA126&lt;&gt;"ACUMULA",IF(E126&gt;=AE126,IF(AND(D126="XVI - Activos virtuales (PSAV): cobro de contraprestación (comisión) por el servicio",COUNTIFS($C$6:$C$505,C126,$B$6:$B$505,"&gt;="&amp;INT(B126),$B$6:$B$505,"&lt;"&amp;(INT(B126)+1),$AU$6:$AU$505,1)&gt;0),"En el Aviso del inciso a) (R 31 Bis)","AVISO"),"—"),IF(M126&lt;&gt;"Sí","—",IF(AK126&gt;=AE126,IF(AK126=E126,"AVISO","AVISO (acumulado)"),"Acumulando")))))))</f>
        <v/>
      </c>
    </row>
    <row r="127" customFormat="false" ht="15" hidden="false" customHeight="false" outlineLevel="0" collapsed="false">
      <c r="A127" s="9" t="str">
        <f aca="false">IF(E127="","",ROW()-5)</f>
        <v/>
      </c>
      <c r="B127" s="20"/>
      <c r="C127" s="21"/>
      <c r="D127" s="21"/>
      <c r="E127" s="22"/>
      <c r="F127" s="22"/>
      <c r="G127" s="21"/>
      <c r="H127" s="21"/>
      <c r="I127" s="9" t="str">
        <f aca="false">IF(C127="","",IFERROR(INDEX(CLIENTES!$B$6:$B$305,MATCH(C127,CLIENTES!$A$6:$A$305,0)),"⚠ ID no registrado"))</f>
        <v/>
      </c>
      <c r="J127" s="9" t="str">
        <f aca="false">IF(C127="","",IFERROR(INDEX(CLIENTES!$Z$6:$Z$305,MATCH(C127,CLIENTES!$A$6:$A$305,0)),""))</f>
        <v/>
      </c>
      <c r="K127" s="9" t="str">
        <f aca="false">IF(E127="","",IF(AB127="Siempre","Sí",IF(ISNUMBER(AC127),IF(E127&gt;=AC127,"Sí",IF(AW127&gt;=AC127,"Sí (serie 24 h)","No")),"")))</f>
        <v/>
      </c>
      <c r="L127" s="9" t="str">
        <f aca="false">IF(E127="","",AA127)</f>
        <v/>
      </c>
      <c r="M127" s="9" t="str">
        <f aca="false">IF(E127="","",IF(AA127&lt;&gt;"ACUMULA","No aplica",IF(LEFT(K127,2)="Sí","Sí","No")))</f>
        <v/>
      </c>
      <c r="N127" s="23" t="str">
        <f aca="false">IF(M127="Sí",AJ127,"")</f>
        <v/>
      </c>
      <c r="O127" s="24" t="str">
        <f aca="false">IF(M127="Sí",AK127,"")</f>
        <v/>
      </c>
      <c r="P127" s="25" t="str">
        <f aca="false">IF(AND(LEFT(D127,6)="XIV - ",LEFT(AX127,5)="AVISO"),"Pedimento (R 16): no va al SPPLD",AX127)</f>
        <v/>
      </c>
      <c r="Q127" s="23" t="str">
        <f aca="false">IF(LEFT(P127,5)="AVISO",IF(ISNUMBER(B127),DATE(YEAR(B127),MONTH(B127)+1,17),"Falta fecha"),"")</f>
        <v/>
      </c>
      <c r="R127" s="9" t="str">
        <f aca="false">IF(OR(F127="",F127=0),"",IF(ISNUMBER(AG127),IF(F127&gt;=AG127,"PROHIBIDO","Dentro del límite"),"No aplica"))</f>
        <v/>
      </c>
      <c r="S127" s="26" t="str">
        <f aca="false">IF(E127="","",MID(IF(AQ127=1," · Excede el perfil declarado","")&amp;IF(H127="Sí"," · Paga un tercero","")&amp;IF(J127="Alto"," · Cliente de riesgo alto: DDR (RCG 23 Ter 3 y 4)","")&amp;IF(AND(AS127&lt;&gt;"",AS127&lt;&gt;"No",AS127&lt;&gt;0)," · PEP","")&amp;IF(R127="PROHIBIDO"," · Efectivo prohibido: no lo recibas (Art. 32)","")&amp;IF(AR127=1," · ⚠ Fecha fuera de orden","")&amp;IF(LEFT(I127,1)="⚠"," · ⚠ Cliente no registrado","")&amp;IF(D127=""," · ⚠ Falta la actividad","")&amp;IF(AND(LEFT(P127,5)="AVISO",W127="")," · Captura la cifra total con IVA para el Aviso","")&amp;IF(AND(ISNUMBER(W127),W127&lt;E127)," · ⚠ La cifra con IVA es menor que el monto sin IVA",""),4,400))</f>
        <v/>
      </c>
      <c r="T127" s="21"/>
      <c r="U127" s="20"/>
      <c r="V127" s="9" t="str">
        <f aca="false">IF(LEFT(P127,5)&lt;&gt;"AVISO","",IF(T127="Presentado",IF(AND(ISNUMBER(U127),ISNUMBER(Q127),U127&gt;Q127),"Presentado tarde","Presentado"),IF(NOT(ISNUMBER(Q127)),"Falta fecha",IF(Q127&lt;CONFIG!$B$6,"VENCIDO","Vence en "&amp;(Q127-CONFIG!$B$6)&amp;" días"))))</f>
        <v/>
      </c>
      <c r="W127" s="22"/>
      <c r="X127" s="21"/>
      <c r="AA127" s="0" t="str">
        <f aca="false">IF(AM127="","",INDEX(CATÁLOGO!$D$5:$D$39,AM127))</f>
        <v/>
      </c>
      <c r="AB127" s="0" t="str">
        <f aca="false">IF(AM127="","",INDEX(CATÁLOGO!$E$5:$E$39,AM127))</f>
        <v/>
      </c>
      <c r="AC127" s="0" t="str">
        <f aca="false">IF(AB127="","",IF(ISNUMBER(AB127),AB127*AV127,AB127))</f>
        <v/>
      </c>
      <c r="AD127" s="0" t="str">
        <f aca="false">IF(AM127="","",INDEX(CATÁLOGO!$F$5:$F$39,AM127))</f>
        <v/>
      </c>
      <c r="AE127" s="0" t="str">
        <f aca="false">IF(AD127="","",IF(ISNUMBER(AD127),AD127*AV127,AD127))</f>
        <v/>
      </c>
      <c r="AF127" s="0" t="str">
        <f aca="false">IF(AM127="","",INDEX(CATÁLOGO!$G$5:$G$39,AM127))</f>
        <v/>
      </c>
      <c r="AG127" s="0" t="str">
        <f aca="false">IF(AF127="","",IF(ISNUMBER(AF127),AF127*AV127,AF127))</f>
        <v/>
      </c>
      <c r="AH127" s="0" t="str">
        <f aca="false">IF(E127="","",C127&amp;"|"&amp;D127)</f>
        <v/>
      </c>
      <c r="AI127" s="27" t="n">
        <f aca="false">IF(M127&lt;&gt;"Sí",0,SUMPRODUCT(MAX(($AH$5:AH126=AH127)*($M$5:M126="Sí")*ROW($AH$5:AH126))))</f>
        <v>0</v>
      </c>
      <c r="AJ127" s="0" t="str">
        <f aca="false">IF(M127&lt;&gt;"Sí","",IF(AL127=1,B127,INDEX($AJ:$AJ,AI127)))</f>
        <v/>
      </c>
      <c r="AK127" s="0" t="str">
        <f aca="false">IF(M127&lt;&gt;"Sí","",IF(AL127=1,E127,INDEX($AK:$AK,AI127)+E127))</f>
        <v/>
      </c>
      <c r="AL127" s="0" t="str">
        <f aca="false">IF(M127&lt;&gt;"Sí","",IF(AI127=0,1,IF(INDEX($AN:$AN,AI127)=0,1,IF(B127&gt;=EDATE(INDEX($AJ:$AJ,AI127),6),1,0))))</f>
        <v/>
      </c>
      <c r="AM127" s="0" t="str">
        <f aca="false">IF(D127="","",IFERROR(MATCH(D127,CATÁLOGO!$C$5:$C$39,0),""))</f>
        <v/>
      </c>
      <c r="AN127" s="0" t="str">
        <f aca="false">IF(M127&lt;&gt;"Sí","",IF(AND(ISNUMBER(AE127),AK127&gt;=AE127),0,1))</f>
        <v/>
      </c>
      <c r="AO127" s="0" t="str">
        <f aca="false">IF(OR(E127="",C127="",NOT(ISNUMBER(B127))),"",SUMIFS($E$6:$E$505,$C$6:$C$505,C127,$B$6:$B$505,"&gt;="&amp;DATE(YEAR(B127),MONTH(B127),1),$B$6:$B$505,"&lt;"&amp;DATE(YEAR(B127),MONTH(B127)+1,1)))</f>
        <v/>
      </c>
      <c r="AP127" s="0" t="str">
        <f aca="false">IF(C127="","",IFERROR(INDEX(CLIENTES!$M$6:$M$305,MATCH(C127,CLIENTES!$A$6:$A$305,0)),""))</f>
        <v/>
      </c>
      <c r="AQ127" s="27" t="n">
        <f aca="false">IF(AND(ISNUMBER(AO127),ISNUMBER(AP127)),IF(AND(AP127&gt;0,AO127&gt;AP127),1,0),0)</f>
        <v>0</v>
      </c>
      <c r="AR127" s="27" t="n">
        <f aca="false">IF(NOT(ISNUMBER(B127)),0,IF(B127&lt;MAX($B$5:B126),1,0))</f>
        <v>0</v>
      </c>
      <c r="AS127" s="0" t="str">
        <f aca="false">IF(C127="","",IFERROR(INDEX(CLIENTES!$H$6:$H$305,MATCH(C127,CLIENTES!$A$6:$A$305,0)),""))</f>
        <v/>
      </c>
      <c r="AT127" s="0" t="str">
        <f aca="false">IF(AND(LEFT(P127,5)="AVISO",T127&lt;&gt;"Presentado",ISNUMBER(Q127)),Q127,"")</f>
        <v/>
      </c>
      <c r="AU127" s="27" t="n">
        <f aca="false">IF(AND(D127="XVI - Activos virtuales (PSAV): operación de intercambio/transferencia",M127="Sí",ISNUMBER(AE127)),IF(AK127&gt;=AE127,1,0),0)</f>
        <v>0</v>
      </c>
      <c r="AV127" s="30" t="n">
        <f aca="false">IF(NOT(ISNUMBER(B127)),CONFIG!$B$4,IFERROR(INDEX(CONFIG!$I$5:$I$14,MATCH(IF(MONTH(B127)=1,YEAR(B127)-1,YEAR(B127)),CONFIG!$H$5:$H$14,0)),CONFIG!$B$4))</f>
        <v>117.31</v>
      </c>
      <c r="AW127" s="27" t="n">
        <f aca="false">IF(AND(LEFT(D127,4)="I - ",ISNUMBER(B127),C127&lt;&gt;""),SUMIFS($E$6:$E$505,$C$6:$C$505,C127,$D$6:$D$505,D127,$B$6:$B$505,"&gt;"&amp;(B127-1),$B$6:$B$505,"&lt;="&amp;B127),0)</f>
        <v>0</v>
      </c>
      <c r="AX127" s="0" t="str">
        <f aca="false">IF(E127="","",IF(AD127="Siempre","AVISO (siempre)",IF(AD127="No aplica","Sin Aviso (sólo preparas: Ley 17 XI)",IF(NOT(ISNUMBER(AE127)),"",IF(AA127&lt;&gt;"ACUMULA",IF(E127&gt;=AE127,IF(AND(D127="XVI - Activos virtuales (PSAV): cobro de contraprestación (comisión) por el servicio",COUNTIFS($C$6:$C$505,C127,$B$6:$B$505,"&gt;="&amp;INT(B127),$B$6:$B$505,"&lt;"&amp;(INT(B127)+1),$AU$6:$AU$505,1)&gt;0),"En el Aviso del inciso a) (R 31 Bis)","AVISO"),"—"),IF(M127&lt;&gt;"Sí","—",IF(AK127&gt;=AE127,IF(AK127=E127,"AVISO","AVISO (acumulado)"),"Acumulando")))))))</f>
        <v/>
      </c>
    </row>
    <row r="128" customFormat="false" ht="15" hidden="false" customHeight="false" outlineLevel="0" collapsed="false">
      <c r="A128" s="9" t="str">
        <f aca="false">IF(E128="","",ROW()-5)</f>
        <v/>
      </c>
      <c r="B128" s="20"/>
      <c r="C128" s="21"/>
      <c r="D128" s="21"/>
      <c r="E128" s="22"/>
      <c r="F128" s="22"/>
      <c r="G128" s="21"/>
      <c r="H128" s="21"/>
      <c r="I128" s="9" t="str">
        <f aca="false">IF(C128="","",IFERROR(INDEX(CLIENTES!$B$6:$B$305,MATCH(C128,CLIENTES!$A$6:$A$305,0)),"⚠ ID no registrado"))</f>
        <v/>
      </c>
      <c r="J128" s="9" t="str">
        <f aca="false">IF(C128="","",IFERROR(INDEX(CLIENTES!$Z$6:$Z$305,MATCH(C128,CLIENTES!$A$6:$A$305,0)),""))</f>
        <v/>
      </c>
      <c r="K128" s="9" t="str">
        <f aca="false">IF(E128="","",IF(AB128="Siempre","Sí",IF(ISNUMBER(AC128),IF(E128&gt;=AC128,"Sí",IF(AW128&gt;=AC128,"Sí (serie 24 h)","No")),"")))</f>
        <v/>
      </c>
      <c r="L128" s="9" t="str">
        <f aca="false">IF(E128="","",AA128)</f>
        <v/>
      </c>
      <c r="M128" s="9" t="str">
        <f aca="false">IF(E128="","",IF(AA128&lt;&gt;"ACUMULA","No aplica",IF(LEFT(K128,2)="Sí","Sí","No")))</f>
        <v/>
      </c>
      <c r="N128" s="23" t="str">
        <f aca="false">IF(M128="Sí",AJ128,"")</f>
        <v/>
      </c>
      <c r="O128" s="24" t="str">
        <f aca="false">IF(M128="Sí",AK128,"")</f>
        <v/>
      </c>
      <c r="P128" s="25" t="str">
        <f aca="false">IF(AND(LEFT(D128,6)="XIV - ",LEFT(AX128,5)="AVISO"),"Pedimento (R 16): no va al SPPLD",AX128)</f>
        <v/>
      </c>
      <c r="Q128" s="23" t="str">
        <f aca="false">IF(LEFT(P128,5)="AVISO",IF(ISNUMBER(B128),DATE(YEAR(B128),MONTH(B128)+1,17),"Falta fecha"),"")</f>
        <v/>
      </c>
      <c r="R128" s="9" t="str">
        <f aca="false">IF(OR(F128="",F128=0),"",IF(ISNUMBER(AG128),IF(F128&gt;=AG128,"PROHIBIDO","Dentro del límite"),"No aplica"))</f>
        <v/>
      </c>
      <c r="S128" s="26" t="str">
        <f aca="false">IF(E128="","",MID(IF(AQ128=1," · Excede el perfil declarado","")&amp;IF(H128="Sí"," · Paga un tercero","")&amp;IF(J128="Alto"," · Cliente de riesgo alto: DDR (RCG 23 Ter 3 y 4)","")&amp;IF(AND(AS128&lt;&gt;"",AS128&lt;&gt;"No",AS128&lt;&gt;0)," · PEP","")&amp;IF(R128="PROHIBIDO"," · Efectivo prohibido: no lo recibas (Art. 32)","")&amp;IF(AR128=1," · ⚠ Fecha fuera de orden","")&amp;IF(LEFT(I128,1)="⚠"," · ⚠ Cliente no registrado","")&amp;IF(D128=""," · ⚠ Falta la actividad","")&amp;IF(AND(LEFT(P128,5)="AVISO",W128="")," · Captura la cifra total con IVA para el Aviso","")&amp;IF(AND(ISNUMBER(W128),W128&lt;E128)," · ⚠ La cifra con IVA es menor que el monto sin IVA",""),4,400))</f>
        <v/>
      </c>
      <c r="T128" s="21"/>
      <c r="U128" s="20"/>
      <c r="V128" s="9" t="str">
        <f aca="false">IF(LEFT(P128,5)&lt;&gt;"AVISO","",IF(T128="Presentado",IF(AND(ISNUMBER(U128),ISNUMBER(Q128),U128&gt;Q128),"Presentado tarde","Presentado"),IF(NOT(ISNUMBER(Q128)),"Falta fecha",IF(Q128&lt;CONFIG!$B$6,"VENCIDO","Vence en "&amp;(Q128-CONFIG!$B$6)&amp;" días"))))</f>
        <v/>
      </c>
      <c r="W128" s="22"/>
      <c r="X128" s="21"/>
      <c r="AA128" s="0" t="str">
        <f aca="false">IF(AM128="","",INDEX(CATÁLOGO!$D$5:$D$39,AM128))</f>
        <v/>
      </c>
      <c r="AB128" s="0" t="str">
        <f aca="false">IF(AM128="","",INDEX(CATÁLOGO!$E$5:$E$39,AM128))</f>
        <v/>
      </c>
      <c r="AC128" s="0" t="str">
        <f aca="false">IF(AB128="","",IF(ISNUMBER(AB128),AB128*AV128,AB128))</f>
        <v/>
      </c>
      <c r="AD128" s="0" t="str">
        <f aca="false">IF(AM128="","",INDEX(CATÁLOGO!$F$5:$F$39,AM128))</f>
        <v/>
      </c>
      <c r="AE128" s="0" t="str">
        <f aca="false">IF(AD128="","",IF(ISNUMBER(AD128),AD128*AV128,AD128))</f>
        <v/>
      </c>
      <c r="AF128" s="0" t="str">
        <f aca="false">IF(AM128="","",INDEX(CATÁLOGO!$G$5:$G$39,AM128))</f>
        <v/>
      </c>
      <c r="AG128" s="0" t="str">
        <f aca="false">IF(AF128="","",IF(ISNUMBER(AF128),AF128*AV128,AF128))</f>
        <v/>
      </c>
      <c r="AH128" s="0" t="str">
        <f aca="false">IF(E128="","",C128&amp;"|"&amp;D128)</f>
        <v/>
      </c>
      <c r="AI128" s="27" t="n">
        <f aca="false">IF(M128&lt;&gt;"Sí",0,SUMPRODUCT(MAX(($AH$5:AH127=AH128)*($M$5:M127="Sí")*ROW($AH$5:AH127))))</f>
        <v>0</v>
      </c>
      <c r="AJ128" s="0" t="str">
        <f aca="false">IF(M128&lt;&gt;"Sí","",IF(AL128=1,B128,INDEX($AJ:$AJ,AI128)))</f>
        <v/>
      </c>
      <c r="AK128" s="0" t="str">
        <f aca="false">IF(M128&lt;&gt;"Sí","",IF(AL128=1,E128,INDEX($AK:$AK,AI128)+E128))</f>
        <v/>
      </c>
      <c r="AL128" s="0" t="str">
        <f aca="false">IF(M128&lt;&gt;"Sí","",IF(AI128=0,1,IF(INDEX($AN:$AN,AI128)=0,1,IF(B128&gt;=EDATE(INDEX($AJ:$AJ,AI128),6),1,0))))</f>
        <v/>
      </c>
      <c r="AM128" s="0" t="str">
        <f aca="false">IF(D128="","",IFERROR(MATCH(D128,CATÁLOGO!$C$5:$C$39,0),""))</f>
        <v/>
      </c>
      <c r="AN128" s="0" t="str">
        <f aca="false">IF(M128&lt;&gt;"Sí","",IF(AND(ISNUMBER(AE128),AK128&gt;=AE128),0,1))</f>
        <v/>
      </c>
      <c r="AO128" s="0" t="str">
        <f aca="false">IF(OR(E128="",C128="",NOT(ISNUMBER(B128))),"",SUMIFS($E$6:$E$505,$C$6:$C$505,C128,$B$6:$B$505,"&gt;="&amp;DATE(YEAR(B128),MONTH(B128),1),$B$6:$B$505,"&lt;"&amp;DATE(YEAR(B128),MONTH(B128)+1,1)))</f>
        <v/>
      </c>
      <c r="AP128" s="0" t="str">
        <f aca="false">IF(C128="","",IFERROR(INDEX(CLIENTES!$M$6:$M$305,MATCH(C128,CLIENTES!$A$6:$A$305,0)),""))</f>
        <v/>
      </c>
      <c r="AQ128" s="27" t="n">
        <f aca="false">IF(AND(ISNUMBER(AO128),ISNUMBER(AP128)),IF(AND(AP128&gt;0,AO128&gt;AP128),1,0),0)</f>
        <v>0</v>
      </c>
      <c r="AR128" s="27" t="n">
        <f aca="false">IF(NOT(ISNUMBER(B128)),0,IF(B128&lt;MAX($B$5:B127),1,0))</f>
        <v>0</v>
      </c>
      <c r="AS128" s="0" t="str">
        <f aca="false">IF(C128="","",IFERROR(INDEX(CLIENTES!$H$6:$H$305,MATCH(C128,CLIENTES!$A$6:$A$305,0)),""))</f>
        <v/>
      </c>
      <c r="AT128" s="0" t="str">
        <f aca="false">IF(AND(LEFT(P128,5)="AVISO",T128&lt;&gt;"Presentado",ISNUMBER(Q128)),Q128,"")</f>
        <v/>
      </c>
      <c r="AU128" s="27" t="n">
        <f aca="false">IF(AND(D128="XVI - Activos virtuales (PSAV): operación de intercambio/transferencia",M128="Sí",ISNUMBER(AE128)),IF(AK128&gt;=AE128,1,0),0)</f>
        <v>0</v>
      </c>
      <c r="AV128" s="30" t="n">
        <f aca="false">IF(NOT(ISNUMBER(B128)),CONFIG!$B$4,IFERROR(INDEX(CONFIG!$I$5:$I$14,MATCH(IF(MONTH(B128)=1,YEAR(B128)-1,YEAR(B128)),CONFIG!$H$5:$H$14,0)),CONFIG!$B$4))</f>
        <v>117.31</v>
      </c>
      <c r="AW128" s="27" t="n">
        <f aca="false">IF(AND(LEFT(D128,4)="I - ",ISNUMBER(B128),C128&lt;&gt;""),SUMIFS($E$6:$E$505,$C$6:$C$505,C128,$D$6:$D$505,D128,$B$6:$B$505,"&gt;"&amp;(B128-1),$B$6:$B$505,"&lt;="&amp;B128),0)</f>
        <v>0</v>
      </c>
      <c r="AX128" s="0" t="str">
        <f aca="false">IF(E128="","",IF(AD128="Siempre","AVISO (siempre)",IF(AD128="No aplica","Sin Aviso (sólo preparas: Ley 17 XI)",IF(NOT(ISNUMBER(AE128)),"",IF(AA128&lt;&gt;"ACUMULA",IF(E128&gt;=AE128,IF(AND(D128="XVI - Activos virtuales (PSAV): cobro de contraprestación (comisión) por el servicio",COUNTIFS($C$6:$C$505,C128,$B$6:$B$505,"&gt;="&amp;INT(B128),$B$6:$B$505,"&lt;"&amp;(INT(B128)+1),$AU$6:$AU$505,1)&gt;0),"En el Aviso del inciso a) (R 31 Bis)","AVISO"),"—"),IF(M128&lt;&gt;"Sí","—",IF(AK128&gt;=AE128,IF(AK128=E128,"AVISO","AVISO (acumulado)"),"Acumulando")))))))</f>
        <v/>
      </c>
    </row>
    <row r="129" customFormat="false" ht="15" hidden="false" customHeight="false" outlineLevel="0" collapsed="false">
      <c r="A129" s="9" t="str">
        <f aca="false">IF(E129="","",ROW()-5)</f>
        <v/>
      </c>
      <c r="B129" s="20"/>
      <c r="C129" s="21"/>
      <c r="D129" s="21"/>
      <c r="E129" s="22"/>
      <c r="F129" s="22"/>
      <c r="G129" s="21"/>
      <c r="H129" s="21"/>
      <c r="I129" s="9" t="str">
        <f aca="false">IF(C129="","",IFERROR(INDEX(CLIENTES!$B$6:$B$305,MATCH(C129,CLIENTES!$A$6:$A$305,0)),"⚠ ID no registrado"))</f>
        <v/>
      </c>
      <c r="J129" s="9" t="str">
        <f aca="false">IF(C129="","",IFERROR(INDEX(CLIENTES!$Z$6:$Z$305,MATCH(C129,CLIENTES!$A$6:$A$305,0)),""))</f>
        <v/>
      </c>
      <c r="K129" s="9" t="str">
        <f aca="false">IF(E129="","",IF(AB129="Siempre","Sí",IF(ISNUMBER(AC129),IF(E129&gt;=AC129,"Sí",IF(AW129&gt;=AC129,"Sí (serie 24 h)","No")),"")))</f>
        <v/>
      </c>
      <c r="L129" s="9" t="str">
        <f aca="false">IF(E129="","",AA129)</f>
        <v/>
      </c>
      <c r="M129" s="9" t="str">
        <f aca="false">IF(E129="","",IF(AA129&lt;&gt;"ACUMULA","No aplica",IF(LEFT(K129,2)="Sí","Sí","No")))</f>
        <v/>
      </c>
      <c r="N129" s="23" t="str">
        <f aca="false">IF(M129="Sí",AJ129,"")</f>
        <v/>
      </c>
      <c r="O129" s="24" t="str">
        <f aca="false">IF(M129="Sí",AK129,"")</f>
        <v/>
      </c>
      <c r="P129" s="25" t="str">
        <f aca="false">IF(AND(LEFT(D129,6)="XIV - ",LEFT(AX129,5)="AVISO"),"Pedimento (R 16): no va al SPPLD",AX129)</f>
        <v/>
      </c>
      <c r="Q129" s="23" t="str">
        <f aca="false">IF(LEFT(P129,5)="AVISO",IF(ISNUMBER(B129),DATE(YEAR(B129),MONTH(B129)+1,17),"Falta fecha"),"")</f>
        <v/>
      </c>
      <c r="R129" s="9" t="str">
        <f aca="false">IF(OR(F129="",F129=0),"",IF(ISNUMBER(AG129),IF(F129&gt;=AG129,"PROHIBIDO","Dentro del límite"),"No aplica"))</f>
        <v/>
      </c>
      <c r="S129" s="26" t="str">
        <f aca="false">IF(E129="","",MID(IF(AQ129=1," · Excede el perfil declarado","")&amp;IF(H129="Sí"," · Paga un tercero","")&amp;IF(J129="Alto"," · Cliente de riesgo alto: DDR (RCG 23 Ter 3 y 4)","")&amp;IF(AND(AS129&lt;&gt;"",AS129&lt;&gt;"No",AS129&lt;&gt;0)," · PEP","")&amp;IF(R129="PROHIBIDO"," · Efectivo prohibido: no lo recibas (Art. 32)","")&amp;IF(AR129=1," · ⚠ Fecha fuera de orden","")&amp;IF(LEFT(I129,1)="⚠"," · ⚠ Cliente no registrado","")&amp;IF(D129=""," · ⚠ Falta la actividad","")&amp;IF(AND(LEFT(P129,5)="AVISO",W129="")," · Captura la cifra total con IVA para el Aviso","")&amp;IF(AND(ISNUMBER(W129),W129&lt;E129)," · ⚠ La cifra con IVA es menor que el monto sin IVA",""),4,400))</f>
        <v/>
      </c>
      <c r="T129" s="21"/>
      <c r="U129" s="20"/>
      <c r="V129" s="9" t="str">
        <f aca="false">IF(LEFT(P129,5)&lt;&gt;"AVISO","",IF(T129="Presentado",IF(AND(ISNUMBER(U129),ISNUMBER(Q129),U129&gt;Q129),"Presentado tarde","Presentado"),IF(NOT(ISNUMBER(Q129)),"Falta fecha",IF(Q129&lt;CONFIG!$B$6,"VENCIDO","Vence en "&amp;(Q129-CONFIG!$B$6)&amp;" días"))))</f>
        <v/>
      </c>
      <c r="W129" s="22"/>
      <c r="X129" s="21"/>
      <c r="AA129" s="0" t="str">
        <f aca="false">IF(AM129="","",INDEX(CATÁLOGO!$D$5:$D$39,AM129))</f>
        <v/>
      </c>
      <c r="AB129" s="0" t="str">
        <f aca="false">IF(AM129="","",INDEX(CATÁLOGO!$E$5:$E$39,AM129))</f>
        <v/>
      </c>
      <c r="AC129" s="0" t="str">
        <f aca="false">IF(AB129="","",IF(ISNUMBER(AB129),AB129*AV129,AB129))</f>
        <v/>
      </c>
      <c r="AD129" s="0" t="str">
        <f aca="false">IF(AM129="","",INDEX(CATÁLOGO!$F$5:$F$39,AM129))</f>
        <v/>
      </c>
      <c r="AE129" s="0" t="str">
        <f aca="false">IF(AD129="","",IF(ISNUMBER(AD129),AD129*AV129,AD129))</f>
        <v/>
      </c>
      <c r="AF129" s="0" t="str">
        <f aca="false">IF(AM129="","",INDEX(CATÁLOGO!$G$5:$G$39,AM129))</f>
        <v/>
      </c>
      <c r="AG129" s="0" t="str">
        <f aca="false">IF(AF129="","",IF(ISNUMBER(AF129),AF129*AV129,AF129))</f>
        <v/>
      </c>
      <c r="AH129" s="0" t="str">
        <f aca="false">IF(E129="","",C129&amp;"|"&amp;D129)</f>
        <v/>
      </c>
      <c r="AI129" s="27" t="n">
        <f aca="false">IF(M129&lt;&gt;"Sí",0,SUMPRODUCT(MAX(($AH$5:AH128=AH129)*($M$5:M128="Sí")*ROW($AH$5:AH128))))</f>
        <v>0</v>
      </c>
      <c r="AJ129" s="0" t="str">
        <f aca="false">IF(M129&lt;&gt;"Sí","",IF(AL129=1,B129,INDEX($AJ:$AJ,AI129)))</f>
        <v/>
      </c>
      <c r="AK129" s="0" t="str">
        <f aca="false">IF(M129&lt;&gt;"Sí","",IF(AL129=1,E129,INDEX($AK:$AK,AI129)+E129))</f>
        <v/>
      </c>
      <c r="AL129" s="0" t="str">
        <f aca="false">IF(M129&lt;&gt;"Sí","",IF(AI129=0,1,IF(INDEX($AN:$AN,AI129)=0,1,IF(B129&gt;=EDATE(INDEX($AJ:$AJ,AI129),6),1,0))))</f>
        <v/>
      </c>
      <c r="AM129" s="0" t="str">
        <f aca="false">IF(D129="","",IFERROR(MATCH(D129,CATÁLOGO!$C$5:$C$39,0),""))</f>
        <v/>
      </c>
      <c r="AN129" s="0" t="str">
        <f aca="false">IF(M129&lt;&gt;"Sí","",IF(AND(ISNUMBER(AE129),AK129&gt;=AE129),0,1))</f>
        <v/>
      </c>
      <c r="AO129" s="0" t="str">
        <f aca="false">IF(OR(E129="",C129="",NOT(ISNUMBER(B129))),"",SUMIFS($E$6:$E$505,$C$6:$C$505,C129,$B$6:$B$505,"&gt;="&amp;DATE(YEAR(B129),MONTH(B129),1),$B$6:$B$505,"&lt;"&amp;DATE(YEAR(B129),MONTH(B129)+1,1)))</f>
        <v/>
      </c>
      <c r="AP129" s="0" t="str">
        <f aca="false">IF(C129="","",IFERROR(INDEX(CLIENTES!$M$6:$M$305,MATCH(C129,CLIENTES!$A$6:$A$305,0)),""))</f>
        <v/>
      </c>
      <c r="AQ129" s="27" t="n">
        <f aca="false">IF(AND(ISNUMBER(AO129),ISNUMBER(AP129)),IF(AND(AP129&gt;0,AO129&gt;AP129),1,0),0)</f>
        <v>0</v>
      </c>
      <c r="AR129" s="27" t="n">
        <f aca="false">IF(NOT(ISNUMBER(B129)),0,IF(B129&lt;MAX($B$5:B128),1,0))</f>
        <v>0</v>
      </c>
      <c r="AS129" s="0" t="str">
        <f aca="false">IF(C129="","",IFERROR(INDEX(CLIENTES!$H$6:$H$305,MATCH(C129,CLIENTES!$A$6:$A$305,0)),""))</f>
        <v/>
      </c>
      <c r="AT129" s="0" t="str">
        <f aca="false">IF(AND(LEFT(P129,5)="AVISO",T129&lt;&gt;"Presentado",ISNUMBER(Q129)),Q129,"")</f>
        <v/>
      </c>
      <c r="AU129" s="27" t="n">
        <f aca="false">IF(AND(D129="XVI - Activos virtuales (PSAV): operación de intercambio/transferencia",M129="Sí",ISNUMBER(AE129)),IF(AK129&gt;=AE129,1,0),0)</f>
        <v>0</v>
      </c>
      <c r="AV129" s="30" t="n">
        <f aca="false">IF(NOT(ISNUMBER(B129)),CONFIG!$B$4,IFERROR(INDEX(CONFIG!$I$5:$I$14,MATCH(IF(MONTH(B129)=1,YEAR(B129)-1,YEAR(B129)),CONFIG!$H$5:$H$14,0)),CONFIG!$B$4))</f>
        <v>117.31</v>
      </c>
      <c r="AW129" s="27" t="n">
        <f aca="false">IF(AND(LEFT(D129,4)="I - ",ISNUMBER(B129),C129&lt;&gt;""),SUMIFS($E$6:$E$505,$C$6:$C$505,C129,$D$6:$D$505,D129,$B$6:$B$505,"&gt;"&amp;(B129-1),$B$6:$B$505,"&lt;="&amp;B129),0)</f>
        <v>0</v>
      </c>
      <c r="AX129" s="0" t="str">
        <f aca="false">IF(E129="","",IF(AD129="Siempre","AVISO (siempre)",IF(AD129="No aplica","Sin Aviso (sólo preparas: Ley 17 XI)",IF(NOT(ISNUMBER(AE129)),"",IF(AA129&lt;&gt;"ACUMULA",IF(E129&gt;=AE129,IF(AND(D129="XVI - Activos virtuales (PSAV): cobro de contraprestación (comisión) por el servicio",COUNTIFS($C$6:$C$505,C129,$B$6:$B$505,"&gt;="&amp;INT(B129),$B$6:$B$505,"&lt;"&amp;(INT(B129)+1),$AU$6:$AU$505,1)&gt;0),"En el Aviso del inciso a) (R 31 Bis)","AVISO"),"—"),IF(M129&lt;&gt;"Sí","—",IF(AK129&gt;=AE129,IF(AK129=E129,"AVISO","AVISO (acumulado)"),"Acumulando")))))))</f>
        <v/>
      </c>
    </row>
    <row r="130" customFormat="false" ht="15" hidden="false" customHeight="false" outlineLevel="0" collapsed="false">
      <c r="A130" s="9" t="str">
        <f aca="false">IF(E130="","",ROW()-5)</f>
        <v/>
      </c>
      <c r="B130" s="20"/>
      <c r="C130" s="21"/>
      <c r="D130" s="21"/>
      <c r="E130" s="22"/>
      <c r="F130" s="22"/>
      <c r="G130" s="21"/>
      <c r="H130" s="21"/>
      <c r="I130" s="9" t="str">
        <f aca="false">IF(C130="","",IFERROR(INDEX(CLIENTES!$B$6:$B$305,MATCH(C130,CLIENTES!$A$6:$A$305,0)),"⚠ ID no registrado"))</f>
        <v/>
      </c>
      <c r="J130" s="9" t="str">
        <f aca="false">IF(C130="","",IFERROR(INDEX(CLIENTES!$Z$6:$Z$305,MATCH(C130,CLIENTES!$A$6:$A$305,0)),""))</f>
        <v/>
      </c>
      <c r="K130" s="9" t="str">
        <f aca="false">IF(E130="","",IF(AB130="Siempre","Sí",IF(ISNUMBER(AC130),IF(E130&gt;=AC130,"Sí",IF(AW130&gt;=AC130,"Sí (serie 24 h)","No")),"")))</f>
        <v/>
      </c>
      <c r="L130" s="9" t="str">
        <f aca="false">IF(E130="","",AA130)</f>
        <v/>
      </c>
      <c r="M130" s="9" t="str">
        <f aca="false">IF(E130="","",IF(AA130&lt;&gt;"ACUMULA","No aplica",IF(LEFT(K130,2)="Sí","Sí","No")))</f>
        <v/>
      </c>
      <c r="N130" s="23" t="str">
        <f aca="false">IF(M130="Sí",AJ130,"")</f>
        <v/>
      </c>
      <c r="O130" s="24" t="str">
        <f aca="false">IF(M130="Sí",AK130,"")</f>
        <v/>
      </c>
      <c r="P130" s="25" t="str">
        <f aca="false">IF(AND(LEFT(D130,6)="XIV - ",LEFT(AX130,5)="AVISO"),"Pedimento (R 16): no va al SPPLD",AX130)</f>
        <v/>
      </c>
      <c r="Q130" s="23" t="str">
        <f aca="false">IF(LEFT(P130,5)="AVISO",IF(ISNUMBER(B130),DATE(YEAR(B130),MONTH(B130)+1,17),"Falta fecha"),"")</f>
        <v/>
      </c>
      <c r="R130" s="9" t="str">
        <f aca="false">IF(OR(F130="",F130=0),"",IF(ISNUMBER(AG130),IF(F130&gt;=AG130,"PROHIBIDO","Dentro del límite"),"No aplica"))</f>
        <v/>
      </c>
      <c r="S130" s="26" t="str">
        <f aca="false">IF(E130="","",MID(IF(AQ130=1," · Excede el perfil declarado","")&amp;IF(H130="Sí"," · Paga un tercero","")&amp;IF(J130="Alto"," · Cliente de riesgo alto: DDR (RCG 23 Ter 3 y 4)","")&amp;IF(AND(AS130&lt;&gt;"",AS130&lt;&gt;"No",AS130&lt;&gt;0)," · PEP","")&amp;IF(R130="PROHIBIDO"," · Efectivo prohibido: no lo recibas (Art. 32)","")&amp;IF(AR130=1," · ⚠ Fecha fuera de orden","")&amp;IF(LEFT(I130,1)="⚠"," · ⚠ Cliente no registrado","")&amp;IF(D130=""," · ⚠ Falta la actividad","")&amp;IF(AND(LEFT(P130,5)="AVISO",W130="")," · Captura la cifra total con IVA para el Aviso","")&amp;IF(AND(ISNUMBER(W130),W130&lt;E130)," · ⚠ La cifra con IVA es menor que el monto sin IVA",""),4,400))</f>
        <v/>
      </c>
      <c r="T130" s="21"/>
      <c r="U130" s="20"/>
      <c r="V130" s="9" t="str">
        <f aca="false">IF(LEFT(P130,5)&lt;&gt;"AVISO","",IF(T130="Presentado",IF(AND(ISNUMBER(U130),ISNUMBER(Q130),U130&gt;Q130),"Presentado tarde","Presentado"),IF(NOT(ISNUMBER(Q130)),"Falta fecha",IF(Q130&lt;CONFIG!$B$6,"VENCIDO","Vence en "&amp;(Q130-CONFIG!$B$6)&amp;" días"))))</f>
        <v/>
      </c>
      <c r="W130" s="22"/>
      <c r="X130" s="21"/>
      <c r="AA130" s="0" t="str">
        <f aca="false">IF(AM130="","",INDEX(CATÁLOGO!$D$5:$D$39,AM130))</f>
        <v/>
      </c>
      <c r="AB130" s="0" t="str">
        <f aca="false">IF(AM130="","",INDEX(CATÁLOGO!$E$5:$E$39,AM130))</f>
        <v/>
      </c>
      <c r="AC130" s="0" t="str">
        <f aca="false">IF(AB130="","",IF(ISNUMBER(AB130),AB130*AV130,AB130))</f>
        <v/>
      </c>
      <c r="AD130" s="0" t="str">
        <f aca="false">IF(AM130="","",INDEX(CATÁLOGO!$F$5:$F$39,AM130))</f>
        <v/>
      </c>
      <c r="AE130" s="0" t="str">
        <f aca="false">IF(AD130="","",IF(ISNUMBER(AD130),AD130*AV130,AD130))</f>
        <v/>
      </c>
      <c r="AF130" s="0" t="str">
        <f aca="false">IF(AM130="","",INDEX(CATÁLOGO!$G$5:$G$39,AM130))</f>
        <v/>
      </c>
      <c r="AG130" s="0" t="str">
        <f aca="false">IF(AF130="","",IF(ISNUMBER(AF130),AF130*AV130,AF130))</f>
        <v/>
      </c>
      <c r="AH130" s="0" t="str">
        <f aca="false">IF(E130="","",C130&amp;"|"&amp;D130)</f>
        <v/>
      </c>
      <c r="AI130" s="27" t="n">
        <f aca="false">IF(M130&lt;&gt;"Sí",0,SUMPRODUCT(MAX(($AH$5:AH129=AH130)*($M$5:M129="Sí")*ROW($AH$5:AH129))))</f>
        <v>0</v>
      </c>
      <c r="AJ130" s="0" t="str">
        <f aca="false">IF(M130&lt;&gt;"Sí","",IF(AL130=1,B130,INDEX($AJ:$AJ,AI130)))</f>
        <v/>
      </c>
      <c r="AK130" s="0" t="str">
        <f aca="false">IF(M130&lt;&gt;"Sí","",IF(AL130=1,E130,INDEX($AK:$AK,AI130)+E130))</f>
        <v/>
      </c>
      <c r="AL130" s="0" t="str">
        <f aca="false">IF(M130&lt;&gt;"Sí","",IF(AI130=0,1,IF(INDEX($AN:$AN,AI130)=0,1,IF(B130&gt;=EDATE(INDEX($AJ:$AJ,AI130),6),1,0))))</f>
        <v/>
      </c>
      <c r="AM130" s="0" t="str">
        <f aca="false">IF(D130="","",IFERROR(MATCH(D130,CATÁLOGO!$C$5:$C$39,0),""))</f>
        <v/>
      </c>
      <c r="AN130" s="0" t="str">
        <f aca="false">IF(M130&lt;&gt;"Sí","",IF(AND(ISNUMBER(AE130),AK130&gt;=AE130),0,1))</f>
        <v/>
      </c>
      <c r="AO130" s="0" t="str">
        <f aca="false">IF(OR(E130="",C130="",NOT(ISNUMBER(B130))),"",SUMIFS($E$6:$E$505,$C$6:$C$505,C130,$B$6:$B$505,"&gt;="&amp;DATE(YEAR(B130),MONTH(B130),1),$B$6:$B$505,"&lt;"&amp;DATE(YEAR(B130),MONTH(B130)+1,1)))</f>
        <v/>
      </c>
      <c r="AP130" s="0" t="str">
        <f aca="false">IF(C130="","",IFERROR(INDEX(CLIENTES!$M$6:$M$305,MATCH(C130,CLIENTES!$A$6:$A$305,0)),""))</f>
        <v/>
      </c>
      <c r="AQ130" s="27" t="n">
        <f aca="false">IF(AND(ISNUMBER(AO130),ISNUMBER(AP130)),IF(AND(AP130&gt;0,AO130&gt;AP130),1,0),0)</f>
        <v>0</v>
      </c>
      <c r="AR130" s="27" t="n">
        <f aca="false">IF(NOT(ISNUMBER(B130)),0,IF(B130&lt;MAX($B$5:B129),1,0))</f>
        <v>0</v>
      </c>
      <c r="AS130" s="0" t="str">
        <f aca="false">IF(C130="","",IFERROR(INDEX(CLIENTES!$H$6:$H$305,MATCH(C130,CLIENTES!$A$6:$A$305,0)),""))</f>
        <v/>
      </c>
      <c r="AT130" s="0" t="str">
        <f aca="false">IF(AND(LEFT(P130,5)="AVISO",T130&lt;&gt;"Presentado",ISNUMBER(Q130)),Q130,"")</f>
        <v/>
      </c>
      <c r="AU130" s="27" t="n">
        <f aca="false">IF(AND(D130="XVI - Activos virtuales (PSAV): operación de intercambio/transferencia",M130="Sí",ISNUMBER(AE130)),IF(AK130&gt;=AE130,1,0),0)</f>
        <v>0</v>
      </c>
      <c r="AV130" s="30" t="n">
        <f aca="false">IF(NOT(ISNUMBER(B130)),CONFIG!$B$4,IFERROR(INDEX(CONFIG!$I$5:$I$14,MATCH(IF(MONTH(B130)=1,YEAR(B130)-1,YEAR(B130)),CONFIG!$H$5:$H$14,0)),CONFIG!$B$4))</f>
        <v>117.31</v>
      </c>
      <c r="AW130" s="27" t="n">
        <f aca="false">IF(AND(LEFT(D130,4)="I - ",ISNUMBER(B130),C130&lt;&gt;""),SUMIFS($E$6:$E$505,$C$6:$C$505,C130,$D$6:$D$505,D130,$B$6:$B$505,"&gt;"&amp;(B130-1),$B$6:$B$505,"&lt;="&amp;B130),0)</f>
        <v>0</v>
      </c>
      <c r="AX130" s="0" t="str">
        <f aca="false">IF(E130="","",IF(AD130="Siempre","AVISO (siempre)",IF(AD130="No aplica","Sin Aviso (sólo preparas: Ley 17 XI)",IF(NOT(ISNUMBER(AE130)),"",IF(AA130&lt;&gt;"ACUMULA",IF(E130&gt;=AE130,IF(AND(D130="XVI - Activos virtuales (PSAV): cobro de contraprestación (comisión) por el servicio",COUNTIFS($C$6:$C$505,C130,$B$6:$B$505,"&gt;="&amp;INT(B130),$B$6:$B$505,"&lt;"&amp;(INT(B130)+1),$AU$6:$AU$505,1)&gt;0),"En el Aviso del inciso a) (R 31 Bis)","AVISO"),"—"),IF(M130&lt;&gt;"Sí","—",IF(AK130&gt;=AE130,IF(AK130=E130,"AVISO","AVISO (acumulado)"),"Acumulando")))))))</f>
        <v/>
      </c>
    </row>
    <row r="131" customFormat="false" ht="15" hidden="false" customHeight="false" outlineLevel="0" collapsed="false">
      <c r="A131" s="9" t="str">
        <f aca="false">IF(E131="","",ROW()-5)</f>
        <v/>
      </c>
      <c r="B131" s="20"/>
      <c r="C131" s="21"/>
      <c r="D131" s="21"/>
      <c r="E131" s="22"/>
      <c r="F131" s="22"/>
      <c r="G131" s="21"/>
      <c r="H131" s="21"/>
      <c r="I131" s="9" t="str">
        <f aca="false">IF(C131="","",IFERROR(INDEX(CLIENTES!$B$6:$B$305,MATCH(C131,CLIENTES!$A$6:$A$305,0)),"⚠ ID no registrado"))</f>
        <v/>
      </c>
      <c r="J131" s="9" t="str">
        <f aca="false">IF(C131="","",IFERROR(INDEX(CLIENTES!$Z$6:$Z$305,MATCH(C131,CLIENTES!$A$6:$A$305,0)),""))</f>
        <v/>
      </c>
      <c r="K131" s="9" t="str">
        <f aca="false">IF(E131="","",IF(AB131="Siempre","Sí",IF(ISNUMBER(AC131),IF(E131&gt;=AC131,"Sí",IF(AW131&gt;=AC131,"Sí (serie 24 h)","No")),"")))</f>
        <v/>
      </c>
      <c r="L131" s="9" t="str">
        <f aca="false">IF(E131="","",AA131)</f>
        <v/>
      </c>
      <c r="M131" s="9" t="str">
        <f aca="false">IF(E131="","",IF(AA131&lt;&gt;"ACUMULA","No aplica",IF(LEFT(K131,2)="Sí","Sí","No")))</f>
        <v/>
      </c>
      <c r="N131" s="23" t="str">
        <f aca="false">IF(M131="Sí",AJ131,"")</f>
        <v/>
      </c>
      <c r="O131" s="24" t="str">
        <f aca="false">IF(M131="Sí",AK131,"")</f>
        <v/>
      </c>
      <c r="P131" s="25" t="str">
        <f aca="false">IF(AND(LEFT(D131,6)="XIV - ",LEFT(AX131,5)="AVISO"),"Pedimento (R 16): no va al SPPLD",AX131)</f>
        <v/>
      </c>
      <c r="Q131" s="23" t="str">
        <f aca="false">IF(LEFT(P131,5)="AVISO",IF(ISNUMBER(B131),DATE(YEAR(B131),MONTH(B131)+1,17),"Falta fecha"),"")</f>
        <v/>
      </c>
      <c r="R131" s="9" t="str">
        <f aca="false">IF(OR(F131="",F131=0),"",IF(ISNUMBER(AG131),IF(F131&gt;=AG131,"PROHIBIDO","Dentro del límite"),"No aplica"))</f>
        <v/>
      </c>
      <c r="S131" s="26" t="str">
        <f aca="false">IF(E131="","",MID(IF(AQ131=1," · Excede el perfil declarado","")&amp;IF(H131="Sí"," · Paga un tercero","")&amp;IF(J131="Alto"," · Cliente de riesgo alto: DDR (RCG 23 Ter 3 y 4)","")&amp;IF(AND(AS131&lt;&gt;"",AS131&lt;&gt;"No",AS131&lt;&gt;0)," · PEP","")&amp;IF(R131="PROHIBIDO"," · Efectivo prohibido: no lo recibas (Art. 32)","")&amp;IF(AR131=1," · ⚠ Fecha fuera de orden","")&amp;IF(LEFT(I131,1)="⚠"," · ⚠ Cliente no registrado","")&amp;IF(D131=""," · ⚠ Falta la actividad","")&amp;IF(AND(LEFT(P131,5)="AVISO",W131="")," · Captura la cifra total con IVA para el Aviso","")&amp;IF(AND(ISNUMBER(W131),W131&lt;E131)," · ⚠ La cifra con IVA es menor que el monto sin IVA",""),4,400))</f>
        <v/>
      </c>
      <c r="T131" s="21"/>
      <c r="U131" s="20"/>
      <c r="V131" s="9" t="str">
        <f aca="false">IF(LEFT(P131,5)&lt;&gt;"AVISO","",IF(T131="Presentado",IF(AND(ISNUMBER(U131),ISNUMBER(Q131),U131&gt;Q131),"Presentado tarde","Presentado"),IF(NOT(ISNUMBER(Q131)),"Falta fecha",IF(Q131&lt;CONFIG!$B$6,"VENCIDO","Vence en "&amp;(Q131-CONFIG!$B$6)&amp;" días"))))</f>
        <v/>
      </c>
      <c r="W131" s="22"/>
      <c r="X131" s="21"/>
      <c r="AA131" s="0" t="str">
        <f aca="false">IF(AM131="","",INDEX(CATÁLOGO!$D$5:$D$39,AM131))</f>
        <v/>
      </c>
      <c r="AB131" s="0" t="str">
        <f aca="false">IF(AM131="","",INDEX(CATÁLOGO!$E$5:$E$39,AM131))</f>
        <v/>
      </c>
      <c r="AC131" s="0" t="str">
        <f aca="false">IF(AB131="","",IF(ISNUMBER(AB131),AB131*AV131,AB131))</f>
        <v/>
      </c>
      <c r="AD131" s="0" t="str">
        <f aca="false">IF(AM131="","",INDEX(CATÁLOGO!$F$5:$F$39,AM131))</f>
        <v/>
      </c>
      <c r="AE131" s="0" t="str">
        <f aca="false">IF(AD131="","",IF(ISNUMBER(AD131),AD131*AV131,AD131))</f>
        <v/>
      </c>
      <c r="AF131" s="0" t="str">
        <f aca="false">IF(AM131="","",INDEX(CATÁLOGO!$G$5:$G$39,AM131))</f>
        <v/>
      </c>
      <c r="AG131" s="0" t="str">
        <f aca="false">IF(AF131="","",IF(ISNUMBER(AF131),AF131*AV131,AF131))</f>
        <v/>
      </c>
      <c r="AH131" s="0" t="str">
        <f aca="false">IF(E131="","",C131&amp;"|"&amp;D131)</f>
        <v/>
      </c>
      <c r="AI131" s="27" t="n">
        <f aca="false">IF(M131&lt;&gt;"Sí",0,SUMPRODUCT(MAX(($AH$5:AH130=AH131)*($M$5:M130="Sí")*ROW($AH$5:AH130))))</f>
        <v>0</v>
      </c>
      <c r="AJ131" s="0" t="str">
        <f aca="false">IF(M131&lt;&gt;"Sí","",IF(AL131=1,B131,INDEX($AJ:$AJ,AI131)))</f>
        <v/>
      </c>
      <c r="AK131" s="0" t="str">
        <f aca="false">IF(M131&lt;&gt;"Sí","",IF(AL131=1,E131,INDEX($AK:$AK,AI131)+E131))</f>
        <v/>
      </c>
      <c r="AL131" s="0" t="str">
        <f aca="false">IF(M131&lt;&gt;"Sí","",IF(AI131=0,1,IF(INDEX($AN:$AN,AI131)=0,1,IF(B131&gt;=EDATE(INDEX($AJ:$AJ,AI131),6),1,0))))</f>
        <v/>
      </c>
      <c r="AM131" s="0" t="str">
        <f aca="false">IF(D131="","",IFERROR(MATCH(D131,CATÁLOGO!$C$5:$C$39,0),""))</f>
        <v/>
      </c>
      <c r="AN131" s="0" t="str">
        <f aca="false">IF(M131&lt;&gt;"Sí","",IF(AND(ISNUMBER(AE131),AK131&gt;=AE131),0,1))</f>
        <v/>
      </c>
      <c r="AO131" s="0" t="str">
        <f aca="false">IF(OR(E131="",C131="",NOT(ISNUMBER(B131))),"",SUMIFS($E$6:$E$505,$C$6:$C$505,C131,$B$6:$B$505,"&gt;="&amp;DATE(YEAR(B131),MONTH(B131),1),$B$6:$B$505,"&lt;"&amp;DATE(YEAR(B131),MONTH(B131)+1,1)))</f>
        <v/>
      </c>
      <c r="AP131" s="0" t="str">
        <f aca="false">IF(C131="","",IFERROR(INDEX(CLIENTES!$M$6:$M$305,MATCH(C131,CLIENTES!$A$6:$A$305,0)),""))</f>
        <v/>
      </c>
      <c r="AQ131" s="27" t="n">
        <f aca="false">IF(AND(ISNUMBER(AO131),ISNUMBER(AP131)),IF(AND(AP131&gt;0,AO131&gt;AP131),1,0),0)</f>
        <v>0</v>
      </c>
      <c r="AR131" s="27" t="n">
        <f aca="false">IF(NOT(ISNUMBER(B131)),0,IF(B131&lt;MAX($B$5:B130),1,0))</f>
        <v>0</v>
      </c>
      <c r="AS131" s="0" t="str">
        <f aca="false">IF(C131="","",IFERROR(INDEX(CLIENTES!$H$6:$H$305,MATCH(C131,CLIENTES!$A$6:$A$305,0)),""))</f>
        <v/>
      </c>
      <c r="AT131" s="0" t="str">
        <f aca="false">IF(AND(LEFT(P131,5)="AVISO",T131&lt;&gt;"Presentado",ISNUMBER(Q131)),Q131,"")</f>
        <v/>
      </c>
      <c r="AU131" s="27" t="n">
        <f aca="false">IF(AND(D131="XVI - Activos virtuales (PSAV): operación de intercambio/transferencia",M131="Sí",ISNUMBER(AE131)),IF(AK131&gt;=AE131,1,0),0)</f>
        <v>0</v>
      </c>
      <c r="AV131" s="30" t="n">
        <f aca="false">IF(NOT(ISNUMBER(B131)),CONFIG!$B$4,IFERROR(INDEX(CONFIG!$I$5:$I$14,MATCH(IF(MONTH(B131)=1,YEAR(B131)-1,YEAR(B131)),CONFIG!$H$5:$H$14,0)),CONFIG!$B$4))</f>
        <v>117.31</v>
      </c>
      <c r="AW131" s="27" t="n">
        <f aca="false">IF(AND(LEFT(D131,4)="I - ",ISNUMBER(B131),C131&lt;&gt;""),SUMIFS($E$6:$E$505,$C$6:$C$505,C131,$D$6:$D$505,D131,$B$6:$B$505,"&gt;"&amp;(B131-1),$B$6:$B$505,"&lt;="&amp;B131),0)</f>
        <v>0</v>
      </c>
      <c r="AX131" s="0" t="str">
        <f aca="false">IF(E131="","",IF(AD131="Siempre","AVISO (siempre)",IF(AD131="No aplica","Sin Aviso (sólo preparas: Ley 17 XI)",IF(NOT(ISNUMBER(AE131)),"",IF(AA131&lt;&gt;"ACUMULA",IF(E131&gt;=AE131,IF(AND(D131="XVI - Activos virtuales (PSAV): cobro de contraprestación (comisión) por el servicio",COUNTIFS($C$6:$C$505,C131,$B$6:$B$505,"&gt;="&amp;INT(B131),$B$6:$B$505,"&lt;"&amp;(INT(B131)+1),$AU$6:$AU$505,1)&gt;0),"En el Aviso del inciso a) (R 31 Bis)","AVISO"),"—"),IF(M131&lt;&gt;"Sí","—",IF(AK131&gt;=AE131,IF(AK131=E131,"AVISO","AVISO (acumulado)"),"Acumulando")))))))</f>
        <v/>
      </c>
    </row>
    <row r="132" customFormat="false" ht="15" hidden="false" customHeight="false" outlineLevel="0" collapsed="false">
      <c r="A132" s="9" t="str">
        <f aca="false">IF(E132="","",ROW()-5)</f>
        <v/>
      </c>
      <c r="B132" s="20"/>
      <c r="C132" s="21"/>
      <c r="D132" s="21"/>
      <c r="E132" s="22"/>
      <c r="F132" s="22"/>
      <c r="G132" s="21"/>
      <c r="H132" s="21"/>
      <c r="I132" s="9" t="str">
        <f aca="false">IF(C132="","",IFERROR(INDEX(CLIENTES!$B$6:$B$305,MATCH(C132,CLIENTES!$A$6:$A$305,0)),"⚠ ID no registrado"))</f>
        <v/>
      </c>
      <c r="J132" s="9" t="str">
        <f aca="false">IF(C132="","",IFERROR(INDEX(CLIENTES!$Z$6:$Z$305,MATCH(C132,CLIENTES!$A$6:$A$305,0)),""))</f>
        <v/>
      </c>
      <c r="K132" s="9" t="str">
        <f aca="false">IF(E132="","",IF(AB132="Siempre","Sí",IF(ISNUMBER(AC132),IF(E132&gt;=AC132,"Sí",IF(AW132&gt;=AC132,"Sí (serie 24 h)","No")),"")))</f>
        <v/>
      </c>
      <c r="L132" s="9" t="str">
        <f aca="false">IF(E132="","",AA132)</f>
        <v/>
      </c>
      <c r="M132" s="9" t="str">
        <f aca="false">IF(E132="","",IF(AA132&lt;&gt;"ACUMULA","No aplica",IF(LEFT(K132,2)="Sí","Sí","No")))</f>
        <v/>
      </c>
      <c r="N132" s="23" t="str">
        <f aca="false">IF(M132="Sí",AJ132,"")</f>
        <v/>
      </c>
      <c r="O132" s="24" t="str">
        <f aca="false">IF(M132="Sí",AK132,"")</f>
        <v/>
      </c>
      <c r="P132" s="25" t="str">
        <f aca="false">IF(AND(LEFT(D132,6)="XIV - ",LEFT(AX132,5)="AVISO"),"Pedimento (R 16): no va al SPPLD",AX132)</f>
        <v/>
      </c>
      <c r="Q132" s="23" t="str">
        <f aca="false">IF(LEFT(P132,5)="AVISO",IF(ISNUMBER(B132),DATE(YEAR(B132),MONTH(B132)+1,17),"Falta fecha"),"")</f>
        <v/>
      </c>
      <c r="R132" s="9" t="str">
        <f aca="false">IF(OR(F132="",F132=0),"",IF(ISNUMBER(AG132),IF(F132&gt;=AG132,"PROHIBIDO","Dentro del límite"),"No aplica"))</f>
        <v/>
      </c>
      <c r="S132" s="26" t="str">
        <f aca="false">IF(E132="","",MID(IF(AQ132=1," · Excede el perfil declarado","")&amp;IF(H132="Sí"," · Paga un tercero","")&amp;IF(J132="Alto"," · Cliente de riesgo alto: DDR (RCG 23 Ter 3 y 4)","")&amp;IF(AND(AS132&lt;&gt;"",AS132&lt;&gt;"No",AS132&lt;&gt;0)," · PEP","")&amp;IF(R132="PROHIBIDO"," · Efectivo prohibido: no lo recibas (Art. 32)","")&amp;IF(AR132=1," · ⚠ Fecha fuera de orden","")&amp;IF(LEFT(I132,1)="⚠"," · ⚠ Cliente no registrado","")&amp;IF(D132=""," · ⚠ Falta la actividad","")&amp;IF(AND(LEFT(P132,5)="AVISO",W132="")," · Captura la cifra total con IVA para el Aviso","")&amp;IF(AND(ISNUMBER(W132),W132&lt;E132)," · ⚠ La cifra con IVA es menor que el monto sin IVA",""),4,400))</f>
        <v/>
      </c>
      <c r="T132" s="21"/>
      <c r="U132" s="20"/>
      <c r="V132" s="9" t="str">
        <f aca="false">IF(LEFT(P132,5)&lt;&gt;"AVISO","",IF(T132="Presentado",IF(AND(ISNUMBER(U132),ISNUMBER(Q132),U132&gt;Q132),"Presentado tarde","Presentado"),IF(NOT(ISNUMBER(Q132)),"Falta fecha",IF(Q132&lt;CONFIG!$B$6,"VENCIDO","Vence en "&amp;(Q132-CONFIG!$B$6)&amp;" días"))))</f>
        <v/>
      </c>
      <c r="W132" s="22"/>
      <c r="X132" s="21"/>
      <c r="AA132" s="0" t="str">
        <f aca="false">IF(AM132="","",INDEX(CATÁLOGO!$D$5:$D$39,AM132))</f>
        <v/>
      </c>
      <c r="AB132" s="0" t="str">
        <f aca="false">IF(AM132="","",INDEX(CATÁLOGO!$E$5:$E$39,AM132))</f>
        <v/>
      </c>
      <c r="AC132" s="0" t="str">
        <f aca="false">IF(AB132="","",IF(ISNUMBER(AB132),AB132*AV132,AB132))</f>
        <v/>
      </c>
      <c r="AD132" s="0" t="str">
        <f aca="false">IF(AM132="","",INDEX(CATÁLOGO!$F$5:$F$39,AM132))</f>
        <v/>
      </c>
      <c r="AE132" s="0" t="str">
        <f aca="false">IF(AD132="","",IF(ISNUMBER(AD132),AD132*AV132,AD132))</f>
        <v/>
      </c>
      <c r="AF132" s="0" t="str">
        <f aca="false">IF(AM132="","",INDEX(CATÁLOGO!$G$5:$G$39,AM132))</f>
        <v/>
      </c>
      <c r="AG132" s="0" t="str">
        <f aca="false">IF(AF132="","",IF(ISNUMBER(AF132),AF132*AV132,AF132))</f>
        <v/>
      </c>
      <c r="AH132" s="0" t="str">
        <f aca="false">IF(E132="","",C132&amp;"|"&amp;D132)</f>
        <v/>
      </c>
      <c r="AI132" s="27" t="n">
        <f aca="false">IF(M132&lt;&gt;"Sí",0,SUMPRODUCT(MAX(($AH$5:AH131=AH132)*($M$5:M131="Sí")*ROW($AH$5:AH131))))</f>
        <v>0</v>
      </c>
      <c r="AJ132" s="0" t="str">
        <f aca="false">IF(M132&lt;&gt;"Sí","",IF(AL132=1,B132,INDEX($AJ:$AJ,AI132)))</f>
        <v/>
      </c>
      <c r="AK132" s="0" t="str">
        <f aca="false">IF(M132&lt;&gt;"Sí","",IF(AL132=1,E132,INDEX($AK:$AK,AI132)+E132))</f>
        <v/>
      </c>
      <c r="AL132" s="0" t="str">
        <f aca="false">IF(M132&lt;&gt;"Sí","",IF(AI132=0,1,IF(INDEX($AN:$AN,AI132)=0,1,IF(B132&gt;=EDATE(INDEX($AJ:$AJ,AI132),6),1,0))))</f>
        <v/>
      </c>
      <c r="AM132" s="0" t="str">
        <f aca="false">IF(D132="","",IFERROR(MATCH(D132,CATÁLOGO!$C$5:$C$39,0),""))</f>
        <v/>
      </c>
      <c r="AN132" s="0" t="str">
        <f aca="false">IF(M132&lt;&gt;"Sí","",IF(AND(ISNUMBER(AE132),AK132&gt;=AE132),0,1))</f>
        <v/>
      </c>
      <c r="AO132" s="0" t="str">
        <f aca="false">IF(OR(E132="",C132="",NOT(ISNUMBER(B132))),"",SUMIFS($E$6:$E$505,$C$6:$C$505,C132,$B$6:$B$505,"&gt;="&amp;DATE(YEAR(B132),MONTH(B132),1),$B$6:$B$505,"&lt;"&amp;DATE(YEAR(B132),MONTH(B132)+1,1)))</f>
        <v/>
      </c>
      <c r="AP132" s="0" t="str">
        <f aca="false">IF(C132="","",IFERROR(INDEX(CLIENTES!$M$6:$M$305,MATCH(C132,CLIENTES!$A$6:$A$305,0)),""))</f>
        <v/>
      </c>
      <c r="AQ132" s="27" t="n">
        <f aca="false">IF(AND(ISNUMBER(AO132),ISNUMBER(AP132)),IF(AND(AP132&gt;0,AO132&gt;AP132),1,0),0)</f>
        <v>0</v>
      </c>
      <c r="AR132" s="27" t="n">
        <f aca="false">IF(NOT(ISNUMBER(B132)),0,IF(B132&lt;MAX($B$5:B131),1,0))</f>
        <v>0</v>
      </c>
      <c r="AS132" s="0" t="str">
        <f aca="false">IF(C132="","",IFERROR(INDEX(CLIENTES!$H$6:$H$305,MATCH(C132,CLIENTES!$A$6:$A$305,0)),""))</f>
        <v/>
      </c>
      <c r="AT132" s="0" t="str">
        <f aca="false">IF(AND(LEFT(P132,5)="AVISO",T132&lt;&gt;"Presentado",ISNUMBER(Q132)),Q132,"")</f>
        <v/>
      </c>
      <c r="AU132" s="27" t="n">
        <f aca="false">IF(AND(D132="XVI - Activos virtuales (PSAV): operación de intercambio/transferencia",M132="Sí",ISNUMBER(AE132)),IF(AK132&gt;=AE132,1,0),0)</f>
        <v>0</v>
      </c>
      <c r="AV132" s="30" t="n">
        <f aca="false">IF(NOT(ISNUMBER(B132)),CONFIG!$B$4,IFERROR(INDEX(CONFIG!$I$5:$I$14,MATCH(IF(MONTH(B132)=1,YEAR(B132)-1,YEAR(B132)),CONFIG!$H$5:$H$14,0)),CONFIG!$B$4))</f>
        <v>117.31</v>
      </c>
      <c r="AW132" s="27" t="n">
        <f aca="false">IF(AND(LEFT(D132,4)="I - ",ISNUMBER(B132),C132&lt;&gt;""),SUMIFS($E$6:$E$505,$C$6:$C$505,C132,$D$6:$D$505,D132,$B$6:$B$505,"&gt;"&amp;(B132-1),$B$6:$B$505,"&lt;="&amp;B132),0)</f>
        <v>0</v>
      </c>
      <c r="AX132" s="0" t="str">
        <f aca="false">IF(E132="","",IF(AD132="Siempre","AVISO (siempre)",IF(AD132="No aplica","Sin Aviso (sólo preparas: Ley 17 XI)",IF(NOT(ISNUMBER(AE132)),"",IF(AA132&lt;&gt;"ACUMULA",IF(E132&gt;=AE132,IF(AND(D132="XVI - Activos virtuales (PSAV): cobro de contraprestación (comisión) por el servicio",COUNTIFS($C$6:$C$505,C132,$B$6:$B$505,"&gt;="&amp;INT(B132),$B$6:$B$505,"&lt;"&amp;(INT(B132)+1),$AU$6:$AU$505,1)&gt;0),"En el Aviso del inciso a) (R 31 Bis)","AVISO"),"—"),IF(M132&lt;&gt;"Sí","—",IF(AK132&gt;=AE132,IF(AK132=E132,"AVISO","AVISO (acumulado)"),"Acumulando")))))))</f>
        <v/>
      </c>
    </row>
    <row r="133" customFormat="false" ht="15" hidden="false" customHeight="false" outlineLevel="0" collapsed="false">
      <c r="A133" s="9" t="str">
        <f aca="false">IF(E133="","",ROW()-5)</f>
        <v/>
      </c>
      <c r="B133" s="20"/>
      <c r="C133" s="21"/>
      <c r="D133" s="21"/>
      <c r="E133" s="22"/>
      <c r="F133" s="22"/>
      <c r="G133" s="21"/>
      <c r="H133" s="21"/>
      <c r="I133" s="9" t="str">
        <f aca="false">IF(C133="","",IFERROR(INDEX(CLIENTES!$B$6:$B$305,MATCH(C133,CLIENTES!$A$6:$A$305,0)),"⚠ ID no registrado"))</f>
        <v/>
      </c>
      <c r="J133" s="9" t="str">
        <f aca="false">IF(C133="","",IFERROR(INDEX(CLIENTES!$Z$6:$Z$305,MATCH(C133,CLIENTES!$A$6:$A$305,0)),""))</f>
        <v/>
      </c>
      <c r="K133" s="9" t="str">
        <f aca="false">IF(E133="","",IF(AB133="Siempre","Sí",IF(ISNUMBER(AC133),IF(E133&gt;=AC133,"Sí",IF(AW133&gt;=AC133,"Sí (serie 24 h)","No")),"")))</f>
        <v/>
      </c>
      <c r="L133" s="9" t="str">
        <f aca="false">IF(E133="","",AA133)</f>
        <v/>
      </c>
      <c r="M133" s="9" t="str">
        <f aca="false">IF(E133="","",IF(AA133&lt;&gt;"ACUMULA","No aplica",IF(LEFT(K133,2)="Sí","Sí","No")))</f>
        <v/>
      </c>
      <c r="N133" s="23" t="str">
        <f aca="false">IF(M133="Sí",AJ133,"")</f>
        <v/>
      </c>
      <c r="O133" s="24" t="str">
        <f aca="false">IF(M133="Sí",AK133,"")</f>
        <v/>
      </c>
      <c r="P133" s="25" t="str">
        <f aca="false">IF(AND(LEFT(D133,6)="XIV - ",LEFT(AX133,5)="AVISO"),"Pedimento (R 16): no va al SPPLD",AX133)</f>
        <v/>
      </c>
      <c r="Q133" s="23" t="str">
        <f aca="false">IF(LEFT(P133,5)="AVISO",IF(ISNUMBER(B133),DATE(YEAR(B133),MONTH(B133)+1,17),"Falta fecha"),"")</f>
        <v/>
      </c>
      <c r="R133" s="9" t="str">
        <f aca="false">IF(OR(F133="",F133=0),"",IF(ISNUMBER(AG133),IF(F133&gt;=AG133,"PROHIBIDO","Dentro del límite"),"No aplica"))</f>
        <v/>
      </c>
      <c r="S133" s="26" t="str">
        <f aca="false">IF(E133="","",MID(IF(AQ133=1," · Excede el perfil declarado","")&amp;IF(H133="Sí"," · Paga un tercero","")&amp;IF(J133="Alto"," · Cliente de riesgo alto: DDR (RCG 23 Ter 3 y 4)","")&amp;IF(AND(AS133&lt;&gt;"",AS133&lt;&gt;"No",AS133&lt;&gt;0)," · PEP","")&amp;IF(R133="PROHIBIDO"," · Efectivo prohibido: no lo recibas (Art. 32)","")&amp;IF(AR133=1," · ⚠ Fecha fuera de orden","")&amp;IF(LEFT(I133,1)="⚠"," · ⚠ Cliente no registrado","")&amp;IF(D133=""," · ⚠ Falta la actividad","")&amp;IF(AND(LEFT(P133,5)="AVISO",W133="")," · Captura la cifra total con IVA para el Aviso","")&amp;IF(AND(ISNUMBER(W133),W133&lt;E133)," · ⚠ La cifra con IVA es menor que el monto sin IVA",""),4,400))</f>
        <v/>
      </c>
      <c r="T133" s="21"/>
      <c r="U133" s="20"/>
      <c r="V133" s="9" t="str">
        <f aca="false">IF(LEFT(P133,5)&lt;&gt;"AVISO","",IF(T133="Presentado",IF(AND(ISNUMBER(U133),ISNUMBER(Q133),U133&gt;Q133),"Presentado tarde","Presentado"),IF(NOT(ISNUMBER(Q133)),"Falta fecha",IF(Q133&lt;CONFIG!$B$6,"VENCIDO","Vence en "&amp;(Q133-CONFIG!$B$6)&amp;" días"))))</f>
        <v/>
      </c>
      <c r="W133" s="22"/>
      <c r="X133" s="21"/>
      <c r="AA133" s="0" t="str">
        <f aca="false">IF(AM133="","",INDEX(CATÁLOGO!$D$5:$D$39,AM133))</f>
        <v/>
      </c>
      <c r="AB133" s="0" t="str">
        <f aca="false">IF(AM133="","",INDEX(CATÁLOGO!$E$5:$E$39,AM133))</f>
        <v/>
      </c>
      <c r="AC133" s="0" t="str">
        <f aca="false">IF(AB133="","",IF(ISNUMBER(AB133),AB133*AV133,AB133))</f>
        <v/>
      </c>
      <c r="AD133" s="0" t="str">
        <f aca="false">IF(AM133="","",INDEX(CATÁLOGO!$F$5:$F$39,AM133))</f>
        <v/>
      </c>
      <c r="AE133" s="0" t="str">
        <f aca="false">IF(AD133="","",IF(ISNUMBER(AD133),AD133*AV133,AD133))</f>
        <v/>
      </c>
      <c r="AF133" s="0" t="str">
        <f aca="false">IF(AM133="","",INDEX(CATÁLOGO!$G$5:$G$39,AM133))</f>
        <v/>
      </c>
      <c r="AG133" s="0" t="str">
        <f aca="false">IF(AF133="","",IF(ISNUMBER(AF133),AF133*AV133,AF133))</f>
        <v/>
      </c>
      <c r="AH133" s="0" t="str">
        <f aca="false">IF(E133="","",C133&amp;"|"&amp;D133)</f>
        <v/>
      </c>
      <c r="AI133" s="27" t="n">
        <f aca="false">IF(M133&lt;&gt;"Sí",0,SUMPRODUCT(MAX(($AH$5:AH132=AH133)*($M$5:M132="Sí")*ROW($AH$5:AH132))))</f>
        <v>0</v>
      </c>
      <c r="AJ133" s="0" t="str">
        <f aca="false">IF(M133&lt;&gt;"Sí","",IF(AL133=1,B133,INDEX($AJ:$AJ,AI133)))</f>
        <v/>
      </c>
      <c r="AK133" s="0" t="str">
        <f aca="false">IF(M133&lt;&gt;"Sí","",IF(AL133=1,E133,INDEX($AK:$AK,AI133)+E133))</f>
        <v/>
      </c>
      <c r="AL133" s="0" t="str">
        <f aca="false">IF(M133&lt;&gt;"Sí","",IF(AI133=0,1,IF(INDEX($AN:$AN,AI133)=0,1,IF(B133&gt;=EDATE(INDEX($AJ:$AJ,AI133),6),1,0))))</f>
        <v/>
      </c>
      <c r="AM133" s="0" t="str">
        <f aca="false">IF(D133="","",IFERROR(MATCH(D133,CATÁLOGO!$C$5:$C$39,0),""))</f>
        <v/>
      </c>
      <c r="AN133" s="0" t="str">
        <f aca="false">IF(M133&lt;&gt;"Sí","",IF(AND(ISNUMBER(AE133),AK133&gt;=AE133),0,1))</f>
        <v/>
      </c>
      <c r="AO133" s="0" t="str">
        <f aca="false">IF(OR(E133="",C133="",NOT(ISNUMBER(B133))),"",SUMIFS($E$6:$E$505,$C$6:$C$505,C133,$B$6:$B$505,"&gt;="&amp;DATE(YEAR(B133),MONTH(B133),1),$B$6:$B$505,"&lt;"&amp;DATE(YEAR(B133),MONTH(B133)+1,1)))</f>
        <v/>
      </c>
      <c r="AP133" s="0" t="str">
        <f aca="false">IF(C133="","",IFERROR(INDEX(CLIENTES!$M$6:$M$305,MATCH(C133,CLIENTES!$A$6:$A$305,0)),""))</f>
        <v/>
      </c>
      <c r="AQ133" s="27" t="n">
        <f aca="false">IF(AND(ISNUMBER(AO133),ISNUMBER(AP133)),IF(AND(AP133&gt;0,AO133&gt;AP133),1,0),0)</f>
        <v>0</v>
      </c>
      <c r="AR133" s="27" t="n">
        <f aca="false">IF(NOT(ISNUMBER(B133)),0,IF(B133&lt;MAX($B$5:B132),1,0))</f>
        <v>0</v>
      </c>
      <c r="AS133" s="0" t="str">
        <f aca="false">IF(C133="","",IFERROR(INDEX(CLIENTES!$H$6:$H$305,MATCH(C133,CLIENTES!$A$6:$A$305,0)),""))</f>
        <v/>
      </c>
      <c r="AT133" s="0" t="str">
        <f aca="false">IF(AND(LEFT(P133,5)="AVISO",T133&lt;&gt;"Presentado",ISNUMBER(Q133)),Q133,"")</f>
        <v/>
      </c>
      <c r="AU133" s="27" t="n">
        <f aca="false">IF(AND(D133="XVI - Activos virtuales (PSAV): operación de intercambio/transferencia",M133="Sí",ISNUMBER(AE133)),IF(AK133&gt;=AE133,1,0),0)</f>
        <v>0</v>
      </c>
      <c r="AV133" s="30" t="n">
        <f aca="false">IF(NOT(ISNUMBER(B133)),CONFIG!$B$4,IFERROR(INDEX(CONFIG!$I$5:$I$14,MATCH(IF(MONTH(B133)=1,YEAR(B133)-1,YEAR(B133)),CONFIG!$H$5:$H$14,0)),CONFIG!$B$4))</f>
        <v>117.31</v>
      </c>
      <c r="AW133" s="27" t="n">
        <f aca="false">IF(AND(LEFT(D133,4)="I - ",ISNUMBER(B133),C133&lt;&gt;""),SUMIFS($E$6:$E$505,$C$6:$C$505,C133,$D$6:$D$505,D133,$B$6:$B$505,"&gt;"&amp;(B133-1),$B$6:$B$505,"&lt;="&amp;B133),0)</f>
        <v>0</v>
      </c>
      <c r="AX133" s="0" t="str">
        <f aca="false">IF(E133="","",IF(AD133="Siempre","AVISO (siempre)",IF(AD133="No aplica","Sin Aviso (sólo preparas: Ley 17 XI)",IF(NOT(ISNUMBER(AE133)),"",IF(AA133&lt;&gt;"ACUMULA",IF(E133&gt;=AE133,IF(AND(D133="XVI - Activos virtuales (PSAV): cobro de contraprestación (comisión) por el servicio",COUNTIFS($C$6:$C$505,C133,$B$6:$B$505,"&gt;="&amp;INT(B133),$B$6:$B$505,"&lt;"&amp;(INT(B133)+1),$AU$6:$AU$505,1)&gt;0),"En el Aviso del inciso a) (R 31 Bis)","AVISO"),"—"),IF(M133&lt;&gt;"Sí","—",IF(AK133&gt;=AE133,IF(AK133=E133,"AVISO","AVISO (acumulado)"),"Acumulando")))))))</f>
        <v/>
      </c>
    </row>
    <row r="134" customFormat="false" ht="15" hidden="false" customHeight="false" outlineLevel="0" collapsed="false">
      <c r="A134" s="9" t="str">
        <f aca="false">IF(E134="","",ROW()-5)</f>
        <v/>
      </c>
      <c r="B134" s="20"/>
      <c r="C134" s="21"/>
      <c r="D134" s="21"/>
      <c r="E134" s="22"/>
      <c r="F134" s="22"/>
      <c r="G134" s="21"/>
      <c r="H134" s="21"/>
      <c r="I134" s="9" t="str">
        <f aca="false">IF(C134="","",IFERROR(INDEX(CLIENTES!$B$6:$B$305,MATCH(C134,CLIENTES!$A$6:$A$305,0)),"⚠ ID no registrado"))</f>
        <v/>
      </c>
      <c r="J134" s="9" t="str">
        <f aca="false">IF(C134="","",IFERROR(INDEX(CLIENTES!$Z$6:$Z$305,MATCH(C134,CLIENTES!$A$6:$A$305,0)),""))</f>
        <v/>
      </c>
      <c r="K134" s="9" t="str">
        <f aca="false">IF(E134="","",IF(AB134="Siempre","Sí",IF(ISNUMBER(AC134),IF(E134&gt;=AC134,"Sí",IF(AW134&gt;=AC134,"Sí (serie 24 h)","No")),"")))</f>
        <v/>
      </c>
      <c r="L134" s="9" t="str">
        <f aca="false">IF(E134="","",AA134)</f>
        <v/>
      </c>
      <c r="M134" s="9" t="str">
        <f aca="false">IF(E134="","",IF(AA134&lt;&gt;"ACUMULA","No aplica",IF(LEFT(K134,2)="Sí","Sí","No")))</f>
        <v/>
      </c>
      <c r="N134" s="23" t="str">
        <f aca="false">IF(M134="Sí",AJ134,"")</f>
        <v/>
      </c>
      <c r="O134" s="24" t="str">
        <f aca="false">IF(M134="Sí",AK134,"")</f>
        <v/>
      </c>
      <c r="P134" s="25" t="str">
        <f aca="false">IF(AND(LEFT(D134,6)="XIV - ",LEFT(AX134,5)="AVISO"),"Pedimento (R 16): no va al SPPLD",AX134)</f>
        <v/>
      </c>
      <c r="Q134" s="23" t="str">
        <f aca="false">IF(LEFT(P134,5)="AVISO",IF(ISNUMBER(B134),DATE(YEAR(B134),MONTH(B134)+1,17),"Falta fecha"),"")</f>
        <v/>
      </c>
      <c r="R134" s="9" t="str">
        <f aca="false">IF(OR(F134="",F134=0),"",IF(ISNUMBER(AG134),IF(F134&gt;=AG134,"PROHIBIDO","Dentro del límite"),"No aplica"))</f>
        <v/>
      </c>
      <c r="S134" s="26" t="str">
        <f aca="false">IF(E134="","",MID(IF(AQ134=1," · Excede el perfil declarado","")&amp;IF(H134="Sí"," · Paga un tercero","")&amp;IF(J134="Alto"," · Cliente de riesgo alto: DDR (RCG 23 Ter 3 y 4)","")&amp;IF(AND(AS134&lt;&gt;"",AS134&lt;&gt;"No",AS134&lt;&gt;0)," · PEP","")&amp;IF(R134="PROHIBIDO"," · Efectivo prohibido: no lo recibas (Art. 32)","")&amp;IF(AR134=1," · ⚠ Fecha fuera de orden","")&amp;IF(LEFT(I134,1)="⚠"," · ⚠ Cliente no registrado","")&amp;IF(D134=""," · ⚠ Falta la actividad","")&amp;IF(AND(LEFT(P134,5)="AVISO",W134="")," · Captura la cifra total con IVA para el Aviso","")&amp;IF(AND(ISNUMBER(W134),W134&lt;E134)," · ⚠ La cifra con IVA es menor que el monto sin IVA",""),4,400))</f>
        <v/>
      </c>
      <c r="T134" s="21"/>
      <c r="U134" s="20"/>
      <c r="V134" s="9" t="str">
        <f aca="false">IF(LEFT(P134,5)&lt;&gt;"AVISO","",IF(T134="Presentado",IF(AND(ISNUMBER(U134),ISNUMBER(Q134),U134&gt;Q134),"Presentado tarde","Presentado"),IF(NOT(ISNUMBER(Q134)),"Falta fecha",IF(Q134&lt;CONFIG!$B$6,"VENCIDO","Vence en "&amp;(Q134-CONFIG!$B$6)&amp;" días"))))</f>
        <v/>
      </c>
      <c r="W134" s="22"/>
      <c r="X134" s="21"/>
      <c r="AA134" s="0" t="str">
        <f aca="false">IF(AM134="","",INDEX(CATÁLOGO!$D$5:$D$39,AM134))</f>
        <v/>
      </c>
      <c r="AB134" s="0" t="str">
        <f aca="false">IF(AM134="","",INDEX(CATÁLOGO!$E$5:$E$39,AM134))</f>
        <v/>
      </c>
      <c r="AC134" s="0" t="str">
        <f aca="false">IF(AB134="","",IF(ISNUMBER(AB134),AB134*AV134,AB134))</f>
        <v/>
      </c>
      <c r="AD134" s="0" t="str">
        <f aca="false">IF(AM134="","",INDEX(CATÁLOGO!$F$5:$F$39,AM134))</f>
        <v/>
      </c>
      <c r="AE134" s="0" t="str">
        <f aca="false">IF(AD134="","",IF(ISNUMBER(AD134),AD134*AV134,AD134))</f>
        <v/>
      </c>
      <c r="AF134" s="0" t="str">
        <f aca="false">IF(AM134="","",INDEX(CATÁLOGO!$G$5:$G$39,AM134))</f>
        <v/>
      </c>
      <c r="AG134" s="0" t="str">
        <f aca="false">IF(AF134="","",IF(ISNUMBER(AF134),AF134*AV134,AF134))</f>
        <v/>
      </c>
      <c r="AH134" s="0" t="str">
        <f aca="false">IF(E134="","",C134&amp;"|"&amp;D134)</f>
        <v/>
      </c>
      <c r="AI134" s="27" t="n">
        <f aca="false">IF(M134&lt;&gt;"Sí",0,SUMPRODUCT(MAX(($AH$5:AH133=AH134)*($M$5:M133="Sí")*ROW($AH$5:AH133))))</f>
        <v>0</v>
      </c>
      <c r="AJ134" s="0" t="str">
        <f aca="false">IF(M134&lt;&gt;"Sí","",IF(AL134=1,B134,INDEX($AJ:$AJ,AI134)))</f>
        <v/>
      </c>
      <c r="AK134" s="0" t="str">
        <f aca="false">IF(M134&lt;&gt;"Sí","",IF(AL134=1,E134,INDEX($AK:$AK,AI134)+E134))</f>
        <v/>
      </c>
      <c r="AL134" s="0" t="str">
        <f aca="false">IF(M134&lt;&gt;"Sí","",IF(AI134=0,1,IF(INDEX($AN:$AN,AI134)=0,1,IF(B134&gt;=EDATE(INDEX($AJ:$AJ,AI134),6),1,0))))</f>
        <v/>
      </c>
      <c r="AM134" s="0" t="str">
        <f aca="false">IF(D134="","",IFERROR(MATCH(D134,CATÁLOGO!$C$5:$C$39,0),""))</f>
        <v/>
      </c>
      <c r="AN134" s="0" t="str">
        <f aca="false">IF(M134&lt;&gt;"Sí","",IF(AND(ISNUMBER(AE134),AK134&gt;=AE134),0,1))</f>
        <v/>
      </c>
      <c r="AO134" s="0" t="str">
        <f aca="false">IF(OR(E134="",C134="",NOT(ISNUMBER(B134))),"",SUMIFS($E$6:$E$505,$C$6:$C$505,C134,$B$6:$B$505,"&gt;="&amp;DATE(YEAR(B134),MONTH(B134),1),$B$6:$B$505,"&lt;"&amp;DATE(YEAR(B134),MONTH(B134)+1,1)))</f>
        <v/>
      </c>
      <c r="AP134" s="0" t="str">
        <f aca="false">IF(C134="","",IFERROR(INDEX(CLIENTES!$M$6:$M$305,MATCH(C134,CLIENTES!$A$6:$A$305,0)),""))</f>
        <v/>
      </c>
      <c r="AQ134" s="27" t="n">
        <f aca="false">IF(AND(ISNUMBER(AO134),ISNUMBER(AP134)),IF(AND(AP134&gt;0,AO134&gt;AP134),1,0),0)</f>
        <v>0</v>
      </c>
      <c r="AR134" s="27" t="n">
        <f aca="false">IF(NOT(ISNUMBER(B134)),0,IF(B134&lt;MAX($B$5:B133),1,0))</f>
        <v>0</v>
      </c>
      <c r="AS134" s="0" t="str">
        <f aca="false">IF(C134="","",IFERROR(INDEX(CLIENTES!$H$6:$H$305,MATCH(C134,CLIENTES!$A$6:$A$305,0)),""))</f>
        <v/>
      </c>
      <c r="AT134" s="0" t="str">
        <f aca="false">IF(AND(LEFT(P134,5)="AVISO",T134&lt;&gt;"Presentado",ISNUMBER(Q134)),Q134,"")</f>
        <v/>
      </c>
      <c r="AU134" s="27" t="n">
        <f aca="false">IF(AND(D134="XVI - Activos virtuales (PSAV): operación de intercambio/transferencia",M134="Sí",ISNUMBER(AE134)),IF(AK134&gt;=AE134,1,0),0)</f>
        <v>0</v>
      </c>
      <c r="AV134" s="30" t="n">
        <f aca="false">IF(NOT(ISNUMBER(B134)),CONFIG!$B$4,IFERROR(INDEX(CONFIG!$I$5:$I$14,MATCH(IF(MONTH(B134)=1,YEAR(B134)-1,YEAR(B134)),CONFIG!$H$5:$H$14,0)),CONFIG!$B$4))</f>
        <v>117.31</v>
      </c>
      <c r="AW134" s="27" t="n">
        <f aca="false">IF(AND(LEFT(D134,4)="I - ",ISNUMBER(B134),C134&lt;&gt;""),SUMIFS($E$6:$E$505,$C$6:$C$505,C134,$D$6:$D$505,D134,$B$6:$B$505,"&gt;"&amp;(B134-1),$B$6:$B$505,"&lt;="&amp;B134),0)</f>
        <v>0</v>
      </c>
      <c r="AX134" s="0" t="str">
        <f aca="false">IF(E134="","",IF(AD134="Siempre","AVISO (siempre)",IF(AD134="No aplica","Sin Aviso (sólo preparas: Ley 17 XI)",IF(NOT(ISNUMBER(AE134)),"",IF(AA134&lt;&gt;"ACUMULA",IF(E134&gt;=AE134,IF(AND(D134="XVI - Activos virtuales (PSAV): cobro de contraprestación (comisión) por el servicio",COUNTIFS($C$6:$C$505,C134,$B$6:$B$505,"&gt;="&amp;INT(B134),$B$6:$B$505,"&lt;"&amp;(INT(B134)+1),$AU$6:$AU$505,1)&gt;0),"En el Aviso del inciso a) (R 31 Bis)","AVISO"),"—"),IF(M134&lt;&gt;"Sí","—",IF(AK134&gt;=AE134,IF(AK134=E134,"AVISO","AVISO (acumulado)"),"Acumulando")))))))</f>
        <v/>
      </c>
    </row>
    <row r="135" customFormat="false" ht="15" hidden="false" customHeight="false" outlineLevel="0" collapsed="false">
      <c r="A135" s="9" t="str">
        <f aca="false">IF(E135="","",ROW()-5)</f>
        <v/>
      </c>
      <c r="B135" s="20"/>
      <c r="C135" s="21"/>
      <c r="D135" s="21"/>
      <c r="E135" s="22"/>
      <c r="F135" s="22"/>
      <c r="G135" s="21"/>
      <c r="H135" s="21"/>
      <c r="I135" s="9" t="str">
        <f aca="false">IF(C135="","",IFERROR(INDEX(CLIENTES!$B$6:$B$305,MATCH(C135,CLIENTES!$A$6:$A$305,0)),"⚠ ID no registrado"))</f>
        <v/>
      </c>
      <c r="J135" s="9" t="str">
        <f aca="false">IF(C135="","",IFERROR(INDEX(CLIENTES!$Z$6:$Z$305,MATCH(C135,CLIENTES!$A$6:$A$305,0)),""))</f>
        <v/>
      </c>
      <c r="K135" s="9" t="str">
        <f aca="false">IF(E135="","",IF(AB135="Siempre","Sí",IF(ISNUMBER(AC135),IF(E135&gt;=AC135,"Sí",IF(AW135&gt;=AC135,"Sí (serie 24 h)","No")),"")))</f>
        <v/>
      </c>
      <c r="L135" s="9" t="str">
        <f aca="false">IF(E135="","",AA135)</f>
        <v/>
      </c>
      <c r="M135" s="9" t="str">
        <f aca="false">IF(E135="","",IF(AA135&lt;&gt;"ACUMULA","No aplica",IF(LEFT(K135,2)="Sí","Sí","No")))</f>
        <v/>
      </c>
      <c r="N135" s="23" t="str">
        <f aca="false">IF(M135="Sí",AJ135,"")</f>
        <v/>
      </c>
      <c r="O135" s="24" t="str">
        <f aca="false">IF(M135="Sí",AK135,"")</f>
        <v/>
      </c>
      <c r="P135" s="25" t="str">
        <f aca="false">IF(AND(LEFT(D135,6)="XIV - ",LEFT(AX135,5)="AVISO"),"Pedimento (R 16): no va al SPPLD",AX135)</f>
        <v/>
      </c>
      <c r="Q135" s="23" t="str">
        <f aca="false">IF(LEFT(P135,5)="AVISO",IF(ISNUMBER(B135),DATE(YEAR(B135),MONTH(B135)+1,17),"Falta fecha"),"")</f>
        <v/>
      </c>
      <c r="R135" s="9" t="str">
        <f aca="false">IF(OR(F135="",F135=0),"",IF(ISNUMBER(AG135),IF(F135&gt;=AG135,"PROHIBIDO","Dentro del límite"),"No aplica"))</f>
        <v/>
      </c>
      <c r="S135" s="26" t="str">
        <f aca="false">IF(E135="","",MID(IF(AQ135=1," · Excede el perfil declarado","")&amp;IF(H135="Sí"," · Paga un tercero","")&amp;IF(J135="Alto"," · Cliente de riesgo alto: DDR (RCG 23 Ter 3 y 4)","")&amp;IF(AND(AS135&lt;&gt;"",AS135&lt;&gt;"No",AS135&lt;&gt;0)," · PEP","")&amp;IF(R135="PROHIBIDO"," · Efectivo prohibido: no lo recibas (Art. 32)","")&amp;IF(AR135=1," · ⚠ Fecha fuera de orden","")&amp;IF(LEFT(I135,1)="⚠"," · ⚠ Cliente no registrado","")&amp;IF(D135=""," · ⚠ Falta la actividad","")&amp;IF(AND(LEFT(P135,5)="AVISO",W135="")," · Captura la cifra total con IVA para el Aviso","")&amp;IF(AND(ISNUMBER(W135),W135&lt;E135)," · ⚠ La cifra con IVA es menor que el monto sin IVA",""),4,400))</f>
        <v/>
      </c>
      <c r="T135" s="21"/>
      <c r="U135" s="20"/>
      <c r="V135" s="9" t="str">
        <f aca="false">IF(LEFT(P135,5)&lt;&gt;"AVISO","",IF(T135="Presentado",IF(AND(ISNUMBER(U135),ISNUMBER(Q135),U135&gt;Q135),"Presentado tarde","Presentado"),IF(NOT(ISNUMBER(Q135)),"Falta fecha",IF(Q135&lt;CONFIG!$B$6,"VENCIDO","Vence en "&amp;(Q135-CONFIG!$B$6)&amp;" días"))))</f>
        <v/>
      </c>
      <c r="W135" s="22"/>
      <c r="X135" s="21"/>
      <c r="AA135" s="0" t="str">
        <f aca="false">IF(AM135="","",INDEX(CATÁLOGO!$D$5:$D$39,AM135))</f>
        <v/>
      </c>
      <c r="AB135" s="0" t="str">
        <f aca="false">IF(AM135="","",INDEX(CATÁLOGO!$E$5:$E$39,AM135))</f>
        <v/>
      </c>
      <c r="AC135" s="0" t="str">
        <f aca="false">IF(AB135="","",IF(ISNUMBER(AB135),AB135*AV135,AB135))</f>
        <v/>
      </c>
      <c r="AD135" s="0" t="str">
        <f aca="false">IF(AM135="","",INDEX(CATÁLOGO!$F$5:$F$39,AM135))</f>
        <v/>
      </c>
      <c r="AE135" s="0" t="str">
        <f aca="false">IF(AD135="","",IF(ISNUMBER(AD135),AD135*AV135,AD135))</f>
        <v/>
      </c>
      <c r="AF135" s="0" t="str">
        <f aca="false">IF(AM135="","",INDEX(CATÁLOGO!$G$5:$G$39,AM135))</f>
        <v/>
      </c>
      <c r="AG135" s="0" t="str">
        <f aca="false">IF(AF135="","",IF(ISNUMBER(AF135),AF135*AV135,AF135))</f>
        <v/>
      </c>
      <c r="AH135" s="0" t="str">
        <f aca="false">IF(E135="","",C135&amp;"|"&amp;D135)</f>
        <v/>
      </c>
      <c r="AI135" s="27" t="n">
        <f aca="false">IF(M135&lt;&gt;"Sí",0,SUMPRODUCT(MAX(($AH$5:AH134=AH135)*($M$5:M134="Sí")*ROW($AH$5:AH134))))</f>
        <v>0</v>
      </c>
      <c r="AJ135" s="0" t="str">
        <f aca="false">IF(M135&lt;&gt;"Sí","",IF(AL135=1,B135,INDEX($AJ:$AJ,AI135)))</f>
        <v/>
      </c>
      <c r="AK135" s="0" t="str">
        <f aca="false">IF(M135&lt;&gt;"Sí","",IF(AL135=1,E135,INDEX($AK:$AK,AI135)+E135))</f>
        <v/>
      </c>
      <c r="AL135" s="0" t="str">
        <f aca="false">IF(M135&lt;&gt;"Sí","",IF(AI135=0,1,IF(INDEX($AN:$AN,AI135)=0,1,IF(B135&gt;=EDATE(INDEX($AJ:$AJ,AI135),6),1,0))))</f>
        <v/>
      </c>
      <c r="AM135" s="0" t="str">
        <f aca="false">IF(D135="","",IFERROR(MATCH(D135,CATÁLOGO!$C$5:$C$39,0),""))</f>
        <v/>
      </c>
      <c r="AN135" s="0" t="str">
        <f aca="false">IF(M135&lt;&gt;"Sí","",IF(AND(ISNUMBER(AE135),AK135&gt;=AE135),0,1))</f>
        <v/>
      </c>
      <c r="AO135" s="0" t="str">
        <f aca="false">IF(OR(E135="",C135="",NOT(ISNUMBER(B135))),"",SUMIFS($E$6:$E$505,$C$6:$C$505,C135,$B$6:$B$505,"&gt;="&amp;DATE(YEAR(B135),MONTH(B135),1),$B$6:$B$505,"&lt;"&amp;DATE(YEAR(B135),MONTH(B135)+1,1)))</f>
        <v/>
      </c>
      <c r="AP135" s="0" t="str">
        <f aca="false">IF(C135="","",IFERROR(INDEX(CLIENTES!$M$6:$M$305,MATCH(C135,CLIENTES!$A$6:$A$305,0)),""))</f>
        <v/>
      </c>
      <c r="AQ135" s="27" t="n">
        <f aca="false">IF(AND(ISNUMBER(AO135),ISNUMBER(AP135)),IF(AND(AP135&gt;0,AO135&gt;AP135),1,0),0)</f>
        <v>0</v>
      </c>
      <c r="AR135" s="27" t="n">
        <f aca="false">IF(NOT(ISNUMBER(B135)),0,IF(B135&lt;MAX($B$5:B134),1,0))</f>
        <v>0</v>
      </c>
      <c r="AS135" s="0" t="str">
        <f aca="false">IF(C135="","",IFERROR(INDEX(CLIENTES!$H$6:$H$305,MATCH(C135,CLIENTES!$A$6:$A$305,0)),""))</f>
        <v/>
      </c>
      <c r="AT135" s="0" t="str">
        <f aca="false">IF(AND(LEFT(P135,5)="AVISO",T135&lt;&gt;"Presentado",ISNUMBER(Q135)),Q135,"")</f>
        <v/>
      </c>
      <c r="AU135" s="27" t="n">
        <f aca="false">IF(AND(D135="XVI - Activos virtuales (PSAV): operación de intercambio/transferencia",M135="Sí",ISNUMBER(AE135)),IF(AK135&gt;=AE135,1,0),0)</f>
        <v>0</v>
      </c>
      <c r="AV135" s="30" t="n">
        <f aca="false">IF(NOT(ISNUMBER(B135)),CONFIG!$B$4,IFERROR(INDEX(CONFIG!$I$5:$I$14,MATCH(IF(MONTH(B135)=1,YEAR(B135)-1,YEAR(B135)),CONFIG!$H$5:$H$14,0)),CONFIG!$B$4))</f>
        <v>117.31</v>
      </c>
      <c r="AW135" s="27" t="n">
        <f aca="false">IF(AND(LEFT(D135,4)="I - ",ISNUMBER(B135),C135&lt;&gt;""),SUMIFS($E$6:$E$505,$C$6:$C$505,C135,$D$6:$D$505,D135,$B$6:$B$505,"&gt;"&amp;(B135-1),$B$6:$B$505,"&lt;="&amp;B135),0)</f>
        <v>0</v>
      </c>
      <c r="AX135" s="0" t="str">
        <f aca="false">IF(E135="","",IF(AD135="Siempre","AVISO (siempre)",IF(AD135="No aplica","Sin Aviso (sólo preparas: Ley 17 XI)",IF(NOT(ISNUMBER(AE135)),"",IF(AA135&lt;&gt;"ACUMULA",IF(E135&gt;=AE135,IF(AND(D135="XVI - Activos virtuales (PSAV): cobro de contraprestación (comisión) por el servicio",COUNTIFS($C$6:$C$505,C135,$B$6:$B$505,"&gt;="&amp;INT(B135),$B$6:$B$505,"&lt;"&amp;(INT(B135)+1),$AU$6:$AU$505,1)&gt;0),"En el Aviso del inciso a) (R 31 Bis)","AVISO"),"—"),IF(M135&lt;&gt;"Sí","—",IF(AK135&gt;=AE135,IF(AK135=E135,"AVISO","AVISO (acumulado)"),"Acumulando")))))))</f>
        <v/>
      </c>
    </row>
    <row r="136" customFormat="false" ht="15" hidden="false" customHeight="false" outlineLevel="0" collapsed="false">
      <c r="A136" s="9" t="str">
        <f aca="false">IF(E136="","",ROW()-5)</f>
        <v/>
      </c>
      <c r="B136" s="20"/>
      <c r="C136" s="21"/>
      <c r="D136" s="21"/>
      <c r="E136" s="22"/>
      <c r="F136" s="22"/>
      <c r="G136" s="21"/>
      <c r="H136" s="21"/>
      <c r="I136" s="9" t="str">
        <f aca="false">IF(C136="","",IFERROR(INDEX(CLIENTES!$B$6:$B$305,MATCH(C136,CLIENTES!$A$6:$A$305,0)),"⚠ ID no registrado"))</f>
        <v/>
      </c>
      <c r="J136" s="9" t="str">
        <f aca="false">IF(C136="","",IFERROR(INDEX(CLIENTES!$Z$6:$Z$305,MATCH(C136,CLIENTES!$A$6:$A$305,0)),""))</f>
        <v/>
      </c>
      <c r="K136" s="9" t="str">
        <f aca="false">IF(E136="","",IF(AB136="Siempre","Sí",IF(ISNUMBER(AC136),IF(E136&gt;=AC136,"Sí",IF(AW136&gt;=AC136,"Sí (serie 24 h)","No")),"")))</f>
        <v/>
      </c>
      <c r="L136" s="9" t="str">
        <f aca="false">IF(E136="","",AA136)</f>
        <v/>
      </c>
      <c r="M136" s="9" t="str">
        <f aca="false">IF(E136="","",IF(AA136&lt;&gt;"ACUMULA","No aplica",IF(LEFT(K136,2)="Sí","Sí","No")))</f>
        <v/>
      </c>
      <c r="N136" s="23" t="str">
        <f aca="false">IF(M136="Sí",AJ136,"")</f>
        <v/>
      </c>
      <c r="O136" s="24" t="str">
        <f aca="false">IF(M136="Sí",AK136,"")</f>
        <v/>
      </c>
      <c r="P136" s="25" t="str">
        <f aca="false">IF(AND(LEFT(D136,6)="XIV - ",LEFT(AX136,5)="AVISO"),"Pedimento (R 16): no va al SPPLD",AX136)</f>
        <v/>
      </c>
      <c r="Q136" s="23" t="str">
        <f aca="false">IF(LEFT(P136,5)="AVISO",IF(ISNUMBER(B136),DATE(YEAR(B136),MONTH(B136)+1,17),"Falta fecha"),"")</f>
        <v/>
      </c>
      <c r="R136" s="9" t="str">
        <f aca="false">IF(OR(F136="",F136=0),"",IF(ISNUMBER(AG136),IF(F136&gt;=AG136,"PROHIBIDO","Dentro del límite"),"No aplica"))</f>
        <v/>
      </c>
      <c r="S136" s="26" t="str">
        <f aca="false">IF(E136="","",MID(IF(AQ136=1," · Excede el perfil declarado","")&amp;IF(H136="Sí"," · Paga un tercero","")&amp;IF(J136="Alto"," · Cliente de riesgo alto: DDR (RCG 23 Ter 3 y 4)","")&amp;IF(AND(AS136&lt;&gt;"",AS136&lt;&gt;"No",AS136&lt;&gt;0)," · PEP","")&amp;IF(R136="PROHIBIDO"," · Efectivo prohibido: no lo recibas (Art. 32)","")&amp;IF(AR136=1," · ⚠ Fecha fuera de orden","")&amp;IF(LEFT(I136,1)="⚠"," · ⚠ Cliente no registrado","")&amp;IF(D136=""," · ⚠ Falta la actividad","")&amp;IF(AND(LEFT(P136,5)="AVISO",W136="")," · Captura la cifra total con IVA para el Aviso","")&amp;IF(AND(ISNUMBER(W136),W136&lt;E136)," · ⚠ La cifra con IVA es menor que el monto sin IVA",""),4,400))</f>
        <v/>
      </c>
      <c r="T136" s="21"/>
      <c r="U136" s="20"/>
      <c r="V136" s="9" t="str">
        <f aca="false">IF(LEFT(P136,5)&lt;&gt;"AVISO","",IF(T136="Presentado",IF(AND(ISNUMBER(U136),ISNUMBER(Q136),U136&gt;Q136),"Presentado tarde","Presentado"),IF(NOT(ISNUMBER(Q136)),"Falta fecha",IF(Q136&lt;CONFIG!$B$6,"VENCIDO","Vence en "&amp;(Q136-CONFIG!$B$6)&amp;" días"))))</f>
        <v/>
      </c>
      <c r="W136" s="22"/>
      <c r="X136" s="21"/>
      <c r="AA136" s="0" t="str">
        <f aca="false">IF(AM136="","",INDEX(CATÁLOGO!$D$5:$D$39,AM136))</f>
        <v/>
      </c>
      <c r="AB136" s="0" t="str">
        <f aca="false">IF(AM136="","",INDEX(CATÁLOGO!$E$5:$E$39,AM136))</f>
        <v/>
      </c>
      <c r="AC136" s="0" t="str">
        <f aca="false">IF(AB136="","",IF(ISNUMBER(AB136),AB136*AV136,AB136))</f>
        <v/>
      </c>
      <c r="AD136" s="0" t="str">
        <f aca="false">IF(AM136="","",INDEX(CATÁLOGO!$F$5:$F$39,AM136))</f>
        <v/>
      </c>
      <c r="AE136" s="0" t="str">
        <f aca="false">IF(AD136="","",IF(ISNUMBER(AD136),AD136*AV136,AD136))</f>
        <v/>
      </c>
      <c r="AF136" s="0" t="str">
        <f aca="false">IF(AM136="","",INDEX(CATÁLOGO!$G$5:$G$39,AM136))</f>
        <v/>
      </c>
      <c r="AG136" s="0" t="str">
        <f aca="false">IF(AF136="","",IF(ISNUMBER(AF136),AF136*AV136,AF136))</f>
        <v/>
      </c>
      <c r="AH136" s="0" t="str">
        <f aca="false">IF(E136="","",C136&amp;"|"&amp;D136)</f>
        <v/>
      </c>
      <c r="AI136" s="27" t="n">
        <f aca="false">IF(M136&lt;&gt;"Sí",0,SUMPRODUCT(MAX(($AH$5:AH135=AH136)*($M$5:M135="Sí")*ROW($AH$5:AH135))))</f>
        <v>0</v>
      </c>
      <c r="AJ136" s="0" t="str">
        <f aca="false">IF(M136&lt;&gt;"Sí","",IF(AL136=1,B136,INDEX($AJ:$AJ,AI136)))</f>
        <v/>
      </c>
      <c r="AK136" s="0" t="str">
        <f aca="false">IF(M136&lt;&gt;"Sí","",IF(AL136=1,E136,INDEX($AK:$AK,AI136)+E136))</f>
        <v/>
      </c>
      <c r="AL136" s="0" t="str">
        <f aca="false">IF(M136&lt;&gt;"Sí","",IF(AI136=0,1,IF(INDEX($AN:$AN,AI136)=0,1,IF(B136&gt;=EDATE(INDEX($AJ:$AJ,AI136),6),1,0))))</f>
        <v/>
      </c>
      <c r="AM136" s="0" t="str">
        <f aca="false">IF(D136="","",IFERROR(MATCH(D136,CATÁLOGO!$C$5:$C$39,0),""))</f>
        <v/>
      </c>
      <c r="AN136" s="0" t="str">
        <f aca="false">IF(M136&lt;&gt;"Sí","",IF(AND(ISNUMBER(AE136),AK136&gt;=AE136),0,1))</f>
        <v/>
      </c>
      <c r="AO136" s="0" t="str">
        <f aca="false">IF(OR(E136="",C136="",NOT(ISNUMBER(B136))),"",SUMIFS($E$6:$E$505,$C$6:$C$505,C136,$B$6:$B$505,"&gt;="&amp;DATE(YEAR(B136),MONTH(B136),1),$B$6:$B$505,"&lt;"&amp;DATE(YEAR(B136),MONTH(B136)+1,1)))</f>
        <v/>
      </c>
      <c r="AP136" s="0" t="str">
        <f aca="false">IF(C136="","",IFERROR(INDEX(CLIENTES!$M$6:$M$305,MATCH(C136,CLIENTES!$A$6:$A$305,0)),""))</f>
        <v/>
      </c>
      <c r="AQ136" s="27" t="n">
        <f aca="false">IF(AND(ISNUMBER(AO136),ISNUMBER(AP136)),IF(AND(AP136&gt;0,AO136&gt;AP136),1,0),0)</f>
        <v>0</v>
      </c>
      <c r="AR136" s="27" t="n">
        <f aca="false">IF(NOT(ISNUMBER(B136)),0,IF(B136&lt;MAX($B$5:B135),1,0))</f>
        <v>0</v>
      </c>
      <c r="AS136" s="0" t="str">
        <f aca="false">IF(C136="","",IFERROR(INDEX(CLIENTES!$H$6:$H$305,MATCH(C136,CLIENTES!$A$6:$A$305,0)),""))</f>
        <v/>
      </c>
      <c r="AT136" s="0" t="str">
        <f aca="false">IF(AND(LEFT(P136,5)="AVISO",T136&lt;&gt;"Presentado",ISNUMBER(Q136)),Q136,"")</f>
        <v/>
      </c>
      <c r="AU136" s="27" t="n">
        <f aca="false">IF(AND(D136="XVI - Activos virtuales (PSAV): operación de intercambio/transferencia",M136="Sí",ISNUMBER(AE136)),IF(AK136&gt;=AE136,1,0),0)</f>
        <v>0</v>
      </c>
      <c r="AV136" s="30" t="n">
        <f aca="false">IF(NOT(ISNUMBER(B136)),CONFIG!$B$4,IFERROR(INDEX(CONFIG!$I$5:$I$14,MATCH(IF(MONTH(B136)=1,YEAR(B136)-1,YEAR(B136)),CONFIG!$H$5:$H$14,0)),CONFIG!$B$4))</f>
        <v>117.31</v>
      </c>
      <c r="AW136" s="27" t="n">
        <f aca="false">IF(AND(LEFT(D136,4)="I - ",ISNUMBER(B136),C136&lt;&gt;""),SUMIFS($E$6:$E$505,$C$6:$C$505,C136,$D$6:$D$505,D136,$B$6:$B$505,"&gt;"&amp;(B136-1),$B$6:$B$505,"&lt;="&amp;B136),0)</f>
        <v>0</v>
      </c>
      <c r="AX136" s="0" t="str">
        <f aca="false">IF(E136="","",IF(AD136="Siempre","AVISO (siempre)",IF(AD136="No aplica","Sin Aviso (sólo preparas: Ley 17 XI)",IF(NOT(ISNUMBER(AE136)),"",IF(AA136&lt;&gt;"ACUMULA",IF(E136&gt;=AE136,IF(AND(D136="XVI - Activos virtuales (PSAV): cobro de contraprestación (comisión) por el servicio",COUNTIFS($C$6:$C$505,C136,$B$6:$B$505,"&gt;="&amp;INT(B136),$B$6:$B$505,"&lt;"&amp;(INT(B136)+1),$AU$6:$AU$505,1)&gt;0),"En el Aviso del inciso a) (R 31 Bis)","AVISO"),"—"),IF(M136&lt;&gt;"Sí","—",IF(AK136&gt;=AE136,IF(AK136=E136,"AVISO","AVISO (acumulado)"),"Acumulando")))))))</f>
        <v/>
      </c>
    </row>
    <row r="137" customFormat="false" ht="15" hidden="false" customHeight="false" outlineLevel="0" collapsed="false">
      <c r="A137" s="9" t="str">
        <f aca="false">IF(E137="","",ROW()-5)</f>
        <v/>
      </c>
      <c r="B137" s="20"/>
      <c r="C137" s="21"/>
      <c r="D137" s="21"/>
      <c r="E137" s="22"/>
      <c r="F137" s="22"/>
      <c r="G137" s="21"/>
      <c r="H137" s="21"/>
      <c r="I137" s="9" t="str">
        <f aca="false">IF(C137="","",IFERROR(INDEX(CLIENTES!$B$6:$B$305,MATCH(C137,CLIENTES!$A$6:$A$305,0)),"⚠ ID no registrado"))</f>
        <v/>
      </c>
      <c r="J137" s="9" t="str">
        <f aca="false">IF(C137="","",IFERROR(INDEX(CLIENTES!$Z$6:$Z$305,MATCH(C137,CLIENTES!$A$6:$A$305,0)),""))</f>
        <v/>
      </c>
      <c r="K137" s="9" t="str">
        <f aca="false">IF(E137="","",IF(AB137="Siempre","Sí",IF(ISNUMBER(AC137),IF(E137&gt;=AC137,"Sí",IF(AW137&gt;=AC137,"Sí (serie 24 h)","No")),"")))</f>
        <v/>
      </c>
      <c r="L137" s="9" t="str">
        <f aca="false">IF(E137="","",AA137)</f>
        <v/>
      </c>
      <c r="M137" s="9" t="str">
        <f aca="false">IF(E137="","",IF(AA137&lt;&gt;"ACUMULA","No aplica",IF(LEFT(K137,2)="Sí","Sí","No")))</f>
        <v/>
      </c>
      <c r="N137" s="23" t="str">
        <f aca="false">IF(M137="Sí",AJ137,"")</f>
        <v/>
      </c>
      <c r="O137" s="24" t="str">
        <f aca="false">IF(M137="Sí",AK137,"")</f>
        <v/>
      </c>
      <c r="P137" s="25" t="str">
        <f aca="false">IF(AND(LEFT(D137,6)="XIV - ",LEFT(AX137,5)="AVISO"),"Pedimento (R 16): no va al SPPLD",AX137)</f>
        <v/>
      </c>
      <c r="Q137" s="23" t="str">
        <f aca="false">IF(LEFT(P137,5)="AVISO",IF(ISNUMBER(B137),DATE(YEAR(B137),MONTH(B137)+1,17),"Falta fecha"),"")</f>
        <v/>
      </c>
      <c r="R137" s="9" t="str">
        <f aca="false">IF(OR(F137="",F137=0),"",IF(ISNUMBER(AG137),IF(F137&gt;=AG137,"PROHIBIDO","Dentro del límite"),"No aplica"))</f>
        <v/>
      </c>
      <c r="S137" s="26" t="str">
        <f aca="false">IF(E137="","",MID(IF(AQ137=1," · Excede el perfil declarado","")&amp;IF(H137="Sí"," · Paga un tercero","")&amp;IF(J137="Alto"," · Cliente de riesgo alto: DDR (RCG 23 Ter 3 y 4)","")&amp;IF(AND(AS137&lt;&gt;"",AS137&lt;&gt;"No",AS137&lt;&gt;0)," · PEP","")&amp;IF(R137="PROHIBIDO"," · Efectivo prohibido: no lo recibas (Art. 32)","")&amp;IF(AR137=1," · ⚠ Fecha fuera de orden","")&amp;IF(LEFT(I137,1)="⚠"," · ⚠ Cliente no registrado","")&amp;IF(D137=""," · ⚠ Falta la actividad","")&amp;IF(AND(LEFT(P137,5)="AVISO",W137="")," · Captura la cifra total con IVA para el Aviso","")&amp;IF(AND(ISNUMBER(W137),W137&lt;E137)," · ⚠ La cifra con IVA es menor que el monto sin IVA",""),4,400))</f>
        <v/>
      </c>
      <c r="T137" s="21"/>
      <c r="U137" s="20"/>
      <c r="V137" s="9" t="str">
        <f aca="false">IF(LEFT(P137,5)&lt;&gt;"AVISO","",IF(T137="Presentado",IF(AND(ISNUMBER(U137),ISNUMBER(Q137),U137&gt;Q137),"Presentado tarde","Presentado"),IF(NOT(ISNUMBER(Q137)),"Falta fecha",IF(Q137&lt;CONFIG!$B$6,"VENCIDO","Vence en "&amp;(Q137-CONFIG!$B$6)&amp;" días"))))</f>
        <v/>
      </c>
      <c r="W137" s="22"/>
      <c r="X137" s="21"/>
      <c r="AA137" s="0" t="str">
        <f aca="false">IF(AM137="","",INDEX(CATÁLOGO!$D$5:$D$39,AM137))</f>
        <v/>
      </c>
      <c r="AB137" s="0" t="str">
        <f aca="false">IF(AM137="","",INDEX(CATÁLOGO!$E$5:$E$39,AM137))</f>
        <v/>
      </c>
      <c r="AC137" s="0" t="str">
        <f aca="false">IF(AB137="","",IF(ISNUMBER(AB137),AB137*AV137,AB137))</f>
        <v/>
      </c>
      <c r="AD137" s="0" t="str">
        <f aca="false">IF(AM137="","",INDEX(CATÁLOGO!$F$5:$F$39,AM137))</f>
        <v/>
      </c>
      <c r="AE137" s="0" t="str">
        <f aca="false">IF(AD137="","",IF(ISNUMBER(AD137),AD137*AV137,AD137))</f>
        <v/>
      </c>
      <c r="AF137" s="0" t="str">
        <f aca="false">IF(AM137="","",INDEX(CATÁLOGO!$G$5:$G$39,AM137))</f>
        <v/>
      </c>
      <c r="AG137" s="0" t="str">
        <f aca="false">IF(AF137="","",IF(ISNUMBER(AF137),AF137*AV137,AF137))</f>
        <v/>
      </c>
      <c r="AH137" s="0" t="str">
        <f aca="false">IF(E137="","",C137&amp;"|"&amp;D137)</f>
        <v/>
      </c>
      <c r="AI137" s="27" t="n">
        <f aca="false">IF(M137&lt;&gt;"Sí",0,SUMPRODUCT(MAX(($AH$5:AH136=AH137)*($M$5:M136="Sí")*ROW($AH$5:AH136))))</f>
        <v>0</v>
      </c>
      <c r="AJ137" s="0" t="str">
        <f aca="false">IF(M137&lt;&gt;"Sí","",IF(AL137=1,B137,INDEX($AJ:$AJ,AI137)))</f>
        <v/>
      </c>
      <c r="AK137" s="0" t="str">
        <f aca="false">IF(M137&lt;&gt;"Sí","",IF(AL137=1,E137,INDEX($AK:$AK,AI137)+E137))</f>
        <v/>
      </c>
      <c r="AL137" s="0" t="str">
        <f aca="false">IF(M137&lt;&gt;"Sí","",IF(AI137=0,1,IF(INDEX($AN:$AN,AI137)=0,1,IF(B137&gt;=EDATE(INDEX($AJ:$AJ,AI137),6),1,0))))</f>
        <v/>
      </c>
      <c r="AM137" s="0" t="str">
        <f aca="false">IF(D137="","",IFERROR(MATCH(D137,CATÁLOGO!$C$5:$C$39,0),""))</f>
        <v/>
      </c>
      <c r="AN137" s="0" t="str">
        <f aca="false">IF(M137&lt;&gt;"Sí","",IF(AND(ISNUMBER(AE137),AK137&gt;=AE137),0,1))</f>
        <v/>
      </c>
      <c r="AO137" s="0" t="str">
        <f aca="false">IF(OR(E137="",C137="",NOT(ISNUMBER(B137))),"",SUMIFS($E$6:$E$505,$C$6:$C$505,C137,$B$6:$B$505,"&gt;="&amp;DATE(YEAR(B137),MONTH(B137),1),$B$6:$B$505,"&lt;"&amp;DATE(YEAR(B137),MONTH(B137)+1,1)))</f>
        <v/>
      </c>
      <c r="AP137" s="0" t="str">
        <f aca="false">IF(C137="","",IFERROR(INDEX(CLIENTES!$M$6:$M$305,MATCH(C137,CLIENTES!$A$6:$A$305,0)),""))</f>
        <v/>
      </c>
      <c r="AQ137" s="27" t="n">
        <f aca="false">IF(AND(ISNUMBER(AO137),ISNUMBER(AP137)),IF(AND(AP137&gt;0,AO137&gt;AP137),1,0),0)</f>
        <v>0</v>
      </c>
      <c r="AR137" s="27" t="n">
        <f aca="false">IF(NOT(ISNUMBER(B137)),0,IF(B137&lt;MAX($B$5:B136),1,0))</f>
        <v>0</v>
      </c>
      <c r="AS137" s="0" t="str">
        <f aca="false">IF(C137="","",IFERROR(INDEX(CLIENTES!$H$6:$H$305,MATCH(C137,CLIENTES!$A$6:$A$305,0)),""))</f>
        <v/>
      </c>
      <c r="AT137" s="0" t="str">
        <f aca="false">IF(AND(LEFT(P137,5)="AVISO",T137&lt;&gt;"Presentado",ISNUMBER(Q137)),Q137,"")</f>
        <v/>
      </c>
      <c r="AU137" s="27" t="n">
        <f aca="false">IF(AND(D137="XVI - Activos virtuales (PSAV): operación de intercambio/transferencia",M137="Sí",ISNUMBER(AE137)),IF(AK137&gt;=AE137,1,0),0)</f>
        <v>0</v>
      </c>
      <c r="AV137" s="30" t="n">
        <f aca="false">IF(NOT(ISNUMBER(B137)),CONFIG!$B$4,IFERROR(INDEX(CONFIG!$I$5:$I$14,MATCH(IF(MONTH(B137)=1,YEAR(B137)-1,YEAR(B137)),CONFIG!$H$5:$H$14,0)),CONFIG!$B$4))</f>
        <v>117.31</v>
      </c>
      <c r="AW137" s="27" t="n">
        <f aca="false">IF(AND(LEFT(D137,4)="I - ",ISNUMBER(B137),C137&lt;&gt;""),SUMIFS($E$6:$E$505,$C$6:$C$505,C137,$D$6:$D$505,D137,$B$6:$B$505,"&gt;"&amp;(B137-1),$B$6:$B$505,"&lt;="&amp;B137),0)</f>
        <v>0</v>
      </c>
      <c r="AX137" s="0" t="str">
        <f aca="false">IF(E137="","",IF(AD137="Siempre","AVISO (siempre)",IF(AD137="No aplica","Sin Aviso (sólo preparas: Ley 17 XI)",IF(NOT(ISNUMBER(AE137)),"",IF(AA137&lt;&gt;"ACUMULA",IF(E137&gt;=AE137,IF(AND(D137="XVI - Activos virtuales (PSAV): cobro de contraprestación (comisión) por el servicio",COUNTIFS($C$6:$C$505,C137,$B$6:$B$505,"&gt;="&amp;INT(B137),$B$6:$B$505,"&lt;"&amp;(INT(B137)+1),$AU$6:$AU$505,1)&gt;0),"En el Aviso del inciso a) (R 31 Bis)","AVISO"),"—"),IF(M137&lt;&gt;"Sí","—",IF(AK137&gt;=AE137,IF(AK137=E137,"AVISO","AVISO (acumulado)"),"Acumulando")))))))</f>
        <v/>
      </c>
    </row>
    <row r="138" customFormat="false" ht="15" hidden="false" customHeight="false" outlineLevel="0" collapsed="false">
      <c r="A138" s="9" t="str">
        <f aca="false">IF(E138="","",ROW()-5)</f>
        <v/>
      </c>
      <c r="B138" s="20"/>
      <c r="C138" s="21"/>
      <c r="D138" s="21"/>
      <c r="E138" s="22"/>
      <c r="F138" s="22"/>
      <c r="G138" s="21"/>
      <c r="H138" s="21"/>
      <c r="I138" s="9" t="str">
        <f aca="false">IF(C138="","",IFERROR(INDEX(CLIENTES!$B$6:$B$305,MATCH(C138,CLIENTES!$A$6:$A$305,0)),"⚠ ID no registrado"))</f>
        <v/>
      </c>
      <c r="J138" s="9" t="str">
        <f aca="false">IF(C138="","",IFERROR(INDEX(CLIENTES!$Z$6:$Z$305,MATCH(C138,CLIENTES!$A$6:$A$305,0)),""))</f>
        <v/>
      </c>
      <c r="K138" s="9" t="str">
        <f aca="false">IF(E138="","",IF(AB138="Siempre","Sí",IF(ISNUMBER(AC138),IF(E138&gt;=AC138,"Sí",IF(AW138&gt;=AC138,"Sí (serie 24 h)","No")),"")))</f>
        <v/>
      </c>
      <c r="L138" s="9" t="str">
        <f aca="false">IF(E138="","",AA138)</f>
        <v/>
      </c>
      <c r="M138" s="9" t="str">
        <f aca="false">IF(E138="","",IF(AA138&lt;&gt;"ACUMULA","No aplica",IF(LEFT(K138,2)="Sí","Sí","No")))</f>
        <v/>
      </c>
      <c r="N138" s="23" t="str">
        <f aca="false">IF(M138="Sí",AJ138,"")</f>
        <v/>
      </c>
      <c r="O138" s="24" t="str">
        <f aca="false">IF(M138="Sí",AK138,"")</f>
        <v/>
      </c>
      <c r="P138" s="25" t="str">
        <f aca="false">IF(AND(LEFT(D138,6)="XIV - ",LEFT(AX138,5)="AVISO"),"Pedimento (R 16): no va al SPPLD",AX138)</f>
        <v/>
      </c>
      <c r="Q138" s="23" t="str">
        <f aca="false">IF(LEFT(P138,5)="AVISO",IF(ISNUMBER(B138),DATE(YEAR(B138),MONTH(B138)+1,17),"Falta fecha"),"")</f>
        <v/>
      </c>
      <c r="R138" s="9" t="str">
        <f aca="false">IF(OR(F138="",F138=0),"",IF(ISNUMBER(AG138),IF(F138&gt;=AG138,"PROHIBIDO","Dentro del límite"),"No aplica"))</f>
        <v/>
      </c>
      <c r="S138" s="26" t="str">
        <f aca="false">IF(E138="","",MID(IF(AQ138=1," · Excede el perfil declarado","")&amp;IF(H138="Sí"," · Paga un tercero","")&amp;IF(J138="Alto"," · Cliente de riesgo alto: DDR (RCG 23 Ter 3 y 4)","")&amp;IF(AND(AS138&lt;&gt;"",AS138&lt;&gt;"No",AS138&lt;&gt;0)," · PEP","")&amp;IF(R138="PROHIBIDO"," · Efectivo prohibido: no lo recibas (Art. 32)","")&amp;IF(AR138=1," · ⚠ Fecha fuera de orden","")&amp;IF(LEFT(I138,1)="⚠"," · ⚠ Cliente no registrado","")&amp;IF(D138=""," · ⚠ Falta la actividad","")&amp;IF(AND(LEFT(P138,5)="AVISO",W138="")," · Captura la cifra total con IVA para el Aviso","")&amp;IF(AND(ISNUMBER(W138),W138&lt;E138)," · ⚠ La cifra con IVA es menor que el monto sin IVA",""),4,400))</f>
        <v/>
      </c>
      <c r="T138" s="21"/>
      <c r="U138" s="20"/>
      <c r="V138" s="9" t="str">
        <f aca="false">IF(LEFT(P138,5)&lt;&gt;"AVISO","",IF(T138="Presentado",IF(AND(ISNUMBER(U138),ISNUMBER(Q138),U138&gt;Q138),"Presentado tarde","Presentado"),IF(NOT(ISNUMBER(Q138)),"Falta fecha",IF(Q138&lt;CONFIG!$B$6,"VENCIDO","Vence en "&amp;(Q138-CONFIG!$B$6)&amp;" días"))))</f>
        <v/>
      </c>
      <c r="W138" s="22"/>
      <c r="X138" s="21"/>
      <c r="AA138" s="0" t="str">
        <f aca="false">IF(AM138="","",INDEX(CATÁLOGO!$D$5:$D$39,AM138))</f>
        <v/>
      </c>
      <c r="AB138" s="0" t="str">
        <f aca="false">IF(AM138="","",INDEX(CATÁLOGO!$E$5:$E$39,AM138))</f>
        <v/>
      </c>
      <c r="AC138" s="0" t="str">
        <f aca="false">IF(AB138="","",IF(ISNUMBER(AB138),AB138*AV138,AB138))</f>
        <v/>
      </c>
      <c r="AD138" s="0" t="str">
        <f aca="false">IF(AM138="","",INDEX(CATÁLOGO!$F$5:$F$39,AM138))</f>
        <v/>
      </c>
      <c r="AE138" s="0" t="str">
        <f aca="false">IF(AD138="","",IF(ISNUMBER(AD138),AD138*AV138,AD138))</f>
        <v/>
      </c>
      <c r="AF138" s="0" t="str">
        <f aca="false">IF(AM138="","",INDEX(CATÁLOGO!$G$5:$G$39,AM138))</f>
        <v/>
      </c>
      <c r="AG138" s="0" t="str">
        <f aca="false">IF(AF138="","",IF(ISNUMBER(AF138),AF138*AV138,AF138))</f>
        <v/>
      </c>
      <c r="AH138" s="0" t="str">
        <f aca="false">IF(E138="","",C138&amp;"|"&amp;D138)</f>
        <v/>
      </c>
      <c r="AI138" s="27" t="n">
        <f aca="false">IF(M138&lt;&gt;"Sí",0,SUMPRODUCT(MAX(($AH$5:AH137=AH138)*($M$5:M137="Sí")*ROW($AH$5:AH137))))</f>
        <v>0</v>
      </c>
      <c r="AJ138" s="0" t="str">
        <f aca="false">IF(M138&lt;&gt;"Sí","",IF(AL138=1,B138,INDEX($AJ:$AJ,AI138)))</f>
        <v/>
      </c>
      <c r="AK138" s="0" t="str">
        <f aca="false">IF(M138&lt;&gt;"Sí","",IF(AL138=1,E138,INDEX($AK:$AK,AI138)+E138))</f>
        <v/>
      </c>
      <c r="AL138" s="0" t="str">
        <f aca="false">IF(M138&lt;&gt;"Sí","",IF(AI138=0,1,IF(INDEX($AN:$AN,AI138)=0,1,IF(B138&gt;=EDATE(INDEX($AJ:$AJ,AI138),6),1,0))))</f>
        <v/>
      </c>
      <c r="AM138" s="0" t="str">
        <f aca="false">IF(D138="","",IFERROR(MATCH(D138,CATÁLOGO!$C$5:$C$39,0),""))</f>
        <v/>
      </c>
      <c r="AN138" s="0" t="str">
        <f aca="false">IF(M138&lt;&gt;"Sí","",IF(AND(ISNUMBER(AE138),AK138&gt;=AE138),0,1))</f>
        <v/>
      </c>
      <c r="AO138" s="0" t="str">
        <f aca="false">IF(OR(E138="",C138="",NOT(ISNUMBER(B138))),"",SUMIFS($E$6:$E$505,$C$6:$C$505,C138,$B$6:$B$505,"&gt;="&amp;DATE(YEAR(B138),MONTH(B138),1),$B$6:$B$505,"&lt;"&amp;DATE(YEAR(B138),MONTH(B138)+1,1)))</f>
        <v/>
      </c>
      <c r="AP138" s="0" t="str">
        <f aca="false">IF(C138="","",IFERROR(INDEX(CLIENTES!$M$6:$M$305,MATCH(C138,CLIENTES!$A$6:$A$305,0)),""))</f>
        <v/>
      </c>
      <c r="AQ138" s="27" t="n">
        <f aca="false">IF(AND(ISNUMBER(AO138),ISNUMBER(AP138)),IF(AND(AP138&gt;0,AO138&gt;AP138),1,0),0)</f>
        <v>0</v>
      </c>
      <c r="AR138" s="27" t="n">
        <f aca="false">IF(NOT(ISNUMBER(B138)),0,IF(B138&lt;MAX($B$5:B137),1,0))</f>
        <v>0</v>
      </c>
      <c r="AS138" s="0" t="str">
        <f aca="false">IF(C138="","",IFERROR(INDEX(CLIENTES!$H$6:$H$305,MATCH(C138,CLIENTES!$A$6:$A$305,0)),""))</f>
        <v/>
      </c>
      <c r="AT138" s="0" t="str">
        <f aca="false">IF(AND(LEFT(P138,5)="AVISO",T138&lt;&gt;"Presentado",ISNUMBER(Q138)),Q138,"")</f>
        <v/>
      </c>
      <c r="AU138" s="27" t="n">
        <f aca="false">IF(AND(D138="XVI - Activos virtuales (PSAV): operación de intercambio/transferencia",M138="Sí",ISNUMBER(AE138)),IF(AK138&gt;=AE138,1,0),0)</f>
        <v>0</v>
      </c>
      <c r="AV138" s="30" t="n">
        <f aca="false">IF(NOT(ISNUMBER(B138)),CONFIG!$B$4,IFERROR(INDEX(CONFIG!$I$5:$I$14,MATCH(IF(MONTH(B138)=1,YEAR(B138)-1,YEAR(B138)),CONFIG!$H$5:$H$14,0)),CONFIG!$B$4))</f>
        <v>117.31</v>
      </c>
      <c r="AW138" s="27" t="n">
        <f aca="false">IF(AND(LEFT(D138,4)="I - ",ISNUMBER(B138),C138&lt;&gt;""),SUMIFS($E$6:$E$505,$C$6:$C$505,C138,$D$6:$D$505,D138,$B$6:$B$505,"&gt;"&amp;(B138-1),$B$6:$B$505,"&lt;="&amp;B138),0)</f>
        <v>0</v>
      </c>
      <c r="AX138" s="0" t="str">
        <f aca="false">IF(E138="","",IF(AD138="Siempre","AVISO (siempre)",IF(AD138="No aplica","Sin Aviso (sólo preparas: Ley 17 XI)",IF(NOT(ISNUMBER(AE138)),"",IF(AA138&lt;&gt;"ACUMULA",IF(E138&gt;=AE138,IF(AND(D138="XVI - Activos virtuales (PSAV): cobro de contraprestación (comisión) por el servicio",COUNTIFS($C$6:$C$505,C138,$B$6:$B$505,"&gt;="&amp;INT(B138),$B$6:$B$505,"&lt;"&amp;(INT(B138)+1),$AU$6:$AU$505,1)&gt;0),"En el Aviso del inciso a) (R 31 Bis)","AVISO"),"—"),IF(M138&lt;&gt;"Sí","—",IF(AK138&gt;=AE138,IF(AK138=E138,"AVISO","AVISO (acumulado)"),"Acumulando")))))))</f>
        <v/>
      </c>
    </row>
    <row r="139" customFormat="false" ht="15" hidden="false" customHeight="false" outlineLevel="0" collapsed="false">
      <c r="A139" s="9" t="str">
        <f aca="false">IF(E139="","",ROW()-5)</f>
        <v/>
      </c>
      <c r="B139" s="20"/>
      <c r="C139" s="21"/>
      <c r="D139" s="21"/>
      <c r="E139" s="22"/>
      <c r="F139" s="22"/>
      <c r="G139" s="21"/>
      <c r="H139" s="21"/>
      <c r="I139" s="9" t="str">
        <f aca="false">IF(C139="","",IFERROR(INDEX(CLIENTES!$B$6:$B$305,MATCH(C139,CLIENTES!$A$6:$A$305,0)),"⚠ ID no registrado"))</f>
        <v/>
      </c>
      <c r="J139" s="9" t="str">
        <f aca="false">IF(C139="","",IFERROR(INDEX(CLIENTES!$Z$6:$Z$305,MATCH(C139,CLIENTES!$A$6:$A$305,0)),""))</f>
        <v/>
      </c>
      <c r="K139" s="9" t="str">
        <f aca="false">IF(E139="","",IF(AB139="Siempre","Sí",IF(ISNUMBER(AC139),IF(E139&gt;=AC139,"Sí",IF(AW139&gt;=AC139,"Sí (serie 24 h)","No")),"")))</f>
        <v/>
      </c>
      <c r="L139" s="9" t="str">
        <f aca="false">IF(E139="","",AA139)</f>
        <v/>
      </c>
      <c r="M139" s="9" t="str">
        <f aca="false">IF(E139="","",IF(AA139&lt;&gt;"ACUMULA","No aplica",IF(LEFT(K139,2)="Sí","Sí","No")))</f>
        <v/>
      </c>
      <c r="N139" s="23" t="str">
        <f aca="false">IF(M139="Sí",AJ139,"")</f>
        <v/>
      </c>
      <c r="O139" s="24" t="str">
        <f aca="false">IF(M139="Sí",AK139,"")</f>
        <v/>
      </c>
      <c r="P139" s="25" t="str">
        <f aca="false">IF(AND(LEFT(D139,6)="XIV - ",LEFT(AX139,5)="AVISO"),"Pedimento (R 16): no va al SPPLD",AX139)</f>
        <v/>
      </c>
      <c r="Q139" s="23" t="str">
        <f aca="false">IF(LEFT(P139,5)="AVISO",IF(ISNUMBER(B139),DATE(YEAR(B139),MONTH(B139)+1,17),"Falta fecha"),"")</f>
        <v/>
      </c>
      <c r="R139" s="9" t="str">
        <f aca="false">IF(OR(F139="",F139=0),"",IF(ISNUMBER(AG139),IF(F139&gt;=AG139,"PROHIBIDO","Dentro del límite"),"No aplica"))</f>
        <v/>
      </c>
      <c r="S139" s="26" t="str">
        <f aca="false">IF(E139="","",MID(IF(AQ139=1," · Excede el perfil declarado","")&amp;IF(H139="Sí"," · Paga un tercero","")&amp;IF(J139="Alto"," · Cliente de riesgo alto: DDR (RCG 23 Ter 3 y 4)","")&amp;IF(AND(AS139&lt;&gt;"",AS139&lt;&gt;"No",AS139&lt;&gt;0)," · PEP","")&amp;IF(R139="PROHIBIDO"," · Efectivo prohibido: no lo recibas (Art. 32)","")&amp;IF(AR139=1," · ⚠ Fecha fuera de orden","")&amp;IF(LEFT(I139,1)="⚠"," · ⚠ Cliente no registrado","")&amp;IF(D139=""," · ⚠ Falta la actividad","")&amp;IF(AND(LEFT(P139,5)="AVISO",W139="")," · Captura la cifra total con IVA para el Aviso","")&amp;IF(AND(ISNUMBER(W139),W139&lt;E139)," · ⚠ La cifra con IVA es menor que el monto sin IVA",""),4,400))</f>
        <v/>
      </c>
      <c r="T139" s="21"/>
      <c r="U139" s="20"/>
      <c r="V139" s="9" t="str">
        <f aca="false">IF(LEFT(P139,5)&lt;&gt;"AVISO","",IF(T139="Presentado",IF(AND(ISNUMBER(U139),ISNUMBER(Q139),U139&gt;Q139),"Presentado tarde","Presentado"),IF(NOT(ISNUMBER(Q139)),"Falta fecha",IF(Q139&lt;CONFIG!$B$6,"VENCIDO","Vence en "&amp;(Q139-CONFIG!$B$6)&amp;" días"))))</f>
        <v/>
      </c>
      <c r="W139" s="22"/>
      <c r="X139" s="21"/>
      <c r="AA139" s="0" t="str">
        <f aca="false">IF(AM139="","",INDEX(CATÁLOGO!$D$5:$D$39,AM139))</f>
        <v/>
      </c>
      <c r="AB139" s="0" t="str">
        <f aca="false">IF(AM139="","",INDEX(CATÁLOGO!$E$5:$E$39,AM139))</f>
        <v/>
      </c>
      <c r="AC139" s="0" t="str">
        <f aca="false">IF(AB139="","",IF(ISNUMBER(AB139),AB139*AV139,AB139))</f>
        <v/>
      </c>
      <c r="AD139" s="0" t="str">
        <f aca="false">IF(AM139="","",INDEX(CATÁLOGO!$F$5:$F$39,AM139))</f>
        <v/>
      </c>
      <c r="AE139" s="0" t="str">
        <f aca="false">IF(AD139="","",IF(ISNUMBER(AD139),AD139*AV139,AD139))</f>
        <v/>
      </c>
      <c r="AF139" s="0" t="str">
        <f aca="false">IF(AM139="","",INDEX(CATÁLOGO!$G$5:$G$39,AM139))</f>
        <v/>
      </c>
      <c r="AG139" s="0" t="str">
        <f aca="false">IF(AF139="","",IF(ISNUMBER(AF139),AF139*AV139,AF139))</f>
        <v/>
      </c>
      <c r="AH139" s="0" t="str">
        <f aca="false">IF(E139="","",C139&amp;"|"&amp;D139)</f>
        <v/>
      </c>
      <c r="AI139" s="27" t="n">
        <f aca="false">IF(M139&lt;&gt;"Sí",0,SUMPRODUCT(MAX(($AH$5:AH138=AH139)*($M$5:M138="Sí")*ROW($AH$5:AH138))))</f>
        <v>0</v>
      </c>
      <c r="AJ139" s="0" t="str">
        <f aca="false">IF(M139&lt;&gt;"Sí","",IF(AL139=1,B139,INDEX($AJ:$AJ,AI139)))</f>
        <v/>
      </c>
      <c r="AK139" s="0" t="str">
        <f aca="false">IF(M139&lt;&gt;"Sí","",IF(AL139=1,E139,INDEX($AK:$AK,AI139)+E139))</f>
        <v/>
      </c>
      <c r="AL139" s="0" t="str">
        <f aca="false">IF(M139&lt;&gt;"Sí","",IF(AI139=0,1,IF(INDEX($AN:$AN,AI139)=0,1,IF(B139&gt;=EDATE(INDEX($AJ:$AJ,AI139),6),1,0))))</f>
        <v/>
      </c>
      <c r="AM139" s="0" t="str">
        <f aca="false">IF(D139="","",IFERROR(MATCH(D139,CATÁLOGO!$C$5:$C$39,0),""))</f>
        <v/>
      </c>
      <c r="AN139" s="0" t="str">
        <f aca="false">IF(M139&lt;&gt;"Sí","",IF(AND(ISNUMBER(AE139),AK139&gt;=AE139),0,1))</f>
        <v/>
      </c>
      <c r="AO139" s="0" t="str">
        <f aca="false">IF(OR(E139="",C139="",NOT(ISNUMBER(B139))),"",SUMIFS($E$6:$E$505,$C$6:$C$505,C139,$B$6:$B$505,"&gt;="&amp;DATE(YEAR(B139),MONTH(B139),1),$B$6:$B$505,"&lt;"&amp;DATE(YEAR(B139),MONTH(B139)+1,1)))</f>
        <v/>
      </c>
      <c r="AP139" s="0" t="str">
        <f aca="false">IF(C139="","",IFERROR(INDEX(CLIENTES!$M$6:$M$305,MATCH(C139,CLIENTES!$A$6:$A$305,0)),""))</f>
        <v/>
      </c>
      <c r="AQ139" s="27" t="n">
        <f aca="false">IF(AND(ISNUMBER(AO139),ISNUMBER(AP139)),IF(AND(AP139&gt;0,AO139&gt;AP139),1,0),0)</f>
        <v>0</v>
      </c>
      <c r="AR139" s="27" t="n">
        <f aca="false">IF(NOT(ISNUMBER(B139)),0,IF(B139&lt;MAX($B$5:B138),1,0))</f>
        <v>0</v>
      </c>
      <c r="AS139" s="0" t="str">
        <f aca="false">IF(C139="","",IFERROR(INDEX(CLIENTES!$H$6:$H$305,MATCH(C139,CLIENTES!$A$6:$A$305,0)),""))</f>
        <v/>
      </c>
      <c r="AT139" s="0" t="str">
        <f aca="false">IF(AND(LEFT(P139,5)="AVISO",T139&lt;&gt;"Presentado",ISNUMBER(Q139)),Q139,"")</f>
        <v/>
      </c>
      <c r="AU139" s="27" t="n">
        <f aca="false">IF(AND(D139="XVI - Activos virtuales (PSAV): operación de intercambio/transferencia",M139="Sí",ISNUMBER(AE139)),IF(AK139&gt;=AE139,1,0),0)</f>
        <v>0</v>
      </c>
      <c r="AV139" s="30" t="n">
        <f aca="false">IF(NOT(ISNUMBER(B139)),CONFIG!$B$4,IFERROR(INDEX(CONFIG!$I$5:$I$14,MATCH(IF(MONTH(B139)=1,YEAR(B139)-1,YEAR(B139)),CONFIG!$H$5:$H$14,0)),CONFIG!$B$4))</f>
        <v>117.31</v>
      </c>
      <c r="AW139" s="27" t="n">
        <f aca="false">IF(AND(LEFT(D139,4)="I - ",ISNUMBER(B139),C139&lt;&gt;""),SUMIFS($E$6:$E$505,$C$6:$C$505,C139,$D$6:$D$505,D139,$B$6:$B$505,"&gt;"&amp;(B139-1),$B$6:$B$505,"&lt;="&amp;B139),0)</f>
        <v>0</v>
      </c>
      <c r="AX139" s="0" t="str">
        <f aca="false">IF(E139="","",IF(AD139="Siempre","AVISO (siempre)",IF(AD139="No aplica","Sin Aviso (sólo preparas: Ley 17 XI)",IF(NOT(ISNUMBER(AE139)),"",IF(AA139&lt;&gt;"ACUMULA",IF(E139&gt;=AE139,IF(AND(D139="XVI - Activos virtuales (PSAV): cobro de contraprestación (comisión) por el servicio",COUNTIFS($C$6:$C$505,C139,$B$6:$B$505,"&gt;="&amp;INT(B139),$B$6:$B$505,"&lt;"&amp;(INT(B139)+1),$AU$6:$AU$505,1)&gt;0),"En el Aviso del inciso a) (R 31 Bis)","AVISO"),"—"),IF(M139&lt;&gt;"Sí","—",IF(AK139&gt;=AE139,IF(AK139=E139,"AVISO","AVISO (acumulado)"),"Acumulando")))))))</f>
        <v/>
      </c>
    </row>
    <row r="140" customFormat="false" ht="15" hidden="false" customHeight="false" outlineLevel="0" collapsed="false">
      <c r="A140" s="9" t="str">
        <f aca="false">IF(E140="","",ROW()-5)</f>
        <v/>
      </c>
      <c r="B140" s="20"/>
      <c r="C140" s="21"/>
      <c r="D140" s="21"/>
      <c r="E140" s="22"/>
      <c r="F140" s="22"/>
      <c r="G140" s="21"/>
      <c r="H140" s="21"/>
      <c r="I140" s="9" t="str">
        <f aca="false">IF(C140="","",IFERROR(INDEX(CLIENTES!$B$6:$B$305,MATCH(C140,CLIENTES!$A$6:$A$305,0)),"⚠ ID no registrado"))</f>
        <v/>
      </c>
      <c r="J140" s="9" t="str">
        <f aca="false">IF(C140="","",IFERROR(INDEX(CLIENTES!$Z$6:$Z$305,MATCH(C140,CLIENTES!$A$6:$A$305,0)),""))</f>
        <v/>
      </c>
      <c r="K140" s="9" t="str">
        <f aca="false">IF(E140="","",IF(AB140="Siempre","Sí",IF(ISNUMBER(AC140),IF(E140&gt;=AC140,"Sí",IF(AW140&gt;=AC140,"Sí (serie 24 h)","No")),"")))</f>
        <v/>
      </c>
      <c r="L140" s="9" t="str">
        <f aca="false">IF(E140="","",AA140)</f>
        <v/>
      </c>
      <c r="M140" s="9" t="str">
        <f aca="false">IF(E140="","",IF(AA140&lt;&gt;"ACUMULA","No aplica",IF(LEFT(K140,2)="Sí","Sí","No")))</f>
        <v/>
      </c>
      <c r="N140" s="23" t="str">
        <f aca="false">IF(M140="Sí",AJ140,"")</f>
        <v/>
      </c>
      <c r="O140" s="24" t="str">
        <f aca="false">IF(M140="Sí",AK140,"")</f>
        <v/>
      </c>
      <c r="P140" s="25" t="str">
        <f aca="false">IF(AND(LEFT(D140,6)="XIV - ",LEFT(AX140,5)="AVISO"),"Pedimento (R 16): no va al SPPLD",AX140)</f>
        <v/>
      </c>
      <c r="Q140" s="23" t="str">
        <f aca="false">IF(LEFT(P140,5)="AVISO",IF(ISNUMBER(B140),DATE(YEAR(B140),MONTH(B140)+1,17),"Falta fecha"),"")</f>
        <v/>
      </c>
      <c r="R140" s="9" t="str">
        <f aca="false">IF(OR(F140="",F140=0),"",IF(ISNUMBER(AG140),IF(F140&gt;=AG140,"PROHIBIDO","Dentro del límite"),"No aplica"))</f>
        <v/>
      </c>
      <c r="S140" s="26" t="str">
        <f aca="false">IF(E140="","",MID(IF(AQ140=1," · Excede el perfil declarado","")&amp;IF(H140="Sí"," · Paga un tercero","")&amp;IF(J140="Alto"," · Cliente de riesgo alto: DDR (RCG 23 Ter 3 y 4)","")&amp;IF(AND(AS140&lt;&gt;"",AS140&lt;&gt;"No",AS140&lt;&gt;0)," · PEP","")&amp;IF(R140="PROHIBIDO"," · Efectivo prohibido: no lo recibas (Art. 32)","")&amp;IF(AR140=1," · ⚠ Fecha fuera de orden","")&amp;IF(LEFT(I140,1)="⚠"," · ⚠ Cliente no registrado","")&amp;IF(D140=""," · ⚠ Falta la actividad","")&amp;IF(AND(LEFT(P140,5)="AVISO",W140="")," · Captura la cifra total con IVA para el Aviso","")&amp;IF(AND(ISNUMBER(W140),W140&lt;E140)," · ⚠ La cifra con IVA es menor que el monto sin IVA",""),4,400))</f>
        <v/>
      </c>
      <c r="T140" s="21"/>
      <c r="U140" s="20"/>
      <c r="V140" s="9" t="str">
        <f aca="false">IF(LEFT(P140,5)&lt;&gt;"AVISO","",IF(T140="Presentado",IF(AND(ISNUMBER(U140),ISNUMBER(Q140),U140&gt;Q140),"Presentado tarde","Presentado"),IF(NOT(ISNUMBER(Q140)),"Falta fecha",IF(Q140&lt;CONFIG!$B$6,"VENCIDO","Vence en "&amp;(Q140-CONFIG!$B$6)&amp;" días"))))</f>
        <v/>
      </c>
      <c r="W140" s="22"/>
      <c r="X140" s="21"/>
      <c r="AA140" s="0" t="str">
        <f aca="false">IF(AM140="","",INDEX(CATÁLOGO!$D$5:$D$39,AM140))</f>
        <v/>
      </c>
      <c r="AB140" s="0" t="str">
        <f aca="false">IF(AM140="","",INDEX(CATÁLOGO!$E$5:$E$39,AM140))</f>
        <v/>
      </c>
      <c r="AC140" s="0" t="str">
        <f aca="false">IF(AB140="","",IF(ISNUMBER(AB140),AB140*AV140,AB140))</f>
        <v/>
      </c>
      <c r="AD140" s="0" t="str">
        <f aca="false">IF(AM140="","",INDEX(CATÁLOGO!$F$5:$F$39,AM140))</f>
        <v/>
      </c>
      <c r="AE140" s="0" t="str">
        <f aca="false">IF(AD140="","",IF(ISNUMBER(AD140),AD140*AV140,AD140))</f>
        <v/>
      </c>
      <c r="AF140" s="0" t="str">
        <f aca="false">IF(AM140="","",INDEX(CATÁLOGO!$G$5:$G$39,AM140))</f>
        <v/>
      </c>
      <c r="AG140" s="0" t="str">
        <f aca="false">IF(AF140="","",IF(ISNUMBER(AF140),AF140*AV140,AF140))</f>
        <v/>
      </c>
      <c r="AH140" s="0" t="str">
        <f aca="false">IF(E140="","",C140&amp;"|"&amp;D140)</f>
        <v/>
      </c>
      <c r="AI140" s="27" t="n">
        <f aca="false">IF(M140&lt;&gt;"Sí",0,SUMPRODUCT(MAX(($AH$5:AH139=AH140)*($M$5:M139="Sí")*ROW($AH$5:AH139))))</f>
        <v>0</v>
      </c>
      <c r="AJ140" s="0" t="str">
        <f aca="false">IF(M140&lt;&gt;"Sí","",IF(AL140=1,B140,INDEX($AJ:$AJ,AI140)))</f>
        <v/>
      </c>
      <c r="AK140" s="0" t="str">
        <f aca="false">IF(M140&lt;&gt;"Sí","",IF(AL140=1,E140,INDEX($AK:$AK,AI140)+E140))</f>
        <v/>
      </c>
      <c r="AL140" s="0" t="str">
        <f aca="false">IF(M140&lt;&gt;"Sí","",IF(AI140=0,1,IF(INDEX($AN:$AN,AI140)=0,1,IF(B140&gt;=EDATE(INDEX($AJ:$AJ,AI140),6),1,0))))</f>
        <v/>
      </c>
      <c r="AM140" s="0" t="str">
        <f aca="false">IF(D140="","",IFERROR(MATCH(D140,CATÁLOGO!$C$5:$C$39,0),""))</f>
        <v/>
      </c>
      <c r="AN140" s="0" t="str">
        <f aca="false">IF(M140&lt;&gt;"Sí","",IF(AND(ISNUMBER(AE140),AK140&gt;=AE140),0,1))</f>
        <v/>
      </c>
      <c r="AO140" s="0" t="str">
        <f aca="false">IF(OR(E140="",C140="",NOT(ISNUMBER(B140))),"",SUMIFS($E$6:$E$505,$C$6:$C$505,C140,$B$6:$B$505,"&gt;="&amp;DATE(YEAR(B140),MONTH(B140),1),$B$6:$B$505,"&lt;"&amp;DATE(YEAR(B140),MONTH(B140)+1,1)))</f>
        <v/>
      </c>
      <c r="AP140" s="0" t="str">
        <f aca="false">IF(C140="","",IFERROR(INDEX(CLIENTES!$M$6:$M$305,MATCH(C140,CLIENTES!$A$6:$A$305,0)),""))</f>
        <v/>
      </c>
      <c r="AQ140" s="27" t="n">
        <f aca="false">IF(AND(ISNUMBER(AO140),ISNUMBER(AP140)),IF(AND(AP140&gt;0,AO140&gt;AP140),1,0),0)</f>
        <v>0</v>
      </c>
      <c r="AR140" s="27" t="n">
        <f aca="false">IF(NOT(ISNUMBER(B140)),0,IF(B140&lt;MAX($B$5:B139),1,0))</f>
        <v>0</v>
      </c>
      <c r="AS140" s="0" t="str">
        <f aca="false">IF(C140="","",IFERROR(INDEX(CLIENTES!$H$6:$H$305,MATCH(C140,CLIENTES!$A$6:$A$305,0)),""))</f>
        <v/>
      </c>
      <c r="AT140" s="0" t="str">
        <f aca="false">IF(AND(LEFT(P140,5)="AVISO",T140&lt;&gt;"Presentado",ISNUMBER(Q140)),Q140,"")</f>
        <v/>
      </c>
      <c r="AU140" s="27" t="n">
        <f aca="false">IF(AND(D140="XVI - Activos virtuales (PSAV): operación de intercambio/transferencia",M140="Sí",ISNUMBER(AE140)),IF(AK140&gt;=AE140,1,0),0)</f>
        <v>0</v>
      </c>
      <c r="AV140" s="30" t="n">
        <f aca="false">IF(NOT(ISNUMBER(B140)),CONFIG!$B$4,IFERROR(INDEX(CONFIG!$I$5:$I$14,MATCH(IF(MONTH(B140)=1,YEAR(B140)-1,YEAR(B140)),CONFIG!$H$5:$H$14,0)),CONFIG!$B$4))</f>
        <v>117.31</v>
      </c>
      <c r="AW140" s="27" t="n">
        <f aca="false">IF(AND(LEFT(D140,4)="I - ",ISNUMBER(B140),C140&lt;&gt;""),SUMIFS($E$6:$E$505,$C$6:$C$505,C140,$D$6:$D$505,D140,$B$6:$B$505,"&gt;"&amp;(B140-1),$B$6:$B$505,"&lt;="&amp;B140),0)</f>
        <v>0</v>
      </c>
      <c r="AX140" s="0" t="str">
        <f aca="false">IF(E140="","",IF(AD140="Siempre","AVISO (siempre)",IF(AD140="No aplica","Sin Aviso (sólo preparas: Ley 17 XI)",IF(NOT(ISNUMBER(AE140)),"",IF(AA140&lt;&gt;"ACUMULA",IF(E140&gt;=AE140,IF(AND(D140="XVI - Activos virtuales (PSAV): cobro de contraprestación (comisión) por el servicio",COUNTIFS($C$6:$C$505,C140,$B$6:$B$505,"&gt;="&amp;INT(B140),$B$6:$B$505,"&lt;"&amp;(INT(B140)+1),$AU$6:$AU$505,1)&gt;0),"En el Aviso del inciso a) (R 31 Bis)","AVISO"),"—"),IF(M140&lt;&gt;"Sí","—",IF(AK140&gt;=AE140,IF(AK140=E140,"AVISO","AVISO (acumulado)"),"Acumulando")))))))</f>
        <v/>
      </c>
    </row>
    <row r="141" customFormat="false" ht="15" hidden="false" customHeight="false" outlineLevel="0" collapsed="false">
      <c r="A141" s="9" t="str">
        <f aca="false">IF(E141="","",ROW()-5)</f>
        <v/>
      </c>
      <c r="B141" s="20"/>
      <c r="C141" s="21"/>
      <c r="D141" s="21"/>
      <c r="E141" s="22"/>
      <c r="F141" s="22"/>
      <c r="G141" s="21"/>
      <c r="H141" s="21"/>
      <c r="I141" s="9" t="str">
        <f aca="false">IF(C141="","",IFERROR(INDEX(CLIENTES!$B$6:$B$305,MATCH(C141,CLIENTES!$A$6:$A$305,0)),"⚠ ID no registrado"))</f>
        <v/>
      </c>
      <c r="J141" s="9" t="str">
        <f aca="false">IF(C141="","",IFERROR(INDEX(CLIENTES!$Z$6:$Z$305,MATCH(C141,CLIENTES!$A$6:$A$305,0)),""))</f>
        <v/>
      </c>
      <c r="K141" s="9" t="str">
        <f aca="false">IF(E141="","",IF(AB141="Siempre","Sí",IF(ISNUMBER(AC141),IF(E141&gt;=AC141,"Sí",IF(AW141&gt;=AC141,"Sí (serie 24 h)","No")),"")))</f>
        <v/>
      </c>
      <c r="L141" s="9" t="str">
        <f aca="false">IF(E141="","",AA141)</f>
        <v/>
      </c>
      <c r="M141" s="9" t="str">
        <f aca="false">IF(E141="","",IF(AA141&lt;&gt;"ACUMULA","No aplica",IF(LEFT(K141,2)="Sí","Sí","No")))</f>
        <v/>
      </c>
      <c r="N141" s="23" t="str">
        <f aca="false">IF(M141="Sí",AJ141,"")</f>
        <v/>
      </c>
      <c r="O141" s="24" t="str">
        <f aca="false">IF(M141="Sí",AK141,"")</f>
        <v/>
      </c>
      <c r="P141" s="25" t="str">
        <f aca="false">IF(AND(LEFT(D141,6)="XIV - ",LEFT(AX141,5)="AVISO"),"Pedimento (R 16): no va al SPPLD",AX141)</f>
        <v/>
      </c>
      <c r="Q141" s="23" t="str">
        <f aca="false">IF(LEFT(P141,5)="AVISO",IF(ISNUMBER(B141),DATE(YEAR(B141),MONTH(B141)+1,17),"Falta fecha"),"")</f>
        <v/>
      </c>
      <c r="R141" s="9" t="str">
        <f aca="false">IF(OR(F141="",F141=0),"",IF(ISNUMBER(AG141),IF(F141&gt;=AG141,"PROHIBIDO","Dentro del límite"),"No aplica"))</f>
        <v/>
      </c>
      <c r="S141" s="26" t="str">
        <f aca="false">IF(E141="","",MID(IF(AQ141=1," · Excede el perfil declarado","")&amp;IF(H141="Sí"," · Paga un tercero","")&amp;IF(J141="Alto"," · Cliente de riesgo alto: DDR (RCG 23 Ter 3 y 4)","")&amp;IF(AND(AS141&lt;&gt;"",AS141&lt;&gt;"No",AS141&lt;&gt;0)," · PEP","")&amp;IF(R141="PROHIBIDO"," · Efectivo prohibido: no lo recibas (Art. 32)","")&amp;IF(AR141=1," · ⚠ Fecha fuera de orden","")&amp;IF(LEFT(I141,1)="⚠"," · ⚠ Cliente no registrado","")&amp;IF(D141=""," · ⚠ Falta la actividad","")&amp;IF(AND(LEFT(P141,5)="AVISO",W141="")," · Captura la cifra total con IVA para el Aviso","")&amp;IF(AND(ISNUMBER(W141),W141&lt;E141)," · ⚠ La cifra con IVA es menor que el monto sin IVA",""),4,400))</f>
        <v/>
      </c>
      <c r="T141" s="21"/>
      <c r="U141" s="20"/>
      <c r="V141" s="9" t="str">
        <f aca="false">IF(LEFT(P141,5)&lt;&gt;"AVISO","",IF(T141="Presentado",IF(AND(ISNUMBER(U141),ISNUMBER(Q141),U141&gt;Q141),"Presentado tarde","Presentado"),IF(NOT(ISNUMBER(Q141)),"Falta fecha",IF(Q141&lt;CONFIG!$B$6,"VENCIDO","Vence en "&amp;(Q141-CONFIG!$B$6)&amp;" días"))))</f>
        <v/>
      </c>
      <c r="W141" s="22"/>
      <c r="X141" s="21"/>
      <c r="AA141" s="0" t="str">
        <f aca="false">IF(AM141="","",INDEX(CATÁLOGO!$D$5:$D$39,AM141))</f>
        <v/>
      </c>
      <c r="AB141" s="0" t="str">
        <f aca="false">IF(AM141="","",INDEX(CATÁLOGO!$E$5:$E$39,AM141))</f>
        <v/>
      </c>
      <c r="AC141" s="0" t="str">
        <f aca="false">IF(AB141="","",IF(ISNUMBER(AB141),AB141*AV141,AB141))</f>
        <v/>
      </c>
      <c r="AD141" s="0" t="str">
        <f aca="false">IF(AM141="","",INDEX(CATÁLOGO!$F$5:$F$39,AM141))</f>
        <v/>
      </c>
      <c r="AE141" s="0" t="str">
        <f aca="false">IF(AD141="","",IF(ISNUMBER(AD141),AD141*AV141,AD141))</f>
        <v/>
      </c>
      <c r="AF141" s="0" t="str">
        <f aca="false">IF(AM141="","",INDEX(CATÁLOGO!$G$5:$G$39,AM141))</f>
        <v/>
      </c>
      <c r="AG141" s="0" t="str">
        <f aca="false">IF(AF141="","",IF(ISNUMBER(AF141),AF141*AV141,AF141))</f>
        <v/>
      </c>
      <c r="AH141" s="0" t="str">
        <f aca="false">IF(E141="","",C141&amp;"|"&amp;D141)</f>
        <v/>
      </c>
      <c r="AI141" s="27" t="n">
        <f aca="false">IF(M141&lt;&gt;"Sí",0,SUMPRODUCT(MAX(($AH$5:AH140=AH141)*($M$5:M140="Sí")*ROW($AH$5:AH140))))</f>
        <v>0</v>
      </c>
      <c r="AJ141" s="0" t="str">
        <f aca="false">IF(M141&lt;&gt;"Sí","",IF(AL141=1,B141,INDEX($AJ:$AJ,AI141)))</f>
        <v/>
      </c>
      <c r="AK141" s="0" t="str">
        <f aca="false">IF(M141&lt;&gt;"Sí","",IF(AL141=1,E141,INDEX($AK:$AK,AI141)+E141))</f>
        <v/>
      </c>
      <c r="AL141" s="0" t="str">
        <f aca="false">IF(M141&lt;&gt;"Sí","",IF(AI141=0,1,IF(INDEX($AN:$AN,AI141)=0,1,IF(B141&gt;=EDATE(INDEX($AJ:$AJ,AI141),6),1,0))))</f>
        <v/>
      </c>
      <c r="AM141" s="0" t="str">
        <f aca="false">IF(D141="","",IFERROR(MATCH(D141,CATÁLOGO!$C$5:$C$39,0),""))</f>
        <v/>
      </c>
      <c r="AN141" s="0" t="str">
        <f aca="false">IF(M141&lt;&gt;"Sí","",IF(AND(ISNUMBER(AE141),AK141&gt;=AE141),0,1))</f>
        <v/>
      </c>
      <c r="AO141" s="0" t="str">
        <f aca="false">IF(OR(E141="",C141="",NOT(ISNUMBER(B141))),"",SUMIFS($E$6:$E$505,$C$6:$C$505,C141,$B$6:$B$505,"&gt;="&amp;DATE(YEAR(B141),MONTH(B141),1),$B$6:$B$505,"&lt;"&amp;DATE(YEAR(B141),MONTH(B141)+1,1)))</f>
        <v/>
      </c>
      <c r="AP141" s="0" t="str">
        <f aca="false">IF(C141="","",IFERROR(INDEX(CLIENTES!$M$6:$M$305,MATCH(C141,CLIENTES!$A$6:$A$305,0)),""))</f>
        <v/>
      </c>
      <c r="AQ141" s="27" t="n">
        <f aca="false">IF(AND(ISNUMBER(AO141),ISNUMBER(AP141)),IF(AND(AP141&gt;0,AO141&gt;AP141),1,0),0)</f>
        <v>0</v>
      </c>
      <c r="AR141" s="27" t="n">
        <f aca="false">IF(NOT(ISNUMBER(B141)),0,IF(B141&lt;MAX($B$5:B140),1,0))</f>
        <v>0</v>
      </c>
      <c r="AS141" s="0" t="str">
        <f aca="false">IF(C141="","",IFERROR(INDEX(CLIENTES!$H$6:$H$305,MATCH(C141,CLIENTES!$A$6:$A$305,0)),""))</f>
        <v/>
      </c>
      <c r="AT141" s="0" t="str">
        <f aca="false">IF(AND(LEFT(P141,5)="AVISO",T141&lt;&gt;"Presentado",ISNUMBER(Q141)),Q141,"")</f>
        <v/>
      </c>
      <c r="AU141" s="27" t="n">
        <f aca="false">IF(AND(D141="XVI - Activos virtuales (PSAV): operación de intercambio/transferencia",M141="Sí",ISNUMBER(AE141)),IF(AK141&gt;=AE141,1,0),0)</f>
        <v>0</v>
      </c>
      <c r="AV141" s="30" t="n">
        <f aca="false">IF(NOT(ISNUMBER(B141)),CONFIG!$B$4,IFERROR(INDEX(CONFIG!$I$5:$I$14,MATCH(IF(MONTH(B141)=1,YEAR(B141)-1,YEAR(B141)),CONFIG!$H$5:$H$14,0)),CONFIG!$B$4))</f>
        <v>117.31</v>
      </c>
      <c r="AW141" s="27" t="n">
        <f aca="false">IF(AND(LEFT(D141,4)="I - ",ISNUMBER(B141),C141&lt;&gt;""),SUMIFS($E$6:$E$505,$C$6:$C$505,C141,$D$6:$D$505,D141,$B$6:$B$505,"&gt;"&amp;(B141-1),$B$6:$B$505,"&lt;="&amp;B141),0)</f>
        <v>0</v>
      </c>
      <c r="AX141" s="0" t="str">
        <f aca="false">IF(E141="","",IF(AD141="Siempre","AVISO (siempre)",IF(AD141="No aplica","Sin Aviso (sólo preparas: Ley 17 XI)",IF(NOT(ISNUMBER(AE141)),"",IF(AA141&lt;&gt;"ACUMULA",IF(E141&gt;=AE141,IF(AND(D141="XVI - Activos virtuales (PSAV): cobro de contraprestación (comisión) por el servicio",COUNTIFS($C$6:$C$505,C141,$B$6:$B$505,"&gt;="&amp;INT(B141),$B$6:$B$505,"&lt;"&amp;(INT(B141)+1),$AU$6:$AU$505,1)&gt;0),"En el Aviso del inciso a) (R 31 Bis)","AVISO"),"—"),IF(M141&lt;&gt;"Sí","—",IF(AK141&gt;=AE141,IF(AK141=E141,"AVISO","AVISO (acumulado)"),"Acumulando")))))))</f>
        <v/>
      </c>
    </row>
    <row r="142" customFormat="false" ht="15" hidden="false" customHeight="false" outlineLevel="0" collapsed="false">
      <c r="A142" s="9" t="str">
        <f aca="false">IF(E142="","",ROW()-5)</f>
        <v/>
      </c>
      <c r="B142" s="20"/>
      <c r="C142" s="21"/>
      <c r="D142" s="21"/>
      <c r="E142" s="22"/>
      <c r="F142" s="22"/>
      <c r="G142" s="21"/>
      <c r="H142" s="21"/>
      <c r="I142" s="9" t="str">
        <f aca="false">IF(C142="","",IFERROR(INDEX(CLIENTES!$B$6:$B$305,MATCH(C142,CLIENTES!$A$6:$A$305,0)),"⚠ ID no registrado"))</f>
        <v/>
      </c>
      <c r="J142" s="9" t="str">
        <f aca="false">IF(C142="","",IFERROR(INDEX(CLIENTES!$Z$6:$Z$305,MATCH(C142,CLIENTES!$A$6:$A$305,0)),""))</f>
        <v/>
      </c>
      <c r="K142" s="9" t="str">
        <f aca="false">IF(E142="","",IF(AB142="Siempre","Sí",IF(ISNUMBER(AC142),IF(E142&gt;=AC142,"Sí",IF(AW142&gt;=AC142,"Sí (serie 24 h)","No")),"")))</f>
        <v/>
      </c>
      <c r="L142" s="9" t="str">
        <f aca="false">IF(E142="","",AA142)</f>
        <v/>
      </c>
      <c r="M142" s="9" t="str">
        <f aca="false">IF(E142="","",IF(AA142&lt;&gt;"ACUMULA","No aplica",IF(LEFT(K142,2)="Sí","Sí","No")))</f>
        <v/>
      </c>
      <c r="N142" s="23" t="str">
        <f aca="false">IF(M142="Sí",AJ142,"")</f>
        <v/>
      </c>
      <c r="O142" s="24" t="str">
        <f aca="false">IF(M142="Sí",AK142,"")</f>
        <v/>
      </c>
      <c r="P142" s="25" t="str">
        <f aca="false">IF(AND(LEFT(D142,6)="XIV - ",LEFT(AX142,5)="AVISO"),"Pedimento (R 16): no va al SPPLD",AX142)</f>
        <v/>
      </c>
      <c r="Q142" s="23" t="str">
        <f aca="false">IF(LEFT(P142,5)="AVISO",IF(ISNUMBER(B142),DATE(YEAR(B142),MONTH(B142)+1,17),"Falta fecha"),"")</f>
        <v/>
      </c>
      <c r="R142" s="9" t="str">
        <f aca="false">IF(OR(F142="",F142=0),"",IF(ISNUMBER(AG142),IF(F142&gt;=AG142,"PROHIBIDO","Dentro del límite"),"No aplica"))</f>
        <v/>
      </c>
      <c r="S142" s="26" t="str">
        <f aca="false">IF(E142="","",MID(IF(AQ142=1," · Excede el perfil declarado","")&amp;IF(H142="Sí"," · Paga un tercero","")&amp;IF(J142="Alto"," · Cliente de riesgo alto: DDR (RCG 23 Ter 3 y 4)","")&amp;IF(AND(AS142&lt;&gt;"",AS142&lt;&gt;"No",AS142&lt;&gt;0)," · PEP","")&amp;IF(R142="PROHIBIDO"," · Efectivo prohibido: no lo recibas (Art. 32)","")&amp;IF(AR142=1," · ⚠ Fecha fuera de orden","")&amp;IF(LEFT(I142,1)="⚠"," · ⚠ Cliente no registrado","")&amp;IF(D142=""," · ⚠ Falta la actividad","")&amp;IF(AND(LEFT(P142,5)="AVISO",W142="")," · Captura la cifra total con IVA para el Aviso","")&amp;IF(AND(ISNUMBER(W142),W142&lt;E142)," · ⚠ La cifra con IVA es menor que el monto sin IVA",""),4,400))</f>
        <v/>
      </c>
      <c r="T142" s="21"/>
      <c r="U142" s="20"/>
      <c r="V142" s="9" t="str">
        <f aca="false">IF(LEFT(P142,5)&lt;&gt;"AVISO","",IF(T142="Presentado",IF(AND(ISNUMBER(U142),ISNUMBER(Q142),U142&gt;Q142),"Presentado tarde","Presentado"),IF(NOT(ISNUMBER(Q142)),"Falta fecha",IF(Q142&lt;CONFIG!$B$6,"VENCIDO","Vence en "&amp;(Q142-CONFIG!$B$6)&amp;" días"))))</f>
        <v/>
      </c>
      <c r="W142" s="22"/>
      <c r="X142" s="21"/>
      <c r="AA142" s="0" t="str">
        <f aca="false">IF(AM142="","",INDEX(CATÁLOGO!$D$5:$D$39,AM142))</f>
        <v/>
      </c>
      <c r="AB142" s="0" t="str">
        <f aca="false">IF(AM142="","",INDEX(CATÁLOGO!$E$5:$E$39,AM142))</f>
        <v/>
      </c>
      <c r="AC142" s="0" t="str">
        <f aca="false">IF(AB142="","",IF(ISNUMBER(AB142),AB142*AV142,AB142))</f>
        <v/>
      </c>
      <c r="AD142" s="0" t="str">
        <f aca="false">IF(AM142="","",INDEX(CATÁLOGO!$F$5:$F$39,AM142))</f>
        <v/>
      </c>
      <c r="AE142" s="0" t="str">
        <f aca="false">IF(AD142="","",IF(ISNUMBER(AD142),AD142*AV142,AD142))</f>
        <v/>
      </c>
      <c r="AF142" s="0" t="str">
        <f aca="false">IF(AM142="","",INDEX(CATÁLOGO!$G$5:$G$39,AM142))</f>
        <v/>
      </c>
      <c r="AG142" s="0" t="str">
        <f aca="false">IF(AF142="","",IF(ISNUMBER(AF142),AF142*AV142,AF142))</f>
        <v/>
      </c>
      <c r="AH142" s="0" t="str">
        <f aca="false">IF(E142="","",C142&amp;"|"&amp;D142)</f>
        <v/>
      </c>
      <c r="AI142" s="27" t="n">
        <f aca="false">IF(M142&lt;&gt;"Sí",0,SUMPRODUCT(MAX(($AH$5:AH141=AH142)*($M$5:M141="Sí")*ROW($AH$5:AH141))))</f>
        <v>0</v>
      </c>
      <c r="AJ142" s="0" t="str">
        <f aca="false">IF(M142&lt;&gt;"Sí","",IF(AL142=1,B142,INDEX($AJ:$AJ,AI142)))</f>
        <v/>
      </c>
      <c r="AK142" s="0" t="str">
        <f aca="false">IF(M142&lt;&gt;"Sí","",IF(AL142=1,E142,INDEX($AK:$AK,AI142)+E142))</f>
        <v/>
      </c>
      <c r="AL142" s="0" t="str">
        <f aca="false">IF(M142&lt;&gt;"Sí","",IF(AI142=0,1,IF(INDEX($AN:$AN,AI142)=0,1,IF(B142&gt;=EDATE(INDEX($AJ:$AJ,AI142),6),1,0))))</f>
        <v/>
      </c>
      <c r="AM142" s="0" t="str">
        <f aca="false">IF(D142="","",IFERROR(MATCH(D142,CATÁLOGO!$C$5:$C$39,0),""))</f>
        <v/>
      </c>
      <c r="AN142" s="0" t="str">
        <f aca="false">IF(M142&lt;&gt;"Sí","",IF(AND(ISNUMBER(AE142),AK142&gt;=AE142),0,1))</f>
        <v/>
      </c>
      <c r="AO142" s="0" t="str">
        <f aca="false">IF(OR(E142="",C142="",NOT(ISNUMBER(B142))),"",SUMIFS($E$6:$E$505,$C$6:$C$505,C142,$B$6:$B$505,"&gt;="&amp;DATE(YEAR(B142),MONTH(B142),1),$B$6:$B$505,"&lt;"&amp;DATE(YEAR(B142),MONTH(B142)+1,1)))</f>
        <v/>
      </c>
      <c r="AP142" s="0" t="str">
        <f aca="false">IF(C142="","",IFERROR(INDEX(CLIENTES!$M$6:$M$305,MATCH(C142,CLIENTES!$A$6:$A$305,0)),""))</f>
        <v/>
      </c>
      <c r="AQ142" s="27" t="n">
        <f aca="false">IF(AND(ISNUMBER(AO142),ISNUMBER(AP142)),IF(AND(AP142&gt;0,AO142&gt;AP142),1,0),0)</f>
        <v>0</v>
      </c>
      <c r="AR142" s="27" t="n">
        <f aca="false">IF(NOT(ISNUMBER(B142)),0,IF(B142&lt;MAX($B$5:B141),1,0))</f>
        <v>0</v>
      </c>
      <c r="AS142" s="0" t="str">
        <f aca="false">IF(C142="","",IFERROR(INDEX(CLIENTES!$H$6:$H$305,MATCH(C142,CLIENTES!$A$6:$A$305,0)),""))</f>
        <v/>
      </c>
      <c r="AT142" s="0" t="str">
        <f aca="false">IF(AND(LEFT(P142,5)="AVISO",T142&lt;&gt;"Presentado",ISNUMBER(Q142)),Q142,"")</f>
        <v/>
      </c>
      <c r="AU142" s="27" t="n">
        <f aca="false">IF(AND(D142="XVI - Activos virtuales (PSAV): operación de intercambio/transferencia",M142="Sí",ISNUMBER(AE142)),IF(AK142&gt;=AE142,1,0),0)</f>
        <v>0</v>
      </c>
      <c r="AV142" s="30" t="n">
        <f aca="false">IF(NOT(ISNUMBER(B142)),CONFIG!$B$4,IFERROR(INDEX(CONFIG!$I$5:$I$14,MATCH(IF(MONTH(B142)=1,YEAR(B142)-1,YEAR(B142)),CONFIG!$H$5:$H$14,0)),CONFIG!$B$4))</f>
        <v>117.31</v>
      </c>
      <c r="AW142" s="27" t="n">
        <f aca="false">IF(AND(LEFT(D142,4)="I - ",ISNUMBER(B142),C142&lt;&gt;""),SUMIFS($E$6:$E$505,$C$6:$C$505,C142,$D$6:$D$505,D142,$B$6:$B$505,"&gt;"&amp;(B142-1),$B$6:$B$505,"&lt;="&amp;B142),0)</f>
        <v>0</v>
      </c>
      <c r="AX142" s="0" t="str">
        <f aca="false">IF(E142="","",IF(AD142="Siempre","AVISO (siempre)",IF(AD142="No aplica","Sin Aviso (sólo preparas: Ley 17 XI)",IF(NOT(ISNUMBER(AE142)),"",IF(AA142&lt;&gt;"ACUMULA",IF(E142&gt;=AE142,IF(AND(D142="XVI - Activos virtuales (PSAV): cobro de contraprestación (comisión) por el servicio",COUNTIFS($C$6:$C$505,C142,$B$6:$B$505,"&gt;="&amp;INT(B142),$B$6:$B$505,"&lt;"&amp;(INT(B142)+1),$AU$6:$AU$505,1)&gt;0),"En el Aviso del inciso a) (R 31 Bis)","AVISO"),"—"),IF(M142&lt;&gt;"Sí","—",IF(AK142&gt;=AE142,IF(AK142=E142,"AVISO","AVISO (acumulado)"),"Acumulando")))))))</f>
        <v/>
      </c>
    </row>
    <row r="143" customFormat="false" ht="15" hidden="false" customHeight="false" outlineLevel="0" collapsed="false">
      <c r="A143" s="9" t="str">
        <f aca="false">IF(E143="","",ROW()-5)</f>
        <v/>
      </c>
      <c r="B143" s="20"/>
      <c r="C143" s="21"/>
      <c r="D143" s="21"/>
      <c r="E143" s="22"/>
      <c r="F143" s="22"/>
      <c r="G143" s="21"/>
      <c r="H143" s="21"/>
      <c r="I143" s="9" t="str">
        <f aca="false">IF(C143="","",IFERROR(INDEX(CLIENTES!$B$6:$B$305,MATCH(C143,CLIENTES!$A$6:$A$305,0)),"⚠ ID no registrado"))</f>
        <v/>
      </c>
      <c r="J143" s="9" t="str">
        <f aca="false">IF(C143="","",IFERROR(INDEX(CLIENTES!$Z$6:$Z$305,MATCH(C143,CLIENTES!$A$6:$A$305,0)),""))</f>
        <v/>
      </c>
      <c r="K143" s="9" t="str">
        <f aca="false">IF(E143="","",IF(AB143="Siempre","Sí",IF(ISNUMBER(AC143),IF(E143&gt;=AC143,"Sí",IF(AW143&gt;=AC143,"Sí (serie 24 h)","No")),"")))</f>
        <v/>
      </c>
      <c r="L143" s="9" t="str">
        <f aca="false">IF(E143="","",AA143)</f>
        <v/>
      </c>
      <c r="M143" s="9" t="str">
        <f aca="false">IF(E143="","",IF(AA143&lt;&gt;"ACUMULA","No aplica",IF(LEFT(K143,2)="Sí","Sí","No")))</f>
        <v/>
      </c>
      <c r="N143" s="23" t="str">
        <f aca="false">IF(M143="Sí",AJ143,"")</f>
        <v/>
      </c>
      <c r="O143" s="24" t="str">
        <f aca="false">IF(M143="Sí",AK143,"")</f>
        <v/>
      </c>
      <c r="P143" s="25" t="str">
        <f aca="false">IF(AND(LEFT(D143,6)="XIV - ",LEFT(AX143,5)="AVISO"),"Pedimento (R 16): no va al SPPLD",AX143)</f>
        <v/>
      </c>
      <c r="Q143" s="23" t="str">
        <f aca="false">IF(LEFT(P143,5)="AVISO",IF(ISNUMBER(B143),DATE(YEAR(B143),MONTH(B143)+1,17),"Falta fecha"),"")</f>
        <v/>
      </c>
      <c r="R143" s="9" t="str">
        <f aca="false">IF(OR(F143="",F143=0),"",IF(ISNUMBER(AG143),IF(F143&gt;=AG143,"PROHIBIDO","Dentro del límite"),"No aplica"))</f>
        <v/>
      </c>
      <c r="S143" s="26" t="str">
        <f aca="false">IF(E143="","",MID(IF(AQ143=1," · Excede el perfil declarado","")&amp;IF(H143="Sí"," · Paga un tercero","")&amp;IF(J143="Alto"," · Cliente de riesgo alto: DDR (RCG 23 Ter 3 y 4)","")&amp;IF(AND(AS143&lt;&gt;"",AS143&lt;&gt;"No",AS143&lt;&gt;0)," · PEP","")&amp;IF(R143="PROHIBIDO"," · Efectivo prohibido: no lo recibas (Art. 32)","")&amp;IF(AR143=1," · ⚠ Fecha fuera de orden","")&amp;IF(LEFT(I143,1)="⚠"," · ⚠ Cliente no registrado","")&amp;IF(D143=""," · ⚠ Falta la actividad","")&amp;IF(AND(LEFT(P143,5)="AVISO",W143="")," · Captura la cifra total con IVA para el Aviso","")&amp;IF(AND(ISNUMBER(W143),W143&lt;E143)," · ⚠ La cifra con IVA es menor que el monto sin IVA",""),4,400))</f>
        <v/>
      </c>
      <c r="T143" s="21"/>
      <c r="U143" s="20"/>
      <c r="V143" s="9" t="str">
        <f aca="false">IF(LEFT(P143,5)&lt;&gt;"AVISO","",IF(T143="Presentado",IF(AND(ISNUMBER(U143),ISNUMBER(Q143),U143&gt;Q143),"Presentado tarde","Presentado"),IF(NOT(ISNUMBER(Q143)),"Falta fecha",IF(Q143&lt;CONFIG!$B$6,"VENCIDO","Vence en "&amp;(Q143-CONFIG!$B$6)&amp;" días"))))</f>
        <v/>
      </c>
      <c r="W143" s="22"/>
      <c r="X143" s="21"/>
      <c r="AA143" s="0" t="str">
        <f aca="false">IF(AM143="","",INDEX(CATÁLOGO!$D$5:$D$39,AM143))</f>
        <v/>
      </c>
      <c r="AB143" s="0" t="str">
        <f aca="false">IF(AM143="","",INDEX(CATÁLOGO!$E$5:$E$39,AM143))</f>
        <v/>
      </c>
      <c r="AC143" s="0" t="str">
        <f aca="false">IF(AB143="","",IF(ISNUMBER(AB143),AB143*AV143,AB143))</f>
        <v/>
      </c>
      <c r="AD143" s="0" t="str">
        <f aca="false">IF(AM143="","",INDEX(CATÁLOGO!$F$5:$F$39,AM143))</f>
        <v/>
      </c>
      <c r="AE143" s="0" t="str">
        <f aca="false">IF(AD143="","",IF(ISNUMBER(AD143),AD143*AV143,AD143))</f>
        <v/>
      </c>
      <c r="AF143" s="0" t="str">
        <f aca="false">IF(AM143="","",INDEX(CATÁLOGO!$G$5:$G$39,AM143))</f>
        <v/>
      </c>
      <c r="AG143" s="0" t="str">
        <f aca="false">IF(AF143="","",IF(ISNUMBER(AF143),AF143*AV143,AF143))</f>
        <v/>
      </c>
      <c r="AH143" s="0" t="str">
        <f aca="false">IF(E143="","",C143&amp;"|"&amp;D143)</f>
        <v/>
      </c>
      <c r="AI143" s="27" t="n">
        <f aca="false">IF(M143&lt;&gt;"Sí",0,SUMPRODUCT(MAX(($AH$5:AH142=AH143)*($M$5:M142="Sí")*ROW($AH$5:AH142))))</f>
        <v>0</v>
      </c>
      <c r="AJ143" s="0" t="str">
        <f aca="false">IF(M143&lt;&gt;"Sí","",IF(AL143=1,B143,INDEX($AJ:$AJ,AI143)))</f>
        <v/>
      </c>
      <c r="AK143" s="0" t="str">
        <f aca="false">IF(M143&lt;&gt;"Sí","",IF(AL143=1,E143,INDEX($AK:$AK,AI143)+E143))</f>
        <v/>
      </c>
      <c r="AL143" s="0" t="str">
        <f aca="false">IF(M143&lt;&gt;"Sí","",IF(AI143=0,1,IF(INDEX($AN:$AN,AI143)=0,1,IF(B143&gt;=EDATE(INDEX($AJ:$AJ,AI143),6),1,0))))</f>
        <v/>
      </c>
      <c r="AM143" s="0" t="str">
        <f aca="false">IF(D143="","",IFERROR(MATCH(D143,CATÁLOGO!$C$5:$C$39,0),""))</f>
        <v/>
      </c>
      <c r="AN143" s="0" t="str">
        <f aca="false">IF(M143&lt;&gt;"Sí","",IF(AND(ISNUMBER(AE143),AK143&gt;=AE143),0,1))</f>
        <v/>
      </c>
      <c r="AO143" s="0" t="str">
        <f aca="false">IF(OR(E143="",C143="",NOT(ISNUMBER(B143))),"",SUMIFS($E$6:$E$505,$C$6:$C$505,C143,$B$6:$B$505,"&gt;="&amp;DATE(YEAR(B143),MONTH(B143),1),$B$6:$B$505,"&lt;"&amp;DATE(YEAR(B143),MONTH(B143)+1,1)))</f>
        <v/>
      </c>
      <c r="AP143" s="0" t="str">
        <f aca="false">IF(C143="","",IFERROR(INDEX(CLIENTES!$M$6:$M$305,MATCH(C143,CLIENTES!$A$6:$A$305,0)),""))</f>
        <v/>
      </c>
      <c r="AQ143" s="27" t="n">
        <f aca="false">IF(AND(ISNUMBER(AO143),ISNUMBER(AP143)),IF(AND(AP143&gt;0,AO143&gt;AP143),1,0),0)</f>
        <v>0</v>
      </c>
      <c r="AR143" s="27" t="n">
        <f aca="false">IF(NOT(ISNUMBER(B143)),0,IF(B143&lt;MAX($B$5:B142),1,0))</f>
        <v>0</v>
      </c>
      <c r="AS143" s="0" t="str">
        <f aca="false">IF(C143="","",IFERROR(INDEX(CLIENTES!$H$6:$H$305,MATCH(C143,CLIENTES!$A$6:$A$305,0)),""))</f>
        <v/>
      </c>
      <c r="AT143" s="0" t="str">
        <f aca="false">IF(AND(LEFT(P143,5)="AVISO",T143&lt;&gt;"Presentado",ISNUMBER(Q143)),Q143,"")</f>
        <v/>
      </c>
      <c r="AU143" s="27" t="n">
        <f aca="false">IF(AND(D143="XVI - Activos virtuales (PSAV): operación de intercambio/transferencia",M143="Sí",ISNUMBER(AE143)),IF(AK143&gt;=AE143,1,0),0)</f>
        <v>0</v>
      </c>
      <c r="AV143" s="30" t="n">
        <f aca="false">IF(NOT(ISNUMBER(B143)),CONFIG!$B$4,IFERROR(INDEX(CONFIG!$I$5:$I$14,MATCH(IF(MONTH(B143)=1,YEAR(B143)-1,YEAR(B143)),CONFIG!$H$5:$H$14,0)),CONFIG!$B$4))</f>
        <v>117.31</v>
      </c>
      <c r="AW143" s="27" t="n">
        <f aca="false">IF(AND(LEFT(D143,4)="I - ",ISNUMBER(B143),C143&lt;&gt;""),SUMIFS($E$6:$E$505,$C$6:$C$505,C143,$D$6:$D$505,D143,$B$6:$B$505,"&gt;"&amp;(B143-1),$B$6:$B$505,"&lt;="&amp;B143),0)</f>
        <v>0</v>
      </c>
      <c r="AX143" s="0" t="str">
        <f aca="false">IF(E143="","",IF(AD143="Siempre","AVISO (siempre)",IF(AD143="No aplica","Sin Aviso (sólo preparas: Ley 17 XI)",IF(NOT(ISNUMBER(AE143)),"",IF(AA143&lt;&gt;"ACUMULA",IF(E143&gt;=AE143,IF(AND(D143="XVI - Activos virtuales (PSAV): cobro de contraprestación (comisión) por el servicio",COUNTIFS($C$6:$C$505,C143,$B$6:$B$505,"&gt;="&amp;INT(B143),$B$6:$B$505,"&lt;"&amp;(INT(B143)+1),$AU$6:$AU$505,1)&gt;0),"En el Aviso del inciso a) (R 31 Bis)","AVISO"),"—"),IF(M143&lt;&gt;"Sí","—",IF(AK143&gt;=AE143,IF(AK143=E143,"AVISO","AVISO (acumulado)"),"Acumulando")))))))</f>
        <v/>
      </c>
    </row>
    <row r="144" customFormat="false" ht="15" hidden="false" customHeight="false" outlineLevel="0" collapsed="false">
      <c r="A144" s="9" t="str">
        <f aca="false">IF(E144="","",ROW()-5)</f>
        <v/>
      </c>
      <c r="B144" s="20"/>
      <c r="C144" s="21"/>
      <c r="D144" s="21"/>
      <c r="E144" s="22"/>
      <c r="F144" s="22"/>
      <c r="G144" s="21"/>
      <c r="H144" s="21"/>
      <c r="I144" s="9" t="str">
        <f aca="false">IF(C144="","",IFERROR(INDEX(CLIENTES!$B$6:$B$305,MATCH(C144,CLIENTES!$A$6:$A$305,0)),"⚠ ID no registrado"))</f>
        <v/>
      </c>
      <c r="J144" s="9" t="str">
        <f aca="false">IF(C144="","",IFERROR(INDEX(CLIENTES!$Z$6:$Z$305,MATCH(C144,CLIENTES!$A$6:$A$305,0)),""))</f>
        <v/>
      </c>
      <c r="K144" s="9" t="str">
        <f aca="false">IF(E144="","",IF(AB144="Siempre","Sí",IF(ISNUMBER(AC144),IF(E144&gt;=AC144,"Sí",IF(AW144&gt;=AC144,"Sí (serie 24 h)","No")),"")))</f>
        <v/>
      </c>
      <c r="L144" s="9" t="str">
        <f aca="false">IF(E144="","",AA144)</f>
        <v/>
      </c>
      <c r="M144" s="9" t="str">
        <f aca="false">IF(E144="","",IF(AA144&lt;&gt;"ACUMULA","No aplica",IF(LEFT(K144,2)="Sí","Sí","No")))</f>
        <v/>
      </c>
      <c r="N144" s="23" t="str">
        <f aca="false">IF(M144="Sí",AJ144,"")</f>
        <v/>
      </c>
      <c r="O144" s="24" t="str">
        <f aca="false">IF(M144="Sí",AK144,"")</f>
        <v/>
      </c>
      <c r="P144" s="25" t="str">
        <f aca="false">IF(AND(LEFT(D144,6)="XIV - ",LEFT(AX144,5)="AVISO"),"Pedimento (R 16): no va al SPPLD",AX144)</f>
        <v/>
      </c>
      <c r="Q144" s="23" t="str">
        <f aca="false">IF(LEFT(P144,5)="AVISO",IF(ISNUMBER(B144),DATE(YEAR(B144),MONTH(B144)+1,17),"Falta fecha"),"")</f>
        <v/>
      </c>
      <c r="R144" s="9" t="str">
        <f aca="false">IF(OR(F144="",F144=0),"",IF(ISNUMBER(AG144),IF(F144&gt;=AG144,"PROHIBIDO","Dentro del límite"),"No aplica"))</f>
        <v/>
      </c>
      <c r="S144" s="26" t="str">
        <f aca="false">IF(E144="","",MID(IF(AQ144=1," · Excede el perfil declarado","")&amp;IF(H144="Sí"," · Paga un tercero","")&amp;IF(J144="Alto"," · Cliente de riesgo alto: DDR (RCG 23 Ter 3 y 4)","")&amp;IF(AND(AS144&lt;&gt;"",AS144&lt;&gt;"No",AS144&lt;&gt;0)," · PEP","")&amp;IF(R144="PROHIBIDO"," · Efectivo prohibido: no lo recibas (Art. 32)","")&amp;IF(AR144=1," · ⚠ Fecha fuera de orden","")&amp;IF(LEFT(I144,1)="⚠"," · ⚠ Cliente no registrado","")&amp;IF(D144=""," · ⚠ Falta la actividad","")&amp;IF(AND(LEFT(P144,5)="AVISO",W144="")," · Captura la cifra total con IVA para el Aviso","")&amp;IF(AND(ISNUMBER(W144),W144&lt;E144)," · ⚠ La cifra con IVA es menor que el monto sin IVA",""),4,400))</f>
        <v/>
      </c>
      <c r="T144" s="21"/>
      <c r="U144" s="20"/>
      <c r="V144" s="9" t="str">
        <f aca="false">IF(LEFT(P144,5)&lt;&gt;"AVISO","",IF(T144="Presentado",IF(AND(ISNUMBER(U144),ISNUMBER(Q144),U144&gt;Q144),"Presentado tarde","Presentado"),IF(NOT(ISNUMBER(Q144)),"Falta fecha",IF(Q144&lt;CONFIG!$B$6,"VENCIDO","Vence en "&amp;(Q144-CONFIG!$B$6)&amp;" días"))))</f>
        <v/>
      </c>
      <c r="W144" s="22"/>
      <c r="X144" s="21"/>
      <c r="AA144" s="0" t="str">
        <f aca="false">IF(AM144="","",INDEX(CATÁLOGO!$D$5:$D$39,AM144))</f>
        <v/>
      </c>
      <c r="AB144" s="0" t="str">
        <f aca="false">IF(AM144="","",INDEX(CATÁLOGO!$E$5:$E$39,AM144))</f>
        <v/>
      </c>
      <c r="AC144" s="0" t="str">
        <f aca="false">IF(AB144="","",IF(ISNUMBER(AB144),AB144*AV144,AB144))</f>
        <v/>
      </c>
      <c r="AD144" s="0" t="str">
        <f aca="false">IF(AM144="","",INDEX(CATÁLOGO!$F$5:$F$39,AM144))</f>
        <v/>
      </c>
      <c r="AE144" s="0" t="str">
        <f aca="false">IF(AD144="","",IF(ISNUMBER(AD144),AD144*AV144,AD144))</f>
        <v/>
      </c>
      <c r="AF144" s="0" t="str">
        <f aca="false">IF(AM144="","",INDEX(CATÁLOGO!$G$5:$G$39,AM144))</f>
        <v/>
      </c>
      <c r="AG144" s="0" t="str">
        <f aca="false">IF(AF144="","",IF(ISNUMBER(AF144),AF144*AV144,AF144))</f>
        <v/>
      </c>
      <c r="AH144" s="0" t="str">
        <f aca="false">IF(E144="","",C144&amp;"|"&amp;D144)</f>
        <v/>
      </c>
      <c r="AI144" s="27" t="n">
        <f aca="false">IF(M144&lt;&gt;"Sí",0,SUMPRODUCT(MAX(($AH$5:AH143=AH144)*($M$5:M143="Sí")*ROW($AH$5:AH143))))</f>
        <v>0</v>
      </c>
      <c r="AJ144" s="0" t="str">
        <f aca="false">IF(M144&lt;&gt;"Sí","",IF(AL144=1,B144,INDEX($AJ:$AJ,AI144)))</f>
        <v/>
      </c>
      <c r="AK144" s="0" t="str">
        <f aca="false">IF(M144&lt;&gt;"Sí","",IF(AL144=1,E144,INDEX($AK:$AK,AI144)+E144))</f>
        <v/>
      </c>
      <c r="AL144" s="0" t="str">
        <f aca="false">IF(M144&lt;&gt;"Sí","",IF(AI144=0,1,IF(INDEX($AN:$AN,AI144)=0,1,IF(B144&gt;=EDATE(INDEX($AJ:$AJ,AI144),6),1,0))))</f>
        <v/>
      </c>
      <c r="AM144" s="0" t="str">
        <f aca="false">IF(D144="","",IFERROR(MATCH(D144,CATÁLOGO!$C$5:$C$39,0),""))</f>
        <v/>
      </c>
      <c r="AN144" s="0" t="str">
        <f aca="false">IF(M144&lt;&gt;"Sí","",IF(AND(ISNUMBER(AE144),AK144&gt;=AE144),0,1))</f>
        <v/>
      </c>
      <c r="AO144" s="0" t="str">
        <f aca="false">IF(OR(E144="",C144="",NOT(ISNUMBER(B144))),"",SUMIFS($E$6:$E$505,$C$6:$C$505,C144,$B$6:$B$505,"&gt;="&amp;DATE(YEAR(B144),MONTH(B144),1),$B$6:$B$505,"&lt;"&amp;DATE(YEAR(B144),MONTH(B144)+1,1)))</f>
        <v/>
      </c>
      <c r="AP144" s="0" t="str">
        <f aca="false">IF(C144="","",IFERROR(INDEX(CLIENTES!$M$6:$M$305,MATCH(C144,CLIENTES!$A$6:$A$305,0)),""))</f>
        <v/>
      </c>
      <c r="AQ144" s="27" t="n">
        <f aca="false">IF(AND(ISNUMBER(AO144),ISNUMBER(AP144)),IF(AND(AP144&gt;0,AO144&gt;AP144),1,0),0)</f>
        <v>0</v>
      </c>
      <c r="AR144" s="27" t="n">
        <f aca="false">IF(NOT(ISNUMBER(B144)),0,IF(B144&lt;MAX($B$5:B143),1,0))</f>
        <v>0</v>
      </c>
      <c r="AS144" s="0" t="str">
        <f aca="false">IF(C144="","",IFERROR(INDEX(CLIENTES!$H$6:$H$305,MATCH(C144,CLIENTES!$A$6:$A$305,0)),""))</f>
        <v/>
      </c>
      <c r="AT144" s="0" t="str">
        <f aca="false">IF(AND(LEFT(P144,5)="AVISO",T144&lt;&gt;"Presentado",ISNUMBER(Q144)),Q144,"")</f>
        <v/>
      </c>
      <c r="AU144" s="27" t="n">
        <f aca="false">IF(AND(D144="XVI - Activos virtuales (PSAV): operación de intercambio/transferencia",M144="Sí",ISNUMBER(AE144)),IF(AK144&gt;=AE144,1,0),0)</f>
        <v>0</v>
      </c>
      <c r="AV144" s="30" t="n">
        <f aca="false">IF(NOT(ISNUMBER(B144)),CONFIG!$B$4,IFERROR(INDEX(CONFIG!$I$5:$I$14,MATCH(IF(MONTH(B144)=1,YEAR(B144)-1,YEAR(B144)),CONFIG!$H$5:$H$14,0)),CONFIG!$B$4))</f>
        <v>117.31</v>
      </c>
      <c r="AW144" s="27" t="n">
        <f aca="false">IF(AND(LEFT(D144,4)="I - ",ISNUMBER(B144),C144&lt;&gt;""),SUMIFS($E$6:$E$505,$C$6:$C$505,C144,$D$6:$D$505,D144,$B$6:$B$505,"&gt;"&amp;(B144-1),$B$6:$B$505,"&lt;="&amp;B144),0)</f>
        <v>0</v>
      </c>
      <c r="AX144" s="0" t="str">
        <f aca="false">IF(E144="","",IF(AD144="Siempre","AVISO (siempre)",IF(AD144="No aplica","Sin Aviso (sólo preparas: Ley 17 XI)",IF(NOT(ISNUMBER(AE144)),"",IF(AA144&lt;&gt;"ACUMULA",IF(E144&gt;=AE144,IF(AND(D144="XVI - Activos virtuales (PSAV): cobro de contraprestación (comisión) por el servicio",COUNTIFS($C$6:$C$505,C144,$B$6:$B$505,"&gt;="&amp;INT(B144),$B$6:$B$505,"&lt;"&amp;(INT(B144)+1),$AU$6:$AU$505,1)&gt;0),"En el Aviso del inciso a) (R 31 Bis)","AVISO"),"—"),IF(M144&lt;&gt;"Sí","—",IF(AK144&gt;=AE144,IF(AK144=E144,"AVISO","AVISO (acumulado)"),"Acumulando")))))))</f>
        <v/>
      </c>
    </row>
    <row r="145" customFormat="false" ht="15" hidden="false" customHeight="false" outlineLevel="0" collapsed="false">
      <c r="A145" s="9" t="str">
        <f aca="false">IF(E145="","",ROW()-5)</f>
        <v/>
      </c>
      <c r="B145" s="20"/>
      <c r="C145" s="21"/>
      <c r="D145" s="21"/>
      <c r="E145" s="22"/>
      <c r="F145" s="22"/>
      <c r="G145" s="21"/>
      <c r="H145" s="21"/>
      <c r="I145" s="9" t="str">
        <f aca="false">IF(C145="","",IFERROR(INDEX(CLIENTES!$B$6:$B$305,MATCH(C145,CLIENTES!$A$6:$A$305,0)),"⚠ ID no registrado"))</f>
        <v/>
      </c>
      <c r="J145" s="9" t="str">
        <f aca="false">IF(C145="","",IFERROR(INDEX(CLIENTES!$Z$6:$Z$305,MATCH(C145,CLIENTES!$A$6:$A$305,0)),""))</f>
        <v/>
      </c>
      <c r="K145" s="9" t="str">
        <f aca="false">IF(E145="","",IF(AB145="Siempre","Sí",IF(ISNUMBER(AC145),IF(E145&gt;=AC145,"Sí",IF(AW145&gt;=AC145,"Sí (serie 24 h)","No")),"")))</f>
        <v/>
      </c>
      <c r="L145" s="9" t="str">
        <f aca="false">IF(E145="","",AA145)</f>
        <v/>
      </c>
      <c r="M145" s="9" t="str">
        <f aca="false">IF(E145="","",IF(AA145&lt;&gt;"ACUMULA","No aplica",IF(LEFT(K145,2)="Sí","Sí","No")))</f>
        <v/>
      </c>
      <c r="N145" s="23" t="str">
        <f aca="false">IF(M145="Sí",AJ145,"")</f>
        <v/>
      </c>
      <c r="O145" s="24" t="str">
        <f aca="false">IF(M145="Sí",AK145,"")</f>
        <v/>
      </c>
      <c r="P145" s="25" t="str">
        <f aca="false">IF(AND(LEFT(D145,6)="XIV - ",LEFT(AX145,5)="AVISO"),"Pedimento (R 16): no va al SPPLD",AX145)</f>
        <v/>
      </c>
      <c r="Q145" s="23" t="str">
        <f aca="false">IF(LEFT(P145,5)="AVISO",IF(ISNUMBER(B145),DATE(YEAR(B145),MONTH(B145)+1,17),"Falta fecha"),"")</f>
        <v/>
      </c>
      <c r="R145" s="9" t="str">
        <f aca="false">IF(OR(F145="",F145=0),"",IF(ISNUMBER(AG145),IF(F145&gt;=AG145,"PROHIBIDO","Dentro del límite"),"No aplica"))</f>
        <v/>
      </c>
      <c r="S145" s="26" t="str">
        <f aca="false">IF(E145="","",MID(IF(AQ145=1," · Excede el perfil declarado","")&amp;IF(H145="Sí"," · Paga un tercero","")&amp;IF(J145="Alto"," · Cliente de riesgo alto: DDR (RCG 23 Ter 3 y 4)","")&amp;IF(AND(AS145&lt;&gt;"",AS145&lt;&gt;"No",AS145&lt;&gt;0)," · PEP","")&amp;IF(R145="PROHIBIDO"," · Efectivo prohibido: no lo recibas (Art. 32)","")&amp;IF(AR145=1," · ⚠ Fecha fuera de orden","")&amp;IF(LEFT(I145,1)="⚠"," · ⚠ Cliente no registrado","")&amp;IF(D145=""," · ⚠ Falta la actividad","")&amp;IF(AND(LEFT(P145,5)="AVISO",W145="")," · Captura la cifra total con IVA para el Aviso","")&amp;IF(AND(ISNUMBER(W145),W145&lt;E145)," · ⚠ La cifra con IVA es menor que el monto sin IVA",""),4,400))</f>
        <v/>
      </c>
      <c r="T145" s="21"/>
      <c r="U145" s="20"/>
      <c r="V145" s="9" t="str">
        <f aca="false">IF(LEFT(P145,5)&lt;&gt;"AVISO","",IF(T145="Presentado",IF(AND(ISNUMBER(U145),ISNUMBER(Q145),U145&gt;Q145),"Presentado tarde","Presentado"),IF(NOT(ISNUMBER(Q145)),"Falta fecha",IF(Q145&lt;CONFIG!$B$6,"VENCIDO","Vence en "&amp;(Q145-CONFIG!$B$6)&amp;" días"))))</f>
        <v/>
      </c>
      <c r="W145" s="22"/>
      <c r="X145" s="21"/>
      <c r="AA145" s="0" t="str">
        <f aca="false">IF(AM145="","",INDEX(CATÁLOGO!$D$5:$D$39,AM145))</f>
        <v/>
      </c>
      <c r="AB145" s="0" t="str">
        <f aca="false">IF(AM145="","",INDEX(CATÁLOGO!$E$5:$E$39,AM145))</f>
        <v/>
      </c>
      <c r="AC145" s="0" t="str">
        <f aca="false">IF(AB145="","",IF(ISNUMBER(AB145),AB145*AV145,AB145))</f>
        <v/>
      </c>
      <c r="AD145" s="0" t="str">
        <f aca="false">IF(AM145="","",INDEX(CATÁLOGO!$F$5:$F$39,AM145))</f>
        <v/>
      </c>
      <c r="AE145" s="0" t="str">
        <f aca="false">IF(AD145="","",IF(ISNUMBER(AD145),AD145*AV145,AD145))</f>
        <v/>
      </c>
      <c r="AF145" s="0" t="str">
        <f aca="false">IF(AM145="","",INDEX(CATÁLOGO!$G$5:$G$39,AM145))</f>
        <v/>
      </c>
      <c r="AG145" s="0" t="str">
        <f aca="false">IF(AF145="","",IF(ISNUMBER(AF145),AF145*AV145,AF145))</f>
        <v/>
      </c>
      <c r="AH145" s="0" t="str">
        <f aca="false">IF(E145="","",C145&amp;"|"&amp;D145)</f>
        <v/>
      </c>
      <c r="AI145" s="27" t="n">
        <f aca="false">IF(M145&lt;&gt;"Sí",0,SUMPRODUCT(MAX(($AH$5:AH144=AH145)*($M$5:M144="Sí")*ROW($AH$5:AH144))))</f>
        <v>0</v>
      </c>
      <c r="AJ145" s="0" t="str">
        <f aca="false">IF(M145&lt;&gt;"Sí","",IF(AL145=1,B145,INDEX($AJ:$AJ,AI145)))</f>
        <v/>
      </c>
      <c r="AK145" s="0" t="str">
        <f aca="false">IF(M145&lt;&gt;"Sí","",IF(AL145=1,E145,INDEX($AK:$AK,AI145)+E145))</f>
        <v/>
      </c>
      <c r="AL145" s="0" t="str">
        <f aca="false">IF(M145&lt;&gt;"Sí","",IF(AI145=0,1,IF(INDEX($AN:$AN,AI145)=0,1,IF(B145&gt;=EDATE(INDEX($AJ:$AJ,AI145),6),1,0))))</f>
        <v/>
      </c>
      <c r="AM145" s="0" t="str">
        <f aca="false">IF(D145="","",IFERROR(MATCH(D145,CATÁLOGO!$C$5:$C$39,0),""))</f>
        <v/>
      </c>
      <c r="AN145" s="0" t="str">
        <f aca="false">IF(M145&lt;&gt;"Sí","",IF(AND(ISNUMBER(AE145),AK145&gt;=AE145),0,1))</f>
        <v/>
      </c>
      <c r="AO145" s="0" t="str">
        <f aca="false">IF(OR(E145="",C145="",NOT(ISNUMBER(B145))),"",SUMIFS($E$6:$E$505,$C$6:$C$505,C145,$B$6:$B$505,"&gt;="&amp;DATE(YEAR(B145),MONTH(B145),1),$B$6:$B$505,"&lt;"&amp;DATE(YEAR(B145),MONTH(B145)+1,1)))</f>
        <v/>
      </c>
      <c r="AP145" s="0" t="str">
        <f aca="false">IF(C145="","",IFERROR(INDEX(CLIENTES!$M$6:$M$305,MATCH(C145,CLIENTES!$A$6:$A$305,0)),""))</f>
        <v/>
      </c>
      <c r="AQ145" s="27" t="n">
        <f aca="false">IF(AND(ISNUMBER(AO145),ISNUMBER(AP145)),IF(AND(AP145&gt;0,AO145&gt;AP145),1,0),0)</f>
        <v>0</v>
      </c>
      <c r="AR145" s="27" t="n">
        <f aca="false">IF(NOT(ISNUMBER(B145)),0,IF(B145&lt;MAX($B$5:B144),1,0))</f>
        <v>0</v>
      </c>
      <c r="AS145" s="0" t="str">
        <f aca="false">IF(C145="","",IFERROR(INDEX(CLIENTES!$H$6:$H$305,MATCH(C145,CLIENTES!$A$6:$A$305,0)),""))</f>
        <v/>
      </c>
      <c r="AT145" s="0" t="str">
        <f aca="false">IF(AND(LEFT(P145,5)="AVISO",T145&lt;&gt;"Presentado",ISNUMBER(Q145)),Q145,"")</f>
        <v/>
      </c>
      <c r="AU145" s="27" t="n">
        <f aca="false">IF(AND(D145="XVI - Activos virtuales (PSAV): operación de intercambio/transferencia",M145="Sí",ISNUMBER(AE145)),IF(AK145&gt;=AE145,1,0),0)</f>
        <v>0</v>
      </c>
      <c r="AV145" s="30" t="n">
        <f aca="false">IF(NOT(ISNUMBER(B145)),CONFIG!$B$4,IFERROR(INDEX(CONFIG!$I$5:$I$14,MATCH(IF(MONTH(B145)=1,YEAR(B145)-1,YEAR(B145)),CONFIG!$H$5:$H$14,0)),CONFIG!$B$4))</f>
        <v>117.31</v>
      </c>
      <c r="AW145" s="27" t="n">
        <f aca="false">IF(AND(LEFT(D145,4)="I - ",ISNUMBER(B145),C145&lt;&gt;""),SUMIFS($E$6:$E$505,$C$6:$C$505,C145,$D$6:$D$505,D145,$B$6:$B$505,"&gt;"&amp;(B145-1),$B$6:$B$505,"&lt;="&amp;B145),0)</f>
        <v>0</v>
      </c>
      <c r="AX145" s="0" t="str">
        <f aca="false">IF(E145="","",IF(AD145="Siempre","AVISO (siempre)",IF(AD145="No aplica","Sin Aviso (sólo preparas: Ley 17 XI)",IF(NOT(ISNUMBER(AE145)),"",IF(AA145&lt;&gt;"ACUMULA",IF(E145&gt;=AE145,IF(AND(D145="XVI - Activos virtuales (PSAV): cobro de contraprestación (comisión) por el servicio",COUNTIFS($C$6:$C$505,C145,$B$6:$B$505,"&gt;="&amp;INT(B145),$B$6:$B$505,"&lt;"&amp;(INT(B145)+1),$AU$6:$AU$505,1)&gt;0),"En el Aviso del inciso a) (R 31 Bis)","AVISO"),"—"),IF(M145&lt;&gt;"Sí","—",IF(AK145&gt;=AE145,IF(AK145=E145,"AVISO","AVISO (acumulado)"),"Acumulando")))))))</f>
        <v/>
      </c>
    </row>
    <row r="146" customFormat="false" ht="15" hidden="false" customHeight="false" outlineLevel="0" collapsed="false">
      <c r="A146" s="9" t="str">
        <f aca="false">IF(E146="","",ROW()-5)</f>
        <v/>
      </c>
      <c r="B146" s="20"/>
      <c r="C146" s="21"/>
      <c r="D146" s="21"/>
      <c r="E146" s="22"/>
      <c r="F146" s="22"/>
      <c r="G146" s="21"/>
      <c r="H146" s="21"/>
      <c r="I146" s="9" t="str">
        <f aca="false">IF(C146="","",IFERROR(INDEX(CLIENTES!$B$6:$B$305,MATCH(C146,CLIENTES!$A$6:$A$305,0)),"⚠ ID no registrado"))</f>
        <v/>
      </c>
      <c r="J146" s="9" t="str">
        <f aca="false">IF(C146="","",IFERROR(INDEX(CLIENTES!$Z$6:$Z$305,MATCH(C146,CLIENTES!$A$6:$A$305,0)),""))</f>
        <v/>
      </c>
      <c r="K146" s="9" t="str">
        <f aca="false">IF(E146="","",IF(AB146="Siempre","Sí",IF(ISNUMBER(AC146),IF(E146&gt;=AC146,"Sí",IF(AW146&gt;=AC146,"Sí (serie 24 h)","No")),"")))</f>
        <v/>
      </c>
      <c r="L146" s="9" t="str">
        <f aca="false">IF(E146="","",AA146)</f>
        <v/>
      </c>
      <c r="M146" s="9" t="str">
        <f aca="false">IF(E146="","",IF(AA146&lt;&gt;"ACUMULA","No aplica",IF(LEFT(K146,2)="Sí","Sí","No")))</f>
        <v/>
      </c>
      <c r="N146" s="23" t="str">
        <f aca="false">IF(M146="Sí",AJ146,"")</f>
        <v/>
      </c>
      <c r="O146" s="24" t="str">
        <f aca="false">IF(M146="Sí",AK146,"")</f>
        <v/>
      </c>
      <c r="P146" s="25" t="str">
        <f aca="false">IF(AND(LEFT(D146,6)="XIV - ",LEFT(AX146,5)="AVISO"),"Pedimento (R 16): no va al SPPLD",AX146)</f>
        <v/>
      </c>
      <c r="Q146" s="23" t="str">
        <f aca="false">IF(LEFT(P146,5)="AVISO",IF(ISNUMBER(B146),DATE(YEAR(B146),MONTH(B146)+1,17),"Falta fecha"),"")</f>
        <v/>
      </c>
      <c r="R146" s="9" t="str">
        <f aca="false">IF(OR(F146="",F146=0),"",IF(ISNUMBER(AG146),IF(F146&gt;=AG146,"PROHIBIDO","Dentro del límite"),"No aplica"))</f>
        <v/>
      </c>
      <c r="S146" s="26" t="str">
        <f aca="false">IF(E146="","",MID(IF(AQ146=1," · Excede el perfil declarado","")&amp;IF(H146="Sí"," · Paga un tercero","")&amp;IF(J146="Alto"," · Cliente de riesgo alto: DDR (RCG 23 Ter 3 y 4)","")&amp;IF(AND(AS146&lt;&gt;"",AS146&lt;&gt;"No",AS146&lt;&gt;0)," · PEP","")&amp;IF(R146="PROHIBIDO"," · Efectivo prohibido: no lo recibas (Art. 32)","")&amp;IF(AR146=1," · ⚠ Fecha fuera de orden","")&amp;IF(LEFT(I146,1)="⚠"," · ⚠ Cliente no registrado","")&amp;IF(D146=""," · ⚠ Falta la actividad","")&amp;IF(AND(LEFT(P146,5)="AVISO",W146="")," · Captura la cifra total con IVA para el Aviso","")&amp;IF(AND(ISNUMBER(W146),W146&lt;E146)," · ⚠ La cifra con IVA es menor que el monto sin IVA",""),4,400))</f>
        <v/>
      </c>
      <c r="T146" s="21"/>
      <c r="U146" s="20"/>
      <c r="V146" s="9" t="str">
        <f aca="false">IF(LEFT(P146,5)&lt;&gt;"AVISO","",IF(T146="Presentado",IF(AND(ISNUMBER(U146),ISNUMBER(Q146),U146&gt;Q146),"Presentado tarde","Presentado"),IF(NOT(ISNUMBER(Q146)),"Falta fecha",IF(Q146&lt;CONFIG!$B$6,"VENCIDO","Vence en "&amp;(Q146-CONFIG!$B$6)&amp;" días"))))</f>
        <v/>
      </c>
      <c r="W146" s="22"/>
      <c r="X146" s="21"/>
      <c r="AA146" s="0" t="str">
        <f aca="false">IF(AM146="","",INDEX(CATÁLOGO!$D$5:$D$39,AM146))</f>
        <v/>
      </c>
      <c r="AB146" s="0" t="str">
        <f aca="false">IF(AM146="","",INDEX(CATÁLOGO!$E$5:$E$39,AM146))</f>
        <v/>
      </c>
      <c r="AC146" s="0" t="str">
        <f aca="false">IF(AB146="","",IF(ISNUMBER(AB146),AB146*AV146,AB146))</f>
        <v/>
      </c>
      <c r="AD146" s="0" t="str">
        <f aca="false">IF(AM146="","",INDEX(CATÁLOGO!$F$5:$F$39,AM146))</f>
        <v/>
      </c>
      <c r="AE146" s="0" t="str">
        <f aca="false">IF(AD146="","",IF(ISNUMBER(AD146),AD146*AV146,AD146))</f>
        <v/>
      </c>
      <c r="AF146" s="0" t="str">
        <f aca="false">IF(AM146="","",INDEX(CATÁLOGO!$G$5:$G$39,AM146))</f>
        <v/>
      </c>
      <c r="AG146" s="0" t="str">
        <f aca="false">IF(AF146="","",IF(ISNUMBER(AF146),AF146*AV146,AF146))</f>
        <v/>
      </c>
      <c r="AH146" s="0" t="str">
        <f aca="false">IF(E146="","",C146&amp;"|"&amp;D146)</f>
        <v/>
      </c>
      <c r="AI146" s="27" t="n">
        <f aca="false">IF(M146&lt;&gt;"Sí",0,SUMPRODUCT(MAX(($AH$5:AH145=AH146)*($M$5:M145="Sí")*ROW($AH$5:AH145))))</f>
        <v>0</v>
      </c>
      <c r="AJ146" s="0" t="str">
        <f aca="false">IF(M146&lt;&gt;"Sí","",IF(AL146=1,B146,INDEX($AJ:$AJ,AI146)))</f>
        <v/>
      </c>
      <c r="AK146" s="0" t="str">
        <f aca="false">IF(M146&lt;&gt;"Sí","",IF(AL146=1,E146,INDEX($AK:$AK,AI146)+E146))</f>
        <v/>
      </c>
      <c r="AL146" s="0" t="str">
        <f aca="false">IF(M146&lt;&gt;"Sí","",IF(AI146=0,1,IF(INDEX($AN:$AN,AI146)=0,1,IF(B146&gt;=EDATE(INDEX($AJ:$AJ,AI146),6),1,0))))</f>
        <v/>
      </c>
      <c r="AM146" s="0" t="str">
        <f aca="false">IF(D146="","",IFERROR(MATCH(D146,CATÁLOGO!$C$5:$C$39,0),""))</f>
        <v/>
      </c>
      <c r="AN146" s="0" t="str">
        <f aca="false">IF(M146&lt;&gt;"Sí","",IF(AND(ISNUMBER(AE146),AK146&gt;=AE146),0,1))</f>
        <v/>
      </c>
      <c r="AO146" s="0" t="str">
        <f aca="false">IF(OR(E146="",C146="",NOT(ISNUMBER(B146))),"",SUMIFS($E$6:$E$505,$C$6:$C$505,C146,$B$6:$B$505,"&gt;="&amp;DATE(YEAR(B146),MONTH(B146),1),$B$6:$B$505,"&lt;"&amp;DATE(YEAR(B146),MONTH(B146)+1,1)))</f>
        <v/>
      </c>
      <c r="AP146" s="0" t="str">
        <f aca="false">IF(C146="","",IFERROR(INDEX(CLIENTES!$M$6:$M$305,MATCH(C146,CLIENTES!$A$6:$A$305,0)),""))</f>
        <v/>
      </c>
      <c r="AQ146" s="27" t="n">
        <f aca="false">IF(AND(ISNUMBER(AO146),ISNUMBER(AP146)),IF(AND(AP146&gt;0,AO146&gt;AP146),1,0),0)</f>
        <v>0</v>
      </c>
      <c r="AR146" s="27" t="n">
        <f aca="false">IF(NOT(ISNUMBER(B146)),0,IF(B146&lt;MAX($B$5:B145),1,0))</f>
        <v>0</v>
      </c>
      <c r="AS146" s="0" t="str">
        <f aca="false">IF(C146="","",IFERROR(INDEX(CLIENTES!$H$6:$H$305,MATCH(C146,CLIENTES!$A$6:$A$305,0)),""))</f>
        <v/>
      </c>
      <c r="AT146" s="0" t="str">
        <f aca="false">IF(AND(LEFT(P146,5)="AVISO",T146&lt;&gt;"Presentado",ISNUMBER(Q146)),Q146,"")</f>
        <v/>
      </c>
      <c r="AU146" s="27" t="n">
        <f aca="false">IF(AND(D146="XVI - Activos virtuales (PSAV): operación de intercambio/transferencia",M146="Sí",ISNUMBER(AE146)),IF(AK146&gt;=AE146,1,0),0)</f>
        <v>0</v>
      </c>
      <c r="AV146" s="30" t="n">
        <f aca="false">IF(NOT(ISNUMBER(B146)),CONFIG!$B$4,IFERROR(INDEX(CONFIG!$I$5:$I$14,MATCH(IF(MONTH(B146)=1,YEAR(B146)-1,YEAR(B146)),CONFIG!$H$5:$H$14,0)),CONFIG!$B$4))</f>
        <v>117.31</v>
      </c>
      <c r="AW146" s="27" t="n">
        <f aca="false">IF(AND(LEFT(D146,4)="I - ",ISNUMBER(B146),C146&lt;&gt;""),SUMIFS($E$6:$E$505,$C$6:$C$505,C146,$D$6:$D$505,D146,$B$6:$B$505,"&gt;"&amp;(B146-1),$B$6:$B$505,"&lt;="&amp;B146),0)</f>
        <v>0</v>
      </c>
      <c r="AX146" s="0" t="str">
        <f aca="false">IF(E146="","",IF(AD146="Siempre","AVISO (siempre)",IF(AD146="No aplica","Sin Aviso (sólo preparas: Ley 17 XI)",IF(NOT(ISNUMBER(AE146)),"",IF(AA146&lt;&gt;"ACUMULA",IF(E146&gt;=AE146,IF(AND(D146="XVI - Activos virtuales (PSAV): cobro de contraprestación (comisión) por el servicio",COUNTIFS($C$6:$C$505,C146,$B$6:$B$505,"&gt;="&amp;INT(B146),$B$6:$B$505,"&lt;"&amp;(INT(B146)+1),$AU$6:$AU$505,1)&gt;0),"En el Aviso del inciso a) (R 31 Bis)","AVISO"),"—"),IF(M146&lt;&gt;"Sí","—",IF(AK146&gt;=AE146,IF(AK146=E146,"AVISO","AVISO (acumulado)"),"Acumulando")))))))</f>
        <v/>
      </c>
    </row>
    <row r="147" customFormat="false" ht="15" hidden="false" customHeight="false" outlineLevel="0" collapsed="false">
      <c r="A147" s="9" t="str">
        <f aca="false">IF(E147="","",ROW()-5)</f>
        <v/>
      </c>
      <c r="B147" s="20"/>
      <c r="C147" s="21"/>
      <c r="D147" s="21"/>
      <c r="E147" s="22"/>
      <c r="F147" s="22"/>
      <c r="G147" s="21"/>
      <c r="H147" s="21"/>
      <c r="I147" s="9" t="str">
        <f aca="false">IF(C147="","",IFERROR(INDEX(CLIENTES!$B$6:$B$305,MATCH(C147,CLIENTES!$A$6:$A$305,0)),"⚠ ID no registrado"))</f>
        <v/>
      </c>
      <c r="J147" s="9" t="str">
        <f aca="false">IF(C147="","",IFERROR(INDEX(CLIENTES!$Z$6:$Z$305,MATCH(C147,CLIENTES!$A$6:$A$305,0)),""))</f>
        <v/>
      </c>
      <c r="K147" s="9" t="str">
        <f aca="false">IF(E147="","",IF(AB147="Siempre","Sí",IF(ISNUMBER(AC147),IF(E147&gt;=AC147,"Sí",IF(AW147&gt;=AC147,"Sí (serie 24 h)","No")),"")))</f>
        <v/>
      </c>
      <c r="L147" s="9" t="str">
        <f aca="false">IF(E147="","",AA147)</f>
        <v/>
      </c>
      <c r="M147" s="9" t="str">
        <f aca="false">IF(E147="","",IF(AA147&lt;&gt;"ACUMULA","No aplica",IF(LEFT(K147,2)="Sí","Sí","No")))</f>
        <v/>
      </c>
      <c r="N147" s="23" t="str">
        <f aca="false">IF(M147="Sí",AJ147,"")</f>
        <v/>
      </c>
      <c r="O147" s="24" t="str">
        <f aca="false">IF(M147="Sí",AK147,"")</f>
        <v/>
      </c>
      <c r="P147" s="25" t="str">
        <f aca="false">IF(AND(LEFT(D147,6)="XIV - ",LEFT(AX147,5)="AVISO"),"Pedimento (R 16): no va al SPPLD",AX147)</f>
        <v/>
      </c>
      <c r="Q147" s="23" t="str">
        <f aca="false">IF(LEFT(P147,5)="AVISO",IF(ISNUMBER(B147),DATE(YEAR(B147),MONTH(B147)+1,17),"Falta fecha"),"")</f>
        <v/>
      </c>
      <c r="R147" s="9" t="str">
        <f aca="false">IF(OR(F147="",F147=0),"",IF(ISNUMBER(AG147),IF(F147&gt;=AG147,"PROHIBIDO","Dentro del límite"),"No aplica"))</f>
        <v/>
      </c>
      <c r="S147" s="26" t="str">
        <f aca="false">IF(E147="","",MID(IF(AQ147=1," · Excede el perfil declarado","")&amp;IF(H147="Sí"," · Paga un tercero","")&amp;IF(J147="Alto"," · Cliente de riesgo alto: DDR (RCG 23 Ter 3 y 4)","")&amp;IF(AND(AS147&lt;&gt;"",AS147&lt;&gt;"No",AS147&lt;&gt;0)," · PEP","")&amp;IF(R147="PROHIBIDO"," · Efectivo prohibido: no lo recibas (Art. 32)","")&amp;IF(AR147=1," · ⚠ Fecha fuera de orden","")&amp;IF(LEFT(I147,1)="⚠"," · ⚠ Cliente no registrado","")&amp;IF(D147=""," · ⚠ Falta la actividad","")&amp;IF(AND(LEFT(P147,5)="AVISO",W147="")," · Captura la cifra total con IVA para el Aviso","")&amp;IF(AND(ISNUMBER(W147),W147&lt;E147)," · ⚠ La cifra con IVA es menor que el monto sin IVA",""),4,400))</f>
        <v/>
      </c>
      <c r="T147" s="21"/>
      <c r="U147" s="20"/>
      <c r="V147" s="9" t="str">
        <f aca="false">IF(LEFT(P147,5)&lt;&gt;"AVISO","",IF(T147="Presentado",IF(AND(ISNUMBER(U147),ISNUMBER(Q147),U147&gt;Q147),"Presentado tarde","Presentado"),IF(NOT(ISNUMBER(Q147)),"Falta fecha",IF(Q147&lt;CONFIG!$B$6,"VENCIDO","Vence en "&amp;(Q147-CONFIG!$B$6)&amp;" días"))))</f>
        <v/>
      </c>
      <c r="W147" s="22"/>
      <c r="X147" s="21"/>
      <c r="AA147" s="0" t="str">
        <f aca="false">IF(AM147="","",INDEX(CATÁLOGO!$D$5:$D$39,AM147))</f>
        <v/>
      </c>
      <c r="AB147" s="0" t="str">
        <f aca="false">IF(AM147="","",INDEX(CATÁLOGO!$E$5:$E$39,AM147))</f>
        <v/>
      </c>
      <c r="AC147" s="0" t="str">
        <f aca="false">IF(AB147="","",IF(ISNUMBER(AB147),AB147*AV147,AB147))</f>
        <v/>
      </c>
      <c r="AD147" s="0" t="str">
        <f aca="false">IF(AM147="","",INDEX(CATÁLOGO!$F$5:$F$39,AM147))</f>
        <v/>
      </c>
      <c r="AE147" s="0" t="str">
        <f aca="false">IF(AD147="","",IF(ISNUMBER(AD147),AD147*AV147,AD147))</f>
        <v/>
      </c>
      <c r="AF147" s="0" t="str">
        <f aca="false">IF(AM147="","",INDEX(CATÁLOGO!$G$5:$G$39,AM147))</f>
        <v/>
      </c>
      <c r="AG147" s="0" t="str">
        <f aca="false">IF(AF147="","",IF(ISNUMBER(AF147),AF147*AV147,AF147))</f>
        <v/>
      </c>
      <c r="AH147" s="0" t="str">
        <f aca="false">IF(E147="","",C147&amp;"|"&amp;D147)</f>
        <v/>
      </c>
      <c r="AI147" s="27" t="n">
        <f aca="false">IF(M147&lt;&gt;"Sí",0,SUMPRODUCT(MAX(($AH$5:AH146=AH147)*($M$5:M146="Sí")*ROW($AH$5:AH146))))</f>
        <v>0</v>
      </c>
      <c r="AJ147" s="0" t="str">
        <f aca="false">IF(M147&lt;&gt;"Sí","",IF(AL147=1,B147,INDEX($AJ:$AJ,AI147)))</f>
        <v/>
      </c>
      <c r="AK147" s="0" t="str">
        <f aca="false">IF(M147&lt;&gt;"Sí","",IF(AL147=1,E147,INDEX($AK:$AK,AI147)+E147))</f>
        <v/>
      </c>
      <c r="AL147" s="0" t="str">
        <f aca="false">IF(M147&lt;&gt;"Sí","",IF(AI147=0,1,IF(INDEX($AN:$AN,AI147)=0,1,IF(B147&gt;=EDATE(INDEX($AJ:$AJ,AI147),6),1,0))))</f>
        <v/>
      </c>
      <c r="AM147" s="0" t="str">
        <f aca="false">IF(D147="","",IFERROR(MATCH(D147,CATÁLOGO!$C$5:$C$39,0),""))</f>
        <v/>
      </c>
      <c r="AN147" s="0" t="str">
        <f aca="false">IF(M147&lt;&gt;"Sí","",IF(AND(ISNUMBER(AE147),AK147&gt;=AE147),0,1))</f>
        <v/>
      </c>
      <c r="AO147" s="0" t="str">
        <f aca="false">IF(OR(E147="",C147="",NOT(ISNUMBER(B147))),"",SUMIFS($E$6:$E$505,$C$6:$C$505,C147,$B$6:$B$505,"&gt;="&amp;DATE(YEAR(B147),MONTH(B147),1),$B$6:$B$505,"&lt;"&amp;DATE(YEAR(B147),MONTH(B147)+1,1)))</f>
        <v/>
      </c>
      <c r="AP147" s="0" t="str">
        <f aca="false">IF(C147="","",IFERROR(INDEX(CLIENTES!$M$6:$M$305,MATCH(C147,CLIENTES!$A$6:$A$305,0)),""))</f>
        <v/>
      </c>
      <c r="AQ147" s="27" t="n">
        <f aca="false">IF(AND(ISNUMBER(AO147),ISNUMBER(AP147)),IF(AND(AP147&gt;0,AO147&gt;AP147),1,0),0)</f>
        <v>0</v>
      </c>
      <c r="AR147" s="27" t="n">
        <f aca="false">IF(NOT(ISNUMBER(B147)),0,IF(B147&lt;MAX($B$5:B146),1,0))</f>
        <v>0</v>
      </c>
      <c r="AS147" s="0" t="str">
        <f aca="false">IF(C147="","",IFERROR(INDEX(CLIENTES!$H$6:$H$305,MATCH(C147,CLIENTES!$A$6:$A$305,0)),""))</f>
        <v/>
      </c>
      <c r="AT147" s="0" t="str">
        <f aca="false">IF(AND(LEFT(P147,5)="AVISO",T147&lt;&gt;"Presentado",ISNUMBER(Q147)),Q147,"")</f>
        <v/>
      </c>
      <c r="AU147" s="27" t="n">
        <f aca="false">IF(AND(D147="XVI - Activos virtuales (PSAV): operación de intercambio/transferencia",M147="Sí",ISNUMBER(AE147)),IF(AK147&gt;=AE147,1,0),0)</f>
        <v>0</v>
      </c>
      <c r="AV147" s="30" t="n">
        <f aca="false">IF(NOT(ISNUMBER(B147)),CONFIG!$B$4,IFERROR(INDEX(CONFIG!$I$5:$I$14,MATCH(IF(MONTH(B147)=1,YEAR(B147)-1,YEAR(B147)),CONFIG!$H$5:$H$14,0)),CONFIG!$B$4))</f>
        <v>117.31</v>
      </c>
      <c r="AW147" s="27" t="n">
        <f aca="false">IF(AND(LEFT(D147,4)="I - ",ISNUMBER(B147),C147&lt;&gt;""),SUMIFS($E$6:$E$505,$C$6:$C$505,C147,$D$6:$D$505,D147,$B$6:$B$505,"&gt;"&amp;(B147-1),$B$6:$B$505,"&lt;="&amp;B147),0)</f>
        <v>0</v>
      </c>
      <c r="AX147" s="0" t="str">
        <f aca="false">IF(E147="","",IF(AD147="Siempre","AVISO (siempre)",IF(AD147="No aplica","Sin Aviso (sólo preparas: Ley 17 XI)",IF(NOT(ISNUMBER(AE147)),"",IF(AA147&lt;&gt;"ACUMULA",IF(E147&gt;=AE147,IF(AND(D147="XVI - Activos virtuales (PSAV): cobro de contraprestación (comisión) por el servicio",COUNTIFS($C$6:$C$505,C147,$B$6:$B$505,"&gt;="&amp;INT(B147),$B$6:$B$505,"&lt;"&amp;(INT(B147)+1),$AU$6:$AU$505,1)&gt;0),"En el Aviso del inciso a) (R 31 Bis)","AVISO"),"—"),IF(M147&lt;&gt;"Sí","—",IF(AK147&gt;=AE147,IF(AK147=E147,"AVISO","AVISO (acumulado)"),"Acumulando")))))))</f>
        <v/>
      </c>
    </row>
    <row r="148" customFormat="false" ht="15" hidden="false" customHeight="false" outlineLevel="0" collapsed="false">
      <c r="A148" s="9" t="str">
        <f aca="false">IF(E148="","",ROW()-5)</f>
        <v/>
      </c>
      <c r="B148" s="20"/>
      <c r="C148" s="21"/>
      <c r="D148" s="21"/>
      <c r="E148" s="22"/>
      <c r="F148" s="22"/>
      <c r="G148" s="21"/>
      <c r="H148" s="21"/>
      <c r="I148" s="9" t="str">
        <f aca="false">IF(C148="","",IFERROR(INDEX(CLIENTES!$B$6:$B$305,MATCH(C148,CLIENTES!$A$6:$A$305,0)),"⚠ ID no registrado"))</f>
        <v/>
      </c>
      <c r="J148" s="9" t="str">
        <f aca="false">IF(C148="","",IFERROR(INDEX(CLIENTES!$Z$6:$Z$305,MATCH(C148,CLIENTES!$A$6:$A$305,0)),""))</f>
        <v/>
      </c>
      <c r="K148" s="9" t="str">
        <f aca="false">IF(E148="","",IF(AB148="Siempre","Sí",IF(ISNUMBER(AC148),IF(E148&gt;=AC148,"Sí",IF(AW148&gt;=AC148,"Sí (serie 24 h)","No")),"")))</f>
        <v/>
      </c>
      <c r="L148" s="9" t="str">
        <f aca="false">IF(E148="","",AA148)</f>
        <v/>
      </c>
      <c r="M148" s="9" t="str">
        <f aca="false">IF(E148="","",IF(AA148&lt;&gt;"ACUMULA","No aplica",IF(LEFT(K148,2)="Sí","Sí","No")))</f>
        <v/>
      </c>
      <c r="N148" s="23" t="str">
        <f aca="false">IF(M148="Sí",AJ148,"")</f>
        <v/>
      </c>
      <c r="O148" s="24" t="str">
        <f aca="false">IF(M148="Sí",AK148,"")</f>
        <v/>
      </c>
      <c r="P148" s="25" t="str">
        <f aca="false">IF(AND(LEFT(D148,6)="XIV - ",LEFT(AX148,5)="AVISO"),"Pedimento (R 16): no va al SPPLD",AX148)</f>
        <v/>
      </c>
      <c r="Q148" s="23" t="str">
        <f aca="false">IF(LEFT(P148,5)="AVISO",IF(ISNUMBER(B148),DATE(YEAR(B148),MONTH(B148)+1,17),"Falta fecha"),"")</f>
        <v/>
      </c>
      <c r="R148" s="9" t="str">
        <f aca="false">IF(OR(F148="",F148=0),"",IF(ISNUMBER(AG148),IF(F148&gt;=AG148,"PROHIBIDO","Dentro del límite"),"No aplica"))</f>
        <v/>
      </c>
      <c r="S148" s="26" t="str">
        <f aca="false">IF(E148="","",MID(IF(AQ148=1," · Excede el perfil declarado","")&amp;IF(H148="Sí"," · Paga un tercero","")&amp;IF(J148="Alto"," · Cliente de riesgo alto: DDR (RCG 23 Ter 3 y 4)","")&amp;IF(AND(AS148&lt;&gt;"",AS148&lt;&gt;"No",AS148&lt;&gt;0)," · PEP","")&amp;IF(R148="PROHIBIDO"," · Efectivo prohibido: no lo recibas (Art. 32)","")&amp;IF(AR148=1," · ⚠ Fecha fuera de orden","")&amp;IF(LEFT(I148,1)="⚠"," · ⚠ Cliente no registrado","")&amp;IF(D148=""," · ⚠ Falta la actividad","")&amp;IF(AND(LEFT(P148,5)="AVISO",W148="")," · Captura la cifra total con IVA para el Aviso","")&amp;IF(AND(ISNUMBER(W148),W148&lt;E148)," · ⚠ La cifra con IVA es menor que el monto sin IVA",""),4,400))</f>
        <v/>
      </c>
      <c r="T148" s="21"/>
      <c r="U148" s="20"/>
      <c r="V148" s="9" t="str">
        <f aca="false">IF(LEFT(P148,5)&lt;&gt;"AVISO","",IF(T148="Presentado",IF(AND(ISNUMBER(U148),ISNUMBER(Q148),U148&gt;Q148),"Presentado tarde","Presentado"),IF(NOT(ISNUMBER(Q148)),"Falta fecha",IF(Q148&lt;CONFIG!$B$6,"VENCIDO","Vence en "&amp;(Q148-CONFIG!$B$6)&amp;" días"))))</f>
        <v/>
      </c>
      <c r="W148" s="22"/>
      <c r="X148" s="21"/>
      <c r="AA148" s="0" t="str">
        <f aca="false">IF(AM148="","",INDEX(CATÁLOGO!$D$5:$D$39,AM148))</f>
        <v/>
      </c>
      <c r="AB148" s="0" t="str">
        <f aca="false">IF(AM148="","",INDEX(CATÁLOGO!$E$5:$E$39,AM148))</f>
        <v/>
      </c>
      <c r="AC148" s="0" t="str">
        <f aca="false">IF(AB148="","",IF(ISNUMBER(AB148),AB148*AV148,AB148))</f>
        <v/>
      </c>
      <c r="AD148" s="0" t="str">
        <f aca="false">IF(AM148="","",INDEX(CATÁLOGO!$F$5:$F$39,AM148))</f>
        <v/>
      </c>
      <c r="AE148" s="0" t="str">
        <f aca="false">IF(AD148="","",IF(ISNUMBER(AD148),AD148*AV148,AD148))</f>
        <v/>
      </c>
      <c r="AF148" s="0" t="str">
        <f aca="false">IF(AM148="","",INDEX(CATÁLOGO!$G$5:$G$39,AM148))</f>
        <v/>
      </c>
      <c r="AG148" s="0" t="str">
        <f aca="false">IF(AF148="","",IF(ISNUMBER(AF148),AF148*AV148,AF148))</f>
        <v/>
      </c>
      <c r="AH148" s="0" t="str">
        <f aca="false">IF(E148="","",C148&amp;"|"&amp;D148)</f>
        <v/>
      </c>
      <c r="AI148" s="27" t="n">
        <f aca="false">IF(M148&lt;&gt;"Sí",0,SUMPRODUCT(MAX(($AH$5:AH147=AH148)*($M$5:M147="Sí")*ROW($AH$5:AH147))))</f>
        <v>0</v>
      </c>
      <c r="AJ148" s="0" t="str">
        <f aca="false">IF(M148&lt;&gt;"Sí","",IF(AL148=1,B148,INDEX($AJ:$AJ,AI148)))</f>
        <v/>
      </c>
      <c r="AK148" s="0" t="str">
        <f aca="false">IF(M148&lt;&gt;"Sí","",IF(AL148=1,E148,INDEX($AK:$AK,AI148)+E148))</f>
        <v/>
      </c>
      <c r="AL148" s="0" t="str">
        <f aca="false">IF(M148&lt;&gt;"Sí","",IF(AI148=0,1,IF(INDEX($AN:$AN,AI148)=0,1,IF(B148&gt;=EDATE(INDEX($AJ:$AJ,AI148),6),1,0))))</f>
        <v/>
      </c>
      <c r="AM148" s="0" t="str">
        <f aca="false">IF(D148="","",IFERROR(MATCH(D148,CATÁLOGO!$C$5:$C$39,0),""))</f>
        <v/>
      </c>
      <c r="AN148" s="0" t="str">
        <f aca="false">IF(M148&lt;&gt;"Sí","",IF(AND(ISNUMBER(AE148),AK148&gt;=AE148),0,1))</f>
        <v/>
      </c>
      <c r="AO148" s="0" t="str">
        <f aca="false">IF(OR(E148="",C148="",NOT(ISNUMBER(B148))),"",SUMIFS($E$6:$E$505,$C$6:$C$505,C148,$B$6:$B$505,"&gt;="&amp;DATE(YEAR(B148),MONTH(B148),1),$B$6:$B$505,"&lt;"&amp;DATE(YEAR(B148),MONTH(B148)+1,1)))</f>
        <v/>
      </c>
      <c r="AP148" s="0" t="str">
        <f aca="false">IF(C148="","",IFERROR(INDEX(CLIENTES!$M$6:$M$305,MATCH(C148,CLIENTES!$A$6:$A$305,0)),""))</f>
        <v/>
      </c>
      <c r="AQ148" s="27" t="n">
        <f aca="false">IF(AND(ISNUMBER(AO148),ISNUMBER(AP148)),IF(AND(AP148&gt;0,AO148&gt;AP148),1,0),0)</f>
        <v>0</v>
      </c>
      <c r="AR148" s="27" t="n">
        <f aca="false">IF(NOT(ISNUMBER(B148)),0,IF(B148&lt;MAX($B$5:B147),1,0))</f>
        <v>0</v>
      </c>
      <c r="AS148" s="0" t="str">
        <f aca="false">IF(C148="","",IFERROR(INDEX(CLIENTES!$H$6:$H$305,MATCH(C148,CLIENTES!$A$6:$A$305,0)),""))</f>
        <v/>
      </c>
      <c r="AT148" s="0" t="str">
        <f aca="false">IF(AND(LEFT(P148,5)="AVISO",T148&lt;&gt;"Presentado",ISNUMBER(Q148)),Q148,"")</f>
        <v/>
      </c>
      <c r="AU148" s="27" t="n">
        <f aca="false">IF(AND(D148="XVI - Activos virtuales (PSAV): operación de intercambio/transferencia",M148="Sí",ISNUMBER(AE148)),IF(AK148&gt;=AE148,1,0),0)</f>
        <v>0</v>
      </c>
      <c r="AV148" s="30" t="n">
        <f aca="false">IF(NOT(ISNUMBER(B148)),CONFIG!$B$4,IFERROR(INDEX(CONFIG!$I$5:$I$14,MATCH(IF(MONTH(B148)=1,YEAR(B148)-1,YEAR(B148)),CONFIG!$H$5:$H$14,0)),CONFIG!$B$4))</f>
        <v>117.31</v>
      </c>
      <c r="AW148" s="27" t="n">
        <f aca="false">IF(AND(LEFT(D148,4)="I - ",ISNUMBER(B148),C148&lt;&gt;""),SUMIFS($E$6:$E$505,$C$6:$C$505,C148,$D$6:$D$505,D148,$B$6:$B$505,"&gt;"&amp;(B148-1),$B$6:$B$505,"&lt;="&amp;B148),0)</f>
        <v>0</v>
      </c>
      <c r="AX148" s="0" t="str">
        <f aca="false">IF(E148="","",IF(AD148="Siempre","AVISO (siempre)",IF(AD148="No aplica","Sin Aviso (sólo preparas: Ley 17 XI)",IF(NOT(ISNUMBER(AE148)),"",IF(AA148&lt;&gt;"ACUMULA",IF(E148&gt;=AE148,IF(AND(D148="XVI - Activos virtuales (PSAV): cobro de contraprestación (comisión) por el servicio",COUNTIFS($C$6:$C$505,C148,$B$6:$B$505,"&gt;="&amp;INT(B148),$B$6:$B$505,"&lt;"&amp;(INT(B148)+1),$AU$6:$AU$505,1)&gt;0),"En el Aviso del inciso a) (R 31 Bis)","AVISO"),"—"),IF(M148&lt;&gt;"Sí","—",IF(AK148&gt;=AE148,IF(AK148=E148,"AVISO","AVISO (acumulado)"),"Acumulando")))))))</f>
        <v/>
      </c>
    </row>
    <row r="149" customFormat="false" ht="15" hidden="false" customHeight="false" outlineLevel="0" collapsed="false">
      <c r="A149" s="9" t="str">
        <f aca="false">IF(E149="","",ROW()-5)</f>
        <v/>
      </c>
      <c r="B149" s="20"/>
      <c r="C149" s="21"/>
      <c r="D149" s="21"/>
      <c r="E149" s="22"/>
      <c r="F149" s="22"/>
      <c r="G149" s="21"/>
      <c r="H149" s="21"/>
      <c r="I149" s="9" t="str">
        <f aca="false">IF(C149="","",IFERROR(INDEX(CLIENTES!$B$6:$B$305,MATCH(C149,CLIENTES!$A$6:$A$305,0)),"⚠ ID no registrado"))</f>
        <v/>
      </c>
      <c r="J149" s="9" t="str">
        <f aca="false">IF(C149="","",IFERROR(INDEX(CLIENTES!$Z$6:$Z$305,MATCH(C149,CLIENTES!$A$6:$A$305,0)),""))</f>
        <v/>
      </c>
      <c r="K149" s="9" t="str">
        <f aca="false">IF(E149="","",IF(AB149="Siempre","Sí",IF(ISNUMBER(AC149),IF(E149&gt;=AC149,"Sí",IF(AW149&gt;=AC149,"Sí (serie 24 h)","No")),"")))</f>
        <v/>
      </c>
      <c r="L149" s="9" t="str">
        <f aca="false">IF(E149="","",AA149)</f>
        <v/>
      </c>
      <c r="M149" s="9" t="str">
        <f aca="false">IF(E149="","",IF(AA149&lt;&gt;"ACUMULA","No aplica",IF(LEFT(K149,2)="Sí","Sí","No")))</f>
        <v/>
      </c>
      <c r="N149" s="23" t="str">
        <f aca="false">IF(M149="Sí",AJ149,"")</f>
        <v/>
      </c>
      <c r="O149" s="24" t="str">
        <f aca="false">IF(M149="Sí",AK149,"")</f>
        <v/>
      </c>
      <c r="P149" s="25" t="str">
        <f aca="false">IF(AND(LEFT(D149,6)="XIV - ",LEFT(AX149,5)="AVISO"),"Pedimento (R 16): no va al SPPLD",AX149)</f>
        <v/>
      </c>
      <c r="Q149" s="23" t="str">
        <f aca="false">IF(LEFT(P149,5)="AVISO",IF(ISNUMBER(B149),DATE(YEAR(B149),MONTH(B149)+1,17),"Falta fecha"),"")</f>
        <v/>
      </c>
      <c r="R149" s="9" t="str">
        <f aca="false">IF(OR(F149="",F149=0),"",IF(ISNUMBER(AG149),IF(F149&gt;=AG149,"PROHIBIDO","Dentro del límite"),"No aplica"))</f>
        <v/>
      </c>
      <c r="S149" s="26" t="str">
        <f aca="false">IF(E149="","",MID(IF(AQ149=1," · Excede el perfil declarado","")&amp;IF(H149="Sí"," · Paga un tercero","")&amp;IF(J149="Alto"," · Cliente de riesgo alto: DDR (RCG 23 Ter 3 y 4)","")&amp;IF(AND(AS149&lt;&gt;"",AS149&lt;&gt;"No",AS149&lt;&gt;0)," · PEP","")&amp;IF(R149="PROHIBIDO"," · Efectivo prohibido: no lo recibas (Art. 32)","")&amp;IF(AR149=1," · ⚠ Fecha fuera de orden","")&amp;IF(LEFT(I149,1)="⚠"," · ⚠ Cliente no registrado","")&amp;IF(D149=""," · ⚠ Falta la actividad","")&amp;IF(AND(LEFT(P149,5)="AVISO",W149="")," · Captura la cifra total con IVA para el Aviso","")&amp;IF(AND(ISNUMBER(W149),W149&lt;E149)," · ⚠ La cifra con IVA es menor que el monto sin IVA",""),4,400))</f>
        <v/>
      </c>
      <c r="T149" s="21"/>
      <c r="U149" s="20"/>
      <c r="V149" s="9" t="str">
        <f aca="false">IF(LEFT(P149,5)&lt;&gt;"AVISO","",IF(T149="Presentado",IF(AND(ISNUMBER(U149),ISNUMBER(Q149),U149&gt;Q149),"Presentado tarde","Presentado"),IF(NOT(ISNUMBER(Q149)),"Falta fecha",IF(Q149&lt;CONFIG!$B$6,"VENCIDO","Vence en "&amp;(Q149-CONFIG!$B$6)&amp;" días"))))</f>
        <v/>
      </c>
      <c r="W149" s="22"/>
      <c r="X149" s="21"/>
      <c r="AA149" s="0" t="str">
        <f aca="false">IF(AM149="","",INDEX(CATÁLOGO!$D$5:$D$39,AM149))</f>
        <v/>
      </c>
      <c r="AB149" s="0" t="str">
        <f aca="false">IF(AM149="","",INDEX(CATÁLOGO!$E$5:$E$39,AM149))</f>
        <v/>
      </c>
      <c r="AC149" s="0" t="str">
        <f aca="false">IF(AB149="","",IF(ISNUMBER(AB149),AB149*AV149,AB149))</f>
        <v/>
      </c>
      <c r="AD149" s="0" t="str">
        <f aca="false">IF(AM149="","",INDEX(CATÁLOGO!$F$5:$F$39,AM149))</f>
        <v/>
      </c>
      <c r="AE149" s="0" t="str">
        <f aca="false">IF(AD149="","",IF(ISNUMBER(AD149),AD149*AV149,AD149))</f>
        <v/>
      </c>
      <c r="AF149" s="0" t="str">
        <f aca="false">IF(AM149="","",INDEX(CATÁLOGO!$G$5:$G$39,AM149))</f>
        <v/>
      </c>
      <c r="AG149" s="0" t="str">
        <f aca="false">IF(AF149="","",IF(ISNUMBER(AF149),AF149*AV149,AF149))</f>
        <v/>
      </c>
      <c r="AH149" s="0" t="str">
        <f aca="false">IF(E149="","",C149&amp;"|"&amp;D149)</f>
        <v/>
      </c>
      <c r="AI149" s="27" t="n">
        <f aca="false">IF(M149&lt;&gt;"Sí",0,SUMPRODUCT(MAX(($AH$5:AH148=AH149)*($M$5:M148="Sí")*ROW($AH$5:AH148))))</f>
        <v>0</v>
      </c>
      <c r="AJ149" s="0" t="str">
        <f aca="false">IF(M149&lt;&gt;"Sí","",IF(AL149=1,B149,INDEX($AJ:$AJ,AI149)))</f>
        <v/>
      </c>
      <c r="AK149" s="0" t="str">
        <f aca="false">IF(M149&lt;&gt;"Sí","",IF(AL149=1,E149,INDEX($AK:$AK,AI149)+E149))</f>
        <v/>
      </c>
      <c r="AL149" s="0" t="str">
        <f aca="false">IF(M149&lt;&gt;"Sí","",IF(AI149=0,1,IF(INDEX($AN:$AN,AI149)=0,1,IF(B149&gt;=EDATE(INDEX($AJ:$AJ,AI149),6),1,0))))</f>
        <v/>
      </c>
      <c r="AM149" s="0" t="str">
        <f aca="false">IF(D149="","",IFERROR(MATCH(D149,CATÁLOGO!$C$5:$C$39,0),""))</f>
        <v/>
      </c>
      <c r="AN149" s="0" t="str">
        <f aca="false">IF(M149&lt;&gt;"Sí","",IF(AND(ISNUMBER(AE149),AK149&gt;=AE149),0,1))</f>
        <v/>
      </c>
      <c r="AO149" s="0" t="str">
        <f aca="false">IF(OR(E149="",C149="",NOT(ISNUMBER(B149))),"",SUMIFS($E$6:$E$505,$C$6:$C$505,C149,$B$6:$B$505,"&gt;="&amp;DATE(YEAR(B149),MONTH(B149),1),$B$6:$B$505,"&lt;"&amp;DATE(YEAR(B149),MONTH(B149)+1,1)))</f>
        <v/>
      </c>
      <c r="AP149" s="0" t="str">
        <f aca="false">IF(C149="","",IFERROR(INDEX(CLIENTES!$M$6:$M$305,MATCH(C149,CLIENTES!$A$6:$A$305,0)),""))</f>
        <v/>
      </c>
      <c r="AQ149" s="27" t="n">
        <f aca="false">IF(AND(ISNUMBER(AO149),ISNUMBER(AP149)),IF(AND(AP149&gt;0,AO149&gt;AP149),1,0),0)</f>
        <v>0</v>
      </c>
      <c r="AR149" s="27" t="n">
        <f aca="false">IF(NOT(ISNUMBER(B149)),0,IF(B149&lt;MAX($B$5:B148),1,0))</f>
        <v>0</v>
      </c>
      <c r="AS149" s="0" t="str">
        <f aca="false">IF(C149="","",IFERROR(INDEX(CLIENTES!$H$6:$H$305,MATCH(C149,CLIENTES!$A$6:$A$305,0)),""))</f>
        <v/>
      </c>
      <c r="AT149" s="0" t="str">
        <f aca="false">IF(AND(LEFT(P149,5)="AVISO",T149&lt;&gt;"Presentado",ISNUMBER(Q149)),Q149,"")</f>
        <v/>
      </c>
      <c r="AU149" s="27" t="n">
        <f aca="false">IF(AND(D149="XVI - Activos virtuales (PSAV): operación de intercambio/transferencia",M149="Sí",ISNUMBER(AE149)),IF(AK149&gt;=AE149,1,0),0)</f>
        <v>0</v>
      </c>
      <c r="AV149" s="30" t="n">
        <f aca="false">IF(NOT(ISNUMBER(B149)),CONFIG!$B$4,IFERROR(INDEX(CONFIG!$I$5:$I$14,MATCH(IF(MONTH(B149)=1,YEAR(B149)-1,YEAR(B149)),CONFIG!$H$5:$H$14,0)),CONFIG!$B$4))</f>
        <v>117.31</v>
      </c>
      <c r="AW149" s="27" t="n">
        <f aca="false">IF(AND(LEFT(D149,4)="I - ",ISNUMBER(B149),C149&lt;&gt;""),SUMIFS($E$6:$E$505,$C$6:$C$505,C149,$D$6:$D$505,D149,$B$6:$B$505,"&gt;"&amp;(B149-1),$B$6:$B$505,"&lt;="&amp;B149),0)</f>
        <v>0</v>
      </c>
      <c r="AX149" s="0" t="str">
        <f aca="false">IF(E149="","",IF(AD149="Siempre","AVISO (siempre)",IF(AD149="No aplica","Sin Aviso (sólo preparas: Ley 17 XI)",IF(NOT(ISNUMBER(AE149)),"",IF(AA149&lt;&gt;"ACUMULA",IF(E149&gt;=AE149,IF(AND(D149="XVI - Activos virtuales (PSAV): cobro de contraprestación (comisión) por el servicio",COUNTIFS($C$6:$C$505,C149,$B$6:$B$505,"&gt;="&amp;INT(B149),$B$6:$B$505,"&lt;"&amp;(INT(B149)+1),$AU$6:$AU$505,1)&gt;0),"En el Aviso del inciso a) (R 31 Bis)","AVISO"),"—"),IF(M149&lt;&gt;"Sí","—",IF(AK149&gt;=AE149,IF(AK149=E149,"AVISO","AVISO (acumulado)"),"Acumulando")))))))</f>
        <v/>
      </c>
    </row>
    <row r="150" customFormat="false" ht="15" hidden="false" customHeight="false" outlineLevel="0" collapsed="false">
      <c r="A150" s="9" t="str">
        <f aca="false">IF(E150="","",ROW()-5)</f>
        <v/>
      </c>
      <c r="B150" s="20"/>
      <c r="C150" s="21"/>
      <c r="D150" s="21"/>
      <c r="E150" s="22"/>
      <c r="F150" s="22"/>
      <c r="G150" s="21"/>
      <c r="H150" s="21"/>
      <c r="I150" s="9" t="str">
        <f aca="false">IF(C150="","",IFERROR(INDEX(CLIENTES!$B$6:$B$305,MATCH(C150,CLIENTES!$A$6:$A$305,0)),"⚠ ID no registrado"))</f>
        <v/>
      </c>
      <c r="J150" s="9" t="str">
        <f aca="false">IF(C150="","",IFERROR(INDEX(CLIENTES!$Z$6:$Z$305,MATCH(C150,CLIENTES!$A$6:$A$305,0)),""))</f>
        <v/>
      </c>
      <c r="K150" s="9" t="str">
        <f aca="false">IF(E150="","",IF(AB150="Siempre","Sí",IF(ISNUMBER(AC150),IF(E150&gt;=AC150,"Sí",IF(AW150&gt;=AC150,"Sí (serie 24 h)","No")),"")))</f>
        <v/>
      </c>
      <c r="L150" s="9" t="str">
        <f aca="false">IF(E150="","",AA150)</f>
        <v/>
      </c>
      <c r="M150" s="9" t="str">
        <f aca="false">IF(E150="","",IF(AA150&lt;&gt;"ACUMULA","No aplica",IF(LEFT(K150,2)="Sí","Sí","No")))</f>
        <v/>
      </c>
      <c r="N150" s="23" t="str">
        <f aca="false">IF(M150="Sí",AJ150,"")</f>
        <v/>
      </c>
      <c r="O150" s="24" t="str">
        <f aca="false">IF(M150="Sí",AK150,"")</f>
        <v/>
      </c>
      <c r="P150" s="25" t="str">
        <f aca="false">IF(AND(LEFT(D150,6)="XIV - ",LEFT(AX150,5)="AVISO"),"Pedimento (R 16): no va al SPPLD",AX150)</f>
        <v/>
      </c>
      <c r="Q150" s="23" t="str">
        <f aca="false">IF(LEFT(P150,5)="AVISO",IF(ISNUMBER(B150),DATE(YEAR(B150),MONTH(B150)+1,17),"Falta fecha"),"")</f>
        <v/>
      </c>
      <c r="R150" s="9" t="str">
        <f aca="false">IF(OR(F150="",F150=0),"",IF(ISNUMBER(AG150),IF(F150&gt;=AG150,"PROHIBIDO","Dentro del límite"),"No aplica"))</f>
        <v/>
      </c>
      <c r="S150" s="26" t="str">
        <f aca="false">IF(E150="","",MID(IF(AQ150=1," · Excede el perfil declarado","")&amp;IF(H150="Sí"," · Paga un tercero","")&amp;IF(J150="Alto"," · Cliente de riesgo alto: DDR (RCG 23 Ter 3 y 4)","")&amp;IF(AND(AS150&lt;&gt;"",AS150&lt;&gt;"No",AS150&lt;&gt;0)," · PEP","")&amp;IF(R150="PROHIBIDO"," · Efectivo prohibido: no lo recibas (Art. 32)","")&amp;IF(AR150=1," · ⚠ Fecha fuera de orden","")&amp;IF(LEFT(I150,1)="⚠"," · ⚠ Cliente no registrado","")&amp;IF(D150=""," · ⚠ Falta la actividad","")&amp;IF(AND(LEFT(P150,5)="AVISO",W150="")," · Captura la cifra total con IVA para el Aviso","")&amp;IF(AND(ISNUMBER(W150),W150&lt;E150)," · ⚠ La cifra con IVA es menor que el monto sin IVA",""),4,400))</f>
        <v/>
      </c>
      <c r="T150" s="21"/>
      <c r="U150" s="20"/>
      <c r="V150" s="9" t="str">
        <f aca="false">IF(LEFT(P150,5)&lt;&gt;"AVISO","",IF(T150="Presentado",IF(AND(ISNUMBER(U150),ISNUMBER(Q150),U150&gt;Q150),"Presentado tarde","Presentado"),IF(NOT(ISNUMBER(Q150)),"Falta fecha",IF(Q150&lt;CONFIG!$B$6,"VENCIDO","Vence en "&amp;(Q150-CONFIG!$B$6)&amp;" días"))))</f>
        <v/>
      </c>
      <c r="W150" s="22"/>
      <c r="X150" s="21"/>
      <c r="AA150" s="0" t="str">
        <f aca="false">IF(AM150="","",INDEX(CATÁLOGO!$D$5:$D$39,AM150))</f>
        <v/>
      </c>
      <c r="AB150" s="0" t="str">
        <f aca="false">IF(AM150="","",INDEX(CATÁLOGO!$E$5:$E$39,AM150))</f>
        <v/>
      </c>
      <c r="AC150" s="0" t="str">
        <f aca="false">IF(AB150="","",IF(ISNUMBER(AB150),AB150*AV150,AB150))</f>
        <v/>
      </c>
      <c r="AD150" s="0" t="str">
        <f aca="false">IF(AM150="","",INDEX(CATÁLOGO!$F$5:$F$39,AM150))</f>
        <v/>
      </c>
      <c r="AE150" s="0" t="str">
        <f aca="false">IF(AD150="","",IF(ISNUMBER(AD150),AD150*AV150,AD150))</f>
        <v/>
      </c>
      <c r="AF150" s="0" t="str">
        <f aca="false">IF(AM150="","",INDEX(CATÁLOGO!$G$5:$G$39,AM150))</f>
        <v/>
      </c>
      <c r="AG150" s="0" t="str">
        <f aca="false">IF(AF150="","",IF(ISNUMBER(AF150),AF150*AV150,AF150))</f>
        <v/>
      </c>
      <c r="AH150" s="0" t="str">
        <f aca="false">IF(E150="","",C150&amp;"|"&amp;D150)</f>
        <v/>
      </c>
      <c r="AI150" s="27" t="n">
        <f aca="false">IF(M150&lt;&gt;"Sí",0,SUMPRODUCT(MAX(($AH$5:AH149=AH150)*($M$5:M149="Sí")*ROW($AH$5:AH149))))</f>
        <v>0</v>
      </c>
      <c r="AJ150" s="0" t="str">
        <f aca="false">IF(M150&lt;&gt;"Sí","",IF(AL150=1,B150,INDEX($AJ:$AJ,AI150)))</f>
        <v/>
      </c>
      <c r="AK150" s="0" t="str">
        <f aca="false">IF(M150&lt;&gt;"Sí","",IF(AL150=1,E150,INDEX($AK:$AK,AI150)+E150))</f>
        <v/>
      </c>
      <c r="AL150" s="0" t="str">
        <f aca="false">IF(M150&lt;&gt;"Sí","",IF(AI150=0,1,IF(INDEX($AN:$AN,AI150)=0,1,IF(B150&gt;=EDATE(INDEX($AJ:$AJ,AI150),6),1,0))))</f>
        <v/>
      </c>
      <c r="AM150" s="0" t="str">
        <f aca="false">IF(D150="","",IFERROR(MATCH(D150,CATÁLOGO!$C$5:$C$39,0),""))</f>
        <v/>
      </c>
      <c r="AN150" s="0" t="str">
        <f aca="false">IF(M150&lt;&gt;"Sí","",IF(AND(ISNUMBER(AE150),AK150&gt;=AE150),0,1))</f>
        <v/>
      </c>
      <c r="AO150" s="0" t="str">
        <f aca="false">IF(OR(E150="",C150="",NOT(ISNUMBER(B150))),"",SUMIFS($E$6:$E$505,$C$6:$C$505,C150,$B$6:$B$505,"&gt;="&amp;DATE(YEAR(B150),MONTH(B150),1),$B$6:$B$505,"&lt;"&amp;DATE(YEAR(B150),MONTH(B150)+1,1)))</f>
        <v/>
      </c>
      <c r="AP150" s="0" t="str">
        <f aca="false">IF(C150="","",IFERROR(INDEX(CLIENTES!$M$6:$M$305,MATCH(C150,CLIENTES!$A$6:$A$305,0)),""))</f>
        <v/>
      </c>
      <c r="AQ150" s="27" t="n">
        <f aca="false">IF(AND(ISNUMBER(AO150),ISNUMBER(AP150)),IF(AND(AP150&gt;0,AO150&gt;AP150),1,0),0)</f>
        <v>0</v>
      </c>
      <c r="AR150" s="27" t="n">
        <f aca="false">IF(NOT(ISNUMBER(B150)),0,IF(B150&lt;MAX($B$5:B149),1,0))</f>
        <v>0</v>
      </c>
      <c r="AS150" s="0" t="str">
        <f aca="false">IF(C150="","",IFERROR(INDEX(CLIENTES!$H$6:$H$305,MATCH(C150,CLIENTES!$A$6:$A$305,0)),""))</f>
        <v/>
      </c>
      <c r="AT150" s="0" t="str">
        <f aca="false">IF(AND(LEFT(P150,5)="AVISO",T150&lt;&gt;"Presentado",ISNUMBER(Q150)),Q150,"")</f>
        <v/>
      </c>
      <c r="AU150" s="27" t="n">
        <f aca="false">IF(AND(D150="XVI - Activos virtuales (PSAV): operación de intercambio/transferencia",M150="Sí",ISNUMBER(AE150)),IF(AK150&gt;=AE150,1,0),0)</f>
        <v>0</v>
      </c>
      <c r="AV150" s="30" t="n">
        <f aca="false">IF(NOT(ISNUMBER(B150)),CONFIG!$B$4,IFERROR(INDEX(CONFIG!$I$5:$I$14,MATCH(IF(MONTH(B150)=1,YEAR(B150)-1,YEAR(B150)),CONFIG!$H$5:$H$14,0)),CONFIG!$B$4))</f>
        <v>117.31</v>
      </c>
      <c r="AW150" s="27" t="n">
        <f aca="false">IF(AND(LEFT(D150,4)="I - ",ISNUMBER(B150),C150&lt;&gt;""),SUMIFS($E$6:$E$505,$C$6:$C$505,C150,$D$6:$D$505,D150,$B$6:$B$505,"&gt;"&amp;(B150-1),$B$6:$B$505,"&lt;="&amp;B150),0)</f>
        <v>0</v>
      </c>
      <c r="AX150" s="0" t="str">
        <f aca="false">IF(E150="","",IF(AD150="Siempre","AVISO (siempre)",IF(AD150="No aplica","Sin Aviso (sólo preparas: Ley 17 XI)",IF(NOT(ISNUMBER(AE150)),"",IF(AA150&lt;&gt;"ACUMULA",IF(E150&gt;=AE150,IF(AND(D150="XVI - Activos virtuales (PSAV): cobro de contraprestación (comisión) por el servicio",COUNTIFS($C$6:$C$505,C150,$B$6:$B$505,"&gt;="&amp;INT(B150),$B$6:$B$505,"&lt;"&amp;(INT(B150)+1),$AU$6:$AU$505,1)&gt;0),"En el Aviso del inciso a) (R 31 Bis)","AVISO"),"—"),IF(M150&lt;&gt;"Sí","—",IF(AK150&gt;=AE150,IF(AK150=E150,"AVISO","AVISO (acumulado)"),"Acumulando")))))))</f>
        <v/>
      </c>
    </row>
    <row r="151" customFormat="false" ht="15" hidden="false" customHeight="false" outlineLevel="0" collapsed="false">
      <c r="A151" s="9" t="str">
        <f aca="false">IF(E151="","",ROW()-5)</f>
        <v/>
      </c>
      <c r="B151" s="20"/>
      <c r="C151" s="21"/>
      <c r="D151" s="21"/>
      <c r="E151" s="22"/>
      <c r="F151" s="22"/>
      <c r="G151" s="21"/>
      <c r="H151" s="21"/>
      <c r="I151" s="9" t="str">
        <f aca="false">IF(C151="","",IFERROR(INDEX(CLIENTES!$B$6:$B$305,MATCH(C151,CLIENTES!$A$6:$A$305,0)),"⚠ ID no registrado"))</f>
        <v/>
      </c>
      <c r="J151" s="9" t="str">
        <f aca="false">IF(C151="","",IFERROR(INDEX(CLIENTES!$Z$6:$Z$305,MATCH(C151,CLIENTES!$A$6:$A$305,0)),""))</f>
        <v/>
      </c>
      <c r="K151" s="9" t="str">
        <f aca="false">IF(E151="","",IF(AB151="Siempre","Sí",IF(ISNUMBER(AC151),IF(E151&gt;=AC151,"Sí",IF(AW151&gt;=AC151,"Sí (serie 24 h)","No")),"")))</f>
        <v/>
      </c>
      <c r="L151" s="9" t="str">
        <f aca="false">IF(E151="","",AA151)</f>
        <v/>
      </c>
      <c r="M151" s="9" t="str">
        <f aca="false">IF(E151="","",IF(AA151&lt;&gt;"ACUMULA","No aplica",IF(LEFT(K151,2)="Sí","Sí","No")))</f>
        <v/>
      </c>
      <c r="N151" s="23" t="str">
        <f aca="false">IF(M151="Sí",AJ151,"")</f>
        <v/>
      </c>
      <c r="O151" s="24" t="str">
        <f aca="false">IF(M151="Sí",AK151,"")</f>
        <v/>
      </c>
      <c r="P151" s="25" t="str">
        <f aca="false">IF(AND(LEFT(D151,6)="XIV - ",LEFT(AX151,5)="AVISO"),"Pedimento (R 16): no va al SPPLD",AX151)</f>
        <v/>
      </c>
      <c r="Q151" s="23" t="str">
        <f aca="false">IF(LEFT(P151,5)="AVISO",IF(ISNUMBER(B151),DATE(YEAR(B151),MONTH(B151)+1,17),"Falta fecha"),"")</f>
        <v/>
      </c>
      <c r="R151" s="9" t="str">
        <f aca="false">IF(OR(F151="",F151=0),"",IF(ISNUMBER(AG151),IF(F151&gt;=AG151,"PROHIBIDO","Dentro del límite"),"No aplica"))</f>
        <v/>
      </c>
      <c r="S151" s="26" t="str">
        <f aca="false">IF(E151="","",MID(IF(AQ151=1," · Excede el perfil declarado","")&amp;IF(H151="Sí"," · Paga un tercero","")&amp;IF(J151="Alto"," · Cliente de riesgo alto: DDR (RCG 23 Ter 3 y 4)","")&amp;IF(AND(AS151&lt;&gt;"",AS151&lt;&gt;"No",AS151&lt;&gt;0)," · PEP","")&amp;IF(R151="PROHIBIDO"," · Efectivo prohibido: no lo recibas (Art. 32)","")&amp;IF(AR151=1," · ⚠ Fecha fuera de orden","")&amp;IF(LEFT(I151,1)="⚠"," · ⚠ Cliente no registrado","")&amp;IF(D151=""," · ⚠ Falta la actividad","")&amp;IF(AND(LEFT(P151,5)="AVISO",W151="")," · Captura la cifra total con IVA para el Aviso","")&amp;IF(AND(ISNUMBER(W151),W151&lt;E151)," · ⚠ La cifra con IVA es menor que el monto sin IVA",""),4,400))</f>
        <v/>
      </c>
      <c r="T151" s="21"/>
      <c r="U151" s="20"/>
      <c r="V151" s="9" t="str">
        <f aca="false">IF(LEFT(P151,5)&lt;&gt;"AVISO","",IF(T151="Presentado",IF(AND(ISNUMBER(U151),ISNUMBER(Q151),U151&gt;Q151),"Presentado tarde","Presentado"),IF(NOT(ISNUMBER(Q151)),"Falta fecha",IF(Q151&lt;CONFIG!$B$6,"VENCIDO","Vence en "&amp;(Q151-CONFIG!$B$6)&amp;" días"))))</f>
        <v/>
      </c>
      <c r="W151" s="22"/>
      <c r="X151" s="21"/>
      <c r="AA151" s="0" t="str">
        <f aca="false">IF(AM151="","",INDEX(CATÁLOGO!$D$5:$D$39,AM151))</f>
        <v/>
      </c>
      <c r="AB151" s="0" t="str">
        <f aca="false">IF(AM151="","",INDEX(CATÁLOGO!$E$5:$E$39,AM151))</f>
        <v/>
      </c>
      <c r="AC151" s="0" t="str">
        <f aca="false">IF(AB151="","",IF(ISNUMBER(AB151),AB151*AV151,AB151))</f>
        <v/>
      </c>
      <c r="AD151" s="0" t="str">
        <f aca="false">IF(AM151="","",INDEX(CATÁLOGO!$F$5:$F$39,AM151))</f>
        <v/>
      </c>
      <c r="AE151" s="0" t="str">
        <f aca="false">IF(AD151="","",IF(ISNUMBER(AD151),AD151*AV151,AD151))</f>
        <v/>
      </c>
      <c r="AF151" s="0" t="str">
        <f aca="false">IF(AM151="","",INDEX(CATÁLOGO!$G$5:$G$39,AM151))</f>
        <v/>
      </c>
      <c r="AG151" s="0" t="str">
        <f aca="false">IF(AF151="","",IF(ISNUMBER(AF151),AF151*AV151,AF151))</f>
        <v/>
      </c>
      <c r="AH151" s="0" t="str">
        <f aca="false">IF(E151="","",C151&amp;"|"&amp;D151)</f>
        <v/>
      </c>
      <c r="AI151" s="27" t="n">
        <f aca="false">IF(M151&lt;&gt;"Sí",0,SUMPRODUCT(MAX(($AH$5:AH150=AH151)*($M$5:M150="Sí")*ROW($AH$5:AH150))))</f>
        <v>0</v>
      </c>
      <c r="AJ151" s="0" t="str">
        <f aca="false">IF(M151&lt;&gt;"Sí","",IF(AL151=1,B151,INDEX($AJ:$AJ,AI151)))</f>
        <v/>
      </c>
      <c r="AK151" s="0" t="str">
        <f aca="false">IF(M151&lt;&gt;"Sí","",IF(AL151=1,E151,INDEX($AK:$AK,AI151)+E151))</f>
        <v/>
      </c>
      <c r="AL151" s="0" t="str">
        <f aca="false">IF(M151&lt;&gt;"Sí","",IF(AI151=0,1,IF(INDEX($AN:$AN,AI151)=0,1,IF(B151&gt;=EDATE(INDEX($AJ:$AJ,AI151),6),1,0))))</f>
        <v/>
      </c>
      <c r="AM151" s="0" t="str">
        <f aca="false">IF(D151="","",IFERROR(MATCH(D151,CATÁLOGO!$C$5:$C$39,0),""))</f>
        <v/>
      </c>
      <c r="AN151" s="0" t="str">
        <f aca="false">IF(M151&lt;&gt;"Sí","",IF(AND(ISNUMBER(AE151),AK151&gt;=AE151),0,1))</f>
        <v/>
      </c>
      <c r="AO151" s="0" t="str">
        <f aca="false">IF(OR(E151="",C151="",NOT(ISNUMBER(B151))),"",SUMIFS($E$6:$E$505,$C$6:$C$505,C151,$B$6:$B$505,"&gt;="&amp;DATE(YEAR(B151),MONTH(B151),1),$B$6:$B$505,"&lt;"&amp;DATE(YEAR(B151),MONTH(B151)+1,1)))</f>
        <v/>
      </c>
      <c r="AP151" s="0" t="str">
        <f aca="false">IF(C151="","",IFERROR(INDEX(CLIENTES!$M$6:$M$305,MATCH(C151,CLIENTES!$A$6:$A$305,0)),""))</f>
        <v/>
      </c>
      <c r="AQ151" s="27" t="n">
        <f aca="false">IF(AND(ISNUMBER(AO151),ISNUMBER(AP151)),IF(AND(AP151&gt;0,AO151&gt;AP151),1,0),0)</f>
        <v>0</v>
      </c>
      <c r="AR151" s="27" t="n">
        <f aca="false">IF(NOT(ISNUMBER(B151)),0,IF(B151&lt;MAX($B$5:B150),1,0))</f>
        <v>0</v>
      </c>
      <c r="AS151" s="0" t="str">
        <f aca="false">IF(C151="","",IFERROR(INDEX(CLIENTES!$H$6:$H$305,MATCH(C151,CLIENTES!$A$6:$A$305,0)),""))</f>
        <v/>
      </c>
      <c r="AT151" s="0" t="str">
        <f aca="false">IF(AND(LEFT(P151,5)="AVISO",T151&lt;&gt;"Presentado",ISNUMBER(Q151)),Q151,"")</f>
        <v/>
      </c>
      <c r="AU151" s="27" t="n">
        <f aca="false">IF(AND(D151="XVI - Activos virtuales (PSAV): operación de intercambio/transferencia",M151="Sí",ISNUMBER(AE151)),IF(AK151&gt;=AE151,1,0),0)</f>
        <v>0</v>
      </c>
      <c r="AV151" s="30" t="n">
        <f aca="false">IF(NOT(ISNUMBER(B151)),CONFIG!$B$4,IFERROR(INDEX(CONFIG!$I$5:$I$14,MATCH(IF(MONTH(B151)=1,YEAR(B151)-1,YEAR(B151)),CONFIG!$H$5:$H$14,0)),CONFIG!$B$4))</f>
        <v>117.31</v>
      </c>
      <c r="AW151" s="27" t="n">
        <f aca="false">IF(AND(LEFT(D151,4)="I - ",ISNUMBER(B151),C151&lt;&gt;""),SUMIFS($E$6:$E$505,$C$6:$C$505,C151,$D$6:$D$505,D151,$B$6:$B$505,"&gt;"&amp;(B151-1),$B$6:$B$505,"&lt;="&amp;B151),0)</f>
        <v>0</v>
      </c>
      <c r="AX151" s="0" t="str">
        <f aca="false">IF(E151="","",IF(AD151="Siempre","AVISO (siempre)",IF(AD151="No aplica","Sin Aviso (sólo preparas: Ley 17 XI)",IF(NOT(ISNUMBER(AE151)),"",IF(AA151&lt;&gt;"ACUMULA",IF(E151&gt;=AE151,IF(AND(D151="XVI - Activos virtuales (PSAV): cobro de contraprestación (comisión) por el servicio",COUNTIFS($C$6:$C$505,C151,$B$6:$B$505,"&gt;="&amp;INT(B151),$B$6:$B$505,"&lt;"&amp;(INT(B151)+1),$AU$6:$AU$505,1)&gt;0),"En el Aviso del inciso a) (R 31 Bis)","AVISO"),"—"),IF(M151&lt;&gt;"Sí","—",IF(AK151&gt;=AE151,IF(AK151=E151,"AVISO","AVISO (acumulado)"),"Acumulando")))))))</f>
        <v/>
      </c>
    </row>
    <row r="152" customFormat="false" ht="15" hidden="false" customHeight="false" outlineLevel="0" collapsed="false">
      <c r="A152" s="9" t="str">
        <f aca="false">IF(E152="","",ROW()-5)</f>
        <v/>
      </c>
      <c r="B152" s="20"/>
      <c r="C152" s="21"/>
      <c r="D152" s="21"/>
      <c r="E152" s="22"/>
      <c r="F152" s="22"/>
      <c r="G152" s="21"/>
      <c r="H152" s="21"/>
      <c r="I152" s="9" t="str">
        <f aca="false">IF(C152="","",IFERROR(INDEX(CLIENTES!$B$6:$B$305,MATCH(C152,CLIENTES!$A$6:$A$305,0)),"⚠ ID no registrado"))</f>
        <v/>
      </c>
      <c r="J152" s="9" t="str">
        <f aca="false">IF(C152="","",IFERROR(INDEX(CLIENTES!$Z$6:$Z$305,MATCH(C152,CLIENTES!$A$6:$A$305,0)),""))</f>
        <v/>
      </c>
      <c r="K152" s="9" t="str">
        <f aca="false">IF(E152="","",IF(AB152="Siempre","Sí",IF(ISNUMBER(AC152),IF(E152&gt;=AC152,"Sí",IF(AW152&gt;=AC152,"Sí (serie 24 h)","No")),"")))</f>
        <v/>
      </c>
      <c r="L152" s="9" t="str">
        <f aca="false">IF(E152="","",AA152)</f>
        <v/>
      </c>
      <c r="M152" s="9" t="str">
        <f aca="false">IF(E152="","",IF(AA152&lt;&gt;"ACUMULA","No aplica",IF(LEFT(K152,2)="Sí","Sí","No")))</f>
        <v/>
      </c>
      <c r="N152" s="23" t="str">
        <f aca="false">IF(M152="Sí",AJ152,"")</f>
        <v/>
      </c>
      <c r="O152" s="24" t="str">
        <f aca="false">IF(M152="Sí",AK152,"")</f>
        <v/>
      </c>
      <c r="P152" s="25" t="str">
        <f aca="false">IF(AND(LEFT(D152,6)="XIV - ",LEFT(AX152,5)="AVISO"),"Pedimento (R 16): no va al SPPLD",AX152)</f>
        <v/>
      </c>
      <c r="Q152" s="23" t="str">
        <f aca="false">IF(LEFT(P152,5)="AVISO",IF(ISNUMBER(B152),DATE(YEAR(B152),MONTH(B152)+1,17),"Falta fecha"),"")</f>
        <v/>
      </c>
      <c r="R152" s="9" t="str">
        <f aca="false">IF(OR(F152="",F152=0),"",IF(ISNUMBER(AG152),IF(F152&gt;=AG152,"PROHIBIDO","Dentro del límite"),"No aplica"))</f>
        <v/>
      </c>
      <c r="S152" s="26" t="str">
        <f aca="false">IF(E152="","",MID(IF(AQ152=1," · Excede el perfil declarado","")&amp;IF(H152="Sí"," · Paga un tercero","")&amp;IF(J152="Alto"," · Cliente de riesgo alto: DDR (RCG 23 Ter 3 y 4)","")&amp;IF(AND(AS152&lt;&gt;"",AS152&lt;&gt;"No",AS152&lt;&gt;0)," · PEP","")&amp;IF(R152="PROHIBIDO"," · Efectivo prohibido: no lo recibas (Art. 32)","")&amp;IF(AR152=1," · ⚠ Fecha fuera de orden","")&amp;IF(LEFT(I152,1)="⚠"," · ⚠ Cliente no registrado","")&amp;IF(D152=""," · ⚠ Falta la actividad","")&amp;IF(AND(LEFT(P152,5)="AVISO",W152="")," · Captura la cifra total con IVA para el Aviso","")&amp;IF(AND(ISNUMBER(W152),W152&lt;E152)," · ⚠ La cifra con IVA es menor que el monto sin IVA",""),4,400))</f>
        <v/>
      </c>
      <c r="T152" s="21"/>
      <c r="U152" s="20"/>
      <c r="V152" s="9" t="str">
        <f aca="false">IF(LEFT(P152,5)&lt;&gt;"AVISO","",IF(T152="Presentado",IF(AND(ISNUMBER(U152),ISNUMBER(Q152),U152&gt;Q152),"Presentado tarde","Presentado"),IF(NOT(ISNUMBER(Q152)),"Falta fecha",IF(Q152&lt;CONFIG!$B$6,"VENCIDO","Vence en "&amp;(Q152-CONFIG!$B$6)&amp;" días"))))</f>
        <v/>
      </c>
      <c r="W152" s="22"/>
      <c r="X152" s="21"/>
      <c r="AA152" s="0" t="str">
        <f aca="false">IF(AM152="","",INDEX(CATÁLOGO!$D$5:$D$39,AM152))</f>
        <v/>
      </c>
      <c r="AB152" s="0" t="str">
        <f aca="false">IF(AM152="","",INDEX(CATÁLOGO!$E$5:$E$39,AM152))</f>
        <v/>
      </c>
      <c r="AC152" s="0" t="str">
        <f aca="false">IF(AB152="","",IF(ISNUMBER(AB152),AB152*AV152,AB152))</f>
        <v/>
      </c>
      <c r="AD152" s="0" t="str">
        <f aca="false">IF(AM152="","",INDEX(CATÁLOGO!$F$5:$F$39,AM152))</f>
        <v/>
      </c>
      <c r="AE152" s="0" t="str">
        <f aca="false">IF(AD152="","",IF(ISNUMBER(AD152),AD152*AV152,AD152))</f>
        <v/>
      </c>
      <c r="AF152" s="0" t="str">
        <f aca="false">IF(AM152="","",INDEX(CATÁLOGO!$G$5:$G$39,AM152))</f>
        <v/>
      </c>
      <c r="AG152" s="0" t="str">
        <f aca="false">IF(AF152="","",IF(ISNUMBER(AF152),AF152*AV152,AF152))</f>
        <v/>
      </c>
      <c r="AH152" s="0" t="str">
        <f aca="false">IF(E152="","",C152&amp;"|"&amp;D152)</f>
        <v/>
      </c>
      <c r="AI152" s="27" t="n">
        <f aca="false">IF(M152&lt;&gt;"Sí",0,SUMPRODUCT(MAX(($AH$5:AH151=AH152)*($M$5:M151="Sí")*ROW($AH$5:AH151))))</f>
        <v>0</v>
      </c>
      <c r="AJ152" s="0" t="str">
        <f aca="false">IF(M152&lt;&gt;"Sí","",IF(AL152=1,B152,INDEX($AJ:$AJ,AI152)))</f>
        <v/>
      </c>
      <c r="AK152" s="0" t="str">
        <f aca="false">IF(M152&lt;&gt;"Sí","",IF(AL152=1,E152,INDEX($AK:$AK,AI152)+E152))</f>
        <v/>
      </c>
      <c r="AL152" s="0" t="str">
        <f aca="false">IF(M152&lt;&gt;"Sí","",IF(AI152=0,1,IF(INDEX($AN:$AN,AI152)=0,1,IF(B152&gt;=EDATE(INDEX($AJ:$AJ,AI152),6),1,0))))</f>
        <v/>
      </c>
      <c r="AM152" s="0" t="str">
        <f aca="false">IF(D152="","",IFERROR(MATCH(D152,CATÁLOGO!$C$5:$C$39,0),""))</f>
        <v/>
      </c>
      <c r="AN152" s="0" t="str">
        <f aca="false">IF(M152&lt;&gt;"Sí","",IF(AND(ISNUMBER(AE152),AK152&gt;=AE152),0,1))</f>
        <v/>
      </c>
      <c r="AO152" s="0" t="str">
        <f aca="false">IF(OR(E152="",C152="",NOT(ISNUMBER(B152))),"",SUMIFS($E$6:$E$505,$C$6:$C$505,C152,$B$6:$B$505,"&gt;="&amp;DATE(YEAR(B152),MONTH(B152),1),$B$6:$B$505,"&lt;"&amp;DATE(YEAR(B152),MONTH(B152)+1,1)))</f>
        <v/>
      </c>
      <c r="AP152" s="0" t="str">
        <f aca="false">IF(C152="","",IFERROR(INDEX(CLIENTES!$M$6:$M$305,MATCH(C152,CLIENTES!$A$6:$A$305,0)),""))</f>
        <v/>
      </c>
      <c r="AQ152" s="27" t="n">
        <f aca="false">IF(AND(ISNUMBER(AO152),ISNUMBER(AP152)),IF(AND(AP152&gt;0,AO152&gt;AP152),1,0),0)</f>
        <v>0</v>
      </c>
      <c r="AR152" s="27" t="n">
        <f aca="false">IF(NOT(ISNUMBER(B152)),0,IF(B152&lt;MAX($B$5:B151),1,0))</f>
        <v>0</v>
      </c>
      <c r="AS152" s="0" t="str">
        <f aca="false">IF(C152="","",IFERROR(INDEX(CLIENTES!$H$6:$H$305,MATCH(C152,CLIENTES!$A$6:$A$305,0)),""))</f>
        <v/>
      </c>
      <c r="AT152" s="0" t="str">
        <f aca="false">IF(AND(LEFT(P152,5)="AVISO",T152&lt;&gt;"Presentado",ISNUMBER(Q152)),Q152,"")</f>
        <v/>
      </c>
      <c r="AU152" s="27" t="n">
        <f aca="false">IF(AND(D152="XVI - Activos virtuales (PSAV): operación de intercambio/transferencia",M152="Sí",ISNUMBER(AE152)),IF(AK152&gt;=AE152,1,0),0)</f>
        <v>0</v>
      </c>
      <c r="AV152" s="30" t="n">
        <f aca="false">IF(NOT(ISNUMBER(B152)),CONFIG!$B$4,IFERROR(INDEX(CONFIG!$I$5:$I$14,MATCH(IF(MONTH(B152)=1,YEAR(B152)-1,YEAR(B152)),CONFIG!$H$5:$H$14,0)),CONFIG!$B$4))</f>
        <v>117.31</v>
      </c>
      <c r="AW152" s="27" t="n">
        <f aca="false">IF(AND(LEFT(D152,4)="I - ",ISNUMBER(B152),C152&lt;&gt;""),SUMIFS($E$6:$E$505,$C$6:$C$505,C152,$D$6:$D$505,D152,$B$6:$B$505,"&gt;"&amp;(B152-1),$B$6:$B$505,"&lt;="&amp;B152),0)</f>
        <v>0</v>
      </c>
      <c r="AX152" s="0" t="str">
        <f aca="false">IF(E152="","",IF(AD152="Siempre","AVISO (siempre)",IF(AD152="No aplica","Sin Aviso (sólo preparas: Ley 17 XI)",IF(NOT(ISNUMBER(AE152)),"",IF(AA152&lt;&gt;"ACUMULA",IF(E152&gt;=AE152,IF(AND(D152="XVI - Activos virtuales (PSAV): cobro de contraprestación (comisión) por el servicio",COUNTIFS($C$6:$C$505,C152,$B$6:$B$505,"&gt;="&amp;INT(B152),$B$6:$B$505,"&lt;"&amp;(INT(B152)+1),$AU$6:$AU$505,1)&gt;0),"En el Aviso del inciso a) (R 31 Bis)","AVISO"),"—"),IF(M152&lt;&gt;"Sí","—",IF(AK152&gt;=AE152,IF(AK152=E152,"AVISO","AVISO (acumulado)"),"Acumulando")))))))</f>
        <v/>
      </c>
    </row>
    <row r="153" customFormat="false" ht="15" hidden="false" customHeight="false" outlineLevel="0" collapsed="false">
      <c r="A153" s="9" t="str">
        <f aca="false">IF(E153="","",ROW()-5)</f>
        <v/>
      </c>
      <c r="B153" s="20"/>
      <c r="C153" s="21"/>
      <c r="D153" s="21"/>
      <c r="E153" s="22"/>
      <c r="F153" s="22"/>
      <c r="G153" s="21"/>
      <c r="H153" s="21"/>
      <c r="I153" s="9" t="str">
        <f aca="false">IF(C153="","",IFERROR(INDEX(CLIENTES!$B$6:$B$305,MATCH(C153,CLIENTES!$A$6:$A$305,0)),"⚠ ID no registrado"))</f>
        <v/>
      </c>
      <c r="J153" s="9" t="str">
        <f aca="false">IF(C153="","",IFERROR(INDEX(CLIENTES!$Z$6:$Z$305,MATCH(C153,CLIENTES!$A$6:$A$305,0)),""))</f>
        <v/>
      </c>
      <c r="K153" s="9" t="str">
        <f aca="false">IF(E153="","",IF(AB153="Siempre","Sí",IF(ISNUMBER(AC153),IF(E153&gt;=AC153,"Sí",IF(AW153&gt;=AC153,"Sí (serie 24 h)","No")),"")))</f>
        <v/>
      </c>
      <c r="L153" s="9" t="str">
        <f aca="false">IF(E153="","",AA153)</f>
        <v/>
      </c>
      <c r="M153" s="9" t="str">
        <f aca="false">IF(E153="","",IF(AA153&lt;&gt;"ACUMULA","No aplica",IF(LEFT(K153,2)="Sí","Sí","No")))</f>
        <v/>
      </c>
      <c r="N153" s="23" t="str">
        <f aca="false">IF(M153="Sí",AJ153,"")</f>
        <v/>
      </c>
      <c r="O153" s="24" t="str">
        <f aca="false">IF(M153="Sí",AK153,"")</f>
        <v/>
      </c>
      <c r="P153" s="25" t="str">
        <f aca="false">IF(AND(LEFT(D153,6)="XIV - ",LEFT(AX153,5)="AVISO"),"Pedimento (R 16): no va al SPPLD",AX153)</f>
        <v/>
      </c>
      <c r="Q153" s="23" t="str">
        <f aca="false">IF(LEFT(P153,5)="AVISO",IF(ISNUMBER(B153),DATE(YEAR(B153),MONTH(B153)+1,17),"Falta fecha"),"")</f>
        <v/>
      </c>
      <c r="R153" s="9" t="str">
        <f aca="false">IF(OR(F153="",F153=0),"",IF(ISNUMBER(AG153),IF(F153&gt;=AG153,"PROHIBIDO","Dentro del límite"),"No aplica"))</f>
        <v/>
      </c>
      <c r="S153" s="26" t="str">
        <f aca="false">IF(E153="","",MID(IF(AQ153=1," · Excede el perfil declarado","")&amp;IF(H153="Sí"," · Paga un tercero","")&amp;IF(J153="Alto"," · Cliente de riesgo alto: DDR (RCG 23 Ter 3 y 4)","")&amp;IF(AND(AS153&lt;&gt;"",AS153&lt;&gt;"No",AS153&lt;&gt;0)," · PEP","")&amp;IF(R153="PROHIBIDO"," · Efectivo prohibido: no lo recibas (Art. 32)","")&amp;IF(AR153=1," · ⚠ Fecha fuera de orden","")&amp;IF(LEFT(I153,1)="⚠"," · ⚠ Cliente no registrado","")&amp;IF(D153=""," · ⚠ Falta la actividad","")&amp;IF(AND(LEFT(P153,5)="AVISO",W153="")," · Captura la cifra total con IVA para el Aviso","")&amp;IF(AND(ISNUMBER(W153),W153&lt;E153)," · ⚠ La cifra con IVA es menor que el monto sin IVA",""),4,400))</f>
        <v/>
      </c>
      <c r="T153" s="21"/>
      <c r="U153" s="20"/>
      <c r="V153" s="9" t="str">
        <f aca="false">IF(LEFT(P153,5)&lt;&gt;"AVISO","",IF(T153="Presentado",IF(AND(ISNUMBER(U153),ISNUMBER(Q153),U153&gt;Q153),"Presentado tarde","Presentado"),IF(NOT(ISNUMBER(Q153)),"Falta fecha",IF(Q153&lt;CONFIG!$B$6,"VENCIDO","Vence en "&amp;(Q153-CONFIG!$B$6)&amp;" días"))))</f>
        <v/>
      </c>
      <c r="W153" s="22"/>
      <c r="X153" s="21"/>
      <c r="AA153" s="0" t="str">
        <f aca="false">IF(AM153="","",INDEX(CATÁLOGO!$D$5:$D$39,AM153))</f>
        <v/>
      </c>
      <c r="AB153" s="0" t="str">
        <f aca="false">IF(AM153="","",INDEX(CATÁLOGO!$E$5:$E$39,AM153))</f>
        <v/>
      </c>
      <c r="AC153" s="0" t="str">
        <f aca="false">IF(AB153="","",IF(ISNUMBER(AB153),AB153*AV153,AB153))</f>
        <v/>
      </c>
      <c r="AD153" s="0" t="str">
        <f aca="false">IF(AM153="","",INDEX(CATÁLOGO!$F$5:$F$39,AM153))</f>
        <v/>
      </c>
      <c r="AE153" s="0" t="str">
        <f aca="false">IF(AD153="","",IF(ISNUMBER(AD153),AD153*AV153,AD153))</f>
        <v/>
      </c>
      <c r="AF153" s="0" t="str">
        <f aca="false">IF(AM153="","",INDEX(CATÁLOGO!$G$5:$G$39,AM153))</f>
        <v/>
      </c>
      <c r="AG153" s="0" t="str">
        <f aca="false">IF(AF153="","",IF(ISNUMBER(AF153),AF153*AV153,AF153))</f>
        <v/>
      </c>
      <c r="AH153" s="0" t="str">
        <f aca="false">IF(E153="","",C153&amp;"|"&amp;D153)</f>
        <v/>
      </c>
      <c r="AI153" s="27" t="n">
        <f aca="false">IF(M153&lt;&gt;"Sí",0,SUMPRODUCT(MAX(($AH$5:AH152=AH153)*($M$5:M152="Sí")*ROW($AH$5:AH152))))</f>
        <v>0</v>
      </c>
      <c r="AJ153" s="0" t="str">
        <f aca="false">IF(M153&lt;&gt;"Sí","",IF(AL153=1,B153,INDEX($AJ:$AJ,AI153)))</f>
        <v/>
      </c>
      <c r="AK153" s="0" t="str">
        <f aca="false">IF(M153&lt;&gt;"Sí","",IF(AL153=1,E153,INDEX($AK:$AK,AI153)+E153))</f>
        <v/>
      </c>
      <c r="AL153" s="0" t="str">
        <f aca="false">IF(M153&lt;&gt;"Sí","",IF(AI153=0,1,IF(INDEX($AN:$AN,AI153)=0,1,IF(B153&gt;=EDATE(INDEX($AJ:$AJ,AI153),6),1,0))))</f>
        <v/>
      </c>
      <c r="AM153" s="0" t="str">
        <f aca="false">IF(D153="","",IFERROR(MATCH(D153,CATÁLOGO!$C$5:$C$39,0),""))</f>
        <v/>
      </c>
      <c r="AN153" s="0" t="str">
        <f aca="false">IF(M153&lt;&gt;"Sí","",IF(AND(ISNUMBER(AE153),AK153&gt;=AE153),0,1))</f>
        <v/>
      </c>
      <c r="AO153" s="0" t="str">
        <f aca="false">IF(OR(E153="",C153="",NOT(ISNUMBER(B153))),"",SUMIFS($E$6:$E$505,$C$6:$C$505,C153,$B$6:$B$505,"&gt;="&amp;DATE(YEAR(B153),MONTH(B153),1),$B$6:$B$505,"&lt;"&amp;DATE(YEAR(B153),MONTH(B153)+1,1)))</f>
        <v/>
      </c>
      <c r="AP153" s="0" t="str">
        <f aca="false">IF(C153="","",IFERROR(INDEX(CLIENTES!$M$6:$M$305,MATCH(C153,CLIENTES!$A$6:$A$305,0)),""))</f>
        <v/>
      </c>
      <c r="AQ153" s="27" t="n">
        <f aca="false">IF(AND(ISNUMBER(AO153),ISNUMBER(AP153)),IF(AND(AP153&gt;0,AO153&gt;AP153),1,0),0)</f>
        <v>0</v>
      </c>
      <c r="AR153" s="27" t="n">
        <f aca="false">IF(NOT(ISNUMBER(B153)),0,IF(B153&lt;MAX($B$5:B152),1,0))</f>
        <v>0</v>
      </c>
      <c r="AS153" s="0" t="str">
        <f aca="false">IF(C153="","",IFERROR(INDEX(CLIENTES!$H$6:$H$305,MATCH(C153,CLIENTES!$A$6:$A$305,0)),""))</f>
        <v/>
      </c>
      <c r="AT153" s="0" t="str">
        <f aca="false">IF(AND(LEFT(P153,5)="AVISO",T153&lt;&gt;"Presentado",ISNUMBER(Q153)),Q153,"")</f>
        <v/>
      </c>
      <c r="AU153" s="27" t="n">
        <f aca="false">IF(AND(D153="XVI - Activos virtuales (PSAV): operación de intercambio/transferencia",M153="Sí",ISNUMBER(AE153)),IF(AK153&gt;=AE153,1,0),0)</f>
        <v>0</v>
      </c>
      <c r="AV153" s="30" t="n">
        <f aca="false">IF(NOT(ISNUMBER(B153)),CONFIG!$B$4,IFERROR(INDEX(CONFIG!$I$5:$I$14,MATCH(IF(MONTH(B153)=1,YEAR(B153)-1,YEAR(B153)),CONFIG!$H$5:$H$14,0)),CONFIG!$B$4))</f>
        <v>117.31</v>
      </c>
      <c r="AW153" s="27" t="n">
        <f aca="false">IF(AND(LEFT(D153,4)="I - ",ISNUMBER(B153),C153&lt;&gt;""),SUMIFS($E$6:$E$505,$C$6:$C$505,C153,$D$6:$D$505,D153,$B$6:$B$505,"&gt;"&amp;(B153-1),$B$6:$B$505,"&lt;="&amp;B153),0)</f>
        <v>0</v>
      </c>
      <c r="AX153" s="0" t="str">
        <f aca="false">IF(E153="","",IF(AD153="Siempre","AVISO (siempre)",IF(AD153="No aplica","Sin Aviso (sólo preparas: Ley 17 XI)",IF(NOT(ISNUMBER(AE153)),"",IF(AA153&lt;&gt;"ACUMULA",IF(E153&gt;=AE153,IF(AND(D153="XVI - Activos virtuales (PSAV): cobro de contraprestación (comisión) por el servicio",COUNTIFS($C$6:$C$505,C153,$B$6:$B$505,"&gt;="&amp;INT(B153),$B$6:$B$505,"&lt;"&amp;(INT(B153)+1),$AU$6:$AU$505,1)&gt;0),"En el Aviso del inciso a) (R 31 Bis)","AVISO"),"—"),IF(M153&lt;&gt;"Sí","—",IF(AK153&gt;=AE153,IF(AK153=E153,"AVISO","AVISO (acumulado)"),"Acumulando")))))))</f>
        <v/>
      </c>
    </row>
    <row r="154" customFormat="false" ht="15" hidden="false" customHeight="false" outlineLevel="0" collapsed="false">
      <c r="A154" s="9" t="str">
        <f aca="false">IF(E154="","",ROW()-5)</f>
        <v/>
      </c>
      <c r="B154" s="20"/>
      <c r="C154" s="21"/>
      <c r="D154" s="21"/>
      <c r="E154" s="22"/>
      <c r="F154" s="22"/>
      <c r="G154" s="21"/>
      <c r="H154" s="21"/>
      <c r="I154" s="9" t="str">
        <f aca="false">IF(C154="","",IFERROR(INDEX(CLIENTES!$B$6:$B$305,MATCH(C154,CLIENTES!$A$6:$A$305,0)),"⚠ ID no registrado"))</f>
        <v/>
      </c>
      <c r="J154" s="9" t="str">
        <f aca="false">IF(C154="","",IFERROR(INDEX(CLIENTES!$Z$6:$Z$305,MATCH(C154,CLIENTES!$A$6:$A$305,0)),""))</f>
        <v/>
      </c>
      <c r="K154" s="9" t="str">
        <f aca="false">IF(E154="","",IF(AB154="Siempre","Sí",IF(ISNUMBER(AC154),IF(E154&gt;=AC154,"Sí",IF(AW154&gt;=AC154,"Sí (serie 24 h)","No")),"")))</f>
        <v/>
      </c>
      <c r="L154" s="9" t="str">
        <f aca="false">IF(E154="","",AA154)</f>
        <v/>
      </c>
      <c r="M154" s="9" t="str">
        <f aca="false">IF(E154="","",IF(AA154&lt;&gt;"ACUMULA","No aplica",IF(LEFT(K154,2)="Sí","Sí","No")))</f>
        <v/>
      </c>
      <c r="N154" s="23" t="str">
        <f aca="false">IF(M154="Sí",AJ154,"")</f>
        <v/>
      </c>
      <c r="O154" s="24" t="str">
        <f aca="false">IF(M154="Sí",AK154,"")</f>
        <v/>
      </c>
      <c r="P154" s="25" t="str">
        <f aca="false">IF(AND(LEFT(D154,6)="XIV - ",LEFT(AX154,5)="AVISO"),"Pedimento (R 16): no va al SPPLD",AX154)</f>
        <v/>
      </c>
      <c r="Q154" s="23" t="str">
        <f aca="false">IF(LEFT(P154,5)="AVISO",IF(ISNUMBER(B154),DATE(YEAR(B154),MONTH(B154)+1,17),"Falta fecha"),"")</f>
        <v/>
      </c>
      <c r="R154" s="9" t="str">
        <f aca="false">IF(OR(F154="",F154=0),"",IF(ISNUMBER(AG154),IF(F154&gt;=AG154,"PROHIBIDO","Dentro del límite"),"No aplica"))</f>
        <v/>
      </c>
      <c r="S154" s="26" t="str">
        <f aca="false">IF(E154="","",MID(IF(AQ154=1," · Excede el perfil declarado","")&amp;IF(H154="Sí"," · Paga un tercero","")&amp;IF(J154="Alto"," · Cliente de riesgo alto: DDR (RCG 23 Ter 3 y 4)","")&amp;IF(AND(AS154&lt;&gt;"",AS154&lt;&gt;"No",AS154&lt;&gt;0)," · PEP","")&amp;IF(R154="PROHIBIDO"," · Efectivo prohibido: no lo recibas (Art. 32)","")&amp;IF(AR154=1," · ⚠ Fecha fuera de orden","")&amp;IF(LEFT(I154,1)="⚠"," · ⚠ Cliente no registrado","")&amp;IF(D154=""," · ⚠ Falta la actividad","")&amp;IF(AND(LEFT(P154,5)="AVISO",W154="")," · Captura la cifra total con IVA para el Aviso","")&amp;IF(AND(ISNUMBER(W154),W154&lt;E154)," · ⚠ La cifra con IVA es menor que el monto sin IVA",""),4,400))</f>
        <v/>
      </c>
      <c r="T154" s="21"/>
      <c r="U154" s="20"/>
      <c r="V154" s="9" t="str">
        <f aca="false">IF(LEFT(P154,5)&lt;&gt;"AVISO","",IF(T154="Presentado",IF(AND(ISNUMBER(U154),ISNUMBER(Q154),U154&gt;Q154),"Presentado tarde","Presentado"),IF(NOT(ISNUMBER(Q154)),"Falta fecha",IF(Q154&lt;CONFIG!$B$6,"VENCIDO","Vence en "&amp;(Q154-CONFIG!$B$6)&amp;" días"))))</f>
        <v/>
      </c>
      <c r="W154" s="22"/>
      <c r="X154" s="21"/>
      <c r="AA154" s="0" t="str">
        <f aca="false">IF(AM154="","",INDEX(CATÁLOGO!$D$5:$D$39,AM154))</f>
        <v/>
      </c>
      <c r="AB154" s="0" t="str">
        <f aca="false">IF(AM154="","",INDEX(CATÁLOGO!$E$5:$E$39,AM154))</f>
        <v/>
      </c>
      <c r="AC154" s="0" t="str">
        <f aca="false">IF(AB154="","",IF(ISNUMBER(AB154),AB154*AV154,AB154))</f>
        <v/>
      </c>
      <c r="AD154" s="0" t="str">
        <f aca="false">IF(AM154="","",INDEX(CATÁLOGO!$F$5:$F$39,AM154))</f>
        <v/>
      </c>
      <c r="AE154" s="0" t="str">
        <f aca="false">IF(AD154="","",IF(ISNUMBER(AD154),AD154*AV154,AD154))</f>
        <v/>
      </c>
      <c r="AF154" s="0" t="str">
        <f aca="false">IF(AM154="","",INDEX(CATÁLOGO!$G$5:$G$39,AM154))</f>
        <v/>
      </c>
      <c r="AG154" s="0" t="str">
        <f aca="false">IF(AF154="","",IF(ISNUMBER(AF154),AF154*AV154,AF154))</f>
        <v/>
      </c>
      <c r="AH154" s="0" t="str">
        <f aca="false">IF(E154="","",C154&amp;"|"&amp;D154)</f>
        <v/>
      </c>
      <c r="AI154" s="27" t="n">
        <f aca="false">IF(M154&lt;&gt;"Sí",0,SUMPRODUCT(MAX(($AH$5:AH153=AH154)*($M$5:M153="Sí")*ROW($AH$5:AH153))))</f>
        <v>0</v>
      </c>
      <c r="AJ154" s="0" t="str">
        <f aca="false">IF(M154&lt;&gt;"Sí","",IF(AL154=1,B154,INDEX($AJ:$AJ,AI154)))</f>
        <v/>
      </c>
      <c r="AK154" s="0" t="str">
        <f aca="false">IF(M154&lt;&gt;"Sí","",IF(AL154=1,E154,INDEX($AK:$AK,AI154)+E154))</f>
        <v/>
      </c>
      <c r="AL154" s="0" t="str">
        <f aca="false">IF(M154&lt;&gt;"Sí","",IF(AI154=0,1,IF(INDEX($AN:$AN,AI154)=0,1,IF(B154&gt;=EDATE(INDEX($AJ:$AJ,AI154),6),1,0))))</f>
        <v/>
      </c>
      <c r="AM154" s="0" t="str">
        <f aca="false">IF(D154="","",IFERROR(MATCH(D154,CATÁLOGO!$C$5:$C$39,0),""))</f>
        <v/>
      </c>
      <c r="AN154" s="0" t="str">
        <f aca="false">IF(M154&lt;&gt;"Sí","",IF(AND(ISNUMBER(AE154),AK154&gt;=AE154),0,1))</f>
        <v/>
      </c>
      <c r="AO154" s="0" t="str">
        <f aca="false">IF(OR(E154="",C154="",NOT(ISNUMBER(B154))),"",SUMIFS($E$6:$E$505,$C$6:$C$505,C154,$B$6:$B$505,"&gt;="&amp;DATE(YEAR(B154),MONTH(B154),1),$B$6:$B$505,"&lt;"&amp;DATE(YEAR(B154),MONTH(B154)+1,1)))</f>
        <v/>
      </c>
      <c r="AP154" s="0" t="str">
        <f aca="false">IF(C154="","",IFERROR(INDEX(CLIENTES!$M$6:$M$305,MATCH(C154,CLIENTES!$A$6:$A$305,0)),""))</f>
        <v/>
      </c>
      <c r="AQ154" s="27" t="n">
        <f aca="false">IF(AND(ISNUMBER(AO154),ISNUMBER(AP154)),IF(AND(AP154&gt;0,AO154&gt;AP154),1,0),0)</f>
        <v>0</v>
      </c>
      <c r="AR154" s="27" t="n">
        <f aca="false">IF(NOT(ISNUMBER(B154)),0,IF(B154&lt;MAX($B$5:B153),1,0))</f>
        <v>0</v>
      </c>
      <c r="AS154" s="0" t="str">
        <f aca="false">IF(C154="","",IFERROR(INDEX(CLIENTES!$H$6:$H$305,MATCH(C154,CLIENTES!$A$6:$A$305,0)),""))</f>
        <v/>
      </c>
      <c r="AT154" s="0" t="str">
        <f aca="false">IF(AND(LEFT(P154,5)="AVISO",T154&lt;&gt;"Presentado",ISNUMBER(Q154)),Q154,"")</f>
        <v/>
      </c>
      <c r="AU154" s="27" t="n">
        <f aca="false">IF(AND(D154="XVI - Activos virtuales (PSAV): operación de intercambio/transferencia",M154="Sí",ISNUMBER(AE154)),IF(AK154&gt;=AE154,1,0),0)</f>
        <v>0</v>
      </c>
      <c r="AV154" s="30" t="n">
        <f aca="false">IF(NOT(ISNUMBER(B154)),CONFIG!$B$4,IFERROR(INDEX(CONFIG!$I$5:$I$14,MATCH(IF(MONTH(B154)=1,YEAR(B154)-1,YEAR(B154)),CONFIG!$H$5:$H$14,0)),CONFIG!$B$4))</f>
        <v>117.31</v>
      </c>
      <c r="AW154" s="27" t="n">
        <f aca="false">IF(AND(LEFT(D154,4)="I - ",ISNUMBER(B154),C154&lt;&gt;""),SUMIFS($E$6:$E$505,$C$6:$C$505,C154,$D$6:$D$505,D154,$B$6:$B$505,"&gt;"&amp;(B154-1),$B$6:$B$505,"&lt;="&amp;B154),0)</f>
        <v>0</v>
      </c>
      <c r="AX154" s="0" t="str">
        <f aca="false">IF(E154="","",IF(AD154="Siempre","AVISO (siempre)",IF(AD154="No aplica","Sin Aviso (sólo preparas: Ley 17 XI)",IF(NOT(ISNUMBER(AE154)),"",IF(AA154&lt;&gt;"ACUMULA",IF(E154&gt;=AE154,IF(AND(D154="XVI - Activos virtuales (PSAV): cobro de contraprestación (comisión) por el servicio",COUNTIFS($C$6:$C$505,C154,$B$6:$B$505,"&gt;="&amp;INT(B154),$B$6:$B$505,"&lt;"&amp;(INT(B154)+1),$AU$6:$AU$505,1)&gt;0),"En el Aviso del inciso a) (R 31 Bis)","AVISO"),"—"),IF(M154&lt;&gt;"Sí","—",IF(AK154&gt;=AE154,IF(AK154=E154,"AVISO","AVISO (acumulado)"),"Acumulando")))))))</f>
        <v/>
      </c>
    </row>
    <row r="155" customFormat="false" ht="15" hidden="false" customHeight="false" outlineLevel="0" collapsed="false">
      <c r="A155" s="9" t="str">
        <f aca="false">IF(E155="","",ROW()-5)</f>
        <v/>
      </c>
      <c r="B155" s="20"/>
      <c r="C155" s="21"/>
      <c r="D155" s="21"/>
      <c r="E155" s="22"/>
      <c r="F155" s="22"/>
      <c r="G155" s="21"/>
      <c r="H155" s="21"/>
      <c r="I155" s="9" t="str">
        <f aca="false">IF(C155="","",IFERROR(INDEX(CLIENTES!$B$6:$B$305,MATCH(C155,CLIENTES!$A$6:$A$305,0)),"⚠ ID no registrado"))</f>
        <v/>
      </c>
      <c r="J155" s="9" t="str">
        <f aca="false">IF(C155="","",IFERROR(INDEX(CLIENTES!$Z$6:$Z$305,MATCH(C155,CLIENTES!$A$6:$A$305,0)),""))</f>
        <v/>
      </c>
      <c r="K155" s="9" t="str">
        <f aca="false">IF(E155="","",IF(AB155="Siempre","Sí",IF(ISNUMBER(AC155),IF(E155&gt;=AC155,"Sí",IF(AW155&gt;=AC155,"Sí (serie 24 h)","No")),"")))</f>
        <v/>
      </c>
      <c r="L155" s="9" t="str">
        <f aca="false">IF(E155="","",AA155)</f>
        <v/>
      </c>
      <c r="M155" s="9" t="str">
        <f aca="false">IF(E155="","",IF(AA155&lt;&gt;"ACUMULA","No aplica",IF(LEFT(K155,2)="Sí","Sí","No")))</f>
        <v/>
      </c>
      <c r="N155" s="23" t="str">
        <f aca="false">IF(M155="Sí",AJ155,"")</f>
        <v/>
      </c>
      <c r="O155" s="24" t="str">
        <f aca="false">IF(M155="Sí",AK155,"")</f>
        <v/>
      </c>
      <c r="P155" s="25" t="str">
        <f aca="false">IF(AND(LEFT(D155,6)="XIV - ",LEFT(AX155,5)="AVISO"),"Pedimento (R 16): no va al SPPLD",AX155)</f>
        <v/>
      </c>
      <c r="Q155" s="23" t="str">
        <f aca="false">IF(LEFT(P155,5)="AVISO",IF(ISNUMBER(B155),DATE(YEAR(B155),MONTH(B155)+1,17),"Falta fecha"),"")</f>
        <v/>
      </c>
      <c r="R155" s="9" t="str">
        <f aca="false">IF(OR(F155="",F155=0),"",IF(ISNUMBER(AG155),IF(F155&gt;=AG155,"PROHIBIDO","Dentro del límite"),"No aplica"))</f>
        <v/>
      </c>
      <c r="S155" s="26" t="str">
        <f aca="false">IF(E155="","",MID(IF(AQ155=1," · Excede el perfil declarado","")&amp;IF(H155="Sí"," · Paga un tercero","")&amp;IF(J155="Alto"," · Cliente de riesgo alto: DDR (RCG 23 Ter 3 y 4)","")&amp;IF(AND(AS155&lt;&gt;"",AS155&lt;&gt;"No",AS155&lt;&gt;0)," · PEP","")&amp;IF(R155="PROHIBIDO"," · Efectivo prohibido: no lo recibas (Art. 32)","")&amp;IF(AR155=1," · ⚠ Fecha fuera de orden","")&amp;IF(LEFT(I155,1)="⚠"," · ⚠ Cliente no registrado","")&amp;IF(D155=""," · ⚠ Falta la actividad","")&amp;IF(AND(LEFT(P155,5)="AVISO",W155="")," · Captura la cifra total con IVA para el Aviso","")&amp;IF(AND(ISNUMBER(W155),W155&lt;E155)," · ⚠ La cifra con IVA es menor que el monto sin IVA",""),4,400))</f>
        <v/>
      </c>
      <c r="T155" s="21"/>
      <c r="U155" s="20"/>
      <c r="V155" s="9" t="str">
        <f aca="false">IF(LEFT(P155,5)&lt;&gt;"AVISO","",IF(T155="Presentado",IF(AND(ISNUMBER(U155),ISNUMBER(Q155),U155&gt;Q155),"Presentado tarde","Presentado"),IF(NOT(ISNUMBER(Q155)),"Falta fecha",IF(Q155&lt;CONFIG!$B$6,"VENCIDO","Vence en "&amp;(Q155-CONFIG!$B$6)&amp;" días"))))</f>
        <v/>
      </c>
      <c r="W155" s="22"/>
      <c r="X155" s="21"/>
      <c r="AA155" s="0" t="str">
        <f aca="false">IF(AM155="","",INDEX(CATÁLOGO!$D$5:$D$39,AM155))</f>
        <v/>
      </c>
      <c r="AB155" s="0" t="str">
        <f aca="false">IF(AM155="","",INDEX(CATÁLOGO!$E$5:$E$39,AM155))</f>
        <v/>
      </c>
      <c r="AC155" s="0" t="str">
        <f aca="false">IF(AB155="","",IF(ISNUMBER(AB155),AB155*AV155,AB155))</f>
        <v/>
      </c>
      <c r="AD155" s="0" t="str">
        <f aca="false">IF(AM155="","",INDEX(CATÁLOGO!$F$5:$F$39,AM155))</f>
        <v/>
      </c>
      <c r="AE155" s="0" t="str">
        <f aca="false">IF(AD155="","",IF(ISNUMBER(AD155),AD155*AV155,AD155))</f>
        <v/>
      </c>
      <c r="AF155" s="0" t="str">
        <f aca="false">IF(AM155="","",INDEX(CATÁLOGO!$G$5:$G$39,AM155))</f>
        <v/>
      </c>
      <c r="AG155" s="0" t="str">
        <f aca="false">IF(AF155="","",IF(ISNUMBER(AF155),AF155*AV155,AF155))</f>
        <v/>
      </c>
      <c r="AH155" s="0" t="str">
        <f aca="false">IF(E155="","",C155&amp;"|"&amp;D155)</f>
        <v/>
      </c>
      <c r="AI155" s="27" t="n">
        <f aca="false">IF(M155&lt;&gt;"Sí",0,SUMPRODUCT(MAX(($AH$5:AH154=AH155)*($M$5:M154="Sí")*ROW($AH$5:AH154))))</f>
        <v>0</v>
      </c>
      <c r="AJ155" s="0" t="str">
        <f aca="false">IF(M155&lt;&gt;"Sí","",IF(AL155=1,B155,INDEX($AJ:$AJ,AI155)))</f>
        <v/>
      </c>
      <c r="AK155" s="0" t="str">
        <f aca="false">IF(M155&lt;&gt;"Sí","",IF(AL155=1,E155,INDEX($AK:$AK,AI155)+E155))</f>
        <v/>
      </c>
      <c r="AL155" s="0" t="str">
        <f aca="false">IF(M155&lt;&gt;"Sí","",IF(AI155=0,1,IF(INDEX($AN:$AN,AI155)=0,1,IF(B155&gt;=EDATE(INDEX($AJ:$AJ,AI155),6),1,0))))</f>
        <v/>
      </c>
      <c r="AM155" s="0" t="str">
        <f aca="false">IF(D155="","",IFERROR(MATCH(D155,CATÁLOGO!$C$5:$C$39,0),""))</f>
        <v/>
      </c>
      <c r="AN155" s="0" t="str">
        <f aca="false">IF(M155&lt;&gt;"Sí","",IF(AND(ISNUMBER(AE155),AK155&gt;=AE155),0,1))</f>
        <v/>
      </c>
      <c r="AO155" s="0" t="str">
        <f aca="false">IF(OR(E155="",C155="",NOT(ISNUMBER(B155))),"",SUMIFS($E$6:$E$505,$C$6:$C$505,C155,$B$6:$B$505,"&gt;="&amp;DATE(YEAR(B155),MONTH(B155),1),$B$6:$B$505,"&lt;"&amp;DATE(YEAR(B155),MONTH(B155)+1,1)))</f>
        <v/>
      </c>
      <c r="AP155" s="0" t="str">
        <f aca="false">IF(C155="","",IFERROR(INDEX(CLIENTES!$M$6:$M$305,MATCH(C155,CLIENTES!$A$6:$A$305,0)),""))</f>
        <v/>
      </c>
      <c r="AQ155" s="27" t="n">
        <f aca="false">IF(AND(ISNUMBER(AO155),ISNUMBER(AP155)),IF(AND(AP155&gt;0,AO155&gt;AP155),1,0),0)</f>
        <v>0</v>
      </c>
      <c r="AR155" s="27" t="n">
        <f aca="false">IF(NOT(ISNUMBER(B155)),0,IF(B155&lt;MAX($B$5:B154),1,0))</f>
        <v>0</v>
      </c>
      <c r="AS155" s="0" t="str">
        <f aca="false">IF(C155="","",IFERROR(INDEX(CLIENTES!$H$6:$H$305,MATCH(C155,CLIENTES!$A$6:$A$305,0)),""))</f>
        <v/>
      </c>
      <c r="AT155" s="0" t="str">
        <f aca="false">IF(AND(LEFT(P155,5)="AVISO",T155&lt;&gt;"Presentado",ISNUMBER(Q155)),Q155,"")</f>
        <v/>
      </c>
      <c r="AU155" s="27" t="n">
        <f aca="false">IF(AND(D155="XVI - Activos virtuales (PSAV): operación de intercambio/transferencia",M155="Sí",ISNUMBER(AE155)),IF(AK155&gt;=AE155,1,0),0)</f>
        <v>0</v>
      </c>
      <c r="AV155" s="30" t="n">
        <f aca="false">IF(NOT(ISNUMBER(B155)),CONFIG!$B$4,IFERROR(INDEX(CONFIG!$I$5:$I$14,MATCH(IF(MONTH(B155)=1,YEAR(B155)-1,YEAR(B155)),CONFIG!$H$5:$H$14,0)),CONFIG!$B$4))</f>
        <v>117.31</v>
      </c>
      <c r="AW155" s="27" t="n">
        <f aca="false">IF(AND(LEFT(D155,4)="I - ",ISNUMBER(B155),C155&lt;&gt;""),SUMIFS($E$6:$E$505,$C$6:$C$505,C155,$D$6:$D$505,D155,$B$6:$B$505,"&gt;"&amp;(B155-1),$B$6:$B$505,"&lt;="&amp;B155),0)</f>
        <v>0</v>
      </c>
      <c r="AX155" s="0" t="str">
        <f aca="false">IF(E155="","",IF(AD155="Siempre","AVISO (siempre)",IF(AD155="No aplica","Sin Aviso (sólo preparas: Ley 17 XI)",IF(NOT(ISNUMBER(AE155)),"",IF(AA155&lt;&gt;"ACUMULA",IF(E155&gt;=AE155,IF(AND(D155="XVI - Activos virtuales (PSAV): cobro de contraprestación (comisión) por el servicio",COUNTIFS($C$6:$C$505,C155,$B$6:$B$505,"&gt;="&amp;INT(B155),$B$6:$B$505,"&lt;"&amp;(INT(B155)+1),$AU$6:$AU$505,1)&gt;0),"En el Aviso del inciso a) (R 31 Bis)","AVISO"),"—"),IF(M155&lt;&gt;"Sí","—",IF(AK155&gt;=AE155,IF(AK155=E155,"AVISO","AVISO (acumulado)"),"Acumulando")))))))</f>
        <v/>
      </c>
    </row>
    <row r="156" customFormat="false" ht="15" hidden="false" customHeight="false" outlineLevel="0" collapsed="false">
      <c r="A156" s="9" t="str">
        <f aca="false">IF(E156="","",ROW()-5)</f>
        <v/>
      </c>
      <c r="B156" s="20"/>
      <c r="C156" s="21"/>
      <c r="D156" s="21"/>
      <c r="E156" s="22"/>
      <c r="F156" s="22"/>
      <c r="G156" s="21"/>
      <c r="H156" s="21"/>
      <c r="I156" s="9" t="str">
        <f aca="false">IF(C156="","",IFERROR(INDEX(CLIENTES!$B$6:$B$305,MATCH(C156,CLIENTES!$A$6:$A$305,0)),"⚠ ID no registrado"))</f>
        <v/>
      </c>
      <c r="J156" s="9" t="str">
        <f aca="false">IF(C156="","",IFERROR(INDEX(CLIENTES!$Z$6:$Z$305,MATCH(C156,CLIENTES!$A$6:$A$305,0)),""))</f>
        <v/>
      </c>
      <c r="K156" s="9" t="str">
        <f aca="false">IF(E156="","",IF(AB156="Siempre","Sí",IF(ISNUMBER(AC156),IF(E156&gt;=AC156,"Sí",IF(AW156&gt;=AC156,"Sí (serie 24 h)","No")),"")))</f>
        <v/>
      </c>
      <c r="L156" s="9" t="str">
        <f aca="false">IF(E156="","",AA156)</f>
        <v/>
      </c>
      <c r="M156" s="9" t="str">
        <f aca="false">IF(E156="","",IF(AA156&lt;&gt;"ACUMULA","No aplica",IF(LEFT(K156,2)="Sí","Sí","No")))</f>
        <v/>
      </c>
      <c r="N156" s="23" t="str">
        <f aca="false">IF(M156="Sí",AJ156,"")</f>
        <v/>
      </c>
      <c r="O156" s="24" t="str">
        <f aca="false">IF(M156="Sí",AK156,"")</f>
        <v/>
      </c>
      <c r="P156" s="25" t="str">
        <f aca="false">IF(AND(LEFT(D156,6)="XIV - ",LEFT(AX156,5)="AVISO"),"Pedimento (R 16): no va al SPPLD",AX156)</f>
        <v/>
      </c>
      <c r="Q156" s="23" t="str">
        <f aca="false">IF(LEFT(P156,5)="AVISO",IF(ISNUMBER(B156),DATE(YEAR(B156),MONTH(B156)+1,17),"Falta fecha"),"")</f>
        <v/>
      </c>
      <c r="R156" s="9" t="str">
        <f aca="false">IF(OR(F156="",F156=0),"",IF(ISNUMBER(AG156),IF(F156&gt;=AG156,"PROHIBIDO","Dentro del límite"),"No aplica"))</f>
        <v/>
      </c>
      <c r="S156" s="26" t="str">
        <f aca="false">IF(E156="","",MID(IF(AQ156=1," · Excede el perfil declarado","")&amp;IF(H156="Sí"," · Paga un tercero","")&amp;IF(J156="Alto"," · Cliente de riesgo alto: DDR (RCG 23 Ter 3 y 4)","")&amp;IF(AND(AS156&lt;&gt;"",AS156&lt;&gt;"No",AS156&lt;&gt;0)," · PEP","")&amp;IF(R156="PROHIBIDO"," · Efectivo prohibido: no lo recibas (Art. 32)","")&amp;IF(AR156=1," · ⚠ Fecha fuera de orden","")&amp;IF(LEFT(I156,1)="⚠"," · ⚠ Cliente no registrado","")&amp;IF(D156=""," · ⚠ Falta la actividad","")&amp;IF(AND(LEFT(P156,5)="AVISO",W156="")," · Captura la cifra total con IVA para el Aviso","")&amp;IF(AND(ISNUMBER(W156),W156&lt;E156)," · ⚠ La cifra con IVA es menor que el monto sin IVA",""),4,400))</f>
        <v/>
      </c>
      <c r="T156" s="21"/>
      <c r="U156" s="20"/>
      <c r="V156" s="9" t="str">
        <f aca="false">IF(LEFT(P156,5)&lt;&gt;"AVISO","",IF(T156="Presentado",IF(AND(ISNUMBER(U156),ISNUMBER(Q156),U156&gt;Q156),"Presentado tarde","Presentado"),IF(NOT(ISNUMBER(Q156)),"Falta fecha",IF(Q156&lt;CONFIG!$B$6,"VENCIDO","Vence en "&amp;(Q156-CONFIG!$B$6)&amp;" días"))))</f>
        <v/>
      </c>
      <c r="W156" s="22"/>
      <c r="X156" s="21"/>
      <c r="AA156" s="0" t="str">
        <f aca="false">IF(AM156="","",INDEX(CATÁLOGO!$D$5:$D$39,AM156))</f>
        <v/>
      </c>
      <c r="AB156" s="0" t="str">
        <f aca="false">IF(AM156="","",INDEX(CATÁLOGO!$E$5:$E$39,AM156))</f>
        <v/>
      </c>
      <c r="AC156" s="0" t="str">
        <f aca="false">IF(AB156="","",IF(ISNUMBER(AB156),AB156*AV156,AB156))</f>
        <v/>
      </c>
      <c r="AD156" s="0" t="str">
        <f aca="false">IF(AM156="","",INDEX(CATÁLOGO!$F$5:$F$39,AM156))</f>
        <v/>
      </c>
      <c r="AE156" s="0" t="str">
        <f aca="false">IF(AD156="","",IF(ISNUMBER(AD156),AD156*AV156,AD156))</f>
        <v/>
      </c>
      <c r="AF156" s="0" t="str">
        <f aca="false">IF(AM156="","",INDEX(CATÁLOGO!$G$5:$G$39,AM156))</f>
        <v/>
      </c>
      <c r="AG156" s="0" t="str">
        <f aca="false">IF(AF156="","",IF(ISNUMBER(AF156),AF156*AV156,AF156))</f>
        <v/>
      </c>
      <c r="AH156" s="0" t="str">
        <f aca="false">IF(E156="","",C156&amp;"|"&amp;D156)</f>
        <v/>
      </c>
      <c r="AI156" s="27" t="n">
        <f aca="false">IF(M156&lt;&gt;"Sí",0,SUMPRODUCT(MAX(($AH$5:AH155=AH156)*($M$5:M155="Sí")*ROW($AH$5:AH155))))</f>
        <v>0</v>
      </c>
      <c r="AJ156" s="0" t="str">
        <f aca="false">IF(M156&lt;&gt;"Sí","",IF(AL156=1,B156,INDEX($AJ:$AJ,AI156)))</f>
        <v/>
      </c>
      <c r="AK156" s="0" t="str">
        <f aca="false">IF(M156&lt;&gt;"Sí","",IF(AL156=1,E156,INDEX($AK:$AK,AI156)+E156))</f>
        <v/>
      </c>
      <c r="AL156" s="0" t="str">
        <f aca="false">IF(M156&lt;&gt;"Sí","",IF(AI156=0,1,IF(INDEX($AN:$AN,AI156)=0,1,IF(B156&gt;=EDATE(INDEX($AJ:$AJ,AI156),6),1,0))))</f>
        <v/>
      </c>
      <c r="AM156" s="0" t="str">
        <f aca="false">IF(D156="","",IFERROR(MATCH(D156,CATÁLOGO!$C$5:$C$39,0),""))</f>
        <v/>
      </c>
      <c r="AN156" s="0" t="str">
        <f aca="false">IF(M156&lt;&gt;"Sí","",IF(AND(ISNUMBER(AE156),AK156&gt;=AE156),0,1))</f>
        <v/>
      </c>
      <c r="AO156" s="0" t="str">
        <f aca="false">IF(OR(E156="",C156="",NOT(ISNUMBER(B156))),"",SUMIFS($E$6:$E$505,$C$6:$C$505,C156,$B$6:$B$505,"&gt;="&amp;DATE(YEAR(B156),MONTH(B156),1),$B$6:$B$505,"&lt;"&amp;DATE(YEAR(B156),MONTH(B156)+1,1)))</f>
        <v/>
      </c>
      <c r="AP156" s="0" t="str">
        <f aca="false">IF(C156="","",IFERROR(INDEX(CLIENTES!$M$6:$M$305,MATCH(C156,CLIENTES!$A$6:$A$305,0)),""))</f>
        <v/>
      </c>
      <c r="AQ156" s="27" t="n">
        <f aca="false">IF(AND(ISNUMBER(AO156),ISNUMBER(AP156)),IF(AND(AP156&gt;0,AO156&gt;AP156),1,0),0)</f>
        <v>0</v>
      </c>
      <c r="AR156" s="27" t="n">
        <f aca="false">IF(NOT(ISNUMBER(B156)),0,IF(B156&lt;MAX($B$5:B155),1,0))</f>
        <v>0</v>
      </c>
      <c r="AS156" s="0" t="str">
        <f aca="false">IF(C156="","",IFERROR(INDEX(CLIENTES!$H$6:$H$305,MATCH(C156,CLIENTES!$A$6:$A$305,0)),""))</f>
        <v/>
      </c>
      <c r="AT156" s="0" t="str">
        <f aca="false">IF(AND(LEFT(P156,5)="AVISO",T156&lt;&gt;"Presentado",ISNUMBER(Q156)),Q156,"")</f>
        <v/>
      </c>
      <c r="AU156" s="27" t="n">
        <f aca="false">IF(AND(D156="XVI - Activos virtuales (PSAV): operación de intercambio/transferencia",M156="Sí",ISNUMBER(AE156)),IF(AK156&gt;=AE156,1,0),0)</f>
        <v>0</v>
      </c>
      <c r="AV156" s="30" t="n">
        <f aca="false">IF(NOT(ISNUMBER(B156)),CONFIG!$B$4,IFERROR(INDEX(CONFIG!$I$5:$I$14,MATCH(IF(MONTH(B156)=1,YEAR(B156)-1,YEAR(B156)),CONFIG!$H$5:$H$14,0)),CONFIG!$B$4))</f>
        <v>117.31</v>
      </c>
      <c r="AW156" s="27" t="n">
        <f aca="false">IF(AND(LEFT(D156,4)="I - ",ISNUMBER(B156),C156&lt;&gt;""),SUMIFS($E$6:$E$505,$C$6:$C$505,C156,$D$6:$D$505,D156,$B$6:$B$505,"&gt;"&amp;(B156-1),$B$6:$B$505,"&lt;="&amp;B156),0)</f>
        <v>0</v>
      </c>
      <c r="AX156" s="0" t="str">
        <f aca="false">IF(E156="","",IF(AD156="Siempre","AVISO (siempre)",IF(AD156="No aplica","Sin Aviso (sólo preparas: Ley 17 XI)",IF(NOT(ISNUMBER(AE156)),"",IF(AA156&lt;&gt;"ACUMULA",IF(E156&gt;=AE156,IF(AND(D156="XVI - Activos virtuales (PSAV): cobro de contraprestación (comisión) por el servicio",COUNTIFS($C$6:$C$505,C156,$B$6:$B$505,"&gt;="&amp;INT(B156),$B$6:$B$505,"&lt;"&amp;(INT(B156)+1),$AU$6:$AU$505,1)&gt;0),"En el Aviso del inciso a) (R 31 Bis)","AVISO"),"—"),IF(M156&lt;&gt;"Sí","—",IF(AK156&gt;=AE156,IF(AK156=E156,"AVISO","AVISO (acumulado)"),"Acumulando")))))))</f>
        <v/>
      </c>
    </row>
    <row r="157" customFormat="false" ht="15" hidden="false" customHeight="false" outlineLevel="0" collapsed="false">
      <c r="A157" s="9" t="str">
        <f aca="false">IF(E157="","",ROW()-5)</f>
        <v/>
      </c>
      <c r="B157" s="20"/>
      <c r="C157" s="21"/>
      <c r="D157" s="21"/>
      <c r="E157" s="22"/>
      <c r="F157" s="22"/>
      <c r="G157" s="21"/>
      <c r="H157" s="21"/>
      <c r="I157" s="9" t="str">
        <f aca="false">IF(C157="","",IFERROR(INDEX(CLIENTES!$B$6:$B$305,MATCH(C157,CLIENTES!$A$6:$A$305,0)),"⚠ ID no registrado"))</f>
        <v/>
      </c>
      <c r="J157" s="9" t="str">
        <f aca="false">IF(C157="","",IFERROR(INDEX(CLIENTES!$Z$6:$Z$305,MATCH(C157,CLIENTES!$A$6:$A$305,0)),""))</f>
        <v/>
      </c>
      <c r="K157" s="9" t="str">
        <f aca="false">IF(E157="","",IF(AB157="Siempre","Sí",IF(ISNUMBER(AC157),IF(E157&gt;=AC157,"Sí",IF(AW157&gt;=AC157,"Sí (serie 24 h)","No")),"")))</f>
        <v/>
      </c>
      <c r="L157" s="9" t="str">
        <f aca="false">IF(E157="","",AA157)</f>
        <v/>
      </c>
      <c r="M157" s="9" t="str">
        <f aca="false">IF(E157="","",IF(AA157&lt;&gt;"ACUMULA","No aplica",IF(LEFT(K157,2)="Sí","Sí","No")))</f>
        <v/>
      </c>
      <c r="N157" s="23" t="str">
        <f aca="false">IF(M157="Sí",AJ157,"")</f>
        <v/>
      </c>
      <c r="O157" s="24" t="str">
        <f aca="false">IF(M157="Sí",AK157,"")</f>
        <v/>
      </c>
      <c r="P157" s="25" t="str">
        <f aca="false">IF(AND(LEFT(D157,6)="XIV - ",LEFT(AX157,5)="AVISO"),"Pedimento (R 16): no va al SPPLD",AX157)</f>
        <v/>
      </c>
      <c r="Q157" s="23" t="str">
        <f aca="false">IF(LEFT(P157,5)="AVISO",IF(ISNUMBER(B157),DATE(YEAR(B157),MONTH(B157)+1,17),"Falta fecha"),"")</f>
        <v/>
      </c>
      <c r="R157" s="9" t="str">
        <f aca="false">IF(OR(F157="",F157=0),"",IF(ISNUMBER(AG157),IF(F157&gt;=AG157,"PROHIBIDO","Dentro del límite"),"No aplica"))</f>
        <v/>
      </c>
      <c r="S157" s="26" t="str">
        <f aca="false">IF(E157="","",MID(IF(AQ157=1," · Excede el perfil declarado","")&amp;IF(H157="Sí"," · Paga un tercero","")&amp;IF(J157="Alto"," · Cliente de riesgo alto: DDR (RCG 23 Ter 3 y 4)","")&amp;IF(AND(AS157&lt;&gt;"",AS157&lt;&gt;"No",AS157&lt;&gt;0)," · PEP","")&amp;IF(R157="PROHIBIDO"," · Efectivo prohibido: no lo recibas (Art. 32)","")&amp;IF(AR157=1," · ⚠ Fecha fuera de orden","")&amp;IF(LEFT(I157,1)="⚠"," · ⚠ Cliente no registrado","")&amp;IF(D157=""," · ⚠ Falta la actividad","")&amp;IF(AND(LEFT(P157,5)="AVISO",W157="")," · Captura la cifra total con IVA para el Aviso","")&amp;IF(AND(ISNUMBER(W157),W157&lt;E157)," · ⚠ La cifra con IVA es menor que el monto sin IVA",""),4,400))</f>
        <v/>
      </c>
      <c r="T157" s="21"/>
      <c r="U157" s="20"/>
      <c r="V157" s="9" t="str">
        <f aca="false">IF(LEFT(P157,5)&lt;&gt;"AVISO","",IF(T157="Presentado",IF(AND(ISNUMBER(U157),ISNUMBER(Q157),U157&gt;Q157),"Presentado tarde","Presentado"),IF(NOT(ISNUMBER(Q157)),"Falta fecha",IF(Q157&lt;CONFIG!$B$6,"VENCIDO","Vence en "&amp;(Q157-CONFIG!$B$6)&amp;" días"))))</f>
        <v/>
      </c>
      <c r="W157" s="22"/>
      <c r="X157" s="21"/>
      <c r="AA157" s="0" t="str">
        <f aca="false">IF(AM157="","",INDEX(CATÁLOGO!$D$5:$D$39,AM157))</f>
        <v/>
      </c>
      <c r="AB157" s="0" t="str">
        <f aca="false">IF(AM157="","",INDEX(CATÁLOGO!$E$5:$E$39,AM157))</f>
        <v/>
      </c>
      <c r="AC157" s="0" t="str">
        <f aca="false">IF(AB157="","",IF(ISNUMBER(AB157),AB157*AV157,AB157))</f>
        <v/>
      </c>
      <c r="AD157" s="0" t="str">
        <f aca="false">IF(AM157="","",INDEX(CATÁLOGO!$F$5:$F$39,AM157))</f>
        <v/>
      </c>
      <c r="AE157" s="0" t="str">
        <f aca="false">IF(AD157="","",IF(ISNUMBER(AD157),AD157*AV157,AD157))</f>
        <v/>
      </c>
      <c r="AF157" s="0" t="str">
        <f aca="false">IF(AM157="","",INDEX(CATÁLOGO!$G$5:$G$39,AM157))</f>
        <v/>
      </c>
      <c r="AG157" s="0" t="str">
        <f aca="false">IF(AF157="","",IF(ISNUMBER(AF157),AF157*AV157,AF157))</f>
        <v/>
      </c>
      <c r="AH157" s="0" t="str">
        <f aca="false">IF(E157="","",C157&amp;"|"&amp;D157)</f>
        <v/>
      </c>
      <c r="AI157" s="27" t="n">
        <f aca="false">IF(M157&lt;&gt;"Sí",0,SUMPRODUCT(MAX(($AH$5:AH156=AH157)*($M$5:M156="Sí")*ROW($AH$5:AH156))))</f>
        <v>0</v>
      </c>
      <c r="AJ157" s="0" t="str">
        <f aca="false">IF(M157&lt;&gt;"Sí","",IF(AL157=1,B157,INDEX($AJ:$AJ,AI157)))</f>
        <v/>
      </c>
      <c r="AK157" s="0" t="str">
        <f aca="false">IF(M157&lt;&gt;"Sí","",IF(AL157=1,E157,INDEX($AK:$AK,AI157)+E157))</f>
        <v/>
      </c>
      <c r="AL157" s="0" t="str">
        <f aca="false">IF(M157&lt;&gt;"Sí","",IF(AI157=0,1,IF(INDEX($AN:$AN,AI157)=0,1,IF(B157&gt;=EDATE(INDEX($AJ:$AJ,AI157),6),1,0))))</f>
        <v/>
      </c>
      <c r="AM157" s="0" t="str">
        <f aca="false">IF(D157="","",IFERROR(MATCH(D157,CATÁLOGO!$C$5:$C$39,0),""))</f>
        <v/>
      </c>
      <c r="AN157" s="0" t="str">
        <f aca="false">IF(M157&lt;&gt;"Sí","",IF(AND(ISNUMBER(AE157),AK157&gt;=AE157),0,1))</f>
        <v/>
      </c>
      <c r="AO157" s="0" t="str">
        <f aca="false">IF(OR(E157="",C157="",NOT(ISNUMBER(B157))),"",SUMIFS($E$6:$E$505,$C$6:$C$505,C157,$B$6:$B$505,"&gt;="&amp;DATE(YEAR(B157),MONTH(B157),1),$B$6:$B$505,"&lt;"&amp;DATE(YEAR(B157),MONTH(B157)+1,1)))</f>
        <v/>
      </c>
      <c r="AP157" s="0" t="str">
        <f aca="false">IF(C157="","",IFERROR(INDEX(CLIENTES!$M$6:$M$305,MATCH(C157,CLIENTES!$A$6:$A$305,0)),""))</f>
        <v/>
      </c>
      <c r="AQ157" s="27" t="n">
        <f aca="false">IF(AND(ISNUMBER(AO157),ISNUMBER(AP157)),IF(AND(AP157&gt;0,AO157&gt;AP157),1,0),0)</f>
        <v>0</v>
      </c>
      <c r="AR157" s="27" t="n">
        <f aca="false">IF(NOT(ISNUMBER(B157)),0,IF(B157&lt;MAX($B$5:B156),1,0))</f>
        <v>0</v>
      </c>
      <c r="AS157" s="0" t="str">
        <f aca="false">IF(C157="","",IFERROR(INDEX(CLIENTES!$H$6:$H$305,MATCH(C157,CLIENTES!$A$6:$A$305,0)),""))</f>
        <v/>
      </c>
      <c r="AT157" s="0" t="str">
        <f aca="false">IF(AND(LEFT(P157,5)="AVISO",T157&lt;&gt;"Presentado",ISNUMBER(Q157)),Q157,"")</f>
        <v/>
      </c>
      <c r="AU157" s="27" t="n">
        <f aca="false">IF(AND(D157="XVI - Activos virtuales (PSAV): operación de intercambio/transferencia",M157="Sí",ISNUMBER(AE157)),IF(AK157&gt;=AE157,1,0),0)</f>
        <v>0</v>
      </c>
      <c r="AV157" s="30" t="n">
        <f aca="false">IF(NOT(ISNUMBER(B157)),CONFIG!$B$4,IFERROR(INDEX(CONFIG!$I$5:$I$14,MATCH(IF(MONTH(B157)=1,YEAR(B157)-1,YEAR(B157)),CONFIG!$H$5:$H$14,0)),CONFIG!$B$4))</f>
        <v>117.31</v>
      </c>
      <c r="AW157" s="27" t="n">
        <f aca="false">IF(AND(LEFT(D157,4)="I - ",ISNUMBER(B157),C157&lt;&gt;""),SUMIFS($E$6:$E$505,$C$6:$C$505,C157,$D$6:$D$505,D157,$B$6:$B$505,"&gt;"&amp;(B157-1),$B$6:$B$505,"&lt;="&amp;B157),0)</f>
        <v>0</v>
      </c>
      <c r="AX157" s="0" t="str">
        <f aca="false">IF(E157="","",IF(AD157="Siempre","AVISO (siempre)",IF(AD157="No aplica","Sin Aviso (sólo preparas: Ley 17 XI)",IF(NOT(ISNUMBER(AE157)),"",IF(AA157&lt;&gt;"ACUMULA",IF(E157&gt;=AE157,IF(AND(D157="XVI - Activos virtuales (PSAV): cobro de contraprestación (comisión) por el servicio",COUNTIFS($C$6:$C$505,C157,$B$6:$B$505,"&gt;="&amp;INT(B157),$B$6:$B$505,"&lt;"&amp;(INT(B157)+1),$AU$6:$AU$505,1)&gt;0),"En el Aviso del inciso a) (R 31 Bis)","AVISO"),"—"),IF(M157&lt;&gt;"Sí","—",IF(AK157&gt;=AE157,IF(AK157=E157,"AVISO","AVISO (acumulado)"),"Acumulando")))))))</f>
        <v/>
      </c>
    </row>
    <row r="158" customFormat="false" ht="15" hidden="false" customHeight="false" outlineLevel="0" collapsed="false">
      <c r="A158" s="9" t="str">
        <f aca="false">IF(E158="","",ROW()-5)</f>
        <v/>
      </c>
      <c r="B158" s="20"/>
      <c r="C158" s="21"/>
      <c r="D158" s="21"/>
      <c r="E158" s="22"/>
      <c r="F158" s="22"/>
      <c r="G158" s="21"/>
      <c r="H158" s="21"/>
      <c r="I158" s="9" t="str">
        <f aca="false">IF(C158="","",IFERROR(INDEX(CLIENTES!$B$6:$B$305,MATCH(C158,CLIENTES!$A$6:$A$305,0)),"⚠ ID no registrado"))</f>
        <v/>
      </c>
      <c r="J158" s="9" t="str">
        <f aca="false">IF(C158="","",IFERROR(INDEX(CLIENTES!$Z$6:$Z$305,MATCH(C158,CLIENTES!$A$6:$A$305,0)),""))</f>
        <v/>
      </c>
      <c r="K158" s="9" t="str">
        <f aca="false">IF(E158="","",IF(AB158="Siempre","Sí",IF(ISNUMBER(AC158),IF(E158&gt;=AC158,"Sí",IF(AW158&gt;=AC158,"Sí (serie 24 h)","No")),"")))</f>
        <v/>
      </c>
      <c r="L158" s="9" t="str">
        <f aca="false">IF(E158="","",AA158)</f>
        <v/>
      </c>
      <c r="M158" s="9" t="str">
        <f aca="false">IF(E158="","",IF(AA158&lt;&gt;"ACUMULA","No aplica",IF(LEFT(K158,2)="Sí","Sí","No")))</f>
        <v/>
      </c>
      <c r="N158" s="23" t="str">
        <f aca="false">IF(M158="Sí",AJ158,"")</f>
        <v/>
      </c>
      <c r="O158" s="24" t="str">
        <f aca="false">IF(M158="Sí",AK158,"")</f>
        <v/>
      </c>
      <c r="P158" s="25" t="str">
        <f aca="false">IF(AND(LEFT(D158,6)="XIV - ",LEFT(AX158,5)="AVISO"),"Pedimento (R 16): no va al SPPLD",AX158)</f>
        <v/>
      </c>
      <c r="Q158" s="23" t="str">
        <f aca="false">IF(LEFT(P158,5)="AVISO",IF(ISNUMBER(B158),DATE(YEAR(B158),MONTH(B158)+1,17),"Falta fecha"),"")</f>
        <v/>
      </c>
      <c r="R158" s="9" t="str">
        <f aca="false">IF(OR(F158="",F158=0),"",IF(ISNUMBER(AG158),IF(F158&gt;=AG158,"PROHIBIDO","Dentro del límite"),"No aplica"))</f>
        <v/>
      </c>
      <c r="S158" s="26" t="str">
        <f aca="false">IF(E158="","",MID(IF(AQ158=1," · Excede el perfil declarado","")&amp;IF(H158="Sí"," · Paga un tercero","")&amp;IF(J158="Alto"," · Cliente de riesgo alto: DDR (RCG 23 Ter 3 y 4)","")&amp;IF(AND(AS158&lt;&gt;"",AS158&lt;&gt;"No",AS158&lt;&gt;0)," · PEP","")&amp;IF(R158="PROHIBIDO"," · Efectivo prohibido: no lo recibas (Art. 32)","")&amp;IF(AR158=1," · ⚠ Fecha fuera de orden","")&amp;IF(LEFT(I158,1)="⚠"," · ⚠ Cliente no registrado","")&amp;IF(D158=""," · ⚠ Falta la actividad","")&amp;IF(AND(LEFT(P158,5)="AVISO",W158="")," · Captura la cifra total con IVA para el Aviso","")&amp;IF(AND(ISNUMBER(W158),W158&lt;E158)," · ⚠ La cifra con IVA es menor que el monto sin IVA",""),4,400))</f>
        <v/>
      </c>
      <c r="T158" s="21"/>
      <c r="U158" s="20"/>
      <c r="V158" s="9" t="str">
        <f aca="false">IF(LEFT(P158,5)&lt;&gt;"AVISO","",IF(T158="Presentado",IF(AND(ISNUMBER(U158),ISNUMBER(Q158),U158&gt;Q158),"Presentado tarde","Presentado"),IF(NOT(ISNUMBER(Q158)),"Falta fecha",IF(Q158&lt;CONFIG!$B$6,"VENCIDO","Vence en "&amp;(Q158-CONFIG!$B$6)&amp;" días"))))</f>
        <v/>
      </c>
      <c r="W158" s="22"/>
      <c r="X158" s="21"/>
      <c r="AA158" s="0" t="str">
        <f aca="false">IF(AM158="","",INDEX(CATÁLOGO!$D$5:$D$39,AM158))</f>
        <v/>
      </c>
      <c r="AB158" s="0" t="str">
        <f aca="false">IF(AM158="","",INDEX(CATÁLOGO!$E$5:$E$39,AM158))</f>
        <v/>
      </c>
      <c r="AC158" s="0" t="str">
        <f aca="false">IF(AB158="","",IF(ISNUMBER(AB158),AB158*AV158,AB158))</f>
        <v/>
      </c>
      <c r="AD158" s="0" t="str">
        <f aca="false">IF(AM158="","",INDEX(CATÁLOGO!$F$5:$F$39,AM158))</f>
        <v/>
      </c>
      <c r="AE158" s="0" t="str">
        <f aca="false">IF(AD158="","",IF(ISNUMBER(AD158),AD158*AV158,AD158))</f>
        <v/>
      </c>
      <c r="AF158" s="0" t="str">
        <f aca="false">IF(AM158="","",INDEX(CATÁLOGO!$G$5:$G$39,AM158))</f>
        <v/>
      </c>
      <c r="AG158" s="0" t="str">
        <f aca="false">IF(AF158="","",IF(ISNUMBER(AF158),AF158*AV158,AF158))</f>
        <v/>
      </c>
      <c r="AH158" s="0" t="str">
        <f aca="false">IF(E158="","",C158&amp;"|"&amp;D158)</f>
        <v/>
      </c>
      <c r="AI158" s="27" t="n">
        <f aca="false">IF(M158&lt;&gt;"Sí",0,SUMPRODUCT(MAX(($AH$5:AH157=AH158)*($M$5:M157="Sí")*ROW($AH$5:AH157))))</f>
        <v>0</v>
      </c>
      <c r="AJ158" s="0" t="str">
        <f aca="false">IF(M158&lt;&gt;"Sí","",IF(AL158=1,B158,INDEX($AJ:$AJ,AI158)))</f>
        <v/>
      </c>
      <c r="AK158" s="0" t="str">
        <f aca="false">IF(M158&lt;&gt;"Sí","",IF(AL158=1,E158,INDEX($AK:$AK,AI158)+E158))</f>
        <v/>
      </c>
      <c r="AL158" s="0" t="str">
        <f aca="false">IF(M158&lt;&gt;"Sí","",IF(AI158=0,1,IF(INDEX($AN:$AN,AI158)=0,1,IF(B158&gt;=EDATE(INDEX($AJ:$AJ,AI158),6),1,0))))</f>
        <v/>
      </c>
      <c r="AM158" s="0" t="str">
        <f aca="false">IF(D158="","",IFERROR(MATCH(D158,CATÁLOGO!$C$5:$C$39,0),""))</f>
        <v/>
      </c>
      <c r="AN158" s="0" t="str">
        <f aca="false">IF(M158&lt;&gt;"Sí","",IF(AND(ISNUMBER(AE158),AK158&gt;=AE158),0,1))</f>
        <v/>
      </c>
      <c r="AO158" s="0" t="str">
        <f aca="false">IF(OR(E158="",C158="",NOT(ISNUMBER(B158))),"",SUMIFS($E$6:$E$505,$C$6:$C$505,C158,$B$6:$B$505,"&gt;="&amp;DATE(YEAR(B158),MONTH(B158),1),$B$6:$B$505,"&lt;"&amp;DATE(YEAR(B158),MONTH(B158)+1,1)))</f>
        <v/>
      </c>
      <c r="AP158" s="0" t="str">
        <f aca="false">IF(C158="","",IFERROR(INDEX(CLIENTES!$M$6:$M$305,MATCH(C158,CLIENTES!$A$6:$A$305,0)),""))</f>
        <v/>
      </c>
      <c r="AQ158" s="27" t="n">
        <f aca="false">IF(AND(ISNUMBER(AO158),ISNUMBER(AP158)),IF(AND(AP158&gt;0,AO158&gt;AP158),1,0),0)</f>
        <v>0</v>
      </c>
      <c r="AR158" s="27" t="n">
        <f aca="false">IF(NOT(ISNUMBER(B158)),0,IF(B158&lt;MAX($B$5:B157),1,0))</f>
        <v>0</v>
      </c>
      <c r="AS158" s="0" t="str">
        <f aca="false">IF(C158="","",IFERROR(INDEX(CLIENTES!$H$6:$H$305,MATCH(C158,CLIENTES!$A$6:$A$305,0)),""))</f>
        <v/>
      </c>
      <c r="AT158" s="0" t="str">
        <f aca="false">IF(AND(LEFT(P158,5)="AVISO",T158&lt;&gt;"Presentado",ISNUMBER(Q158)),Q158,"")</f>
        <v/>
      </c>
      <c r="AU158" s="27" t="n">
        <f aca="false">IF(AND(D158="XVI - Activos virtuales (PSAV): operación de intercambio/transferencia",M158="Sí",ISNUMBER(AE158)),IF(AK158&gt;=AE158,1,0),0)</f>
        <v>0</v>
      </c>
      <c r="AV158" s="30" t="n">
        <f aca="false">IF(NOT(ISNUMBER(B158)),CONFIG!$B$4,IFERROR(INDEX(CONFIG!$I$5:$I$14,MATCH(IF(MONTH(B158)=1,YEAR(B158)-1,YEAR(B158)),CONFIG!$H$5:$H$14,0)),CONFIG!$B$4))</f>
        <v>117.31</v>
      </c>
      <c r="AW158" s="27" t="n">
        <f aca="false">IF(AND(LEFT(D158,4)="I - ",ISNUMBER(B158),C158&lt;&gt;""),SUMIFS($E$6:$E$505,$C$6:$C$505,C158,$D$6:$D$505,D158,$B$6:$B$505,"&gt;"&amp;(B158-1),$B$6:$B$505,"&lt;="&amp;B158),0)</f>
        <v>0</v>
      </c>
      <c r="AX158" s="0" t="str">
        <f aca="false">IF(E158="","",IF(AD158="Siempre","AVISO (siempre)",IF(AD158="No aplica","Sin Aviso (sólo preparas: Ley 17 XI)",IF(NOT(ISNUMBER(AE158)),"",IF(AA158&lt;&gt;"ACUMULA",IF(E158&gt;=AE158,IF(AND(D158="XVI - Activos virtuales (PSAV): cobro de contraprestación (comisión) por el servicio",COUNTIFS($C$6:$C$505,C158,$B$6:$B$505,"&gt;="&amp;INT(B158),$B$6:$B$505,"&lt;"&amp;(INT(B158)+1),$AU$6:$AU$505,1)&gt;0),"En el Aviso del inciso a) (R 31 Bis)","AVISO"),"—"),IF(M158&lt;&gt;"Sí","—",IF(AK158&gt;=AE158,IF(AK158=E158,"AVISO","AVISO (acumulado)"),"Acumulando")))))))</f>
        <v/>
      </c>
    </row>
    <row r="159" customFormat="false" ht="15" hidden="false" customHeight="false" outlineLevel="0" collapsed="false">
      <c r="A159" s="9" t="str">
        <f aca="false">IF(E159="","",ROW()-5)</f>
        <v/>
      </c>
      <c r="B159" s="20"/>
      <c r="C159" s="21"/>
      <c r="D159" s="21"/>
      <c r="E159" s="22"/>
      <c r="F159" s="22"/>
      <c r="G159" s="21"/>
      <c r="H159" s="21"/>
      <c r="I159" s="9" t="str">
        <f aca="false">IF(C159="","",IFERROR(INDEX(CLIENTES!$B$6:$B$305,MATCH(C159,CLIENTES!$A$6:$A$305,0)),"⚠ ID no registrado"))</f>
        <v/>
      </c>
      <c r="J159" s="9" t="str">
        <f aca="false">IF(C159="","",IFERROR(INDEX(CLIENTES!$Z$6:$Z$305,MATCH(C159,CLIENTES!$A$6:$A$305,0)),""))</f>
        <v/>
      </c>
      <c r="K159" s="9" t="str">
        <f aca="false">IF(E159="","",IF(AB159="Siempre","Sí",IF(ISNUMBER(AC159),IF(E159&gt;=AC159,"Sí",IF(AW159&gt;=AC159,"Sí (serie 24 h)","No")),"")))</f>
        <v/>
      </c>
      <c r="L159" s="9" t="str">
        <f aca="false">IF(E159="","",AA159)</f>
        <v/>
      </c>
      <c r="M159" s="9" t="str">
        <f aca="false">IF(E159="","",IF(AA159&lt;&gt;"ACUMULA","No aplica",IF(LEFT(K159,2)="Sí","Sí","No")))</f>
        <v/>
      </c>
      <c r="N159" s="23" t="str">
        <f aca="false">IF(M159="Sí",AJ159,"")</f>
        <v/>
      </c>
      <c r="O159" s="24" t="str">
        <f aca="false">IF(M159="Sí",AK159,"")</f>
        <v/>
      </c>
      <c r="P159" s="25" t="str">
        <f aca="false">IF(AND(LEFT(D159,6)="XIV - ",LEFT(AX159,5)="AVISO"),"Pedimento (R 16): no va al SPPLD",AX159)</f>
        <v/>
      </c>
      <c r="Q159" s="23" t="str">
        <f aca="false">IF(LEFT(P159,5)="AVISO",IF(ISNUMBER(B159),DATE(YEAR(B159),MONTH(B159)+1,17),"Falta fecha"),"")</f>
        <v/>
      </c>
      <c r="R159" s="9" t="str">
        <f aca="false">IF(OR(F159="",F159=0),"",IF(ISNUMBER(AG159),IF(F159&gt;=AG159,"PROHIBIDO","Dentro del límite"),"No aplica"))</f>
        <v/>
      </c>
      <c r="S159" s="26" t="str">
        <f aca="false">IF(E159="","",MID(IF(AQ159=1," · Excede el perfil declarado","")&amp;IF(H159="Sí"," · Paga un tercero","")&amp;IF(J159="Alto"," · Cliente de riesgo alto: DDR (RCG 23 Ter 3 y 4)","")&amp;IF(AND(AS159&lt;&gt;"",AS159&lt;&gt;"No",AS159&lt;&gt;0)," · PEP","")&amp;IF(R159="PROHIBIDO"," · Efectivo prohibido: no lo recibas (Art. 32)","")&amp;IF(AR159=1," · ⚠ Fecha fuera de orden","")&amp;IF(LEFT(I159,1)="⚠"," · ⚠ Cliente no registrado","")&amp;IF(D159=""," · ⚠ Falta la actividad","")&amp;IF(AND(LEFT(P159,5)="AVISO",W159="")," · Captura la cifra total con IVA para el Aviso","")&amp;IF(AND(ISNUMBER(W159),W159&lt;E159)," · ⚠ La cifra con IVA es menor que el monto sin IVA",""),4,400))</f>
        <v/>
      </c>
      <c r="T159" s="21"/>
      <c r="U159" s="20"/>
      <c r="V159" s="9" t="str">
        <f aca="false">IF(LEFT(P159,5)&lt;&gt;"AVISO","",IF(T159="Presentado",IF(AND(ISNUMBER(U159),ISNUMBER(Q159),U159&gt;Q159),"Presentado tarde","Presentado"),IF(NOT(ISNUMBER(Q159)),"Falta fecha",IF(Q159&lt;CONFIG!$B$6,"VENCIDO","Vence en "&amp;(Q159-CONFIG!$B$6)&amp;" días"))))</f>
        <v/>
      </c>
      <c r="W159" s="22"/>
      <c r="X159" s="21"/>
      <c r="AA159" s="0" t="str">
        <f aca="false">IF(AM159="","",INDEX(CATÁLOGO!$D$5:$D$39,AM159))</f>
        <v/>
      </c>
      <c r="AB159" s="0" t="str">
        <f aca="false">IF(AM159="","",INDEX(CATÁLOGO!$E$5:$E$39,AM159))</f>
        <v/>
      </c>
      <c r="AC159" s="0" t="str">
        <f aca="false">IF(AB159="","",IF(ISNUMBER(AB159),AB159*AV159,AB159))</f>
        <v/>
      </c>
      <c r="AD159" s="0" t="str">
        <f aca="false">IF(AM159="","",INDEX(CATÁLOGO!$F$5:$F$39,AM159))</f>
        <v/>
      </c>
      <c r="AE159" s="0" t="str">
        <f aca="false">IF(AD159="","",IF(ISNUMBER(AD159),AD159*AV159,AD159))</f>
        <v/>
      </c>
      <c r="AF159" s="0" t="str">
        <f aca="false">IF(AM159="","",INDEX(CATÁLOGO!$G$5:$G$39,AM159))</f>
        <v/>
      </c>
      <c r="AG159" s="0" t="str">
        <f aca="false">IF(AF159="","",IF(ISNUMBER(AF159),AF159*AV159,AF159))</f>
        <v/>
      </c>
      <c r="AH159" s="0" t="str">
        <f aca="false">IF(E159="","",C159&amp;"|"&amp;D159)</f>
        <v/>
      </c>
      <c r="AI159" s="27" t="n">
        <f aca="false">IF(M159&lt;&gt;"Sí",0,SUMPRODUCT(MAX(($AH$5:AH158=AH159)*($M$5:M158="Sí")*ROW($AH$5:AH158))))</f>
        <v>0</v>
      </c>
      <c r="AJ159" s="0" t="str">
        <f aca="false">IF(M159&lt;&gt;"Sí","",IF(AL159=1,B159,INDEX($AJ:$AJ,AI159)))</f>
        <v/>
      </c>
      <c r="AK159" s="0" t="str">
        <f aca="false">IF(M159&lt;&gt;"Sí","",IF(AL159=1,E159,INDEX($AK:$AK,AI159)+E159))</f>
        <v/>
      </c>
      <c r="AL159" s="0" t="str">
        <f aca="false">IF(M159&lt;&gt;"Sí","",IF(AI159=0,1,IF(INDEX($AN:$AN,AI159)=0,1,IF(B159&gt;=EDATE(INDEX($AJ:$AJ,AI159),6),1,0))))</f>
        <v/>
      </c>
      <c r="AM159" s="0" t="str">
        <f aca="false">IF(D159="","",IFERROR(MATCH(D159,CATÁLOGO!$C$5:$C$39,0),""))</f>
        <v/>
      </c>
      <c r="AN159" s="0" t="str">
        <f aca="false">IF(M159&lt;&gt;"Sí","",IF(AND(ISNUMBER(AE159),AK159&gt;=AE159),0,1))</f>
        <v/>
      </c>
      <c r="AO159" s="0" t="str">
        <f aca="false">IF(OR(E159="",C159="",NOT(ISNUMBER(B159))),"",SUMIFS($E$6:$E$505,$C$6:$C$505,C159,$B$6:$B$505,"&gt;="&amp;DATE(YEAR(B159),MONTH(B159),1),$B$6:$B$505,"&lt;"&amp;DATE(YEAR(B159),MONTH(B159)+1,1)))</f>
        <v/>
      </c>
      <c r="AP159" s="0" t="str">
        <f aca="false">IF(C159="","",IFERROR(INDEX(CLIENTES!$M$6:$M$305,MATCH(C159,CLIENTES!$A$6:$A$305,0)),""))</f>
        <v/>
      </c>
      <c r="AQ159" s="27" t="n">
        <f aca="false">IF(AND(ISNUMBER(AO159),ISNUMBER(AP159)),IF(AND(AP159&gt;0,AO159&gt;AP159),1,0),0)</f>
        <v>0</v>
      </c>
      <c r="AR159" s="27" t="n">
        <f aca="false">IF(NOT(ISNUMBER(B159)),0,IF(B159&lt;MAX($B$5:B158),1,0))</f>
        <v>0</v>
      </c>
      <c r="AS159" s="0" t="str">
        <f aca="false">IF(C159="","",IFERROR(INDEX(CLIENTES!$H$6:$H$305,MATCH(C159,CLIENTES!$A$6:$A$305,0)),""))</f>
        <v/>
      </c>
      <c r="AT159" s="0" t="str">
        <f aca="false">IF(AND(LEFT(P159,5)="AVISO",T159&lt;&gt;"Presentado",ISNUMBER(Q159)),Q159,"")</f>
        <v/>
      </c>
      <c r="AU159" s="27" t="n">
        <f aca="false">IF(AND(D159="XVI - Activos virtuales (PSAV): operación de intercambio/transferencia",M159="Sí",ISNUMBER(AE159)),IF(AK159&gt;=AE159,1,0),0)</f>
        <v>0</v>
      </c>
      <c r="AV159" s="30" t="n">
        <f aca="false">IF(NOT(ISNUMBER(B159)),CONFIG!$B$4,IFERROR(INDEX(CONFIG!$I$5:$I$14,MATCH(IF(MONTH(B159)=1,YEAR(B159)-1,YEAR(B159)),CONFIG!$H$5:$H$14,0)),CONFIG!$B$4))</f>
        <v>117.31</v>
      </c>
      <c r="AW159" s="27" t="n">
        <f aca="false">IF(AND(LEFT(D159,4)="I - ",ISNUMBER(B159),C159&lt;&gt;""),SUMIFS($E$6:$E$505,$C$6:$C$505,C159,$D$6:$D$505,D159,$B$6:$B$505,"&gt;"&amp;(B159-1),$B$6:$B$505,"&lt;="&amp;B159),0)</f>
        <v>0</v>
      </c>
      <c r="AX159" s="0" t="str">
        <f aca="false">IF(E159="","",IF(AD159="Siempre","AVISO (siempre)",IF(AD159="No aplica","Sin Aviso (sólo preparas: Ley 17 XI)",IF(NOT(ISNUMBER(AE159)),"",IF(AA159&lt;&gt;"ACUMULA",IF(E159&gt;=AE159,IF(AND(D159="XVI - Activos virtuales (PSAV): cobro de contraprestación (comisión) por el servicio",COUNTIFS($C$6:$C$505,C159,$B$6:$B$505,"&gt;="&amp;INT(B159),$B$6:$B$505,"&lt;"&amp;(INT(B159)+1),$AU$6:$AU$505,1)&gt;0),"En el Aviso del inciso a) (R 31 Bis)","AVISO"),"—"),IF(M159&lt;&gt;"Sí","—",IF(AK159&gt;=AE159,IF(AK159=E159,"AVISO","AVISO (acumulado)"),"Acumulando")))))))</f>
        <v/>
      </c>
    </row>
    <row r="160" customFormat="false" ht="15" hidden="false" customHeight="false" outlineLevel="0" collapsed="false">
      <c r="A160" s="9" t="str">
        <f aca="false">IF(E160="","",ROW()-5)</f>
        <v/>
      </c>
      <c r="B160" s="20"/>
      <c r="C160" s="21"/>
      <c r="D160" s="21"/>
      <c r="E160" s="22"/>
      <c r="F160" s="22"/>
      <c r="G160" s="21"/>
      <c r="H160" s="21"/>
      <c r="I160" s="9" t="str">
        <f aca="false">IF(C160="","",IFERROR(INDEX(CLIENTES!$B$6:$B$305,MATCH(C160,CLIENTES!$A$6:$A$305,0)),"⚠ ID no registrado"))</f>
        <v/>
      </c>
      <c r="J160" s="9" t="str">
        <f aca="false">IF(C160="","",IFERROR(INDEX(CLIENTES!$Z$6:$Z$305,MATCH(C160,CLIENTES!$A$6:$A$305,0)),""))</f>
        <v/>
      </c>
      <c r="K160" s="9" t="str">
        <f aca="false">IF(E160="","",IF(AB160="Siempre","Sí",IF(ISNUMBER(AC160),IF(E160&gt;=AC160,"Sí",IF(AW160&gt;=AC160,"Sí (serie 24 h)","No")),"")))</f>
        <v/>
      </c>
      <c r="L160" s="9" t="str">
        <f aca="false">IF(E160="","",AA160)</f>
        <v/>
      </c>
      <c r="M160" s="9" t="str">
        <f aca="false">IF(E160="","",IF(AA160&lt;&gt;"ACUMULA","No aplica",IF(LEFT(K160,2)="Sí","Sí","No")))</f>
        <v/>
      </c>
      <c r="N160" s="23" t="str">
        <f aca="false">IF(M160="Sí",AJ160,"")</f>
        <v/>
      </c>
      <c r="O160" s="24" t="str">
        <f aca="false">IF(M160="Sí",AK160,"")</f>
        <v/>
      </c>
      <c r="P160" s="25" t="str">
        <f aca="false">IF(AND(LEFT(D160,6)="XIV - ",LEFT(AX160,5)="AVISO"),"Pedimento (R 16): no va al SPPLD",AX160)</f>
        <v/>
      </c>
      <c r="Q160" s="23" t="str">
        <f aca="false">IF(LEFT(P160,5)="AVISO",IF(ISNUMBER(B160),DATE(YEAR(B160),MONTH(B160)+1,17),"Falta fecha"),"")</f>
        <v/>
      </c>
      <c r="R160" s="9" t="str">
        <f aca="false">IF(OR(F160="",F160=0),"",IF(ISNUMBER(AG160),IF(F160&gt;=AG160,"PROHIBIDO","Dentro del límite"),"No aplica"))</f>
        <v/>
      </c>
      <c r="S160" s="26" t="str">
        <f aca="false">IF(E160="","",MID(IF(AQ160=1," · Excede el perfil declarado","")&amp;IF(H160="Sí"," · Paga un tercero","")&amp;IF(J160="Alto"," · Cliente de riesgo alto: DDR (RCG 23 Ter 3 y 4)","")&amp;IF(AND(AS160&lt;&gt;"",AS160&lt;&gt;"No",AS160&lt;&gt;0)," · PEP","")&amp;IF(R160="PROHIBIDO"," · Efectivo prohibido: no lo recibas (Art. 32)","")&amp;IF(AR160=1," · ⚠ Fecha fuera de orden","")&amp;IF(LEFT(I160,1)="⚠"," · ⚠ Cliente no registrado","")&amp;IF(D160=""," · ⚠ Falta la actividad","")&amp;IF(AND(LEFT(P160,5)="AVISO",W160="")," · Captura la cifra total con IVA para el Aviso","")&amp;IF(AND(ISNUMBER(W160),W160&lt;E160)," · ⚠ La cifra con IVA es menor que el monto sin IVA",""),4,400))</f>
        <v/>
      </c>
      <c r="T160" s="21"/>
      <c r="U160" s="20"/>
      <c r="V160" s="9" t="str">
        <f aca="false">IF(LEFT(P160,5)&lt;&gt;"AVISO","",IF(T160="Presentado",IF(AND(ISNUMBER(U160),ISNUMBER(Q160),U160&gt;Q160),"Presentado tarde","Presentado"),IF(NOT(ISNUMBER(Q160)),"Falta fecha",IF(Q160&lt;CONFIG!$B$6,"VENCIDO","Vence en "&amp;(Q160-CONFIG!$B$6)&amp;" días"))))</f>
        <v/>
      </c>
      <c r="W160" s="22"/>
      <c r="X160" s="21"/>
      <c r="AA160" s="0" t="str">
        <f aca="false">IF(AM160="","",INDEX(CATÁLOGO!$D$5:$D$39,AM160))</f>
        <v/>
      </c>
      <c r="AB160" s="0" t="str">
        <f aca="false">IF(AM160="","",INDEX(CATÁLOGO!$E$5:$E$39,AM160))</f>
        <v/>
      </c>
      <c r="AC160" s="0" t="str">
        <f aca="false">IF(AB160="","",IF(ISNUMBER(AB160),AB160*AV160,AB160))</f>
        <v/>
      </c>
      <c r="AD160" s="0" t="str">
        <f aca="false">IF(AM160="","",INDEX(CATÁLOGO!$F$5:$F$39,AM160))</f>
        <v/>
      </c>
      <c r="AE160" s="0" t="str">
        <f aca="false">IF(AD160="","",IF(ISNUMBER(AD160),AD160*AV160,AD160))</f>
        <v/>
      </c>
      <c r="AF160" s="0" t="str">
        <f aca="false">IF(AM160="","",INDEX(CATÁLOGO!$G$5:$G$39,AM160))</f>
        <v/>
      </c>
      <c r="AG160" s="0" t="str">
        <f aca="false">IF(AF160="","",IF(ISNUMBER(AF160),AF160*AV160,AF160))</f>
        <v/>
      </c>
      <c r="AH160" s="0" t="str">
        <f aca="false">IF(E160="","",C160&amp;"|"&amp;D160)</f>
        <v/>
      </c>
      <c r="AI160" s="27" t="n">
        <f aca="false">IF(M160&lt;&gt;"Sí",0,SUMPRODUCT(MAX(($AH$5:AH159=AH160)*($M$5:M159="Sí")*ROW($AH$5:AH159))))</f>
        <v>0</v>
      </c>
      <c r="AJ160" s="0" t="str">
        <f aca="false">IF(M160&lt;&gt;"Sí","",IF(AL160=1,B160,INDEX($AJ:$AJ,AI160)))</f>
        <v/>
      </c>
      <c r="AK160" s="0" t="str">
        <f aca="false">IF(M160&lt;&gt;"Sí","",IF(AL160=1,E160,INDEX($AK:$AK,AI160)+E160))</f>
        <v/>
      </c>
      <c r="AL160" s="0" t="str">
        <f aca="false">IF(M160&lt;&gt;"Sí","",IF(AI160=0,1,IF(INDEX($AN:$AN,AI160)=0,1,IF(B160&gt;=EDATE(INDEX($AJ:$AJ,AI160),6),1,0))))</f>
        <v/>
      </c>
      <c r="AM160" s="0" t="str">
        <f aca="false">IF(D160="","",IFERROR(MATCH(D160,CATÁLOGO!$C$5:$C$39,0),""))</f>
        <v/>
      </c>
      <c r="AN160" s="0" t="str">
        <f aca="false">IF(M160&lt;&gt;"Sí","",IF(AND(ISNUMBER(AE160),AK160&gt;=AE160),0,1))</f>
        <v/>
      </c>
      <c r="AO160" s="0" t="str">
        <f aca="false">IF(OR(E160="",C160="",NOT(ISNUMBER(B160))),"",SUMIFS($E$6:$E$505,$C$6:$C$505,C160,$B$6:$B$505,"&gt;="&amp;DATE(YEAR(B160),MONTH(B160),1),$B$6:$B$505,"&lt;"&amp;DATE(YEAR(B160),MONTH(B160)+1,1)))</f>
        <v/>
      </c>
      <c r="AP160" s="0" t="str">
        <f aca="false">IF(C160="","",IFERROR(INDEX(CLIENTES!$M$6:$M$305,MATCH(C160,CLIENTES!$A$6:$A$305,0)),""))</f>
        <v/>
      </c>
      <c r="AQ160" s="27" t="n">
        <f aca="false">IF(AND(ISNUMBER(AO160),ISNUMBER(AP160)),IF(AND(AP160&gt;0,AO160&gt;AP160),1,0),0)</f>
        <v>0</v>
      </c>
      <c r="AR160" s="27" t="n">
        <f aca="false">IF(NOT(ISNUMBER(B160)),0,IF(B160&lt;MAX($B$5:B159),1,0))</f>
        <v>0</v>
      </c>
      <c r="AS160" s="0" t="str">
        <f aca="false">IF(C160="","",IFERROR(INDEX(CLIENTES!$H$6:$H$305,MATCH(C160,CLIENTES!$A$6:$A$305,0)),""))</f>
        <v/>
      </c>
      <c r="AT160" s="0" t="str">
        <f aca="false">IF(AND(LEFT(P160,5)="AVISO",T160&lt;&gt;"Presentado",ISNUMBER(Q160)),Q160,"")</f>
        <v/>
      </c>
      <c r="AU160" s="27" t="n">
        <f aca="false">IF(AND(D160="XVI - Activos virtuales (PSAV): operación de intercambio/transferencia",M160="Sí",ISNUMBER(AE160)),IF(AK160&gt;=AE160,1,0),0)</f>
        <v>0</v>
      </c>
      <c r="AV160" s="30" t="n">
        <f aca="false">IF(NOT(ISNUMBER(B160)),CONFIG!$B$4,IFERROR(INDEX(CONFIG!$I$5:$I$14,MATCH(IF(MONTH(B160)=1,YEAR(B160)-1,YEAR(B160)),CONFIG!$H$5:$H$14,0)),CONFIG!$B$4))</f>
        <v>117.31</v>
      </c>
      <c r="AW160" s="27" t="n">
        <f aca="false">IF(AND(LEFT(D160,4)="I - ",ISNUMBER(B160),C160&lt;&gt;""),SUMIFS($E$6:$E$505,$C$6:$C$505,C160,$D$6:$D$505,D160,$B$6:$B$505,"&gt;"&amp;(B160-1),$B$6:$B$505,"&lt;="&amp;B160),0)</f>
        <v>0</v>
      </c>
      <c r="AX160" s="0" t="str">
        <f aca="false">IF(E160="","",IF(AD160="Siempre","AVISO (siempre)",IF(AD160="No aplica","Sin Aviso (sólo preparas: Ley 17 XI)",IF(NOT(ISNUMBER(AE160)),"",IF(AA160&lt;&gt;"ACUMULA",IF(E160&gt;=AE160,IF(AND(D160="XVI - Activos virtuales (PSAV): cobro de contraprestación (comisión) por el servicio",COUNTIFS($C$6:$C$505,C160,$B$6:$B$505,"&gt;="&amp;INT(B160),$B$6:$B$505,"&lt;"&amp;(INT(B160)+1),$AU$6:$AU$505,1)&gt;0),"En el Aviso del inciso a) (R 31 Bis)","AVISO"),"—"),IF(M160&lt;&gt;"Sí","—",IF(AK160&gt;=AE160,IF(AK160=E160,"AVISO","AVISO (acumulado)"),"Acumulando")))))))</f>
        <v/>
      </c>
    </row>
    <row r="161" customFormat="false" ht="15" hidden="false" customHeight="false" outlineLevel="0" collapsed="false">
      <c r="A161" s="9" t="str">
        <f aca="false">IF(E161="","",ROW()-5)</f>
        <v/>
      </c>
      <c r="B161" s="20"/>
      <c r="C161" s="21"/>
      <c r="D161" s="21"/>
      <c r="E161" s="22"/>
      <c r="F161" s="22"/>
      <c r="G161" s="21"/>
      <c r="H161" s="21"/>
      <c r="I161" s="9" t="str">
        <f aca="false">IF(C161="","",IFERROR(INDEX(CLIENTES!$B$6:$B$305,MATCH(C161,CLIENTES!$A$6:$A$305,0)),"⚠ ID no registrado"))</f>
        <v/>
      </c>
      <c r="J161" s="9" t="str">
        <f aca="false">IF(C161="","",IFERROR(INDEX(CLIENTES!$Z$6:$Z$305,MATCH(C161,CLIENTES!$A$6:$A$305,0)),""))</f>
        <v/>
      </c>
      <c r="K161" s="9" t="str">
        <f aca="false">IF(E161="","",IF(AB161="Siempre","Sí",IF(ISNUMBER(AC161),IF(E161&gt;=AC161,"Sí",IF(AW161&gt;=AC161,"Sí (serie 24 h)","No")),"")))</f>
        <v/>
      </c>
      <c r="L161" s="9" t="str">
        <f aca="false">IF(E161="","",AA161)</f>
        <v/>
      </c>
      <c r="M161" s="9" t="str">
        <f aca="false">IF(E161="","",IF(AA161&lt;&gt;"ACUMULA","No aplica",IF(LEFT(K161,2)="Sí","Sí","No")))</f>
        <v/>
      </c>
      <c r="N161" s="23" t="str">
        <f aca="false">IF(M161="Sí",AJ161,"")</f>
        <v/>
      </c>
      <c r="O161" s="24" t="str">
        <f aca="false">IF(M161="Sí",AK161,"")</f>
        <v/>
      </c>
      <c r="P161" s="25" t="str">
        <f aca="false">IF(AND(LEFT(D161,6)="XIV - ",LEFT(AX161,5)="AVISO"),"Pedimento (R 16): no va al SPPLD",AX161)</f>
        <v/>
      </c>
      <c r="Q161" s="23" t="str">
        <f aca="false">IF(LEFT(P161,5)="AVISO",IF(ISNUMBER(B161),DATE(YEAR(B161),MONTH(B161)+1,17),"Falta fecha"),"")</f>
        <v/>
      </c>
      <c r="R161" s="9" t="str">
        <f aca="false">IF(OR(F161="",F161=0),"",IF(ISNUMBER(AG161),IF(F161&gt;=AG161,"PROHIBIDO","Dentro del límite"),"No aplica"))</f>
        <v/>
      </c>
      <c r="S161" s="26" t="str">
        <f aca="false">IF(E161="","",MID(IF(AQ161=1," · Excede el perfil declarado","")&amp;IF(H161="Sí"," · Paga un tercero","")&amp;IF(J161="Alto"," · Cliente de riesgo alto: DDR (RCG 23 Ter 3 y 4)","")&amp;IF(AND(AS161&lt;&gt;"",AS161&lt;&gt;"No",AS161&lt;&gt;0)," · PEP","")&amp;IF(R161="PROHIBIDO"," · Efectivo prohibido: no lo recibas (Art. 32)","")&amp;IF(AR161=1," · ⚠ Fecha fuera de orden","")&amp;IF(LEFT(I161,1)="⚠"," · ⚠ Cliente no registrado","")&amp;IF(D161=""," · ⚠ Falta la actividad","")&amp;IF(AND(LEFT(P161,5)="AVISO",W161="")," · Captura la cifra total con IVA para el Aviso","")&amp;IF(AND(ISNUMBER(W161),W161&lt;E161)," · ⚠ La cifra con IVA es menor que el monto sin IVA",""),4,400))</f>
        <v/>
      </c>
      <c r="T161" s="21"/>
      <c r="U161" s="20"/>
      <c r="V161" s="9" t="str">
        <f aca="false">IF(LEFT(P161,5)&lt;&gt;"AVISO","",IF(T161="Presentado",IF(AND(ISNUMBER(U161),ISNUMBER(Q161),U161&gt;Q161),"Presentado tarde","Presentado"),IF(NOT(ISNUMBER(Q161)),"Falta fecha",IF(Q161&lt;CONFIG!$B$6,"VENCIDO","Vence en "&amp;(Q161-CONFIG!$B$6)&amp;" días"))))</f>
        <v/>
      </c>
      <c r="W161" s="22"/>
      <c r="X161" s="21"/>
      <c r="AA161" s="0" t="str">
        <f aca="false">IF(AM161="","",INDEX(CATÁLOGO!$D$5:$D$39,AM161))</f>
        <v/>
      </c>
      <c r="AB161" s="0" t="str">
        <f aca="false">IF(AM161="","",INDEX(CATÁLOGO!$E$5:$E$39,AM161))</f>
        <v/>
      </c>
      <c r="AC161" s="0" t="str">
        <f aca="false">IF(AB161="","",IF(ISNUMBER(AB161),AB161*AV161,AB161))</f>
        <v/>
      </c>
      <c r="AD161" s="0" t="str">
        <f aca="false">IF(AM161="","",INDEX(CATÁLOGO!$F$5:$F$39,AM161))</f>
        <v/>
      </c>
      <c r="AE161" s="0" t="str">
        <f aca="false">IF(AD161="","",IF(ISNUMBER(AD161),AD161*AV161,AD161))</f>
        <v/>
      </c>
      <c r="AF161" s="0" t="str">
        <f aca="false">IF(AM161="","",INDEX(CATÁLOGO!$G$5:$G$39,AM161))</f>
        <v/>
      </c>
      <c r="AG161" s="0" t="str">
        <f aca="false">IF(AF161="","",IF(ISNUMBER(AF161),AF161*AV161,AF161))</f>
        <v/>
      </c>
      <c r="AH161" s="0" t="str">
        <f aca="false">IF(E161="","",C161&amp;"|"&amp;D161)</f>
        <v/>
      </c>
      <c r="AI161" s="27" t="n">
        <f aca="false">IF(M161&lt;&gt;"Sí",0,SUMPRODUCT(MAX(($AH$5:AH160=AH161)*($M$5:M160="Sí")*ROW($AH$5:AH160))))</f>
        <v>0</v>
      </c>
      <c r="AJ161" s="0" t="str">
        <f aca="false">IF(M161&lt;&gt;"Sí","",IF(AL161=1,B161,INDEX($AJ:$AJ,AI161)))</f>
        <v/>
      </c>
      <c r="AK161" s="0" t="str">
        <f aca="false">IF(M161&lt;&gt;"Sí","",IF(AL161=1,E161,INDEX($AK:$AK,AI161)+E161))</f>
        <v/>
      </c>
      <c r="AL161" s="0" t="str">
        <f aca="false">IF(M161&lt;&gt;"Sí","",IF(AI161=0,1,IF(INDEX($AN:$AN,AI161)=0,1,IF(B161&gt;=EDATE(INDEX($AJ:$AJ,AI161),6),1,0))))</f>
        <v/>
      </c>
      <c r="AM161" s="0" t="str">
        <f aca="false">IF(D161="","",IFERROR(MATCH(D161,CATÁLOGO!$C$5:$C$39,0),""))</f>
        <v/>
      </c>
      <c r="AN161" s="0" t="str">
        <f aca="false">IF(M161&lt;&gt;"Sí","",IF(AND(ISNUMBER(AE161),AK161&gt;=AE161),0,1))</f>
        <v/>
      </c>
      <c r="AO161" s="0" t="str">
        <f aca="false">IF(OR(E161="",C161="",NOT(ISNUMBER(B161))),"",SUMIFS($E$6:$E$505,$C$6:$C$505,C161,$B$6:$B$505,"&gt;="&amp;DATE(YEAR(B161),MONTH(B161),1),$B$6:$B$505,"&lt;"&amp;DATE(YEAR(B161),MONTH(B161)+1,1)))</f>
        <v/>
      </c>
      <c r="AP161" s="0" t="str">
        <f aca="false">IF(C161="","",IFERROR(INDEX(CLIENTES!$M$6:$M$305,MATCH(C161,CLIENTES!$A$6:$A$305,0)),""))</f>
        <v/>
      </c>
      <c r="AQ161" s="27" t="n">
        <f aca="false">IF(AND(ISNUMBER(AO161),ISNUMBER(AP161)),IF(AND(AP161&gt;0,AO161&gt;AP161),1,0),0)</f>
        <v>0</v>
      </c>
      <c r="AR161" s="27" t="n">
        <f aca="false">IF(NOT(ISNUMBER(B161)),0,IF(B161&lt;MAX($B$5:B160),1,0))</f>
        <v>0</v>
      </c>
      <c r="AS161" s="0" t="str">
        <f aca="false">IF(C161="","",IFERROR(INDEX(CLIENTES!$H$6:$H$305,MATCH(C161,CLIENTES!$A$6:$A$305,0)),""))</f>
        <v/>
      </c>
      <c r="AT161" s="0" t="str">
        <f aca="false">IF(AND(LEFT(P161,5)="AVISO",T161&lt;&gt;"Presentado",ISNUMBER(Q161)),Q161,"")</f>
        <v/>
      </c>
      <c r="AU161" s="27" t="n">
        <f aca="false">IF(AND(D161="XVI - Activos virtuales (PSAV): operación de intercambio/transferencia",M161="Sí",ISNUMBER(AE161)),IF(AK161&gt;=AE161,1,0),0)</f>
        <v>0</v>
      </c>
      <c r="AV161" s="30" t="n">
        <f aca="false">IF(NOT(ISNUMBER(B161)),CONFIG!$B$4,IFERROR(INDEX(CONFIG!$I$5:$I$14,MATCH(IF(MONTH(B161)=1,YEAR(B161)-1,YEAR(B161)),CONFIG!$H$5:$H$14,0)),CONFIG!$B$4))</f>
        <v>117.31</v>
      </c>
      <c r="AW161" s="27" t="n">
        <f aca="false">IF(AND(LEFT(D161,4)="I - ",ISNUMBER(B161),C161&lt;&gt;""),SUMIFS($E$6:$E$505,$C$6:$C$505,C161,$D$6:$D$505,D161,$B$6:$B$505,"&gt;"&amp;(B161-1),$B$6:$B$505,"&lt;="&amp;B161),0)</f>
        <v>0</v>
      </c>
      <c r="AX161" s="0" t="str">
        <f aca="false">IF(E161="","",IF(AD161="Siempre","AVISO (siempre)",IF(AD161="No aplica","Sin Aviso (sólo preparas: Ley 17 XI)",IF(NOT(ISNUMBER(AE161)),"",IF(AA161&lt;&gt;"ACUMULA",IF(E161&gt;=AE161,IF(AND(D161="XVI - Activos virtuales (PSAV): cobro de contraprestación (comisión) por el servicio",COUNTIFS($C$6:$C$505,C161,$B$6:$B$505,"&gt;="&amp;INT(B161),$B$6:$B$505,"&lt;"&amp;(INT(B161)+1),$AU$6:$AU$505,1)&gt;0),"En el Aviso del inciso a) (R 31 Bis)","AVISO"),"—"),IF(M161&lt;&gt;"Sí","—",IF(AK161&gt;=AE161,IF(AK161=E161,"AVISO","AVISO (acumulado)"),"Acumulando")))))))</f>
        <v/>
      </c>
    </row>
    <row r="162" customFormat="false" ht="15" hidden="false" customHeight="false" outlineLevel="0" collapsed="false">
      <c r="A162" s="9" t="str">
        <f aca="false">IF(E162="","",ROW()-5)</f>
        <v/>
      </c>
      <c r="B162" s="20"/>
      <c r="C162" s="21"/>
      <c r="D162" s="21"/>
      <c r="E162" s="22"/>
      <c r="F162" s="22"/>
      <c r="G162" s="21"/>
      <c r="H162" s="21"/>
      <c r="I162" s="9" t="str">
        <f aca="false">IF(C162="","",IFERROR(INDEX(CLIENTES!$B$6:$B$305,MATCH(C162,CLIENTES!$A$6:$A$305,0)),"⚠ ID no registrado"))</f>
        <v/>
      </c>
      <c r="J162" s="9" t="str">
        <f aca="false">IF(C162="","",IFERROR(INDEX(CLIENTES!$Z$6:$Z$305,MATCH(C162,CLIENTES!$A$6:$A$305,0)),""))</f>
        <v/>
      </c>
      <c r="K162" s="9" t="str">
        <f aca="false">IF(E162="","",IF(AB162="Siempre","Sí",IF(ISNUMBER(AC162),IF(E162&gt;=AC162,"Sí",IF(AW162&gt;=AC162,"Sí (serie 24 h)","No")),"")))</f>
        <v/>
      </c>
      <c r="L162" s="9" t="str">
        <f aca="false">IF(E162="","",AA162)</f>
        <v/>
      </c>
      <c r="M162" s="9" t="str">
        <f aca="false">IF(E162="","",IF(AA162&lt;&gt;"ACUMULA","No aplica",IF(LEFT(K162,2)="Sí","Sí","No")))</f>
        <v/>
      </c>
      <c r="N162" s="23" t="str">
        <f aca="false">IF(M162="Sí",AJ162,"")</f>
        <v/>
      </c>
      <c r="O162" s="24" t="str">
        <f aca="false">IF(M162="Sí",AK162,"")</f>
        <v/>
      </c>
      <c r="P162" s="25" t="str">
        <f aca="false">IF(AND(LEFT(D162,6)="XIV - ",LEFT(AX162,5)="AVISO"),"Pedimento (R 16): no va al SPPLD",AX162)</f>
        <v/>
      </c>
      <c r="Q162" s="23" t="str">
        <f aca="false">IF(LEFT(P162,5)="AVISO",IF(ISNUMBER(B162),DATE(YEAR(B162),MONTH(B162)+1,17),"Falta fecha"),"")</f>
        <v/>
      </c>
      <c r="R162" s="9" t="str">
        <f aca="false">IF(OR(F162="",F162=0),"",IF(ISNUMBER(AG162),IF(F162&gt;=AG162,"PROHIBIDO","Dentro del límite"),"No aplica"))</f>
        <v/>
      </c>
      <c r="S162" s="26" t="str">
        <f aca="false">IF(E162="","",MID(IF(AQ162=1," · Excede el perfil declarado","")&amp;IF(H162="Sí"," · Paga un tercero","")&amp;IF(J162="Alto"," · Cliente de riesgo alto: DDR (RCG 23 Ter 3 y 4)","")&amp;IF(AND(AS162&lt;&gt;"",AS162&lt;&gt;"No",AS162&lt;&gt;0)," · PEP","")&amp;IF(R162="PROHIBIDO"," · Efectivo prohibido: no lo recibas (Art. 32)","")&amp;IF(AR162=1," · ⚠ Fecha fuera de orden","")&amp;IF(LEFT(I162,1)="⚠"," · ⚠ Cliente no registrado","")&amp;IF(D162=""," · ⚠ Falta la actividad","")&amp;IF(AND(LEFT(P162,5)="AVISO",W162="")," · Captura la cifra total con IVA para el Aviso","")&amp;IF(AND(ISNUMBER(W162),W162&lt;E162)," · ⚠ La cifra con IVA es menor que el monto sin IVA",""),4,400))</f>
        <v/>
      </c>
      <c r="T162" s="21"/>
      <c r="U162" s="20"/>
      <c r="V162" s="9" t="str">
        <f aca="false">IF(LEFT(P162,5)&lt;&gt;"AVISO","",IF(T162="Presentado",IF(AND(ISNUMBER(U162),ISNUMBER(Q162),U162&gt;Q162),"Presentado tarde","Presentado"),IF(NOT(ISNUMBER(Q162)),"Falta fecha",IF(Q162&lt;CONFIG!$B$6,"VENCIDO","Vence en "&amp;(Q162-CONFIG!$B$6)&amp;" días"))))</f>
        <v/>
      </c>
      <c r="W162" s="22"/>
      <c r="X162" s="21"/>
      <c r="AA162" s="0" t="str">
        <f aca="false">IF(AM162="","",INDEX(CATÁLOGO!$D$5:$D$39,AM162))</f>
        <v/>
      </c>
      <c r="AB162" s="0" t="str">
        <f aca="false">IF(AM162="","",INDEX(CATÁLOGO!$E$5:$E$39,AM162))</f>
        <v/>
      </c>
      <c r="AC162" s="0" t="str">
        <f aca="false">IF(AB162="","",IF(ISNUMBER(AB162),AB162*AV162,AB162))</f>
        <v/>
      </c>
      <c r="AD162" s="0" t="str">
        <f aca="false">IF(AM162="","",INDEX(CATÁLOGO!$F$5:$F$39,AM162))</f>
        <v/>
      </c>
      <c r="AE162" s="0" t="str">
        <f aca="false">IF(AD162="","",IF(ISNUMBER(AD162),AD162*AV162,AD162))</f>
        <v/>
      </c>
      <c r="AF162" s="0" t="str">
        <f aca="false">IF(AM162="","",INDEX(CATÁLOGO!$G$5:$G$39,AM162))</f>
        <v/>
      </c>
      <c r="AG162" s="0" t="str">
        <f aca="false">IF(AF162="","",IF(ISNUMBER(AF162),AF162*AV162,AF162))</f>
        <v/>
      </c>
      <c r="AH162" s="0" t="str">
        <f aca="false">IF(E162="","",C162&amp;"|"&amp;D162)</f>
        <v/>
      </c>
      <c r="AI162" s="27" t="n">
        <f aca="false">IF(M162&lt;&gt;"Sí",0,SUMPRODUCT(MAX(($AH$5:AH161=AH162)*($M$5:M161="Sí")*ROW($AH$5:AH161))))</f>
        <v>0</v>
      </c>
      <c r="AJ162" s="0" t="str">
        <f aca="false">IF(M162&lt;&gt;"Sí","",IF(AL162=1,B162,INDEX($AJ:$AJ,AI162)))</f>
        <v/>
      </c>
      <c r="AK162" s="0" t="str">
        <f aca="false">IF(M162&lt;&gt;"Sí","",IF(AL162=1,E162,INDEX($AK:$AK,AI162)+E162))</f>
        <v/>
      </c>
      <c r="AL162" s="0" t="str">
        <f aca="false">IF(M162&lt;&gt;"Sí","",IF(AI162=0,1,IF(INDEX($AN:$AN,AI162)=0,1,IF(B162&gt;=EDATE(INDEX($AJ:$AJ,AI162),6),1,0))))</f>
        <v/>
      </c>
      <c r="AM162" s="0" t="str">
        <f aca="false">IF(D162="","",IFERROR(MATCH(D162,CATÁLOGO!$C$5:$C$39,0),""))</f>
        <v/>
      </c>
      <c r="AN162" s="0" t="str">
        <f aca="false">IF(M162&lt;&gt;"Sí","",IF(AND(ISNUMBER(AE162),AK162&gt;=AE162),0,1))</f>
        <v/>
      </c>
      <c r="AO162" s="0" t="str">
        <f aca="false">IF(OR(E162="",C162="",NOT(ISNUMBER(B162))),"",SUMIFS($E$6:$E$505,$C$6:$C$505,C162,$B$6:$B$505,"&gt;="&amp;DATE(YEAR(B162),MONTH(B162),1),$B$6:$B$505,"&lt;"&amp;DATE(YEAR(B162),MONTH(B162)+1,1)))</f>
        <v/>
      </c>
      <c r="AP162" s="0" t="str">
        <f aca="false">IF(C162="","",IFERROR(INDEX(CLIENTES!$M$6:$M$305,MATCH(C162,CLIENTES!$A$6:$A$305,0)),""))</f>
        <v/>
      </c>
      <c r="AQ162" s="27" t="n">
        <f aca="false">IF(AND(ISNUMBER(AO162),ISNUMBER(AP162)),IF(AND(AP162&gt;0,AO162&gt;AP162),1,0),0)</f>
        <v>0</v>
      </c>
      <c r="AR162" s="27" t="n">
        <f aca="false">IF(NOT(ISNUMBER(B162)),0,IF(B162&lt;MAX($B$5:B161),1,0))</f>
        <v>0</v>
      </c>
      <c r="AS162" s="0" t="str">
        <f aca="false">IF(C162="","",IFERROR(INDEX(CLIENTES!$H$6:$H$305,MATCH(C162,CLIENTES!$A$6:$A$305,0)),""))</f>
        <v/>
      </c>
      <c r="AT162" s="0" t="str">
        <f aca="false">IF(AND(LEFT(P162,5)="AVISO",T162&lt;&gt;"Presentado",ISNUMBER(Q162)),Q162,"")</f>
        <v/>
      </c>
      <c r="AU162" s="27" t="n">
        <f aca="false">IF(AND(D162="XVI - Activos virtuales (PSAV): operación de intercambio/transferencia",M162="Sí",ISNUMBER(AE162)),IF(AK162&gt;=AE162,1,0),0)</f>
        <v>0</v>
      </c>
      <c r="AV162" s="30" t="n">
        <f aca="false">IF(NOT(ISNUMBER(B162)),CONFIG!$B$4,IFERROR(INDEX(CONFIG!$I$5:$I$14,MATCH(IF(MONTH(B162)=1,YEAR(B162)-1,YEAR(B162)),CONFIG!$H$5:$H$14,0)),CONFIG!$B$4))</f>
        <v>117.31</v>
      </c>
      <c r="AW162" s="27" t="n">
        <f aca="false">IF(AND(LEFT(D162,4)="I - ",ISNUMBER(B162),C162&lt;&gt;""),SUMIFS($E$6:$E$505,$C$6:$C$505,C162,$D$6:$D$505,D162,$B$6:$B$505,"&gt;"&amp;(B162-1),$B$6:$B$505,"&lt;="&amp;B162),0)</f>
        <v>0</v>
      </c>
      <c r="AX162" s="0" t="str">
        <f aca="false">IF(E162="","",IF(AD162="Siempre","AVISO (siempre)",IF(AD162="No aplica","Sin Aviso (sólo preparas: Ley 17 XI)",IF(NOT(ISNUMBER(AE162)),"",IF(AA162&lt;&gt;"ACUMULA",IF(E162&gt;=AE162,IF(AND(D162="XVI - Activos virtuales (PSAV): cobro de contraprestación (comisión) por el servicio",COUNTIFS($C$6:$C$505,C162,$B$6:$B$505,"&gt;="&amp;INT(B162),$B$6:$B$505,"&lt;"&amp;(INT(B162)+1),$AU$6:$AU$505,1)&gt;0),"En el Aviso del inciso a) (R 31 Bis)","AVISO"),"—"),IF(M162&lt;&gt;"Sí","—",IF(AK162&gt;=AE162,IF(AK162=E162,"AVISO","AVISO (acumulado)"),"Acumulando")))))))</f>
        <v/>
      </c>
    </row>
    <row r="163" customFormat="false" ht="15" hidden="false" customHeight="false" outlineLevel="0" collapsed="false">
      <c r="A163" s="9" t="str">
        <f aca="false">IF(E163="","",ROW()-5)</f>
        <v/>
      </c>
      <c r="B163" s="20"/>
      <c r="C163" s="21"/>
      <c r="D163" s="21"/>
      <c r="E163" s="22"/>
      <c r="F163" s="22"/>
      <c r="G163" s="21"/>
      <c r="H163" s="21"/>
      <c r="I163" s="9" t="str">
        <f aca="false">IF(C163="","",IFERROR(INDEX(CLIENTES!$B$6:$B$305,MATCH(C163,CLIENTES!$A$6:$A$305,0)),"⚠ ID no registrado"))</f>
        <v/>
      </c>
      <c r="J163" s="9" t="str">
        <f aca="false">IF(C163="","",IFERROR(INDEX(CLIENTES!$Z$6:$Z$305,MATCH(C163,CLIENTES!$A$6:$A$305,0)),""))</f>
        <v/>
      </c>
      <c r="K163" s="9" t="str">
        <f aca="false">IF(E163="","",IF(AB163="Siempre","Sí",IF(ISNUMBER(AC163),IF(E163&gt;=AC163,"Sí",IF(AW163&gt;=AC163,"Sí (serie 24 h)","No")),"")))</f>
        <v/>
      </c>
      <c r="L163" s="9" t="str">
        <f aca="false">IF(E163="","",AA163)</f>
        <v/>
      </c>
      <c r="M163" s="9" t="str">
        <f aca="false">IF(E163="","",IF(AA163&lt;&gt;"ACUMULA","No aplica",IF(LEFT(K163,2)="Sí","Sí","No")))</f>
        <v/>
      </c>
      <c r="N163" s="23" t="str">
        <f aca="false">IF(M163="Sí",AJ163,"")</f>
        <v/>
      </c>
      <c r="O163" s="24" t="str">
        <f aca="false">IF(M163="Sí",AK163,"")</f>
        <v/>
      </c>
      <c r="P163" s="25" t="str">
        <f aca="false">IF(AND(LEFT(D163,6)="XIV - ",LEFT(AX163,5)="AVISO"),"Pedimento (R 16): no va al SPPLD",AX163)</f>
        <v/>
      </c>
      <c r="Q163" s="23" t="str">
        <f aca="false">IF(LEFT(P163,5)="AVISO",IF(ISNUMBER(B163),DATE(YEAR(B163),MONTH(B163)+1,17),"Falta fecha"),"")</f>
        <v/>
      </c>
      <c r="R163" s="9" t="str">
        <f aca="false">IF(OR(F163="",F163=0),"",IF(ISNUMBER(AG163),IF(F163&gt;=AG163,"PROHIBIDO","Dentro del límite"),"No aplica"))</f>
        <v/>
      </c>
      <c r="S163" s="26" t="str">
        <f aca="false">IF(E163="","",MID(IF(AQ163=1," · Excede el perfil declarado","")&amp;IF(H163="Sí"," · Paga un tercero","")&amp;IF(J163="Alto"," · Cliente de riesgo alto: DDR (RCG 23 Ter 3 y 4)","")&amp;IF(AND(AS163&lt;&gt;"",AS163&lt;&gt;"No",AS163&lt;&gt;0)," · PEP","")&amp;IF(R163="PROHIBIDO"," · Efectivo prohibido: no lo recibas (Art. 32)","")&amp;IF(AR163=1," · ⚠ Fecha fuera de orden","")&amp;IF(LEFT(I163,1)="⚠"," · ⚠ Cliente no registrado","")&amp;IF(D163=""," · ⚠ Falta la actividad","")&amp;IF(AND(LEFT(P163,5)="AVISO",W163="")," · Captura la cifra total con IVA para el Aviso","")&amp;IF(AND(ISNUMBER(W163),W163&lt;E163)," · ⚠ La cifra con IVA es menor que el monto sin IVA",""),4,400))</f>
        <v/>
      </c>
      <c r="T163" s="21"/>
      <c r="U163" s="20"/>
      <c r="V163" s="9" t="str">
        <f aca="false">IF(LEFT(P163,5)&lt;&gt;"AVISO","",IF(T163="Presentado",IF(AND(ISNUMBER(U163),ISNUMBER(Q163),U163&gt;Q163),"Presentado tarde","Presentado"),IF(NOT(ISNUMBER(Q163)),"Falta fecha",IF(Q163&lt;CONFIG!$B$6,"VENCIDO","Vence en "&amp;(Q163-CONFIG!$B$6)&amp;" días"))))</f>
        <v/>
      </c>
      <c r="W163" s="22"/>
      <c r="X163" s="21"/>
      <c r="AA163" s="0" t="str">
        <f aca="false">IF(AM163="","",INDEX(CATÁLOGO!$D$5:$D$39,AM163))</f>
        <v/>
      </c>
      <c r="AB163" s="0" t="str">
        <f aca="false">IF(AM163="","",INDEX(CATÁLOGO!$E$5:$E$39,AM163))</f>
        <v/>
      </c>
      <c r="AC163" s="0" t="str">
        <f aca="false">IF(AB163="","",IF(ISNUMBER(AB163),AB163*AV163,AB163))</f>
        <v/>
      </c>
      <c r="AD163" s="0" t="str">
        <f aca="false">IF(AM163="","",INDEX(CATÁLOGO!$F$5:$F$39,AM163))</f>
        <v/>
      </c>
      <c r="AE163" s="0" t="str">
        <f aca="false">IF(AD163="","",IF(ISNUMBER(AD163),AD163*AV163,AD163))</f>
        <v/>
      </c>
      <c r="AF163" s="0" t="str">
        <f aca="false">IF(AM163="","",INDEX(CATÁLOGO!$G$5:$G$39,AM163))</f>
        <v/>
      </c>
      <c r="AG163" s="0" t="str">
        <f aca="false">IF(AF163="","",IF(ISNUMBER(AF163),AF163*AV163,AF163))</f>
        <v/>
      </c>
      <c r="AH163" s="0" t="str">
        <f aca="false">IF(E163="","",C163&amp;"|"&amp;D163)</f>
        <v/>
      </c>
      <c r="AI163" s="27" t="n">
        <f aca="false">IF(M163&lt;&gt;"Sí",0,SUMPRODUCT(MAX(($AH$5:AH162=AH163)*($M$5:M162="Sí")*ROW($AH$5:AH162))))</f>
        <v>0</v>
      </c>
      <c r="AJ163" s="0" t="str">
        <f aca="false">IF(M163&lt;&gt;"Sí","",IF(AL163=1,B163,INDEX($AJ:$AJ,AI163)))</f>
        <v/>
      </c>
      <c r="AK163" s="0" t="str">
        <f aca="false">IF(M163&lt;&gt;"Sí","",IF(AL163=1,E163,INDEX($AK:$AK,AI163)+E163))</f>
        <v/>
      </c>
      <c r="AL163" s="0" t="str">
        <f aca="false">IF(M163&lt;&gt;"Sí","",IF(AI163=0,1,IF(INDEX($AN:$AN,AI163)=0,1,IF(B163&gt;=EDATE(INDEX($AJ:$AJ,AI163),6),1,0))))</f>
        <v/>
      </c>
      <c r="AM163" s="0" t="str">
        <f aca="false">IF(D163="","",IFERROR(MATCH(D163,CATÁLOGO!$C$5:$C$39,0),""))</f>
        <v/>
      </c>
      <c r="AN163" s="0" t="str">
        <f aca="false">IF(M163&lt;&gt;"Sí","",IF(AND(ISNUMBER(AE163),AK163&gt;=AE163),0,1))</f>
        <v/>
      </c>
      <c r="AO163" s="0" t="str">
        <f aca="false">IF(OR(E163="",C163="",NOT(ISNUMBER(B163))),"",SUMIFS($E$6:$E$505,$C$6:$C$505,C163,$B$6:$B$505,"&gt;="&amp;DATE(YEAR(B163),MONTH(B163),1),$B$6:$B$505,"&lt;"&amp;DATE(YEAR(B163),MONTH(B163)+1,1)))</f>
        <v/>
      </c>
      <c r="AP163" s="0" t="str">
        <f aca="false">IF(C163="","",IFERROR(INDEX(CLIENTES!$M$6:$M$305,MATCH(C163,CLIENTES!$A$6:$A$305,0)),""))</f>
        <v/>
      </c>
      <c r="AQ163" s="27" t="n">
        <f aca="false">IF(AND(ISNUMBER(AO163),ISNUMBER(AP163)),IF(AND(AP163&gt;0,AO163&gt;AP163),1,0),0)</f>
        <v>0</v>
      </c>
      <c r="AR163" s="27" t="n">
        <f aca="false">IF(NOT(ISNUMBER(B163)),0,IF(B163&lt;MAX($B$5:B162),1,0))</f>
        <v>0</v>
      </c>
      <c r="AS163" s="0" t="str">
        <f aca="false">IF(C163="","",IFERROR(INDEX(CLIENTES!$H$6:$H$305,MATCH(C163,CLIENTES!$A$6:$A$305,0)),""))</f>
        <v/>
      </c>
      <c r="AT163" s="0" t="str">
        <f aca="false">IF(AND(LEFT(P163,5)="AVISO",T163&lt;&gt;"Presentado",ISNUMBER(Q163)),Q163,"")</f>
        <v/>
      </c>
      <c r="AU163" s="27" t="n">
        <f aca="false">IF(AND(D163="XVI - Activos virtuales (PSAV): operación de intercambio/transferencia",M163="Sí",ISNUMBER(AE163)),IF(AK163&gt;=AE163,1,0),0)</f>
        <v>0</v>
      </c>
      <c r="AV163" s="30" t="n">
        <f aca="false">IF(NOT(ISNUMBER(B163)),CONFIG!$B$4,IFERROR(INDEX(CONFIG!$I$5:$I$14,MATCH(IF(MONTH(B163)=1,YEAR(B163)-1,YEAR(B163)),CONFIG!$H$5:$H$14,0)),CONFIG!$B$4))</f>
        <v>117.31</v>
      </c>
      <c r="AW163" s="27" t="n">
        <f aca="false">IF(AND(LEFT(D163,4)="I - ",ISNUMBER(B163),C163&lt;&gt;""),SUMIFS($E$6:$E$505,$C$6:$C$505,C163,$D$6:$D$505,D163,$B$6:$B$505,"&gt;"&amp;(B163-1),$B$6:$B$505,"&lt;="&amp;B163),0)</f>
        <v>0</v>
      </c>
      <c r="AX163" s="0" t="str">
        <f aca="false">IF(E163="","",IF(AD163="Siempre","AVISO (siempre)",IF(AD163="No aplica","Sin Aviso (sólo preparas: Ley 17 XI)",IF(NOT(ISNUMBER(AE163)),"",IF(AA163&lt;&gt;"ACUMULA",IF(E163&gt;=AE163,IF(AND(D163="XVI - Activos virtuales (PSAV): cobro de contraprestación (comisión) por el servicio",COUNTIFS($C$6:$C$505,C163,$B$6:$B$505,"&gt;="&amp;INT(B163),$B$6:$B$505,"&lt;"&amp;(INT(B163)+1),$AU$6:$AU$505,1)&gt;0),"En el Aviso del inciso a) (R 31 Bis)","AVISO"),"—"),IF(M163&lt;&gt;"Sí","—",IF(AK163&gt;=AE163,IF(AK163=E163,"AVISO","AVISO (acumulado)"),"Acumulando")))))))</f>
        <v/>
      </c>
    </row>
    <row r="164" customFormat="false" ht="15" hidden="false" customHeight="false" outlineLevel="0" collapsed="false">
      <c r="A164" s="9" t="str">
        <f aca="false">IF(E164="","",ROW()-5)</f>
        <v/>
      </c>
      <c r="B164" s="20"/>
      <c r="C164" s="21"/>
      <c r="D164" s="21"/>
      <c r="E164" s="22"/>
      <c r="F164" s="22"/>
      <c r="G164" s="21"/>
      <c r="H164" s="21"/>
      <c r="I164" s="9" t="str">
        <f aca="false">IF(C164="","",IFERROR(INDEX(CLIENTES!$B$6:$B$305,MATCH(C164,CLIENTES!$A$6:$A$305,0)),"⚠ ID no registrado"))</f>
        <v/>
      </c>
      <c r="J164" s="9" t="str">
        <f aca="false">IF(C164="","",IFERROR(INDEX(CLIENTES!$Z$6:$Z$305,MATCH(C164,CLIENTES!$A$6:$A$305,0)),""))</f>
        <v/>
      </c>
      <c r="K164" s="9" t="str">
        <f aca="false">IF(E164="","",IF(AB164="Siempre","Sí",IF(ISNUMBER(AC164),IF(E164&gt;=AC164,"Sí",IF(AW164&gt;=AC164,"Sí (serie 24 h)","No")),"")))</f>
        <v/>
      </c>
      <c r="L164" s="9" t="str">
        <f aca="false">IF(E164="","",AA164)</f>
        <v/>
      </c>
      <c r="M164" s="9" t="str">
        <f aca="false">IF(E164="","",IF(AA164&lt;&gt;"ACUMULA","No aplica",IF(LEFT(K164,2)="Sí","Sí","No")))</f>
        <v/>
      </c>
      <c r="N164" s="23" t="str">
        <f aca="false">IF(M164="Sí",AJ164,"")</f>
        <v/>
      </c>
      <c r="O164" s="24" t="str">
        <f aca="false">IF(M164="Sí",AK164,"")</f>
        <v/>
      </c>
      <c r="P164" s="25" t="str">
        <f aca="false">IF(AND(LEFT(D164,6)="XIV - ",LEFT(AX164,5)="AVISO"),"Pedimento (R 16): no va al SPPLD",AX164)</f>
        <v/>
      </c>
      <c r="Q164" s="23" t="str">
        <f aca="false">IF(LEFT(P164,5)="AVISO",IF(ISNUMBER(B164),DATE(YEAR(B164),MONTH(B164)+1,17),"Falta fecha"),"")</f>
        <v/>
      </c>
      <c r="R164" s="9" t="str">
        <f aca="false">IF(OR(F164="",F164=0),"",IF(ISNUMBER(AG164),IF(F164&gt;=AG164,"PROHIBIDO","Dentro del límite"),"No aplica"))</f>
        <v/>
      </c>
      <c r="S164" s="26" t="str">
        <f aca="false">IF(E164="","",MID(IF(AQ164=1," · Excede el perfil declarado","")&amp;IF(H164="Sí"," · Paga un tercero","")&amp;IF(J164="Alto"," · Cliente de riesgo alto: DDR (RCG 23 Ter 3 y 4)","")&amp;IF(AND(AS164&lt;&gt;"",AS164&lt;&gt;"No",AS164&lt;&gt;0)," · PEP","")&amp;IF(R164="PROHIBIDO"," · Efectivo prohibido: no lo recibas (Art. 32)","")&amp;IF(AR164=1," · ⚠ Fecha fuera de orden","")&amp;IF(LEFT(I164,1)="⚠"," · ⚠ Cliente no registrado","")&amp;IF(D164=""," · ⚠ Falta la actividad","")&amp;IF(AND(LEFT(P164,5)="AVISO",W164="")," · Captura la cifra total con IVA para el Aviso","")&amp;IF(AND(ISNUMBER(W164),W164&lt;E164)," · ⚠ La cifra con IVA es menor que el monto sin IVA",""),4,400))</f>
        <v/>
      </c>
      <c r="T164" s="21"/>
      <c r="U164" s="20"/>
      <c r="V164" s="9" t="str">
        <f aca="false">IF(LEFT(P164,5)&lt;&gt;"AVISO","",IF(T164="Presentado",IF(AND(ISNUMBER(U164),ISNUMBER(Q164),U164&gt;Q164),"Presentado tarde","Presentado"),IF(NOT(ISNUMBER(Q164)),"Falta fecha",IF(Q164&lt;CONFIG!$B$6,"VENCIDO","Vence en "&amp;(Q164-CONFIG!$B$6)&amp;" días"))))</f>
        <v/>
      </c>
      <c r="W164" s="22"/>
      <c r="X164" s="21"/>
      <c r="AA164" s="0" t="str">
        <f aca="false">IF(AM164="","",INDEX(CATÁLOGO!$D$5:$D$39,AM164))</f>
        <v/>
      </c>
      <c r="AB164" s="0" t="str">
        <f aca="false">IF(AM164="","",INDEX(CATÁLOGO!$E$5:$E$39,AM164))</f>
        <v/>
      </c>
      <c r="AC164" s="0" t="str">
        <f aca="false">IF(AB164="","",IF(ISNUMBER(AB164),AB164*AV164,AB164))</f>
        <v/>
      </c>
      <c r="AD164" s="0" t="str">
        <f aca="false">IF(AM164="","",INDEX(CATÁLOGO!$F$5:$F$39,AM164))</f>
        <v/>
      </c>
      <c r="AE164" s="0" t="str">
        <f aca="false">IF(AD164="","",IF(ISNUMBER(AD164),AD164*AV164,AD164))</f>
        <v/>
      </c>
      <c r="AF164" s="0" t="str">
        <f aca="false">IF(AM164="","",INDEX(CATÁLOGO!$G$5:$G$39,AM164))</f>
        <v/>
      </c>
      <c r="AG164" s="0" t="str">
        <f aca="false">IF(AF164="","",IF(ISNUMBER(AF164),AF164*AV164,AF164))</f>
        <v/>
      </c>
      <c r="AH164" s="0" t="str">
        <f aca="false">IF(E164="","",C164&amp;"|"&amp;D164)</f>
        <v/>
      </c>
      <c r="AI164" s="27" t="n">
        <f aca="false">IF(M164&lt;&gt;"Sí",0,SUMPRODUCT(MAX(($AH$5:AH163=AH164)*($M$5:M163="Sí")*ROW($AH$5:AH163))))</f>
        <v>0</v>
      </c>
      <c r="AJ164" s="0" t="str">
        <f aca="false">IF(M164&lt;&gt;"Sí","",IF(AL164=1,B164,INDEX($AJ:$AJ,AI164)))</f>
        <v/>
      </c>
      <c r="AK164" s="0" t="str">
        <f aca="false">IF(M164&lt;&gt;"Sí","",IF(AL164=1,E164,INDEX($AK:$AK,AI164)+E164))</f>
        <v/>
      </c>
      <c r="AL164" s="0" t="str">
        <f aca="false">IF(M164&lt;&gt;"Sí","",IF(AI164=0,1,IF(INDEX($AN:$AN,AI164)=0,1,IF(B164&gt;=EDATE(INDEX($AJ:$AJ,AI164),6),1,0))))</f>
        <v/>
      </c>
      <c r="AM164" s="0" t="str">
        <f aca="false">IF(D164="","",IFERROR(MATCH(D164,CATÁLOGO!$C$5:$C$39,0),""))</f>
        <v/>
      </c>
      <c r="AN164" s="0" t="str">
        <f aca="false">IF(M164&lt;&gt;"Sí","",IF(AND(ISNUMBER(AE164),AK164&gt;=AE164),0,1))</f>
        <v/>
      </c>
      <c r="AO164" s="0" t="str">
        <f aca="false">IF(OR(E164="",C164="",NOT(ISNUMBER(B164))),"",SUMIFS($E$6:$E$505,$C$6:$C$505,C164,$B$6:$B$505,"&gt;="&amp;DATE(YEAR(B164),MONTH(B164),1),$B$6:$B$505,"&lt;"&amp;DATE(YEAR(B164),MONTH(B164)+1,1)))</f>
        <v/>
      </c>
      <c r="AP164" s="0" t="str">
        <f aca="false">IF(C164="","",IFERROR(INDEX(CLIENTES!$M$6:$M$305,MATCH(C164,CLIENTES!$A$6:$A$305,0)),""))</f>
        <v/>
      </c>
      <c r="AQ164" s="27" t="n">
        <f aca="false">IF(AND(ISNUMBER(AO164),ISNUMBER(AP164)),IF(AND(AP164&gt;0,AO164&gt;AP164),1,0),0)</f>
        <v>0</v>
      </c>
      <c r="AR164" s="27" t="n">
        <f aca="false">IF(NOT(ISNUMBER(B164)),0,IF(B164&lt;MAX($B$5:B163),1,0))</f>
        <v>0</v>
      </c>
      <c r="AS164" s="0" t="str">
        <f aca="false">IF(C164="","",IFERROR(INDEX(CLIENTES!$H$6:$H$305,MATCH(C164,CLIENTES!$A$6:$A$305,0)),""))</f>
        <v/>
      </c>
      <c r="AT164" s="0" t="str">
        <f aca="false">IF(AND(LEFT(P164,5)="AVISO",T164&lt;&gt;"Presentado",ISNUMBER(Q164)),Q164,"")</f>
        <v/>
      </c>
      <c r="AU164" s="27" t="n">
        <f aca="false">IF(AND(D164="XVI - Activos virtuales (PSAV): operación de intercambio/transferencia",M164="Sí",ISNUMBER(AE164)),IF(AK164&gt;=AE164,1,0),0)</f>
        <v>0</v>
      </c>
      <c r="AV164" s="30" t="n">
        <f aca="false">IF(NOT(ISNUMBER(B164)),CONFIG!$B$4,IFERROR(INDEX(CONFIG!$I$5:$I$14,MATCH(IF(MONTH(B164)=1,YEAR(B164)-1,YEAR(B164)),CONFIG!$H$5:$H$14,0)),CONFIG!$B$4))</f>
        <v>117.31</v>
      </c>
      <c r="AW164" s="27" t="n">
        <f aca="false">IF(AND(LEFT(D164,4)="I - ",ISNUMBER(B164),C164&lt;&gt;""),SUMIFS($E$6:$E$505,$C$6:$C$505,C164,$D$6:$D$505,D164,$B$6:$B$505,"&gt;"&amp;(B164-1),$B$6:$B$505,"&lt;="&amp;B164),0)</f>
        <v>0</v>
      </c>
      <c r="AX164" s="0" t="str">
        <f aca="false">IF(E164="","",IF(AD164="Siempre","AVISO (siempre)",IF(AD164="No aplica","Sin Aviso (sólo preparas: Ley 17 XI)",IF(NOT(ISNUMBER(AE164)),"",IF(AA164&lt;&gt;"ACUMULA",IF(E164&gt;=AE164,IF(AND(D164="XVI - Activos virtuales (PSAV): cobro de contraprestación (comisión) por el servicio",COUNTIFS($C$6:$C$505,C164,$B$6:$B$505,"&gt;="&amp;INT(B164),$B$6:$B$505,"&lt;"&amp;(INT(B164)+1),$AU$6:$AU$505,1)&gt;0),"En el Aviso del inciso a) (R 31 Bis)","AVISO"),"—"),IF(M164&lt;&gt;"Sí","—",IF(AK164&gt;=AE164,IF(AK164=E164,"AVISO","AVISO (acumulado)"),"Acumulando")))))))</f>
        <v/>
      </c>
    </row>
    <row r="165" customFormat="false" ht="15" hidden="false" customHeight="false" outlineLevel="0" collapsed="false">
      <c r="A165" s="9" t="str">
        <f aca="false">IF(E165="","",ROW()-5)</f>
        <v/>
      </c>
      <c r="B165" s="20"/>
      <c r="C165" s="21"/>
      <c r="D165" s="21"/>
      <c r="E165" s="22"/>
      <c r="F165" s="22"/>
      <c r="G165" s="21"/>
      <c r="H165" s="21"/>
      <c r="I165" s="9" t="str">
        <f aca="false">IF(C165="","",IFERROR(INDEX(CLIENTES!$B$6:$B$305,MATCH(C165,CLIENTES!$A$6:$A$305,0)),"⚠ ID no registrado"))</f>
        <v/>
      </c>
      <c r="J165" s="9" t="str">
        <f aca="false">IF(C165="","",IFERROR(INDEX(CLIENTES!$Z$6:$Z$305,MATCH(C165,CLIENTES!$A$6:$A$305,0)),""))</f>
        <v/>
      </c>
      <c r="K165" s="9" t="str">
        <f aca="false">IF(E165="","",IF(AB165="Siempre","Sí",IF(ISNUMBER(AC165),IF(E165&gt;=AC165,"Sí",IF(AW165&gt;=AC165,"Sí (serie 24 h)","No")),"")))</f>
        <v/>
      </c>
      <c r="L165" s="9" t="str">
        <f aca="false">IF(E165="","",AA165)</f>
        <v/>
      </c>
      <c r="M165" s="9" t="str">
        <f aca="false">IF(E165="","",IF(AA165&lt;&gt;"ACUMULA","No aplica",IF(LEFT(K165,2)="Sí","Sí","No")))</f>
        <v/>
      </c>
      <c r="N165" s="23" t="str">
        <f aca="false">IF(M165="Sí",AJ165,"")</f>
        <v/>
      </c>
      <c r="O165" s="24" t="str">
        <f aca="false">IF(M165="Sí",AK165,"")</f>
        <v/>
      </c>
      <c r="P165" s="25" t="str">
        <f aca="false">IF(AND(LEFT(D165,6)="XIV - ",LEFT(AX165,5)="AVISO"),"Pedimento (R 16): no va al SPPLD",AX165)</f>
        <v/>
      </c>
      <c r="Q165" s="23" t="str">
        <f aca="false">IF(LEFT(P165,5)="AVISO",IF(ISNUMBER(B165),DATE(YEAR(B165),MONTH(B165)+1,17),"Falta fecha"),"")</f>
        <v/>
      </c>
      <c r="R165" s="9" t="str">
        <f aca="false">IF(OR(F165="",F165=0),"",IF(ISNUMBER(AG165),IF(F165&gt;=AG165,"PROHIBIDO","Dentro del límite"),"No aplica"))</f>
        <v/>
      </c>
      <c r="S165" s="26" t="str">
        <f aca="false">IF(E165="","",MID(IF(AQ165=1," · Excede el perfil declarado","")&amp;IF(H165="Sí"," · Paga un tercero","")&amp;IF(J165="Alto"," · Cliente de riesgo alto: DDR (RCG 23 Ter 3 y 4)","")&amp;IF(AND(AS165&lt;&gt;"",AS165&lt;&gt;"No",AS165&lt;&gt;0)," · PEP","")&amp;IF(R165="PROHIBIDO"," · Efectivo prohibido: no lo recibas (Art. 32)","")&amp;IF(AR165=1," · ⚠ Fecha fuera de orden","")&amp;IF(LEFT(I165,1)="⚠"," · ⚠ Cliente no registrado","")&amp;IF(D165=""," · ⚠ Falta la actividad","")&amp;IF(AND(LEFT(P165,5)="AVISO",W165="")," · Captura la cifra total con IVA para el Aviso","")&amp;IF(AND(ISNUMBER(W165),W165&lt;E165)," · ⚠ La cifra con IVA es menor que el monto sin IVA",""),4,400))</f>
        <v/>
      </c>
      <c r="T165" s="21"/>
      <c r="U165" s="20"/>
      <c r="V165" s="9" t="str">
        <f aca="false">IF(LEFT(P165,5)&lt;&gt;"AVISO","",IF(T165="Presentado",IF(AND(ISNUMBER(U165),ISNUMBER(Q165),U165&gt;Q165),"Presentado tarde","Presentado"),IF(NOT(ISNUMBER(Q165)),"Falta fecha",IF(Q165&lt;CONFIG!$B$6,"VENCIDO","Vence en "&amp;(Q165-CONFIG!$B$6)&amp;" días"))))</f>
        <v/>
      </c>
      <c r="W165" s="22"/>
      <c r="X165" s="21"/>
      <c r="AA165" s="0" t="str">
        <f aca="false">IF(AM165="","",INDEX(CATÁLOGO!$D$5:$D$39,AM165))</f>
        <v/>
      </c>
      <c r="AB165" s="0" t="str">
        <f aca="false">IF(AM165="","",INDEX(CATÁLOGO!$E$5:$E$39,AM165))</f>
        <v/>
      </c>
      <c r="AC165" s="0" t="str">
        <f aca="false">IF(AB165="","",IF(ISNUMBER(AB165),AB165*AV165,AB165))</f>
        <v/>
      </c>
      <c r="AD165" s="0" t="str">
        <f aca="false">IF(AM165="","",INDEX(CATÁLOGO!$F$5:$F$39,AM165))</f>
        <v/>
      </c>
      <c r="AE165" s="0" t="str">
        <f aca="false">IF(AD165="","",IF(ISNUMBER(AD165),AD165*AV165,AD165))</f>
        <v/>
      </c>
      <c r="AF165" s="0" t="str">
        <f aca="false">IF(AM165="","",INDEX(CATÁLOGO!$G$5:$G$39,AM165))</f>
        <v/>
      </c>
      <c r="AG165" s="0" t="str">
        <f aca="false">IF(AF165="","",IF(ISNUMBER(AF165),AF165*AV165,AF165))</f>
        <v/>
      </c>
      <c r="AH165" s="0" t="str">
        <f aca="false">IF(E165="","",C165&amp;"|"&amp;D165)</f>
        <v/>
      </c>
      <c r="AI165" s="27" t="n">
        <f aca="false">IF(M165&lt;&gt;"Sí",0,SUMPRODUCT(MAX(($AH$5:AH164=AH165)*($M$5:M164="Sí")*ROW($AH$5:AH164))))</f>
        <v>0</v>
      </c>
      <c r="AJ165" s="0" t="str">
        <f aca="false">IF(M165&lt;&gt;"Sí","",IF(AL165=1,B165,INDEX($AJ:$AJ,AI165)))</f>
        <v/>
      </c>
      <c r="AK165" s="0" t="str">
        <f aca="false">IF(M165&lt;&gt;"Sí","",IF(AL165=1,E165,INDEX($AK:$AK,AI165)+E165))</f>
        <v/>
      </c>
      <c r="AL165" s="0" t="str">
        <f aca="false">IF(M165&lt;&gt;"Sí","",IF(AI165=0,1,IF(INDEX($AN:$AN,AI165)=0,1,IF(B165&gt;=EDATE(INDEX($AJ:$AJ,AI165),6),1,0))))</f>
        <v/>
      </c>
      <c r="AM165" s="0" t="str">
        <f aca="false">IF(D165="","",IFERROR(MATCH(D165,CATÁLOGO!$C$5:$C$39,0),""))</f>
        <v/>
      </c>
      <c r="AN165" s="0" t="str">
        <f aca="false">IF(M165&lt;&gt;"Sí","",IF(AND(ISNUMBER(AE165),AK165&gt;=AE165),0,1))</f>
        <v/>
      </c>
      <c r="AO165" s="0" t="str">
        <f aca="false">IF(OR(E165="",C165="",NOT(ISNUMBER(B165))),"",SUMIFS($E$6:$E$505,$C$6:$C$505,C165,$B$6:$B$505,"&gt;="&amp;DATE(YEAR(B165),MONTH(B165),1),$B$6:$B$505,"&lt;"&amp;DATE(YEAR(B165),MONTH(B165)+1,1)))</f>
        <v/>
      </c>
      <c r="AP165" s="0" t="str">
        <f aca="false">IF(C165="","",IFERROR(INDEX(CLIENTES!$M$6:$M$305,MATCH(C165,CLIENTES!$A$6:$A$305,0)),""))</f>
        <v/>
      </c>
      <c r="AQ165" s="27" t="n">
        <f aca="false">IF(AND(ISNUMBER(AO165),ISNUMBER(AP165)),IF(AND(AP165&gt;0,AO165&gt;AP165),1,0),0)</f>
        <v>0</v>
      </c>
      <c r="AR165" s="27" t="n">
        <f aca="false">IF(NOT(ISNUMBER(B165)),0,IF(B165&lt;MAX($B$5:B164),1,0))</f>
        <v>0</v>
      </c>
      <c r="AS165" s="0" t="str">
        <f aca="false">IF(C165="","",IFERROR(INDEX(CLIENTES!$H$6:$H$305,MATCH(C165,CLIENTES!$A$6:$A$305,0)),""))</f>
        <v/>
      </c>
      <c r="AT165" s="0" t="str">
        <f aca="false">IF(AND(LEFT(P165,5)="AVISO",T165&lt;&gt;"Presentado",ISNUMBER(Q165)),Q165,"")</f>
        <v/>
      </c>
      <c r="AU165" s="27" t="n">
        <f aca="false">IF(AND(D165="XVI - Activos virtuales (PSAV): operación de intercambio/transferencia",M165="Sí",ISNUMBER(AE165)),IF(AK165&gt;=AE165,1,0),0)</f>
        <v>0</v>
      </c>
      <c r="AV165" s="30" t="n">
        <f aca="false">IF(NOT(ISNUMBER(B165)),CONFIG!$B$4,IFERROR(INDEX(CONFIG!$I$5:$I$14,MATCH(IF(MONTH(B165)=1,YEAR(B165)-1,YEAR(B165)),CONFIG!$H$5:$H$14,0)),CONFIG!$B$4))</f>
        <v>117.31</v>
      </c>
      <c r="AW165" s="27" t="n">
        <f aca="false">IF(AND(LEFT(D165,4)="I - ",ISNUMBER(B165),C165&lt;&gt;""),SUMIFS($E$6:$E$505,$C$6:$C$505,C165,$D$6:$D$505,D165,$B$6:$B$505,"&gt;"&amp;(B165-1),$B$6:$B$505,"&lt;="&amp;B165),0)</f>
        <v>0</v>
      </c>
      <c r="AX165" s="0" t="str">
        <f aca="false">IF(E165="","",IF(AD165="Siempre","AVISO (siempre)",IF(AD165="No aplica","Sin Aviso (sólo preparas: Ley 17 XI)",IF(NOT(ISNUMBER(AE165)),"",IF(AA165&lt;&gt;"ACUMULA",IF(E165&gt;=AE165,IF(AND(D165="XVI - Activos virtuales (PSAV): cobro de contraprestación (comisión) por el servicio",COUNTIFS($C$6:$C$505,C165,$B$6:$B$505,"&gt;="&amp;INT(B165),$B$6:$B$505,"&lt;"&amp;(INT(B165)+1),$AU$6:$AU$505,1)&gt;0),"En el Aviso del inciso a) (R 31 Bis)","AVISO"),"—"),IF(M165&lt;&gt;"Sí","—",IF(AK165&gt;=AE165,IF(AK165=E165,"AVISO","AVISO (acumulado)"),"Acumulando")))))))</f>
        <v/>
      </c>
    </row>
    <row r="166" customFormat="false" ht="15" hidden="false" customHeight="false" outlineLevel="0" collapsed="false">
      <c r="A166" s="9" t="str">
        <f aca="false">IF(E166="","",ROW()-5)</f>
        <v/>
      </c>
      <c r="B166" s="20"/>
      <c r="C166" s="21"/>
      <c r="D166" s="21"/>
      <c r="E166" s="22"/>
      <c r="F166" s="22"/>
      <c r="G166" s="21"/>
      <c r="H166" s="21"/>
      <c r="I166" s="9" t="str">
        <f aca="false">IF(C166="","",IFERROR(INDEX(CLIENTES!$B$6:$B$305,MATCH(C166,CLIENTES!$A$6:$A$305,0)),"⚠ ID no registrado"))</f>
        <v/>
      </c>
      <c r="J166" s="9" t="str">
        <f aca="false">IF(C166="","",IFERROR(INDEX(CLIENTES!$Z$6:$Z$305,MATCH(C166,CLIENTES!$A$6:$A$305,0)),""))</f>
        <v/>
      </c>
      <c r="K166" s="9" t="str">
        <f aca="false">IF(E166="","",IF(AB166="Siempre","Sí",IF(ISNUMBER(AC166),IF(E166&gt;=AC166,"Sí",IF(AW166&gt;=AC166,"Sí (serie 24 h)","No")),"")))</f>
        <v/>
      </c>
      <c r="L166" s="9" t="str">
        <f aca="false">IF(E166="","",AA166)</f>
        <v/>
      </c>
      <c r="M166" s="9" t="str">
        <f aca="false">IF(E166="","",IF(AA166&lt;&gt;"ACUMULA","No aplica",IF(LEFT(K166,2)="Sí","Sí","No")))</f>
        <v/>
      </c>
      <c r="N166" s="23" t="str">
        <f aca="false">IF(M166="Sí",AJ166,"")</f>
        <v/>
      </c>
      <c r="O166" s="24" t="str">
        <f aca="false">IF(M166="Sí",AK166,"")</f>
        <v/>
      </c>
      <c r="P166" s="25" t="str">
        <f aca="false">IF(AND(LEFT(D166,6)="XIV - ",LEFT(AX166,5)="AVISO"),"Pedimento (R 16): no va al SPPLD",AX166)</f>
        <v/>
      </c>
      <c r="Q166" s="23" t="str">
        <f aca="false">IF(LEFT(P166,5)="AVISO",IF(ISNUMBER(B166),DATE(YEAR(B166),MONTH(B166)+1,17),"Falta fecha"),"")</f>
        <v/>
      </c>
      <c r="R166" s="9" t="str">
        <f aca="false">IF(OR(F166="",F166=0),"",IF(ISNUMBER(AG166),IF(F166&gt;=AG166,"PROHIBIDO","Dentro del límite"),"No aplica"))</f>
        <v/>
      </c>
      <c r="S166" s="26" t="str">
        <f aca="false">IF(E166="","",MID(IF(AQ166=1," · Excede el perfil declarado","")&amp;IF(H166="Sí"," · Paga un tercero","")&amp;IF(J166="Alto"," · Cliente de riesgo alto: DDR (RCG 23 Ter 3 y 4)","")&amp;IF(AND(AS166&lt;&gt;"",AS166&lt;&gt;"No",AS166&lt;&gt;0)," · PEP","")&amp;IF(R166="PROHIBIDO"," · Efectivo prohibido: no lo recibas (Art. 32)","")&amp;IF(AR166=1," · ⚠ Fecha fuera de orden","")&amp;IF(LEFT(I166,1)="⚠"," · ⚠ Cliente no registrado","")&amp;IF(D166=""," · ⚠ Falta la actividad","")&amp;IF(AND(LEFT(P166,5)="AVISO",W166="")," · Captura la cifra total con IVA para el Aviso","")&amp;IF(AND(ISNUMBER(W166),W166&lt;E166)," · ⚠ La cifra con IVA es menor que el monto sin IVA",""),4,400))</f>
        <v/>
      </c>
      <c r="T166" s="21"/>
      <c r="U166" s="20"/>
      <c r="V166" s="9" t="str">
        <f aca="false">IF(LEFT(P166,5)&lt;&gt;"AVISO","",IF(T166="Presentado",IF(AND(ISNUMBER(U166),ISNUMBER(Q166),U166&gt;Q166),"Presentado tarde","Presentado"),IF(NOT(ISNUMBER(Q166)),"Falta fecha",IF(Q166&lt;CONFIG!$B$6,"VENCIDO","Vence en "&amp;(Q166-CONFIG!$B$6)&amp;" días"))))</f>
        <v/>
      </c>
      <c r="W166" s="22"/>
      <c r="X166" s="21"/>
      <c r="AA166" s="0" t="str">
        <f aca="false">IF(AM166="","",INDEX(CATÁLOGO!$D$5:$D$39,AM166))</f>
        <v/>
      </c>
      <c r="AB166" s="0" t="str">
        <f aca="false">IF(AM166="","",INDEX(CATÁLOGO!$E$5:$E$39,AM166))</f>
        <v/>
      </c>
      <c r="AC166" s="0" t="str">
        <f aca="false">IF(AB166="","",IF(ISNUMBER(AB166),AB166*AV166,AB166))</f>
        <v/>
      </c>
      <c r="AD166" s="0" t="str">
        <f aca="false">IF(AM166="","",INDEX(CATÁLOGO!$F$5:$F$39,AM166))</f>
        <v/>
      </c>
      <c r="AE166" s="0" t="str">
        <f aca="false">IF(AD166="","",IF(ISNUMBER(AD166),AD166*AV166,AD166))</f>
        <v/>
      </c>
      <c r="AF166" s="0" t="str">
        <f aca="false">IF(AM166="","",INDEX(CATÁLOGO!$G$5:$G$39,AM166))</f>
        <v/>
      </c>
      <c r="AG166" s="0" t="str">
        <f aca="false">IF(AF166="","",IF(ISNUMBER(AF166),AF166*AV166,AF166))</f>
        <v/>
      </c>
      <c r="AH166" s="0" t="str">
        <f aca="false">IF(E166="","",C166&amp;"|"&amp;D166)</f>
        <v/>
      </c>
      <c r="AI166" s="27" t="n">
        <f aca="false">IF(M166&lt;&gt;"Sí",0,SUMPRODUCT(MAX(($AH$5:AH165=AH166)*($M$5:M165="Sí")*ROW($AH$5:AH165))))</f>
        <v>0</v>
      </c>
      <c r="AJ166" s="0" t="str">
        <f aca="false">IF(M166&lt;&gt;"Sí","",IF(AL166=1,B166,INDEX($AJ:$AJ,AI166)))</f>
        <v/>
      </c>
      <c r="AK166" s="0" t="str">
        <f aca="false">IF(M166&lt;&gt;"Sí","",IF(AL166=1,E166,INDEX($AK:$AK,AI166)+E166))</f>
        <v/>
      </c>
      <c r="AL166" s="0" t="str">
        <f aca="false">IF(M166&lt;&gt;"Sí","",IF(AI166=0,1,IF(INDEX($AN:$AN,AI166)=0,1,IF(B166&gt;=EDATE(INDEX($AJ:$AJ,AI166),6),1,0))))</f>
        <v/>
      </c>
      <c r="AM166" s="0" t="str">
        <f aca="false">IF(D166="","",IFERROR(MATCH(D166,CATÁLOGO!$C$5:$C$39,0),""))</f>
        <v/>
      </c>
      <c r="AN166" s="0" t="str">
        <f aca="false">IF(M166&lt;&gt;"Sí","",IF(AND(ISNUMBER(AE166),AK166&gt;=AE166),0,1))</f>
        <v/>
      </c>
      <c r="AO166" s="0" t="str">
        <f aca="false">IF(OR(E166="",C166="",NOT(ISNUMBER(B166))),"",SUMIFS($E$6:$E$505,$C$6:$C$505,C166,$B$6:$B$505,"&gt;="&amp;DATE(YEAR(B166),MONTH(B166),1),$B$6:$B$505,"&lt;"&amp;DATE(YEAR(B166),MONTH(B166)+1,1)))</f>
        <v/>
      </c>
      <c r="AP166" s="0" t="str">
        <f aca="false">IF(C166="","",IFERROR(INDEX(CLIENTES!$M$6:$M$305,MATCH(C166,CLIENTES!$A$6:$A$305,0)),""))</f>
        <v/>
      </c>
      <c r="AQ166" s="27" t="n">
        <f aca="false">IF(AND(ISNUMBER(AO166),ISNUMBER(AP166)),IF(AND(AP166&gt;0,AO166&gt;AP166),1,0),0)</f>
        <v>0</v>
      </c>
      <c r="AR166" s="27" t="n">
        <f aca="false">IF(NOT(ISNUMBER(B166)),0,IF(B166&lt;MAX($B$5:B165),1,0))</f>
        <v>0</v>
      </c>
      <c r="AS166" s="0" t="str">
        <f aca="false">IF(C166="","",IFERROR(INDEX(CLIENTES!$H$6:$H$305,MATCH(C166,CLIENTES!$A$6:$A$305,0)),""))</f>
        <v/>
      </c>
      <c r="AT166" s="0" t="str">
        <f aca="false">IF(AND(LEFT(P166,5)="AVISO",T166&lt;&gt;"Presentado",ISNUMBER(Q166)),Q166,"")</f>
        <v/>
      </c>
      <c r="AU166" s="27" t="n">
        <f aca="false">IF(AND(D166="XVI - Activos virtuales (PSAV): operación de intercambio/transferencia",M166="Sí",ISNUMBER(AE166)),IF(AK166&gt;=AE166,1,0),0)</f>
        <v>0</v>
      </c>
      <c r="AV166" s="30" t="n">
        <f aca="false">IF(NOT(ISNUMBER(B166)),CONFIG!$B$4,IFERROR(INDEX(CONFIG!$I$5:$I$14,MATCH(IF(MONTH(B166)=1,YEAR(B166)-1,YEAR(B166)),CONFIG!$H$5:$H$14,0)),CONFIG!$B$4))</f>
        <v>117.31</v>
      </c>
      <c r="AW166" s="27" t="n">
        <f aca="false">IF(AND(LEFT(D166,4)="I - ",ISNUMBER(B166),C166&lt;&gt;""),SUMIFS($E$6:$E$505,$C$6:$C$505,C166,$D$6:$D$505,D166,$B$6:$B$505,"&gt;"&amp;(B166-1),$B$6:$B$505,"&lt;="&amp;B166),0)</f>
        <v>0</v>
      </c>
      <c r="AX166" s="0" t="str">
        <f aca="false">IF(E166="","",IF(AD166="Siempre","AVISO (siempre)",IF(AD166="No aplica","Sin Aviso (sólo preparas: Ley 17 XI)",IF(NOT(ISNUMBER(AE166)),"",IF(AA166&lt;&gt;"ACUMULA",IF(E166&gt;=AE166,IF(AND(D166="XVI - Activos virtuales (PSAV): cobro de contraprestación (comisión) por el servicio",COUNTIFS($C$6:$C$505,C166,$B$6:$B$505,"&gt;="&amp;INT(B166),$B$6:$B$505,"&lt;"&amp;(INT(B166)+1),$AU$6:$AU$505,1)&gt;0),"En el Aviso del inciso a) (R 31 Bis)","AVISO"),"—"),IF(M166&lt;&gt;"Sí","—",IF(AK166&gt;=AE166,IF(AK166=E166,"AVISO","AVISO (acumulado)"),"Acumulando")))))))</f>
        <v/>
      </c>
    </row>
    <row r="167" customFormat="false" ht="15" hidden="false" customHeight="false" outlineLevel="0" collapsed="false">
      <c r="A167" s="9" t="str">
        <f aca="false">IF(E167="","",ROW()-5)</f>
        <v/>
      </c>
      <c r="B167" s="20"/>
      <c r="C167" s="21"/>
      <c r="D167" s="21"/>
      <c r="E167" s="22"/>
      <c r="F167" s="22"/>
      <c r="G167" s="21"/>
      <c r="H167" s="21"/>
      <c r="I167" s="9" t="str">
        <f aca="false">IF(C167="","",IFERROR(INDEX(CLIENTES!$B$6:$B$305,MATCH(C167,CLIENTES!$A$6:$A$305,0)),"⚠ ID no registrado"))</f>
        <v/>
      </c>
      <c r="J167" s="9" t="str">
        <f aca="false">IF(C167="","",IFERROR(INDEX(CLIENTES!$Z$6:$Z$305,MATCH(C167,CLIENTES!$A$6:$A$305,0)),""))</f>
        <v/>
      </c>
      <c r="K167" s="9" t="str">
        <f aca="false">IF(E167="","",IF(AB167="Siempre","Sí",IF(ISNUMBER(AC167),IF(E167&gt;=AC167,"Sí",IF(AW167&gt;=AC167,"Sí (serie 24 h)","No")),"")))</f>
        <v/>
      </c>
      <c r="L167" s="9" t="str">
        <f aca="false">IF(E167="","",AA167)</f>
        <v/>
      </c>
      <c r="M167" s="9" t="str">
        <f aca="false">IF(E167="","",IF(AA167&lt;&gt;"ACUMULA","No aplica",IF(LEFT(K167,2)="Sí","Sí","No")))</f>
        <v/>
      </c>
      <c r="N167" s="23" t="str">
        <f aca="false">IF(M167="Sí",AJ167,"")</f>
        <v/>
      </c>
      <c r="O167" s="24" t="str">
        <f aca="false">IF(M167="Sí",AK167,"")</f>
        <v/>
      </c>
      <c r="P167" s="25" t="str">
        <f aca="false">IF(AND(LEFT(D167,6)="XIV - ",LEFT(AX167,5)="AVISO"),"Pedimento (R 16): no va al SPPLD",AX167)</f>
        <v/>
      </c>
      <c r="Q167" s="23" t="str">
        <f aca="false">IF(LEFT(P167,5)="AVISO",IF(ISNUMBER(B167),DATE(YEAR(B167),MONTH(B167)+1,17),"Falta fecha"),"")</f>
        <v/>
      </c>
      <c r="R167" s="9" t="str">
        <f aca="false">IF(OR(F167="",F167=0),"",IF(ISNUMBER(AG167),IF(F167&gt;=AG167,"PROHIBIDO","Dentro del límite"),"No aplica"))</f>
        <v/>
      </c>
      <c r="S167" s="26" t="str">
        <f aca="false">IF(E167="","",MID(IF(AQ167=1," · Excede el perfil declarado","")&amp;IF(H167="Sí"," · Paga un tercero","")&amp;IF(J167="Alto"," · Cliente de riesgo alto: DDR (RCG 23 Ter 3 y 4)","")&amp;IF(AND(AS167&lt;&gt;"",AS167&lt;&gt;"No",AS167&lt;&gt;0)," · PEP","")&amp;IF(R167="PROHIBIDO"," · Efectivo prohibido: no lo recibas (Art. 32)","")&amp;IF(AR167=1," · ⚠ Fecha fuera de orden","")&amp;IF(LEFT(I167,1)="⚠"," · ⚠ Cliente no registrado","")&amp;IF(D167=""," · ⚠ Falta la actividad","")&amp;IF(AND(LEFT(P167,5)="AVISO",W167="")," · Captura la cifra total con IVA para el Aviso","")&amp;IF(AND(ISNUMBER(W167),W167&lt;E167)," · ⚠ La cifra con IVA es menor que el monto sin IVA",""),4,400))</f>
        <v/>
      </c>
      <c r="T167" s="21"/>
      <c r="U167" s="20"/>
      <c r="V167" s="9" t="str">
        <f aca="false">IF(LEFT(P167,5)&lt;&gt;"AVISO","",IF(T167="Presentado",IF(AND(ISNUMBER(U167),ISNUMBER(Q167),U167&gt;Q167),"Presentado tarde","Presentado"),IF(NOT(ISNUMBER(Q167)),"Falta fecha",IF(Q167&lt;CONFIG!$B$6,"VENCIDO","Vence en "&amp;(Q167-CONFIG!$B$6)&amp;" días"))))</f>
        <v/>
      </c>
      <c r="W167" s="22"/>
      <c r="X167" s="21"/>
      <c r="AA167" s="0" t="str">
        <f aca="false">IF(AM167="","",INDEX(CATÁLOGO!$D$5:$D$39,AM167))</f>
        <v/>
      </c>
      <c r="AB167" s="0" t="str">
        <f aca="false">IF(AM167="","",INDEX(CATÁLOGO!$E$5:$E$39,AM167))</f>
        <v/>
      </c>
      <c r="AC167" s="0" t="str">
        <f aca="false">IF(AB167="","",IF(ISNUMBER(AB167),AB167*AV167,AB167))</f>
        <v/>
      </c>
      <c r="AD167" s="0" t="str">
        <f aca="false">IF(AM167="","",INDEX(CATÁLOGO!$F$5:$F$39,AM167))</f>
        <v/>
      </c>
      <c r="AE167" s="0" t="str">
        <f aca="false">IF(AD167="","",IF(ISNUMBER(AD167),AD167*AV167,AD167))</f>
        <v/>
      </c>
      <c r="AF167" s="0" t="str">
        <f aca="false">IF(AM167="","",INDEX(CATÁLOGO!$G$5:$G$39,AM167))</f>
        <v/>
      </c>
      <c r="AG167" s="0" t="str">
        <f aca="false">IF(AF167="","",IF(ISNUMBER(AF167),AF167*AV167,AF167))</f>
        <v/>
      </c>
      <c r="AH167" s="0" t="str">
        <f aca="false">IF(E167="","",C167&amp;"|"&amp;D167)</f>
        <v/>
      </c>
      <c r="AI167" s="27" t="n">
        <f aca="false">IF(M167&lt;&gt;"Sí",0,SUMPRODUCT(MAX(($AH$5:AH166=AH167)*($M$5:M166="Sí")*ROW($AH$5:AH166))))</f>
        <v>0</v>
      </c>
      <c r="AJ167" s="0" t="str">
        <f aca="false">IF(M167&lt;&gt;"Sí","",IF(AL167=1,B167,INDEX($AJ:$AJ,AI167)))</f>
        <v/>
      </c>
      <c r="AK167" s="0" t="str">
        <f aca="false">IF(M167&lt;&gt;"Sí","",IF(AL167=1,E167,INDEX($AK:$AK,AI167)+E167))</f>
        <v/>
      </c>
      <c r="AL167" s="0" t="str">
        <f aca="false">IF(M167&lt;&gt;"Sí","",IF(AI167=0,1,IF(INDEX($AN:$AN,AI167)=0,1,IF(B167&gt;=EDATE(INDEX($AJ:$AJ,AI167),6),1,0))))</f>
        <v/>
      </c>
      <c r="AM167" s="0" t="str">
        <f aca="false">IF(D167="","",IFERROR(MATCH(D167,CATÁLOGO!$C$5:$C$39,0),""))</f>
        <v/>
      </c>
      <c r="AN167" s="0" t="str">
        <f aca="false">IF(M167&lt;&gt;"Sí","",IF(AND(ISNUMBER(AE167),AK167&gt;=AE167),0,1))</f>
        <v/>
      </c>
      <c r="AO167" s="0" t="str">
        <f aca="false">IF(OR(E167="",C167="",NOT(ISNUMBER(B167))),"",SUMIFS($E$6:$E$505,$C$6:$C$505,C167,$B$6:$B$505,"&gt;="&amp;DATE(YEAR(B167),MONTH(B167),1),$B$6:$B$505,"&lt;"&amp;DATE(YEAR(B167),MONTH(B167)+1,1)))</f>
        <v/>
      </c>
      <c r="AP167" s="0" t="str">
        <f aca="false">IF(C167="","",IFERROR(INDEX(CLIENTES!$M$6:$M$305,MATCH(C167,CLIENTES!$A$6:$A$305,0)),""))</f>
        <v/>
      </c>
      <c r="AQ167" s="27" t="n">
        <f aca="false">IF(AND(ISNUMBER(AO167),ISNUMBER(AP167)),IF(AND(AP167&gt;0,AO167&gt;AP167),1,0),0)</f>
        <v>0</v>
      </c>
      <c r="AR167" s="27" t="n">
        <f aca="false">IF(NOT(ISNUMBER(B167)),0,IF(B167&lt;MAX($B$5:B166),1,0))</f>
        <v>0</v>
      </c>
      <c r="AS167" s="0" t="str">
        <f aca="false">IF(C167="","",IFERROR(INDEX(CLIENTES!$H$6:$H$305,MATCH(C167,CLIENTES!$A$6:$A$305,0)),""))</f>
        <v/>
      </c>
      <c r="AT167" s="0" t="str">
        <f aca="false">IF(AND(LEFT(P167,5)="AVISO",T167&lt;&gt;"Presentado",ISNUMBER(Q167)),Q167,"")</f>
        <v/>
      </c>
      <c r="AU167" s="27" t="n">
        <f aca="false">IF(AND(D167="XVI - Activos virtuales (PSAV): operación de intercambio/transferencia",M167="Sí",ISNUMBER(AE167)),IF(AK167&gt;=AE167,1,0),0)</f>
        <v>0</v>
      </c>
      <c r="AV167" s="30" t="n">
        <f aca="false">IF(NOT(ISNUMBER(B167)),CONFIG!$B$4,IFERROR(INDEX(CONFIG!$I$5:$I$14,MATCH(IF(MONTH(B167)=1,YEAR(B167)-1,YEAR(B167)),CONFIG!$H$5:$H$14,0)),CONFIG!$B$4))</f>
        <v>117.31</v>
      </c>
      <c r="AW167" s="27" t="n">
        <f aca="false">IF(AND(LEFT(D167,4)="I - ",ISNUMBER(B167),C167&lt;&gt;""),SUMIFS($E$6:$E$505,$C$6:$C$505,C167,$D$6:$D$505,D167,$B$6:$B$505,"&gt;"&amp;(B167-1),$B$6:$B$505,"&lt;="&amp;B167),0)</f>
        <v>0</v>
      </c>
      <c r="AX167" s="0" t="str">
        <f aca="false">IF(E167="","",IF(AD167="Siempre","AVISO (siempre)",IF(AD167="No aplica","Sin Aviso (sólo preparas: Ley 17 XI)",IF(NOT(ISNUMBER(AE167)),"",IF(AA167&lt;&gt;"ACUMULA",IF(E167&gt;=AE167,IF(AND(D167="XVI - Activos virtuales (PSAV): cobro de contraprestación (comisión) por el servicio",COUNTIFS($C$6:$C$505,C167,$B$6:$B$505,"&gt;="&amp;INT(B167),$B$6:$B$505,"&lt;"&amp;(INT(B167)+1),$AU$6:$AU$505,1)&gt;0),"En el Aviso del inciso a) (R 31 Bis)","AVISO"),"—"),IF(M167&lt;&gt;"Sí","—",IF(AK167&gt;=AE167,IF(AK167=E167,"AVISO","AVISO (acumulado)"),"Acumulando")))))))</f>
        <v/>
      </c>
    </row>
    <row r="168" customFormat="false" ht="15" hidden="false" customHeight="false" outlineLevel="0" collapsed="false">
      <c r="A168" s="9" t="str">
        <f aca="false">IF(E168="","",ROW()-5)</f>
        <v/>
      </c>
      <c r="B168" s="20"/>
      <c r="C168" s="21"/>
      <c r="D168" s="21"/>
      <c r="E168" s="22"/>
      <c r="F168" s="22"/>
      <c r="G168" s="21"/>
      <c r="H168" s="21"/>
      <c r="I168" s="9" t="str">
        <f aca="false">IF(C168="","",IFERROR(INDEX(CLIENTES!$B$6:$B$305,MATCH(C168,CLIENTES!$A$6:$A$305,0)),"⚠ ID no registrado"))</f>
        <v/>
      </c>
      <c r="J168" s="9" t="str">
        <f aca="false">IF(C168="","",IFERROR(INDEX(CLIENTES!$Z$6:$Z$305,MATCH(C168,CLIENTES!$A$6:$A$305,0)),""))</f>
        <v/>
      </c>
      <c r="K168" s="9" t="str">
        <f aca="false">IF(E168="","",IF(AB168="Siempre","Sí",IF(ISNUMBER(AC168),IF(E168&gt;=AC168,"Sí",IF(AW168&gt;=AC168,"Sí (serie 24 h)","No")),"")))</f>
        <v/>
      </c>
      <c r="L168" s="9" t="str">
        <f aca="false">IF(E168="","",AA168)</f>
        <v/>
      </c>
      <c r="M168" s="9" t="str">
        <f aca="false">IF(E168="","",IF(AA168&lt;&gt;"ACUMULA","No aplica",IF(LEFT(K168,2)="Sí","Sí","No")))</f>
        <v/>
      </c>
      <c r="N168" s="23" t="str">
        <f aca="false">IF(M168="Sí",AJ168,"")</f>
        <v/>
      </c>
      <c r="O168" s="24" t="str">
        <f aca="false">IF(M168="Sí",AK168,"")</f>
        <v/>
      </c>
      <c r="P168" s="25" t="str">
        <f aca="false">IF(AND(LEFT(D168,6)="XIV - ",LEFT(AX168,5)="AVISO"),"Pedimento (R 16): no va al SPPLD",AX168)</f>
        <v/>
      </c>
      <c r="Q168" s="23" t="str">
        <f aca="false">IF(LEFT(P168,5)="AVISO",IF(ISNUMBER(B168),DATE(YEAR(B168),MONTH(B168)+1,17),"Falta fecha"),"")</f>
        <v/>
      </c>
      <c r="R168" s="9" t="str">
        <f aca="false">IF(OR(F168="",F168=0),"",IF(ISNUMBER(AG168),IF(F168&gt;=AG168,"PROHIBIDO","Dentro del límite"),"No aplica"))</f>
        <v/>
      </c>
      <c r="S168" s="26" t="str">
        <f aca="false">IF(E168="","",MID(IF(AQ168=1," · Excede el perfil declarado","")&amp;IF(H168="Sí"," · Paga un tercero","")&amp;IF(J168="Alto"," · Cliente de riesgo alto: DDR (RCG 23 Ter 3 y 4)","")&amp;IF(AND(AS168&lt;&gt;"",AS168&lt;&gt;"No",AS168&lt;&gt;0)," · PEP","")&amp;IF(R168="PROHIBIDO"," · Efectivo prohibido: no lo recibas (Art. 32)","")&amp;IF(AR168=1," · ⚠ Fecha fuera de orden","")&amp;IF(LEFT(I168,1)="⚠"," · ⚠ Cliente no registrado","")&amp;IF(D168=""," · ⚠ Falta la actividad","")&amp;IF(AND(LEFT(P168,5)="AVISO",W168="")," · Captura la cifra total con IVA para el Aviso","")&amp;IF(AND(ISNUMBER(W168),W168&lt;E168)," · ⚠ La cifra con IVA es menor que el monto sin IVA",""),4,400))</f>
        <v/>
      </c>
      <c r="T168" s="21"/>
      <c r="U168" s="20"/>
      <c r="V168" s="9" t="str">
        <f aca="false">IF(LEFT(P168,5)&lt;&gt;"AVISO","",IF(T168="Presentado",IF(AND(ISNUMBER(U168),ISNUMBER(Q168),U168&gt;Q168),"Presentado tarde","Presentado"),IF(NOT(ISNUMBER(Q168)),"Falta fecha",IF(Q168&lt;CONFIG!$B$6,"VENCIDO","Vence en "&amp;(Q168-CONFIG!$B$6)&amp;" días"))))</f>
        <v/>
      </c>
      <c r="W168" s="22"/>
      <c r="X168" s="21"/>
      <c r="AA168" s="0" t="str">
        <f aca="false">IF(AM168="","",INDEX(CATÁLOGO!$D$5:$D$39,AM168))</f>
        <v/>
      </c>
      <c r="AB168" s="0" t="str">
        <f aca="false">IF(AM168="","",INDEX(CATÁLOGO!$E$5:$E$39,AM168))</f>
        <v/>
      </c>
      <c r="AC168" s="0" t="str">
        <f aca="false">IF(AB168="","",IF(ISNUMBER(AB168),AB168*AV168,AB168))</f>
        <v/>
      </c>
      <c r="AD168" s="0" t="str">
        <f aca="false">IF(AM168="","",INDEX(CATÁLOGO!$F$5:$F$39,AM168))</f>
        <v/>
      </c>
      <c r="AE168" s="0" t="str">
        <f aca="false">IF(AD168="","",IF(ISNUMBER(AD168),AD168*AV168,AD168))</f>
        <v/>
      </c>
      <c r="AF168" s="0" t="str">
        <f aca="false">IF(AM168="","",INDEX(CATÁLOGO!$G$5:$G$39,AM168))</f>
        <v/>
      </c>
      <c r="AG168" s="0" t="str">
        <f aca="false">IF(AF168="","",IF(ISNUMBER(AF168),AF168*AV168,AF168))</f>
        <v/>
      </c>
      <c r="AH168" s="0" t="str">
        <f aca="false">IF(E168="","",C168&amp;"|"&amp;D168)</f>
        <v/>
      </c>
      <c r="AI168" s="27" t="n">
        <f aca="false">IF(M168&lt;&gt;"Sí",0,SUMPRODUCT(MAX(($AH$5:AH167=AH168)*($M$5:M167="Sí")*ROW($AH$5:AH167))))</f>
        <v>0</v>
      </c>
      <c r="AJ168" s="0" t="str">
        <f aca="false">IF(M168&lt;&gt;"Sí","",IF(AL168=1,B168,INDEX($AJ:$AJ,AI168)))</f>
        <v/>
      </c>
      <c r="AK168" s="0" t="str">
        <f aca="false">IF(M168&lt;&gt;"Sí","",IF(AL168=1,E168,INDEX($AK:$AK,AI168)+E168))</f>
        <v/>
      </c>
      <c r="AL168" s="0" t="str">
        <f aca="false">IF(M168&lt;&gt;"Sí","",IF(AI168=0,1,IF(INDEX($AN:$AN,AI168)=0,1,IF(B168&gt;=EDATE(INDEX($AJ:$AJ,AI168),6),1,0))))</f>
        <v/>
      </c>
      <c r="AM168" s="0" t="str">
        <f aca="false">IF(D168="","",IFERROR(MATCH(D168,CATÁLOGO!$C$5:$C$39,0),""))</f>
        <v/>
      </c>
      <c r="AN168" s="0" t="str">
        <f aca="false">IF(M168&lt;&gt;"Sí","",IF(AND(ISNUMBER(AE168),AK168&gt;=AE168),0,1))</f>
        <v/>
      </c>
      <c r="AO168" s="0" t="str">
        <f aca="false">IF(OR(E168="",C168="",NOT(ISNUMBER(B168))),"",SUMIFS($E$6:$E$505,$C$6:$C$505,C168,$B$6:$B$505,"&gt;="&amp;DATE(YEAR(B168),MONTH(B168),1),$B$6:$B$505,"&lt;"&amp;DATE(YEAR(B168),MONTH(B168)+1,1)))</f>
        <v/>
      </c>
      <c r="AP168" s="0" t="str">
        <f aca="false">IF(C168="","",IFERROR(INDEX(CLIENTES!$M$6:$M$305,MATCH(C168,CLIENTES!$A$6:$A$305,0)),""))</f>
        <v/>
      </c>
      <c r="AQ168" s="27" t="n">
        <f aca="false">IF(AND(ISNUMBER(AO168),ISNUMBER(AP168)),IF(AND(AP168&gt;0,AO168&gt;AP168),1,0),0)</f>
        <v>0</v>
      </c>
      <c r="AR168" s="27" t="n">
        <f aca="false">IF(NOT(ISNUMBER(B168)),0,IF(B168&lt;MAX($B$5:B167),1,0))</f>
        <v>0</v>
      </c>
      <c r="AS168" s="0" t="str">
        <f aca="false">IF(C168="","",IFERROR(INDEX(CLIENTES!$H$6:$H$305,MATCH(C168,CLIENTES!$A$6:$A$305,0)),""))</f>
        <v/>
      </c>
      <c r="AT168" s="0" t="str">
        <f aca="false">IF(AND(LEFT(P168,5)="AVISO",T168&lt;&gt;"Presentado",ISNUMBER(Q168)),Q168,"")</f>
        <v/>
      </c>
      <c r="AU168" s="27" t="n">
        <f aca="false">IF(AND(D168="XVI - Activos virtuales (PSAV): operación de intercambio/transferencia",M168="Sí",ISNUMBER(AE168)),IF(AK168&gt;=AE168,1,0),0)</f>
        <v>0</v>
      </c>
      <c r="AV168" s="30" t="n">
        <f aca="false">IF(NOT(ISNUMBER(B168)),CONFIG!$B$4,IFERROR(INDEX(CONFIG!$I$5:$I$14,MATCH(IF(MONTH(B168)=1,YEAR(B168)-1,YEAR(B168)),CONFIG!$H$5:$H$14,0)),CONFIG!$B$4))</f>
        <v>117.31</v>
      </c>
      <c r="AW168" s="27" t="n">
        <f aca="false">IF(AND(LEFT(D168,4)="I - ",ISNUMBER(B168),C168&lt;&gt;""),SUMIFS($E$6:$E$505,$C$6:$C$505,C168,$D$6:$D$505,D168,$B$6:$B$505,"&gt;"&amp;(B168-1),$B$6:$B$505,"&lt;="&amp;B168),0)</f>
        <v>0</v>
      </c>
      <c r="AX168" s="0" t="str">
        <f aca="false">IF(E168="","",IF(AD168="Siempre","AVISO (siempre)",IF(AD168="No aplica","Sin Aviso (sólo preparas: Ley 17 XI)",IF(NOT(ISNUMBER(AE168)),"",IF(AA168&lt;&gt;"ACUMULA",IF(E168&gt;=AE168,IF(AND(D168="XVI - Activos virtuales (PSAV): cobro de contraprestación (comisión) por el servicio",COUNTIFS($C$6:$C$505,C168,$B$6:$B$505,"&gt;="&amp;INT(B168),$B$6:$B$505,"&lt;"&amp;(INT(B168)+1),$AU$6:$AU$505,1)&gt;0),"En el Aviso del inciso a) (R 31 Bis)","AVISO"),"—"),IF(M168&lt;&gt;"Sí","—",IF(AK168&gt;=AE168,IF(AK168=E168,"AVISO","AVISO (acumulado)"),"Acumulando")))))))</f>
        <v/>
      </c>
    </row>
    <row r="169" customFormat="false" ht="15" hidden="false" customHeight="false" outlineLevel="0" collapsed="false">
      <c r="A169" s="9" t="str">
        <f aca="false">IF(E169="","",ROW()-5)</f>
        <v/>
      </c>
      <c r="B169" s="20"/>
      <c r="C169" s="21"/>
      <c r="D169" s="21"/>
      <c r="E169" s="22"/>
      <c r="F169" s="22"/>
      <c r="G169" s="21"/>
      <c r="H169" s="21"/>
      <c r="I169" s="9" t="str">
        <f aca="false">IF(C169="","",IFERROR(INDEX(CLIENTES!$B$6:$B$305,MATCH(C169,CLIENTES!$A$6:$A$305,0)),"⚠ ID no registrado"))</f>
        <v/>
      </c>
      <c r="J169" s="9" t="str">
        <f aca="false">IF(C169="","",IFERROR(INDEX(CLIENTES!$Z$6:$Z$305,MATCH(C169,CLIENTES!$A$6:$A$305,0)),""))</f>
        <v/>
      </c>
      <c r="K169" s="9" t="str">
        <f aca="false">IF(E169="","",IF(AB169="Siempre","Sí",IF(ISNUMBER(AC169),IF(E169&gt;=AC169,"Sí",IF(AW169&gt;=AC169,"Sí (serie 24 h)","No")),"")))</f>
        <v/>
      </c>
      <c r="L169" s="9" t="str">
        <f aca="false">IF(E169="","",AA169)</f>
        <v/>
      </c>
      <c r="M169" s="9" t="str">
        <f aca="false">IF(E169="","",IF(AA169&lt;&gt;"ACUMULA","No aplica",IF(LEFT(K169,2)="Sí","Sí","No")))</f>
        <v/>
      </c>
      <c r="N169" s="23" t="str">
        <f aca="false">IF(M169="Sí",AJ169,"")</f>
        <v/>
      </c>
      <c r="O169" s="24" t="str">
        <f aca="false">IF(M169="Sí",AK169,"")</f>
        <v/>
      </c>
      <c r="P169" s="25" t="str">
        <f aca="false">IF(AND(LEFT(D169,6)="XIV - ",LEFT(AX169,5)="AVISO"),"Pedimento (R 16): no va al SPPLD",AX169)</f>
        <v/>
      </c>
      <c r="Q169" s="23" t="str">
        <f aca="false">IF(LEFT(P169,5)="AVISO",IF(ISNUMBER(B169),DATE(YEAR(B169),MONTH(B169)+1,17),"Falta fecha"),"")</f>
        <v/>
      </c>
      <c r="R169" s="9" t="str">
        <f aca="false">IF(OR(F169="",F169=0),"",IF(ISNUMBER(AG169),IF(F169&gt;=AG169,"PROHIBIDO","Dentro del límite"),"No aplica"))</f>
        <v/>
      </c>
      <c r="S169" s="26" t="str">
        <f aca="false">IF(E169="","",MID(IF(AQ169=1," · Excede el perfil declarado","")&amp;IF(H169="Sí"," · Paga un tercero","")&amp;IF(J169="Alto"," · Cliente de riesgo alto: DDR (RCG 23 Ter 3 y 4)","")&amp;IF(AND(AS169&lt;&gt;"",AS169&lt;&gt;"No",AS169&lt;&gt;0)," · PEP","")&amp;IF(R169="PROHIBIDO"," · Efectivo prohibido: no lo recibas (Art. 32)","")&amp;IF(AR169=1," · ⚠ Fecha fuera de orden","")&amp;IF(LEFT(I169,1)="⚠"," · ⚠ Cliente no registrado","")&amp;IF(D169=""," · ⚠ Falta la actividad","")&amp;IF(AND(LEFT(P169,5)="AVISO",W169="")," · Captura la cifra total con IVA para el Aviso","")&amp;IF(AND(ISNUMBER(W169),W169&lt;E169)," · ⚠ La cifra con IVA es menor que el monto sin IVA",""),4,400))</f>
        <v/>
      </c>
      <c r="T169" s="21"/>
      <c r="U169" s="20"/>
      <c r="V169" s="9" t="str">
        <f aca="false">IF(LEFT(P169,5)&lt;&gt;"AVISO","",IF(T169="Presentado",IF(AND(ISNUMBER(U169),ISNUMBER(Q169),U169&gt;Q169),"Presentado tarde","Presentado"),IF(NOT(ISNUMBER(Q169)),"Falta fecha",IF(Q169&lt;CONFIG!$B$6,"VENCIDO","Vence en "&amp;(Q169-CONFIG!$B$6)&amp;" días"))))</f>
        <v/>
      </c>
      <c r="W169" s="22"/>
      <c r="X169" s="21"/>
      <c r="AA169" s="0" t="str">
        <f aca="false">IF(AM169="","",INDEX(CATÁLOGO!$D$5:$D$39,AM169))</f>
        <v/>
      </c>
      <c r="AB169" s="0" t="str">
        <f aca="false">IF(AM169="","",INDEX(CATÁLOGO!$E$5:$E$39,AM169))</f>
        <v/>
      </c>
      <c r="AC169" s="0" t="str">
        <f aca="false">IF(AB169="","",IF(ISNUMBER(AB169),AB169*AV169,AB169))</f>
        <v/>
      </c>
      <c r="AD169" s="0" t="str">
        <f aca="false">IF(AM169="","",INDEX(CATÁLOGO!$F$5:$F$39,AM169))</f>
        <v/>
      </c>
      <c r="AE169" s="0" t="str">
        <f aca="false">IF(AD169="","",IF(ISNUMBER(AD169),AD169*AV169,AD169))</f>
        <v/>
      </c>
      <c r="AF169" s="0" t="str">
        <f aca="false">IF(AM169="","",INDEX(CATÁLOGO!$G$5:$G$39,AM169))</f>
        <v/>
      </c>
      <c r="AG169" s="0" t="str">
        <f aca="false">IF(AF169="","",IF(ISNUMBER(AF169),AF169*AV169,AF169))</f>
        <v/>
      </c>
      <c r="AH169" s="0" t="str">
        <f aca="false">IF(E169="","",C169&amp;"|"&amp;D169)</f>
        <v/>
      </c>
      <c r="AI169" s="27" t="n">
        <f aca="false">IF(M169&lt;&gt;"Sí",0,SUMPRODUCT(MAX(($AH$5:AH168=AH169)*($M$5:M168="Sí")*ROW($AH$5:AH168))))</f>
        <v>0</v>
      </c>
      <c r="AJ169" s="0" t="str">
        <f aca="false">IF(M169&lt;&gt;"Sí","",IF(AL169=1,B169,INDEX($AJ:$AJ,AI169)))</f>
        <v/>
      </c>
      <c r="AK169" s="0" t="str">
        <f aca="false">IF(M169&lt;&gt;"Sí","",IF(AL169=1,E169,INDEX($AK:$AK,AI169)+E169))</f>
        <v/>
      </c>
      <c r="AL169" s="0" t="str">
        <f aca="false">IF(M169&lt;&gt;"Sí","",IF(AI169=0,1,IF(INDEX($AN:$AN,AI169)=0,1,IF(B169&gt;=EDATE(INDEX($AJ:$AJ,AI169),6),1,0))))</f>
        <v/>
      </c>
      <c r="AM169" s="0" t="str">
        <f aca="false">IF(D169="","",IFERROR(MATCH(D169,CATÁLOGO!$C$5:$C$39,0),""))</f>
        <v/>
      </c>
      <c r="AN169" s="0" t="str">
        <f aca="false">IF(M169&lt;&gt;"Sí","",IF(AND(ISNUMBER(AE169),AK169&gt;=AE169),0,1))</f>
        <v/>
      </c>
      <c r="AO169" s="0" t="str">
        <f aca="false">IF(OR(E169="",C169="",NOT(ISNUMBER(B169))),"",SUMIFS($E$6:$E$505,$C$6:$C$505,C169,$B$6:$B$505,"&gt;="&amp;DATE(YEAR(B169),MONTH(B169),1),$B$6:$B$505,"&lt;"&amp;DATE(YEAR(B169),MONTH(B169)+1,1)))</f>
        <v/>
      </c>
      <c r="AP169" s="0" t="str">
        <f aca="false">IF(C169="","",IFERROR(INDEX(CLIENTES!$M$6:$M$305,MATCH(C169,CLIENTES!$A$6:$A$305,0)),""))</f>
        <v/>
      </c>
      <c r="AQ169" s="27" t="n">
        <f aca="false">IF(AND(ISNUMBER(AO169),ISNUMBER(AP169)),IF(AND(AP169&gt;0,AO169&gt;AP169),1,0),0)</f>
        <v>0</v>
      </c>
      <c r="AR169" s="27" t="n">
        <f aca="false">IF(NOT(ISNUMBER(B169)),0,IF(B169&lt;MAX($B$5:B168),1,0))</f>
        <v>0</v>
      </c>
      <c r="AS169" s="0" t="str">
        <f aca="false">IF(C169="","",IFERROR(INDEX(CLIENTES!$H$6:$H$305,MATCH(C169,CLIENTES!$A$6:$A$305,0)),""))</f>
        <v/>
      </c>
      <c r="AT169" s="0" t="str">
        <f aca="false">IF(AND(LEFT(P169,5)="AVISO",T169&lt;&gt;"Presentado",ISNUMBER(Q169)),Q169,"")</f>
        <v/>
      </c>
      <c r="AU169" s="27" t="n">
        <f aca="false">IF(AND(D169="XVI - Activos virtuales (PSAV): operación de intercambio/transferencia",M169="Sí",ISNUMBER(AE169)),IF(AK169&gt;=AE169,1,0),0)</f>
        <v>0</v>
      </c>
      <c r="AV169" s="30" t="n">
        <f aca="false">IF(NOT(ISNUMBER(B169)),CONFIG!$B$4,IFERROR(INDEX(CONFIG!$I$5:$I$14,MATCH(IF(MONTH(B169)=1,YEAR(B169)-1,YEAR(B169)),CONFIG!$H$5:$H$14,0)),CONFIG!$B$4))</f>
        <v>117.31</v>
      </c>
      <c r="AW169" s="27" t="n">
        <f aca="false">IF(AND(LEFT(D169,4)="I - ",ISNUMBER(B169),C169&lt;&gt;""),SUMIFS($E$6:$E$505,$C$6:$C$505,C169,$D$6:$D$505,D169,$B$6:$B$505,"&gt;"&amp;(B169-1),$B$6:$B$505,"&lt;="&amp;B169),0)</f>
        <v>0</v>
      </c>
      <c r="AX169" s="0" t="str">
        <f aca="false">IF(E169="","",IF(AD169="Siempre","AVISO (siempre)",IF(AD169="No aplica","Sin Aviso (sólo preparas: Ley 17 XI)",IF(NOT(ISNUMBER(AE169)),"",IF(AA169&lt;&gt;"ACUMULA",IF(E169&gt;=AE169,IF(AND(D169="XVI - Activos virtuales (PSAV): cobro de contraprestación (comisión) por el servicio",COUNTIFS($C$6:$C$505,C169,$B$6:$B$505,"&gt;="&amp;INT(B169),$B$6:$B$505,"&lt;"&amp;(INT(B169)+1),$AU$6:$AU$505,1)&gt;0),"En el Aviso del inciso a) (R 31 Bis)","AVISO"),"—"),IF(M169&lt;&gt;"Sí","—",IF(AK169&gt;=AE169,IF(AK169=E169,"AVISO","AVISO (acumulado)"),"Acumulando")))))))</f>
        <v/>
      </c>
    </row>
    <row r="170" customFormat="false" ht="15" hidden="false" customHeight="false" outlineLevel="0" collapsed="false">
      <c r="A170" s="9" t="str">
        <f aca="false">IF(E170="","",ROW()-5)</f>
        <v/>
      </c>
      <c r="B170" s="20"/>
      <c r="C170" s="21"/>
      <c r="D170" s="21"/>
      <c r="E170" s="22"/>
      <c r="F170" s="22"/>
      <c r="G170" s="21"/>
      <c r="H170" s="21"/>
      <c r="I170" s="9" t="str">
        <f aca="false">IF(C170="","",IFERROR(INDEX(CLIENTES!$B$6:$B$305,MATCH(C170,CLIENTES!$A$6:$A$305,0)),"⚠ ID no registrado"))</f>
        <v/>
      </c>
      <c r="J170" s="9" t="str">
        <f aca="false">IF(C170="","",IFERROR(INDEX(CLIENTES!$Z$6:$Z$305,MATCH(C170,CLIENTES!$A$6:$A$305,0)),""))</f>
        <v/>
      </c>
      <c r="K170" s="9" t="str">
        <f aca="false">IF(E170="","",IF(AB170="Siempre","Sí",IF(ISNUMBER(AC170),IF(E170&gt;=AC170,"Sí",IF(AW170&gt;=AC170,"Sí (serie 24 h)","No")),"")))</f>
        <v/>
      </c>
      <c r="L170" s="9" t="str">
        <f aca="false">IF(E170="","",AA170)</f>
        <v/>
      </c>
      <c r="M170" s="9" t="str">
        <f aca="false">IF(E170="","",IF(AA170&lt;&gt;"ACUMULA","No aplica",IF(LEFT(K170,2)="Sí","Sí","No")))</f>
        <v/>
      </c>
      <c r="N170" s="23" t="str">
        <f aca="false">IF(M170="Sí",AJ170,"")</f>
        <v/>
      </c>
      <c r="O170" s="24" t="str">
        <f aca="false">IF(M170="Sí",AK170,"")</f>
        <v/>
      </c>
      <c r="P170" s="25" t="str">
        <f aca="false">IF(AND(LEFT(D170,6)="XIV - ",LEFT(AX170,5)="AVISO"),"Pedimento (R 16): no va al SPPLD",AX170)</f>
        <v/>
      </c>
      <c r="Q170" s="23" t="str">
        <f aca="false">IF(LEFT(P170,5)="AVISO",IF(ISNUMBER(B170),DATE(YEAR(B170),MONTH(B170)+1,17),"Falta fecha"),"")</f>
        <v/>
      </c>
      <c r="R170" s="9" t="str">
        <f aca="false">IF(OR(F170="",F170=0),"",IF(ISNUMBER(AG170),IF(F170&gt;=AG170,"PROHIBIDO","Dentro del límite"),"No aplica"))</f>
        <v/>
      </c>
      <c r="S170" s="26" t="str">
        <f aca="false">IF(E170="","",MID(IF(AQ170=1," · Excede el perfil declarado","")&amp;IF(H170="Sí"," · Paga un tercero","")&amp;IF(J170="Alto"," · Cliente de riesgo alto: DDR (RCG 23 Ter 3 y 4)","")&amp;IF(AND(AS170&lt;&gt;"",AS170&lt;&gt;"No",AS170&lt;&gt;0)," · PEP","")&amp;IF(R170="PROHIBIDO"," · Efectivo prohibido: no lo recibas (Art. 32)","")&amp;IF(AR170=1," · ⚠ Fecha fuera de orden","")&amp;IF(LEFT(I170,1)="⚠"," · ⚠ Cliente no registrado","")&amp;IF(D170=""," · ⚠ Falta la actividad","")&amp;IF(AND(LEFT(P170,5)="AVISO",W170="")," · Captura la cifra total con IVA para el Aviso","")&amp;IF(AND(ISNUMBER(W170),W170&lt;E170)," · ⚠ La cifra con IVA es menor que el monto sin IVA",""),4,400))</f>
        <v/>
      </c>
      <c r="T170" s="21"/>
      <c r="U170" s="20"/>
      <c r="V170" s="9" t="str">
        <f aca="false">IF(LEFT(P170,5)&lt;&gt;"AVISO","",IF(T170="Presentado",IF(AND(ISNUMBER(U170),ISNUMBER(Q170),U170&gt;Q170),"Presentado tarde","Presentado"),IF(NOT(ISNUMBER(Q170)),"Falta fecha",IF(Q170&lt;CONFIG!$B$6,"VENCIDO","Vence en "&amp;(Q170-CONFIG!$B$6)&amp;" días"))))</f>
        <v/>
      </c>
      <c r="W170" s="22"/>
      <c r="X170" s="21"/>
      <c r="AA170" s="0" t="str">
        <f aca="false">IF(AM170="","",INDEX(CATÁLOGO!$D$5:$D$39,AM170))</f>
        <v/>
      </c>
      <c r="AB170" s="0" t="str">
        <f aca="false">IF(AM170="","",INDEX(CATÁLOGO!$E$5:$E$39,AM170))</f>
        <v/>
      </c>
      <c r="AC170" s="0" t="str">
        <f aca="false">IF(AB170="","",IF(ISNUMBER(AB170),AB170*AV170,AB170))</f>
        <v/>
      </c>
      <c r="AD170" s="0" t="str">
        <f aca="false">IF(AM170="","",INDEX(CATÁLOGO!$F$5:$F$39,AM170))</f>
        <v/>
      </c>
      <c r="AE170" s="0" t="str">
        <f aca="false">IF(AD170="","",IF(ISNUMBER(AD170),AD170*AV170,AD170))</f>
        <v/>
      </c>
      <c r="AF170" s="0" t="str">
        <f aca="false">IF(AM170="","",INDEX(CATÁLOGO!$G$5:$G$39,AM170))</f>
        <v/>
      </c>
      <c r="AG170" s="0" t="str">
        <f aca="false">IF(AF170="","",IF(ISNUMBER(AF170),AF170*AV170,AF170))</f>
        <v/>
      </c>
      <c r="AH170" s="0" t="str">
        <f aca="false">IF(E170="","",C170&amp;"|"&amp;D170)</f>
        <v/>
      </c>
      <c r="AI170" s="27" t="n">
        <f aca="false">IF(M170&lt;&gt;"Sí",0,SUMPRODUCT(MAX(($AH$5:AH169=AH170)*($M$5:M169="Sí")*ROW($AH$5:AH169))))</f>
        <v>0</v>
      </c>
      <c r="AJ170" s="0" t="str">
        <f aca="false">IF(M170&lt;&gt;"Sí","",IF(AL170=1,B170,INDEX($AJ:$AJ,AI170)))</f>
        <v/>
      </c>
      <c r="AK170" s="0" t="str">
        <f aca="false">IF(M170&lt;&gt;"Sí","",IF(AL170=1,E170,INDEX($AK:$AK,AI170)+E170))</f>
        <v/>
      </c>
      <c r="AL170" s="0" t="str">
        <f aca="false">IF(M170&lt;&gt;"Sí","",IF(AI170=0,1,IF(INDEX($AN:$AN,AI170)=0,1,IF(B170&gt;=EDATE(INDEX($AJ:$AJ,AI170),6),1,0))))</f>
        <v/>
      </c>
      <c r="AM170" s="0" t="str">
        <f aca="false">IF(D170="","",IFERROR(MATCH(D170,CATÁLOGO!$C$5:$C$39,0),""))</f>
        <v/>
      </c>
      <c r="AN170" s="0" t="str">
        <f aca="false">IF(M170&lt;&gt;"Sí","",IF(AND(ISNUMBER(AE170),AK170&gt;=AE170),0,1))</f>
        <v/>
      </c>
      <c r="AO170" s="0" t="str">
        <f aca="false">IF(OR(E170="",C170="",NOT(ISNUMBER(B170))),"",SUMIFS($E$6:$E$505,$C$6:$C$505,C170,$B$6:$B$505,"&gt;="&amp;DATE(YEAR(B170),MONTH(B170),1),$B$6:$B$505,"&lt;"&amp;DATE(YEAR(B170),MONTH(B170)+1,1)))</f>
        <v/>
      </c>
      <c r="AP170" s="0" t="str">
        <f aca="false">IF(C170="","",IFERROR(INDEX(CLIENTES!$M$6:$M$305,MATCH(C170,CLIENTES!$A$6:$A$305,0)),""))</f>
        <v/>
      </c>
      <c r="AQ170" s="27" t="n">
        <f aca="false">IF(AND(ISNUMBER(AO170),ISNUMBER(AP170)),IF(AND(AP170&gt;0,AO170&gt;AP170),1,0),0)</f>
        <v>0</v>
      </c>
      <c r="AR170" s="27" t="n">
        <f aca="false">IF(NOT(ISNUMBER(B170)),0,IF(B170&lt;MAX($B$5:B169),1,0))</f>
        <v>0</v>
      </c>
      <c r="AS170" s="0" t="str">
        <f aca="false">IF(C170="","",IFERROR(INDEX(CLIENTES!$H$6:$H$305,MATCH(C170,CLIENTES!$A$6:$A$305,0)),""))</f>
        <v/>
      </c>
      <c r="AT170" s="0" t="str">
        <f aca="false">IF(AND(LEFT(P170,5)="AVISO",T170&lt;&gt;"Presentado",ISNUMBER(Q170)),Q170,"")</f>
        <v/>
      </c>
      <c r="AU170" s="27" t="n">
        <f aca="false">IF(AND(D170="XVI - Activos virtuales (PSAV): operación de intercambio/transferencia",M170="Sí",ISNUMBER(AE170)),IF(AK170&gt;=AE170,1,0),0)</f>
        <v>0</v>
      </c>
      <c r="AV170" s="30" t="n">
        <f aca="false">IF(NOT(ISNUMBER(B170)),CONFIG!$B$4,IFERROR(INDEX(CONFIG!$I$5:$I$14,MATCH(IF(MONTH(B170)=1,YEAR(B170)-1,YEAR(B170)),CONFIG!$H$5:$H$14,0)),CONFIG!$B$4))</f>
        <v>117.31</v>
      </c>
      <c r="AW170" s="27" t="n">
        <f aca="false">IF(AND(LEFT(D170,4)="I - ",ISNUMBER(B170),C170&lt;&gt;""),SUMIFS($E$6:$E$505,$C$6:$C$505,C170,$D$6:$D$505,D170,$B$6:$B$505,"&gt;"&amp;(B170-1),$B$6:$B$505,"&lt;="&amp;B170),0)</f>
        <v>0</v>
      </c>
      <c r="AX170" s="0" t="str">
        <f aca="false">IF(E170="","",IF(AD170="Siempre","AVISO (siempre)",IF(AD170="No aplica","Sin Aviso (sólo preparas: Ley 17 XI)",IF(NOT(ISNUMBER(AE170)),"",IF(AA170&lt;&gt;"ACUMULA",IF(E170&gt;=AE170,IF(AND(D170="XVI - Activos virtuales (PSAV): cobro de contraprestación (comisión) por el servicio",COUNTIFS($C$6:$C$505,C170,$B$6:$B$505,"&gt;="&amp;INT(B170),$B$6:$B$505,"&lt;"&amp;(INT(B170)+1),$AU$6:$AU$505,1)&gt;0),"En el Aviso del inciso a) (R 31 Bis)","AVISO"),"—"),IF(M170&lt;&gt;"Sí","—",IF(AK170&gt;=AE170,IF(AK170=E170,"AVISO","AVISO (acumulado)"),"Acumulando")))))))</f>
        <v/>
      </c>
    </row>
    <row r="171" customFormat="false" ht="15" hidden="false" customHeight="false" outlineLevel="0" collapsed="false">
      <c r="A171" s="9" t="str">
        <f aca="false">IF(E171="","",ROW()-5)</f>
        <v/>
      </c>
      <c r="B171" s="20"/>
      <c r="C171" s="21"/>
      <c r="D171" s="21"/>
      <c r="E171" s="22"/>
      <c r="F171" s="22"/>
      <c r="G171" s="21"/>
      <c r="H171" s="21"/>
      <c r="I171" s="9" t="str">
        <f aca="false">IF(C171="","",IFERROR(INDEX(CLIENTES!$B$6:$B$305,MATCH(C171,CLIENTES!$A$6:$A$305,0)),"⚠ ID no registrado"))</f>
        <v/>
      </c>
      <c r="J171" s="9" t="str">
        <f aca="false">IF(C171="","",IFERROR(INDEX(CLIENTES!$Z$6:$Z$305,MATCH(C171,CLIENTES!$A$6:$A$305,0)),""))</f>
        <v/>
      </c>
      <c r="K171" s="9" t="str">
        <f aca="false">IF(E171="","",IF(AB171="Siempre","Sí",IF(ISNUMBER(AC171),IF(E171&gt;=AC171,"Sí",IF(AW171&gt;=AC171,"Sí (serie 24 h)","No")),"")))</f>
        <v/>
      </c>
      <c r="L171" s="9" t="str">
        <f aca="false">IF(E171="","",AA171)</f>
        <v/>
      </c>
      <c r="M171" s="9" t="str">
        <f aca="false">IF(E171="","",IF(AA171&lt;&gt;"ACUMULA","No aplica",IF(LEFT(K171,2)="Sí","Sí","No")))</f>
        <v/>
      </c>
      <c r="N171" s="23" t="str">
        <f aca="false">IF(M171="Sí",AJ171,"")</f>
        <v/>
      </c>
      <c r="O171" s="24" t="str">
        <f aca="false">IF(M171="Sí",AK171,"")</f>
        <v/>
      </c>
      <c r="P171" s="25" t="str">
        <f aca="false">IF(AND(LEFT(D171,6)="XIV - ",LEFT(AX171,5)="AVISO"),"Pedimento (R 16): no va al SPPLD",AX171)</f>
        <v/>
      </c>
      <c r="Q171" s="23" t="str">
        <f aca="false">IF(LEFT(P171,5)="AVISO",IF(ISNUMBER(B171),DATE(YEAR(B171),MONTH(B171)+1,17),"Falta fecha"),"")</f>
        <v/>
      </c>
      <c r="R171" s="9" t="str">
        <f aca="false">IF(OR(F171="",F171=0),"",IF(ISNUMBER(AG171),IF(F171&gt;=AG171,"PROHIBIDO","Dentro del límite"),"No aplica"))</f>
        <v/>
      </c>
      <c r="S171" s="26" t="str">
        <f aca="false">IF(E171="","",MID(IF(AQ171=1," · Excede el perfil declarado","")&amp;IF(H171="Sí"," · Paga un tercero","")&amp;IF(J171="Alto"," · Cliente de riesgo alto: DDR (RCG 23 Ter 3 y 4)","")&amp;IF(AND(AS171&lt;&gt;"",AS171&lt;&gt;"No",AS171&lt;&gt;0)," · PEP","")&amp;IF(R171="PROHIBIDO"," · Efectivo prohibido: no lo recibas (Art. 32)","")&amp;IF(AR171=1," · ⚠ Fecha fuera de orden","")&amp;IF(LEFT(I171,1)="⚠"," · ⚠ Cliente no registrado","")&amp;IF(D171=""," · ⚠ Falta la actividad","")&amp;IF(AND(LEFT(P171,5)="AVISO",W171="")," · Captura la cifra total con IVA para el Aviso","")&amp;IF(AND(ISNUMBER(W171),W171&lt;E171)," · ⚠ La cifra con IVA es menor que el monto sin IVA",""),4,400))</f>
        <v/>
      </c>
      <c r="T171" s="21"/>
      <c r="U171" s="20"/>
      <c r="V171" s="9" t="str">
        <f aca="false">IF(LEFT(P171,5)&lt;&gt;"AVISO","",IF(T171="Presentado",IF(AND(ISNUMBER(U171),ISNUMBER(Q171),U171&gt;Q171),"Presentado tarde","Presentado"),IF(NOT(ISNUMBER(Q171)),"Falta fecha",IF(Q171&lt;CONFIG!$B$6,"VENCIDO","Vence en "&amp;(Q171-CONFIG!$B$6)&amp;" días"))))</f>
        <v/>
      </c>
      <c r="W171" s="22"/>
      <c r="X171" s="21"/>
      <c r="AA171" s="0" t="str">
        <f aca="false">IF(AM171="","",INDEX(CATÁLOGO!$D$5:$D$39,AM171))</f>
        <v/>
      </c>
      <c r="AB171" s="0" t="str">
        <f aca="false">IF(AM171="","",INDEX(CATÁLOGO!$E$5:$E$39,AM171))</f>
        <v/>
      </c>
      <c r="AC171" s="0" t="str">
        <f aca="false">IF(AB171="","",IF(ISNUMBER(AB171),AB171*AV171,AB171))</f>
        <v/>
      </c>
      <c r="AD171" s="0" t="str">
        <f aca="false">IF(AM171="","",INDEX(CATÁLOGO!$F$5:$F$39,AM171))</f>
        <v/>
      </c>
      <c r="AE171" s="0" t="str">
        <f aca="false">IF(AD171="","",IF(ISNUMBER(AD171),AD171*AV171,AD171))</f>
        <v/>
      </c>
      <c r="AF171" s="0" t="str">
        <f aca="false">IF(AM171="","",INDEX(CATÁLOGO!$G$5:$G$39,AM171))</f>
        <v/>
      </c>
      <c r="AG171" s="0" t="str">
        <f aca="false">IF(AF171="","",IF(ISNUMBER(AF171),AF171*AV171,AF171))</f>
        <v/>
      </c>
      <c r="AH171" s="0" t="str">
        <f aca="false">IF(E171="","",C171&amp;"|"&amp;D171)</f>
        <v/>
      </c>
      <c r="AI171" s="27" t="n">
        <f aca="false">IF(M171&lt;&gt;"Sí",0,SUMPRODUCT(MAX(($AH$5:AH170=AH171)*($M$5:M170="Sí")*ROW($AH$5:AH170))))</f>
        <v>0</v>
      </c>
      <c r="AJ171" s="0" t="str">
        <f aca="false">IF(M171&lt;&gt;"Sí","",IF(AL171=1,B171,INDEX($AJ:$AJ,AI171)))</f>
        <v/>
      </c>
      <c r="AK171" s="0" t="str">
        <f aca="false">IF(M171&lt;&gt;"Sí","",IF(AL171=1,E171,INDEX($AK:$AK,AI171)+E171))</f>
        <v/>
      </c>
      <c r="AL171" s="0" t="str">
        <f aca="false">IF(M171&lt;&gt;"Sí","",IF(AI171=0,1,IF(INDEX($AN:$AN,AI171)=0,1,IF(B171&gt;=EDATE(INDEX($AJ:$AJ,AI171),6),1,0))))</f>
        <v/>
      </c>
      <c r="AM171" s="0" t="str">
        <f aca="false">IF(D171="","",IFERROR(MATCH(D171,CATÁLOGO!$C$5:$C$39,0),""))</f>
        <v/>
      </c>
      <c r="AN171" s="0" t="str">
        <f aca="false">IF(M171&lt;&gt;"Sí","",IF(AND(ISNUMBER(AE171),AK171&gt;=AE171),0,1))</f>
        <v/>
      </c>
      <c r="AO171" s="0" t="str">
        <f aca="false">IF(OR(E171="",C171="",NOT(ISNUMBER(B171))),"",SUMIFS($E$6:$E$505,$C$6:$C$505,C171,$B$6:$B$505,"&gt;="&amp;DATE(YEAR(B171),MONTH(B171),1),$B$6:$B$505,"&lt;"&amp;DATE(YEAR(B171),MONTH(B171)+1,1)))</f>
        <v/>
      </c>
      <c r="AP171" s="0" t="str">
        <f aca="false">IF(C171="","",IFERROR(INDEX(CLIENTES!$M$6:$M$305,MATCH(C171,CLIENTES!$A$6:$A$305,0)),""))</f>
        <v/>
      </c>
      <c r="AQ171" s="27" t="n">
        <f aca="false">IF(AND(ISNUMBER(AO171),ISNUMBER(AP171)),IF(AND(AP171&gt;0,AO171&gt;AP171),1,0),0)</f>
        <v>0</v>
      </c>
      <c r="AR171" s="27" t="n">
        <f aca="false">IF(NOT(ISNUMBER(B171)),0,IF(B171&lt;MAX($B$5:B170),1,0))</f>
        <v>0</v>
      </c>
      <c r="AS171" s="0" t="str">
        <f aca="false">IF(C171="","",IFERROR(INDEX(CLIENTES!$H$6:$H$305,MATCH(C171,CLIENTES!$A$6:$A$305,0)),""))</f>
        <v/>
      </c>
      <c r="AT171" s="0" t="str">
        <f aca="false">IF(AND(LEFT(P171,5)="AVISO",T171&lt;&gt;"Presentado",ISNUMBER(Q171)),Q171,"")</f>
        <v/>
      </c>
      <c r="AU171" s="27" t="n">
        <f aca="false">IF(AND(D171="XVI - Activos virtuales (PSAV): operación de intercambio/transferencia",M171="Sí",ISNUMBER(AE171)),IF(AK171&gt;=AE171,1,0),0)</f>
        <v>0</v>
      </c>
      <c r="AV171" s="30" t="n">
        <f aca="false">IF(NOT(ISNUMBER(B171)),CONFIG!$B$4,IFERROR(INDEX(CONFIG!$I$5:$I$14,MATCH(IF(MONTH(B171)=1,YEAR(B171)-1,YEAR(B171)),CONFIG!$H$5:$H$14,0)),CONFIG!$B$4))</f>
        <v>117.31</v>
      </c>
      <c r="AW171" s="27" t="n">
        <f aca="false">IF(AND(LEFT(D171,4)="I - ",ISNUMBER(B171),C171&lt;&gt;""),SUMIFS($E$6:$E$505,$C$6:$C$505,C171,$D$6:$D$505,D171,$B$6:$B$505,"&gt;"&amp;(B171-1),$B$6:$B$505,"&lt;="&amp;B171),0)</f>
        <v>0</v>
      </c>
      <c r="AX171" s="0" t="str">
        <f aca="false">IF(E171="","",IF(AD171="Siempre","AVISO (siempre)",IF(AD171="No aplica","Sin Aviso (sólo preparas: Ley 17 XI)",IF(NOT(ISNUMBER(AE171)),"",IF(AA171&lt;&gt;"ACUMULA",IF(E171&gt;=AE171,IF(AND(D171="XVI - Activos virtuales (PSAV): cobro de contraprestación (comisión) por el servicio",COUNTIFS($C$6:$C$505,C171,$B$6:$B$505,"&gt;="&amp;INT(B171),$B$6:$B$505,"&lt;"&amp;(INT(B171)+1),$AU$6:$AU$505,1)&gt;0),"En el Aviso del inciso a) (R 31 Bis)","AVISO"),"—"),IF(M171&lt;&gt;"Sí","—",IF(AK171&gt;=AE171,IF(AK171=E171,"AVISO","AVISO (acumulado)"),"Acumulando")))))))</f>
        <v/>
      </c>
    </row>
    <row r="172" customFormat="false" ht="15" hidden="false" customHeight="false" outlineLevel="0" collapsed="false">
      <c r="A172" s="9" t="str">
        <f aca="false">IF(E172="","",ROW()-5)</f>
        <v/>
      </c>
      <c r="B172" s="20"/>
      <c r="C172" s="21"/>
      <c r="D172" s="21"/>
      <c r="E172" s="22"/>
      <c r="F172" s="22"/>
      <c r="G172" s="21"/>
      <c r="H172" s="21"/>
      <c r="I172" s="9" t="str">
        <f aca="false">IF(C172="","",IFERROR(INDEX(CLIENTES!$B$6:$B$305,MATCH(C172,CLIENTES!$A$6:$A$305,0)),"⚠ ID no registrado"))</f>
        <v/>
      </c>
      <c r="J172" s="9" t="str">
        <f aca="false">IF(C172="","",IFERROR(INDEX(CLIENTES!$Z$6:$Z$305,MATCH(C172,CLIENTES!$A$6:$A$305,0)),""))</f>
        <v/>
      </c>
      <c r="K172" s="9" t="str">
        <f aca="false">IF(E172="","",IF(AB172="Siempre","Sí",IF(ISNUMBER(AC172),IF(E172&gt;=AC172,"Sí",IF(AW172&gt;=AC172,"Sí (serie 24 h)","No")),"")))</f>
        <v/>
      </c>
      <c r="L172" s="9" t="str">
        <f aca="false">IF(E172="","",AA172)</f>
        <v/>
      </c>
      <c r="M172" s="9" t="str">
        <f aca="false">IF(E172="","",IF(AA172&lt;&gt;"ACUMULA","No aplica",IF(LEFT(K172,2)="Sí","Sí","No")))</f>
        <v/>
      </c>
      <c r="N172" s="23" t="str">
        <f aca="false">IF(M172="Sí",AJ172,"")</f>
        <v/>
      </c>
      <c r="O172" s="24" t="str">
        <f aca="false">IF(M172="Sí",AK172,"")</f>
        <v/>
      </c>
      <c r="P172" s="25" t="str">
        <f aca="false">IF(AND(LEFT(D172,6)="XIV - ",LEFT(AX172,5)="AVISO"),"Pedimento (R 16): no va al SPPLD",AX172)</f>
        <v/>
      </c>
      <c r="Q172" s="23" t="str">
        <f aca="false">IF(LEFT(P172,5)="AVISO",IF(ISNUMBER(B172),DATE(YEAR(B172),MONTH(B172)+1,17),"Falta fecha"),"")</f>
        <v/>
      </c>
      <c r="R172" s="9" t="str">
        <f aca="false">IF(OR(F172="",F172=0),"",IF(ISNUMBER(AG172),IF(F172&gt;=AG172,"PROHIBIDO","Dentro del límite"),"No aplica"))</f>
        <v/>
      </c>
      <c r="S172" s="26" t="str">
        <f aca="false">IF(E172="","",MID(IF(AQ172=1," · Excede el perfil declarado","")&amp;IF(H172="Sí"," · Paga un tercero","")&amp;IF(J172="Alto"," · Cliente de riesgo alto: DDR (RCG 23 Ter 3 y 4)","")&amp;IF(AND(AS172&lt;&gt;"",AS172&lt;&gt;"No",AS172&lt;&gt;0)," · PEP","")&amp;IF(R172="PROHIBIDO"," · Efectivo prohibido: no lo recibas (Art. 32)","")&amp;IF(AR172=1," · ⚠ Fecha fuera de orden","")&amp;IF(LEFT(I172,1)="⚠"," · ⚠ Cliente no registrado","")&amp;IF(D172=""," · ⚠ Falta la actividad","")&amp;IF(AND(LEFT(P172,5)="AVISO",W172="")," · Captura la cifra total con IVA para el Aviso","")&amp;IF(AND(ISNUMBER(W172),W172&lt;E172)," · ⚠ La cifra con IVA es menor que el monto sin IVA",""),4,400))</f>
        <v/>
      </c>
      <c r="T172" s="21"/>
      <c r="U172" s="20"/>
      <c r="V172" s="9" t="str">
        <f aca="false">IF(LEFT(P172,5)&lt;&gt;"AVISO","",IF(T172="Presentado",IF(AND(ISNUMBER(U172),ISNUMBER(Q172),U172&gt;Q172),"Presentado tarde","Presentado"),IF(NOT(ISNUMBER(Q172)),"Falta fecha",IF(Q172&lt;CONFIG!$B$6,"VENCIDO","Vence en "&amp;(Q172-CONFIG!$B$6)&amp;" días"))))</f>
        <v/>
      </c>
      <c r="W172" s="22"/>
      <c r="X172" s="21"/>
      <c r="AA172" s="0" t="str">
        <f aca="false">IF(AM172="","",INDEX(CATÁLOGO!$D$5:$D$39,AM172))</f>
        <v/>
      </c>
      <c r="AB172" s="0" t="str">
        <f aca="false">IF(AM172="","",INDEX(CATÁLOGO!$E$5:$E$39,AM172))</f>
        <v/>
      </c>
      <c r="AC172" s="0" t="str">
        <f aca="false">IF(AB172="","",IF(ISNUMBER(AB172),AB172*AV172,AB172))</f>
        <v/>
      </c>
      <c r="AD172" s="0" t="str">
        <f aca="false">IF(AM172="","",INDEX(CATÁLOGO!$F$5:$F$39,AM172))</f>
        <v/>
      </c>
      <c r="AE172" s="0" t="str">
        <f aca="false">IF(AD172="","",IF(ISNUMBER(AD172),AD172*AV172,AD172))</f>
        <v/>
      </c>
      <c r="AF172" s="0" t="str">
        <f aca="false">IF(AM172="","",INDEX(CATÁLOGO!$G$5:$G$39,AM172))</f>
        <v/>
      </c>
      <c r="AG172" s="0" t="str">
        <f aca="false">IF(AF172="","",IF(ISNUMBER(AF172),AF172*AV172,AF172))</f>
        <v/>
      </c>
      <c r="AH172" s="0" t="str">
        <f aca="false">IF(E172="","",C172&amp;"|"&amp;D172)</f>
        <v/>
      </c>
      <c r="AI172" s="27" t="n">
        <f aca="false">IF(M172&lt;&gt;"Sí",0,SUMPRODUCT(MAX(($AH$5:AH171=AH172)*($M$5:M171="Sí")*ROW($AH$5:AH171))))</f>
        <v>0</v>
      </c>
      <c r="AJ172" s="0" t="str">
        <f aca="false">IF(M172&lt;&gt;"Sí","",IF(AL172=1,B172,INDEX($AJ:$AJ,AI172)))</f>
        <v/>
      </c>
      <c r="AK172" s="0" t="str">
        <f aca="false">IF(M172&lt;&gt;"Sí","",IF(AL172=1,E172,INDEX($AK:$AK,AI172)+E172))</f>
        <v/>
      </c>
      <c r="AL172" s="0" t="str">
        <f aca="false">IF(M172&lt;&gt;"Sí","",IF(AI172=0,1,IF(INDEX($AN:$AN,AI172)=0,1,IF(B172&gt;=EDATE(INDEX($AJ:$AJ,AI172),6),1,0))))</f>
        <v/>
      </c>
      <c r="AM172" s="0" t="str">
        <f aca="false">IF(D172="","",IFERROR(MATCH(D172,CATÁLOGO!$C$5:$C$39,0),""))</f>
        <v/>
      </c>
      <c r="AN172" s="0" t="str">
        <f aca="false">IF(M172&lt;&gt;"Sí","",IF(AND(ISNUMBER(AE172),AK172&gt;=AE172),0,1))</f>
        <v/>
      </c>
      <c r="AO172" s="0" t="str">
        <f aca="false">IF(OR(E172="",C172="",NOT(ISNUMBER(B172))),"",SUMIFS($E$6:$E$505,$C$6:$C$505,C172,$B$6:$B$505,"&gt;="&amp;DATE(YEAR(B172),MONTH(B172),1),$B$6:$B$505,"&lt;"&amp;DATE(YEAR(B172),MONTH(B172)+1,1)))</f>
        <v/>
      </c>
      <c r="AP172" s="0" t="str">
        <f aca="false">IF(C172="","",IFERROR(INDEX(CLIENTES!$M$6:$M$305,MATCH(C172,CLIENTES!$A$6:$A$305,0)),""))</f>
        <v/>
      </c>
      <c r="AQ172" s="27" t="n">
        <f aca="false">IF(AND(ISNUMBER(AO172),ISNUMBER(AP172)),IF(AND(AP172&gt;0,AO172&gt;AP172),1,0),0)</f>
        <v>0</v>
      </c>
      <c r="AR172" s="27" t="n">
        <f aca="false">IF(NOT(ISNUMBER(B172)),0,IF(B172&lt;MAX($B$5:B171),1,0))</f>
        <v>0</v>
      </c>
      <c r="AS172" s="0" t="str">
        <f aca="false">IF(C172="","",IFERROR(INDEX(CLIENTES!$H$6:$H$305,MATCH(C172,CLIENTES!$A$6:$A$305,0)),""))</f>
        <v/>
      </c>
      <c r="AT172" s="0" t="str">
        <f aca="false">IF(AND(LEFT(P172,5)="AVISO",T172&lt;&gt;"Presentado",ISNUMBER(Q172)),Q172,"")</f>
        <v/>
      </c>
      <c r="AU172" s="27" t="n">
        <f aca="false">IF(AND(D172="XVI - Activos virtuales (PSAV): operación de intercambio/transferencia",M172="Sí",ISNUMBER(AE172)),IF(AK172&gt;=AE172,1,0),0)</f>
        <v>0</v>
      </c>
      <c r="AV172" s="30" t="n">
        <f aca="false">IF(NOT(ISNUMBER(B172)),CONFIG!$B$4,IFERROR(INDEX(CONFIG!$I$5:$I$14,MATCH(IF(MONTH(B172)=1,YEAR(B172)-1,YEAR(B172)),CONFIG!$H$5:$H$14,0)),CONFIG!$B$4))</f>
        <v>117.31</v>
      </c>
      <c r="AW172" s="27" t="n">
        <f aca="false">IF(AND(LEFT(D172,4)="I - ",ISNUMBER(B172),C172&lt;&gt;""),SUMIFS($E$6:$E$505,$C$6:$C$505,C172,$D$6:$D$505,D172,$B$6:$B$505,"&gt;"&amp;(B172-1),$B$6:$B$505,"&lt;="&amp;B172),0)</f>
        <v>0</v>
      </c>
      <c r="AX172" s="0" t="str">
        <f aca="false">IF(E172="","",IF(AD172="Siempre","AVISO (siempre)",IF(AD172="No aplica","Sin Aviso (sólo preparas: Ley 17 XI)",IF(NOT(ISNUMBER(AE172)),"",IF(AA172&lt;&gt;"ACUMULA",IF(E172&gt;=AE172,IF(AND(D172="XVI - Activos virtuales (PSAV): cobro de contraprestación (comisión) por el servicio",COUNTIFS($C$6:$C$505,C172,$B$6:$B$505,"&gt;="&amp;INT(B172),$B$6:$B$505,"&lt;"&amp;(INT(B172)+1),$AU$6:$AU$505,1)&gt;0),"En el Aviso del inciso a) (R 31 Bis)","AVISO"),"—"),IF(M172&lt;&gt;"Sí","—",IF(AK172&gt;=AE172,IF(AK172=E172,"AVISO","AVISO (acumulado)"),"Acumulando")))))))</f>
        <v/>
      </c>
    </row>
    <row r="173" customFormat="false" ht="15" hidden="false" customHeight="false" outlineLevel="0" collapsed="false">
      <c r="A173" s="9" t="str">
        <f aca="false">IF(E173="","",ROW()-5)</f>
        <v/>
      </c>
      <c r="B173" s="20"/>
      <c r="C173" s="21"/>
      <c r="D173" s="21"/>
      <c r="E173" s="22"/>
      <c r="F173" s="22"/>
      <c r="G173" s="21"/>
      <c r="H173" s="21"/>
      <c r="I173" s="9" t="str">
        <f aca="false">IF(C173="","",IFERROR(INDEX(CLIENTES!$B$6:$B$305,MATCH(C173,CLIENTES!$A$6:$A$305,0)),"⚠ ID no registrado"))</f>
        <v/>
      </c>
      <c r="J173" s="9" t="str">
        <f aca="false">IF(C173="","",IFERROR(INDEX(CLIENTES!$Z$6:$Z$305,MATCH(C173,CLIENTES!$A$6:$A$305,0)),""))</f>
        <v/>
      </c>
      <c r="K173" s="9" t="str">
        <f aca="false">IF(E173="","",IF(AB173="Siempre","Sí",IF(ISNUMBER(AC173),IF(E173&gt;=AC173,"Sí",IF(AW173&gt;=AC173,"Sí (serie 24 h)","No")),"")))</f>
        <v/>
      </c>
      <c r="L173" s="9" t="str">
        <f aca="false">IF(E173="","",AA173)</f>
        <v/>
      </c>
      <c r="M173" s="9" t="str">
        <f aca="false">IF(E173="","",IF(AA173&lt;&gt;"ACUMULA","No aplica",IF(LEFT(K173,2)="Sí","Sí","No")))</f>
        <v/>
      </c>
      <c r="N173" s="23" t="str">
        <f aca="false">IF(M173="Sí",AJ173,"")</f>
        <v/>
      </c>
      <c r="O173" s="24" t="str">
        <f aca="false">IF(M173="Sí",AK173,"")</f>
        <v/>
      </c>
      <c r="P173" s="25" t="str">
        <f aca="false">IF(AND(LEFT(D173,6)="XIV - ",LEFT(AX173,5)="AVISO"),"Pedimento (R 16): no va al SPPLD",AX173)</f>
        <v/>
      </c>
      <c r="Q173" s="23" t="str">
        <f aca="false">IF(LEFT(P173,5)="AVISO",IF(ISNUMBER(B173),DATE(YEAR(B173),MONTH(B173)+1,17),"Falta fecha"),"")</f>
        <v/>
      </c>
      <c r="R173" s="9" t="str">
        <f aca="false">IF(OR(F173="",F173=0),"",IF(ISNUMBER(AG173),IF(F173&gt;=AG173,"PROHIBIDO","Dentro del límite"),"No aplica"))</f>
        <v/>
      </c>
      <c r="S173" s="26" t="str">
        <f aca="false">IF(E173="","",MID(IF(AQ173=1," · Excede el perfil declarado","")&amp;IF(H173="Sí"," · Paga un tercero","")&amp;IF(J173="Alto"," · Cliente de riesgo alto: DDR (RCG 23 Ter 3 y 4)","")&amp;IF(AND(AS173&lt;&gt;"",AS173&lt;&gt;"No",AS173&lt;&gt;0)," · PEP","")&amp;IF(R173="PROHIBIDO"," · Efectivo prohibido: no lo recibas (Art. 32)","")&amp;IF(AR173=1," · ⚠ Fecha fuera de orden","")&amp;IF(LEFT(I173,1)="⚠"," · ⚠ Cliente no registrado","")&amp;IF(D173=""," · ⚠ Falta la actividad","")&amp;IF(AND(LEFT(P173,5)="AVISO",W173="")," · Captura la cifra total con IVA para el Aviso","")&amp;IF(AND(ISNUMBER(W173),W173&lt;E173)," · ⚠ La cifra con IVA es menor que el monto sin IVA",""),4,400))</f>
        <v/>
      </c>
      <c r="T173" s="21"/>
      <c r="U173" s="20"/>
      <c r="V173" s="9" t="str">
        <f aca="false">IF(LEFT(P173,5)&lt;&gt;"AVISO","",IF(T173="Presentado",IF(AND(ISNUMBER(U173),ISNUMBER(Q173),U173&gt;Q173),"Presentado tarde","Presentado"),IF(NOT(ISNUMBER(Q173)),"Falta fecha",IF(Q173&lt;CONFIG!$B$6,"VENCIDO","Vence en "&amp;(Q173-CONFIG!$B$6)&amp;" días"))))</f>
        <v/>
      </c>
      <c r="W173" s="22"/>
      <c r="X173" s="21"/>
      <c r="AA173" s="0" t="str">
        <f aca="false">IF(AM173="","",INDEX(CATÁLOGO!$D$5:$D$39,AM173))</f>
        <v/>
      </c>
      <c r="AB173" s="0" t="str">
        <f aca="false">IF(AM173="","",INDEX(CATÁLOGO!$E$5:$E$39,AM173))</f>
        <v/>
      </c>
      <c r="AC173" s="0" t="str">
        <f aca="false">IF(AB173="","",IF(ISNUMBER(AB173),AB173*AV173,AB173))</f>
        <v/>
      </c>
      <c r="AD173" s="0" t="str">
        <f aca="false">IF(AM173="","",INDEX(CATÁLOGO!$F$5:$F$39,AM173))</f>
        <v/>
      </c>
      <c r="AE173" s="0" t="str">
        <f aca="false">IF(AD173="","",IF(ISNUMBER(AD173),AD173*AV173,AD173))</f>
        <v/>
      </c>
      <c r="AF173" s="0" t="str">
        <f aca="false">IF(AM173="","",INDEX(CATÁLOGO!$G$5:$G$39,AM173))</f>
        <v/>
      </c>
      <c r="AG173" s="0" t="str">
        <f aca="false">IF(AF173="","",IF(ISNUMBER(AF173),AF173*AV173,AF173))</f>
        <v/>
      </c>
      <c r="AH173" s="0" t="str">
        <f aca="false">IF(E173="","",C173&amp;"|"&amp;D173)</f>
        <v/>
      </c>
      <c r="AI173" s="27" t="n">
        <f aca="false">IF(M173&lt;&gt;"Sí",0,SUMPRODUCT(MAX(($AH$5:AH172=AH173)*($M$5:M172="Sí")*ROW($AH$5:AH172))))</f>
        <v>0</v>
      </c>
      <c r="AJ173" s="0" t="str">
        <f aca="false">IF(M173&lt;&gt;"Sí","",IF(AL173=1,B173,INDEX($AJ:$AJ,AI173)))</f>
        <v/>
      </c>
      <c r="AK173" s="0" t="str">
        <f aca="false">IF(M173&lt;&gt;"Sí","",IF(AL173=1,E173,INDEX($AK:$AK,AI173)+E173))</f>
        <v/>
      </c>
      <c r="AL173" s="0" t="str">
        <f aca="false">IF(M173&lt;&gt;"Sí","",IF(AI173=0,1,IF(INDEX($AN:$AN,AI173)=0,1,IF(B173&gt;=EDATE(INDEX($AJ:$AJ,AI173),6),1,0))))</f>
        <v/>
      </c>
      <c r="AM173" s="0" t="str">
        <f aca="false">IF(D173="","",IFERROR(MATCH(D173,CATÁLOGO!$C$5:$C$39,0),""))</f>
        <v/>
      </c>
      <c r="AN173" s="0" t="str">
        <f aca="false">IF(M173&lt;&gt;"Sí","",IF(AND(ISNUMBER(AE173),AK173&gt;=AE173),0,1))</f>
        <v/>
      </c>
      <c r="AO173" s="0" t="str">
        <f aca="false">IF(OR(E173="",C173="",NOT(ISNUMBER(B173))),"",SUMIFS($E$6:$E$505,$C$6:$C$505,C173,$B$6:$B$505,"&gt;="&amp;DATE(YEAR(B173),MONTH(B173),1),$B$6:$B$505,"&lt;"&amp;DATE(YEAR(B173),MONTH(B173)+1,1)))</f>
        <v/>
      </c>
      <c r="AP173" s="0" t="str">
        <f aca="false">IF(C173="","",IFERROR(INDEX(CLIENTES!$M$6:$M$305,MATCH(C173,CLIENTES!$A$6:$A$305,0)),""))</f>
        <v/>
      </c>
      <c r="AQ173" s="27" t="n">
        <f aca="false">IF(AND(ISNUMBER(AO173),ISNUMBER(AP173)),IF(AND(AP173&gt;0,AO173&gt;AP173),1,0),0)</f>
        <v>0</v>
      </c>
      <c r="AR173" s="27" t="n">
        <f aca="false">IF(NOT(ISNUMBER(B173)),0,IF(B173&lt;MAX($B$5:B172),1,0))</f>
        <v>0</v>
      </c>
      <c r="AS173" s="0" t="str">
        <f aca="false">IF(C173="","",IFERROR(INDEX(CLIENTES!$H$6:$H$305,MATCH(C173,CLIENTES!$A$6:$A$305,0)),""))</f>
        <v/>
      </c>
      <c r="AT173" s="0" t="str">
        <f aca="false">IF(AND(LEFT(P173,5)="AVISO",T173&lt;&gt;"Presentado",ISNUMBER(Q173)),Q173,"")</f>
        <v/>
      </c>
      <c r="AU173" s="27" t="n">
        <f aca="false">IF(AND(D173="XVI - Activos virtuales (PSAV): operación de intercambio/transferencia",M173="Sí",ISNUMBER(AE173)),IF(AK173&gt;=AE173,1,0),0)</f>
        <v>0</v>
      </c>
      <c r="AV173" s="30" t="n">
        <f aca="false">IF(NOT(ISNUMBER(B173)),CONFIG!$B$4,IFERROR(INDEX(CONFIG!$I$5:$I$14,MATCH(IF(MONTH(B173)=1,YEAR(B173)-1,YEAR(B173)),CONFIG!$H$5:$H$14,0)),CONFIG!$B$4))</f>
        <v>117.31</v>
      </c>
      <c r="AW173" s="27" t="n">
        <f aca="false">IF(AND(LEFT(D173,4)="I - ",ISNUMBER(B173),C173&lt;&gt;""),SUMIFS($E$6:$E$505,$C$6:$C$505,C173,$D$6:$D$505,D173,$B$6:$B$505,"&gt;"&amp;(B173-1),$B$6:$B$505,"&lt;="&amp;B173),0)</f>
        <v>0</v>
      </c>
      <c r="AX173" s="0" t="str">
        <f aca="false">IF(E173="","",IF(AD173="Siempre","AVISO (siempre)",IF(AD173="No aplica","Sin Aviso (sólo preparas: Ley 17 XI)",IF(NOT(ISNUMBER(AE173)),"",IF(AA173&lt;&gt;"ACUMULA",IF(E173&gt;=AE173,IF(AND(D173="XVI - Activos virtuales (PSAV): cobro de contraprestación (comisión) por el servicio",COUNTIFS($C$6:$C$505,C173,$B$6:$B$505,"&gt;="&amp;INT(B173),$B$6:$B$505,"&lt;"&amp;(INT(B173)+1),$AU$6:$AU$505,1)&gt;0),"En el Aviso del inciso a) (R 31 Bis)","AVISO"),"—"),IF(M173&lt;&gt;"Sí","—",IF(AK173&gt;=AE173,IF(AK173=E173,"AVISO","AVISO (acumulado)"),"Acumulando")))))))</f>
        <v/>
      </c>
    </row>
    <row r="174" customFormat="false" ht="15" hidden="false" customHeight="false" outlineLevel="0" collapsed="false">
      <c r="A174" s="9" t="str">
        <f aca="false">IF(E174="","",ROW()-5)</f>
        <v/>
      </c>
      <c r="B174" s="20"/>
      <c r="C174" s="21"/>
      <c r="D174" s="21"/>
      <c r="E174" s="22"/>
      <c r="F174" s="22"/>
      <c r="G174" s="21"/>
      <c r="H174" s="21"/>
      <c r="I174" s="9" t="str">
        <f aca="false">IF(C174="","",IFERROR(INDEX(CLIENTES!$B$6:$B$305,MATCH(C174,CLIENTES!$A$6:$A$305,0)),"⚠ ID no registrado"))</f>
        <v/>
      </c>
      <c r="J174" s="9" t="str">
        <f aca="false">IF(C174="","",IFERROR(INDEX(CLIENTES!$Z$6:$Z$305,MATCH(C174,CLIENTES!$A$6:$A$305,0)),""))</f>
        <v/>
      </c>
      <c r="K174" s="9" t="str">
        <f aca="false">IF(E174="","",IF(AB174="Siempre","Sí",IF(ISNUMBER(AC174),IF(E174&gt;=AC174,"Sí",IF(AW174&gt;=AC174,"Sí (serie 24 h)","No")),"")))</f>
        <v/>
      </c>
      <c r="L174" s="9" t="str">
        <f aca="false">IF(E174="","",AA174)</f>
        <v/>
      </c>
      <c r="M174" s="9" t="str">
        <f aca="false">IF(E174="","",IF(AA174&lt;&gt;"ACUMULA","No aplica",IF(LEFT(K174,2)="Sí","Sí","No")))</f>
        <v/>
      </c>
      <c r="N174" s="23" t="str">
        <f aca="false">IF(M174="Sí",AJ174,"")</f>
        <v/>
      </c>
      <c r="O174" s="24" t="str">
        <f aca="false">IF(M174="Sí",AK174,"")</f>
        <v/>
      </c>
      <c r="P174" s="25" t="str">
        <f aca="false">IF(AND(LEFT(D174,6)="XIV - ",LEFT(AX174,5)="AVISO"),"Pedimento (R 16): no va al SPPLD",AX174)</f>
        <v/>
      </c>
      <c r="Q174" s="23" t="str">
        <f aca="false">IF(LEFT(P174,5)="AVISO",IF(ISNUMBER(B174),DATE(YEAR(B174),MONTH(B174)+1,17),"Falta fecha"),"")</f>
        <v/>
      </c>
      <c r="R174" s="9" t="str">
        <f aca="false">IF(OR(F174="",F174=0),"",IF(ISNUMBER(AG174),IF(F174&gt;=AG174,"PROHIBIDO","Dentro del límite"),"No aplica"))</f>
        <v/>
      </c>
      <c r="S174" s="26" t="str">
        <f aca="false">IF(E174="","",MID(IF(AQ174=1," · Excede el perfil declarado","")&amp;IF(H174="Sí"," · Paga un tercero","")&amp;IF(J174="Alto"," · Cliente de riesgo alto: DDR (RCG 23 Ter 3 y 4)","")&amp;IF(AND(AS174&lt;&gt;"",AS174&lt;&gt;"No",AS174&lt;&gt;0)," · PEP","")&amp;IF(R174="PROHIBIDO"," · Efectivo prohibido: no lo recibas (Art. 32)","")&amp;IF(AR174=1," · ⚠ Fecha fuera de orden","")&amp;IF(LEFT(I174,1)="⚠"," · ⚠ Cliente no registrado","")&amp;IF(D174=""," · ⚠ Falta la actividad","")&amp;IF(AND(LEFT(P174,5)="AVISO",W174="")," · Captura la cifra total con IVA para el Aviso","")&amp;IF(AND(ISNUMBER(W174),W174&lt;E174)," · ⚠ La cifra con IVA es menor que el monto sin IVA",""),4,400))</f>
        <v/>
      </c>
      <c r="T174" s="21"/>
      <c r="U174" s="20"/>
      <c r="V174" s="9" t="str">
        <f aca="false">IF(LEFT(P174,5)&lt;&gt;"AVISO","",IF(T174="Presentado",IF(AND(ISNUMBER(U174),ISNUMBER(Q174),U174&gt;Q174),"Presentado tarde","Presentado"),IF(NOT(ISNUMBER(Q174)),"Falta fecha",IF(Q174&lt;CONFIG!$B$6,"VENCIDO","Vence en "&amp;(Q174-CONFIG!$B$6)&amp;" días"))))</f>
        <v/>
      </c>
      <c r="W174" s="22"/>
      <c r="X174" s="21"/>
      <c r="AA174" s="0" t="str">
        <f aca="false">IF(AM174="","",INDEX(CATÁLOGO!$D$5:$D$39,AM174))</f>
        <v/>
      </c>
      <c r="AB174" s="0" t="str">
        <f aca="false">IF(AM174="","",INDEX(CATÁLOGO!$E$5:$E$39,AM174))</f>
        <v/>
      </c>
      <c r="AC174" s="0" t="str">
        <f aca="false">IF(AB174="","",IF(ISNUMBER(AB174),AB174*AV174,AB174))</f>
        <v/>
      </c>
      <c r="AD174" s="0" t="str">
        <f aca="false">IF(AM174="","",INDEX(CATÁLOGO!$F$5:$F$39,AM174))</f>
        <v/>
      </c>
      <c r="AE174" s="0" t="str">
        <f aca="false">IF(AD174="","",IF(ISNUMBER(AD174),AD174*AV174,AD174))</f>
        <v/>
      </c>
      <c r="AF174" s="0" t="str">
        <f aca="false">IF(AM174="","",INDEX(CATÁLOGO!$G$5:$G$39,AM174))</f>
        <v/>
      </c>
      <c r="AG174" s="0" t="str">
        <f aca="false">IF(AF174="","",IF(ISNUMBER(AF174),AF174*AV174,AF174))</f>
        <v/>
      </c>
      <c r="AH174" s="0" t="str">
        <f aca="false">IF(E174="","",C174&amp;"|"&amp;D174)</f>
        <v/>
      </c>
      <c r="AI174" s="27" t="n">
        <f aca="false">IF(M174&lt;&gt;"Sí",0,SUMPRODUCT(MAX(($AH$5:AH173=AH174)*($M$5:M173="Sí")*ROW($AH$5:AH173))))</f>
        <v>0</v>
      </c>
      <c r="AJ174" s="0" t="str">
        <f aca="false">IF(M174&lt;&gt;"Sí","",IF(AL174=1,B174,INDEX($AJ:$AJ,AI174)))</f>
        <v/>
      </c>
      <c r="AK174" s="0" t="str">
        <f aca="false">IF(M174&lt;&gt;"Sí","",IF(AL174=1,E174,INDEX($AK:$AK,AI174)+E174))</f>
        <v/>
      </c>
      <c r="AL174" s="0" t="str">
        <f aca="false">IF(M174&lt;&gt;"Sí","",IF(AI174=0,1,IF(INDEX($AN:$AN,AI174)=0,1,IF(B174&gt;=EDATE(INDEX($AJ:$AJ,AI174),6),1,0))))</f>
        <v/>
      </c>
      <c r="AM174" s="0" t="str">
        <f aca="false">IF(D174="","",IFERROR(MATCH(D174,CATÁLOGO!$C$5:$C$39,0),""))</f>
        <v/>
      </c>
      <c r="AN174" s="0" t="str">
        <f aca="false">IF(M174&lt;&gt;"Sí","",IF(AND(ISNUMBER(AE174),AK174&gt;=AE174),0,1))</f>
        <v/>
      </c>
      <c r="AO174" s="0" t="str">
        <f aca="false">IF(OR(E174="",C174="",NOT(ISNUMBER(B174))),"",SUMIFS($E$6:$E$505,$C$6:$C$505,C174,$B$6:$B$505,"&gt;="&amp;DATE(YEAR(B174),MONTH(B174),1),$B$6:$B$505,"&lt;"&amp;DATE(YEAR(B174),MONTH(B174)+1,1)))</f>
        <v/>
      </c>
      <c r="AP174" s="0" t="str">
        <f aca="false">IF(C174="","",IFERROR(INDEX(CLIENTES!$M$6:$M$305,MATCH(C174,CLIENTES!$A$6:$A$305,0)),""))</f>
        <v/>
      </c>
      <c r="AQ174" s="27" t="n">
        <f aca="false">IF(AND(ISNUMBER(AO174),ISNUMBER(AP174)),IF(AND(AP174&gt;0,AO174&gt;AP174),1,0),0)</f>
        <v>0</v>
      </c>
      <c r="AR174" s="27" t="n">
        <f aca="false">IF(NOT(ISNUMBER(B174)),0,IF(B174&lt;MAX($B$5:B173),1,0))</f>
        <v>0</v>
      </c>
      <c r="AS174" s="0" t="str">
        <f aca="false">IF(C174="","",IFERROR(INDEX(CLIENTES!$H$6:$H$305,MATCH(C174,CLIENTES!$A$6:$A$305,0)),""))</f>
        <v/>
      </c>
      <c r="AT174" s="0" t="str">
        <f aca="false">IF(AND(LEFT(P174,5)="AVISO",T174&lt;&gt;"Presentado",ISNUMBER(Q174)),Q174,"")</f>
        <v/>
      </c>
      <c r="AU174" s="27" t="n">
        <f aca="false">IF(AND(D174="XVI - Activos virtuales (PSAV): operación de intercambio/transferencia",M174="Sí",ISNUMBER(AE174)),IF(AK174&gt;=AE174,1,0),0)</f>
        <v>0</v>
      </c>
      <c r="AV174" s="30" t="n">
        <f aca="false">IF(NOT(ISNUMBER(B174)),CONFIG!$B$4,IFERROR(INDEX(CONFIG!$I$5:$I$14,MATCH(IF(MONTH(B174)=1,YEAR(B174)-1,YEAR(B174)),CONFIG!$H$5:$H$14,0)),CONFIG!$B$4))</f>
        <v>117.31</v>
      </c>
      <c r="AW174" s="27" t="n">
        <f aca="false">IF(AND(LEFT(D174,4)="I - ",ISNUMBER(B174),C174&lt;&gt;""),SUMIFS($E$6:$E$505,$C$6:$C$505,C174,$D$6:$D$505,D174,$B$6:$B$505,"&gt;"&amp;(B174-1),$B$6:$B$505,"&lt;="&amp;B174),0)</f>
        <v>0</v>
      </c>
      <c r="AX174" s="0" t="str">
        <f aca="false">IF(E174="","",IF(AD174="Siempre","AVISO (siempre)",IF(AD174="No aplica","Sin Aviso (sólo preparas: Ley 17 XI)",IF(NOT(ISNUMBER(AE174)),"",IF(AA174&lt;&gt;"ACUMULA",IF(E174&gt;=AE174,IF(AND(D174="XVI - Activos virtuales (PSAV): cobro de contraprestación (comisión) por el servicio",COUNTIFS($C$6:$C$505,C174,$B$6:$B$505,"&gt;="&amp;INT(B174),$B$6:$B$505,"&lt;"&amp;(INT(B174)+1),$AU$6:$AU$505,1)&gt;0),"En el Aviso del inciso a) (R 31 Bis)","AVISO"),"—"),IF(M174&lt;&gt;"Sí","—",IF(AK174&gt;=AE174,IF(AK174=E174,"AVISO","AVISO (acumulado)"),"Acumulando")))))))</f>
        <v/>
      </c>
    </row>
    <row r="175" customFormat="false" ht="15" hidden="false" customHeight="false" outlineLevel="0" collapsed="false">
      <c r="A175" s="9" t="str">
        <f aca="false">IF(E175="","",ROW()-5)</f>
        <v/>
      </c>
      <c r="B175" s="20"/>
      <c r="C175" s="21"/>
      <c r="D175" s="21"/>
      <c r="E175" s="22"/>
      <c r="F175" s="22"/>
      <c r="G175" s="21"/>
      <c r="H175" s="21"/>
      <c r="I175" s="9" t="str">
        <f aca="false">IF(C175="","",IFERROR(INDEX(CLIENTES!$B$6:$B$305,MATCH(C175,CLIENTES!$A$6:$A$305,0)),"⚠ ID no registrado"))</f>
        <v/>
      </c>
      <c r="J175" s="9" t="str">
        <f aca="false">IF(C175="","",IFERROR(INDEX(CLIENTES!$Z$6:$Z$305,MATCH(C175,CLIENTES!$A$6:$A$305,0)),""))</f>
        <v/>
      </c>
      <c r="K175" s="9" t="str">
        <f aca="false">IF(E175="","",IF(AB175="Siempre","Sí",IF(ISNUMBER(AC175),IF(E175&gt;=AC175,"Sí",IF(AW175&gt;=AC175,"Sí (serie 24 h)","No")),"")))</f>
        <v/>
      </c>
      <c r="L175" s="9" t="str">
        <f aca="false">IF(E175="","",AA175)</f>
        <v/>
      </c>
      <c r="M175" s="9" t="str">
        <f aca="false">IF(E175="","",IF(AA175&lt;&gt;"ACUMULA","No aplica",IF(LEFT(K175,2)="Sí","Sí","No")))</f>
        <v/>
      </c>
      <c r="N175" s="23" t="str">
        <f aca="false">IF(M175="Sí",AJ175,"")</f>
        <v/>
      </c>
      <c r="O175" s="24" t="str">
        <f aca="false">IF(M175="Sí",AK175,"")</f>
        <v/>
      </c>
      <c r="P175" s="25" t="str">
        <f aca="false">IF(AND(LEFT(D175,6)="XIV - ",LEFT(AX175,5)="AVISO"),"Pedimento (R 16): no va al SPPLD",AX175)</f>
        <v/>
      </c>
      <c r="Q175" s="23" t="str">
        <f aca="false">IF(LEFT(P175,5)="AVISO",IF(ISNUMBER(B175),DATE(YEAR(B175),MONTH(B175)+1,17),"Falta fecha"),"")</f>
        <v/>
      </c>
      <c r="R175" s="9" t="str">
        <f aca="false">IF(OR(F175="",F175=0),"",IF(ISNUMBER(AG175),IF(F175&gt;=AG175,"PROHIBIDO","Dentro del límite"),"No aplica"))</f>
        <v/>
      </c>
      <c r="S175" s="26" t="str">
        <f aca="false">IF(E175="","",MID(IF(AQ175=1," · Excede el perfil declarado","")&amp;IF(H175="Sí"," · Paga un tercero","")&amp;IF(J175="Alto"," · Cliente de riesgo alto: DDR (RCG 23 Ter 3 y 4)","")&amp;IF(AND(AS175&lt;&gt;"",AS175&lt;&gt;"No",AS175&lt;&gt;0)," · PEP","")&amp;IF(R175="PROHIBIDO"," · Efectivo prohibido: no lo recibas (Art. 32)","")&amp;IF(AR175=1," · ⚠ Fecha fuera de orden","")&amp;IF(LEFT(I175,1)="⚠"," · ⚠ Cliente no registrado","")&amp;IF(D175=""," · ⚠ Falta la actividad","")&amp;IF(AND(LEFT(P175,5)="AVISO",W175="")," · Captura la cifra total con IVA para el Aviso","")&amp;IF(AND(ISNUMBER(W175),W175&lt;E175)," · ⚠ La cifra con IVA es menor que el monto sin IVA",""),4,400))</f>
        <v/>
      </c>
      <c r="T175" s="21"/>
      <c r="U175" s="20"/>
      <c r="V175" s="9" t="str">
        <f aca="false">IF(LEFT(P175,5)&lt;&gt;"AVISO","",IF(T175="Presentado",IF(AND(ISNUMBER(U175),ISNUMBER(Q175),U175&gt;Q175),"Presentado tarde","Presentado"),IF(NOT(ISNUMBER(Q175)),"Falta fecha",IF(Q175&lt;CONFIG!$B$6,"VENCIDO","Vence en "&amp;(Q175-CONFIG!$B$6)&amp;" días"))))</f>
        <v/>
      </c>
      <c r="W175" s="22"/>
      <c r="X175" s="21"/>
      <c r="AA175" s="0" t="str">
        <f aca="false">IF(AM175="","",INDEX(CATÁLOGO!$D$5:$D$39,AM175))</f>
        <v/>
      </c>
      <c r="AB175" s="0" t="str">
        <f aca="false">IF(AM175="","",INDEX(CATÁLOGO!$E$5:$E$39,AM175))</f>
        <v/>
      </c>
      <c r="AC175" s="0" t="str">
        <f aca="false">IF(AB175="","",IF(ISNUMBER(AB175),AB175*AV175,AB175))</f>
        <v/>
      </c>
      <c r="AD175" s="0" t="str">
        <f aca="false">IF(AM175="","",INDEX(CATÁLOGO!$F$5:$F$39,AM175))</f>
        <v/>
      </c>
      <c r="AE175" s="0" t="str">
        <f aca="false">IF(AD175="","",IF(ISNUMBER(AD175),AD175*AV175,AD175))</f>
        <v/>
      </c>
      <c r="AF175" s="0" t="str">
        <f aca="false">IF(AM175="","",INDEX(CATÁLOGO!$G$5:$G$39,AM175))</f>
        <v/>
      </c>
      <c r="AG175" s="0" t="str">
        <f aca="false">IF(AF175="","",IF(ISNUMBER(AF175),AF175*AV175,AF175))</f>
        <v/>
      </c>
      <c r="AH175" s="0" t="str">
        <f aca="false">IF(E175="","",C175&amp;"|"&amp;D175)</f>
        <v/>
      </c>
      <c r="AI175" s="27" t="n">
        <f aca="false">IF(M175&lt;&gt;"Sí",0,SUMPRODUCT(MAX(($AH$5:AH174=AH175)*($M$5:M174="Sí")*ROW($AH$5:AH174))))</f>
        <v>0</v>
      </c>
      <c r="AJ175" s="0" t="str">
        <f aca="false">IF(M175&lt;&gt;"Sí","",IF(AL175=1,B175,INDEX($AJ:$AJ,AI175)))</f>
        <v/>
      </c>
      <c r="AK175" s="0" t="str">
        <f aca="false">IF(M175&lt;&gt;"Sí","",IF(AL175=1,E175,INDEX($AK:$AK,AI175)+E175))</f>
        <v/>
      </c>
      <c r="AL175" s="0" t="str">
        <f aca="false">IF(M175&lt;&gt;"Sí","",IF(AI175=0,1,IF(INDEX($AN:$AN,AI175)=0,1,IF(B175&gt;=EDATE(INDEX($AJ:$AJ,AI175),6),1,0))))</f>
        <v/>
      </c>
      <c r="AM175" s="0" t="str">
        <f aca="false">IF(D175="","",IFERROR(MATCH(D175,CATÁLOGO!$C$5:$C$39,0),""))</f>
        <v/>
      </c>
      <c r="AN175" s="0" t="str">
        <f aca="false">IF(M175&lt;&gt;"Sí","",IF(AND(ISNUMBER(AE175),AK175&gt;=AE175),0,1))</f>
        <v/>
      </c>
      <c r="AO175" s="0" t="str">
        <f aca="false">IF(OR(E175="",C175="",NOT(ISNUMBER(B175))),"",SUMIFS($E$6:$E$505,$C$6:$C$505,C175,$B$6:$B$505,"&gt;="&amp;DATE(YEAR(B175),MONTH(B175),1),$B$6:$B$505,"&lt;"&amp;DATE(YEAR(B175),MONTH(B175)+1,1)))</f>
        <v/>
      </c>
      <c r="AP175" s="0" t="str">
        <f aca="false">IF(C175="","",IFERROR(INDEX(CLIENTES!$M$6:$M$305,MATCH(C175,CLIENTES!$A$6:$A$305,0)),""))</f>
        <v/>
      </c>
      <c r="AQ175" s="27" t="n">
        <f aca="false">IF(AND(ISNUMBER(AO175),ISNUMBER(AP175)),IF(AND(AP175&gt;0,AO175&gt;AP175),1,0),0)</f>
        <v>0</v>
      </c>
      <c r="AR175" s="27" t="n">
        <f aca="false">IF(NOT(ISNUMBER(B175)),0,IF(B175&lt;MAX($B$5:B174),1,0))</f>
        <v>0</v>
      </c>
      <c r="AS175" s="0" t="str">
        <f aca="false">IF(C175="","",IFERROR(INDEX(CLIENTES!$H$6:$H$305,MATCH(C175,CLIENTES!$A$6:$A$305,0)),""))</f>
        <v/>
      </c>
      <c r="AT175" s="0" t="str">
        <f aca="false">IF(AND(LEFT(P175,5)="AVISO",T175&lt;&gt;"Presentado",ISNUMBER(Q175)),Q175,"")</f>
        <v/>
      </c>
      <c r="AU175" s="27" t="n">
        <f aca="false">IF(AND(D175="XVI - Activos virtuales (PSAV): operación de intercambio/transferencia",M175="Sí",ISNUMBER(AE175)),IF(AK175&gt;=AE175,1,0),0)</f>
        <v>0</v>
      </c>
      <c r="AV175" s="30" t="n">
        <f aca="false">IF(NOT(ISNUMBER(B175)),CONFIG!$B$4,IFERROR(INDEX(CONFIG!$I$5:$I$14,MATCH(IF(MONTH(B175)=1,YEAR(B175)-1,YEAR(B175)),CONFIG!$H$5:$H$14,0)),CONFIG!$B$4))</f>
        <v>117.31</v>
      </c>
      <c r="AW175" s="27" t="n">
        <f aca="false">IF(AND(LEFT(D175,4)="I - ",ISNUMBER(B175),C175&lt;&gt;""),SUMIFS($E$6:$E$505,$C$6:$C$505,C175,$D$6:$D$505,D175,$B$6:$B$505,"&gt;"&amp;(B175-1),$B$6:$B$505,"&lt;="&amp;B175),0)</f>
        <v>0</v>
      </c>
      <c r="AX175" s="0" t="str">
        <f aca="false">IF(E175="","",IF(AD175="Siempre","AVISO (siempre)",IF(AD175="No aplica","Sin Aviso (sólo preparas: Ley 17 XI)",IF(NOT(ISNUMBER(AE175)),"",IF(AA175&lt;&gt;"ACUMULA",IF(E175&gt;=AE175,IF(AND(D175="XVI - Activos virtuales (PSAV): cobro de contraprestación (comisión) por el servicio",COUNTIFS($C$6:$C$505,C175,$B$6:$B$505,"&gt;="&amp;INT(B175),$B$6:$B$505,"&lt;"&amp;(INT(B175)+1),$AU$6:$AU$505,1)&gt;0),"En el Aviso del inciso a) (R 31 Bis)","AVISO"),"—"),IF(M175&lt;&gt;"Sí","—",IF(AK175&gt;=AE175,IF(AK175=E175,"AVISO","AVISO (acumulado)"),"Acumulando")))))))</f>
        <v/>
      </c>
    </row>
    <row r="176" customFormat="false" ht="15" hidden="false" customHeight="false" outlineLevel="0" collapsed="false">
      <c r="A176" s="9" t="str">
        <f aca="false">IF(E176="","",ROW()-5)</f>
        <v/>
      </c>
      <c r="B176" s="20"/>
      <c r="C176" s="21"/>
      <c r="D176" s="21"/>
      <c r="E176" s="22"/>
      <c r="F176" s="22"/>
      <c r="G176" s="21"/>
      <c r="H176" s="21"/>
      <c r="I176" s="9" t="str">
        <f aca="false">IF(C176="","",IFERROR(INDEX(CLIENTES!$B$6:$B$305,MATCH(C176,CLIENTES!$A$6:$A$305,0)),"⚠ ID no registrado"))</f>
        <v/>
      </c>
      <c r="J176" s="9" t="str">
        <f aca="false">IF(C176="","",IFERROR(INDEX(CLIENTES!$Z$6:$Z$305,MATCH(C176,CLIENTES!$A$6:$A$305,0)),""))</f>
        <v/>
      </c>
      <c r="K176" s="9" t="str">
        <f aca="false">IF(E176="","",IF(AB176="Siempre","Sí",IF(ISNUMBER(AC176),IF(E176&gt;=AC176,"Sí",IF(AW176&gt;=AC176,"Sí (serie 24 h)","No")),"")))</f>
        <v/>
      </c>
      <c r="L176" s="9" t="str">
        <f aca="false">IF(E176="","",AA176)</f>
        <v/>
      </c>
      <c r="M176" s="9" t="str">
        <f aca="false">IF(E176="","",IF(AA176&lt;&gt;"ACUMULA","No aplica",IF(LEFT(K176,2)="Sí","Sí","No")))</f>
        <v/>
      </c>
      <c r="N176" s="23" t="str">
        <f aca="false">IF(M176="Sí",AJ176,"")</f>
        <v/>
      </c>
      <c r="O176" s="24" t="str">
        <f aca="false">IF(M176="Sí",AK176,"")</f>
        <v/>
      </c>
      <c r="P176" s="25" t="str">
        <f aca="false">IF(AND(LEFT(D176,6)="XIV - ",LEFT(AX176,5)="AVISO"),"Pedimento (R 16): no va al SPPLD",AX176)</f>
        <v/>
      </c>
      <c r="Q176" s="23" t="str">
        <f aca="false">IF(LEFT(P176,5)="AVISO",IF(ISNUMBER(B176),DATE(YEAR(B176),MONTH(B176)+1,17),"Falta fecha"),"")</f>
        <v/>
      </c>
      <c r="R176" s="9" t="str">
        <f aca="false">IF(OR(F176="",F176=0),"",IF(ISNUMBER(AG176),IF(F176&gt;=AG176,"PROHIBIDO","Dentro del límite"),"No aplica"))</f>
        <v/>
      </c>
      <c r="S176" s="26" t="str">
        <f aca="false">IF(E176="","",MID(IF(AQ176=1," · Excede el perfil declarado","")&amp;IF(H176="Sí"," · Paga un tercero","")&amp;IF(J176="Alto"," · Cliente de riesgo alto: DDR (RCG 23 Ter 3 y 4)","")&amp;IF(AND(AS176&lt;&gt;"",AS176&lt;&gt;"No",AS176&lt;&gt;0)," · PEP","")&amp;IF(R176="PROHIBIDO"," · Efectivo prohibido: no lo recibas (Art. 32)","")&amp;IF(AR176=1," · ⚠ Fecha fuera de orden","")&amp;IF(LEFT(I176,1)="⚠"," · ⚠ Cliente no registrado","")&amp;IF(D176=""," · ⚠ Falta la actividad","")&amp;IF(AND(LEFT(P176,5)="AVISO",W176="")," · Captura la cifra total con IVA para el Aviso","")&amp;IF(AND(ISNUMBER(W176),W176&lt;E176)," · ⚠ La cifra con IVA es menor que el monto sin IVA",""),4,400))</f>
        <v/>
      </c>
      <c r="T176" s="21"/>
      <c r="U176" s="20"/>
      <c r="V176" s="9" t="str">
        <f aca="false">IF(LEFT(P176,5)&lt;&gt;"AVISO","",IF(T176="Presentado",IF(AND(ISNUMBER(U176),ISNUMBER(Q176),U176&gt;Q176),"Presentado tarde","Presentado"),IF(NOT(ISNUMBER(Q176)),"Falta fecha",IF(Q176&lt;CONFIG!$B$6,"VENCIDO","Vence en "&amp;(Q176-CONFIG!$B$6)&amp;" días"))))</f>
        <v/>
      </c>
      <c r="W176" s="22"/>
      <c r="X176" s="21"/>
      <c r="AA176" s="0" t="str">
        <f aca="false">IF(AM176="","",INDEX(CATÁLOGO!$D$5:$D$39,AM176))</f>
        <v/>
      </c>
      <c r="AB176" s="0" t="str">
        <f aca="false">IF(AM176="","",INDEX(CATÁLOGO!$E$5:$E$39,AM176))</f>
        <v/>
      </c>
      <c r="AC176" s="0" t="str">
        <f aca="false">IF(AB176="","",IF(ISNUMBER(AB176),AB176*AV176,AB176))</f>
        <v/>
      </c>
      <c r="AD176" s="0" t="str">
        <f aca="false">IF(AM176="","",INDEX(CATÁLOGO!$F$5:$F$39,AM176))</f>
        <v/>
      </c>
      <c r="AE176" s="0" t="str">
        <f aca="false">IF(AD176="","",IF(ISNUMBER(AD176),AD176*AV176,AD176))</f>
        <v/>
      </c>
      <c r="AF176" s="0" t="str">
        <f aca="false">IF(AM176="","",INDEX(CATÁLOGO!$G$5:$G$39,AM176))</f>
        <v/>
      </c>
      <c r="AG176" s="0" t="str">
        <f aca="false">IF(AF176="","",IF(ISNUMBER(AF176),AF176*AV176,AF176))</f>
        <v/>
      </c>
      <c r="AH176" s="0" t="str">
        <f aca="false">IF(E176="","",C176&amp;"|"&amp;D176)</f>
        <v/>
      </c>
      <c r="AI176" s="27" t="n">
        <f aca="false">IF(M176&lt;&gt;"Sí",0,SUMPRODUCT(MAX(($AH$5:AH175=AH176)*($M$5:M175="Sí")*ROW($AH$5:AH175))))</f>
        <v>0</v>
      </c>
      <c r="AJ176" s="0" t="str">
        <f aca="false">IF(M176&lt;&gt;"Sí","",IF(AL176=1,B176,INDEX($AJ:$AJ,AI176)))</f>
        <v/>
      </c>
      <c r="AK176" s="0" t="str">
        <f aca="false">IF(M176&lt;&gt;"Sí","",IF(AL176=1,E176,INDEX($AK:$AK,AI176)+E176))</f>
        <v/>
      </c>
      <c r="AL176" s="0" t="str">
        <f aca="false">IF(M176&lt;&gt;"Sí","",IF(AI176=0,1,IF(INDEX($AN:$AN,AI176)=0,1,IF(B176&gt;=EDATE(INDEX($AJ:$AJ,AI176),6),1,0))))</f>
        <v/>
      </c>
      <c r="AM176" s="0" t="str">
        <f aca="false">IF(D176="","",IFERROR(MATCH(D176,CATÁLOGO!$C$5:$C$39,0),""))</f>
        <v/>
      </c>
      <c r="AN176" s="0" t="str">
        <f aca="false">IF(M176&lt;&gt;"Sí","",IF(AND(ISNUMBER(AE176),AK176&gt;=AE176),0,1))</f>
        <v/>
      </c>
      <c r="AO176" s="0" t="str">
        <f aca="false">IF(OR(E176="",C176="",NOT(ISNUMBER(B176))),"",SUMIFS($E$6:$E$505,$C$6:$C$505,C176,$B$6:$B$505,"&gt;="&amp;DATE(YEAR(B176),MONTH(B176),1),$B$6:$B$505,"&lt;"&amp;DATE(YEAR(B176),MONTH(B176)+1,1)))</f>
        <v/>
      </c>
      <c r="AP176" s="0" t="str">
        <f aca="false">IF(C176="","",IFERROR(INDEX(CLIENTES!$M$6:$M$305,MATCH(C176,CLIENTES!$A$6:$A$305,0)),""))</f>
        <v/>
      </c>
      <c r="AQ176" s="27" t="n">
        <f aca="false">IF(AND(ISNUMBER(AO176),ISNUMBER(AP176)),IF(AND(AP176&gt;0,AO176&gt;AP176),1,0),0)</f>
        <v>0</v>
      </c>
      <c r="AR176" s="27" t="n">
        <f aca="false">IF(NOT(ISNUMBER(B176)),0,IF(B176&lt;MAX($B$5:B175),1,0))</f>
        <v>0</v>
      </c>
      <c r="AS176" s="0" t="str">
        <f aca="false">IF(C176="","",IFERROR(INDEX(CLIENTES!$H$6:$H$305,MATCH(C176,CLIENTES!$A$6:$A$305,0)),""))</f>
        <v/>
      </c>
      <c r="AT176" s="0" t="str">
        <f aca="false">IF(AND(LEFT(P176,5)="AVISO",T176&lt;&gt;"Presentado",ISNUMBER(Q176)),Q176,"")</f>
        <v/>
      </c>
      <c r="AU176" s="27" t="n">
        <f aca="false">IF(AND(D176="XVI - Activos virtuales (PSAV): operación de intercambio/transferencia",M176="Sí",ISNUMBER(AE176)),IF(AK176&gt;=AE176,1,0),0)</f>
        <v>0</v>
      </c>
      <c r="AV176" s="30" t="n">
        <f aca="false">IF(NOT(ISNUMBER(B176)),CONFIG!$B$4,IFERROR(INDEX(CONFIG!$I$5:$I$14,MATCH(IF(MONTH(B176)=1,YEAR(B176)-1,YEAR(B176)),CONFIG!$H$5:$H$14,0)),CONFIG!$B$4))</f>
        <v>117.31</v>
      </c>
      <c r="AW176" s="27" t="n">
        <f aca="false">IF(AND(LEFT(D176,4)="I - ",ISNUMBER(B176),C176&lt;&gt;""),SUMIFS($E$6:$E$505,$C$6:$C$505,C176,$D$6:$D$505,D176,$B$6:$B$505,"&gt;"&amp;(B176-1),$B$6:$B$505,"&lt;="&amp;B176),0)</f>
        <v>0</v>
      </c>
      <c r="AX176" s="0" t="str">
        <f aca="false">IF(E176="","",IF(AD176="Siempre","AVISO (siempre)",IF(AD176="No aplica","Sin Aviso (sólo preparas: Ley 17 XI)",IF(NOT(ISNUMBER(AE176)),"",IF(AA176&lt;&gt;"ACUMULA",IF(E176&gt;=AE176,IF(AND(D176="XVI - Activos virtuales (PSAV): cobro de contraprestación (comisión) por el servicio",COUNTIFS($C$6:$C$505,C176,$B$6:$B$505,"&gt;="&amp;INT(B176),$B$6:$B$505,"&lt;"&amp;(INT(B176)+1),$AU$6:$AU$505,1)&gt;0),"En el Aviso del inciso a) (R 31 Bis)","AVISO"),"—"),IF(M176&lt;&gt;"Sí","—",IF(AK176&gt;=AE176,IF(AK176=E176,"AVISO","AVISO (acumulado)"),"Acumulando")))))))</f>
        <v/>
      </c>
    </row>
    <row r="177" customFormat="false" ht="15" hidden="false" customHeight="false" outlineLevel="0" collapsed="false">
      <c r="A177" s="9" t="str">
        <f aca="false">IF(E177="","",ROW()-5)</f>
        <v/>
      </c>
      <c r="B177" s="20"/>
      <c r="C177" s="21"/>
      <c r="D177" s="21"/>
      <c r="E177" s="22"/>
      <c r="F177" s="22"/>
      <c r="G177" s="21"/>
      <c r="H177" s="21"/>
      <c r="I177" s="9" t="str">
        <f aca="false">IF(C177="","",IFERROR(INDEX(CLIENTES!$B$6:$B$305,MATCH(C177,CLIENTES!$A$6:$A$305,0)),"⚠ ID no registrado"))</f>
        <v/>
      </c>
      <c r="J177" s="9" t="str">
        <f aca="false">IF(C177="","",IFERROR(INDEX(CLIENTES!$Z$6:$Z$305,MATCH(C177,CLIENTES!$A$6:$A$305,0)),""))</f>
        <v/>
      </c>
      <c r="K177" s="9" t="str">
        <f aca="false">IF(E177="","",IF(AB177="Siempre","Sí",IF(ISNUMBER(AC177),IF(E177&gt;=AC177,"Sí",IF(AW177&gt;=AC177,"Sí (serie 24 h)","No")),"")))</f>
        <v/>
      </c>
      <c r="L177" s="9" t="str">
        <f aca="false">IF(E177="","",AA177)</f>
        <v/>
      </c>
      <c r="M177" s="9" t="str">
        <f aca="false">IF(E177="","",IF(AA177&lt;&gt;"ACUMULA","No aplica",IF(LEFT(K177,2)="Sí","Sí","No")))</f>
        <v/>
      </c>
      <c r="N177" s="23" t="str">
        <f aca="false">IF(M177="Sí",AJ177,"")</f>
        <v/>
      </c>
      <c r="O177" s="24" t="str">
        <f aca="false">IF(M177="Sí",AK177,"")</f>
        <v/>
      </c>
      <c r="P177" s="25" t="str">
        <f aca="false">IF(AND(LEFT(D177,6)="XIV - ",LEFT(AX177,5)="AVISO"),"Pedimento (R 16): no va al SPPLD",AX177)</f>
        <v/>
      </c>
      <c r="Q177" s="23" t="str">
        <f aca="false">IF(LEFT(P177,5)="AVISO",IF(ISNUMBER(B177),DATE(YEAR(B177),MONTH(B177)+1,17),"Falta fecha"),"")</f>
        <v/>
      </c>
      <c r="R177" s="9" t="str">
        <f aca="false">IF(OR(F177="",F177=0),"",IF(ISNUMBER(AG177),IF(F177&gt;=AG177,"PROHIBIDO","Dentro del límite"),"No aplica"))</f>
        <v/>
      </c>
      <c r="S177" s="26" t="str">
        <f aca="false">IF(E177="","",MID(IF(AQ177=1," · Excede el perfil declarado","")&amp;IF(H177="Sí"," · Paga un tercero","")&amp;IF(J177="Alto"," · Cliente de riesgo alto: DDR (RCG 23 Ter 3 y 4)","")&amp;IF(AND(AS177&lt;&gt;"",AS177&lt;&gt;"No",AS177&lt;&gt;0)," · PEP","")&amp;IF(R177="PROHIBIDO"," · Efectivo prohibido: no lo recibas (Art. 32)","")&amp;IF(AR177=1," · ⚠ Fecha fuera de orden","")&amp;IF(LEFT(I177,1)="⚠"," · ⚠ Cliente no registrado","")&amp;IF(D177=""," · ⚠ Falta la actividad","")&amp;IF(AND(LEFT(P177,5)="AVISO",W177="")," · Captura la cifra total con IVA para el Aviso","")&amp;IF(AND(ISNUMBER(W177),W177&lt;E177)," · ⚠ La cifra con IVA es menor que el monto sin IVA",""),4,400))</f>
        <v/>
      </c>
      <c r="T177" s="21"/>
      <c r="U177" s="20"/>
      <c r="V177" s="9" t="str">
        <f aca="false">IF(LEFT(P177,5)&lt;&gt;"AVISO","",IF(T177="Presentado",IF(AND(ISNUMBER(U177),ISNUMBER(Q177),U177&gt;Q177),"Presentado tarde","Presentado"),IF(NOT(ISNUMBER(Q177)),"Falta fecha",IF(Q177&lt;CONFIG!$B$6,"VENCIDO","Vence en "&amp;(Q177-CONFIG!$B$6)&amp;" días"))))</f>
        <v/>
      </c>
      <c r="W177" s="22"/>
      <c r="X177" s="21"/>
      <c r="AA177" s="0" t="str">
        <f aca="false">IF(AM177="","",INDEX(CATÁLOGO!$D$5:$D$39,AM177))</f>
        <v/>
      </c>
      <c r="AB177" s="0" t="str">
        <f aca="false">IF(AM177="","",INDEX(CATÁLOGO!$E$5:$E$39,AM177))</f>
        <v/>
      </c>
      <c r="AC177" s="0" t="str">
        <f aca="false">IF(AB177="","",IF(ISNUMBER(AB177),AB177*AV177,AB177))</f>
        <v/>
      </c>
      <c r="AD177" s="0" t="str">
        <f aca="false">IF(AM177="","",INDEX(CATÁLOGO!$F$5:$F$39,AM177))</f>
        <v/>
      </c>
      <c r="AE177" s="0" t="str">
        <f aca="false">IF(AD177="","",IF(ISNUMBER(AD177),AD177*AV177,AD177))</f>
        <v/>
      </c>
      <c r="AF177" s="0" t="str">
        <f aca="false">IF(AM177="","",INDEX(CATÁLOGO!$G$5:$G$39,AM177))</f>
        <v/>
      </c>
      <c r="AG177" s="0" t="str">
        <f aca="false">IF(AF177="","",IF(ISNUMBER(AF177),AF177*AV177,AF177))</f>
        <v/>
      </c>
      <c r="AH177" s="0" t="str">
        <f aca="false">IF(E177="","",C177&amp;"|"&amp;D177)</f>
        <v/>
      </c>
      <c r="AI177" s="27" t="n">
        <f aca="false">IF(M177&lt;&gt;"Sí",0,SUMPRODUCT(MAX(($AH$5:AH176=AH177)*($M$5:M176="Sí")*ROW($AH$5:AH176))))</f>
        <v>0</v>
      </c>
      <c r="AJ177" s="0" t="str">
        <f aca="false">IF(M177&lt;&gt;"Sí","",IF(AL177=1,B177,INDEX($AJ:$AJ,AI177)))</f>
        <v/>
      </c>
      <c r="AK177" s="0" t="str">
        <f aca="false">IF(M177&lt;&gt;"Sí","",IF(AL177=1,E177,INDEX($AK:$AK,AI177)+E177))</f>
        <v/>
      </c>
      <c r="AL177" s="0" t="str">
        <f aca="false">IF(M177&lt;&gt;"Sí","",IF(AI177=0,1,IF(INDEX($AN:$AN,AI177)=0,1,IF(B177&gt;=EDATE(INDEX($AJ:$AJ,AI177),6),1,0))))</f>
        <v/>
      </c>
      <c r="AM177" s="0" t="str">
        <f aca="false">IF(D177="","",IFERROR(MATCH(D177,CATÁLOGO!$C$5:$C$39,0),""))</f>
        <v/>
      </c>
      <c r="AN177" s="0" t="str">
        <f aca="false">IF(M177&lt;&gt;"Sí","",IF(AND(ISNUMBER(AE177),AK177&gt;=AE177),0,1))</f>
        <v/>
      </c>
      <c r="AO177" s="0" t="str">
        <f aca="false">IF(OR(E177="",C177="",NOT(ISNUMBER(B177))),"",SUMIFS($E$6:$E$505,$C$6:$C$505,C177,$B$6:$B$505,"&gt;="&amp;DATE(YEAR(B177),MONTH(B177),1),$B$6:$B$505,"&lt;"&amp;DATE(YEAR(B177),MONTH(B177)+1,1)))</f>
        <v/>
      </c>
      <c r="AP177" s="0" t="str">
        <f aca="false">IF(C177="","",IFERROR(INDEX(CLIENTES!$M$6:$M$305,MATCH(C177,CLIENTES!$A$6:$A$305,0)),""))</f>
        <v/>
      </c>
      <c r="AQ177" s="27" t="n">
        <f aca="false">IF(AND(ISNUMBER(AO177),ISNUMBER(AP177)),IF(AND(AP177&gt;0,AO177&gt;AP177),1,0),0)</f>
        <v>0</v>
      </c>
      <c r="AR177" s="27" t="n">
        <f aca="false">IF(NOT(ISNUMBER(B177)),0,IF(B177&lt;MAX($B$5:B176),1,0))</f>
        <v>0</v>
      </c>
      <c r="AS177" s="0" t="str">
        <f aca="false">IF(C177="","",IFERROR(INDEX(CLIENTES!$H$6:$H$305,MATCH(C177,CLIENTES!$A$6:$A$305,0)),""))</f>
        <v/>
      </c>
      <c r="AT177" s="0" t="str">
        <f aca="false">IF(AND(LEFT(P177,5)="AVISO",T177&lt;&gt;"Presentado",ISNUMBER(Q177)),Q177,"")</f>
        <v/>
      </c>
      <c r="AU177" s="27" t="n">
        <f aca="false">IF(AND(D177="XVI - Activos virtuales (PSAV): operación de intercambio/transferencia",M177="Sí",ISNUMBER(AE177)),IF(AK177&gt;=AE177,1,0),0)</f>
        <v>0</v>
      </c>
      <c r="AV177" s="30" t="n">
        <f aca="false">IF(NOT(ISNUMBER(B177)),CONFIG!$B$4,IFERROR(INDEX(CONFIG!$I$5:$I$14,MATCH(IF(MONTH(B177)=1,YEAR(B177)-1,YEAR(B177)),CONFIG!$H$5:$H$14,0)),CONFIG!$B$4))</f>
        <v>117.31</v>
      </c>
      <c r="AW177" s="27" t="n">
        <f aca="false">IF(AND(LEFT(D177,4)="I - ",ISNUMBER(B177),C177&lt;&gt;""),SUMIFS($E$6:$E$505,$C$6:$C$505,C177,$D$6:$D$505,D177,$B$6:$B$505,"&gt;"&amp;(B177-1),$B$6:$B$505,"&lt;="&amp;B177),0)</f>
        <v>0</v>
      </c>
      <c r="AX177" s="0" t="str">
        <f aca="false">IF(E177="","",IF(AD177="Siempre","AVISO (siempre)",IF(AD177="No aplica","Sin Aviso (sólo preparas: Ley 17 XI)",IF(NOT(ISNUMBER(AE177)),"",IF(AA177&lt;&gt;"ACUMULA",IF(E177&gt;=AE177,IF(AND(D177="XVI - Activos virtuales (PSAV): cobro de contraprestación (comisión) por el servicio",COUNTIFS($C$6:$C$505,C177,$B$6:$B$505,"&gt;="&amp;INT(B177),$B$6:$B$505,"&lt;"&amp;(INT(B177)+1),$AU$6:$AU$505,1)&gt;0),"En el Aviso del inciso a) (R 31 Bis)","AVISO"),"—"),IF(M177&lt;&gt;"Sí","—",IF(AK177&gt;=AE177,IF(AK177=E177,"AVISO","AVISO (acumulado)"),"Acumulando")))))))</f>
        <v/>
      </c>
    </row>
    <row r="178" customFormat="false" ht="15" hidden="false" customHeight="false" outlineLevel="0" collapsed="false">
      <c r="A178" s="9" t="str">
        <f aca="false">IF(E178="","",ROW()-5)</f>
        <v/>
      </c>
      <c r="B178" s="20"/>
      <c r="C178" s="21"/>
      <c r="D178" s="21"/>
      <c r="E178" s="22"/>
      <c r="F178" s="22"/>
      <c r="G178" s="21"/>
      <c r="H178" s="21"/>
      <c r="I178" s="9" t="str">
        <f aca="false">IF(C178="","",IFERROR(INDEX(CLIENTES!$B$6:$B$305,MATCH(C178,CLIENTES!$A$6:$A$305,0)),"⚠ ID no registrado"))</f>
        <v/>
      </c>
      <c r="J178" s="9" t="str">
        <f aca="false">IF(C178="","",IFERROR(INDEX(CLIENTES!$Z$6:$Z$305,MATCH(C178,CLIENTES!$A$6:$A$305,0)),""))</f>
        <v/>
      </c>
      <c r="K178" s="9" t="str">
        <f aca="false">IF(E178="","",IF(AB178="Siempre","Sí",IF(ISNUMBER(AC178),IF(E178&gt;=AC178,"Sí",IF(AW178&gt;=AC178,"Sí (serie 24 h)","No")),"")))</f>
        <v/>
      </c>
      <c r="L178" s="9" t="str">
        <f aca="false">IF(E178="","",AA178)</f>
        <v/>
      </c>
      <c r="M178" s="9" t="str">
        <f aca="false">IF(E178="","",IF(AA178&lt;&gt;"ACUMULA","No aplica",IF(LEFT(K178,2)="Sí","Sí","No")))</f>
        <v/>
      </c>
      <c r="N178" s="23" t="str">
        <f aca="false">IF(M178="Sí",AJ178,"")</f>
        <v/>
      </c>
      <c r="O178" s="24" t="str">
        <f aca="false">IF(M178="Sí",AK178,"")</f>
        <v/>
      </c>
      <c r="P178" s="25" t="str">
        <f aca="false">IF(AND(LEFT(D178,6)="XIV - ",LEFT(AX178,5)="AVISO"),"Pedimento (R 16): no va al SPPLD",AX178)</f>
        <v/>
      </c>
      <c r="Q178" s="23" t="str">
        <f aca="false">IF(LEFT(P178,5)="AVISO",IF(ISNUMBER(B178),DATE(YEAR(B178),MONTH(B178)+1,17),"Falta fecha"),"")</f>
        <v/>
      </c>
      <c r="R178" s="9" t="str">
        <f aca="false">IF(OR(F178="",F178=0),"",IF(ISNUMBER(AG178),IF(F178&gt;=AG178,"PROHIBIDO","Dentro del límite"),"No aplica"))</f>
        <v/>
      </c>
      <c r="S178" s="26" t="str">
        <f aca="false">IF(E178="","",MID(IF(AQ178=1," · Excede el perfil declarado","")&amp;IF(H178="Sí"," · Paga un tercero","")&amp;IF(J178="Alto"," · Cliente de riesgo alto: DDR (RCG 23 Ter 3 y 4)","")&amp;IF(AND(AS178&lt;&gt;"",AS178&lt;&gt;"No",AS178&lt;&gt;0)," · PEP","")&amp;IF(R178="PROHIBIDO"," · Efectivo prohibido: no lo recibas (Art. 32)","")&amp;IF(AR178=1," · ⚠ Fecha fuera de orden","")&amp;IF(LEFT(I178,1)="⚠"," · ⚠ Cliente no registrado","")&amp;IF(D178=""," · ⚠ Falta la actividad","")&amp;IF(AND(LEFT(P178,5)="AVISO",W178="")," · Captura la cifra total con IVA para el Aviso","")&amp;IF(AND(ISNUMBER(W178),W178&lt;E178)," · ⚠ La cifra con IVA es menor que el monto sin IVA",""),4,400))</f>
        <v/>
      </c>
      <c r="T178" s="21"/>
      <c r="U178" s="20"/>
      <c r="V178" s="9" t="str">
        <f aca="false">IF(LEFT(P178,5)&lt;&gt;"AVISO","",IF(T178="Presentado",IF(AND(ISNUMBER(U178),ISNUMBER(Q178),U178&gt;Q178),"Presentado tarde","Presentado"),IF(NOT(ISNUMBER(Q178)),"Falta fecha",IF(Q178&lt;CONFIG!$B$6,"VENCIDO","Vence en "&amp;(Q178-CONFIG!$B$6)&amp;" días"))))</f>
        <v/>
      </c>
      <c r="W178" s="22"/>
      <c r="X178" s="21"/>
      <c r="AA178" s="0" t="str">
        <f aca="false">IF(AM178="","",INDEX(CATÁLOGO!$D$5:$D$39,AM178))</f>
        <v/>
      </c>
      <c r="AB178" s="0" t="str">
        <f aca="false">IF(AM178="","",INDEX(CATÁLOGO!$E$5:$E$39,AM178))</f>
        <v/>
      </c>
      <c r="AC178" s="0" t="str">
        <f aca="false">IF(AB178="","",IF(ISNUMBER(AB178),AB178*AV178,AB178))</f>
        <v/>
      </c>
      <c r="AD178" s="0" t="str">
        <f aca="false">IF(AM178="","",INDEX(CATÁLOGO!$F$5:$F$39,AM178))</f>
        <v/>
      </c>
      <c r="AE178" s="0" t="str">
        <f aca="false">IF(AD178="","",IF(ISNUMBER(AD178),AD178*AV178,AD178))</f>
        <v/>
      </c>
      <c r="AF178" s="0" t="str">
        <f aca="false">IF(AM178="","",INDEX(CATÁLOGO!$G$5:$G$39,AM178))</f>
        <v/>
      </c>
      <c r="AG178" s="0" t="str">
        <f aca="false">IF(AF178="","",IF(ISNUMBER(AF178),AF178*AV178,AF178))</f>
        <v/>
      </c>
      <c r="AH178" s="0" t="str">
        <f aca="false">IF(E178="","",C178&amp;"|"&amp;D178)</f>
        <v/>
      </c>
      <c r="AI178" s="27" t="n">
        <f aca="false">IF(M178&lt;&gt;"Sí",0,SUMPRODUCT(MAX(($AH$5:AH177=AH178)*($M$5:M177="Sí")*ROW($AH$5:AH177))))</f>
        <v>0</v>
      </c>
      <c r="AJ178" s="0" t="str">
        <f aca="false">IF(M178&lt;&gt;"Sí","",IF(AL178=1,B178,INDEX($AJ:$AJ,AI178)))</f>
        <v/>
      </c>
      <c r="AK178" s="0" t="str">
        <f aca="false">IF(M178&lt;&gt;"Sí","",IF(AL178=1,E178,INDEX($AK:$AK,AI178)+E178))</f>
        <v/>
      </c>
      <c r="AL178" s="0" t="str">
        <f aca="false">IF(M178&lt;&gt;"Sí","",IF(AI178=0,1,IF(INDEX($AN:$AN,AI178)=0,1,IF(B178&gt;=EDATE(INDEX($AJ:$AJ,AI178),6),1,0))))</f>
        <v/>
      </c>
      <c r="AM178" s="0" t="str">
        <f aca="false">IF(D178="","",IFERROR(MATCH(D178,CATÁLOGO!$C$5:$C$39,0),""))</f>
        <v/>
      </c>
      <c r="AN178" s="0" t="str">
        <f aca="false">IF(M178&lt;&gt;"Sí","",IF(AND(ISNUMBER(AE178),AK178&gt;=AE178),0,1))</f>
        <v/>
      </c>
      <c r="AO178" s="0" t="str">
        <f aca="false">IF(OR(E178="",C178="",NOT(ISNUMBER(B178))),"",SUMIFS($E$6:$E$505,$C$6:$C$505,C178,$B$6:$B$505,"&gt;="&amp;DATE(YEAR(B178),MONTH(B178),1),$B$6:$B$505,"&lt;"&amp;DATE(YEAR(B178),MONTH(B178)+1,1)))</f>
        <v/>
      </c>
      <c r="AP178" s="0" t="str">
        <f aca="false">IF(C178="","",IFERROR(INDEX(CLIENTES!$M$6:$M$305,MATCH(C178,CLIENTES!$A$6:$A$305,0)),""))</f>
        <v/>
      </c>
      <c r="AQ178" s="27" t="n">
        <f aca="false">IF(AND(ISNUMBER(AO178),ISNUMBER(AP178)),IF(AND(AP178&gt;0,AO178&gt;AP178),1,0),0)</f>
        <v>0</v>
      </c>
      <c r="AR178" s="27" t="n">
        <f aca="false">IF(NOT(ISNUMBER(B178)),0,IF(B178&lt;MAX($B$5:B177),1,0))</f>
        <v>0</v>
      </c>
      <c r="AS178" s="0" t="str">
        <f aca="false">IF(C178="","",IFERROR(INDEX(CLIENTES!$H$6:$H$305,MATCH(C178,CLIENTES!$A$6:$A$305,0)),""))</f>
        <v/>
      </c>
      <c r="AT178" s="0" t="str">
        <f aca="false">IF(AND(LEFT(P178,5)="AVISO",T178&lt;&gt;"Presentado",ISNUMBER(Q178)),Q178,"")</f>
        <v/>
      </c>
      <c r="AU178" s="27" t="n">
        <f aca="false">IF(AND(D178="XVI - Activos virtuales (PSAV): operación de intercambio/transferencia",M178="Sí",ISNUMBER(AE178)),IF(AK178&gt;=AE178,1,0),0)</f>
        <v>0</v>
      </c>
      <c r="AV178" s="30" t="n">
        <f aca="false">IF(NOT(ISNUMBER(B178)),CONFIG!$B$4,IFERROR(INDEX(CONFIG!$I$5:$I$14,MATCH(IF(MONTH(B178)=1,YEAR(B178)-1,YEAR(B178)),CONFIG!$H$5:$H$14,0)),CONFIG!$B$4))</f>
        <v>117.31</v>
      </c>
      <c r="AW178" s="27" t="n">
        <f aca="false">IF(AND(LEFT(D178,4)="I - ",ISNUMBER(B178),C178&lt;&gt;""),SUMIFS($E$6:$E$505,$C$6:$C$505,C178,$D$6:$D$505,D178,$B$6:$B$505,"&gt;"&amp;(B178-1),$B$6:$B$505,"&lt;="&amp;B178),0)</f>
        <v>0</v>
      </c>
      <c r="AX178" s="0" t="str">
        <f aca="false">IF(E178="","",IF(AD178="Siempre","AVISO (siempre)",IF(AD178="No aplica","Sin Aviso (sólo preparas: Ley 17 XI)",IF(NOT(ISNUMBER(AE178)),"",IF(AA178&lt;&gt;"ACUMULA",IF(E178&gt;=AE178,IF(AND(D178="XVI - Activos virtuales (PSAV): cobro de contraprestación (comisión) por el servicio",COUNTIFS($C$6:$C$505,C178,$B$6:$B$505,"&gt;="&amp;INT(B178),$B$6:$B$505,"&lt;"&amp;(INT(B178)+1),$AU$6:$AU$505,1)&gt;0),"En el Aviso del inciso a) (R 31 Bis)","AVISO"),"—"),IF(M178&lt;&gt;"Sí","—",IF(AK178&gt;=AE178,IF(AK178=E178,"AVISO","AVISO (acumulado)"),"Acumulando")))))))</f>
        <v/>
      </c>
    </row>
    <row r="179" customFormat="false" ht="15" hidden="false" customHeight="false" outlineLevel="0" collapsed="false">
      <c r="A179" s="9" t="str">
        <f aca="false">IF(E179="","",ROW()-5)</f>
        <v/>
      </c>
      <c r="B179" s="20"/>
      <c r="C179" s="21"/>
      <c r="D179" s="21"/>
      <c r="E179" s="22"/>
      <c r="F179" s="22"/>
      <c r="G179" s="21"/>
      <c r="H179" s="21"/>
      <c r="I179" s="9" t="str">
        <f aca="false">IF(C179="","",IFERROR(INDEX(CLIENTES!$B$6:$B$305,MATCH(C179,CLIENTES!$A$6:$A$305,0)),"⚠ ID no registrado"))</f>
        <v/>
      </c>
      <c r="J179" s="9" t="str">
        <f aca="false">IF(C179="","",IFERROR(INDEX(CLIENTES!$Z$6:$Z$305,MATCH(C179,CLIENTES!$A$6:$A$305,0)),""))</f>
        <v/>
      </c>
      <c r="K179" s="9" t="str">
        <f aca="false">IF(E179="","",IF(AB179="Siempre","Sí",IF(ISNUMBER(AC179),IF(E179&gt;=AC179,"Sí",IF(AW179&gt;=AC179,"Sí (serie 24 h)","No")),"")))</f>
        <v/>
      </c>
      <c r="L179" s="9" t="str">
        <f aca="false">IF(E179="","",AA179)</f>
        <v/>
      </c>
      <c r="M179" s="9" t="str">
        <f aca="false">IF(E179="","",IF(AA179&lt;&gt;"ACUMULA","No aplica",IF(LEFT(K179,2)="Sí","Sí","No")))</f>
        <v/>
      </c>
      <c r="N179" s="23" t="str">
        <f aca="false">IF(M179="Sí",AJ179,"")</f>
        <v/>
      </c>
      <c r="O179" s="24" t="str">
        <f aca="false">IF(M179="Sí",AK179,"")</f>
        <v/>
      </c>
      <c r="P179" s="25" t="str">
        <f aca="false">IF(AND(LEFT(D179,6)="XIV - ",LEFT(AX179,5)="AVISO"),"Pedimento (R 16): no va al SPPLD",AX179)</f>
        <v/>
      </c>
      <c r="Q179" s="23" t="str">
        <f aca="false">IF(LEFT(P179,5)="AVISO",IF(ISNUMBER(B179),DATE(YEAR(B179),MONTH(B179)+1,17),"Falta fecha"),"")</f>
        <v/>
      </c>
      <c r="R179" s="9" t="str">
        <f aca="false">IF(OR(F179="",F179=0),"",IF(ISNUMBER(AG179),IF(F179&gt;=AG179,"PROHIBIDO","Dentro del límite"),"No aplica"))</f>
        <v/>
      </c>
      <c r="S179" s="26" t="str">
        <f aca="false">IF(E179="","",MID(IF(AQ179=1," · Excede el perfil declarado","")&amp;IF(H179="Sí"," · Paga un tercero","")&amp;IF(J179="Alto"," · Cliente de riesgo alto: DDR (RCG 23 Ter 3 y 4)","")&amp;IF(AND(AS179&lt;&gt;"",AS179&lt;&gt;"No",AS179&lt;&gt;0)," · PEP","")&amp;IF(R179="PROHIBIDO"," · Efectivo prohibido: no lo recibas (Art. 32)","")&amp;IF(AR179=1," · ⚠ Fecha fuera de orden","")&amp;IF(LEFT(I179,1)="⚠"," · ⚠ Cliente no registrado","")&amp;IF(D179=""," · ⚠ Falta la actividad","")&amp;IF(AND(LEFT(P179,5)="AVISO",W179="")," · Captura la cifra total con IVA para el Aviso","")&amp;IF(AND(ISNUMBER(W179),W179&lt;E179)," · ⚠ La cifra con IVA es menor que el monto sin IVA",""),4,400))</f>
        <v/>
      </c>
      <c r="T179" s="21"/>
      <c r="U179" s="20"/>
      <c r="V179" s="9" t="str">
        <f aca="false">IF(LEFT(P179,5)&lt;&gt;"AVISO","",IF(T179="Presentado",IF(AND(ISNUMBER(U179),ISNUMBER(Q179),U179&gt;Q179),"Presentado tarde","Presentado"),IF(NOT(ISNUMBER(Q179)),"Falta fecha",IF(Q179&lt;CONFIG!$B$6,"VENCIDO","Vence en "&amp;(Q179-CONFIG!$B$6)&amp;" días"))))</f>
        <v/>
      </c>
      <c r="W179" s="22"/>
      <c r="X179" s="21"/>
      <c r="AA179" s="0" t="str">
        <f aca="false">IF(AM179="","",INDEX(CATÁLOGO!$D$5:$D$39,AM179))</f>
        <v/>
      </c>
      <c r="AB179" s="0" t="str">
        <f aca="false">IF(AM179="","",INDEX(CATÁLOGO!$E$5:$E$39,AM179))</f>
        <v/>
      </c>
      <c r="AC179" s="0" t="str">
        <f aca="false">IF(AB179="","",IF(ISNUMBER(AB179),AB179*AV179,AB179))</f>
        <v/>
      </c>
      <c r="AD179" s="0" t="str">
        <f aca="false">IF(AM179="","",INDEX(CATÁLOGO!$F$5:$F$39,AM179))</f>
        <v/>
      </c>
      <c r="AE179" s="0" t="str">
        <f aca="false">IF(AD179="","",IF(ISNUMBER(AD179),AD179*AV179,AD179))</f>
        <v/>
      </c>
      <c r="AF179" s="0" t="str">
        <f aca="false">IF(AM179="","",INDEX(CATÁLOGO!$G$5:$G$39,AM179))</f>
        <v/>
      </c>
      <c r="AG179" s="0" t="str">
        <f aca="false">IF(AF179="","",IF(ISNUMBER(AF179),AF179*AV179,AF179))</f>
        <v/>
      </c>
      <c r="AH179" s="0" t="str">
        <f aca="false">IF(E179="","",C179&amp;"|"&amp;D179)</f>
        <v/>
      </c>
      <c r="AI179" s="27" t="n">
        <f aca="false">IF(M179&lt;&gt;"Sí",0,SUMPRODUCT(MAX(($AH$5:AH178=AH179)*($M$5:M178="Sí")*ROW($AH$5:AH178))))</f>
        <v>0</v>
      </c>
      <c r="AJ179" s="0" t="str">
        <f aca="false">IF(M179&lt;&gt;"Sí","",IF(AL179=1,B179,INDEX($AJ:$AJ,AI179)))</f>
        <v/>
      </c>
      <c r="AK179" s="0" t="str">
        <f aca="false">IF(M179&lt;&gt;"Sí","",IF(AL179=1,E179,INDEX($AK:$AK,AI179)+E179))</f>
        <v/>
      </c>
      <c r="AL179" s="0" t="str">
        <f aca="false">IF(M179&lt;&gt;"Sí","",IF(AI179=0,1,IF(INDEX($AN:$AN,AI179)=0,1,IF(B179&gt;=EDATE(INDEX($AJ:$AJ,AI179),6),1,0))))</f>
        <v/>
      </c>
      <c r="AM179" s="0" t="str">
        <f aca="false">IF(D179="","",IFERROR(MATCH(D179,CATÁLOGO!$C$5:$C$39,0),""))</f>
        <v/>
      </c>
      <c r="AN179" s="0" t="str">
        <f aca="false">IF(M179&lt;&gt;"Sí","",IF(AND(ISNUMBER(AE179),AK179&gt;=AE179),0,1))</f>
        <v/>
      </c>
      <c r="AO179" s="0" t="str">
        <f aca="false">IF(OR(E179="",C179="",NOT(ISNUMBER(B179))),"",SUMIFS($E$6:$E$505,$C$6:$C$505,C179,$B$6:$B$505,"&gt;="&amp;DATE(YEAR(B179),MONTH(B179),1),$B$6:$B$505,"&lt;"&amp;DATE(YEAR(B179),MONTH(B179)+1,1)))</f>
        <v/>
      </c>
      <c r="AP179" s="0" t="str">
        <f aca="false">IF(C179="","",IFERROR(INDEX(CLIENTES!$M$6:$M$305,MATCH(C179,CLIENTES!$A$6:$A$305,0)),""))</f>
        <v/>
      </c>
      <c r="AQ179" s="27" t="n">
        <f aca="false">IF(AND(ISNUMBER(AO179),ISNUMBER(AP179)),IF(AND(AP179&gt;0,AO179&gt;AP179),1,0),0)</f>
        <v>0</v>
      </c>
      <c r="AR179" s="27" t="n">
        <f aca="false">IF(NOT(ISNUMBER(B179)),0,IF(B179&lt;MAX($B$5:B178),1,0))</f>
        <v>0</v>
      </c>
      <c r="AS179" s="0" t="str">
        <f aca="false">IF(C179="","",IFERROR(INDEX(CLIENTES!$H$6:$H$305,MATCH(C179,CLIENTES!$A$6:$A$305,0)),""))</f>
        <v/>
      </c>
      <c r="AT179" s="0" t="str">
        <f aca="false">IF(AND(LEFT(P179,5)="AVISO",T179&lt;&gt;"Presentado",ISNUMBER(Q179)),Q179,"")</f>
        <v/>
      </c>
      <c r="AU179" s="27" t="n">
        <f aca="false">IF(AND(D179="XVI - Activos virtuales (PSAV): operación de intercambio/transferencia",M179="Sí",ISNUMBER(AE179)),IF(AK179&gt;=AE179,1,0),0)</f>
        <v>0</v>
      </c>
      <c r="AV179" s="30" t="n">
        <f aca="false">IF(NOT(ISNUMBER(B179)),CONFIG!$B$4,IFERROR(INDEX(CONFIG!$I$5:$I$14,MATCH(IF(MONTH(B179)=1,YEAR(B179)-1,YEAR(B179)),CONFIG!$H$5:$H$14,0)),CONFIG!$B$4))</f>
        <v>117.31</v>
      </c>
      <c r="AW179" s="27" t="n">
        <f aca="false">IF(AND(LEFT(D179,4)="I - ",ISNUMBER(B179),C179&lt;&gt;""),SUMIFS($E$6:$E$505,$C$6:$C$505,C179,$D$6:$D$505,D179,$B$6:$B$505,"&gt;"&amp;(B179-1),$B$6:$B$505,"&lt;="&amp;B179),0)</f>
        <v>0</v>
      </c>
      <c r="AX179" s="0" t="str">
        <f aca="false">IF(E179="","",IF(AD179="Siempre","AVISO (siempre)",IF(AD179="No aplica","Sin Aviso (sólo preparas: Ley 17 XI)",IF(NOT(ISNUMBER(AE179)),"",IF(AA179&lt;&gt;"ACUMULA",IF(E179&gt;=AE179,IF(AND(D179="XVI - Activos virtuales (PSAV): cobro de contraprestación (comisión) por el servicio",COUNTIFS($C$6:$C$505,C179,$B$6:$B$505,"&gt;="&amp;INT(B179),$B$6:$B$505,"&lt;"&amp;(INT(B179)+1),$AU$6:$AU$505,1)&gt;0),"En el Aviso del inciso a) (R 31 Bis)","AVISO"),"—"),IF(M179&lt;&gt;"Sí","—",IF(AK179&gt;=AE179,IF(AK179=E179,"AVISO","AVISO (acumulado)"),"Acumulando")))))))</f>
        <v/>
      </c>
    </row>
    <row r="180" customFormat="false" ht="15" hidden="false" customHeight="false" outlineLevel="0" collapsed="false">
      <c r="A180" s="9" t="str">
        <f aca="false">IF(E180="","",ROW()-5)</f>
        <v/>
      </c>
      <c r="B180" s="20"/>
      <c r="C180" s="21"/>
      <c r="D180" s="21"/>
      <c r="E180" s="22"/>
      <c r="F180" s="22"/>
      <c r="G180" s="21"/>
      <c r="H180" s="21"/>
      <c r="I180" s="9" t="str">
        <f aca="false">IF(C180="","",IFERROR(INDEX(CLIENTES!$B$6:$B$305,MATCH(C180,CLIENTES!$A$6:$A$305,0)),"⚠ ID no registrado"))</f>
        <v/>
      </c>
      <c r="J180" s="9" t="str">
        <f aca="false">IF(C180="","",IFERROR(INDEX(CLIENTES!$Z$6:$Z$305,MATCH(C180,CLIENTES!$A$6:$A$305,0)),""))</f>
        <v/>
      </c>
      <c r="K180" s="9" t="str">
        <f aca="false">IF(E180="","",IF(AB180="Siempre","Sí",IF(ISNUMBER(AC180),IF(E180&gt;=AC180,"Sí",IF(AW180&gt;=AC180,"Sí (serie 24 h)","No")),"")))</f>
        <v/>
      </c>
      <c r="L180" s="9" t="str">
        <f aca="false">IF(E180="","",AA180)</f>
        <v/>
      </c>
      <c r="M180" s="9" t="str">
        <f aca="false">IF(E180="","",IF(AA180&lt;&gt;"ACUMULA","No aplica",IF(LEFT(K180,2)="Sí","Sí","No")))</f>
        <v/>
      </c>
      <c r="N180" s="23" t="str">
        <f aca="false">IF(M180="Sí",AJ180,"")</f>
        <v/>
      </c>
      <c r="O180" s="24" t="str">
        <f aca="false">IF(M180="Sí",AK180,"")</f>
        <v/>
      </c>
      <c r="P180" s="25" t="str">
        <f aca="false">IF(AND(LEFT(D180,6)="XIV - ",LEFT(AX180,5)="AVISO"),"Pedimento (R 16): no va al SPPLD",AX180)</f>
        <v/>
      </c>
      <c r="Q180" s="23" t="str">
        <f aca="false">IF(LEFT(P180,5)="AVISO",IF(ISNUMBER(B180),DATE(YEAR(B180),MONTH(B180)+1,17),"Falta fecha"),"")</f>
        <v/>
      </c>
      <c r="R180" s="9" t="str">
        <f aca="false">IF(OR(F180="",F180=0),"",IF(ISNUMBER(AG180),IF(F180&gt;=AG180,"PROHIBIDO","Dentro del límite"),"No aplica"))</f>
        <v/>
      </c>
      <c r="S180" s="26" t="str">
        <f aca="false">IF(E180="","",MID(IF(AQ180=1," · Excede el perfil declarado","")&amp;IF(H180="Sí"," · Paga un tercero","")&amp;IF(J180="Alto"," · Cliente de riesgo alto: DDR (RCG 23 Ter 3 y 4)","")&amp;IF(AND(AS180&lt;&gt;"",AS180&lt;&gt;"No",AS180&lt;&gt;0)," · PEP","")&amp;IF(R180="PROHIBIDO"," · Efectivo prohibido: no lo recibas (Art. 32)","")&amp;IF(AR180=1," · ⚠ Fecha fuera de orden","")&amp;IF(LEFT(I180,1)="⚠"," · ⚠ Cliente no registrado","")&amp;IF(D180=""," · ⚠ Falta la actividad","")&amp;IF(AND(LEFT(P180,5)="AVISO",W180="")," · Captura la cifra total con IVA para el Aviso","")&amp;IF(AND(ISNUMBER(W180),W180&lt;E180)," · ⚠ La cifra con IVA es menor que el monto sin IVA",""),4,400))</f>
        <v/>
      </c>
      <c r="T180" s="21"/>
      <c r="U180" s="20"/>
      <c r="V180" s="9" t="str">
        <f aca="false">IF(LEFT(P180,5)&lt;&gt;"AVISO","",IF(T180="Presentado",IF(AND(ISNUMBER(U180),ISNUMBER(Q180),U180&gt;Q180),"Presentado tarde","Presentado"),IF(NOT(ISNUMBER(Q180)),"Falta fecha",IF(Q180&lt;CONFIG!$B$6,"VENCIDO","Vence en "&amp;(Q180-CONFIG!$B$6)&amp;" días"))))</f>
        <v/>
      </c>
      <c r="W180" s="22"/>
      <c r="X180" s="21"/>
      <c r="AA180" s="0" t="str">
        <f aca="false">IF(AM180="","",INDEX(CATÁLOGO!$D$5:$D$39,AM180))</f>
        <v/>
      </c>
      <c r="AB180" s="0" t="str">
        <f aca="false">IF(AM180="","",INDEX(CATÁLOGO!$E$5:$E$39,AM180))</f>
        <v/>
      </c>
      <c r="AC180" s="0" t="str">
        <f aca="false">IF(AB180="","",IF(ISNUMBER(AB180),AB180*AV180,AB180))</f>
        <v/>
      </c>
      <c r="AD180" s="0" t="str">
        <f aca="false">IF(AM180="","",INDEX(CATÁLOGO!$F$5:$F$39,AM180))</f>
        <v/>
      </c>
      <c r="AE180" s="0" t="str">
        <f aca="false">IF(AD180="","",IF(ISNUMBER(AD180),AD180*AV180,AD180))</f>
        <v/>
      </c>
      <c r="AF180" s="0" t="str">
        <f aca="false">IF(AM180="","",INDEX(CATÁLOGO!$G$5:$G$39,AM180))</f>
        <v/>
      </c>
      <c r="AG180" s="0" t="str">
        <f aca="false">IF(AF180="","",IF(ISNUMBER(AF180),AF180*AV180,AF180))</f>
        <v/>
      </c>
      <c r="AH180" s="0" t="str">
        <f aca="false">IF(E180="","",C180&amp;"|"&amp;D180)</f>
        <v/>
      </c>
      <c r="AI180" s="27" t="n">
        <f aca="false">IF(M180&lt;&gt;"Sí",0,SUMPRODUCT(MAX(($AH$5:AH179=AH180)*($M$5:M179="Sí")*ROW($AH$5:AH179))))</f>
        <v>0</v>
      </c>
      <c r="AJ180" s="0" t="str">
        <f aca="false">IF(M180&lt;&gt;"Sí","",IF(AL180=1,B180,INDEX($AJ:$AJ,AI180)))</f>
        <v/>
      </c>
      <c r="AK180" s="0" t="str">
        <f aca="false">IF(M180&lt;&gt;"Sí","",IF(AL180=1,E180,INDEX($AK:$AK,AI180)+E180))</f>
        <v/>
      </c>
      <c r="AL180" s="0" t="str">
        <f aca="false">IF(M180&lt;&gt;"Sí","",IF(AI180=0,1,IF(INDEX($AN:$AN,AI180)=0,1,IF(B180&gt;=EDATE(INDEX($AJ:$AJ,AI180),6),1,0))))</f>
        <v/>
      </c>
      <c r="AM180" s="0" t="str">
        <f aca="false">IF(D180="","",IFERROR(MATCH(D180,CATÁLOGO!$C$5:$C$39,0),""))</f>
        <v/>
      </c>
      <c r="AN180" s="0" t="str">
        <f aca="false">IF(M180&lt;&gt;"Sí","",IF(AND(ISNUMBER(AE180),AK180&gt;=AE180),0,1))</f>
        <v/>
      </c>
      <c r="AO180" s="0" t="str">
        <f aca="false">IF(OR(E180="",C180="",NOT(ISNUMBER(B180))),"",SUMIFS($E$6:$E$505,$C$6:$C$505,C180,$B$6:$B$505,"&gt;="&amp;DATE(YEAR(B180),MONTH(B180),1),$B$6:$B$505,"&lt;"&amp;DATE(YEAR(B180),MONTH(B180)+1,1)))</f>
        <v/>
      </c>
      <c r="AP180" s="0" t="str">
        <f aca="false">IF(C180="","",IFERROR(INDEX(CLIENTES!$M$6:$M$305,MATCH(C180,CLIENTES!$A$6:$A$305,0)),""))</f>
        <v/>
      </c>
      <c r="AQ180" s="27" t="n">
        <f aca="false">IF(AND(ISNUMBER(AO180),ISNUMBER(AP180)),IF(AND(AP180&gt;0,AO180&gt;AP180),1,0),0)</f>
        <v>0</v>
      </c>
      <c r="AR180" s="27" t="n">
        <f aca="false">IF(NOT(ISNUMBER(B180)),0,IF(B180&lt;MAX($B$5:B179),1,0))</f>
        <v>0</v>
      </c>
      <c r="AS180" s="0" t="str">
        <f aca="false">IF(C180="","",IFERROR(INDEX(CLIENTES!$H$6:$H$305,MATCH(C180,CLIENTES!$A$6:$A$305,0)),""))</f>
        <v/>
      </c>
      <c r="AT180" s="0" t="str">
        <f aca="false">IF(AND(LEFT(P180,5)="AVISO",T180&lt;&gt;"Presentado",ISNUMBER(Q180)),Q180,"")</f>
        <v/>
      </c>
      <c r="AU180" s="27" t="n">
        <f aca="false">IF(AND(D180="XVI - Activos virtuales (PSAV): operación de intercambio/transferencia",M180="Sí",ISNUMBER(AE180)),IF(AK180&gt;=AE180,1,0),0)</f>
        <v>0</v>
      </c>
      <c r="AV180" s="30" t="n">
        <f aca="false">IF(NOT(ISNUMBER(B180)),CONFIG!$B$4,IFERROR(INDEX(CONFIG!$I$5:$I$14,MATCH(IF(MONTH(B180)=1,YEAR(B180)-1,YEAR(B180)),CONFIG!$H$5:$H$14,0)),CONFIG!$B$4))</f>
        <v>117.31</v>
      </c>
      <c r="AW180" s="27" t="n">
        <f aca="false">IF(AND(LEFT(D180,4)="I - ",ISNUMBER(B180),C180&lt;&gt;""),SUMIFS($E$6:$E$505,$C$6:$C$505,C180,$D$6:$D$505,D180,$B$6:$B$505,"&gt;"&amp;(B180-1),$B$6:$B$505,"&lt;="&amp;B180),0)</f>
        <v>0</v>
      </c>
      <c r="AX180" s="0" t="str">
        <f aca="false">IF(E180="","",IF(AD180="Siempre","AVISO (siempre)",IF(AD180="No aplica","Sin Aviso (sólo preparas: Ley 17 XI)",IF(NOT(ISNUMBER(AE180)),"",IF(AA180&lt;&gt;"ACUMULA",IF(E180&gt;=AE180,IF(AND(D180="XVI - Activos virtuales (PSAV): cobro de contraprestación (comisión) por el servicio",COUNTIFS($C$6:$C$505,C180,$B$6:$B$505,"&gt;="&amp;INT(B180),$B$6:$B$505,"&lt;"&amp;(INT(B180)+1),$AU$6:$AU$505,1)&gt;0),"En el Aviso del inciso a) (R 31 Bis)","AVISO"),"—"),IF(M180&lt;&gt;"Sí","—",IF(AK180&gt;=AE180,IF(AK180=E180,"AVISO","AVISO (acumulado)"),"Acumulando")))))))</f>
        <v/>
      </c>
    </row>
    <row r="181" customFormat="false" ht="15" hidden="false" customHeight="false" outlineLevel="0" collapsed="false">
      <c r="A181" s="9" t="str">
        <f aca="false">IF(E181="","",ROW()-5)</f>
        <v/>
      </c>
      <c r="B181" s="20"/>
      <c r="C181" s="21"/>
      <c r="D181" s="21"/>
      <c r="E181" s="22"/>
      <c r="F181" s="22"/>
      <c r="G181" s="21"/>
      <c r="H181" s="21"/>
      <c r="I181" s="9" t="str">
        <f aca="false">IF(C181="","",IFERROR(INDEX(CLIENTES!$B$6:$B$305,MATCH(C181,CLIENTES!$A$6:$A$305,0)),"⚠ ID no registrado"))</f>
        <v/>
      </c>
      <c r="J181" s="9" t="str">
        <f aca="false">IF(C181="","",IFERROR(INDEX(CLIENTES!$Z$6:$Z$305,MATCH(C181,CLIENTES!$A$6:$A$305,0)),""))</f>
        <v/>
      </c>
      <c r="K181" s="9" t="str">
        <f aca="false">IF(E181="","",IF(AB181="Siempre","Sí",IF(ISNUMBER(AC181),IF(E181&gt;=AC181,"Sí",IF(AW181&gt;=AC181,"Sí (serie 24 h)","No")),"")))</f>
        <v/>
      </c>
      <c r="L181" s="9" t="str">
        <f aca="false">IF(E181="","",AA181)</f>
        <v/>
      </c>
      <c r="M181" s="9" t="str">
        <f aca="false">IF(E181="","",IF(AA181&lt;&gt;"ACUMULA","No aplica",IF(LEFT(K181,2)="Sí","Sí","No")))</f>
        <v/>
      </c>
      <c r="N181" s="23" t="str">
        <f aca="false">IF(M181="Sí",AJ181,"")</f>
        <v/>
      </c>
      <c r="O181" s="24" t="str">
        <f aca="false">IF(M181="Sí",AK181,"")</f>
        <v/>
      </c>
      <c r="P181" s="25" t="str">
        <f aca="false">IF(AND(LEFT(D181,6)="XIV - ",LEFT(AX181,5)="AVISO"),"Pedimento (R 16): no va al SPPLD",AX181)</f>
        <v/>
      </c>
      <c r="Q181" s="23" t="str">
        <f aca="false">IF(LEFT(P181,5)="AVISO",IF(ISNUMBER(B181),DATE(YEAR(B181),MONTH(B181)+1,17),"Falta fecha"),"")</f>
        <v/>
      </c>
      <c r="R181" s="9" t="str">
        <f aca="false">IF(OR(F181="",F181=0),"",IF(ISNUMBER(AG181),IF(F181&gt;=AG181,"PROHIBIDO","Dentro del límite"),"No aplica"))</f>
        <v/>
      </c>
      <c r="S181" s="26" t="str">
        <f aca="false">IF(E181="","",MID(IF(AQ181=1," · Excede el perfil declarado","")&amp;IF(H181="Sí"," · Paga un tercero","")&amp;IF(J181="Alto"," · Cliente de riesgo alto: DDR (RCG 23 Ter 3 y 4)","")&amp;IF(AND(AS181&lt;&gt;"",AS181&lt;&gt;"No",AS181&lt;&gt;0)," · PEP","")&amp;IF(R181="PROHIBIDO"," · Efectivo prohibido: no lo recibas (Art. 32)","")&amp;IF(AR181=1," · ⚠ Fecha fuera de orden","")&amp;IF(LEFT(I181,1)="⚠"," · ⚠ Cliente no registrado","")&amp;IF(D181=""," · ⚠ Falta la actividad","")&amp;IF(AND(LEFT(P181,5)="AVISO",W181="")," · Captura la cifra total con IVA para el Aviso","")&amp;IF(AND(ISNUMBER(W181),W181&lt;E181)," · ⚠ La cifra con IVA es menor que el monto sin IVA",""),4,400))</f>
        <v/>
      </c>
      <c r="T181" s="21"/>
      <c r="U181" s="20"/>
      <c r="V181" s="9" t="str">
        <f aca="false">IF(LEFT(P181,5)&lt;&gt;"AVISO","",IF(T181="Presentado",IF(AND(ISNUMBER(U181),ISNUMBER(Q181),U181&gt;Q181),"Presentado tarde","Presentado"),IF(NOT(ISNUMBER(Q181)),"Falta fecha",IF(Q181&lt;CONFIG!$B$6,"VENCIDO","Vence en "&amp;(Q181-CONFIG!$B$6)&amp;" días"))))</f>
        <v/>
      </c>
      <c r="W181" s="22"/>
      <c r="X181" s="21"/>
      <c r="AA181" s="0" t="str">
        <f aca="false">IF(AM181="","",INDEX(CATÁLOGO!$D$5:$D$39,AM181))</f>
        <v/>
      </c>
      <c r="AB181" s="0" t="str">
        <f aca="false">IF(AM181="","",INDEX(CATÁLOGO!$E$5:$E$39,AM181))</f>
        <v/>
      </c>
      <c r="AC181" s="0" t="str">
        <f aca="false">IF(AB181="","",IF(ISNUMBER(AB181),AB181*AV181,AB181))</f>
        <v/>
      </c>
      <c r="AD181" s="0" t="str">
        <f aca="false">IF(AM181="","",INDEX(CATÁLOGO!$F$5:$F$39,AM181))</f>
        <v/>
      </c>
      <c r="AE181" s="0" t="str">
        <f aca="false">IF(AD181="","",IF(ISNUMBER(AD181),AD181*AV181,AD181))</f>
        <v/>
      </c>
      <c r="AF181" s="0" t="str">
        <f aca="false">IF(AM181="","",INDEX(CATÁLOGO!$G$5:$G$39,AM181))</f>
        <v/>
      </c>
      <c r="AG181" s="0" t="str">
        <f aca="false">IF(AF181="","",IF(ISNUMBER(AF181),AF181*AV181,AF181))</f>
        <v/>
      </c>
      <c r="AH181" s="0" t="str">
        <f aca="false">IF(E181="","",C181&amp;"|"&amp;D181)</f>
        <v/>
      </c>
      <c r="AI181" s="27" t="n">
        <f aca="false">IF(M181&lt;&gt;"Sí",0,SUMPRODUCT(MAX(($AH$5:AH180=AH181)*($M$5:M180="Sí")*ROW($AH$5:AH180))))</f>
        <v>0</v>
      </c>
      <c r="AJ181" s="0" t="str">
        <f aca="false">IF(M181&lt;&gt;"Sí","",IF(AL181=1,B181,INDEX($AJ:$AJ,AI181)))</f>
        <v/>
      </c>
      <c r="AK181" s="0" t="str">
        <f aca="false">IF(M181&lt;&gt;"Sí","",IF(AL181=1,E181,INDEX($AK:$AK,AI181)+E181))</f>
        <v/>
      </c>
      <c r="AL181" s="0" t="str">
        <f aca="false">IF(M181&lt;&gt;"Sí","",IF(AI181=0,1,IF(INDEX($AN:$AN,AI181)=0,1,IF(B181&gt;=EDATE(INDEX($AJ:$AJ,AI181),6),1,0))))</f>
        <v/>
      </c>
      <c r="AM181" s="0" t="str">
        <f aca="false">IF(D181="","",IFERROR(MATCH(D181,CATÁLOGO!$C$5:$C$39,0),""))</f>
        <v/>
      </c>
      <c r="AN181" s="0" t="str">
        <f aca="false">IF(M181&lt;&gt;"Sí","",IF(AND(ISNUMBER(AE181),AK181&gt;=AE181),0,1))</f>
        <v/>
      </c>
      <c r="AO181" s="0" t="str">
        <f aca="false">IF(OR(E181="",C181="",NOT(ISNUMBER(B181))),"",SUMIFS($E$6:$E$505,$C$6:$C$505,C181,$B$6:$B$505,"&gt;="&amp;DATE(YEAR(B181),MONTH(B181),1),$B$6:$B$505,"&lt;"&amp;DATE(YEAR(B181),MONTH(B181)+1,1)))</f>
        <v/>
      </c>
      <c r="AP181" s="0" t="str">
        <f aca="false">IF(C181="","",IFERROR(INDEX(CLIENTES!$M$6:$M$305,MATCH(C181,CLIENTES!$A$6:$A$305,0)),""))</f>
        <v/>
      </c>
      <c r="AQ181" s="27" t="n">
        <f aca="false">IF(AND(ISNUMBER(AO181),ISNUMBER(AP181)),IF(AND(AP181&gt;0,AO181&gt;AP181),1,0),0)</f>
        <v>0</v>
      </c>
      <c r="AR181" s="27" t="n">
        <f aca="false">IF(NOT(ISNUMBER(B181)),0,IF(B181&lt;MAX($B$5:B180),1,0))</f>
        <v>0</v>
      </c>
      <c r="AS181" s="0" t="str">
        <f aca="false">IF(C181="","",IFERROR(INDEX(CLIENTES!$H$6:$H$305,MATCH(C181,CLIENTES!$A$6:$A$305,0)),""))</f>
        <v/>
      </c>
      <c r="AT181" s="0" t="str">
        <f aca="false">IF(AND(LEFT(P181,5)="AVISO",T181&lt;&gt;"Presentado",ISNUMBER(Q181)),Q181,"")</f>
        <v/>
      </c>
      <c r="AU181" s="27" t="n">
        <f aca="false">IF(AND(D181="XVI - Activos virtuales (PSAV): operación de intercambio/transferencia",M181="Sí",ISNUMBER(AE181)),IF(AK181&gt;=AE181,1,0),0)</f>
        <v>0</v>
      </c>
      <c r="AV181" s="30" t="n">
        <f aca="false">IF(NOT(ISNUMBER(B181)),CONFIG!$B$4,IFERROR(INDEX(CONFIG!$I$5:$I$14,MATCH(IF(MONTH(B181)=1,YEAR(B181)-1,YEAR(B181)),CONFIG!$H$5:$H$14,0)),CONFIG!$B$4))</f>
        <v>117.31</v>
      </c>
      <c r="AW181" s="27" t="n">
        <f aca="false">IF(AND(LEFT(D181,4)="I - ",ISNUMBER(B181),C181&lt;&gt;""),SUMIFS($E$6:$E$505,$C$6:$C$505,C181,$D$6:$D$505,D181,$B$6:$B$505,"&gt;"&amp;(B181-1),$B$6:$B$505,"&lt;="&amp;B181),0)</f>
        <v>0</v>
      </c>
      <c r="AX181" s="0" t="str">
        <f aca="false">IF(E181="","",IF(AD181="Siempre","AVISO (siempre)",IF(AD181="No aplica","Sin Aviso (sólo preparas: Ley 17 XI)",IF(NOT(ISNUMBER(AE181)),"",IF(AA181&lt;&gt;"ACUMULA",IF(E181&gt;=AE181,IF(AND(D181="XVI - Activos virtuales (PSAV): cobro de contraprestación (comisión) por el servicio",COUNTIFS($C$6:$C$505,C181,$B$6:$B$505,"&gt;="&amp;INT(B181),$B$6:$B$505,"&lt;"&amp;(INT(B181)+1),$AU$6:$AU$505,1)&gt;0),"En el Aviso del inciso a) (R 31 Bis)","AVISO"),"—"),IF(M181&lt;&gt;"Sí","—",IF(AK181&gt;=AE181,IF(AK181=E181,"AVISO","AVISO (acumulado)"),"Acumulando")))))))</f>
        <v/>
      </c>
    </row>
    <row r="182" customFormat="false" ht="15" hidden="false" customHeight="false" outlineLevel="0" collapsed="false">
      <c r="A182" s="9" t="str">
        <f aca="false">IF(E182="","",ROW()-5)</f>
        <v/>
      </c>
      <c r="B182" s="20"/>
      <c r="C182" s="21"/>
      <c r="D182" s="21"/>
      <c r="E182" s="22"/>
      <c r="F182" s="22"/>
      <c r="G182" s="21"/>
      <c r="H182" s="21"/>
      <c r="I182" s="9" t="str">
        <f aca="false">IF(C182="","",IFERROR(INDEX(CLIENTES!$B$6:$B$305,MATCH(C182,CLIENTES!$A$6:$A$305,0)),"⚠ ID no registrado"))</f>
        <v/>
      </c>
      <c r="J182" s="9" t="str">
        <f aca="false">IF(C182="","",IFERROR(INDEX(CLIENTES!$Z$6:$Z$305,MATCH(C182,CLIENTES!$A$6:$A$305,0)),""))</f>
        <v/>
      </c>
      <c r="K182" s="9" t="str">
        <f aca="false">IF(E182="","",IF(AB182="Siempre","Sí",IF(ISNUMBER(AC182),IF(E182&gt;=AC182,"Sí",IF(AW182&gt;=AC182,"Sí (serie 24 h)","No")),"")))</f>
        <v/>
      </c>
      <c r="L182" s="9" t="str">
        <f aca="false">IF(E182="","",AA182)</f>
        <v/>
      </c>
      <c r="M182" s="9" t="str">
        <f aca="false">IF(E182="","",IF(AA182&lt;&gt;"ACUMULA","No aplica",IF(LEFT(K182,2)="Sí","Sí","No")))</f>
        <v/>
      </c>
      <c r="N182" s="23" t="str">
        <f aca="false">IF(M182="Sí",AJ182,"")</f>
        <v/>
      </c>
      <c r="O182" s="24" t="str">
        <f aca="false">IF(M182="Sí",AK182,"")</f>
        <v/>
      </c>
      <c r="P182" s="25" t="str">
        <f aca="false">IF(AND(LEFT(D182,6)="XIV - ",LEFT(AX182,5)="AVISO"),"Pedimento (R 16): no va al SPPLD",AX182)</f>
        <v/>
      </c>
      <c r="Q182" s="23" t="str">
        <f aca="false">IF(LEFT(P182,5)="AVISO",IF(ISNUMBER(B182),DATE(YEAR(B182),MONTH(B182)+1,17),"Falta fecha"),"")</f>
        <v/>
      </c>
      <c r="R182" s="9" t="str">
        <f aca="false">IF(OR(F182="",F182=0),"",IF(ISNUMBER(AG182),IF(F182&gt;=AG182,"PROHIBIDO","Dentro del límite"),"No aplica"))</f>
        <v/>
      </c>
      <c r="S182" s="26" t="str">
        <f aca="false">IF(E182="","",MID(IF(AQ182=1," · Excede el perfil declarado","")&amp;IF(H182="Sí"," · Paga un tercero","")&amp;IF(J182="Alto"," · Cliente de riesgo alto: DDR (RCG 23 Ter 3 y 4)","")&amp;IF(AND(AS182&lt;&gt;"",AS182&lt;&gt;"No",AS182&lt;&gt;0)," · PEP","")&amp;IF(R182="PROHIBIDO"," · Efectivo prohibido: no lo recibas (Art. 32)","")&amp;IF(AR182=1," · ⚠ Fecha fuera de orden","")&amp;IF(LEFT(I182,1)="⚠"," · ⚠ Cliente no registrado","")&amp;IF(D182=""," · ⚠ Falta la actividad","")&amp;IF(AND(LEFT(P182,5)="AVISO",W182="")," · Captura la cifra total con IVA para el Aviso","")&amp;IF(AND(ISNUMBER(W182),W182&lt;E182)," · ⚠ La cifra con IVA es menor que el monto sin IVA",""),4,400))</f>
        <v/>
      </c>
      <c r="T182" s="21"/>
      <c r="U182" s="20"/>
      <c r="V182" s="9" t="str">
        <f aca="false">IF(LEFT(P182,5)&lt;&gt;"AVISO","",IF(T182="Presentado",IF(AND(ISNUMBER(U182),ISNUMBER(Q182),U182&gt;Q182),"Presentado tarde","Presentado"),IF(NOT(ISNUMBER(Q182)),"Falta fecha",IF(Q182&lt;CONFIG!$B$6,"VENCIDO","Vence en "&amp;(Q182-CONFIG!$B$6)&amp;" días"))))</f>
        <v/>
      </c>
      <c r="W182" s="22"/>
      <c r="X182" s="21"/>
      <c r="AA182" s="0" t="str">
        <f aca="false">IF(AM182="","",INDEX(CATÁLOGO!$D$5:$D$39,AM182))</f>
        <v/>
      </c>
      <c r="AB182" s="0" t="str">
        <f aca="false">IF(AM182="","",INDEX(CATÁLOGO!$E$5:$E$39,AM182))</f>
        <v/>
      </c>
      <c r="AC182" s="0" t="str">
        <f aca="false">IF(AB182="","",IF(ISNUMBER(AB182),AB182*AV182,AB182))</f>
        <v/>
      </c>
      <c r="AD182" s="0" t="str">
        <f aca="false">IF(AM182="","",INDEX(CATÁLOGO!$F$5:$F$39,AM182))</f>
        <v/>
      </c>
      <c r="AE182" s="0" t="str">
        <f aca="false">IF(AD182="","",IF(ISNUMBER(AD182),AD182*AV182,AD182))</f>
        <v/>
      </c>
      <c r="AF182" s="0" t="str">
        <f aca="false">IF(AM182="","",INDEX(CATÁLOGO!$G$5:$G$39,AM182))</f>
        <v/>
      </c>
      <c r="AG182" s="0" t="str">
        <f aca="false">IF(AF182="","",IF(ISNUMBER(AF182),AF182*AV182,AF182))</f>
        <v/>
      </c>
      <c r="AH182" s="0" t="str">
        <f aca="false">IF(E182="","",C182&amp;"|"&amp;D182)</f>
        <v/>
      </c>
      <c r="AI182" s="27" t="n">
        <f aca="false">IF(M182&lt;&gt;"Sí",0,SUMPRODUCT(MAX(($AH$5:AH181=AH182)*($M$5:M181="Sí")*ROW($AH$5:AH181))))</f>
        <v>0</v>
      </c>
      <c r="AJ182" s="0" t="str">
        <f aca="false">IF(M182&lt;&gt;"Sí","",IF(AL182=1,B182,INDEX($AJ:$AJ,AI182)))</f>
        <v/>
      </c>
      <c r="AK182" s="0" t="str">
        <f aca="false">IF(M182&lt;&gt;"Sí","",IF(AL182=1,E182,INDEX($AK:$AK,AI182)+E182))</f>
        <v/>
      </c>
      <c r="AL182" s="0" t="str">
        <f aca="false">IF(M182&lt;&gt;"Sí","",IF(AI182=0,1,IF(INDEX($AN:$AN,AI182)=0,1,IF(B182&gt;=EDATE(INDEX($AJ:$AJ,AI182),6),1,0))))</f>
        <v/>
      </c>
      <c r="AM182" s="0" t="str">
        <f aca="false">IF(D182="","",IFERROR(MATCH(D182,CATÁLOGO!$C$5:$C$39,0),""))</f>
        <v/>
      </c>
      <c r="AN182" s="0" t="str">
        <f aca="false">IF(M182&lt;&gt;"Sí","",IF(AND(ISNUMBER(AE182),AK182&gt;=AE182),0,1))</f>
        <v/>
      </c>
      <c r="AO182" s="0" t="str">
        <f aca="false">IF(OR(E182="",C182="",NOT(ISNUMBER(B182))),"",SUMIFS($E$6:$E$505,$C$6:$C$505,C182,$B$6:$B$505,"&gt;="&amp;DATE(YEAR(B182),MONTH(B182),1),$B$6:$B$505,"&lt;"&amp;DATE(YEAR(B182),MONTH(B182)+1,1)))</f>
        <v/>
      </c>
      <c r="AP182" s="0" t="str">
        <f aca="false">IF(C182="","",IFERROR(INDEX(CLIENTES!$M$6:$M$305,MATCH(C182,CLIENTES!$A$6:$A$305,0)),""))</f>
        <v/>
      </c>
      <c r="AQ182" s="27" t="n">
        <f aca="false">IF(AND(ISNUMBER(AO182),ISNUMBER(AP182)),IF(AND(AP182&gt;0,AO182&gt;AP182),1,0),0)</f>
        <v>0</v>
      </c>
      <c r="AR182" s="27" t="n">
        <f aca="false">IF(NOT(ISNUMBER(B182)),0,IF(B182&lt;MAX($B$5:B181),1,0))</f>
        <v>0</v>
      </c>
      <c r="AS182" s="0" t="str">
        <f aca="false">IF(C182="","",IFERROR(INDEX(CLIENTES!$H$6:$H$305,MATCH(C182,CLIENTES!$A$6:$A$305,0)),""))</f>
        <v/>
      </c>
      <c r="AT182" s="0" t="str">
        <f aca="false">IF(AND(LEFT(P182,5)="AVISO",T182&lt;&gt;"Presentado",ISNUMBER(Q182)),Q182,"")</f>
        <v/>
      </c>
      <c r="AU182" s="27" t="n">
        <f aca="false">IF(AND(D182="XVI - Activos virtuales (PSAV): operación de intercambio/transferencia",M182="Sí",ISNUMBER(AE182)),IF(AK182&gt;=AE182,1,0),0)</f>
        <v>0</v>
      </c>
      <c r="AV182" s="30" t="n">
        <f aca="false">IF(NOT(ISNUMBER(B182)),CONFIG!$B$4,IFERROR(INDEX(CONFIG!$I$5:$I$14,MATCH(IF(MONTH(B182)=1,YEAR(B182)-1,YEAR(B182)),CONFIG!$H$5:$H$14,0)),CONFIG!$B$4))</f>
        <v>117.31</v>
      </c>
      <c r="AW182" s="27" t="n">
        <f aca="false">IF(AND(LEFT(D182,4)="I - ",ISNUMBER(B182),C182&lt;&gt;""),SUMIFS($E$6:$E$505,$C$6:$C$505,C182,$D$6:$D$505,D182,$B$6:$B$505,"&gt;"&amp;(B182-1),$B$6:$B$505,"&lt;="&amp;B182),0)</f>
        <v>0</v>
      </c>
      <c r="AX182" s="0" t="str">
        <f aca="false">IF(E182="","",IF(AD182="Siempre","AVISO (siempre)",IF(AD182="No aplica","Sin Aviso (sólo preparas: Ley 17 XI)",IF(NOT(ISNUMBER(AE182)),"",IF(AA182&lt;&gt;"ACUMULA",IF(E182&gt;=AE182,IF(AND(D182="XVI - Activos virtuales (PSAV): cobro de contraprestación (comisión) por el servicio",COUNTIFS($C$6:$C$505,C182,$B$6:$B$505,"&gt;="&amp;INT(B182),$B$6:$B$505,"&lt;"&amp;(INT(B182)+1),$AU$6:$AU$505,1)&gt;0),"En el Aviso del inciso a) (R 31 Bis)","AVISO"),"—"),IF(M182&lt;&gt;"Sí","—",IF(AK182&gt;=AE182,IF(AK182=E182,"AVISO","AVISO (acumulado)"),"Acumulando")))))))</f>
        <v/>
      </c>
    </row>
    <row r="183" customFormat="false" ht="15" hidden="false" customHeight="false" outlineLevel="0" collapsed="false">
      <c r="A183" s="9" t="str">
        <f aca="false">IF(E183="","",ROW()-5)</f>
        <v/>
      </c>
      <c r="B183" s="20"/>
      <c r="C183" s="21"/>
      <c r="D183" s="21"/>
      <c r="E183" s="22"/>
      <c r="F183" s="22"/>
      <c r="G183" s="21"/>
      <c r="H183" s="21"/>
      <c r="I183" s="9" t="str">
        <f aca="false">IF(C183="","",IFERROR(INDEX(CLIENTES!$B$6:$B$305,MATCH(C183,CLIENTES!$A$6:$A$305,0)),"⚠ ID no registrado"))</f>
        <v/>
      </c>
      <c r="J183" s="9" t="str">
        <f aca="false">IF(C183="","",IFERROR(INDEX(CLIENTES!$Z$6:$Z$305,MATCH(C183,CLIENTES!$A$6:$A$305,0)),""))</f>
        <v/>
      </c>
      <c r="K183" s="9" t="str">
        <f aca="false">IF(E183="","",IF(AB183="Siempre","Sí",IF(ISNUMBER(AC183),IF(E183&gt;=AC183,"Sí",IF(AW183&gt;=AC183,"Sí (serie 24 h)","No")),"")))</f>
        <v/>
      </c>
      <c r="L183" s="9" t="str">
        <f aca="false">IF(E183="","",AA183)</f>
        <v/>
      </c>
      <c r="M183" s="9" t="str">
        <f aca="false">IF(E183="","",IF(AA183&lt;&gt;"ACUMULA","No aplica",IF(LEFT(K183,2)="Sí","Sí","No")))</f>
        <v/>
      </c>
      <c r="N183" s="23" t="str">
        <f aca="false">IF(M183="Sí",AJ183,"")</f>
        <v/>
      </c>
      <c r="O183" s="24" t="str">
        <f aca="false">IF(M183="Sí",AK183,"")</f>
        <v/>
      </c>
      <c r="P183" s="25" t="str">
        <f aca="false">IF(AND(LEFT(D183,6)="XIV - ",LEFT(AX183,5)="AVISO"),"Pedimento (R 16): no va al SPPLD",AX183)</f>
        <v/>
      </c>
      <c r="Q183" s="23" t="str">
        <f aca="false">IF(LEFT(P183,5)="AVISO",IF(ISNUMBER(B183),DATE(YEAR(B183),MONTH(B183)+1,17),"Falta fecha"),"")</f>
        <v/>
      </c>
      <c r="R183" s="9" t="str">
        <f aca="false">IF(OR(F183="",F183=0),"",IF(ISNUMBER(AG183),IF(F183&gt;=AG183,"PROHIBIDO","Dentro del límite"),"No aplica"))</f>
        <v/>
      </c>
      <c r="S183" s="26" t="str">
        <f aca="false">IF(E183="","",MID(IF(AQ183=1," · Excede el perfil declarado","")&amp;IF(H183="Sí"," · Paga un tercero","")&amp;IF(J183="Alto"," · Cliente de riesgo alto: DDR (RCG 23 Ter 3 y 4)","")&amp;IF(AND(AS183&lt;&gt;"",AS183&lt;&gt;"No",AS183&lt;&gt;0)," · PEP","")&amp;IF(R183="PROHIBIDO"," · Efectivo prohibido: no lo recibas (Art. 32)","")&amp;IF(AR183=1," · ⚠ Fecha fuera de orden","")&amp;IF(LEFT(I183,1)="⚠"," · ⚠ Cliente no registrado","")&amp;IF(D183=""," · ⚠ Falta la actividad","")&amp;IF(AND(LEFT(P183,5)="AVISO",W183="")," · Captura la cifra total con IVA para el Aviso","")&amp;IF(AND(ISNUMBER(W183),W183&lt;E183)," · ⚠ La cifra con IVA es menor que el monto sin IVA",""),4,400))</f>
        <v/>
      </c>
      <c r="T183" s="21"/>
      <c r="U183" s="20"/>
      <c r="V183" s="9" t="str">
        <f aca="false">IF(LEFT(P183,5)&lt;&gt;"AVISO","",IF(T183="Presentado",IF(AND(ISNUMBER(U183),ISNUMBER(Q183),U183&gt;Q183),"Presentado tarde","Presentado"),IF(NOT(ISNUMBER(Q183)),"Falta fecha",IF(Q183&lt;CONFIG!$B$6,"VENCIDO","Vence en "&amp;(Q183-CONFIG!$B$6)&amp;" días"))))</f>
        <v/>
      </c>
      <c r="W183" s="22"/>
      <c r="X183" s="21"/>
      <c r="AA183" s="0" t="str">
        <f aca="false">IF(AM183="","",INDEX(CATÁLOGO!$D$5:$D$39,AM183))</f>
        <v/>
      </c>
      <c r="AB183" s="0" t="str">
        <f aca="false">IF(AM183="","",INDEX(CATÁLOGO!$E$5:$E$39,AM183))</f>
        <v/>
      </c>
      <c r="AC183" s="0" t="str">
        <f aca="false">IF(AB183="","",IF(ISNUMBER(AB183),AB183*AV183,AB183))</f>
        <v/>
      </c>
      <c r="AD183" s="0" t="str">
        <f aca="false">IF(AM183="","",INDEX(CATÁLOGO!$F$5:$F$39,AM183))</f>
        <v/>
      </c>
      <c r="AE183" s="0" t="str">
        <f aca="false">IF(AD183="","",IF(ISNUMBER(AD183),AD183*AV183,AD183))</f>
        <v/>
      </c>
      <c r="AF183" s="0" t="str">
        <f aca="false">IF(AM183="","",INDEX(CATÁLOGO!$G$5:$G$39,AM183))</f>
        <v/>
      </c>
      <c r="AG183" s="0" t="str">
        <f aca="false">IF(AF183="","",IF(ISNUMBER(AF183),AF183*AV183,AF183))</f>
        <v/>
      </c>
      <c r="AH183" s="0" t="str">
        <f aca="false">IF(E183="","",C183&amp;"|"&amp;D183)</f>
        <v/>
      </c>
      <c r="AI183" s="27" t="n">
        <f aca="false">IF(M183&lt;&gt;"Sí",0,SUMPRODUCT(MAX(($AH$5:AH182=AH183)*($M$5:M182="Sí")*ROW($AH$5:AH182))))</f>
        <v>0</v>
      </c>
      <c r="AJ183" s="0" t="str">
        <f aca="false">IF(M183&lt;&gt;"Sí","",IF(AL183=1,B183,INDEX($AJ:$AJ,AI183)))</f>
        <v/>
      </c>
      <c r="AK183" s="0" t="str">
        <f aca="false">IF(M183&lt;&gt;"Sí","",IF(AL183=1,E183,INDEX($AK:$AK,AI183)+E183))</f>
        <v/>
      </c>
      <c r="AL183" s="0" t="str">
        <f aca="false">IF(M183&lt;&gt;"Sí","",IF(AI183=0,1,IF(INDEX($AN:$AN,AI183)=0,1,IF(B183&gt;=EDATE(INDEX($AJ:$AJ,AI183),6),1,0))))</f>
        <v/>
      </c>
      <c r="AM183" s="0" t="str">
        <f aca="false">IF(D183="","",IFERROR(MATCH(D183,CATÁLOGO!$C$5:$C$39,0),""))</f>
        <v/>
      </c>
      <c r="AN183" s="0" t="str">
        <f aca="false">IF(M183&lt;&gt;"Sí","",IF(AND(ISNUMBER(AE183),AK183&gt;=AE183),0,1))</f>
        <v/>
      </c>
      <c r="AO183" s="0" t="str">
        <f aca="false">IF(OR(E183="",C183="",NOT(ISNUMBER(B183))),"",SUMIFS($E$6:$E$505,$C$6:$C$505,C183,$B$6:$B$505,"&gt;="&amp;DATE(YEAR(B183),MONTH(B183),1),$B$6:$B$505,"&lt;"&amp;DATE(YEAR(B183),MONTH(B183)+1,1)))</f>
        <v/>
      </c>
      <c r="AP183" s="0" t="str">
        <f aca="false">IF(C183="","",IFERROR(INDEX(CLIENTES!$M$6:$M$305,MATCH(C183,CLIENTES!$A$6:$A$305,0)),""))</f>
        <v/>
      </c>
      <c r="AQ183" s="27" t="n">
        <f aca="false">IF(AND(ISNUMBER(AO183),ISNUMBER(AP183)),IF(AND(AP183&gt;0,AO183&gt;AP183),1,0),0)</f>
        <v>0</v>
      </c>
      <c r="AR183" s="27" t="n">
        <f aca="false">IF(NOT(ISNUMBER(B183)),0,IF(B183&lt;MAX($B$5:B182),1,0))</f>
        <v>0</v>
      </c>
      <c r="AS183" s="0" t="str">
        <f aca="false">IF(C183="","",IFERROR(INDEX(CLIENTES!$H$6:$H$305,MATCH(C183,CLIENTES!$A$6:$A$305,0)),""))</f>
        <v/>
      </c>
      <c r="AT183" s="0" t="str">
        <f aca="false">IF(AND(LEFT(P183,5)="AVISO",T183&lt;&gt;"Presentado",ISNUMBER(Q183)),Q183,"")</f>
        <v/>
      </c>
      <c r="AU183" s="27" t="n">
        <f aca="false">IF(AND(D183="XVI - Activos virtuales (PSAV): operación de intercambio/transferencia",M183="Sí",ISNUMBER(AE183)),IF(AK183&gt;=AE183,1,0),0)</f>
        <v>0</v>
      </c>
      <c r="AV183" s="30" t="n">
        <f aca="false">IF(NOT(ISNUMBER(B183)),CONFIG!$B$4,IFERROR(INDEX(CONFIG!$I$5:$I$14,MATCH(IF(MONTH(B183)=1,YEAR(B183)-1,YEAR(B183)),CONFIG!$H$5:$H$14,0)),CONFIG!$B$4))</f>
        <v>117.31</v>
      </c>
      <c r="AW183" s="27" t="n">
        <f aca="false">IF(AND(LEFT(D183,4)="I - ",ISNUMBER(B183),C183&lt;&gt;""),SUMIFS($E$6:$E$505,$C$6:$C$505,C183,$D$6:$D$505,D183,$B$6:$B$505,"&gt;"&amp;(B183-1),$B$6:$B$505,"&lt;="&amp;B183),0)</f>
        <v>0</v>
      </c>
      <c r="AX183" s="0" t="str">
        <f aca="false">IF(E183="","",IF(AD183="Siempre","AVISO (siempre)",IF(AD183="No aplica","Sin Aviso (sólo preparas: Ley 17 XI)",IF(NOT(ISNUMBER(AE183)),"",IF(AA183&lt;&gt;"ACUMULA",IF(E183&gt;=AE183,IF(AND(D183="XVI - Activos virtuales (PSAV): cobro de contraprestación (comisión) por el servicio",COUNTIFS($C$6:$C$505,C183,$B$6:$B$505,"&gt;="&amp;INT(B183),$B$6:$B$505,"&lt;"&amp;(INT(B183)+1),$AU$6:$AU$505,1)&gt;0),"En el Aviso del inciso a) (R 31 Bis)","AVISO"),"—"),IF(M183&lt;&gt;"Sí","—",IF(AK183&gt;=AE183,IF(AK183=E183,"AVISO","AVISO (acumulado)"),"Acumulando")))))))</f>
        <v/>
      </c>
    </row>
    <row r="184" customFormat="false" ht="15" hidden="false" customHeight="false" outlineLevel="0" collapsed="false">
      <c r="A184" s="9" t="str">
        <f aca="false">IF(E184="","",ROW()-5)</f>
        <v/>
      </c>
      <c r="B184" s="20"/>
      <c r="C184" s="21"/>
      <c r="D184" s="21"/>
      <c r="E184" s="22"/>
      <c r="F184" s="22"/>
      <c r="G184" s="21"/>
      <c r="H184" s="21"/>
      <c r="I184" s="9" t="str">
        <f aca="false">IF(C184="","",IFERROR(INDEX(CLIENTES!$B$6:$B$305,MATCH(C184,CLIENTES!$A$6:$A$305,0)),"⚠ ID no registrado"))</f>
        <v/>
      </c>
      <c r="J184" s="9" t="str">
        <f aca="false">IF(C184="","",IFERROR(INDEX(CLIENTES!$Z$6:$Z$305,MATCH(C184,CLIENTES!$A$6:$A$305,0)),""))</f>
        <v/>
      </c>
      <c r="K184" s="9" t="str">
        <f aca="false">IF(E184="","",IF(AB184="Siempre","Sí",IF(ISNUMBER(AC184),IF(E184&gt;=AC184,"Sí",IF(AW184&gt;=AC184,"Sí (serie 24 h)","No")),"")))</f>
        <v/>
      </c>
      <c r="L184" s="9" t="str">
        <f aca="false">IF(E184="","",AA184)</f>
        <v/>
      </c>
      <c r="M184" s="9" t="str">
        <f aca="false">IF(E184="","",IF(AA184&lt;&gt;"ACUMULA","No aplica",IF(LEFT(K184,2)="Sí","Sí","No")))</f>
        <v/>
      </c>
      <c r="N184" s="23" t="str">
        <f aca="false">IF(M184="Sí",AJ184,"")</f>
        <v/>
      </c>
      <c r="O184" s="24" t="str">
        <f aca="false">IF(M184="Sí",AK184,"")</f>
        <v/>
      </c>
      <c r="P184" s="25" t="str">
        <f aca="false">IF(AND(LEFT(D184,6)="XIV - ",LEFT(AX184,5)="AVISO"),"Pedimento (R 16): no va al SPPLD",AX184)</f>
        <v/>
      </c>
      <c r="Q184" s="23" t="str">
        <f aca="false">IF(LEFT(P184,5)="AVISO",IF(ISNUMBER(B184),DATE(YEAR(B184),MONTH(B184)+1,17),"Falta fecha"),"")</f>
        <v/>
      </c>
      <c r="R184" s="9" t="str">
        <f aca="false">IF(OR(F184="",F184=0),"",IF(ISNUMBER(AG184),IF(F184&gt;=AG184,"PROHIBIDO","Dentro del límite"),"No aplica"))</f>
        <v/>
      </c>
      <c r="S184" s="26" t="str">
        <f aca="false">IF(E184="","",MID(IF(AQ184=1," · Excede el perfil declarado","")&amp;IF(H184="Sí"," · Paga un tercero","")&amp;IF(J184="Alto"," · Cliente de riesgo alto: DDR (RCG 23 Ter 3 y 4)","")&amp;IF(AND(AS184&lt;&gt;"",AS184&lt;&gt;"No",AS184&lt;&gt;0)," · PEP","")&amp;IF(R184="PROHIBIDO"," · Efectivo prohibido: no lo recibas (Art. 32)","")&amp;IF(AR184=1," · ⚠ Fecha fuera de orden","")&amp;IF(LEFT(I184,1)="⚠"," · ⚠ Cliente no registrado","")&amp;IF(D184=""," · ⚠ Falta la actividad","")&amp;IF(AND(LEFT(P184,5)="AVISO",W184="")," · Captura la cifra total con IVA para el Aviso","")&amp;IF(AND(ISNUMBER(W184),W184&lt;E184)," · ⚠ La cifra con IVA es menor que el monto sin IVA",""),4,400))</f>
        <v/>
      </c>
      <c r="T184" s="21"/>
      <c r="U184" s="20"/>
      <c r="V184" s="9" t="str">
        <f aca="false">IF(LEFT(P184,5)&lt;&gt;"AVISO","",IF(T184="Presentado",IF(AND(ISNUMBER(U184),ISNUMBER(Q184),U184&gt;Q184),"Presentado tarde","Presentado"),IF(NOT(ISNUMBER(Q184)),"Falta fecha",IF(Q184&lt;CONFIG!$B$6,"VENCIDO","Vence en "&amp;(Q184-CONFIG!$B$6)&amp;" días"))))</f>
        <v/>
      </c>
      <c r="W184" s="22"/>
      <c r="X184" s="21"/>
      <c r="AA184" s="0" t="str">
        <f aca="false">IF(AM184="","",INDEX(CATÁLOGO!$D$5:$D$39,AM184))</f>
        <v/>
      </c>
      <c r="AB184" s="0" t="str">
        <f aca="false">IF(AM184="","",INDEX(CATÁLOGO!$E$5:$E$39,AM184))</f>
        <v/>
      </c>
      <c r="AC184" s="0" t="str">
        <f aca="false">IF(AB184="","",IF(ISNUMBER(AB184),AB184*AV184,AB184))</f>
        <v/>
      </c>
      <c r="AD184" s="0" t="str">
        <f aca="false">IF(AM184="","",INDEX(CATÁLOGO!$F$5:$F$39,AM184))</f>
        <v/>
      </c>
      <c r="AE184" s="0" t="str">
        <f aca="false">IF(AD184="","",IF(ISNUMBER(AD184),AD184*AV184,AD184))</f>
        <v/>
      </c>
      <c r="AF184" s="0" t="str">
        <f aca="false">IF(AM184="","",INDEX(CATÁLOGO!$G$5:$G$39,AM184))</f>
        <v/>
      </c>
      <c r="AG184" s="0" t="str">
        <f aca="false">IF(AF184="","",IF(ISNUMBER(AF184),AF184*AV184,AF184))</f>
        <v/>
      </c>
      <c r="AH184" s="0" t="str">
        <f aca="false">IF(E184="","",C184&amp;"|"&amp;D184)</f>
        <v/>
      </c>
      <c r="AI184" s="27" t="n">
        <f aca="false">IF(M184&lt;&gt;"Sí",0,SUMPRODUCT(MAX(($AH$5:AH183=AH184)*($M$5:M183="Sí")*ROW($AH$5:AH183))))</f>
        <v>0</v>
      </c>
      <c r="AJ184" s="0" t="str">
        <f aca="false">IF(M184&lt;&gt;"Sí","",IF(AL184=1,B184,INDEX($AJ:$AJ,AI184)))</f>
        <v/>
      </c>
      <c r="AK184" s="0" t="str">
        <f aca="false">IF(M184&lt;&gt;"Sí","",IF(AL184=1,E184,INDEX($AK:$AK,AI184)+E184))</f>
        <v/>
      </c>
      <c r="AL184" s="0" t="str">
        <f aca="false">IF(M184&lt;&gt;"Sí","",IF(AI184=0,1,IF(INDEX($AN:$AN,AI184)=0,1,IF(B184&gt;=EDATE(INDEX($AJ:$AJ,AI184),6),1,0))))</f>
        <v/>
      </c>
      <c r="AM184" s="0" t="str">
        <f aca="false">IF(D184="","",IFERROR(MATCH(D184,CATÁLOGO!$C$5:$C$39,0),""))</f>
        <v/>
      </c>
      <c r="AN184" s="0" t="str">
        <f aca="false">IF(M184&lt;&gt;"Sí","",IF(AND(ISNUMBER(AE184),AK184&gt;=AE184),0,1))</f>
        <v/>
      </c>
      <c r="AO184" s="0" t="str">
        <f aca="false">IF(OR(E184="",C184="",NOT(ISNUMBER(B184))),"",SUMIFS($E$6:$E$505,$C$6:$C$505,C184,$B$6:$B$505,"&gt;="&amp;DATE(YEAR(B184),MONTH(B184),1),$B$6:$B$505,"&lt;"&amp;DATE(YEAR(B184),MONTH(B184)+1,1)))</f>
        <v/>
      </c>
      <c r="AP184" s="0" t="str">
        <f aca="false">IF(C184="","",IFERROR(INDEX(CLIENTES!$M$6:$M$305,MATCH(C184,CLIENTES!$A$6:$A$305,0)),""))</f>
        <v/>
      </c>
      <c r="AQ184" s="27" t="n">
        <f aca="false">IF(AND(ISNUMBER(AO184),ISNUMBER(AP184)),IF(AND(AP184&gt;0,AO184&gt;AP184),1,0),0)</f>
        <v>0</v>
      </c>
      <c r="AR184" s="27" t="n">
        <f aca="false">IF(NOT(ISNUMBER(B184)),0,IF(B184&lt;MAX($B$5:B183),1,0))</f>
        <v>0</v>
      </c>
      <c r="AS184" s="0" t="str">
        <f aca="false">IF(C184="","",IFERROR(INDEX(CLIENTES!$H$6:$H$305,MATCH(C184,CLIENTES!$A$6:$A$305,0)),""))</f>
        <v/>
      </c>
      <c r="AT184" s="0" t="str">
        <f aca="false">IF(AND(LEFT(P184,5)="AVISO",T184&lt;&gt;"Presentado",ISNUMBER(Q184)),Q184,"")</f>
        <v/>
      </c>
      <c r="AU184" s="27" t="n">
        <f aca="false">IF(AND(D184="XVI - Activos virtuales (PSAV): operación de intercambio/transferencia",M184="Sí",ISNUMBER(AE184)),IF(AK184&gt;=AE184,1,0),0)</f>
        <v>0</v>
      </c>
      <c r="AV184" s="30" t="n">
        <f aca="false">IF(NOT(ISNUMBER(B184)),CONFIG!$B$4,IFERROR(INDEX(CONFIG!$I$5:$I$14,MATCH(IF(MONTH(B184)=1,YEAR(B184)-1,YEAR(B184)),CONFIG!$H$5:$H$14,0)),CONFIG!$B$4))</f>
        <v>117.31</v>
      </c>
      <c r="AW184" s="27" t="n">
        <f aca="false">IF(AND(LEFT(D184,4)="I - ",ISNUMBER(B184),C184&lt;&gt;""),SUMIFS($E$6:$E$505,$C$6:$C$505,C184,$D$6:$D$505,D184,$B$6:$B$505,"&gt;"&amp;(B184-1),$B$6:$B$505,"&lt;="&amp;B184),0)</f>
        <v>0</v>
      </c>
      <c r="AX184" s="0" t="str">
        <f aca="false">IF(E184="","",IF(AD184="Siempre","AVISO (siempre)",IF(AD184="No aplica","Sin Aviso (sólo preparas: Ley 17 XI)",IF(NOT(ISNUMBER(AE184)),"",IF(AA184&lt;&gt;"ACUMULA",IF(E184&gt;=AE184,IF(AND(D184="XVI - Activos virtuales (PSAV): cobro de contraprestación (comisión) por el servicio",COUNTIFS($C$6:$C$505,C184,$B$6:$B$505,"&gt;="&amp;INT(B184),$B$6:$B$505,"&lt;"&amp;(INT(B184)+1),$AU$6:$AU$505,1)&gt;0),"En el Aviso del inciso a) (R 31 Bis)","AVISO"),"—"),IF(M184&lt;&gt;"Sí","—",IF(AK184&gt;=AE184,IF(AK184=E184,"AVISO","AVISO (acumulado)"),"Acumulando")))))))</f>
        <v/>
      </c>
    </row>
    <row r="185" customFormat="false" ht="15" hidden="false" customHeight="false" outlineLevel="0" collapsed="false">
      <c r="A185" s="9" t="str">
        <f aca="false">IF(E185="","",ROW()-5)</f>
        <v/>
      </c>
      <c r="B185" s="20"/>
      <c r="C185" s="21"/>
      <c r="D185" s="21"/>
      <c r="E185" s="22"/>
      <c r="F185" s="22"/>
      <c r="G185" s="21"/>
      <c r="H185" s="21"/>
      <c r="I185" s="9" t="str">
        <f aca="false">IF(C185="","",IFERROR(INDEX(CLIENTES!$B$6:$B$305,MATCH(C185,CLIENTES!$A$6:$A$305,0)),"⚠ ID no registrado"))</f>
        <v/>
      </c>
      <c r="J185" s="9" t="str">
        <f aca="false">IF(C185="","",IFERROR(INDEX(CLIENTES!$Z$6:$Z$305,MATCH(C185,CLIENTES!$A$6:$A$305,0)),""))</f>
        <v/>
      </c>
      <c r="K185" s="9" t="str">
        <f aca="false">IF(E185="","",IF(AB185="Siempre","Sí",IF(ISNUMBER(AC185),IF(E185&gt;=AC185,"Sí",IF(AW185&gt;=AC185,"Sí (serie 24 h)","No")),"")))</f>
        <v/>
      </c>
      <c r="L185" s="9" t="str">
        <f aca="false">IF(E185="","",AA185)</f>
        <v/>
      </c>
      <c r="M185" s="9" t="str">
        <f aca="false">IF(E185="","",IF(AA185&lt;&gt;"ACUMULA","No aplica",IF(LEFT(K185,2)="Sí","Sí","No")))</f>
        <v/>
      </c>
      <c r="N185" s="23" t="str">
        <f aca="false">IF(M185="Sí",AJ185,"")</f>
        <v/>
      </c>
      <c r="O185" s="24" t="str">
        <f aca="false">IF(M185="Sí",AK185,"")</f>
        <v/>
      </c>
      <c r="P185" s="25" t="str">
        <f aca="false">IF(AND(LEFT(D185,6)="XIV - ",LEFT(AX185,5)="AVISO"),"Pedimento (R 16): no va al SPPLD",AX185)</f>
        <v/>
      </c>
      <c r="Q185" s="23" t="str">
        <f aca="false">IF(LEFT(P185,5)="AVISO",IF(ISNUMBER(B185),DATE(YEAR(B185),MONTH(B185)+1,17),"Falta fecha"),"")</f>
        <v/>
      </c>
      <c r="R185" s="9" t="str">
        <f aca="false">IF(OR(F185="",F185=0),"",IF(ISNUMBER(AG185),IF(F185&gt;=AG185,"PROHIBIDO","Dentro del límite"),"No aplica"))</f>
        <v/>
      </c>
      <c r="S185" s="26" t="str">
        <f aca="false">IF(E185="","",MID(IF(AQ185=1," · Excede el perfil declarado","")&amp;IF(H185="Sí"," · Paga un tercero","")&amp;IF(J185="Alto"," · Cliente de riesgo alto: DDR (RCG 23 Ter 3 y 4)","")&amp;IF(AND(AS185&lt;&gt;"",AS185&lt;&gt;"No",AS185&lt;&gt;0)," · PEP","")&amp;IF(R185="PROHIBIDO"," · Efectivo prohibido: no lo recibas (Art. 32)","")&amp;IF(AR185=1," · ⚠ Fecha fuera de orden","")&amp;IF(LEFT(I185,1)="⚠"," · ⚠ Cliente no registrado","")&amp;IF(D185=""," · ⚠ Falta la actividad","")&amp;IF(AND(LEFT(P185,5)="AVISO",W185="")," · Captura la cifra total con IVA para el Aviso","")&amp;IF(AND(ISNUMBER(W185),W185&lt;E185)," · ⚠ La cifra con IVA es menor que el monto sin IVA",""),4,400))</f>
        <v/>
      </c>
      <c r="T185" s="21"/>
      <c r="U185" s="20"/>
      <c r="V185" s="9" t="str">
        <f aca="false">IF(LEFT(P185,5)&lt;&gt;"AVISO","",IF(T185="Presentado",IF(AND(ISNUMBER(U185),ISNUMBER(Q185),U185&gt;Q185),"Presentado tarde","Presentado"),IF(NOT(ISNUMBER(Q185)),"Falta fecha",IF(Q185&lt;CONFIG!$B$6,"VENCIDO","Vence en "&amp;(Q185-CONFIG!$B$6)&amp;" días"))))</f>
        <v/>
      </c>
      <c r="W185" s="22"/>
      <c r="X185" s="21"/>
      <c r="AA185" s="0" t="str">
        <f aca="false">IF(AM185="","",INDEX(CATÁLOGO!$D$5:$D$39,AM185))</f>
        <v/>
      </c>
      <c r="AB185" s="0" t="str">
        <f aca="false">IF(AM185="","",INDEX(CATÁLOGO!$E$5:$E$39,AM185))</f>
        <v/>
      </c>
      <c r="AC185" s="0" t="str">
        <f aca="false">IF(AB185="","",IF(ISNUMBER(AB185),AB185*AV185,AB185))</f>
        <v/>
      </c>
      <c r="AD185" s="0" t="str">
        <f aca="false">IF(AM185="","",INDEX(CATÁLOGO!$F$5:$F$39,AM185))</f>
        <v/>
      </c>
      <c r="AE185" s="0" t="str">
        <f aca="false">IF(AD185="","",IF(ISNUMBER(AD185),AD185*AV185,AD185))</f>
        <v/>
      </c>
      <c r="AF185" s="0" t="str">
        <f aca="false">IF(AM185="","",INDEX(CATÁLOGO!$G$5:$G$39,AM185))</f>
        <v/>
      </c>
      <c r="AG185" s="0" t="str">
        <f aca="false">IF(AF185="","",IF(ISNUMBER(AF185),AF185*AV185,AF185))</f>
        <v/>
      </c>
      <c r="AH185" s="0" t="str">
        <f aca="false">IF(E185="","",C185&amp;"|"&amp;D185)</f>
        <v/>
      </c>
      <c r="AI185" s="27" t="n">
        <f aca="false">IF(M185&lt;&gt;"Sí",0,SUMPRODUCT(MAX(($AH$5:AH184=AH185)*($M$5:M184="Sí")*ROW($AH$5:AH184))))</f>
        <v>0</v>
      </c>
      <c r="AJ185" s="0" t="str">
        <f aca="false">IF(M185&lt;&gt;"Sí","",IF(AL185=1,B185,INDEX($AJ:$AJ,AI185)))</f>
        <v/>
      </c>
      <c r="AK185" s="0" t="str">
        <f aca="false">IF(M185&lt;&gt;"Sí","",IF(AL185=1,E185,INDEX($AK:$AK,AI185)+E185))</f>
        <v/>
      </c>
      <c r="AL185" s="0" t="str">
        <f aca="false">IF(M185&lt;&gt;"Sí","",IF(AI185=0,1,IF(INDEX($AN:$AN,AI185)=0,1,IF(B185&gt;=EDATE(INDEX($AJ:$AJ,AI185),6),1,0))))</f>
        <v/>
      </c>
      <c r="AM185" s="0" t="str">
        <f aca="false">IF(D185="","",IFERROR(MATCH(D185,CATÁLOGO!$C$5:$C$39,0),""))</f>
        <v/>
      </c>
      <c r="AN185" s="0" t="str">
        <f aca="false">IF(M185&lt;&gt;"Sí","",IF(AND(ISNUMBER(AE185),AK185&gt;=AE185),0,1))</f>
        <v/>
      </c>
      <c r="AO185" s="0" t="str">
        <f aca="false">IF(OR(E185="",C185="",NOT(ISNUMBER(B185))),"",SUMIFS($E$6:$E$505,$C$6:$C$505,C185,$B$6:$B$505,"&gt;="&amp;DATE(YEAR(B185),MONTH(B185),1),$B$6:$B$505,"&lt;"&amp;DATE(YEAR(B185),MONTH(B185)+1,1)))</f>
        <v/>
      </c>
      <c r="AP185" s="0" t="str">
        <f aca="false">IF(C185="","",IFERROR(INDEX(CLIENTES!$M$6:$M$305,MATCH(C185,CLIENTES!$A$6:$A$305,0)),""))</f>
        <v/>
      </c>
      <c r="AQ185" s="27" t="n">
        <f aca="false">IF(AND(ISNUMBER(AO185),ISNUMBER(AP185)),IF(AND(AP185&gt;0,AO185&gt;AP185),1,0),0)</f>
        <v>0</v>
      </c>
      <c r="AR185" s="27" t="n">
        <f aca="false">IF(NOT(ISNUMBER(B185)),0,IF(B185&lt;MAX($B$5:B184),1,0))</f>
        <v>0</v>
      </c>
      <c r="AS185" s="0" t="str">
        <f aca="false">IF(C185="","",IFERROR(INDEX(CLIENTES!$H$6:$H$305,MATCH(C185,CLIENTES!$A$6:$A$305,0)),""))</f>
        <v/>
      </c>
      <c r="AT185" s="0" t="str">
        <f aca="false">IF(AND(LEFT(P185,5)="AVISO",T185&lt;&gt;"Presentado",ISNUMBER(Q185)),Q185,"")</f>
        <v/>
      </c>
      <c r="AU185" s="27" t="n">
        <f aca="false">IF(AND(D185="XVI - Activos virtuales (PSAV): operación de intercambio/transferencia",M185="Sí",ISNUMBER(AE185)),IF(AK185&gt;=AE185,1,0),0)</f>
        <v>0</v>
      </c>
      <c r="AV185" s="30" t="n">
        <f aca="false">IF(NOT(ISNUMBER(B185)),CONFIG!$B$4,IFERROR(INDEX(CONFIG!$I$5:$I$14,MATCH(IF(MONTH(B185)=1,YEAR(B185)-1,YEAR(B185)),CONFIG!$H$5:$H$14,0)),CONFIG!$B$4))</f>
        <v>117.31</v>
      </c>
      <c r="AW185" s="27" t="n">
        <f aca="false">IF(AND(LEFT(D185,4)="I - ",ISNUMBER(B185),C185&lt;&gt;""),SUMIFS($E$6:$E$505,$C$6:$C$505,C185,$D$6:$D$505,D185,$B$6:$B$505,"&gt;"&amp;(B185-1),$B$6:$B$505,"&lt;="&amp;B185),0)</f>
        <v>0</v>
      </c>
      <c r="AX185" s="0" t="str">
        <f aca="false">IF(E185="","",IF(AD185="Siempre","AVISO (siempre)",IF(AD185="No aplica","Sin Aviso (sólo preparas: Ley 17 XI)",IF(NOT(ISNUMBER(AE185)),"",IF(AA185&lt;&gt;"ACUMULA",IF(E185&gt;=AE185,IF(AND(D185="XVI - Activos virtuales (PSAV): cobro de contraprestación (comisión) por el servicio",COUNTIFS($C$6:$C$505,C185,$B$6:$B$505,"&gt;="&amp;INT(B185),$B$6:$B$505,"&lt;"&amp;(INT(B185)+1),$AU$6:$AU$505,1)&gt;0),"En el Aviso del inciso a) (R 31 Bis)","AVISO"),"—"),IF(M185&lt;&gt;"Sí","—",IF(AK185&gt;=AE185,IF(AK185=E185,"AVISO","AVISO (acumulado)"),"Acumulando")))))))</f>
        <v/>
      </c>
    </row>
    <row r="186" customFormat="false" ht="15" hidden="false" customHeight="false" outlineLevel="0" collapsed="false">
      <c r="A186" s="9" t="str">
        <f aca="false">IF(E186="","",ROW()-5)</f>
        <v/>
      </c>
      <c r="B186" s="20"/>
      <c r="C186" s="21"/>
      <c r="D186" s="21"/>
      <c r="E186" s="22"/>
      <c r="F186" s="22"/>
      <c r="G186" s="21"/>
      <c r="H186" s="21"/>
      <c r="I186" s="9" t="str">
        <f aca="false">IF(C186="","",IFERROR(INDEX(CLIENTES!$B$6:$B$305,MATCH(C186,CLIENTES!$A$6:$A$305,0)),"⚠ ID no registrado"))</f>
        <v/>
      </c>
      <c r="J186" s="9" t="str">
        <f aca="false">IF(C186="","",IFERROR(INDEX(CLIENTES!$Z$6:$Z$305,MATCH(C186,CLIENTES!$A$6:$A$305,0)),""))</f>
        <v/>
      </c>
      <c r="K186" s="9" t="str">
        <f aca="false">IF(E186="","",IF(AB186="Siempre","Sí",IF(ISNUMBER(AC186),IF(E186&gt;=AC186,"Sí",IF(AW186&gt;=AC186,"Sí (serie 24 h)","No")),"")))</f>
        <v/>
      </c>
      <c r="L186" s="9" t="str">
        <f aca="false">IF(E186="","",AA186)</f>
        <v/>
      </c>
      <c r="M186" s="9" t="str">
        <f aca="false">IF(E186="","",IF(AA186&lt;&gt;"ACUMULA","No aplica",IF(LEFT(K186,2)="Sí","Sí","No")))</f>
        <v/>
      </c>
      <c r="N186" s="23" t="str">
        <f aca="false">IF(M186="Sí",AJ186,"")</f>
        <v/>
      </c>
      <c r="O186" s="24" t="str">
        <f aca="false">IF(M186="Sí",AK186,"")</f>
        <v/>
      </c>
      <c r="P186" s="25" t="str">
        <f aca="false">IF(AND(LEFT(D186,6)="XIV - ",LEFT(AX186,5)="AVISO"),"Pedimento (R 16): no va al SPPLD",AX186)</f>
        <v/>
      </c>
      <c r="Q186" s="23" t="str">
        <f aca="false">IF(LEFT(P186,5)="AVISO",IF(ISNUMBER(B186),DATE(YEAR(B186),MONTH(B186)+1,17),"Falta fecha"),"")</f>
        <v/>
      </c>
      <c r="R186" s="9" t="str">
        <f aca="false">IF(OR(F186="",F186=0),"",IF(ISNUMBER(AG186),IF(F186&gt;=AG186,"PROHIBIDO","Dentro del límite"),"No aplica"))</f>
        <v/>
      </c>
      <c r="S186" s="26" t="str">
        <f aca="false">IF(E186="","",MID(IF(AQ186=1," · Excede el perfil declarado","")&amp;IF(H186="Sí"," · Paga un tercero","")&amp;IF(J186="Alto"," · Cliente de riesgo alto: DDR (RCG 23 Ter 3 y 4)","")&amp;IF(AND(AS186&lt;&gt;"",AS186&lt;&gt;"No",AS186&lt;&gt;0)," · PEP","")&amp;IF(R186="PROHIBIDO"," · Efectivo prohibido: no lo recibas (Art. 32)","")&amp;IF(AR186=1," · ⚠ Fecha fuera de orden","")&amp;IF(LEFT(I186,1)="⚠"," · ⚠ Cliente no registrado","")&amp;IF(D186=""," · ⚠ Falta la actividad","")&amp;IF(AND(LEFT(P186,5)="AVISO",W186="")," · Captura la cifra total con IVA para el Aviso","")&amp;IF(AND(ISNUMBER(W186),W186&lt;E186)," · ⚠ La cifra con IVA es menor que el monto sin IVA",""),4,400))</f>
        <v/>
      </c>
      <c r="T186" s="21"/>
      <c r="U186" s="20"/>
      <c r="V186" s="9" t="str">
        <f aca="false">IF(LEFT(P186,5)&lt;&gt;"AVISO","",IF(T186="Presentado",IF(AND(ISNUMBER(U186),ISNUMBER(Q186),U186&gt;Q186),"Presentado tarde","Presentado"),IF(NOT(ISNUMBER(Q186)),"Falta fecha",IF(Q186&lt;CONFIG!$B$6,"VENCIDO","Vence en "&amp;(Q186-CONFIG!$B$6)&amp;" días"))))</f>
        <v/>
      </c>
      <c r="W186" s="22"/>
      <c r="X186" s="21"/>
      <c r="AA186" s="0" t="str">
        <f aca="false">IF(AM186="","",INDEX(CATÁLOGO!$D$5:$D$39,AM186))</f>
        <v/>
      </c>
      <c r="AB186" s="0" t="str">
        <f aca="false">IF(AM186="","",INDEX(CATÁLOGO!$E$5:$E$39,AM186))</f>
        <v/>
      </c>
      <c r="AC186" s="0" t="str">
        <f aca="false">IF(AB186="","",IF(ISNUMBER(AB186),AB186*AV186,AB186))</f>
        <v/>
      </c>
      <c r="AD186" s="0" t="str">
        <f aca="false">IF(AM186="","",INDEX(CATÁLOGO!$F$5:$F$39,AM186))</f>
        <v/>
      </c>
      <c r="AE186" s="0" t="str">
        <f aca="false">IF(AD186="","",IF(ISNUMBER(AD186),AD186*AV186,AD186))</f>
        <v/>
      </c>
      <c r="AF186" s="0" t="str">
        <f aca="false">IF(AM186="","",INDEX(CATÁLOGO!$G$5:$G$39,AM186))</f>
        <v/>
      </c>
      <c r="AG186" s="0" t="str">
        <f aca="false">IF(AF186="","",IF(ISNUMBER(AF186),AF186*AV186,AF186))</f>
        <v/>
      </c>
      <c r="AH186" s="0" t="str">
        <f aca="false">IF(E186="","",C186&amp;"|"&amp;D186)</f>
        <v/>
      </c>
      <c r="AI186" s="27" t="n">
        <f aca="false">IF(M186&lt;&gt;"Sí",0,SUMPRODUCT(MAX(($AH$5:AH185=AH186)*($M$5:M185="Sí")*ROW($AH$5:AH185))))</f>
        <v>0</v>
      </c>
      <c r="AJ186" s="0" t="str">
        <f aca="false">IF(M186&lt;&gt;"Sí","",IF(AL186=1,B186,INDEX($AJ:$AJ,AI186)))</f>
        <v/>
      </c>
      <c r="AK186" s="0" t="str">
        <f aca="false">IF(M186&lt;&gt;"Sí","",IF(AL186=1,E186,INDEX($AK:$AK,AI186)+E186))</f>
        <v/>
      </c>
      <c r="AL186" s="0" t="str">
        <f aca="false">IF(M186&lt;&gt;"Sí","",IF(AI186=0,1,IF(INDEX($AN:$AN,AI186)=0,1,IF(B186&gt;=EDATE(INDEX($AJ:$AJ,AI186),6),1,0))))</f>
        <v/>
      </c>
      <c r="AM186" s="0" t="str">
        <f aca="false">IF(D186="","",IFERROR(MATCH(D186,CATÁLOGO!$C$5:$C$39,0),""))</f>
        <v/>
      </c>
      <c r="AN186" s="0" t="str">
        <f aca="false">IF(M186&lt;&gt;"Sí","",IF(AND(ISNUMBER(AE186),AK186&gt;=AE186),0,1))</f>
        <v/>
      </c>
      <c r="AO186" s="0" t="str">
        <f aca="false">IF(OR(E186="",C186="",NOT(ISNUMBER(B186))),"",SUMIFS($E$6:$E$505,$C$6:$C$505,C186,$B$6:$B$505,"&gt;="&amp;DATE(YEAR(B186),MONTH(B186),1),$B$6:$B$505,"&lt;"&amp;DATE(YEAR(B186),MONTH(B186)+1,1)))</f>
        <v/>
      </c>
      <c r="AP186" s="0" t="str">
        <f aca="false">IF(C186="","",IFERROR(INDEX(CLIENTES!$M$6:$M$305,MATCH(C186,CLIENTES!$A$6:$A$305,0)),""))</f>
        <v/>
      </c>
      <c r="AQ186" s="27" t="n">
        <f aca="false">IF(AND(ISNUMBER(AO186),ISNUMBER(AP186)),IF(AND(AP186&gt;0,AO186&gt;AP186),1,0),0)</f>
        <v>0</v>
      </c>
      <c r="AR186" s="27" t="n">
        <f aca="false">IF(NOT(ISNUMBER(B186)),0,IF(B186&lt;MAX($B$5:B185),1,0))</f>
        <v>0</v>
      </c>
      <c r="AS186" s="0" t="str">
        <f aca="false">IF(C186="","",IFERROR(INDEX(CLIENTES!$H$6:$H$305,MATCH(C186,CLIENTES!$A$6:$A$305,0)),""))</f>
        <v/>
      </c>
      <c r="AT186" s="0" t="str">
        <f aca="false">IF(AND(LEFT(P186,5)="AVISO",T186&lt;&gt;"Presentado",ISNUMBER(Q186)),Q186,"")</f>
        <v/>
      </c>
      <c r="AU186" s="27" t="n">
        <f aca="false">IF(AND(D186="XVI - Activos virtuales (PSAV): operación de intercambio/transferencia",M186="Sí",ISNUMBER(AE186)),IF(AK186&gt;=AE186,1,0),0)</f>
        <v>0</v>
      </c>
      <c r="AV186" s="30" t="n">
        <f aca="false">IF(NOT(ISNUMBER(B186)),CONFIG!$B$4,IFERROR(INDEX(CONFIG!$I$5:$I$14,MATCH(IF(MONTH(B186)=1,YEAR(B186)-1,YEAR(B186)),CONFIG!$H$5:$H$14,0)),CONFIG!$B$4))</f>
        <v>117.31</v>
      </c>
      <c r="AW186" s="27" t="n">
        <f aca="false">IF(AND(LEFT(D186,4)="I - ",ISNUMBER(B186),C186&lt;&gt;""),SUMIFS($E$6:$E$505,$C$6:$C$505,C186,$D$6:$D$505,D186,$B$6:$B$505,"&gt;"&amp;(B186-1),$B$6:$B$505,"&lt;="&amp;B186),0)</f>
        <v>0</v>
      </c>
      <c r="AX186" s="0" t="str">
        <f aca="false">IF(E186="","",IF(AD186="Siempre","AVISO (siempre)",IF(AD186="No aplica","Sin Aviso (sólo preparas: Ley 17 XI)",IF(NOT(ISNUMBER(AE186)),"",IF(AA186&lt;&gt;"ACUMULA",IF(E186&gt;=AE186,IF(AND(D186="XVI - Activos virtuales (PSAV): cobro de contraprestación (comisión) por el servicio",COUNTIFS($C$6:$C$505,C186,$B$6:$B$505,"&gt;="&amp;INT(B186),$B$6:$B$505,"&lt;"&amp;(INT(B186)+1),$AU$6:$AU$505,1)&gt;0),"En el Aviso del inciso a) (R 31 Bis)","AVISO"),"—"),IF(M186&lt;&gt;"Sí","—",IF(AK186&gt;=AE186,IF(AK186=E186,"AVISO","AVISO (acumulado)"),"Acumulando")))))))</f>
        <v/>
      </c>
    </row>
    <row r="187" customFormat="false" ht="15" hidden="false" customHeight="false" outlineLevel="0" collapsed="false">
      <c r="A187" s="9" t="str">
        <f aca="false">IF(E187="","",ROW()-5)</f>
        <v/>
      </c>
      <c r="B187" s="20"/>
      <c r="C187" s="21"/>
      <c r="D187" s="21"/>
      <c r="E187" s="22"/>
      <c r="F187" s="22"/>
      <c r="G187" s="21"/>
      <c r="H187" s="21"/>
      <c r="I187" s="9" t="str">
        <f aca="false">IF(C187="","",IFERROR(INDEX(CLIENTES!$B$6:$B$305,MATCH(C187,CLIENTES!$A$6:$A$305,0)),"⚠ ID no registrado"))</f>
        <v/>
      </c>
      <c r="J187" s="9" t="str">
        <f aca="false">IF(C187="","",IFERROR(INDEX(CLIENTES!$Z$6:$Z$305,MATCH(C187,CLIENTES!$A$6:$A$305,0)),""))</f>
        <v/>
      </c>
      <c r="K187" s="9" t="str">
        <f aca="false">IF(E187="","",IF(AB187="Siempre","Sí",IF(ISNUMBER(AC187),IF(E187&gt;=AC187,"Sí",IF(AW187&gt;=AC187,"Sí (serie 24 h)","No")),"")))</f>
        <v/>
      </c>
      <c r="L187" s="9" t="str">
        <f aca="false">IF(E187="","",AA187)</f>
        <v/>
      </c>
      <c r="M187" s="9" t="str">
        <f aca="false">IF(E187="","",IF(AA187&lt;&gt;"ACUMULA","No aplica",IF(LEFT(K187,2)="Sí","Sí","No")))</f>
        <v/>
      </c>
      <c r="N187" s="23" t="str">
        <f aca="false">IF(M187="Sí",AJ187,"")</f>
        <v/>
      </c>
      <c r="O187" s="24" t="str">
        <f aca="false">IF(M187="Sí",AK187,"")</f>
        <v/>
      </c>
      <c r="P187" s="25" t="str">
        <f aca="false">IF(AND(LEFT(D187,6)="XIV - ",LEFT(AX187,5)="AVISO"),"Pedimento (R 16): no va al SPPLD",AX187)</f>
        <v/>
      </c>
      <c r="Q187" s="23" t="str">
        <f aca="false">IF(LEFT(P187,5)="AVISO",IF(ISNUMBER(B187),DATE(YEAR(B187),MONTH(B187)+1,17),"Falta fecha"),"")</f>
        <v/>
      </c>
      <c r="R187" s="9" t="str">
        <f aca="false">IF(OR(F187="",F187=0),"",IF(ISNUMBER(AG187),IF(F187&gt;=AG187,"PROHIBIDO","Dentro del límite"),"No aplica"))</f>
        <v/>
      </c>
      <c r="S187" s="26" t="str">
        <f aca="false">IF(E187="","",MID(IF(AQ187=1," · Excede el perfil declarado","")&amp;IF(H187="Sí"," · Paga un tercero","")&amp;IF(J187="Alto"," · Cliente de riesgo alto: DDR (RCG 23 Ter 3 y 4)","")&amp;IF(AND(AS187&lt;&gt;"",AS187&lt;&gt;"No",AS187&lt;&gt;0)," · PEP","")&amp;IF(R187="PROHIBIDO"," · Efectivo prohibido: no lo recibas (Art. 32)","")&amp;IF(AR187=1," · ⚠ Fecha fuera de orden","")&amp;IF(LEFT(I187,1)="⚠"," · ⚠ Cliente no registrado","")&amp;IF(D187=""," · ⚠ Falta la actividad","")&amp;IF(AND(LEFT(P187,5)="AVISO",W187="")," · Captura la cifra total con IVA para el Aviso","")&amp;IF(AND(ISNUMBER(W187),W187&lt;E187)," · ⚠ La cifra con IVA es menor que el monto sin IVA",""),4,400))</f>
        <v/>
      </c>
      <c r="T187" s="21"/>
      <c r="U187" s="20"/>
      <c r="V187" s="9" t="str">
        <f aca="false">IF(LEFT(P187,5)&lt;&gt;"AVISO","",IF(T187="Presentado",IF(AND(ISNUMBER(U187),ISNUMBER(Q187),U187&gt;Q187),"Presentado tarde","Presentado"),IF(NOT(ISNUMBER(Q187)),"Falta fecha",IF(Q187&lt;CONFIG!$B$6,"VENCIDO","Vence en "&amp;(Q187-CONFIG!$B$6)&amp;" días"))))</f>
        <v/>
      </c>
      <c r="W187" s="22"/>
      <c r="X187" s="21"/>
      <c r="AA187" s="0" t="str">
        <f aca="false">IF(AM187="","",INDEX(CATÁLOGO!$D$5:$D$39,AM187))</f>
        <v/>
      </c>
      <c r="AB187" s="0" t="str">
        <f aca="false">IF(AM187="","",INDEX(CATÁLOGO!$E$5:$E$39,AM187))</f>
        <v/>
      </c>
      <c r="AC187" s="0" t="str">
        <f aca="false">IF(AB187="","",IF(ISNUMBER(AB187),AB187*AV187,AB187))</f>
        <v/>
      </c>
      <c r="AD187" s="0" t="str">
        <f aca="false">IF(AM187="","",INDEX(CATÁLOGO!$F$5:$F$39,AM187))</f>
        <v/>
      </c>
      <c r="AE187" s="0" t="str">
        <f aca="false">IF(AD187="","",IF(ISNUMBER(AD187),AD187*AV187,AD187))</f>
        <v/>
      </c>
      <c r="AF187" s="0" t="str">
        <f aca="false">IF(AM187="","",INDEX(CATÁLOGO!$G$5:$G$39,AM187))</f>
        <v/>
      </c>
      <c r="AG187" s="0" t="str">
        <f aca="false">IF(AF187="","",IF(ISNUMBER(AF187),AF187*AV187,AF187))</f>
        <v/>
      </c>
      <c r="AH187" s="0" t="str">
        <f aca="false">IF(E187="","",C187&amp;"|"&amp;D187)</f>
        <v/>
      </c>
      <c r="AI187" s="27" t="n">
        <f aca="false">IF(M187&lt;&gt;"Sí",0,SUMPRODUCT(MAX(($AH$5:AH186=AH187)*($M$5:M186="Sí")*ROW($AH$5:AH186))))</f>
        <v>0</v>
      </c>
      <c r="AJ187" s="0" t="str">
        <f aca="false">IF(M187&lt;&gt;"Sí","",IF(AL187=1,B187,INDEX($AJ:$AJ,AI187)))</f>
        <v/>
      </c>
      <c r="AK187" s="0" t="str">
        <f aca="false">IF(M187&lt;&gt;"Sí","",IF(AL187=1,E187,INDEX($AK:$AK,AI187)+E187))</f>
        <v/>
      </c>
      <c r="AL187" s="0" t="str">
        <f aca="false">IF(M187&lt;&gt;"Sí","",IF(AI187=0,1,IF(INDEX($AN:$AN,AI187)=0,1,IF(B187&gt;=EDATE(INDEX($AJ:$AJ,AI187),6),1,0))))</f>
        <v/>
      </c>
      <c r="AM187" s="0" t="str">
        <f aca="false">IF(D187="","",IFERROR(MATCH(D187,CATÁLOGO!$C$5:$C$39,0),""))</f>
        <v/>
      </c>
      <c r="AN187" s="0" t="str">
        <f aca="false">IF(M187&lt;&gt;"Sí","",IF(AND(ISNUMBER(AE187),AK187&gt;=AE187),0,1))</f>
        <v/>
      </c>
      <c r="AO187" s="0" t="str">
        <f aca="false">IF(OR(E187="",C187="",NOT(ISNUMBER(B187))),"",SUMIFS($E$6:$E$505,$C$6:$C$505,C187,$B$6:$B$505,"&gt;="&amp;DATE(YEAR(B187),MONTH(B187),1),$B$6:$B$505,"&lt;"&amp;DATE(YEAR(B187),MONTH(B187)+1,1)))</f>
        <v/>
      </c>
      <c r="AP187" s="0" t="str">
        <f aca="false">IF(C187="","",IFERROR(INDEX(CLIENTES!$M$6:$M$305,MATCH(C187,CLIENTES!$A$6:$A$305,0)),""))</f>
        <v/>
      </c>
      <c r="AQ187" s="27" t="n">
        <f aca="false">IF(AND(ISNUMBER(AO187),ISNUMBER(AP187)),IF(AND(AP187&gt;0,AO187&gt;AP187),1,0),0)</f>
        <v>0</v>
      </c>
      <c r="AR187" s="27" t="n">
        <f aca="false">IF(NOT(ISNUMBER(B187)),0,IF(B187&lt;MAX($B$5:B186),1,0))</f>
        <v>0</v>
      </c>
      <c r="AS187" s="0" t="str">
        <f aca="false">IF(C187="","",IFERROR(INDEX(CLIENTES!$H$6:$H$305,MATCH(C187,CLIENTES!$A$6:$A$305,0)),""))</f>
        <v/>
      </c>
      <c r="AT187" s="0" t="str">
        <f aca="false">IF(AND(LEFT(P187,5)="AVISO",T187&lt;&gt;"Presentado",ISNUMBER(Q187)),Q187,"")</f>
        <v/>
      </c>
      <c r="AU187" s="27" t="n">
        <f aca="false">IF(AND(D187="XVI - Activos virtuales (PSAV): operación de intercambio/transferencia",M187="Sí",ISNUMBER(AE187)),IF(AK187&gt;=AE187,1,0),0)</f>
        <v>0</v>
      </c>
      <c r="AV187" s="30" t="n">
        <f aca="false">IF(NOT(ISNUMBER(B187)),CONFIG!$B$4,IFERROR(INDEX(CONFIG!$I$5:$I$14,MATCH(IF(MONTH(B187)=1,YEAR(B187)-1,YEAR(B187)),CONFIG!$H$5:$H$14,0)),CONFIG!$B$4))</f>
        <v>117.31</v>
      </c>
      <c r="AW187" s="27" t="n">
        <f aca="false">IF(AND(LEFT(D187,4)="I - ",ISNUMBER(B187),C187&lt;&gt;""),SUMIFS($E$6:$E$505,$C$6:$C$505,C187,$D$6:$D$505,D187,$B$6:$B$505,"&gt;"&amp;(B187-1),$B$6:$B$505,"&lt;="&amp;B187),0)</f>
        <v>0</v>
      </c>
      <c r="AX187" s="0" t="str">
        <f aca="false">IF(E187="","",IF(AD187="Siempre","AVISO (siempre)",IF(AD187="No aplica","Sin Aviso (sólo preparas: Ley 17 XI)",IF(NOT(ISNUMBER(AE187)),"",IF(AA187&lt;&gt;"ACUMULA",IF(E187&gt;=AE187,IF(AND(D187="XVI - Activos virtuales (PSAV): cobro de contraprestación (comisión) por el servicio",COUNTIFS($C$6:$C$505,C187,$B$6:$B$505,"&gt;="&amp;INT(B187),$B$6:$B$505,"&lt;"&amp;(INT(B187)+1),$AU$6:$AU$505,1)&gt;0),"En el Aviso del inciso a) (R 31 Bis)","AVISO"),"—"),IF(M187&lt;&gt;"Sí","—",IF(AK187&gt;=AE187,IF(AK187=E187,"AVISO","AVISO (acumulado)"),"Acumulando")))))))</f>
        <v/>
      </c>
    </row>
    <row r="188" customFormat="false" ht="15" hidden="false" customHeight="false" outlineLevel="0" collapsed="false">
      <c r="A188" s="9" t="str">
        <f aca="false">IF(E188="","",ROW()-5)</f>
        <v/>
      </c>
      <c r="B188" s="20"/>
      <c r="C188" s="21"/>
      <c r="D188" s="21"/>
      <c r="E188" s="22"/>
      <c r="F188" s="22"/>
      <c r="G188" s="21"/>
      <c r="H188" s="21"/>
      <c r="I188" s="9" t="str">
        <f aca="false">IF(C188="","",IFERROR(INDEX(CLIENTES!$B$6:$B$305,MATCH(C188,CLIENTES!$A$6:$A$305,0)),"⚠ ID no registrado"))</f>
        <v/>
      </c>
      <c r="J188" s="9" t="str">
        <f aca="false">IF(C188="","",IFERROR(INDEX(CLIENTES!$Z$6:$Z$305,MATCH(C188,CLIENTES!$A$6:$A$305,0)),""))</f>
        <v/>
      </c>
      <c r="K188" s="9" t="str">
        <f aca="false">IF(E188="","",IF(AB188="Siempre","Sí",IF(ISNUMBER(AC188),IF(E188&gt;=AC188,"Sí",IF(AW188&gt;=AC188,"Sí (serie 24 h)","No")),"")))</f>
        <v/>
      </c>
      <c r="L188" s="9" t="str">
        <f aca="false">IF(E188="","",AA188)</f>
        <v/>
      </c>
      <c r="M188" s="9" t="str">
        <f aca="false">IF(E188="","",IF(AA188&lt;&gt;"ACUMULA","No aplica",IF(LEFT(K188,2)="Sí","Sí","No")))</f>
        <v/>
      </c>
      <c r="N188" s="23" t="str">
        <f aca="false">IF(M188="Sí",AJ188,"")</f>
        <v/>
      </c>
      <c r="O188" s="24" t="str">
        <f aca="false">IF(M188="Sí",AK188,"")</f>
        <v/>
      </c>
      <c r="P188" s="25" t="str">
        <f aca="false">IF(AND(LEFT(D188,6)="XIV - ",LEFT(AX188,5)="AVISO"),"Pedimento (R 16): no va al SPPLD",AX188)</f>
        <v/>
      </c>
      <c r="Q188" s="23" t="str">
        <f aca="false">IF(LEFT(P188,5)="AVISO",IF(ISNUMBER(B188),DATE(YEAR(B188),MONTH(B188)+1,17),"Falta fecha"),"")</f>
        <v/>
      </c>
      <c r="R188" s="9" t="str">
        <f aca="false">IF(OR(F188="",F188=0),"",IF(ISNUMBER(AG188),IF(F188&gt;=AG188,"PROHIBIDO","Dentro del límite"),"No aplica"))</f>
        <v/>
      </c>
      <c r="S188" s="26" t="str">
        <f aca="false">IF(E188="","",MID(IF(AQ188=1," · Excede el perfil declarado","")&amp;IF(H188="Sí"," · Paga un tercero","")&amp;IF(J188="Alto"," · Cliente de riesgo alto: DDR (RCG 23 Ter 3 y 4)","")&amp;IF(AND(AS188&lt;&gt;"",AS188&lt;&gt;"No",AS188&lt;&gt;0)," · PEP","")&amp;IF(R188="PROHIBIDO"," · Efectivo prohibido: no lo recibas (Art. 32)","")&amp;IF(AR188=1," · ⚠ Fecha fuera de orden","")&amp;IF(LEFT(I188,1)="⚠"," · ⚠ Cliente no registrado","")&amp;IF(D188=""," · ⚠ Falta la actividad","")&amp;IF(AND(LEFT(P188,5)="AVISO",W188="")," · Captura la cifra total con IVA para el Aviso","")&amp;IF(AND(ISNUMBER(W188),W188&lt;E188)," · ⚠ La cifra con IVA es menor que el monto sin IVA",""),4,400))</f>
        <v/>
      </c>
      <c r="T188" s="21"/>
      <c r="U188" s="20"/>
      <c r="V188" s="9" t="str">
        <f aca="false">IF(LEFT(P188,5)&lt;&gt;"AVISO","",IF(T188="Presentado",IF(AND(ISNUMBER(U188),ISNUMBER(Q188),U188&gt;Q188),"Presentado tarde","Presentado"),IF(NOT(ISNUMBER(Q188)),"Falta fecha",IF(Q188&lt;CONFIG!$B$6,"VENCIDO","Vence en "&amp;(Q188-CONFIG!$B$6)&amp;" días"))))</f>
        <v/>
      </c>
      <c r="W188" s="22"/>
      <c r="X188" s="21"/>
      <c r="AA188" s="0" t="str">
        <f aca="false">IF(AM188="","",INDEX(CATÁLOGO!$D$5:$D$39,AM188))</f>
        <v/>
      </c>
      <c r="AB188" s="0" t="str">
        <f aca="false">IF(AM188="","",INDEX(CATÁLOGO!$E$5:$E$39,AM188))</f>
        <v/>
      </c>
      <c r="AC188" s="0" t="str">
        <f aca="false">IF(AB188="","",IF(ISNUMBER(AB188),AB188*AV188,AB188))</f>
        <v/>
      </c>
      <c r="AD188" s="0" t="str">
        <f aca="false">IF(AM188="","",INDEX(CATÁLOGO!$F$5:$F$39,AM188))</f>
        <v/>
      </c>
      <c r="AE188" s="0" t="str">
        <f aca="false">IF(AD188="","",IF(ISNUMBER(AD188),AD188*AV188,AD188))</f>
        <v/>
      </c>
      <c r="AF188" s="0" t="str">
        <f aca="false">IF(AM188="","",INDEX(CATÁLOGO!$G$5:$G$39,AM188))</f>
        <v/>
      </c>
      <c r="AG188" s="0" t="str">
        <f aca="false">IF(AF188="","",IF(ISNUMBER(AF188),AF188*AV188,AF188))</f>
        <v/>
      </c>
      <c r="AH188" s="0" t="str">
        <f aca="false">IF(E188="","",C188&amp;"|"&amp;D188)</f>
        <v/>
      </c>
      <c r="AI188" s="27" t="n">
        <f aca="false">IF(M188&lt;&gt;"Sí",0,SUMPRODUCT(MAX(($AH$5:AH187=AH188)*($M$5:M187="Sí")*ROW($AH$5:AH187))))</f>
        <v>0</v>
      </c>
      <c r="AJ188" s="0" t="str">
        <f aca="false">IF(M188&lt;&gt;"Sí","",IF(AL188=1,B188,INDEX($AJ:$AJ,AI188)))</f>
        <v/>
      </c>
      <c r="AK188" s="0" t="str">
        <f aca="false">IF(M188&lt;&gt;"Sí","",IF(AL188=1,E188,INDEX($AK:$AK,AI188)+E188))</f>
        <v/>
      </c>
      <c r="AL188" s="0" t="str">
        <f aca="false">IF(M188&lt;&gt;"Sí","",IF(AI188=0,1,IF(INDEX($AN:$AN,AI188)=0,1,IF(B188&gt;=EDATE(INDEX($AJ:$AJ,AI188),6),1,0))))</f>
        <v/>
      </c>
      <c r="AM188" s="0" t="str">
        <f aca="false">IF(D188="","",IFERROR(MATCH(D188,CATÁLOGO!$C$5:$C$39,0),""))</f>
        <v/>
      </c>
      <c r="AN188" s="0" t="str">
        <f aca="false">IF(M188&lt;&gt;"Sí","",IF(AND(ISNUMBER(AE188),AK188&gt;=AE188),0,1))</f>
        <v/>
      </c>
      <c r="AO188" s="0" t="str">
        <f aca="false">IF(OR(E188="",C188="",NOT(ISNUMBER(B188))),"",SUMIFS($E$6:$E$505,$C$6:$C$505,C188,$B$6:$B$505,"&gt;="&amp;DATE(YEAR(B188),MONTH(B188),1),$B$6:$B$505,"&lt;"&amp;DATE(YEAR(B188),MONTH(B188)+1,1)))</f>
        <v/>
      </c>
      <c r="AP188" s="0" t="str">
        <f aca="false">IF(C188="","",IFERROR(INDEX(CLIENTES!$M$6:$M$305,MATCH(C188,CLIENTES!$A$6:$A$305,0)),""))</f>
        <v/>
      </c>
      <c r="AQ188" s="27" t="n">
        <f aca="false">IF(AND(ISNUMBER(AO188),ISNUMBER(AP188)),IF(AND(AP188&gt;0,AO188&gt;AP188),1,0),0)</f>
        <v>0</v>
      </c>
      <c r="AR188" s="27" t="n">
        <f aca="false">IF(NOT(ISNUMBER(B188)),0,IF(B188&lt;MAX($B$5:B187),1,0))</f>
        <v>0</v>
      </c>
      <c r="AS188" s="0" t="str">
        <f aca="false">IF(C188="","",IFERROR(INDEX(CLIENTES!$H$6:$H$305,MATCH(C188,CLIENTES!$A$6:$A$305,0)),""))</f>
        <v/>
      </c>
      <c r="AT188" s="0" t="str">
        <f aca="false">IF(AND(LEFT(P188,5)="AVISO",T188&lt;&gt;"Presentado",ISNUMBER(Q188)),Q188,"")</f>
        <v/>
      </c>
      <c r="AU188" s="27" t="n">
        <f aca="false">IF(AND(D188="XVI - Activos virtuales (PSAV): operación de intercambio/transferencia",M188="Sí",ISNUMBER(AE188)),IF(AK188&gt;=AE188,1,0),0)</f>
        <v>0</v>
      </c>
      <c r="AV188" s="30" t="n">
        <f aca="false">IF(NOT(ISNUMBER(B188)),CONFIG!$B$4,IFERROR(INDEX(CONFIG!$I$5:$I$14,MATCH(IF(MONTH(B188)=1,YEAR(B188)-1,YEAR(B188)),CONFIG!$H$5:$H$14,0)),CONFIG!$B$4))</f>
        <v>117.31</v>
      </c>
      <c r="AW188" s="27" t="n">
        <f aca="false">IF(AND(LEFT(D188,4)="I - ",ISNUMBER(B188),C188&lt;&gt;""),SUMIFS($E$6:$E$505,$C$6:$C$505,C188,$D$6:$D$505,D188,$B$6:$B$505,"&gt;"&amp;(B188-1),$B$6:$B$505,"&lt;="&amp;B188),0)</f>
        <v>0</v>
      </c>
      <c r="AX188" s="0" t="str">
        <f aca="false">IF(E188="","",IF(AD188="Siempre","AVISO (siempre)",IF(AD188="No aplica","Sin Aviso (sólo preparas: Ley 17 XI)",IF(NOT(ISNUMBER(AE188)),"",IF(AA188&lt;&gt;"ACUMULA",IF(E188&gt;=AE188,IF(AND(D188="XVI - Activos virtuales (PSAV): cobro de contraprestación (comisión) por el servicio",COUNTIFS($C$6:$C$505,C188,$B$6:$B$505,"&gt;="&amp;INT(B188),$B$6:$B$505,"&lt;"&amp;(INT(B188)+1),$AU$6:$AU$505,1)&gt;0),"En el Aviso del inciso a) (R 31 Bis)","AVISO"),"—"),IF(M188&lt;&gt;"Sí","—",IF(AK188&gt;=AE188,IF(AK188=E188,"AVISO","AVISO (acumulado)"),"Acumulando")))))))</f>
        <v/>
      </c>
    </row>
    <row r="189" customFormat="false" ht="15" hidden="false" customHeight="false" outlineLevel="0" collapsed="false">
      <c r="A189" s="9" t="str">
        <f aca="false">IF(E189="","",ROW()-5)</f>
        <v/>
      </c>
      <c r="B189" s="20"/>
      <c r="C189" s="21"/>
      <c r="D189" s="21"/>
      <c r="E189" s="22"/>
      <c r="F189" s="22"/>
      <c r="G189" s="21"/>
      <c r="H189" s="21"/>
      <c r="I189" s="9" t="str">
        <f aca="false">IF(C189="","",IFERROR(INDEX(CLIENTES!$B$6:$B$305,MATCH(C189,CLIENTES!$A$6:$A$305,0)),"⚠ ID no registrado"))</f>
        <v/>
      </c>
      <c r="J189" s="9" t="str">
        <f aca="false">IF(C189="","",IFERROR(INDEX(CLIENTES!$Z$6:$Z$305,MATCH(C189,CLIENTES!$A$6:$A$305,0)),""))</f>
        <v/>
      </c>
      <c r="K189" s="9" t="str">
        <f aca="false">IF(E189="","",IF(AB189="Siempre","Sí",IF(ISNUMBER(AC189),IF(E189&gt;=AC189,"Sí",IF(AW189&gt;=AC189,"Sí (serie 24 h)","No")),"")))</f>
        <v/>
      </c>
      <c r="L189" s="9" t="str">
        <f aca="false">IF(E189="","",AA189)</f>
        <v/>
      </c>
      <c r="M189" s="9" t="str">
        <f aca="false">IF(E189="","",IF(AA189&lt;&gt;"ACUMULA","No aplica",IF(LEFT(K189,2)="Sí","Sí","No")))</f>
        <v/>
      </c>
      <c r="N189" s="23" t="str">
        <f aca="false">IF(M189="Sí",AJ189,"")</f>
        <v/>
      </c>
      <c r="O189" s="24" t="str">
        <f aca="false">IF(M189="Sí",AK189,"")</f>
        <v/>
      </c>
      <c r="P189" s="25" t="str">
        <f aca="false">IF(AND(LEFT(D189,6)="XIV - ",LEFT(AX189,5)="AVISO"),"Pedimento (R 16): no va al SPPLD",AX189)</f>
        <v/>
      </c>
      <c r="Q189" s="23" t="str">
        <f aca="false">IF(LEFT(P189,5)="AVISO",IF(ISNUMBER(B189),DATE(YEAR(B189),MONTH(B189)+1,17),"Falta fecha"),"")</f>
        <v/>
      </c>
      <c r="R189" s="9" t="str">
        <f aca="false">IF(OR(F189="",F189=0),"",IF(ISNUMBER(AG189),IF(F189&gt;=AG189,"PROHIBIDO","Dentro del límite"),"No aplica"))</f>
        <v/>
      </c>
      <c r="S189" s="26" t="str">
        <f aca="false">IF(E189="","",MID(IF(AQ189=1," · Excede el perfil declarado","")&amp;IF(H189="Sí"," · Paga un tercero","")&amp;IF(J189="Alto"," · Cliente de riesgo alto: DDR (RCG 23 Ter 3 y 4)","")&amp;IF(AND(AS189&lt;&gt;"",AS189&lt;&gt;"No",AS189&lt;&gt;0)," · PEP","")&amp;IF(R189="PROHIBIDO"," · Efectivo prohibido: no lo recibas (Art. 32)","")&amp;IF(AR189=1," · ⚠ Fecha fuera de orden","")&amp;IF(LEFT(I189,1)="⚠"," · ⚠ Cliente no registrado","")&amp;IF(D189=""," · ⚠ Falta la actividad","")&amp;IF(AND(LEFT(P189,5)="AVISO",W189="")," · Captura la cifra total con IVA para el Aviso","")&amp;IF(AND(ISNUMBER(W189),W189&lt;E189)," · ⚠ La cifra con IVA es menor que el monto sin IVA",""),4,400))</f>
        <v/>
      </c>
      <c r="T189" s="21"/>
      <c r="U189" s="20"/>
      <c r="V189" s="9" t="str">
        <f aca="false">IF(LEFT(P189,5)&lt;&gt;"AVISO","",IF(T189="Presentado",IF(AND(ISNUMBER(U189),ISNUMBER(Q189),U189&gt;Q189),"Presentado tarde","Presentado"),IF(NOT(ISNUMBER(Q189)),"Falta fecha",IF(Q189&lt;CONFIG!$B$6,"VENCIDO","Vence en "&amp;(Q189-CONFIG!$B$6)&amp;" días"))))</f>
        <v/>
      </c>
      <c r="W189" s="22"/>
      <c r="X189" s="21"/>
      <c r="AA189" s="0" t="str">
        <f aca="false">IF(AM189="","",INDEX(CATÁLOGO!$D$5:$D$39,AM189))</f>
        <v/>
      </c>
      <c r="AB189" s="0" t="str">
        <f aca="false">IF(AM189="","",INDEX(CATÁLOGO!$E$5:$E$39,AM189))</f>
        <v/>
      </c>
      <c r="AC189" s="0" t="str">
        <f aca="false">IF(AB189="","",IF(ISNUMBER(AB189),AB189*AV189,AB189))</f>
        <v/>
      </c>
      <c r="AD189" s="0" t="str">
        <f aca="false">IF(AM189="","",INDEX(CATÁLOGO!$F$5:$F$39,AM189))</f>
        <v/>
      </c>
      <c r="AE189" s="0" t="str">
        <f aca="false">IF(AD189="","",IF(ISNUMBER(AD189),AD189*AV189,AD189))</f>
        <v/>
      </c>
      <c r="AF189" s="0" t="str">
        <f aca="false">IF(AM189="","",INDEX(CATÁLOGO!$G$5:$G$39,AM189))</f>
        <v/>
      </c>
      <c r="AG189" s="0" t="str">
        <f aca="false">IF(AF189="","",IF(ISNUMBER(AF189),AF189*AV189,AF189))</f>
        <v/>
      </c>
      <c r="AH189" s="0" t="str">
        <f aca="false">IF(E189="","",C189&amp;"|"&amp;D189)</f>
        <v/>
      </c>
      <c r="AI189" s="27" t="n">
        <f aca="false">IF(M189&lt;&gt;"Sí",0,SUMPRODUCT(MAX(($AH$5:AH188=AH189)*($M$5:M188="Sí")*ROW($AH$5:AH188))))</f>
        <v>0</v>
      </c>
      <c r="AJ189" s="0" t="str">
        <f aca="false">IF(M189&lt;&gt;"Sí","",IF(AL189=1,B189,INDEX($AJ:$AJ,AI189)))</f>
        <v/>
      </c>
      <c r="AK189" s="0" t="str">
        <f aca="false">IF(M189&lt;&gt;"Sí","",IF(AL189=1,E189,INDEX($AK:$AK,AI189)+E189))</f>
        <v/>
      </c>
      <c r="AL189" s="0" t="str">
        <f aca="false">IF(M189&lt;&gt;"Sí","",IF(AI189=0,1,IF(INDEX($AN:$AN,AI189)=0,1,IF(B189&gt;=EDATE(INDEX($AJ:$AJ,AI189),6),1,0))))</f>
        <v/>
      </c>
      <c r="AM189" s="0" t="str">
        <f aca="false">IF(D189="","",IFERROR(MATCH(D189,CATÁLOGO!$C$5:$C$39,0),""))</f>
        <v/>
      </c>
      <c r="AN189" s="0" t="str">
        <f aca="false">IF(M189&lt;&gt;"Sí","",IF(AND(ISNUMBER(AE189),AK189&gt;=AE189),0,1))</f>
        <v/>
      </c>
      <c r="AO189" s="0" t="str">
        <f aca="false">IF(OR(E189="",C189="",NOT(ISNUMBER(B189))),"",SUMIFS($E$6:$E$505,$C$6:$C$505,C189,$B$6:$B$505,"&gt;="&amp;DATE(YEAR(B189),MONTH(B189),1),$B$6:$B$505,"&lt;"&amp;DATE(YEAR(B189),MONTH(B189)+1,1)))</f>
        <v/>
      </c>
      <c r="AP189" s="0" t="str">
        <f aca="false">IF(C189="","",IFERROR(INDEX(CLIENTES!$M$6:$M$305,MATCH(C189,CLIENTES!$A$6:$A$305,0)),""))</f>
        <v/>
      </c>
      <c r="AQ189" s="27" t="n">
        <f aca="false">IF(AND(ISNUMBER(AO189),ISNUMBER(AP189)),IF(AND(AP189&gt;0,AO189&gt;AP189),1,0),0)</f>
        <v>0</v>
      </c>
      <c r="AR189" s="27" t="n">
        <f aca="false">IF(NOT(ISNUMBER(B189)),0,IF(B189&lt;MAX($B$5:B188),1,0))</f>
        <v>0</v>
      </c>
      <c r="AS189" s="0" t="str">
        <f aca="false">IF(C189="","",IFERROR(INDEX(CLIENTES!$H$6:$H$305,MATCH(C189,CLIENTES!$A$6:$A$305,0)),""))</f>
        <v/>
      </c>
      <c r="AT189" s="0" t="str">
        <f aca="false">IF(AND(LEFT(P189,5)="AVISO",T189&lt;&gt;"Presentado",ISNUMBER(Q189)),Q189,"")</f>
        <v/>
      </c>
      <c r="AU189" s="27" t="n">
        <f aca="false">IF(AND(D189="XVI - Activos virtuales (PSAV): operación de intercambio/transferencia",M189="Sí",ISNUMBER(AE189)),IF(AK189&gt;=AE189,1,0),0)</f>
        <v>0</v>
      </c>
      <c r="AV189" s="30" t="n">
        <f aca="false">IF(NOT(ISNUMBER(B189)),CONFIG!$B$4,IFERROR(INDEX(CONFIG!$I$5:$I$14,MATCH(IF(MONTH(B189)=1,YEAR(B189)-1,YEAR(B189)),CONFIG!$H$5:$H$14,0)),CONFIG!$B$4))</f>
        <v>117.31</v>
      </c>
      <c r="AW189" s="27" t="n">
        <f aca="false">IF(AND(LEFT(D189,4)="I - ",ISNUMBER(B189),C189&lt;&gt;""),SUMIFS($E$6:$E$505,$C$6:$C$505,C189,$D$6:$D$505,D189,$B$6:$B$505,"&gt;"&amp;(B189-1),$B$6:$B$505,"&lt;="&amp;B189),0)</f>
        <v>0</v>
      </c>
      <c r="AX189" s="0" t="str">
        <f aca="false">IF(E189="","",IF(AD189="Siempre","AVISO (siempre)",IF(AD189="No aplica","Sin Aviso (sólo preparas: Ley 17 XI)",IF(NOT(ISNUMBER(AE189)),"",IF(AA189&lt;&gt;"ACUMULA",IF(E189&gt;=AE189,IF(AND(D189="XVI - Activos virtuales (PSAV): cobro de contraprestación (comisión) por el servicio",COUNTIFS($C$6:$C$505,C189,$B$6:$B$505,"&gt;="&amp;INT(B189),$B$6:$B$505,"&lt;"&amp;(INT(B189)+1),$AU$6:$AU$505,1)&gt;0),"En el Aviso del inciso a) (R 31 Bis)","AVISO"),"—"),IF(M189&lt;&gt;"Sí","—",IF(AK189&gt;=AE189,IF(AK189=E189,"AVISO","AVISO (acumulado)"),"Acumulando")))))))</f>
        <v/>
      </c>
    </row>
    <row r="190" customFormat="false" ht="15" hidden="false" customHeight="false" outlineLevel="0" collapsed="false">
      <c r="A190" s="9" t="str">
        <f aca="false">IF(E190="","",ROW()-5)</f>
        <v/>
      </c>
      <c r="B190" s="20"/>
      <c r="C190" s="21"/>
      <c r="D190" s="21"/>
      <c r="E190" s="22"/>
      <c r="F190" s="22"/>
      <c r="G190" s="21"/>
      <c r="H190" s="21"/>
      <c r="I190" s="9" t="str">
        <f aca="false">IF(C190="","",IFERROR(INDEX(CLIENTES!$B$6:$B$305,MATCH(C190,CLIENTES!$A$6:$A$305,0)),"⚠ ID no registrado"))</f>
        <v/>
      </c>
      <c r="J190" s="9" t="str">
        <f aca="false">IF(C190="","",IFERROR(INDEX(CLIENTES!$Z$6:$Z$305,MATCH(C190,CLIENTES!$A$6:$A$305,0)),""))</f>
        <v/>
      </c>
      <c r="K190" s="9" t="str">
        <f aca="false">IF(E190="","",IF(AB190="Siempre","Sí",IF(ISNUMBER(AC190),IF(E190&gt;=AC190,"Sí",IF(AW190&gt;=AC190,"Sí (serie 24 h)","No")),"")))</f>
        <v/>
      </c>
      <c r="L190" s="9" t="str">
        <f aca="false">IF(E190="","",AA190)</f>
        <v/>
      </c>
      <c r="M190" s="9" t="str">
        <f aca="false">IF(E190="","",IF(AA190&lt;&gt;"ACUMULA","No aplica",IF(LEFT(K190,2)="Sí","Sí","No")))</f>
        <v/>
      </c>
      <c r="N190" s="23" t="str">
        <f aca="false">IF(M190="Sí",AJ190,"")</f>
        <v/>
      </c>
      <c r="O190" s="24" t="str">
        <f aca="false">IF(M190="Sí",AK190,"")</f>
        <v/>
      </c>
      <c r="P190" s="25" t="str">
        <f aca="false">IF(AND(LEFT(D190,6)="XIV - ",LEFT(AX190,5)="AVISO"),"Pedimento (R 16): no va al SPPLD",AX190)</f>
        <v/>
      </c>
      <c r="Q190" s="23" t="str">
        <f aca="false">IF(LEFT(P190,5)="AVISO",IF(ISNUMBER(B190),DATE(YEAR(B190),MONTH(B190)+1,17),"Falta fecha"),"")</f>
        <v/>
      </c>
      <c r="R190" s="9" t="str">
        <f aca="false">IF(OR(F190="",F190=0),"",IF(ISNUMBER(AG190),IF(F190&gt;=AG190,"PROHIBIDO","Dentro del límite"),"No aplica"))</f>
        <v/>
      </c>
      <c r="S190" s="26" t="str">
        <f aca="false">IF(E190="","",MID(IF(AQ190=1," · Excede el perfil declarado","")&amp;IF(H190="Sí"," · Paga un tercero","")&amp;IF(J190="Alto"," · Cliente de riesgo alto: DDR (RCG 23 Ter 3 y 4)","")&amp;IF(AND(AS190&lt;&gt;"",AS190&lt;&gt;"No",AS190&lt;&gt;0)," · PEP","")&amp;IF(R190="PROHIBIDO"," · Efectivo prohibido: no lo recibas (Art. 32)","")&amp;IF(AR190=1," · ⚠ Fecha fuera de orden","")&amp;IF(LEFT(I190,1)="⚠"," · ⚠ Cliente no registrado","")&amp;IF(D190=""," · ⚠ Falta la actividad","")&amp;IF(AND(LEFT(P190,5)="AVISO",W190="")," · Captura la cifra total con IVA para el Aviso","")&amp;IF(AND(ISNUMBER(W190),W190&lt;E190)," · ⚠ La cifra con IVA es menor que el monto sin IVA",""),4,400))</f>
        <v/>
      </c>
      <c r="T190" s="21"/>
      <c r="U190" s="20"/>
      <c r="V190" s="9" t="str">
        <f aca="false">IF(LEFT(P190,5)&lt;&gt;"AVISO","",IF(T190="Presentado",IF(AND(ISNUMBER(U190),ISNUMBER(Q190),U190&gt;Q190),"Presentado tarde","Presentado"),IF(NOT(ISNUMBER(Q190)),"Falta fecha",IF(Q190&lt;CONFIG!$B$6,"VENCIDO","Vence en "&amp;(Q190-CONFIG!$B$6)&amp;" días"))))</f>
        <v/>
      </c>
      <c r="W190" s="22"/>
      <c r="X190" s="21"/>
      <c r="AA190" s="0" t="str">
        <f aca="false">IF(AM190="","",INDEX(CATÁLOGO!$D$5:$D$39,AM190))</f>
        <v/>
      </c>
      <c r="AB190" s="0" t="str">
        <f aca="false">IF(AM190="","",INDEX(CATÁLOGO!$E$5:$E$39,AM190))</f>
        <v/>
      </c>
      <c r="AC190" s="0" t="str">
        <f aca="false">IF(AB190="","",IF(ISNUMBER(AB190),AB190*AV190,AB190))</f>
        <v/>
      </c>
      <c r="AD190" s="0" t="str">
        <f aca="false">IF(AM190="","",INDEX(CATÁLOGO!$F$5:$F$39,AM190))</f>
        <v/>
      </c>
      <c r="AE190" s="0" t="str">
        <f aca="false">IF(AD190="","",IF(ISNUMBER(AD190),AD190*AV190,AD190))</f>
        <v/>
      </c>
      <c r="AF190" s="0" t="str">
        <f aca="false">IF(AM190="","",INDEX(CATÁLOGO!$G$5:$G$39,AM190))</f>
        <v/>
      </c>
      <c r="AG190" s="0" t="str">
        <f aca="false">IF(AF190="","",IF(ISNUMBER(AF190),AF190*AV190,AF190))</f>
        <v/>
      </c>
      <c r="AH190" s="0" t="str">
        <f aca="false">IF(E190="","",C190&amp;"|"&amp;D190)</f>
        <v/>
      </c>
      <c r="AI190" s="27" t="n">
        <f aca="false">IF(M190&lt;&gt;"Sí",0,SUMPRODUCT(MAX(($AH$5:AH189=AH190)*($M$5:M189="Sí")*ROW($AH$5:AH189))))</f>
        <v>0</v>
      </c>
      <c r="AJ190" s="0" t="str">
        <f aca="false">IF(M190&lt;&gt;"Sí","",IF(AL190=1,B190,INDEX($AJ:$AJ,AI190)))</f>
        <v/>
      </c>
      <c r="AK190" s="0" t="str">
        <f aca="false">IF(M190&lt;&gt;"Sí","",IF(AL190=1,E190,INDEX($AK:$AK,AI190)+E190))</f>
        <v/>
      </c>
      <c r="AL190" s="0" t="str">
        <f aca="false">IF(M190&lt;&gt;"Sí","",IF(AI190=0,1,IF(INDEX($AN:$AN,AI190)=0,1,IF(B190&gt;=EDATE(INDEX($AJ:$AJ,AI190),6),1,0))))</f>
        <v/>
      </c>
      <c r="AM190" s="0" t="str">
        <f aca="false">IF(D190="","",IFERROR(MATCH(D190,CATÁLOGO!$C$5:$C$39,0),""))</f>
        <v/>
      </c>
      <c r="AN190" s="0" t="str">
        <f aca="false">IF(M190&lt;&gt;"Sí","",IF(AND(ISNUMBER(AE190),AK190&gt;=AE190),0,1))</f>
        <v/>
      </c>
      <c r="AO190" s="0" t="str">
        <f aca="false">IF(OR(E190="",C190="",NOT(ISNUMBER(B190))),"",SUMIFS($E$6:$E$505,$C$6:$C$505,C190,$B$6:$B$505,"&gt;="&amp;DATE(YEAR(B190),MONTH(B190),1),$B$6:$B$505,"&lt;"&amp;DATE(YEAR(B190),MONTH(B190)+1,1)))</f>
        <v/>
      </c>
      <c r="AP190" s="0" t="str">
        <f aca="false">IF(C190="","",IFERROR(INDEX(CLIENTES!$M$6:$M$305,MATCH(C190,CLIENTES!$A$6:$A$305,0)),""))</f>
        <v/>
      </c>
      <c r="AQ190" s="27" t="n">
        <f aca="false">IF(AND(ISNUMBER(AO190),ISNUMBER(AP190)),IF(AND(AP190&gt;0,AO190&gt;AP190),1,0),0)</f>
        <v>0</v>
      </c>
      <c r="AR190" s="27" t="n">
        <f aca="false">IF(NOT(ISNUMBER(B190)),0,IF(B190&lt;MAX($B$5:B189),1,0))</f>
        <v>0</v>
      </c>
      <c r="AS190" s="0" t="str">
        <f aca="false">IF(C190="","",IFERROR(INDEX(CLIENTES!$H$6:$H$305,MATCH(C190,CLIENTES!$A$6:$A$305,0)),""))</f>
        <v/>
      </c>
      <c r="AT190" s="0" t="str">
        <f aca="false">IF(AND(LEFT(P190,5)="AVISO",T190&lt;&gt;"Presentado",ISNUMBER(Q190)),Q190,"")</f>
        <v/>
      </c>
      <c r="AU190" s="27" t="n">
        <f aca="false">IF(AND(D190="XVI - Activos virtuales (PSAV): operación de intercambio/transferencia",M190="Sí",ISNUMBER(AE190)),IF(AK190&gt;=AE190,1,0),0)</f>
        <v>0</v>
      </c>
      <c r="AV190" s="30" t="n">
        <f aca="false">IF(NOT(ISNUMBER(B190)),CONFIG!$B$4,IFERROR(INDEX(CONFIG!$I$5:$I$14,MATCH(IF(MONTH(B190)=1,YEAR(B190)-1,YEAR(B190)),CONFIG!$H$5:$H$14,0)),CONFIG!$B$4))</f>
        <v>117.31</v>
      </c>
      <c r="AW190" s="27" t="n">
        <f aca="false">IF(AND(LEFT(D190,4)="I - ",ISNUMBER(B190),C190&lt;&gt;""),SUMIFS($E$6:$E$505,$C$6:$C$505,C190,$D$6:$D$505,D190,$B$6:$B$505,"&gt;"&amp;(B190-1),$B$6:$B$505,"&lt;="&amp;B190),0)</f>
        <v>0</v>
      </c>
      <c r="AX190" s="0" t="str">
        <f aca="false">IF(E190="","",IF(AD190="Siempre","AVISO (siempre)",IF(AD190="No aplica","Sin Aviso (sólo preparas: Ley 17 XI)",IF(NOT(ISNUMBER(AE190)),"",IF(AA190&lt;&gt;"ACUMULA",IF(E190&gt;=AE190,IF(AND(D190="XVI - Activos virtuales (PSAV): cobro de contraprestación (comisión) por el servicio",COUNTIFS($C$6:$C$505,C190,$B$6:$B$505,"&gt;="&amp;INT(B190),$B$6:$B$505,"&lt;"&amp;(INT(B190)+1),$AU$6:$AU$505,1)&gt;0),"En el Aviso del inciso a) (R 31 Bis)","AVISO"),"—"),IF(M190&lt;&gt;"Sí","—",IF(AK190&gt;=AE190,IF(AK190=E190,"AVISO","AVISO (acumulado)"),"Acumulando")))))))</f>
        <v/>
      </c>
    </row>
    <row r="191" customFormat="false" ht="15" hidden="false" customHeight="false" outlineLevel="0" collapsed="false">
      <c r="A191" s="9" t="str">
        <f aca="false">IF(E191="","",ROW()-5)</f>
        <v/>
      </c>
      <c r="B191" s="20"/>
      <c r="C191" s="21"/>
      <c r="D191" s="21"/>
      <c r="E191" s="22"/>
      <c r="F191" s="22"/>
      <c r="G191" s="21"/>
      <c r="H191" s="21"/>
      <c r="I191" s="9" t="str">
        <f aca="false">IF(C191="","",IFERROR(INDEX(CLIENTES!$B$6:$B$305,MATCH(C191,CLIENTES!$A$6:$A$305,0)),"⚠ ID no registrado"))</f>
        <v/>
      </c>
      <c r="J191" s="9" t="str">
        <f aca="false">IF(C191="","",IFERROR(INDEX(CLIENTES!$Z$6:$Z$305,MATCH(C191,CLIENTES!$A$6:$A$305,0)),""))</f>
        <v/>
      </c>
      <c r="K191" s="9" t="str">
        <f aca="false">IF(E191="","",IF(AB191="Siempre","Sí",IF(ISNUMBER(AC191),IF(E191&gt;=AC191,"Sí",IF(AW191&gt;=AC191,"Sí (serie 24 h)","No")),"")))</f>
        <v/>
      </c>
      <c r="L191" s="9" t="str">
        <f aca="false">IF(E191="","",AA191)</f>
        <v/>
      </c>
      <c r="M191" s="9" t="str">
        <f aca="false">IF(E191="","",IF(AA191&lt;&gt;"ACUMULA","No aplica",IF(LEFT(K191,2)="Sí","Sí","No")))</f>
        <v/>
      </c>
      <c r="N191" s="23" t="str">
        <f aca="false">IF(M191="Sí",AJ191,"")</f>
        <v/>
      </c>
      <c r="O191" s="24" t="str">
        <f aca="false">IF(M191="Sí",AK191,"")</f>
        <v/>
      </c>
      <c r="P191" s="25" t="str">
        <f aca="false">IF(AND(LEFT(D191,6)="XIV - ",LEFT(AX191,5)="AVISO"),"Pedimento (R 16): no va al SPPLD",AX191)</f>
        <v/>
      </c>
      <c r="Q191" s="23" t="str">
        <f aca="false">IF(LEFT(P191,5)="AVISO",IF(ISNUMBER(B191),DATE(YEAR(B191),MONTH(B191)+1,17),"Falta fecha"),"")</f>
        <v/>
      </c>
      <c r="R191" s="9" t="str">
        <f aca="false">IF(OR(F191="",F191=0),"",IF(ISNUMBER(AG191),IF(F191&gt;=AG191,"PROHIBIDO","Dentro del límite"),"No aplica"))</f>
        <v/>
      </c>
      <c r="S191" s="26" t="str">
        <f aca="false">IF(E191="","",MID(IF(AQ191=1," · Excede el perfil declarado","")&amp;IF(H191="Sí"," · Paga un tercero","")&amp;IF(J191="Alto"," · Cliente de riesgo alto: DDR (RCG 23 Ter 3 y 4)","")&amp;IF(AND(AS191&lt;&gt;"",AS191&lt;&gt;"No",AS191&lt;&gt;0)," · PEP","")&amp;IF(R191="PROHIBIDO"," · Efectivo prohibido: no lo recibas (Art. 32)","")&amp;IF(AR191=1," · ⚠ Fecha fuera de orden","")&amp;IF(LEFT(I191,1)="⚠"," · ⚠ Cliente no registrado","")&amp;IF(D191=""," · ⚠ Falta la actividad","")&amp;IF(AND(LEFT(P191,5)="AVISO",W191="")," · Captura la cifra total con IVA para el Aviso","")&amp;IF(AND(ISNUMBER(W191),W191&lt;E191)," · ⚠ La cifra con IVA es menor que el monto sin IVA",""),4,400))</f>
        <v/>
      </c>
      <c r="T191" s="21"/>
      <c r="U191" s="20"/>
      <c r="V191" s="9" t="str">
        <f aca="false">IF(LEFT(P191,5)&lt;&gt;"AVISO","",IF(T191="Presentado",IF(AND(ISNUMBER(U191),ISNUMBER(Q191),U191&gt;Q191),"Presentado tarde","Presentado"),IF(NOT(ISNUMBER(Q191)),"Falta fecha",IF(Q191&lt;CONFIG!$B$6,"VENCIDO","Vence en "&amp;(Q191-CONFIG!$B$6)&amp;" días"))))</f>
        <v/>
      </c>
      <c r="W191" s="22"/>
      <c r="X191" s="21"/>
      <c r="AA191" s="0" t="str">
        <f aca="false">IF(AM191="","",INDEX(CATÁLOGO!$D$5:$D$39,AM191))</f>
        <v/>
      </c>
      <c r="AB191" s="0" t="str">
        <f aca="false">IF(AM191="","",INDEX(CATÁLOGO!$E$5:$E$39,AM191))</f>
        <v/>
      </c>
      <c r="AC191" s="0" t="str">
        <f aca="false">IF(AB191="","",IF(ISNUMBER(AB191),AB191*AV191,AB191))</f>
        <v/>
      </c>
      <c r="AD191" s="0" t="str">
        <f aca="false">IF(AM191="","",INDEX(CATÁLOGO!$F$5:$F$39,AM191))</f>
        <v/>
      </c>
      <c r="AE191" s="0" t="str">
        <f aca="false">IF(AD191="","",IF(ISNUMBER(AD191),AD191*AV191,AD191))</f>
        <v/>
      </c>
      <c r="AF191" s="0" t="str">
        <f aca="false">IF(AM191="","",INDEX(CATÁLOGO!$G$5:$G$39,AM191))</f>
        <v/>
      </c>
      <c r="AG191" s="0" t="str">
        <f aca="false">IF(AF191="","",IF(ISNUMBER(AF191),AF191*AV191,AF191))</f>
        <v/>
      </c>
      <c r="AH191" s="0" t="str">
        <f aca="false">IF(E191="","",C191&amp;"|"&amp;D191)</f>
        <v/>
      </c>
      <c r="AI191" s="27" t="n">
        <f aca="false">IF(M191&lt;&gt;"Sí",0,SUMPRODUCT(MAX(($AH$5:AH190=AH191)*($M$5:M190="Sí")*ROW($AH$5:AH190))))</f>
        <v>0</v>
      </c>
      <c r="AJ191" s="0" t="str">
        <f aca="false">IF(M191&lt;&gt;"Sí","",IF(AL191=1,B191,INDEX($AJ:$AJ,AI191)))</f>
        <v/>
      </c>
      <c r="AK191" s="0" t="str">
        <f aca="false">IF(M191&lt;&gt;"Sí","",IF(AL191=1,E191,INDEX($AK:$AK,AI191)+E191))</f>
        <v/>
      </c>
      <c r="AL191" s="0" t="str">
        <f aca="false">IF(M191&lt;&gt;"Sí","",IF(AI191=0,1,IF(INDEX($AN:$AN,AI191)=0,1,IF(B191&gt;=EDATE(INDEX($AJ:$AJ,AI191),6),1,0))))</f>
        <v/>
      </c>
      <c r="AM191" s="0" t="str">
        <f aca="false">IF(D191="","",IFERROR(MATCH(D191,CATÁLOGO!$C$5:$C$39,0),""))</f>
        <v/>
      </c>
      <c r="AN191" s="0" t="str">
        <f aca="false">IF(M191&lt;&gt;"Sí","",IF(AND(ISNUMBER(AE191),AK191&gt;=AE191),0,1))</f>
        <v/>
      </c>
      <c r="AO191" s="0" t="str">
        <f aca="false">IF(OR(E191="",C191="",NOT(ISNUMBER(B191))),"",SUMIFS($E$6:$E$505,$C$6:$C$505,C191,$B$6:$B$505,"&gt;="&amp;DATE(YEAR(B191),MONTH(B191),1),$B$6:$B$505,"&lt;"&amp;DATE(YEAR(B191),MONTH(B191)+1,1)))</f>
        <v/>
      </c>
      <c r="AP191" s="0" t="str">
        <f aca="false">IF(C191="","",IFERROR(INDEX(CLIENTES!$M$6:$M$305,MATCH(C191,CLIENTES!$A$6:$A$305,0)),""))</f>
        <v/>
      </c>
      <c r="AQ191" s="27" t="n">
        <f aca="false">IF(AND(ISNUMBER(AO191),ISNUMBER(AP191)),IF(AND(AP191&gt;0,AO191&gt;AP191),1,0),0)</f>
        <v>0</v>
      </c>
      <c r="AR191" s="27" t="n">
        <f aca="false">IF(NOT(ISNUMBER(B191)),0,IF(B191&lt;MAX($B$5:B190),1,0))</f>
        <v>0</v>
      </c>
      <c r="AS191" s="0" t="str">
        <f aca="false">IF(C191="","",IFERROR(INDEX(CLIENTES!$H$6:$H$305,MATCH(C191,CLIENTES!$A$6:$A$305,0)),""))</f>
        <v/>
      </c>
      <c r="AT191" s="0" t="str">
        <f aca="false">IF(AND(LEFT(P191,5)="AVISO",T191&lt;&gt;"Presentado",ISNUMBER(Q191)),Q191,"")</f>
        <v/>
      </c>
      <c r="AU191" s="27" t="n">
        <f aca="false">IF(AND(D191="XVI - Activos virtuales (PSAV): operación de intercambio/transferencia",M191="Sí",ISNUMBER(AE191)),IF(AK191&gt;=AE191,1,0),0)</f>
        <v>0</v>
      </c>
      <c r="AV191" s="30" t="n">
        <f aca="false">IF(NOT(ISNUMBER(B191)),CONFIG!$B$4,IFERROR(INDEX(CONFIG!$I$5:$I$14,MATCH(IF(MONTH(B191)=1,YEAR(B191)-1,YEAR(B191)),CONFIG!$H$5:$H$14,0)),CONFIG!$B$4))</f>
        <v>117.31</v>
      </c>
      <c r="AW191" s="27" t="n">
        <f aca="false">IF(AND(LEFT(D191,4)="I - ",ISNUMBER(B191),C191&lt;&gt;""),SUMIFS($E$6:$E$505,$C$6:$C$505,C191,$D$6:$D$505,D191,$B$6:$B$505,"&gt;"&amp;(B191-1),$B$6:$B$505,"&lt;="&amp;B191),0)</f>
        <v>0</v>
      </c>
      <c r="AX191" s="0" t="str">
        <f aca="false">IF(E191="","",IF(AD191="Siempre","AVISO (siempre)",IF(AD191="No aplica","Sin Aviso (sólo preparas: Ley 17 XI)",IF(NOT(ISNUMBER(AE191)),"",IF(AA191&lt;&gt;"ACUMULA",IF(E191&gt;=AE191,IF(AND(D191="XVI - Activos virtuales (PSAV): cobro de contraprestación (comisión) por el servicio",COUNTIFS($C$6:$C$505,C191,$B$6:$B$505,"&gt;="&amp;INT(B191),$B$6:$B$505,"&lt;"&amp;(INT(B191)+1),$AU$6:$AU$505,1)&gt;0),"En el Aviso del inciso a) (R 31 Bis)","AVISO"),"—"),IF(M191&lt;&gt;"Sí","—",IF(AK191&gt;=AE191,IF(AK191=E191,"AVISO","AVISO (acumulado)"),"Acumulando")))))))</f>
        <v/>
      </c>
    </row>
    <row r="192" customFormat="false" ht="15" hidden="false" customHeight="false" outlineLevel="0" collapsed="false">
      <c r="A192" s="9" t="str">
        <f aca="false">IF(E192="","",ROW()-5)</f>
        <v/>
      </c>
      <c r="B192" s="20"/>
      <c r="C192" s="21"/>
      <c r="D192" s="21"/>
      <c r="E192" s="22"/>
      <c r="F192" s="22"/>
      <c r="G192" s="21"/>
      <c r="H192" s="21"/>
      <c r="I192" s="9" t="str">
        <f aca="false">IF(C192="","",IFERROR(INDEX(CLIENTES!$B$6:$B$305,MATCH(C192,CLIENTES!$A$6:$A$305,0)),"⚠ ID no registrado"))</f>
        <v/>
      </c>
      <c r="J192" s="9" t="str">
        <f aca="false">IF(C192="","",IFERROR(INDEX(CLIENTES!$Z$6:$Z$305,MATCH(C192,CLIENTES!$A$6:$A$305,0)),""))</f>
        <v/>
      </c>
      <c r="K192" s="9" t="str">
        <f aca="false">IF(E192="","",IF(AB192="Siempre","Sí",IF(ISNUMBER(AC192),IF(E192&gt;=AC192,"Sí",IF(AW192&gt;=AC192,"Sí (serie 24 h)","No")),"")))</f>
        <v/>
      </c>
      <c r="L192" s="9" t="str">
        <f aca="false">IF(E192="","",AA192)</f>
        <v/>
      </c>
      <c r="M192" s="9" t="str">
        <f aca="false">IF(E192="","",IF(AA192&lt;&gt;"ACUMULA","No aplica",IF(LEFT(K192,2)="Sí","Sí","No")))</f>
        <v/>
      </c>
      <c r="N192" s="23" t="str">
        <f aca="false">IF(M192="Sí",AJ192,"")</f>
        <v/>
      </c>
      <c r="O192" s="24" t="str">
        <f aca="false">IF(M192="Sí",AK192,"")</f>
        <v/>
      </c>
      <c r="P192" s="25" t="str">
        <f aca="false">IF(AND(LEFT(D192,6)="XIV - ",LEFT(AX192,5)="AVISO"),"Pedimento (R 16): no va al SPPLD",AX192)</f>
        <v/>
      </c>
      <c r="Q192" s="23" t="str">
        <f aca="false">IF(LEFT(P192,5)="AVISO",IF(ISNUMBER(B192),DATE(YEAR(B192),MONTH(B192)+1,17),"Falta fecha"),"")</f>
        <v/>
      </c>
      <c r="R192" s="9" t="str">
        <f aca="false">IF(OR(F192="",F192=0),"",IF(ISNUMBER(AG192),IF(F192&gt;=AG192,"PROHIBIDO","Dentro del límite"),"No aplica"))</f>
        <v/>
      </c>
      <c r="S192" s="26" t="str">
        <f aca="false">IF(E192="","",MID(IF(AQ192=1," · Excede el perfil declarado","")&amp;IF(H192="Sí"," · Paga un tercero","")&amp;IF(J192="Alto"," · Cliente de riesgo alto: DDR (RCG 23 Ter 3 y 4)","")&amp;IF(AND(AS192&lt;&gt;"",AS192&lt;&gt;"No",AS192&lt;&gt;0)," · PEP","")&amp;IF(R192="PROHIBIDO"," · Efectivo prohibido: no lo recibas (Art. 32)","")&amp;IF(AR192=1," · ⚠ Fecha fuera de orden","")&amp;IF(LEFT(I192,1)="⚠"," · ⚠ Cliente no registrado","")&amp;IF(D192=""," · ⚠ Falta la actividad","")&amp;IF(AND(LEFT(P192,5)="AVISO",W192="")," · Captura la cifra total con IVA para el Aviso","")&amp;IF(AND(ISNUMBER(W192),W192&lt;E192)," · ⚠ La cifra con IVA es menor que el monto sin IVA",""),4,400))</f>
        <v/>
      </c>
      <c r="T192" s="21"/>
      <c r="U192" s="20"/>
      <c r="V192" s="9" t="str">
        <f aca="false">IF(LEFT(P192,5)&lt;&gt;"AVISO","",IF(T192="Presentado",IF(AND(ISNUMBER(U192),ISNUMBER(Q192),U192&gt;Q192),"Presentado tarde","Presentado"),IF(NOT(ISNUMBER(Q192)),"Falta fecha",IF(Q192&lt;CONFIG!$B$6,"VENCIDO","Vence en "&amp;(Q192-CONFIG!$B$6)&amp;" días"))))</f>
        <v/>
      </c>
      <c r="W192" s="22"/>
      <c r="X192" s="21"/>
      <c r="AA192" s="0" t="str">
        <f aca="false">IF(AM192="","",INDEX(CATÁLOGO!$D$5:$D$39,AM192))</f>
        <v/>
      </c>
      <c r="AB192" s="0" t="str">
        <f aca="false">IF(AM192="","",INDEX(CATÁLOGO!$E$5:$E$39,AM192))</f>
        <v/>
      </c>
      <c r="AC192" s="0" t="str">
        <f aca="false">IF(AB192="","",IF(ISNUMBER(AB192),AB192*AV192,AB192))</f>
        <v/>
      </c>
      <c r="AD192" s="0" t="str">
        <f aca="false">IF(AM192="","",INDEX(CATÁLOGO!$F$5:$F$39,AM192))</f>
        <v/>
      </c>
      <c r="AE192" s="0" t="str">
        <f aca="false">IF(AD192="","",IF(ISNUMBER(AD192),AD192*AV192,AD192))</f>
        <v/>
      </c>
      <c r="AF192" s="0" t="str">
        <f aca="false">IF(AM192="","",INDEX(CATÁLOGO!$G$5:$G$39,AM192))</f>
        <v/>
      </c>
      <c r="AG192" s="0" t="str">
        <f aca="false">IF(AF192="","",IF(ISNUMBER(AF192),AF192*AV192,AF192))</f>
        <v/>
      </c>
      <c r="AH192" s="0" t="str">
        <f aca="false">IF(E192="","",C192&amp;"|"&amp;D192)</f>
        <v/>
      </c>
      <c r="AI192" s="27" t="n">
        <f aca="false">IF(M192&lt;&gt;"Sí",0,SUMPRODUCT(MAX(($AH$5:AH191=AH192)*($M$5:M191="Sí")*ROW($AH$5:AH191))))</f>
        <v>0</v>
      </c>
      <c r="AJ192" s="0" t="str">
        <f aca="false">IF(M192&lt;&gt;"Sí","",IF(AL192=1,B192,INDEX($AJ:$AJ,AI192)))</f>
        <v/>
      </c>
      <c r="AK192" s="0" t="str">
        <f aca="false">IF(M192&lt;&gt;"Sí","",IF(AL192=1,E192,INDEX($AK:$AK,AI192)+E192))</f>
        <v/>
      </c>
      <c r="AL192" s="0" t="str">
        <f aca="false">IF(M192&lt;&gt;"Sí","",IF(AI192=0,1,IF(INDEX($AN:$AN,AI192)=0,1,IF(B192&gt;=EDATE(INDEX($AJ:$AJ,AI192),6),1,0))))</f>
        <v/>
      </c>
      <c r="AM192" s="0" t="str">
        <f aca="false">IF(D192="","",IFERROR(MATCH(D192,CATÁLOGO!$C$5:$C$39,0),""))</f>
        <v/>
      </c>
      <c r="AN192" s="0" t="str">
        <f aca="false">IF(M192&lt;&gt;"Sí","",IF(AND(ISNUMBER(AE192),AK192&gt;=AE192),0,1))</f>
        <v/>
      </c>
      <c r="AO192" s="0" t="str">
        <f aca="false">IF(OR(E192="",C192="",NOT(ISNUMBER(B192))),"",SUMIFS($E$6:$E$505,$C$6:$C$505,C192,$B$6:$B$505,"&gt;="&amp;DATE(YEAR(B192),MONTH(B192),1),$B$6:$B$505,"&lt;"&amp;DATE(YEAR(B192),MONTH(B192)+1,1)))</f>
        <v/>
      </c>
      <c r="AP192" s="0" t="str">
        <f aca="false">IF(C192="","",IFERROR(INDEX(CLIENTES!$M$6:$M$305,MATCH(C192,CLIENTES!$A$6:$A$305,0)),""))</f>
        <v/>
      </c>
      <c r="AQ192" s="27" t="n">
        <f aca="false">IF(AND(ISNUMBER(AO192),ISNUMBER(AP192)),IF(AND(AP192&gt;0,AO192&gt;AP192),1,0),0)</f>
        <v>0</v>
      </c>
      <c r="AR192" s="27" t="n">
        <f aca="false">IF(NOT(ISNUMBER(B192)),0,IF(B192&lt;MAX($B$5:B191),1,0))</f>
        <v>0</v>
      </c>
      <c r="AS192" s="0" t="str">
        <f aca="false">IF(C192="","",IFERROR(INDEX(CLIENTES!$H$6:$H$305,MATCH(C192,CLIENTES!$A$6:$A$305,0)),""))</f>
        <v/>
      </c>
      <c r="AT192" s="0" t="str">
        <f aca="false">IF(AND(LEFT(P192,5)="AVISO",T192&lt;&gt;"Presentado",ISNUMBER(Q192)),Q192,"")</f>
        <v/>
      </c>
      <c r="AU192" s="27" t="n">
        <f aca="false">IF(AND(D192="XVI - Activos virtuales (PSAV): operación de intercambio/transferencia",M192="Sí",ISNUMBER(AE192)),IF(AK192&gt;=AE192,1,0),0)</f>
        <v>0</v>
      </c>
      <c r="AV192" s="30" t="n">
        <f aca="false">IF(NOT(ISNUMBER(B192)),CONFIG!$B$4,IFERROR(INDEX(CONFIG!$I$5:$I$14,MATCH(IF(MONTH(B192)=1,YEAR(B192)-1,YEAR(B192)),CONFIG!$H$5:$H$14,0)),CONFIG!$B$4))</f>
        <v>117.31</v>
      </c>
      <c r="AW192" s="27" t="n">
        <f aca="false">IF(AND(LEFT(D192,4)="I - ",ISNUMBER(B192),C192&lt;&gt;""),SUMIFS($E$6:$E$505,$C$6:$C$505,C192,$D$6:$D$505,D192,$B$6:$B$505,"&gt;"&amp;(B192-1),$B$6:$B$505,"&lt;="&amp;B192),0)</f>
        <v>0</v>
      </c>
      <c r="AX192" s="0" t="str">
        <f aca="false">IF(E192="","",IF(AD192="Siempre","AVISO (siempre)",IF(AD192="No aplica","Sin Aviso (sólo preparas: Ley 17 XI)",IF(NOT(ISNUMBER(AE192)),"",IF(AA192&lt;&gt;"ACUMULA",IF(E192&gt;=AE192,IF(AND(D192="XVI - Activos virtuales (PSAV): cobro de contraprestación (comisión) por el servicio",COUNTIFS($C$6:$C$505,C192,$B$6:$B$505,"&gt;="&amp;INT(B192),$B$6:$B$505,"&lt;"&amp;(INT(B192)+1),$AU$6:$AU$505,1)&gt;0),"En el Aviso del inciso a) (R 31 Bis)","AVISO"),"—"),IF(M192&lt;&gt;"Sí","—",IF(AK192&gt;=AE192,IF(AK192=E192,"AVISO","AVISO (acumulado)"),"Acumulando")))))))</f>
        <v/>
      </c>
    </row>
    <row r="193" customFormat="false" ht="15" hidden="false" customHeight="false" outlineLevel="0" collapsed="false">
      <c r="A193" s="9" t="str">
        <f aca="false">IF(E193="","",ROW()-5)</f>
        <v/>
      </c>
      <c r="B193" s="20"/>
      <c r="C193" s="21"/>
      <c r="D193" s="21"/>
      <c r="E193" s="22"/>
      <c r="F193" s="22"/>
      <c r="G193" s="21"/>
      <c r="H193" s="21"/>
      <c r="I193" s="9" t="str">
        <f aca="false">IF(C193="","",IFERROR(INDEX(CLIENTES!$B$6:$B$305,MATCH(C193,CLIENTES!$A$6:$A$305,0)),"⚠ ID no registrado"))</f>
        <v/>
      </c>
      <c r="J193" s="9" t="str">
        <f aca="false">IF(C193="","",IFERROR(INDEX(CLIENTES!$Z$6:$Z$305,MATCH(C193,CLIENTES!$A$6:$A$305,0)),""))</f>
        <v/>
      </c>
      <c r="K193" s="9" t="str">
        <f aca="false">IF(E193="","",IF(AB193="Siempre","Sí",IF(ISNUMBER(AC193),IF(E193&gt;=AC193,"Sí",IF(AW193&gt;=AC193,"Sí (serie 24 h)","No")),"")))</f>
        <v/>
      </c>
      <c r="L193" s="9" t="str">
        <f aca="false">IF(E193="","",AA193)</f>
        <v/>
      </c>
      <c r="M193" s="9" t="str">
        <f aca="false">IF(E193="","",IF(AA193&lt;&gt;"ACUMULA","No aplica",IF(LEFT(K193,2)="Sí","Sí","No")))</f>
        <v/>
      </c>
      <c r="N193" s="23" t="str">
        <f aca="false">IF(M193="Sí",AJ193,"")</f>
        <v/>
      </c>
      <c r="O193" s="24" t="str">
        <f aca="false">IF(M193="Sí",AK193,"")</f>
        <v/>
      </c>
      <c r="P193" s="25" t="str">
        <f aca="false">IF(AND(LEFT(D193,6)="XIV - ",LEFT(AX193,5)="AVISO"),"Pedimento (R 16): no va al SPPLD",AX193)</f>
        <v/>
      </c>
      <c r="Q193" s="23" t="str">
        <f aca="false">IF(LEFT(P193,5)="AVISO",IF(ISNUMBER(B193),DATE(YEAR(B193),MONTH(B193)+1,17),"Falta fecha"),"")</f>
        <v/>
      </c>
      <c r="R193" s="9" t="str">
        <f aca="false">IF(OR(F193="",F193=0),"",IF(ISNUMBER(AG193),IF(F193&gt;=AG193,"PROHIBIDO","Dentro del límite"),"No aplica"))</f>
        <v/>
      </c>
      <c r="S193" s="26" t="str">
        <f aca="false">IF(E193="","",MID(IF(AQ193=1," · Excede el perfil declarado","")&amp;IF(H193="Sí"," · Paga un tercero","")&amp;IF(J193="Alto"," · Cliente de riesgo alto: DDR (RCG 23 Ter 3 y 4)","")&amp;IF(AND(AS193&lt;&gt;"",AS193&lt;&gt;"No",AS193&lt;&gt;0)," · PEP","")&amp;IF(R193="PROHIBIDO"," · Efectivo prohibido: no lo recibas (Art. 32)","")&amp;IF(AR193=1," · ⚠ Fecha fuera de orden","")&amp;IF(LEFT(I193,1)="⚠"," · ⚠ Cliente no registrado","")&amp;IF(D193=""," · ⚠ Falta la actividad","")&amp;IF(AND(LEFT(P193,5)="AVISO",W193="")," · Captura la cifra total con IVA para el Aviso","")&amp;IF(AND(ISNUMBER(W193),W193&lt;E193)," · ⚠ La cifra con IVA es menor que el monto sin IVA",""),4,400))</f>
        <v/>
      </c>
      <c r="T193" s="21"/>
      <c r="U193" s="20"/>
      <c r="V193" s="9" t="str">
        <f aca="false">IF(LEFT(P193,5)&lt;&gt;"AVISO","",IF(T193="Presentado",IF(AND(ISNUMBER(U193),ISNUMBER(Q193),U193&gt;Q193),"Presentado tarde","Presentado"),IF(NOT(ISNUMBER(Q193)),"Falta fecha",IF(Q193&lt;CONFIG!$B$6,"VENCIDO","Vence en "&amp;(Q193-CONFIG!$B$6)&amp;" días"))))</f>
        <v/>
      </c>
      <c r="W193" s="22"/>
      <c r="X193" s="21"/>
      <c r="AA193" s="0" t="str">
        <f aca="false">IF(AM193="","",INDEX(CATÁLOGO!$D$5:$D$39,AM193))</f>
        <v/>
      </c>
      <c r="AB193" s="0" t="str">
        <f aca="false">IF(AM193="","",INDEX(CATÁLOGO!$E$5:$E$39,AM193))</f>
        <v/>
      </c>
      <c r="AC193" s="0" t="str">
        <f aca="false">IF(AB193="","",IF(ISNUMBER(AB193),AB193*AV193,AB193))</f>
        <v/>
      </c>
      <c r="AD193" s="0" t="str">
        <f aca="false">IF(AM193="","",INDEX(CATÁLOGO!$F$5:$F$39,AM193))</f>
        <v/>
      </c>
      <c r="AE193" s="0" t="str">
        <f aca="false">IF(AD193="","",IF(ISNUMBER(AD193),AD193*AV193,AD193))</f>
        <v/>
      </c>
      <c r="AF193" s="0" t="str">
        <f aca="false">IF(AM193="","",INDEX(CATÁLOGO!$G$5:$G$39,AM193))</f>
        <v/>
      </c>
      <c r="AG193" s="0" t="str">
        <f aca="false">IF(AF193="","",IF(ISNUMBER(AF193),AF193*AV193,AF193))</f>
        <v/>
      </c>
      <c r="AH193" s="0" t="str">
        <f aca="false">IF(E193="","",C193&amp;"|"&amp;D193)</f>
        <v/>
      </c>
      <c r="AI193" s="27" t="n">
        <f aca="false">IF(M193&lt;&gt;"Sí",0,SUMPRODUCT(MAX(($AH$5:AH192=AH193)*($M$5:M192="Sí")*ROW($AH$5:AH192))))</f>
        <v>0</v>
      </c>
      <c r="AJ193" s="0" t="str">
        <f aca="false">IF(M193&lt;&gt;"Sí","",IF(AL193=1,B193,INDEX($AJ:$AJ,AI193)))</f>
        <v/>
      </c>
      <c r="AK193" s="0" t="str">
        <f aca="false">IF(M193&lt;&gt;"Sí","",IF(AL193=1,E193,INDEX($AK:$AK,AI193)+E193))</f>
        <v/>
      </c>
      <c r="AL193" s="0" t="str">
        <f aca="false">IF(M193&lt;&gt;"Sí","",IF(AI193=0,1,IF(INDEX($AN:$AN,AI193)=0,1,IF(B193&gt;=EDATE(INDEX($AJ:$AJ,AI193),6),1,0))))</f>
        <v/>
      </c>
      <c r="AM193" s="0" t="str">
        <f aca="false">IF(D193="","",IFERROR(MATCH(D193,CATÁLOGO!$C$5:$C$39,0),""))</f>
        <v/>
      </c>
      <c r="AN193" s="0" t="str">
        <f aca="false">IF(M193&lt;&gt;"Sí","",IF(AND(ISNUMBER(AE193),AK193&gt;=AE193),0,1))</f>
        <v/>
      </c>
      <c r="AO193" s="0" t="str">
        <f aca="false">IF(OR(E193="",C193="",NOT(ISNUMBER(B193))),"",SUMIFS($E$6:$E$505,$C$6:$C$505,C193,$B$6:$B$505,"&gt;="&amp;DATE(YEAR(B193),MONTH(B193),1),$B$6:$B$505,"&lt;"&amp;DATE(YEAR(B193),MONTH(B193)+1,1)))</f>
        <v/>
      </c>
      <c r="AP193" s="0" t="str">
        <f aca="false">IF(C193="","",IFERROR(INDEX(CLIENTES!$M$6:$M$305,MATCH(C193,CLIENTES!$A$6:$A$305,0)),""))</f>
        <v/>
      </c>
      <c r="AQ193" s="27" t="n">
        <f aca="false">IF(AND(ISNUMBER(AO193),ISNUMBER(AP193)),IF(AND(AP193&gt;0,AO193&gt;AP193),1,0),0)</f>
        <v>0</v>
      </c>
      <c r="AR193" s="27" t="n">
        <f aca="false">IF(NOT(ISNUMBER(B193)),0,IF(B193&lt;MAX($B$5:B192),1,0))</f>
        <v>0</v>
      </c>
      <c r="AS193" s="0" t="str">
        <f aca="false">IF(C193="","",IFERROR(INDEX(CLIENTES!$H$6:$H$305,MATCH(C193,CLIENTES!$A$6:$A$305,0)),""))</f>
        <v/>
      </c>
      <c r="AT193" s="0" t="str">
        <f aca="false">IF(AND(LEFT(P193,5)="AVISO",T193&lt;&gt;"Presentado",ISNUMBER(Q193)),Q193,"")</f>
        <v/>
      </c>
      <c r="AU193" s="27" t="n">
        <f aca="false">IF(AND(D193="XVI - Activos virtuales (PSAV): operación de intercambio/transferencia",M193="Sí",ISNUMBER(AE193)),IF(AK193&gt;=AE193,1,0),0)</f>
        <v>0</v>
      </c>
      <c r="AV193" s="30" t="n">
        <f aca="false">IF(NOT(ISNUMBER(B193)),CONFIG!$B$4,IFERROR(INDEX(CONFIG!$I$5:$I$14,MATCH(IF(MONTH(B193)=1,YEAR(B193)-1,YEAR(B193)),CONFIG!$H$5:$H$14,0)),CONFIG!$B$4))</f>
        <v>117.31</v>
      </c>
      <c r="AW193" s="27" t="n">
        <f aca="false">IF(AND(LEFT(D193,4)="I - ",ISNUMBER(B193),C193&lt;&gt;""),SUMIFS($E$6:$E$505,$C$6:$C$505,C193,$D$6:$D$505,D193,$B$6:$B$505,"&gt;"&amp;(B193-1),$B$6:$B$505,"&lt;="&amp;B193),0)</f>
        <v>0</v>
      </c>
      <c r="AX193" s="0" t="str">
        <f aca="false">IF(E193="","",IF(AD193="Siempre","AVISO (siempre)",IF(AD193="No aplica","Sin Aviso (sólo preparas: Ley 17 XI)",IF(NOT(ISNUMBER(AE193)),"",IF(AA193&lt;&gt;"ACUMULA",IF(E193&gt;=AE193,IF(AND(D193="XVI - Activos virtuales (PSAV): cobro de contraprestación (comisión) por el servicio",COUNTIFS($C$6:$C$505,C193,$B$6:$B$505,"&gt;="&amp;INT(B193),$B$6:$B$505,"&lt;"&amp;(INT(B193)+1),$AU$6:$AU$505,1)&gt;0),"En el Aviso del inciso a) (R 31 Bis)","AVISO"),"—"),IF(M193&lt;&gt;"Sí","—",IF(AK193&gt;=AE193,IF(AK193=E193,"AVISO","AVISO (acumulado)"),"Acumulando")))))))</f>
        <v/>
      </c>
    </row>
    <row r="194" customFormat="false" ht="15" hidden="false" customHeight="false" outlineLevel="0" collapsed="false">
      <c r="A194" s="9" t="str">
        <f aca="false">IF(E194="","",ROW()-5)</f>
        <v/>
      </c>
      <c r="B194" s="20"/>
      <c r="C194" s="21"/>
      <c r="D194" s="21"/>
      <c r="E194" s="22"/>
      <c r="F194" s="22"/>
      <c r="G194" s="21"/>
      <c r="H194" s="21"/>
      <c r="I194" s="9" t="str">
        <f aca="false">IF(C194="","",IFERROR(INDEX(CLIENTES!$B$6:$B$305,MATCH(C194,CLIENTES!$A$6:$A$305,0)),"⚠ ID no registrado"))</f>
        <v/>
      </c>
      <c r="J194" s="9" t="str">
        <f aca="false">IF(C194="","",IFERROR(INDEX(CLIENTES!$Z$6:$Z$305,MATCH(C194,CLIENTES!$A$6:$A$305,0)),""))</f>
        <v/>
      </c>
      <c r="K194" s="9" t="str">
        <f aca="false">IF(E194="","",IF(AB194="Siempre","Sí",IF(ISNUMBER(AC194),IF(E194&gt;=AC194,"Sí",IF(AW194&gt;=AC194,"Sí (serie 24 h)","No")),"")))</f>
        <v/>
      </c>
      <c r="L194" s="9" t="str">
        <f aca="false">IF(E194="","",AA194)</f>
        <v/>
      </c>
      <c r="M194" s="9" t="str">
        <f aca="false">IF(E194="","",IF(AA194&lt;&gt;"ACUMULA","No aplica",IF(LEFT(K194,2)="Sí","Sí","No")))</f>
        <v/>
      </c>
      <c r="N194" s="23" t="str">
        <f aca="false">IF(M194="Sí",AJ194,"")</f>
        <v/>
      </c>
      <c r="O194" s="24" t="str">
        <f aca="false">IF(M194="Sí",AK194,"")</f>
        <v/>
      </c>
      <c r="P194" s="25" t="str">
        <f aca="false">IF(AND(LEFT(D194,6)="XIV - ",LEFT(AX194,5)="AVISO"),"Pedimento (R 16): no va al SPPLD",AX194)</f>
        <v/>
      </c>
      <c r="Q194" s="23" t="str">
        <f aca="false">IF(LEFT(P194,5)="AVISO",IF(ISNUMBER(B194),DATE(YEAR(B194),MONTH(B194)+1,17),"Falta fecha"),"")</f>
        <v/>
      </c>
      <c r="R194" s="9" t="str">
        <f aca="false">IF(OR(F194="",F194=0),"",IF(ISNUMBER(AG194),IF(F194&gt;=AG194,"PROHIBIDO","Dentro del límite"),"No aplica"))</f>
        <v/>
      </c>
      <c r="S194" s="26" t="str">
        <f aca="false">IF(E194="","",MID(IF(AQ194=1," · Excede el perfil declarado","")&amp;IF(H194="Sí"," · Paga un tercero","")&amp;IF(J194="Alto"," · Cliente de riesgo alto: DDR (RCG 23 Ter 3 y 4)","")&amp;IF(AND(AS194&lt;&gt;"",AS194&lt;&gt;"No",AS194&lt;&gt;0)," · PEP","")&amp;IF(R194="PROHIBIDO"," · Efectivo prohibido: no lo recibas (Art. 32)","")&amp;IF(AR194=1," · ⚠ Fecha fuera de orden","")&amp;IF(LEFT(I194,1)="⚠"," · ⚠ Cliente no registrado","")&amp;IF(D194=""," · ⚠ Falta la actividad","")&amp;IF(AND(LEFT(P194,5)="AVISO",W194="")," · Captura la cifra total con IVA para el Aviso","")&amp;IF(AND(ISNUMBER(W194),W194&lt;E194)," · ⚠ La cifra con IVA es menor que el monto sin IVA",""),4,400))</f>
        <v/>
      </c>
      <c r="T194" s="21"/>
      <c r="U194" s="20"/>
      <c r="V194" s="9" t="str">
        <f aca="false">IF(LEFT(P194,5)&lt;&gt;"AVISO","",IF(T194="Presentado",IF(AND(ISNUMBER(U194),ISNUMBER(Q194),U194&gt;Q194),"Presentado tarde","Presentado"),IF(NOT(ISNUMBER(Q194)),"Falta fecha",IF(Q194&lt;CONFIG!$B$6,"VENCIDO","Vence en "&amp;(Q194-CONFIG!$B$6)&amp;" días"))))</f>
        <v/>
      </c>
      <c r="W194" s="22"/>
      <c r="X194" s="21"/>
      <c r="AA194" s="0" t="str">
        <f aca="false">IF(AM194="","",INDEX(CATÁLOGO!$D$5:$D$39,AM194))</f>
        <v/>
      </c>
      <c r="AB194" s="0" t="str">
        <f aca="false">IF(AM194="","",INDEX(CATÁLOGO!$E$5:$E$39,AM194))</f>
        <v/>
      </c>
      <c r="AC194" s="0" t="str">
        <f aca="false">IF(AB194="","",IF(ISNUMBER(AB194),AB194*AV194,AB194))</f>
        <v/>
      </c>
      <c r="AD194" s="0" t="str">
        <f aca="false">IF(AM194="","",INDEX(CATÁLOGO!$F$5:$F$39,AM194))</f>
        <v/>
      </c>
      <c r="AE194" s="0" t="str">
        <f aca="false">IF(AD194="","",IF(ISNUMBER(AD194),AD194*AV194,AD194))</f>
        <v/>
      </c>
      <c r="AF194" s="0" t="str">
        <f aca="false">IF(AM194="","",INDEX(CATÁLOGO!$G$5:$G$39,AM194))</f>
        <v/>
      </c>
      <c r="AG194" s="0" t="str">
        <f aca="false">IF(AF194="","",IF(ISNUMBER(AF194),AF194*AV194,AF194))</f>
        <v/>
      </c>
      <c r="AH194" s="0" t="str">
        <f aca="false">IF(E194="","",C194&amp;"|"&amp;D194)</f>
        <v/>
      </c>
      <c r="AI194" s="27" t="n">
        <f aca="false">IF(M194&lt;&gt;"Sí",0,SUMPRODUCT(MAX(($AH$5:AH193=AH194)*($M$5:M193="Sí")*ROW($AH$5:AH193))))</f>
        <v>0</v>
      </c>
      <c r="AJ194" s="0" t="str">
        <f aca="false">IF(M194&lt;&gt;"Sí","",IF(AL194=1,B194,INDEX($AJ:$AJ,AI194)))</f>
        <v/>
      </c>
      <c r="AK194" s="0" t="str">
        <f aca="false">IF(M194&lt;&gt;"Sí","",IF(AL194=1,E194,INDEX($AK:$AK,AI194)+E194))</f>
        <v/>
      </c>
      <c r="AL194" s="0" t="str">
        <f aca="false">IF(M194&lt;&gt;"Sí","",IF(AI194=0,1,IF(INDEX($AN:$AN,AI194)=0,1,IF(B194&gt;=EDATE(INDEX($AJ:$AJ,AI194),6),1,0))))</f>
        <v/>
      </c>
      <c r="AM194" s="0" t="str">
        <f aca="false">IF(D194="","",IFERROR(MATCH(D194,CATÁLOGO!$C$5:$C$39,0),""))</f>
        <v/>
      </c>
      <c r="AN194" s="0" t="str">
        <f aca="false">IF(M194&lt;&gt;"Sí","",IF(AND(ISNUMBER(AE194),AK194&gt;=AE194),0,1))</f>
        <v/>
      </c>
      <c r="AO194" s="0" t="str">
        <f aca="false">IF(OR(E194="",C194="",NOT(ISNUMBER(B194))),"",SUMIFS($E$6:$E$505,$C$6:$C$505,C194,$B$6:$B$505,"&gt;="&amp;DATE(YEAR(B194),MONTH(B194),1),$B$6:$B$505,"&lt;"&amp;DATE(YEAR(B194),MONTH(B194)+1,1)))</f>
        <v/>
      </c>
      <c r="AP194" s="0" t="str">
        <f aca="false">IF(C194="","",IFERROR(INDEX(CLIENTES!$M$6:$M$305,MATCH(C194,CLIENTES!$A$6:$A$305,0)),""))</f>
        <v/>
      </c>
      <c r="AQ194" s="27" t="n">
        <f aca="false">IF(AND(ISNUMBER(AO194),ISNUMBER(AP194)),IF(AND(AP194&gt;0,AO194&gt;AP194),1,0),0)</f>
        <v>0</v>
      </c>
      <c r="AR194" s="27" t="n">
        <f aca="false">IF(NOT(ISNUMBER(B194)),0,IF(B194&lt;MAX($B$5:B193),1,0))</f>
        <v>0</v>
      </c>
      <c r="AS194" s="0" t="str">
        <f aca="false">IF(C194="","",IFERROR(INDEX(CLIENTES!$H$6:$H$305,MATCH(C194,CLIENTES!$A$6:$A$305,0)),""))</f>
        <v/>
      </c>
      <c r="AT194" s="0" t="str">
        <f aca="false">IF(AND(LEFT(P194,5)="AVISO",T194&lt;&gt;"Presentado",ISNUMBER(Q194)),Q194,"")</f>
        <v/>
      </c>
      <c r="AU194" s="27" t="n">
        <f aca="false">IF(AND(D194="XVI - Activos virtuales (PSAV): operación de intercambio/transferencia",M194="Sí",ISNUMBER(AE194)),IF(AK194&gt;=AE194,1,0),0)</f>
        <v>0</v>
      </c>
      <c r="AV194" s="30" t="n">
        <f aca="false">IF(NOT(ISNUMBER(B194)),CONFIG!$B$4,IFERROR(INDEX(CONFIG!$I$5:$I$14,MATCH(IF(MONTH(B194)=1,YEAR(B194)-1,YEAR(B194)),CONFIG!$H$5:$H$14,0)),CONFIG!$B$4))</f>
        <v>117.31</v>
      </c>
      <c r="AW194" s="27" t="n">
        <f aca="false">IF(AND(LEFT(D194,4)="I - ",ISNUMBER(B194),C194&lt;&gt;""),SUMIFS($E$6:$E$505,$C$6:$C$505,C194,$D$6:$D$505,D194,$B$6:$B$505,"&gt;"&amp;(B194-1),$B$6:$B$505,"&lt;="&amp;B194),0)</f>
        <v>0</v>
      </c>
      <c r="AX194" s="0" t="str">
        <f aca="false">IF(E194="","",IF(AD194="Siempre","AVISO (siempre)",IF(AD194="No aplica","Sin Aviso (sólo preparas: Ley 17 XI)",IF(NOT(ISNUMBER(AE194)),"",IF(AA194&lt;&gt;"ACUMULA",IF(E194&gt;=AE194,IF(AND(D194="XVI - Activos virtuales (PSAV): cobro de contraprestación (comisión) por el servicio",COUNTIFS($C$6:$C$505,C194,$B$6:$B$505,"&gt;="&amp;INT(B194),$B$6:$B$505,"&lt;"&amp;(INT(B194)+1),$AU$6:$AU$505,1)&gt;0),"En el Aviso del inciso a) (R 31 Bis)","AVISO"),"—"),IF(M194&lt;&gt;"Sí","—",IF(AK194&gt;=AE194,IF(AK194=E194,"AVISO","AVISO (acumulado)"),"Acumulando")))))))</f>
        <v/>
      </c>
    </row>
    <row r="195" customFormat="false" ht="15" hidden="false" customHeight="false" outlineLevel="0" collapsed="false">
      <c r="A195" s="9" t="str">
        <f aca="false">IF(E195="","",ROW()-5)</f>
        <v/>
      </c>
      <c r="B195" s="20"/>
      <c r="C195" s="21"/>
      <c r="D195" s="21"/>
      <c r="E195" s="22"/>
      <c r="F195" s="22"/>
      <c r="G195" s="21"/>
      <c r="H195" s="21"/>
      <c r="I195" s="9" t="str">
        <f aca="false">IF(C195="","",IFERROR(INDEX(CLIENTES!$B$6:$B$305,MATCH(C195,CLIENTES!$A$6:$A$305,0)),"⚠ ID no registrado"))</f>
        <v/>
      </c>
      <c r="J195" s="9" t="str">
        <f aca="false">IF(C195="","",IFERROR(INDEX(CLIENTES!$Z$6:$Z$305,MATCH(C195,CLIENTES!$A$6:$A$305,0)),""))</f>
        <v/>
      </c>
      <c r="K195" s="9" t="str">
        <f aca="false">IF(E195="","",IF(AB195="Siempre","Sí",IF(ISNUMBER(AC195),IF(E195&gt;=AC195,"Sí",IF(AW195&gt;=AC195,"Sí (serie 24 h)","No")),"")))</f>
        <v/>
      </c>
      <c r="L195" s="9" t="str">
        <f aca="false">IF(E195="","",AA195)</f>
        <v/>
      </c>
      <c r="M195" s="9" t="str">
        <f aca="false">IF(E195="","",IF(AA195&lt;&gt;"ACUMULA","No aplica",IF(LEFT(K195,2)="Sí","Sí","No")))</f>
        <v/>
      </c>
      <c r="N195" s="23" t="str">
        <f aca="false">IF(M195="Sí",AJ195,"")</f>
        <v/>
      </c>
      <c r="O195" s="24" t="str">
        <f aca="false">IF(M195="Sí",AK195,"")</f>
        <v/>
      </c>
      <c r="P195" s="25" t="str">
        <f aca="false">IF(AND(LEFT(D195,6)="XIV - ",LEFT(AX195,5)="AVISO"),"Pedimento (R 16): no va al SPPLD",AX195)</f>
        <v/>
      </c>
      <c r="Q195" s="23" t="str">
        <f aca="false">IF(LEFT(P195,5)="AVISO",IF(ISNUMBER(B195),DATE(YEAR(B195),MONTH(B195)+1,17),"Falta fecha"),"")</f>
        <v/>
      </c>
      <c r="R195" s="9" t="str">
        <f aca="false">IF(OR(F195="",F195=0),"",IF(ISNUMBER(AG195),IF(F195&gt;=AG195,"PROHIBIDO","Dentro del límite"),"No aplica"))</f>
        <v/>
      </c>
      <c r="S195" s="26" t="str">
        <f aca="false">IF(E195="","",MID(IF(AQ195=1," · Excede el perfil declarado","")&amp;IF(H195="Sí"," · Paga un tercero","")&amp;IF(J195="Alto"," · Cliente de riesgo alto: DDR (RCG 23 Ter 3 y 4)","")&amp;IF(AND(AS195&lt;&gt;"",AS195&lt;&gt;"No",AS195&lt;&gt;0)," · PEP","")&amp;IF(R195="PROHIBIDO"," · Efectivo prohibido: no lo recibas (Art. 32)","")&amp;IF(AR195=1," · ⚠ Fecha fuera de orden","")&amp;IF(LEFT(I195,1)="⚠"," · ⚠ Cliente no registrado","")&amp;IF(D195=""," · ⚠ Falta la actividad","")&amp;IF(AND(LEFT(P195,5)="AVISO",W195="")," · Captura la cifra total con IVA para el Aviso","")&amp;IF(AND(ISNUMBER(W195),W195&lt;E195)," · ⚠ La cifra con IVA es menor que el monto sin IVA",""),4,400))</f>
        <v/>
      </c>
      <c r="T195" s="21"/>
      <c r="U195" s="20"/>
      <c r="V195" s="9" t="str">
        <f aca="false">IF(LEFT(P195,5)&lt;&gt;"AVISO","",IF(T195="Presentado",IF(AND(ISNUMBER(U195),ISNUMBER(Q195),U195&gt;Q195),"Presentado tarde","Presentado"),IF(NOT(ISNUMBER(Q195)),"Falta fecha",IF(Q195&lt;CONFIG!$B$6,"VENCIDO","Vence en "&amp;(Q195-CONFIG!$B$6)&amp;" días"))))</f>
        <v/>
      </c>
      <c r="W195" s="22"/>
      <c r="X195" s="21"/>
      <c r="AA195" s="0" t="str">
        <f aca="false">IF(AM195="","",INDEX(CATÁLOGO!$D$5:$D$39,AM195))</f>
        <v/>
      </c>
      <c r="AB195" s="0" t="str">
        <f aca="false">IF(AM195="","",INDEX(CATÁLOGO!$E$5:$E$39,AM195))</f>
        <v/>
      </c>
      <c r="AC195" s="0" t="str">
        <f aca="false">IF(AB195="","",IF(ISNUMBER(AB195),AB195*AV195,AB195))</f>
        <v/>
      </c>
      <c r="AD195" s="0" t="str">
        <f aca="false">IF(AM195="","",INDEX(CATÁLOGO!$F$5:$F$39,AM195))</f>
        <v/>
      </c>
      <c r="AE195" s="0" t="str">
        <f aca="false">IF(AD195="","",IF(ISNUMBER(AD195),AD195*AV195,AD195))</f>
        <v/>
      </c>
      <c r="AF195" s="0" t="str">
        <f aca="false">IF(AM195="","",INDEX(CATÁLOGO!$G$5:$G$39,AM195))</f>
        <v/>
      </c>
      <c r="AG195" s="0" t="str">
        <f aca="false">IF(AF195="","",IF(ISNUMBER(AF195),AF195*AV195,AF195))</f>
        <v/>
      </c>
      <c r="AH195" s="0" t="str">
        <f aca="false">IF(E195="","",C195&amp;"|"&amp;D195)</f>
        <v/>
      </c>
      <c r="AI195" s="27" t="n">
        <f aca="false">IF(M195&lt;&gt;"Sí",0,SUMPRODUCT(MAX(($AH$5:AH194=AH195)*($M$5:M194="Sí")*ROW($AH$5:AH194))))</f>
        <v>0</v>
      </c>
      <c r="AJ195" s="0" t="str">
        <f aca="false">IF(M195&lt;&gt;"Sí","",IF(AL195=1,B195,INDEX($AJ:$AJ,AI195)))</f>
        <v/>
      </c>
      <c r="AK195" s="0" t="str">
        <f aca="false">IF(M195&lt;&gt;"Sí","",IF(AL195=1,E195,INDEX($AK:$AK,AI195)+E195))</f>
        <v/>
      </c>
      <c r="AL195" s="0" t="str">
        <f aca="false">IF(M195&lt;&gt;"Sí","",IF(AI195=0,1,IF(INDEX($AN:$AN,AI195)=0,1,IF(B195&gt;=EDATE(INDEX($AJ:$AJ,AI195),6),1,0))))</f>
        <v/>
      </c>
      <c r="AM195" s="0" t="str">
        <f aca="false">IF(D195="","",IFERROR(MATCH(D195,CATÁLOGO!$C$5:$C$39,0),""))</f>
        <v/>
      </c>
      <c r="AN195" s="0" t="str">
        <f aca="false">IF(M195&lt;&gt;"Sí","",IF(AND(ISNUMBER(AE195),AK195&gt;=AE195),0,1))</f>
        <v/>
      </c>
      <c r="AO195" s="0" t="str">
        <f aca="false">IF(OR(E195="",C195="",NOT(ISNUMBER(B195))),"",SUMIFS($E$6:$E$505,$C$6:$C$505,C195,$B$6:$B$505,"&gt;="&amp;DATE(YEAR(B195),MONTH(B195),1),$B$6:$B$505,"&lt;"&amp;DATE(YEAR(B195),MONTH(B195)+1,1)))</f>
        <v/>
      </c>
      <c r="AP195" s="0" t="str">
        <f aca="false">IF(C195="","",IFERROR(INDEX(CLIENTES!$M$6:$M$305,MATCH(C195,CLIENTES!$A$6:$A$305,0)),""))</f>
        <v/>
      </c>
      <c r="AQ195" s="27" t="n">
        <f aca="false">IF(AND(ISNUMBER(AO195),ISNUMBER(AP195)),IF(AND(AP195&gt;0,AO195&gt;AP195),1,0),0)</f>
        <v>0</v>
      </c>
      <c r="AR195" s="27" t="n">
        <f aca="false">IF(NOT(ISNUMBER(B195)),0,IF(B195&lt;MAX($B$5:B194),1,0))</f>
        <v>0</v>
      </c>
      <c r="AS195" s="0" t="str">
        <f aca="false">IF(C195="","",IFERROR(INDEX(CLIENTES!$H$6:$H$305,MATCH(C195,CLIENTES!$A$6:$A$305,0)),""))</f>
        <v/>
      </c>
      <c r="AT195" s="0" t="str">
        <f aca="false">IF(AND(LEFT(P195,5)="AVISO",T195&lt;&gt;"Presentado",ISNUMBER(Q195)),Q195,"")</f>
        <v/>
      </c>
      <c r="AU195" s="27" t="n">
        <f aca="false">IF(AND(D195="XVI - Activos virtuales (PSAV): operación de intercambio/transferencia",M195="Sí",ISNUMBER(AE195)),IF(AK195&gt;=AE195,1,0),0)</f>
        <v>0</v>
      </c>
      <c r="AV195" s="30" t="n">
        <f aca="false">IF(NOT(ISNUMBER(B195)),CONFIG!$B$4,IFERROR(INDEX(CONFIG!$I$5:$I$14,MATCH(IF(MONTH(B195)=1,YEAR(B195)-1,YEAR(B195)),CONFIG!$H$5:$H$14,0)),CONFIG!$B$4))</f>
        <v>117.31</v>
      </c>
      <c r="AW195" s="27" t="n">
        <f aca="false">IF(AND(LEFT(D195,4)="I - ",ISNUMBER(B195),C195&lt;&gt;""),SUMIFS($E$6:$E$505,$C$6:$C$505,C195,$D$6:$D$505,D195,$B$6:$B$505,"&gt;"&amp;(B195-1),$B$6:$B$505,"&lt;="&amp;B195),0)</f>
        <v>0</v>
      </c>
      <c r="AX195" s="0" t="str">
        <f aca="false">IF(E195="","",IF(AD195="Siempre","AVISO (siempre)",IF(AD195="No aplica","Sin Aviso (sólo preparas: Ley 17 XI)",IF(NOT(ISNUMBER(AE195)),"",IF(AA195&lt;&gt;"ACUMULA",IF(E195&gt;=AE195,IF(AND(D195="XVI - Activos virtuales (PSAV): cobro de contraprestación (comisión) por el servicio",COUNTIFS($C$6:$C$505,C195,$B$6:$B$505,"&gt;="&amp;INT(B195),$B$6:$B$505,"&lt;"&amp;(INT(B195)+1),$AU$6:$AU$505,1)&gt;0),"En el Aviso del inciso a) (R 31 Bis)","AVISO"),"—"),IF(M195&lt;&gt;"Sí","—",IF(AK195&gt;=AE195,IF(AK195=E195,"AVISO","AVISO (acumulado)"),"Acumulando")))))))</f>
        <v/>
      </c>
    </row>
    <row r="196" customFormat="false" ht="15" hidden="false" customHeight="false" outlineLevel="0" collapsed="false">
      <c r="A196" s="9" t="str">
        <f aca="false">IF(E196="","",ROW()-5)</f>
        <v/>
      </c>
      <c r="B196" s="20"/>
      <c r="C196" s="21"/>
      <c r="D196" s="21"/>
      <c r="E196" s="22"/>
      <c r="F196" s="22"/>
      <c r="G196" s="21"/>
      <c r="H196" s="21"/>
      <c r="I196" s="9" t="str">
        <f aca="false">IF(C196="","",IFERROR(INDEX(CLIENTES!$B$6:$B$305,MATCH(C196,CLIENTES!$A$6:$A$305,0)),"⚠ ID no registrado"))</f>
        <v/>
      </c>
      <c r="J196" s="9" t="str">
        <f aca="false">IF(C196="","",IFERROR(INDEX(CLIENTES!$Z$6:$Z$305,MATCH(C196,CLIENTES!$A$6:$A$305,0)),""))</f>
        <v/>
      </c>
      <c r="K196" s="9" t="str">
        <f aca="false">IF(E196="","",IF(AB196="Siempre","Sí",IF(ISNUMBER(AC196),IF(E196&gt;=AC196,"Sí",IF(AW196&gt;=AC196,"Sí (serie 24 h)","No")),"")))</f>
        <v/>
      </c>
      <c r="L196" s="9" t="str">
        <f aca="false">IF(E196="","",AA196)</f>
        <v/>
      </c>
      <c r="M196" s="9" t="str">
        <f aca="false">IF(E196="","",IF(AA196&lt;&gt;"ACUMULA","No aplica",IF(LEFT(K196,2)="Sí","Sí","No")))</f>
        <v/>
      </c>
      <c r="N196" s="23" t="str">
        <f aca="false">IF(M196="Sí",AJ196,"")</f>
        <v/>
      </c>
      <c r="O196" s="24" t="str">
        <f aca="false">IF(M196="Sí",AK196,"")</f>
        <v/>
      </c>
      <c r="P196" s="25" t="str">
        <f aca="false">IF(AND(LEFT(D196,6)="XIV - ",LEFT(AX196,5)="AVISO"),"Pedimento (R 16): no va al SPPLD",AX196)</f>
        <v/>
      </c>
      <c r="Q196" s="23" t="str">
        <f aca="false">IF(LEFT(P196,5)="AVISO",IF(ISNUMBER(B196),DATE(YEAR(B196),MONTH(B196)+1,17),"Falta fecha"),"")</f>
        <v/>
      </c>
      <c r="R196" s="9" t="str">
        <f aca="false">IF(OR(F196="",F196=0),"",IF(ISNUMBER(AG196),IF(F196&gt;=AG196,"PROHIBIDO","Dentro del límite"),"No aplica"))</f>
        <v/>
      </c>
      <c r="S196" s="26" t="str">
        <f aca="false">IF(E196="","",MID(IF(AQ196=1," · Excede el perfil declarado","")&amp;IF(H196="Sí"," · Paga un tercero","")&amp;IF(J196="Alto"," · Cliente de riesgo alto: DDR (RCG 23 Ter 3 y 4)","")&amp;IF(AND(AS196&lt;&gt;"",AS196&lt;&gt;"No",AS196&lt;&gt;0)," · PEP","")&amp;IF(R196="PROHIBIDO"," · Efectivo prohibido: no lo recibas (Art. 32)","")&amp;IF(AR196=1," · ⚠ Fecha fuera de orden","")&amp;IF(LEFT(I196,1)="⚠"," · ⚠ Cliente no registrado","")&amp;IF(D196=""," · ⚠ Falta la actividad","")&amp;IF(AND(LEFT(P196,5)="AVISO",W196="")," · Captura la cifra total con IVA para el Aviso","")&amp;IF(AND(ISNUMBER(W196),W196&lt;E196)," · ⚠ La cifra con IVA es menor que el monto sin IVA",""),4,400))</f>
        <v/>
      </c>
      <c r="T196" s="21"/>
      <c r="U196" s="20"/>
      <c r="V196" s="9" t="str">
        <f aca="false">IF(LEFT(P196,5)&lt;&gt;"AVISO","",IF(T196="Presentado",IF(AND(ISNUMBER(U196),ISNUMBER(Q196),U196&gt;Q196),"Presentado tarde","Presentado"),IF(NOT(ISNUMBER(Q196)),"Falta fecha",IF(Q196&lt;CONFIG!$B$6,"VENCIDO","Vence en "&amp;(Q196-CONFIG!$B$6)&amp;" días"))))</f>
        <v/>
      </c>
      <c r="W196" s="22"/>
      <c r="X196" s="21"/>
      <c r="AA196" s="0" t="str">
        <f aca="false">IF(AM196="","",INDEX(CATÁLOGO!$D$5:$D$39,AM196))</f>
        <v/>
      </c>
      <c r="AB196" s="0" t="str">
        <f aca="false">IF(AM196="","",INDEX(CATÁLOGO!$E$5:$E$39,AM196))</f>
        <v/>
      </c>
      <c r="AC196" s="0" t="str">
        <f aca="false">IF(AB196="","",IF(ISNUMBER(AB196),AB196*AV196,AB196))</f>
        <v/>
      </c>
      <c r="AD196" s="0" t="str">
        <f aca="false">IF(AM196="","",INDEX(CATÁLOGO!$F$5:$F$39,AM196))</f>
        <v/>
      </c>
      <c r="AE196" s="0" t="str">
        <f aca="false">IF(AD196="","",IF(ISNUMBER(AD196),AD196*AV196,AD196))</f>
        <v/>
      </c>
      <c r="AF196" s="0" t="str">
        <f aca="false">IF(AM196="","",INDEX(CATÁLOGO!$G$5:$G$39,AM196))</f>
        <v/>
      </c>
      <c r="AG196" s="0" t="str">
        <f aca="false">IF(AF196="","",IF(ISNUMBER(AF196),AF196*AV196,AF196))</f>
        <v/>
      </c>
      <c r="AH196" s="0" t="str">
        <f aca="false">IF(E196="","",C196&amp;"|"&amp;D196)</f>
        <v/>
      </c>
      <c r="AI196" s="27" t="n">
        <f aca="false">IF(M196&lt;&gt;"Sí",0,SUMPRODUCT(MAX(($AH$5:AH195=AH196)*($M$5:M195="Sí")*ROW($AH$5:AH195))))</f>
        <v>0</v>
      </c>
      <c r="AJ196" s="0" t="str">
        <f aca="false">IF(M196&lt;&gt;"Sí","",IF(AL196=1,B196,INDEX($AJ:$AJ,AI196)))</f>
        <v/>
      </c>
      <c r="AK196" s="0" t="str">
        <f aca="false">IF(M196&lt;&gt;"Sí","",IF(AL196=1,E196,INDEX($AK:$AK,AI196)+E196))</f>
        <v/>
      </c>
      <c r="AL196" s="0" t="str">
        <f aca="false">IF(M196&lt;&gt;"Sí","",IF(AI196=0,1,IF(INDEX($AN:$AN,AI196)=0,1,IF(B196&gt;=EDATE(INDEX($AJ:$AJ,AI196),6),1,0))))</f>
        <v/>
      </c>
      <c r="AM196" s="0" t="str">
        <f aca="false">IF(D196="","",IFERROR(MATCH(D196,CATÁLOGO!$C$5:$C$39,0),""))</f>
        <v/>
      </c>
      <c r="AN196" s="0" t="str">
        <f aca="false">IF(M196&lt;&gt;"Sí","",IF(AND(ISNUMBER(AE196),AK196&gt;=AE196),0,1))</f>
        <v/>
      </c>
      <c r="AO196" s="0" t="str">
        <f aca="false">IF(OR(E196="",C196="",NOT(ISNUMBER(B196))),"",SUMIFS($E$6:$E$505,$C$6:$C$505,C196,$B$6:$B$505,"&gt;="&amp;DATE(YEAR(B196),MONTH(B196),1),$B$6:$B$505,"&lt;"&amp;DATE(YEAR(B196),MONTH(B196)+1,1)))</f>
        <v/>
      </c>
      <c r="AP196" s="0" t="str">
        <f aca="false">IF(C196="","",IFERROR(INDEX(CLIENTES!$M$6:$M$305,MATCH(C196,CLIENTES!$A$6:$A$305,0)),""))</f>
        <v/>
      </c>
      <c r="AQ196" s="27" t="n">
        <f aca="false">IF(AND(ISNUMBER(AO196),ISNUMBER(AP196)),IF(AND(AP196&gt;0,AO196&gt;AP196),1,0),0)</f>
        <v>0</v>
      </c>
      <c r="AR196" s="27" t="n">
        <f aca="false">IF(NOT(ISNUMBER(B196)),0,IF(B196&lt;MAX($B$5:B195),1,0))</f>
        <v>0</v>
      </c>
      <c r="AS196" s="0" t="str">
        <f aca="false">IF(C196="","",IFERROR(INDEX(CLIENTES!$H$6:$H$305,MATCH(C196,CLIENTES!$A$6:$A$305,0)),""))</f>
        <v/>
      </c>
      <c r="AT196" s="0" t="str">
        <f aca="false">IF(AND(LEFT(P196,5)="AVISO",T196&lt;&gt;"Presentado",ISNUMBER(Q196)),Q196,"")</f>
        <v/>
      </c>
      <c r="AU196" s="27" t="n">
        <f aca="false">IF(AND(D196="XVI - Activos virtuales (PSAV): operación de intercambio/transferencia",M196="Sí",ISNUMBER(AE196)),IF(AK196&gt;=AE196,1,0),0)</f>
        <v>0</v>
      </c>
      <c r="AV196" s="30" t="n">
        <f aca="false">IF(NOT(ISNUMBER(B196)),CONFIG!$B$4,IFERROR(INDEX(CONFIG!$I$5:$I$14,MATCH(IF(MONTH(B196)=1,YEAR(B196)-1,YEAR(B196)),CONFIG!$H$5:$H$14,0)),CONFIG!$B$4))</f>
        <v>117.31</v>
      </c>
      <c r="AW196" s="27" t="n">
        <f aca="false">IF(AND(LEFT(D196,4)="I - ",ISNUMBER(B196),C196&lt;&gt;""),SUMIFS($E$6:$E$505,$C$6:$C$505,C196,$D$6:$D$505,D196,$B$6:$B$505,"&gt;"&amp;(B196-1),$B$6:$B$505,"&lt;="&amp;B196),0)</f>
        <v>0</v>
      </c>
      <c r="AX196" s="0" t="str">
        <f aca="false">IF(E196="","",IF(AD196="Siempre","AVISO (siempre)",IF(AD196="No aplica","Sin Aviso (sólo preparas: Ley 17 XI)",IF(NOT(ISNUMBER(AE196)),"",IF(AA196&lt;&gt;"ACUMULA",IF(E196&gt;=AE196,IF(AND(D196="XVI - Activos virtuales (PSAV): cobro de contraprestación (comisión) por el servicio",COUNTIFS($C$6:$C$505,C196,$B$6:$B$505,"&gt;="&amp;INT(B196),$B$6:$B$505,"&lt;"&amp;(INT(B196)+1),$AU$6:$AU$505,1)&gt;0),"En el Aviso del inciso a) (R 31 Bis)","AVISO"),"—"),IF(M196&lt;&gt;"Sí","—",IF(AK196&gt;=AE196,IF(AK196=E196,"AVISO","AVISO (acumulado)"),"Acumulando")))))))</f>
        <v/>
      </c>
    </row>
    <row r="197" customFormat="false" ht="15" hidden="false" customHeight="false" outlineLevel="0" collapsed="false">
      <c r="A197" s="9" t="str">
        <f aca="false">IF(E197="","",ROW()-5)</f>
        <v/>
      </c>
      <c r="B197" s="20"/>
      <c r="C197" s="21"/>
      <c r="D197" s="21"/>
      <c r="E197" s="22"/>
      <c r="F197" s="22"/>
      <c r="G197" s="21"/>
      <c r="H197" s="21"/>
      <c r="I197" s="9" t="str">
        <f aca="false">IF(C197="","",IFERROR(INDEX(CLIENTES!$B$6:$B$305,MATCH(C197,CLIENTES!$A$6:$A$305,0)),"⚠ ID no registrado"))</f>
        <v/>
      </c>
      <c r="J197" s="9" t="str">
        <f aca="false">IF(C197="","",IFERROR(INDEX(CLIENTES!$Z$6:$Z$305,MATCH(C197,CLIENTES!$A$6:$A$305,0)),""))</f>
        <v/>
      </c>
      <c r="K197" s="9" t="str">
        <f aca="false">IF(E197="","",IF(AB197="Siempre","Sí",IF(ISNUMBER(AC197),IF(E197&gt;=AC197,"Sí",IF(AW197&gt;=AC197,"Sí (serie 24 h)","No")),"")))</f>
        <v/>
      </c>
      <c r="L197" s="9" t="str">
        <f aca="false">IF(E197="","",AA197)</f>
        <v/>
      </c>
      <c r="M197" s="9" t="str">
        <f aca="false">IF(E197="","",IF(AA197&lt;&gt;"ACUMULA","No aplica",IF(LEFT(K197,2)="Sí","Sí","No")))</f>
        <v/>
      </c>
      <c r="N197" s="23" t="str">
        <f aca="false">IF(M197="Sí",AJ197,"")</f>
        <v/>
      </c>
      <c r="O197" s="24" t="str">
        <f aca="false">IF(M197="Sí",AK197,"")</f>
        <v/>
      </c>
      <c r="P197" s="25" t="str">
        <f aca="false">IF(AND(LEFT(D197,6)="XIV - ",LEFT(AX197,5)="AVISO"),"Pedimento (R 16): no va al SPPLD",AX197)</f>
        <v/>
      </c>
      <c r="Q197" s="23" t="str">
        <f aca="false">IF(LEFT(P197,5)="AVISO",IF(ISNUMBER(B197),DATE(YEAR(B197),MONTH(B197)+1,17),"Falta fecha"),"")</f>
        <v/>
      </c>
      <c r="R197" s="9" t="str">
        <f aca="false">IF(OR(F197="",F197=0),"",IF(ISNUMBER(AG197),IF(F197&gt;=AG197,"PROHIBIDO","Dentro del límite"),"No aplica"))</f>
        <v/>
      </c>
      <c r="S197" s="26" t="str">
        <f aca="false">IF(E197="","",MID(IF(AQ197=1," · Excede el perfil declarado","")&amp;IF(H197="Sí"," · Paga un tercero","")&amp;IF(J197="Alto"," · Cliente de riesgo alto: DDR (RCG 23 Ter 3 y 4)","")&amp;IF(AND(AS197&lt;&gt;"",AS197&lt;&gt;"No",AS197&lt;&gt;0)," · PEP","")&amp;IF(R197="PROHIBIDO"," · Efectivo prohibido: no lo recibas (Art. 32)","")&amp;IF(AR197=1," · ⚠ Fecha fuera de orden","")&amp;IF(LEFT(I197,1)="⚠"," · ⚠ Cliente no registrado","")&amp;IF(D197=""," · ⚠ Falta la actividad","")&amp;IF(AND(LEFT(P197,5)="AVISO",W197="")," · Captura la cifra total con IVA para el Aviso","")&amp;IF(AND(ISNUMBER(W197),W197&lt;E197)," · ⚠ La cifra con IVA es menor que el monto sin IVA",""),4,400))</f>
        <v/>
      </c>
      <c r="T197" s="21"/>
      <c r="U197" s="20"/>
      <c r="V197" s="9" t="str">
        <f aca="false">IF(LEFT(P197,5)&lt;&gt;"AVISO","",IF(T197="Presentado",IF(AND(ISNUMBER(U197),ISNUMBER(Q197),U197&gt;Q197),"Presentado tarde","Presentado"),IF(NOT(ISNUMBER(Q197)),"Falta fecha",IF(Q197&lt;CONFIG!$B$6,"VENCIDO","Vence en "&amp;(Q197-CONFIG!$B$6)&amp;" días"))))</f>
        <v/>
      </c>
      <c r="W197" s="22"/>
      <c r="X197" s="21"/>
      <c r="AA197" s="0" t="str">
        <f aca="false">IF(AM197="","",INDEX(CATÁLOGO!$D$5:$D$39,AM197))</f>
        <v/>
      </c>
      <c r="AB197" s="0" t="str">
        <f aca="false">IF(AM197="","",INDEX(CATÁLOGO!$E$5:$E$39,AM197))</f>
        <v/>
      </c>
      <c r="AC197" s="0" t="str">
        <f aca="false">IF(AB197="","",IF(ISNUMBER(AB197),AB197*AV197,AB197))</f>
        <v/>
      </c>
      <c r="AD197" s="0" t="str">
        <f aca="false">IF(AM197="","",INDEX(CATÁLOGO!$F$5:$F$39,AM197))</f>
        <v/>
      </c>
      <c r="AE197" s="0" t="str">
        <f aca="false">IF(AD197="","",IF(ISNUMBER(AD197),AD197*AV197,AD197))</f>
        <v/>
      </c>
      <c r="AF197" s="0" t="str">
        <f aca="false">IF(AM197="","",INDEX(CATÁLOGO!$G$5:$G$39,AM197))</f>
        <v/>
      </c>
      <c r="AG197" s="0" t="str">
        <f aca="false">IF(AF197="","",IF(ISNUMBER(AF197),AF197*AV197,AF197))</f>
        <v/>
      </c>
      <c r="AH197" s="0" t="str">
        <f aca="false">IF(E197="","",C197&amp;"|"&amp;D197)</f>
        <v/>
      </c>
      <c r="AI197" s="27" t="n">
        <f aca="false">IF(M197&lt;&gt;"Sí",0,SUMPRODUCT(MAX(($AH$5:AH196=AH197)*($M$5:M196="Sí")*ROW($AH$5:AH196))))</f>
        <v>0</v>
      </c>
      <c r="AJ197" s="0" t="str">
        <f aca="false">IF(M197&lt;&gt;"Sí","",IF(AL197=1,B197,INDEX($AJ:$AJ,AI197)))</f>
        <v/>
      </c>
      <c r="AK197" s="0" t="str">
        <f aca="false">IF(M197&lt;&gt;"Sí","",IF(AL197=1,E197,INDEX($AK:$AK,AI197)+E197))</f>
        <v/>
      </c>
      <c r="AL197" s="0" t="str">
        <f aca="false">IF(M197&lt;&gt;"Sí","",IF(AI197=0,1,IF(INDEX($AN:$AN,AI197)=0,1,IF(B197&gt;=EDATE(INDEX($AJ:$AJ,AI197),6),1,0))))</f>
        <v/>
      </c>
      <c r="AM197" s="0" t="str">
        <f aca="false">IF(D197="","",IFERROR(MATCH(D197,CATÁLOGO!$C$5:$C$39,0),""))</f>
        <v/>
      </c>
      <c r="AN197" s="0" t="str">
        <f aca="false">IF(M197&lt;&gt;"Sí","",IF(AND(ISNUMBER(AE197),AK197&gt;=AE197),0,1))</f>
        <v/>
      </c>
      <c r="AO197" s="0" t="str">
        <f aca="false">IF(OR(E197="",C197="",NOT(ISNUMBER(B197))),"",SUMIFS($E$6:$E$505,$C$6:$C$505,C197,$B$6:$B$505,"&gt;="&amp;DATE(YEAR(B197),MONTH(B197),1),$B$6:$B$505,"&lt;"&amp;DATE(YEAR(B197),MONTH(B197)+1,1)))</f>
        <v/>
      </c>
      <c r="AP197" s="0" t="str">
        <f aca="false">IF(C197="","",IFERROR(INDEX(CLIENTES!$M$6:$M$305,MATCH(C197,CLIENTES!$A$6:$A$305,0)),""))</f>
        <v/>
      </c>
      <c r="AQ197" s="27" t="n">
        <f aca="false">IF(AND(ISNUMBER(AO197),ISNUMBER(AP197)),IF(AND(AP197&gt;0,AO197&gt;AP197),1,0),0)</f>
        <v>0</v>
      </c>
      <c r="AR197" s="27" t="n">
        <f aca="false">IF(NOT(ISNUMBER(B197)),0,IF(B197&lt;MAX($B$5:B196),1,0))</f>
        <v>0</v>
      </c>
      <c r="AS197" s="0" t="str">
        <f aca="false">IF(C197="","",IFERROR(INDEX(CLIENTES!$H$6:$H$305,MATCH(C197,CLIENTES!$A$6:$A$305,0)),""))</f>
        <v/>
      </c>
      <c r="AT197" s="0" t="str">
        <f aca="false">IF(AND(LEFT(P197,5)="AVISO",T197&lt;&gt;"Presentado",ISNUMBER(Q197)),Q197,"")</f>
        <v/>
      </c>
      <c r="AU197" s="27" t="n">
        <f aca="false">IF(AND(D197="XVI - Activos virtuales (PSAV): operación de intercambio/transferencia",M197="Sí",ISNUMBER(AE197)),IF(AK197&gt;=AE197,1,0),0)</f>
        <v>0</v>
      </c>
      <c r="AV197" s="30" t="n">
        <f aca="false">IF(NOT(ISNUMBER(B197)),CONFIG!$B$4,IFERROR(INDEX(CONFIG!$I$5:$I$14,MATCH(IF(MONTH(B197)=1,YEAR(B197)-1,YEAR(B197)),CONFIG!$H$5:$H$14,0)),CONFIG!$B$4))</f>
        <v>117.31</v>
      </c>
      <c r="AW197" s="27" t="n">
        <f aca="false">IF(AND(LEFT(D197,4)="I - ",ISNUMBER(B197),C197&lt;&gt;""),SUMIFS($E$6:$E$505,$C$6:$C$505,C197,$D$6:$D$505,D197,$B$6:$B$505,"&gt;"&amp;(B197-1),$B$6:$B$505,"&lt;="&amp;B197),0)</f>
        <v>0</v>
      </c>
      <c r="AX197" s="0" t="str">
        <f aca="false">IF(E197="","",IF(AD197="Siempre","AVISO (siempre)",IF(AD197="No aplica","Sin Aviso (sólo preparas: Ley 17 XI)",IF(NOT(ISNUMBER(AE197)),"",IF(AA197&lt;&gt;"ACUMULA",IF(E197&gt;=AE197,IF(AND(D197="XVI - Activos virtuales (PSAV): cobro de contraprestación (comisión) por el servicio",COUNTIFS($C$6:$C$505,C197,$B$6:$B$505,"&gt;="&amp;INT(B197),$B$6:$B$505,"&lt;"&amp;(INT(B197)+1),$AU$6:$AU$505,1)&gt;0),"En el Aviso del inciso a) (R 31 Bis)","AVISO"),"—"),IF(M197&lt;&gt;"Sí","—",IF(AK197&gt;=AE197,IF(AK197=E197,"AVISO","AVISO (acumulado)"),"Acumulando")))))))</f>
        <v/>
      </c>
    </row>
    <row r="198" customFormat="false" ht="15" hidden="false" customHeight="false" outlineLevel="0" collapsed="false">
      <c r="A198" s="9" t="str">
        <f aca="false">IF(E198="","",ROW()-5)</f>
        <v/>
      </c>
      <c r="B198" s="20"/>
      <c r="C198" s="21"/>
      <c r="D198" s="21"/>
      <c r="E198" s="22"/>
      <c r="F198" s="22"/>
      <c r="G198" s="21"/>
      <c r="H198" s="21"/>
      <c r="I198" s="9" t="str">
        <f aca="false">IF(C198="","",IFERROR(INDEX(CLIENTES!$B$6:$B$305,MATCH(C198,CLIENTES!$A$6:$A$305,0)),"⚠ ID no registrado"))</f>
        <v/>
      </c>
      <c r="J198" s="9" t="str">
        <f aca="false">IF(C198="","",IFERROR(INDEX(CLIENTES!$Z$6:$Z$305,MATCH(C198,CLIENTES!$A$6:$A$305,0)),""))</f>
        <v/>
      </c>
      <c r="K198" s="9" t="str">
        <f aca="false">IF(E198="","",IF(AB198="Siempre","Sí",IF(ISNUMBER(AC198),IF(E198&gt;=AC198,"Sí",IF(AW198&gt;=AC198,"Sí (serie 24 h)","No")),"")))</f>
        <v/>
      </c>
      <c r="L198" s="9" t="str">
        <f aca="false">IF(E198="","",AA198)</f>
        <v/>
      </c>
      <c r="M198" s="9" t="str">
        <f aca="false">IF(E198="","",IF(AA198&lt;&gt;"ACUMULA","No aplica",IF(LEFT(K198,2)="Sí","Sí","No")))</f>
        <v/>
      </c>
      <c r="N198" s="23" t="str">
        <f aca="false">IF(M198="Sí",AJ198,"")</f>
        <v/>
      </c>
      <c r="O198" s="24" t="str">
        <f aca="false">IF(M198="Sí",AK198,"")</f>
        <v/>
      </c>
      <c r="P198" s="25" t="str">
        <f aca="false">IF(AND(LEFT(D198,6)="XIV - ",LEFT(AX198,5)="AVISO"),"Pedimento (R 16): no va al SPPLD",AX198)</f>
        <v/>
      </c>
      <c r="Q198" s="23" t="str">
        <f aca="false">IF(LEFT(P198,5)="AVISO",IF(ISNUMBER(B198),DATE(YEAR(B198),MONTH(B198)+1,17),"Falta fecha"),"")</f>
        <v/>
      </c>
      <c r="R198" s="9" t="str">
        <f aca="false">IF(OR(F198="",F198=0),"",IF(ISNUMBER(AG198),IF(F198&gt;=AG198,"PROHIBIDO","Dentro del límite"),"No aplica"))</f>
        <v/>
      </c>
      <c r="S198" s="26" t="str">
        <f aca="false">IF(E198="","",MID(IF(AQ198=1," · Excede el perfil declarado","")&amp;IF(H198="Sí"," · Paga un tercero","")&amp;IF(J198="Alto"," · Cliente de riesgo alto: DDR (RCG 23 Ter 3 y 4)","")&amp;IF(AND(AS198&lt;&gt;"",AS198&lt;&gt;"No",AS198&lt;&gt;0)," · PEP","")&amp;IF(R198="PROHIBIDO"," · Efectivo prohibido: no lo recibas (Art. 32)","")&amp;IF(AR198=1," · ⚠ Fecha fuera de orden","")&amp;IF(LEFT(I198,1)="⚠"," · ⚠ Cliente no registrado","")&amp;IF(D198=""," · ⚠ Falta la actividad","")&amp;IF(AND(LEFT(P198,5)="AVISO",W198="")," · Captura la cifra total con IVA para el Aviso","")&amp;IF(AND(ISNUMBER(W198),W198&lt;E198)," · ⚠ La cifra con IVA es menor que el monto sin IVA",""),4,400))</f>
        <v/>
      </c>
      <c r="T198" s="21"/>
      <c r="U198" s="20"/>
      <c r="V198" s="9" t="str">
        <f aca="false">IF(LEFT(P198,5)&lt;&gt;"AVISO","",IF(T198="Presentado",IF(AND(ISNUMBER(U198),ISNUMBER(Q198),U198&gt;Q198),"Presentado tarde","Presentado"),IF(NOT(ISNUMBER(Q198)),"Falta fecha",IF(Q198&lt;CONFIG!$B$6,"VENCIDO","Vence en "&amp;(Q198-CONFIG!$B$6)&amp;" días"))))</f>
        <v/>
      </c>
      <c r="W198" s="22"/>
      <c r="X198" s="21"/>
      <c r="AA198" s="0" t="str">
        <f aca="false">IF(AM198="","",INDEX(CATÁLOGO!$D$5:$D$39,AM198))</f>
        <v/>
      </c>
      <c r="AB198" s="0" t="str">
        <f aca="false">IF(AM198="","",INDEX(CATÁLOGO!$E$5:$E$39,AM198))</f>
        <v/>
      </c>
      <c r="AC198" s="0" t="str">
        <f aca="false">IF(AB198="","",IF(ISNUMBER(AB198),AB198*AV198,AB198))</f>
        <v/>
      </c>
      <c r="AD198" s="0" t="str">
        <f aca="false">IF(AM198="","",INDEX(CATÁLOGO!$F$5:$F$39,AM198))</f>
        <v/>
      </c>
      <c r="AE198" s="0" t="str">
        <f aca="false">IF(AD198="","",IF(ISNUMBER(AD198),AD198*AV198,AD198))</f>
        <v/>
      </c>
      <c r="AF198" s="0" t="str">
        <f aca="false">IF(AM198="","",INDEX(CATÁLOGO!$G$5:$G$39,AM198))</f>
        <v/>
      </c>
      <c r="AG198" s="0" t="str">
        <f aca="false">IF(AF198="","",IF(ISNUMBER(AF198),AF198*AV198,AF198))</f>
        <v/>
      </c>
      <c r="AH198" s="0" t="str">
        <f aca="false">IF(E198="","",C198&amp;"|"&amp;D198)</f>
        <v/>
      </c>
      <c r="AI198" s="27" t="n">
        <f aca="false">IF(M198&lt;&gt;"Sí",0,SUMPRODUCT(MAX(($AH$5:AH197=AH198)*($M$5:M197="Sí")*ROW($AH$5:AH197))))</f>
        <v>0</v>
      </c>
      <c r="AJ198" s="0" t="str">
        <f aca="false">IF(M198&lt;&gt;"Sí","",IF(AL198=1,B198,INDEX($AJ:$AJ,AI198)))</f>
        <v/>
      </c>
      <c r="AK198" s="0" t="str">
        <f aca="false">IF(M198&lt;&gt;"Sí","",IF(AL198=1,E198,INDEX($AK:$AK,AI198)+E198))</f>
        <v/>
      </c>
      <c r="AL198" s="0" t="str">
        <f aca="false">IF(M198&lt;&gt;"Sí","",IF(AI198=0,1,IF(INDEX($AN:$AN,AI198)=0,1,IF(B198&gt;=EDATE(INDEX($AJ:$AJ,AI198),6),1,0))))</f>
        <v/>
      </c>
      <c r="AM198" s="0" t="str">
        <f aca="false">IF(D198="","",IFERROR(MATCH(D198,CATÁLOGO!$C$5:$C$39,0),""))</f>
        <v/>
      </c>
      <c r="AN198" s="0" t="str">
        <f aca="false">IF(M198&lt;&gt;"Sí","",IF(AND(ISNUMBER(AE198),AK198&gt;=AE198),0,1))</f>
        <v/>
      </c>
      <c r="AO198" s="0" t="str">
        <f aca="false">IF(OR(E198="",C198="",NOT(ISNUMBER(B198))),"",SUMIFS($E$6:$E$505,$C$6:$C$505,C198,$B$6:$B$505,"&gt;="&amp;DATE(YEAR(B198),MONTH(B198),1),$B$6:$B$505,"&lt;"&amp;DATE(YEAR(B198),MONTH(B198)+1,1)))</f>
        <v/>
      </c>
      <c r="AP198" s="0" t="str">
        <f aca="false">IF(C198="","",IFERROR(INDEX(CLIENTES!$M$6:$M$305,MATCH(C198,CLIENTES!$A$6:$A$305,0)),""))</f>
        <v/>
      </c>
      <c r="AQ198" s="27" t="n">
        <f aca="false">IF(AND(ISNUMBER(AO198),ISNUMBER(AP198)),IF(AND(AP198&gt;0,AO198&gt;AP198),1,0),0)</f>
        <v>0</v>
      </c>
      <c r="AR198" s="27" t="n">
        <f aca="false">IF(NOT(ISNUMBER(B198)),0,IF(B198&lt;MAX($B$5:B197),1,0))</f>
        <v>0</v>
      </c>
      <c r="AS198" s="0" t="str">
        <f aca="false">IF(C198="","",IFERROR(INDEX(CLIENTES!$H$6:$H$305,MATCH(C198,CLIENTES!$A$6:$A$305,0)),""))</f>
        <v/>
      </c>
      <c r="AT198" s="0" t="str">
        <f aca="false">IF(AND(LEFT(P198,5)="AVISO",T198&lt;&gt;"Presentado",ISNUMBER(Q198)),Q198,"")</f>
        <v/>
      </c>
      <c r="AU198" s="27" t="n">
        <f aca="false">IF(AND(D198="XVI - Activos virtuales (PSAV): operación de intercambio/transferencia",M198="Sí",ISNUMBER(AE198)),IF(AK198&gt;=AE198,1,0),0)</f>
        <v>0</v>
      </c>
      <c r="AV198" s="30" t="n">
        <f aca="false">IF(NOT(ISNUMBER(B198)),CONFIG!$B$4,IFERROR(INDEX(CONFIG!$I$5:$I$14,MATCH(IF(MONTH(B198)=1,YEAR(B198)-1,YEAR(B198)),CONFIG!$H$5:$H$14,0)),CONFIG!$B$4))</f>
        <v>117.31</v>
      </c>
      <c r="AW198" s="27" t="n">
        <f aca="false">IF(AND(LEFT(D198,4)="I - ",ISNUMBER(B198),C198&lt;&gt;""),SUMIFS($E$6:$E$505,$C$6:$C$505,C198,$D$6:$D$505,D198,$B$6:$B$505,"&gt;"&amp;(B198-1),$B$6:$B$505,"&lt;="&amp;B198),0)</f>
        <v>0</v>
      </c>
      <c r="AX198" s="0" t="str">
        <f aca="false">IF(E198="","",IF(AD198="Siempre","AVISO (siempre)",IF(AD198="No aplica","Sin Aviso (sólo preparas: Ley 17 XI)",IF(NOT(ISNUMBER(AE198)),"",IF(AA198&lt;&gt;"ACUMULA",IF(E198&gt;=AE198,IF(AND(D198="XVI - Activos virtuales (PSAV): cobro de contraprestación (comisión) por el servicio",COUNTIFS($C$6:$C$505,C198,$B$6:$B$505,"&gt;="&amp;INT(B198),$B$6:$B$505,"&lt;"&amp;(INT(B198)+1),$AU$6:$AU$505,1)&gt;0),"En el Aviso del inciso a) (R 31 Bis)","AVISO"),"—"),IF(M198&lt;&gt;"Sí","—",IF(AK198&gt;=AE198,IF(AK198=E198,"AVISO","AVISO (acumulado)"),"Acumulando")))))))</f>
        <v/>
      </c>
    </row>
    <row r="199" customFormat="false" ht="15" hidden="false" customHeight="false" outlineLevel="0" collapsed="false">
      <c r="A199" s="9" t="str">
        <f aca="false">IF(E199="","",ROW()-5)</f>
        <v/>
      </c>
      <c r="B199" s="20"/>
      <c r="C199" s="21"/>
      <c r="D199" s="21"/>
      <c r="E199" s="22"/>
      <c r="F199" s="22"/>
      <c r="G199" s="21"/>
      <c r="H199" s="21"/>
      <c r="I199" s="9" t="str">
        <f aca="false">IF(C199="","",IFERROR(INDEX(CLIENTES!$B$6:$B$305,MATCH(C199,CLIENTES!$A$6:$A$305,0)),"⚠ ID no registrado"))</f>
        <v/>
      </c>
      <c r="J199" s="9" t="str">
        <f aca="false">IF(C199="","",IFERROR(INDEX(CLIENTES!$Z$6:$Z$305,MATCH(C199,CLIENTES!$A$6:$A$305,0)),""))</f>
        <v/>
      </c>
      <c r="K199" s="9" t="str">
        <f aca="false">IF(E199="","",IF(AB199="Siempre","Sí",IF(ISNUMBER(AC199),IF(E199&gt;=AC199,"Sí",IF(AW199&gt;=AC199,"Sí (serie 24 h)","No")),"")))</f>
        <v/>
      </c>
      <c r="L199" s="9" t="str">
        <f aca="false">IF(E199="","",AA199)</f>
        <v/>
      </c>
      <c r="M199" s="9" t="str">
        <f aca="false">IF(E199="","",IF(AA199&lt;&gt;"ACUMULA","No aplica",IF(LEFT(K199,2)="Sí","Sí","No")))</f>
        <v/>
      </c>
      <c r="N199" s="23" t="str">
        <f aca="false">IF(M199="Sí",AJ199,"")</f>
        <v/>
      </c>
      <c r="O199" s="24" t="str">
        <f aca="false">IF(M199="Sí",AK199,"")</f>
        <v/>
      </c>
      <c r="P199" s="25" t="str">
        <f aca="false">IF(AND(LEFT(D199,6)="XIV - ",LEFT(AX199,5)="AVISO"),"Pedimento (R 16): no va al SPPLD",AX199)</f>
        <v/>
      </c>
      <c r="Q199" s="23" t="str">
        <f aca="false">IF(LEFT(P199,5)="AVISO",IF(ISNUMBER(B199),DATE(YEAR(B199),MONTH(B199)+1,17),"Falta fecha"),"")</f>
        <v/>
      </c>
      <c r="R199" s="9" t="str">
        <f aca="false">IF(OR(F199="",F199=0),"",IF(ISNUMBER(AG199),IF(F199&gt;=AG199,"PROHIBIDO","Dentro del límite"),"No aplica"))</f>
        <v/>
      </c>
      <c r="S199" s="26" t="str">
        <f aca="false">IF(E199="","",MID(IF(AQ199=1," · Excede el perfil declarado","")&amp;IF(H199="Sí"," · Paga un tercero","")&amp;IF(J199="Alto"," · Cliente de riesgo alto: DDR (RCG 23 Ter 3 y 4)","")&amp;IF(AND(AS199&lt;&gt;"",AS199&lt;&gt;"No",AS199&lt;&gt;0)," · PEP","")&amp;IF(R199="PROHIBIDO"," · Efectivo prohibido: no lo recibas (Art. 32)","")&amp;IF(AR199=1," · ⚠ Fecha fuera de orden","")&amp;IF(LEFT(I199,1)="⚠"," · ⚠ Cliente no registrado","")&amp;IF(D199=""," · ⚠ Falta la actividad","")&amp;IF(AND(LEFT(P199,5)="AVISO",W199="")," · Captura la cifra total con IVA para el Aviso","")&amp;IF(AND(ISNUMBER(W199),W199&lt;E199)," · ⚠ La cifra con IVA es menor que el monto sin IVA",""),4,400))</f>
        <v/>
      </c>
      <c r="T199" s="21"/>
      <c r="U199" s="20"/>
      <c r="V199" s="9" t="str">
        <f aca="false">IF(LEFT(P199,5)&lt;&gt;"AVISO","",IF(T199="Presentado",IF(AND(ISNUMBER(U199),ISNUMBER(Q199),U199&gt;Q199),"Presentado tarde","Presentado"),IF(NOT(ISNUMBER(Q199)),"Falta fecha",IF(Q199&lt;CONFIG!$B$6,"VENCIDO","Vence en "&amp;(Q199-CONFIG!$B$6)&amp;" días"))))</f>
        <v/>
      </c>
      <c r="W199" s="22"/>
      <c r="X199" s="21"/>
      <c r="AA199" s="0" t="str">
        <f aca="false">IF(AM199="","",INDEX(CATÁLOGO!$D$5:$D$39,AM199))</f>
        <v/>
      </c>
      <c r="AB199" s="0" t="str">
        <f aca="false">IF(AM199="","",INDEX(CATÁLOGO!$E$5:$E$39,AM199))</f>
        <v/>
      </c>
      <c r="AC199" s="0" t="str">
        <f aca="false">IF(AB199="","",IF(ISNUMBER(AB199),AB199*AV199,AB199))</f>
        <v/>
      </c>
      <c r="AD199" s="0" t="str">
        <f aca="false">IF(AM199="","",INDEX(CATÁLOGO!$F$5:$F$39,AM199))</f>
        <v/>
      </c>
      <c r="AE199" s="0" t="str">
        <f aca="false">IF(AD199="","",IF(ISNUMBER(AD199),AD199*AV199,AD199))</f>
        <v/>
      </c>
      <c r="AF199" s="0" t="str">
        <f aca="false">IF(AM199="","",INDEX(CATÁLOGO!$G$5:$G$39,AM199))</f>
        <v/>
      </c>
      <c r="AG199" s="0" t="str">
        <f aca="false">IF(AF199="","",IF(ISNUMBER(AF199),AF199*AV199,AF199))</f>
        <v/>
      </c>
      <c r="AH199" s="0" t="str">
        <f aca="false">IF(E199="","",C199&amp;"|"&amp;D199)</f>
        <v/>
      </c>
      <c r="AI199" s="27" t="n">
        <f aca="false">IF(M199&lt;&gt;"Sí",0,SUMPRODUCT(MAX(($AH$5:AH198=AH199)*($M$5:M198="Sí")*ROW($AH$5:AH198))))</f>
        <v>0</v>
      </c>
      <c r="AJ199" s="0" t="str">
        <f aca="false">IF(M199&lt;&gt;"Sí","",IF(AL199=1,B199,INDEX($AJ:$AJ,AI199)))</f>
        <v/>
      </c>
      <c r="AK199" s="0" t="str">
        <f aca="false">IF(M199&lt;&gt;"Sí","",IF(AL199=1,E199,INDEX($AK:$AK,AI199)+E199))</f>
        <v/>
      </c>
      <c r="AL199" s="0" t="str">
        <f aca="false">IF(M199&lt;&gt;"Sí","",IF(AI199=0,1,IF(INDEX($AN:$AN,AI199)=0,1,IF(B199&gt;=EDATE(INDEX($AJ:$AJ,AI199),6),1,0))))</f>
        <v/>
      </c>
      <c r="AM199" s="0" t="str">
        <f aca="false">IF(D199="","",IFERROR(MATCH(D199,CATÁLOGO!$C$5:$C$39,0),""))</f>
        <v/>
      </c>
      <c r="AN199" s="0" t="str">
        <f aca="false">IF(M199&lt;&gt;"Sí","",IF(AND(ISNUMBER(AE199),AK199&gt;=AE199),0,1))</f>
        <v/>
      </c>
      <c r="AO199" s="0" t="str">
        <f aca="false">IF(OR(E199="",C199="",NOT(ISNUMBER(B199))),"",SUMIFS($E$6:$E$505,$C$6:$C$505,C199,$B$6:$B$505,"&gt;="&amp;DATE(YEAR(B199),MONTH(B199),1),$B$6:$B$505,"&lt;"&amp;DATE(YEAR(B199),MONTH(B199)+1,1)))</f>
        <v/>
      </c>
      <c r="AP199" s="0" t="str">
        <f aca="false">IF(C199="","",IFERROR(INDEX(CLIENTES!$M$6:$M$305,MATCH(C199,CLIENTES!$A$6:$A$305,0)),""))</f>
        <v/>
      </c>
      <c r="AQ199" s="27" t="n">
        <f aca="false">IF(AND(ISNUMBER(AO199),ISNUMBER(AP199)),IF(AND(AP199&gt;0,AO199&gt;AP199),1,0),0)</f>
        <v>0</v>
      </c>
      <c r="AR199" s="27" t="n">
        <f aca="false">IF(NOT(ISNUMBER(B199)),0,IF(B199&lt;MAX($B$5:B198),1,0))</f>
        <v>0</v>
      </c>
      <c r="AS199" s="0" t="str">
        <f aca="false">IF(C199="","",IFERROR(INDEX(CLIENTES!$H$6:$H$305,MATCH(C199,CLIENTES!$A$6:$A$305,0)),""))</f>
        <v/>
      </c>
      <c r="AT199" s="0" t="str">
        <f aca="false">IF(AND(LEFT(P199,5)="AVISO",T199&lt;&gt;"Presentado",ISNUMBER(Q199)),Q199,"")</f>
        <v/>
      </c>
      <c r="AU199" s="27" t="n">
        <f aca="false">IF(AND(D199="XVI - Activos virtuales (PSAV): operación de intercambio/transferencia",M199="Sí",ISNUMBER(AE199)),IF(AK199&gt;=AE199,1,0),0)</f>
        <v>0</v>
      </c>
      <c r="AV199" s="30" t="n">
        <f aca="false">IF(NOT(ISNUMBER(B199)),CONFIG!$B$4,IFERROR(INDEX(CONFIG!$I$5:$I$14,MATCH(IF(MONTH(B199)=1,YEAR(B199)-1,YEAR(B199)),CONFIG!$H$5:$H$14,0)),CONFIG!$B$4))</f>
        <v>117.31</v>
      </c>
      <c r="AW199" s="27" t="n">
        <f aca="false">IF(AND(LEFT(D199,4)="I - ",ISNUMBER(B199),C199&lt;&gt;""),SUMIFS($E$6:$E$505,$C$6:$C$505,C199,$D$6:$D$505,D199,$B$6:$B$505,"&gt;"&amp;(B199-1),$B$6:$B$505,"&lt;="&amp;B199),0)</f>
        <v>0</v>
      </c>
      <c r="AX199" s="0" t="str">
        <f aca="false">IF(E199="","",IF(AD199="Siempre","AVISO (siempre)",IF(AD199="No aplica","Sin Aviso (sólo preparas: Ley 17 XI)",IF(NOT(ISNUMBER(AE199)),"",IF(AA199&lt;&gt;"ACUMULA",IF(E199&gt;=AE199,IF(AND(D199="XVI - Activos virtuales (PSAV): cobro de contraprestación (comisión) por el servicio",COUNTIFS($C$6:$C$505,C199,$B$6:$B$505,"&gt;="&amp;INT(B199),$B$6:$B$505,"&lt;"&amp;(INT(B199)+1),$AU$6:$AU$505,1)&gt;0),"En el Aviso del inciso a) (R 31 Bis)","AVISO"),"—"),IF(M199&lt;&gt;"Sí","—",IF(AK199&gt;=AE199,IF(AK199=E199,"AVISO","AVISO (acumulado)"),"Acumulando")))))))</f>
        <v/>
      </c>
    </row>
    <row r="200" customFormat="false" ht="15" hidden="false" customHeight="false" outlineLevel="0" collapsed="false">
      <c r="A200" s="9" t="str">
        <f aca="false">IF(E200="","",ROW()-5)</f>
        <v/>
      </c>
      <c r="B200" s="20"/>
      <c r="C200" s="21"/>
      <c r="D200" s="21"/>
      <c r="E200" s="22"/>
      <c r="F200" s="22"/>
      <c r="G200" s="21"/>
      <c r="H200" s="21"/>
      <c r="I200" s="9" t="str">
        <f aca="false">IF(C200="","",IFERROR(INDEX(CLIENTES!$B$6:$B$305,MATCH(C200,CLIENTES!$A$6:$A$305,0)),"⚠ ID no registrado"))</f>
        <v/>
      </c>
      <c r="J200" s="9" t="str">
        <f aca="false">IF(C200="","",IFERROR(INDEX(CLIENTES!$Z$6:$Z$305,MATCH(C200,CLIENTES!$A$6:$A$305,0)),""))</f>
        <v/>
      </c>
      <c r="K200" s="9" t="str">
        <f aca="false">IF(E200="","",IF(AB200="Siempre","Sí",IF(ISNUMBER(AC200),IF(E200&gt;=AC200,"Sí",IF(AW200&gt;=AC200,"Sí (serie 24 h)","No")),"")))</f>
        <v/>
      </c>
      <c r="L200" s="9" t="str">
        <f aca="false">IF(E200="","",AA200)</f>
        <v/>
      </c>
      <c r="M200" s="9" t="str">
        <f aca="false">IF(E200="","",IF(AA200&lt;&gt;"ACUMULA","No aplica",IF(LEFT(K200,2)="Sí","Sí","No")))</f>
        <v/>
      </c>
      <c r="N200" s="23" t="str">
        <f aca="false">IF(M200="Sí",AJ200,"")</f>
        <v/>
      </c>
      <c r="O200" s="24" t="str">
        <f aca="false">IF(M200="Sí",AK200,"")</f>
        <v/>
      </c>
      <c r="P200" s="25" t="str">
        <f aca="false">IF(AND(LEFT(D200,6)="XIV - ",LEFT(AX200,5)="AVISO"),"Pedimento (R 16): no va al SPPLD",AX200)</f>
        <v/>
      </c>
      <c r="Q200" s="23" t="str">
        <f aca="false">IF(LEFT(P200,5)="AVISO",IF(ISNUMBER(B200),DATE(YEAR(B200),MONTH(B200)+1,17),"Falta fecha"),"")</f>
        <v/>
      </c>
      <c r="R200" s="9" t="str">
        <f aca="false">IF(OR(F200="",F200=0),"",IF(ISNUMBER(AG200),IF(F200&gt;=AG200,"PROHIBIDO","Dentro del límite"),"No aplica"))</f>
        <v/>
      </c>
      <c r="S200" s="26" t="str">
        <f aca="false">IF(E200="","",MID(IF(AQ200=1," · Excede el perfil declarado","")&amp;IF(H200="Sí"," · Paga un tercero","")&amp;IF(J200="Alto"," · Cliente de riesgo alto: DDR (RCG 23 Ter 3 y 4)","")&amp;IF(AND(AS200&lt;&gt;"",AS200&lt;&gt;"No",AS200&lt;&gt;0)," · PEP","")&amp;IF(R200="PROHIBIDO"," · Efectivo prohibido: no lo recibas (Art. 32)","")&amp;IF(AR200=1," · ⚠ Fecha fuera de orden","")&amp;IF(LEFT(I200,1)="⚠"," · ⚠ Cliente no registrado","")&amp;IF(D200=""," · ⚠ Falta la actividad","")&amp;IF(AND(LEFT(P200,5)="AVISO",W200="")," · Captura la cifra total con IVA para el Aviso","")&amp;IF(AND(ISNUMBER(W200),W200&lt;E200)," · ⚠ La cifra con IVA es menor que el monto sin IVA",""),4,400))</f>
        <v/>
      </c>
      <c r="T200" s="21"/>
      <c r="U200" s="20"/>
      <c r="V200" s="9" t="str">
        <f aca="false">IF(LEFT(P200,5)&lt;&gt;"AVISO","",IF(T200="Presentado",IF(AND(ISNUMBER(U200),ISNUMBER(Q200),U200&gt;Q200),"Presentado tarde","Presentado"),IF(NOT(ISNUMBER(Q200)),"Falta fecha",IF(Q200&lt;CONFIG!$B$6,"VENCIDO","Vence en "&amp;(Q200-CONFIG!$B$6)&amp;" días"))))</f>
        <v/>
      </c>
      <c r="W200" s="22"/>
      <c r="X200" s="21"/>
      <c r="AA200" s="0" t="str">
        <f aca="false">IF(AM200="","",INDEX(CATÁLOGO!$D$5:$D$39,AM200))</f>
        <v/>
      </c>
      <c r="AB200" s="0" t="str">
        <f aca="false">IF(AM200="","",INDEX(CATÁLOGO!$E$5:$E$39,AM200))</f>
        <v/>
      </c>
      <c r="AC200" s="0" t="str">
        <f aca="false">IF(AB200="","",IF(ISNUMBER(AB200),AB200*AV200,AB200))</f>
        <v/>
      </c>
      <c r="AD200" s="0" t="str">
        <f aca="false">IF(AM200="","",INDEX(CATÁLOGO!$F$5:$F$39,AM200))</f>
        <v/>
      </c>
      <c r="AE200" s="0" t="str">
        <f aca="false">IF(AD200="","",IF(ISNUMBER(AD200),AD200*AV200,AD200))</f>
        <v/>
      </c>
      <c r="AF200" s="0" t="str">
        <f aca="false">IF(AM200="","",INDEX(CATÁLOGO!$G$5:$G$39,AM200))</f>
        <v/>
      </c>
      <c r="AG200" s="0" t="str">
        <f aca="false">IF(AF200="","",IF(ISNUMBER(AF200),AF200*AV200,AF200))</f>
        <v/>
      </c>
      <c r="AH200" s="0" t="str">
        <f aca="false">IF(E200="","",C200&amp;"|"&amp;D200)</f>
        <v/>
      </c>
      <c r="AI200" s="27" t="n">
        <f aca="false">IF(M200&lt;&gt;"Sí",0,SUMPRODUCT(MAX(($AH$5:AH199=AH200)*($M$5:M199="Sí")*ROW($AH$5:AH199))))</f>
        <v>0</v>
      </c>
      <c r="AJ200" s="0" t="str">
        <f aca="false">IF(M200&lt;&gt;"Sí","",IF(AL200=1,B200,INDEX($AJ:$AJ,AI200)))</f>
        <v/>
      </c>
      <c r="AK200" s="0" t="str">
        <f aca="false">IF(M200&lt;&gt;"Sí","",IF(AL200=1,E200,INDEX($AK:$AK,AI200)+E200))</f>
        <v/>
      </c>
      <c r="AL200" s="0" t="str">
        <f aca="false">IF(M200&lt;&gt;"Sí","",IF(AI200=0,1,IF(INDEX($AN:$AN,AI200)=0,1,IF(B200&gt;=EDATE(INDEX($AJ:$AJ,AI200),6),1,0))))</f>
        <v/>
      </c>
      <c r="AM200" s="0" t="str">
        <f aca="false">IF(D200="","",IFERROR(MATCH(D200,CATÁLOGO!$C$5:$C$39,0),""))</f>
        <v/>
      </c>
      <c r="AN200" s="0" t="str">
        <f aca="false">IF(M200&lt;&gt;"Sí","",IF(AND(ISNUMBER(AE200),AK200&gt;=AE200),0,1))</f>
        <v/>
      </c>
      <c r="AO200" s="0" t="str">
        <f aca="false">IF(OR(E200="",C200="",NOT(ISNUMBER(B200))),"",SUMIFS($E$6:$E$505,$C$6:$C$505,C200,$B$6:$B$505,"&gt;="&amp;DATE(YEAR(B200),MONTH(B200),1),$B$6:$B$505,"&lt;"&amp;DATE(YEAR(B200),MONTH(B200)+1,1)))</f>
        <v/>
      </c>
      <c r="AP200" s="0" t="str">
        <f aca="false">IF(C200="","",IFERROR(INDEX(CLIENTES!$M$6:$M$305,MATCH(C200,CLIENTES!$A$6:$A$305,0)),""))</f>
        <v/>
      </c>
      <c r="AQ200" s="27" t="n">
        <f aca="false">IF(AND(ISNUMBER(AO200),ISNUMBER(AP200)),IF(AND(AP200&gt;0,AO200&gt;AP200),1,0),0)</f>
        <v>0</v>
      </c>
      <c r="AR200" s="27" t="n">
        <f aca="false">IF(NOT(ISNUMBER(B200)),0,IF(B200&lt;MAX($B$5:B199),1,0))</f>
        <v>0</v>
      </c>
      <c r="AS200" s="0" t="str">
        <f aca="false">IF(C200="","",IFERROR(INDEX(CLIENTES!$H$6:$H$305,MATCH(C200,CLIENTES!$A$6:$A$305,0)),""))</f>
        <v/>
      </c>
      <c r="AT200" s="0" t="str">
        <f aca="false">IF(AND(LEFT(P200,5)="AVISO",T200&lt;&gt;"Presentado",ISNUMBER(Q200)),Q200,"")</f>
        <v/>
      </c>
      <c r="AU200" s="27" t="n">
        <f aca="false">IF(AND(D200="XVI - Activos virtuales (PSAV): operación de intercambio/transferencia",M200="Sí",ISNUMBER(AE200)),IF(AK200&gt;=AE200,1,0),0)</f>
        <v>0</v>
      </c>
      <c r="AV200" s="30" t="n">
        <f aca="false">IF(NOT(ISNUMBER(B200)),CONFIG!$B$4,IFERROR(INDEX(CONFIG!$I$5:$I$14,MATCH(IF(MONTH(B200)=1,YEAR(B200)-1,YEAR(B200)),CONFIG!$H$5:$H$14,0)),CONFIG!$B$4))</f>
        <v>117.31</v>
      </c>
      <c r="AW200" s="27" t="n">
        <f aca="false">IF(AND(LEFT(D200,4)="I - ",ISNUMBER(B200),C200&lt;&gt;""),SUMIFS($E$6:$E$505,$C$6:$C$505,C200,$D$6:$D$505,D200,$B$6:$B$505,"&gt;"&amp;(B200-1),$B$6:$B$505,"&lt;="&amp;B200),0)</f>
        <v>0</v>
      </c>
      <c r="AX200" s="0" t="str">
        <f aca="false">IF(E200="","",IF(AD200="Siempre","AVISO (siempre)",IF(AD200="No aplica","Sin Aviso (sólo preparas: Ley 17 XI)",IF(NOT(ISNUMBER(AE200)),"",IF(AA200&lt;&gt;"ACUMULA",IF(E200&gt;=AE200,IF(AND(D200="XVI - Activos virtuales (PSAV): cobro de contraprestación (comisión) por el servicio",COUNTIFS($C$6:$C$505,C200,$B$6:$B$505,"&gt;="&amp;INT(B200),$B$6:$B$505,"&lt;"&amp;(INT(B200)+1),$AU$6:$AU$505,1)&gt;0),"En el Aviso del inciso a) (R 31 Bis)","AVISO"),"—"),IF(M200&lt;&gt;"Sí","—",IF(AK200&gt;=AE200,IF(AK200=E200,"AVISO","AVISO (acumulado)"),"Acumulando")))))))</f>
        <v/>
      </c>
    </row>
    <row r="201" customFormat="false" ht="15" hidden="false" customHeight="false" outlineLevel="0" collapsed="false">
      <c r="A201" s="9" t="str">
        <f aca="false">IF(E201="","",ROW()-5)</f>
        <v/>
      </c>
      <c r="B201" s="20"/>
      <c r="C201" s="21"/>
      <c r="D201" s="21"/>
      <c r="E201" s="22"/>
      <c r="F201" s="22"/>
      <c r="G201" s="21"/>
      <c r="H201" s="21"/>
      <c r="I201" s="9" t="str">
        <f aca="false">IF(C201="","",IFERROR(INDEX(CLIENTES!$B$6:$B$305,MATCH(C201,CLIENTES!$A$6:$A$305,0)),"⚠ ID no registrado"))</f>
        <v/>
      </c>
      <c r="J201" s="9" t="str">
        <f aca="false">IF(C201="","",IFERROR(INDEX(CLIENTES!$Z$6:$Z$305,MATCH(C201,CLIENTES!$A$6:$A$305,0)),""))</f>
        <v/>
      </c>
      <c r="K201" s="9" t="str">
        <f aca="false">IF(E201="","",IF(AB201="Siempre","Sí",IF(ISNUMBER(AC201),IF(E201&gt;=AC201,"Sí",IF(AW201&gt;=AC201,"Sí (serie 24 h)","No")),"")))</f>
        <v/>
      </c>
      <c r="L201" s="9" t="str">
        <f aca="false">IF(E201="","",AA201)</f>
        <v/>
      </c>
      <c r="M201" s="9" t="str">
        <f aca="false">IF(E201="","",IF(AA201&lt;&gt;"ACUMULA","No aplica",IF(LEFT(K201,2)="Sí","Sí","No")))</f>
        <v/>
      </c>
      <c r="N201" s="23" t="str">
        <f aca="false">IF(M201="Sí",AJ201,"")</f>
        <v/>
      </c>
      <c r="O201" s="24" t="str">
        <f aca="false">IF(M201="Sí",AK201,"")</f>
        <v/>
      </c>
      <c r="P201" s="25" t="str">
        <f aca="false">IF(AND(LEFT(D201,6)="XIV - ",LEFT(AX201,5)="AVISO"),"Pedimento (R 16): no va al SPPLD",AX201)</f>
        <v/>
      </c>
      <c r="Q201" s="23" t="str">
        <f aca="false">IF(LEFT(P201,5)="AVISO",IF(ISNUMBER(B201),DATE(YEAR(B201),MONTH(B201)+1,17),"Falta fecha"),"")</f>
        <v/>
      </c>
      <c r="R201" s="9" t="str">
        <f aca="false">IF(OR(F201="",F201=0),"",IF(ISNUMBER(AG201),IF(F201&gt;=AG201,"PROHIBIDO","Dentro del límite"),"No aplica"))</f>
        <v/>
      </c>
      <c r="S201" s="26" t="str">
        <f aca="false">IF(E201="","",MID(IF(AQ201=1," · Excede el perfil declarado","")&amp;IF(H201="Sí"," · Paga un tercero","")&amp;IF(J201="Alto"," · Cliente de riesgo alto: DDR (RCG 23 Ter 3 y 4)","")&amp;IF(AND(AS201&lt;&gt;"",AS201&lt;&gt;"No",AS201&lt;&gt;0)," · PEP","")&amp;IF(R201="PROHIBIDO"," · Efectivo prohibido: no lo recibas (Art. 32)","")&amp;IF(AR201=1," · ⚠ Fecha fuera de orden","")&amp;IF(LEFT(I201,1)="⚠"," · ⚠ Cliente no registrado","")&amp;IF(D201=""," · ⚠ Falta la actividad","")&amp;IF(AND(LEFT(P201,5)="AVISO",W201="")," · Captura la cifra total con IVA para el Aviso","")&amp;IF(AND(ISNUMBER(W201),W201&lt;E201)," · ⚠ La cifra con IVA es menor que el monto sin IVA",""),4,400))</f>
        <v/>
      </c>
      <c r="T201" s="21"/>
      <c r="U201" s="20"/>
      <c r="V201" s="9" t="str">
        <f aca="false">IF(LEFT(P201,5)&lt;&gt;"AVISO","",IF(T201="Presentado",IF(AND(ISNUMBER(U201),ISNUMBER(Q201),U201&gt;Q201),"Presentado tarde","Presentado"),IF(NOT(ISNUMBER(Q201)),"Falta fecha",IF(Q201&lt;CONFIG!$B$6,"VENCIDO","Vence en "&amp;(Q201-CONFIG!$B$6)&amp;" días"))))</f>
        <v/>
      </c>
      <c r="W201" s="22"/>
      <c r="X201" s="21"/>
      <c r="AA201" s="0" t="str">
        <f aca="false">IF(AM201="","",INDEX(CATÁLOGO!$D$5:$D$39,AM201))</f>
        <v/>
      </c>
      <c r="AB201" s="0" t="str">
        <f aca="false">IF(AM201="","",INDEX(CATÁLOGO!$E$5:$E$39,AM201))</f>
        <v/>
      </c>
      <c r="AC201" s="0" t="str">
        <f aca="false">IF(AB201="","",IF(ISNUMBER(AB201),AB201*AV201,AB201))</f>
        <v/>
      </c>
      <c r="AD201" s="0" t="str">
        <f aca="false">IF(AM201="","",INDEX(CATÁLOGO!$F$5:$F$39,AM201))</f>
        <v/>
      </c>
      <c r="AE201" s="0" t="str">
        <f aca="false">IF(AD201="","",IF(ISNUMBER(AD201),AD201*AV201,AD201))</f>
        <v/>
      </c>
      <c r="AF201" s="0" t="str">
        <f aca="false">IF(AM201="","",INDEX(CATÁLOGO!$G$5:$G$39,AM201))</f>
        <v/>
      </c>
      <c r="AG201" s="0" t="str">
        <f aca="false">IF(AF201="","",IF(ISNUMBER(AF201),AF201*AV201,AF201))</f>
        <v/>
      </c>
      <c r="AH201" s="0" t="str">
        <f aca="false">IF(E201="","",C201&amp;"|"&amp;D201)</f>
        <v/>
      </c>
      <c r="AI201" s="27" t="n">
        <f aca="false">IF(M201&lt;&gt;"Sí",0,SUMPRODUCT(MAX(($AH$5:AH200=AH201)*($M$5:M200="Sí")*ROW($AH$5:AH200))))</f>
        <v>0</v>
      </c>
      <c r="AJ201" s="0" t="str">
        <f aca="false">IF(M201&lt;&gt;"Sí","",IF(AL201=1,B201,INDEX($AJ:$AJ,AI201)))</f>
        <v/>
      </c>
      <c r="AK201" s="0" t="str">
        <f aca="false">IF(M201&lt;&gt;"Sí","",IF(AL201=1,E201,INDEX($AK:$AK,AI201)+E201))</f>
        <v/>
      </c>
      <c r="AL201" s="0" t="str">
        <f aca="false">IF(M201&lt;&gt;"Sí","",IF(AI201=0,1,IF(INDEX($AN:$AN,AI201)=0,1,IF(B201&gt;=EDATE(INDEX($AJ:$AJ,AI201),6),1,0))))</f>
        <v/>
      </c>
      <c r="AM201" s="0" t="str">
        <f aca="false">IF(D201="","",IFERROR(MATCH(D201,CATÁLOGO!$C$5:$C$39,0),""))</f>
        <v/>
      </c>
      <c r="AN201" s="0" t="str">
        <f aca="false">IF(M201&lt;&gt;"Sí","",IF(AND(ISNUMBER(AE201),AK201&gt;=AE201),0,1))</f>
        <v/>
      </c>
      <c r="AO201" s="0" t="str">
        <f aca="false">IF(OR(E201="",C201="",NOT(ISNUMBER(B201))),"",SUMIFS($E$6:$E$505,$C$6:$C$505,C201,$B$6:$B$505,"&gt;="&amp;DATE(YEAR(B201),MONTH(B201),1),$B$6:$B$505,"&lt;"&amp;DATE(YEAR(B201),MONTH(B201)+1,1)))</f>
        <v/>
      </c>
      <c r="AP201" s="0" t="str">
        <f aca="false">IF(C201="","",IFERROR(INDEX(CLIENTES!$M$6:$M$305,MATCH(C201,CLIENTES!$A$6:$A$305,0)),""))</f>
        <v/>
      </c>
      <c r="AQ201" s="27" t="n">
        <f aca="false">IF(AND(ISNUMBER(AO201),ISNUMBER(AP201)),IF(AND(AP201&gt;0,AO201&gt;AP201),1,0),0)</f>
        <v>0</v>
      </c>
      <c r="AR201" s="27" t="n">
        <f aca="false">IF(NOT(ISNUMBER(B201)),0,IF(B201&lt;MAX($B$5:B200),1,0))</f>
        <v>0</v>
      </c>
      <c r="AS201" s="0" t="str">
        <f aca="false">IF(C201="","",IFERROR(INDEX(CLIENTES!$H$6:$H$305,MATCH(C201,CLIENTES!$A$6:$A$305,0)),""))</f>
        <v/>
      </c>
      <c r="AT201" s="0" t="str">
        <f aca="false">IF(AND(LEFT(P201,5)="AVISO",T201&lt;&gt;"Presentado",ISNUMBER(Q201)),Q201,"")</f>
        <v/>
      </c>
      <c r="AU201" s="27" t="n">
        <f aca="false">IF(AND(D201="XVI - Activos virtuales (PSAV): operación de intercambio/transferencia",M201="Sí",ISNUMBER(AE201)),IF(AK201&gt;=AE201,1,0),0)</f>
        <v>0</v>
      </c>
      <c r="AV201" s="30" t="n">
        <f aca="false">IF(NOT(ISNUMBER(B201)),CONFIG!$B$4,IFERROR(INDEX(CONFIG!$I$5:$I$14,MATCH(IF(MONTH(B201)=1,YEAR(B201)-1,YEAR(B201)),CONFIG!$H$5:$H$14,0)),CONFIG!$B$4))</f>
        <v>117.31</v>
      </c>
      <c r="AW201" s="27" t="n">
        <f aca="false">IF(AND(LEFT(D201,4)="I - ",ISNUMBER(B201),C201&lt;&gt;""),SUMIFS($E$6:$E$505,$C$6:$C$505,C201,$D$6:$D$505,D201,$B$6:$B$505,"&gt;"&amp;(B201-1),$B$6:$B$505,"&lt;="&amp;B201),0)</f>
        <v>0</v>
      </c>
      <c r="AX201" s="0" t="str">
        <f aca="false">IF(E201="","",IF(AD201="Siempre","AVISO (siempre)",IF(AD201="No aplica","Sin Aviso (sólo preparas: Ley 17 XI)",IF(NOT(ISNUMBER(AE201)),"",IF(AA201&lt;&gt;"ACUMULA",IF(E201&gt;=AE201,IF(AND(D201="XVI - Activos virtuales (PSAV): cobro de contraprestación (comisión) por el servicio",COUNTIFS($C$6:$C$505,C201,$B$6:$B$505,"&gt;="&amp;INT(B201),$B$6:$B$505,"&lt;"&amp;(INT(B201)+1),$AU$6:$AU$505,1)&gt;0),"En el Aviso del inciso a) (R 31 Bis)","AVISO"),"—"),IF(M201&lt;&gt;"Sí","—",IF(AK201&gt;=AE201,IF(AK201=E201,"AVISO","AVISO (acumulado)"),"Acumulando")))))))</f>
        <v/>
      </c>
    </row>
    <row r="202" customFormat="false" ht="15" hidden="false" customHeight="false" outlineLevel="0" collapsed="false">
      <c r="A202" s="9" t="str">
        <f aca="false">IF(E202="","",ROW()-5)</f>
        <v/>
      </c>
      <c r="B202" s="20"/>
      <c r="C202" s="21"/>
      <c r="D202" s="21"/>
      <c r="E202" s="22"/>
      <c r="F202" s="22"/>
      <c r="G202" s="21"/>
      <c r="H202" s="21"/>
      <c r="I202" s="9" t="str">
        <f aca="false">IF(C202="","",IFERROR(INDEX(CLIENTES!$B$6:$B$305,MATCH(C202,CLIENTES!$A$6:$A$305,0)),"⚠ ID no registrado"))</f>
        <v/>
      </c>
      <c r="J202" s="9" t="str">
        <f aca="false">IF(C202="","",IFERROR(INDEX(CLIENTES!$Z$6:$Z$305,MATCH(C202,CLIENTES!$A$6:$A$305,0)),""))</f>
        <v/>
      </c>
      <c r="K202" s="9" t="str">
        <f aca="false">IF(E202="","",IF(AB202="Siempre","Sí",IF(ISNUMBER(AC202),IF(E202&gt;=AC202,"Sí",IF(AW202&gt;=AC202,"Sí (serie 24 h)","No")),"")))</f>
        <v/>
      </c>
      <c r="L202" s="9" t="str">
        <f aca="false">IF(E202="","",AA202)</f>
        <v/>
      </c>
      <c r="M202" s="9" t="str">
        <f aca="false">IF(E202="","",IF(AA202&lt;&gt;"ACUMULA","No aplica",IF(LEFT(K202,2)="Sí","Sí","No")))</f>
        <v/>
      </c>
      <c r="N202" s="23" t="str">
        <f aca="false">IF(M202="Sí",AJ202,"")</f>
        <v/>
      </c>
      <c r="O202" s="24" t="str">
        <f aca="false">IF(M202="Sí",AK202,"")</f>
        <v/>
      </c>
      <c r="P202" s="25" t="str">
        <f aca="false">IF(AND(LEFT(D202,6)="XIV - ",LEFT(AX202,5)="AVISO"),"Pedimento (R 16): no va al SPPLD",AX202)</f>
        <v/>
      </c>
      <c r="Q202" s="23" t="str">
        <f aca="false">IF(LEFT(P202,5)="AVISO",IF(ISNUMBER(B202),DATE(YEAR(B202),MONTH(B202)+1,17),"Falta fecha"),"")</f>
        <v/>
      </c>
      <c r="R202" s="9" t="str">
        <f aca="false">IF(OR(F202="",F202=0),"",IF(ISNUMBER(AG202),IF(F202&gt;=AG202,"PROHIBIDO","Dentro del límite"),"No aplica"))</f>
        <v/>
      </c>
      <c r="S202" s="26" t="str">
        <f aca="false">IF(E202="","",MID(IF(AQ202=1," · Excede el perfil declarado","")&amp;IF(H202="Sí"," · Paga un tercero","")&amp;IF(J202="Alto"," · Cliente de riesgo alto: DDR (RCG 23 Ter 3 y 4)","")&amp;IF(AND(AS202&lt;&gt;"",AS202&lt;&gt;"No",AS202&lt;&gt;0)," · PEP","")&amp;IF(R202="PROHIBIDO"," · Efectivo prohibido: no lo recibas (Art. 32)","")&amp;IF(AR202=1," · ⚠ Fecha fuera de orden","")&amp;IF(LEFT(I202,1)="⚠"," · ⚠ Cliente no registrado","")&amp;IF(D202=""," · ⚠ Falta la actividad","")&amp;IF(AND(LEFT(P202,5)="AVISO",W202="")," · Captura la cifra total con IVA para el Aviso","")&amp;IF(AND(ISNUMBER(W202),W202&lt;E202)," · ⚠ La cifra con IVA es menor que el monto sin IVA",""),4,400))</f>
        <v/>
      </c>
      <c r="T202" s="21"/>
      <c r="U202" s="20"/>
      <c r="V202" s="9" t="str">
        <f aca="false">IF(LEFT(P202,5)&lt;&gt;"AVISO","",IF(T202="Presentado",IF(AND(ISNUMBER(U202),ISNUMBER(Q202),U202&gt;Q202),"Presentado tarde","Presentado"),IF(NOT(ISNUMBER(Q202)),"Falta fecha",IF(Q202&lt;CONFIG!$B$6,"VENCIDO","Vence en "&amp;(Q202-CONFIG!$B$6)&amp;" días"))))</f>
        <v/>
      </c>
      <c r="W202" s="22"/>
      <c r="X202" s="21"/>
      <c r="AA202" s="0" t="str">
        <f aca="false">IF(AM202="","",INDEX(CATÁLOGO!$D$5:$D$39,AM202))</f>
        <v/>
      </c>
      <c r="AB202" s="0" t="str">
        <f aca="false">IF(AM202="","",INDEX(CATÁLOGO!$E$5:$E$39,AM202))</f>
        <v/>
      </c>
      <c r="AC202" s="0" t="str">
        <f aca="false">IF(AB202="","",IF(ISNUMBER(AB202),AB202*AV202,AB202))</f>
        <v/>
      </c>
      <c r="AD202" s="0" t="str">
        <f aca="false">IF(AM202="","",INDEX(CATÁLOGO!$F$5:$F$39,AM202))</f>
        <v/>
      </c>
      <c r="AE202" s="0" t="str">
        <f aca="false">IF(AD202="","",IF(ISNUMBER(AD202),AD202*AV202,AD202))</f>
        <v/>
      </c>
      <c r="AF202" s="0" t="str">
        <f aca="false">IF(AM202="","",INDEX(CATÁLOGO!$G$5:$G$39,AM202))</f>
        <v/>
      </c>
      <c r="AG202" s="0" t="str">
        <f aca="false">IF(AF202="","",IF(ISNUMBER(AF202),AF202*AV202,AF202))</f>
        <v/>
      </c>
      <c r="AH202" s="0" t="str">
        <f aca="false">IF(E202="","",C202&amp;"|"&amp;D202)</f>
        <v/>
      </c>
      <c r="AI202" s="27" t="n">
        <f aca="false">IF(M202&lt;&gt;"Sí",0,SUMPRODUCT(MAX(($AH$5:AH201=AH202)*($M$5:M201="Sí")*ROW($AH$5:AH201))))</f>
        <v>0</v>
      </c>
      <c r="AJ202" s="0" t="str">
        <f aca="false">IF(M202&lt;&gt;"Sí","",IF(AL202=1,B202,INDEX($AJ:$AJ,AI202)))</f>
        <v/>
      </c>
      <c r="AK202" s="0" t="str">
        <f aca="false">IF(M202&lt;&gt;"Sí","",IF(AL202=1,E202,INDEX($AK:$AK,AI202)+E202))</f>
        <v/>
      </c>
      <c r="AL202" s="0" t="str">
        <f aca="false">IF(M202&lt;&gt;"Sí","",IF(AI202=0,1,IF(INDEX($AN:$AN,AI202)=0,1,IF(B202&gt;=EDATE(INDEX($AJ:$AJ,AI202),6),1,0))))</f>
        <v/>
      </c>
      <c r="AM202" s="0" t="str">
        <f aca="false">IF(D202="","",IFERROR(MATCH(D202,CATÁLOGO!$C$5:$C$39,0),""))</f>
        <v/>
      </c>
      <c r="AN202" s="0" t="str">
        <f aca="false">IF(M202&lt;&gt;"Sí","",IF(AND(ISNUMBER(AE202),AK202&gt;=AE202),0,1))</f>
        <v/>
      </c>
      <c r="AO202" s="0" t="str">
        <f aca="false">IF(OR(E202="",C202="",NOT(ISNUMBER(B202))),"",SUMIFS($E$6:$E$505,$C$6:$C$505,C202,$B$6:$B$505,"&gt;="&amp;DATE(YEAR(B202),MONTH(B202),1),$B$6:$B$505,"&lt;"&amp;DATE(YEAR(B202),MONTH(B202)+1,1)))</f>
        <v/>
      </c>
      <c r="AP202" s="0" t="str">
        <f aca="false">IF(C202="","",IFERROR(INDEX(CLIENTES!$M$6:$M$305,MATCH(C202,CLIENTES!$A$6:$A$305,0)),""))</f>
        <v/>
      </c>
      <c r="AQ202" s="27" t="n">
        <f aca="false">IF(AND(ISNUMBER(AO202),ISNUMBER(AP202)),IF(AND(AP202&gt;0,AO202&gt;AP202),1,0),0)</f>
        <v>0</v>
      </c>
      <c r="AR202" s="27" t="n">
        <f aca="false">IF(NOT(ISNUMBER(B202)),0,IF(B202&lt;MAX($B$5:B201),1,0))</f>
        <v>0</v>
      </c>
      <c r="AS202" s="0" t="str">
        <f aca="false">IF(C202="","",IFERROR(INDEX(CLIENTES!$H$6:$H$305,MATCH(C202,CLIENTES!$A$6:$A$305,0)),""))</f>
        <v/>
      </c>
      <c r="AT202" s="0" t="str">
        <f aca="false">IF(AND(LEFT(P202,5)="AVISO",T202&lt;&gt;"Presentado",ISNUMBER(Q202)),Q202,"")</f>
        <v/>
      </c>
      <c r="AU202" s="27" t="n">
        <f aca="false">IF(AND(D202="XVI - Activos virtuales (PSAV): operación de intercambio/transferencia",M202="Sí",ISNUMBER(AE202)),IF(AK202&gt;=AE202,1,0),0)</f>
        <v>0</v>
      </c>
      <c r="AV202" s="30" t="n">
        <f aca="false">IF(NOT(ISNUMBER(B202)),CONFIG!$B$4,IFERROR(INDEX(CONFIG!$I$5:$I$14,MATCH(IF(MONTH(B202)=1,YEAR(B202)-1,YEAR(B202)),CONFIG!$H$5:$H$14,0)),CONFIG!$B$4))</f>
        <v>117.31</v>
      </c>
      <c r="AW202" s="27" t="n">
        <f aca="false">IF(AND(LEFT(D202,4)="I - ",ISNUMBER(B202),C202&lt;&gt;""),SUMIFS($E$6:$E$505,$C$6:$C$505,C202,$D$6:$D$505,D202,$B$6:$B$505,"&gt;"&amp;(B202-1),$B$6:$B$505,"&lt;="&amp;B202),0)</f>
        <v>0</v>
      </c>
      <c r="AX202" s="0" t="str">
        <f aca="false">IF(E202="","",IF(AD202="Siempre","AVISO (siempre)",IF(AD202="No aplica","Sin Aviso (sólo preparas: Ley 17 XI)",IF(NOT(ISNUMBER(AE202)),"",IF(AA202&lt;&gt;"ACUMULA",IF(E202&gt;=AE202,IF(AND(D202="XVI - Activos virtuales (PSAV): cobro de contraprestación (comisión) por el servicio",COUNTIFS($C$6:$C$505,C202,$B$6:$B$505,"&gt;="&amp;INT(B202),$B$6:$B$505,"&lt;"&amp;(INT(B202)+1),$AU$6:$AU$505,1)&gt;0),"En el Aviso del inciso a) (R 31 Bis)","AVISO"),"—"),IF(M202&lt;&gt;"Sí","—",IF(AK202&gt;=AE202,IF(AK202=E202,"AVISO","AVISO (acumulado)"),"Acumulando")))))))</f>
        <v/>
      </c>
    </row>
    <row r="203" customFormat="false" ht="15" hidden="false" customHeight="false" outlineLevel="0" collapsed="false">
      <c r="A203" s="9" t="str">
        <f aca="false">IF(E203="","",ROW()-5)</f>
        <v/>
      </c>
      <c r="B203" s="20"/>
      <c r="C203" s="21"/>
      <c r="D203" s="21"/>
      <c r="E203" s="22"/>
      <c r="F203" s="22"/>
      <c r="G203" s="21"/>
      <c r="H203" s="21"/>
      <c r="I203" s="9" t="str">
        <f aca="false">IF(C203="","",IFERROR(INDEX(CLIENTES!$B$6:$B$305,MATCH(C203,CLIENTES!$A$6:$A$305,0)),"⚠ ID no registrado"))</f>
        <v/>
      </c>
      <c r="J203" s="9" t="str">
        <f aca="false">IF(C203="","",IFERROR(INDEX(CLIENTES!$Z$6:$Z$305,MATCH(C203,CLIENTES!$A$6:$A$305,0)),""))</f>
        <v/>
      </c>
      <c r="K203" s="9" t="str">
        <f aca="false">IF(E203="","",IF(AB203="Siempre","Sí",IF(ISNUMBER(AC203),IF(E203&gt;=AC203,"Sí",IF(AW203&gt;=AC203,"Sí (serie 24 h)","No")),"")))</f>
        <v/>
      </c>
      <c r="L203" s="9" t="str">
        <f aca="false">IF(E203="","",AA203)</f>
        <v/>
      </c>
      <c r="M203" s="9" t="str">
        <f aca="false">IF(E203="","",IF(AA203&lt;&gt;"ACUMULA","No aplica",IF(LEFT(K203,2)="Sí","Sí","No")))</f>
        <v/>
      </c>
      <c r="N203" s="23" t="str">
        <f aca="false">IF(M203="Sí",AJ203,"")</f>
        <v/>
      </c>
      <c r="O203" s="24" t="str">
        <f aca="false">IF(M203="Sí",AK203,"")</f>
        <v/>
      </c>
      <c r="P203" s="25" t="str">
        <f aca="false">IF(AND(LEFT(D203,6)="XIV - ",LEFT(AX203,5)="AVISO"),"Pedimento (R 16): no va al SPPLD",AX203)</f>
        <v/>
      </c>
      <c r="Q203" s="23" t="str">
        <f aca="false">IF(LEFT(P203,5)="AVISO",IF(ISNUMBER(B203),DATE(YEAR(B203),MONTH(B203)+1,17),"Falta fecha"),"")</f>
        <v/>
      </c>
      <c r="R203" s="9" t="str">
        <f aca="false">IF(OR(F203="",F203=0),"",IF(ISNUMBER(AG203),IF(F203&gt;=AG203,"PROHIBIDO","Dentro del límite"),"No aplica"))</f>
        <v/>
      </c>
      <c r="S203" s="26" t="str">
        <f aca="false">IF(E203="","",MID(IF(AQ203=1," · Excede el perfil declarado","")&amp;IF(H203="Sí"," · Paga un tercero","")&amp;IF(J203="Alto"," · Cliente de riesgo alto: DDR (RCG 23 Ter 3 y 4)","")&amp;IF(AND(AS203&lt;&gt;"",AS203&lt;&gt;"No",AS203&lt;&gt;0)," · PEP","")&amp;IF(R203="PROHIBIDO"," · Efectivo prohibido: no lo recibas (Art. 32)","")&amp;IF(AR203=1," · ⚠ Fecha fuera de orden","")&amp;IF(LEFT(I203,1)="⚠"," · ⚠ Cliente no registrado","")&amp;IF(D203=""," · ⚠ Falta la actividad","")&amp;IF(AND(LEFT(P203,5)="AVISO",W203="")," · Captura la cifra total con IVA para el Aviso","")&amp;IF(AND(ISNUMBER(W203),W203&lt;E203)," · ⚠ La cifra con IVA es menor que el monto sin IVA",""),4,400))</f>
        <v/>
      </c>
      <c r="T203" s="21"/>
      <c r="U203" s="20"/>
      <c r="V203" s="9" t="str">
        <f aca="false">IF(LEFT(P203,5)&lt;&gt;"AVISO","",IF(T203="Presentado",IF(AND(ISNUMBER(U203),ISNUMBER(Q203),U203&gt;Q203),"Presentado tarde","Presentado"),IF(NOT(ISNUMBER(Q203)),"Falta fecha",IF(Q203&lt;CONFIG!$B$6,"VENCIDO","Vence en "&amp;(Q203-CONFIG!$B$6)&amp;" días"))))</f>
        <v/>
      </c>
      <c r="W203" s="22"/>
      <c r="X203" s="21"/>
      <c r="AA203" s="0" t="str">
        <f aca="false">IF(AM203="","",INDEX(CATÁLOGO!$D$5:$D$39,AM203))</f>
        <v/>
      </c>
      <c r="AB203" s="0" t="str">
        <f aca="false">IF(AM203="","",INDEX(CATÁLOGO!$E$5:$E$39,AM203))</f>
        <v/>
      </c>
      <c r="AC203" s="0" t="str">
        <f aca="false">IF(AB203="","",IF(ISNUMBER(AB203),AB203*AV203,AB203))</f>
        <v/>
      </c>
      <c r="AD203" s="0" t="str">
        <f aca="false">IF(AM203="","",INDEX(CATÁLOGO!$F$5:$F$39,AM203))</f>
        <v/>
      </c>
      <c r="AE203" s="0" t="str">
        <f aca="false">IF(AD203="","",IF(ISNUMBER(AD203),AD203*AV203,AD203))</f>
        <v/>
      </c>
      <c r="AF203" s="0" t="str">
        <f aca="false">IF(AM203="","",INDEX(CATÁLOGO!$G$5:$G$39,AM203))</f>
        <v/>
      </c>
      <c r="AG203" s="0" t="str">
        <f aca="false">IF(AF203="","",IF(ISNUMBER(AF203),AF203*AV203,AF203))</f>
        <v/>
      </c>
      <c r="AH203" s="0" t="str">
        <f aca="false">IF(E203="","",C203&amp;"|"&amp;D203)</f>
        <v/>
      </c>
      <c r="AI203" s="27" t="n">
        <f aca="false">IF(M203&lt;&gt;"Sí",0,SUMPRODUCT(MAX(($AH$5:AH202=AH203)*($M$5:M202="Sí")*ROW($AH$5:AH202))))</f>
        <v>0</v>
      </c>
      <c r="AJ203" s="0" t="str">
        <f aca="false">IF(M203&lt;&gt;"Sí","",IF(AL203=1,B203,INDEX($AJ:$AJ,AI203)))</f>
        <v/>
      </c>
      <c r="AK203" s="0" t="str">
        <f aca="false">IF(M203&lt;&gt;"Sí","",IF(AL203=1,E203,INDEX($AK:$AK,AI203)+E203))</f>
        <v/>
      </c>
      <c r="AL203" s="0" t="str">
        <f aca="false">IF(M203&lt;&gt;"Sí","",IF(AI203=0,1,IF(INDEX($AN:$AN,AI203)=0,1,IF(B203&gt;=EDATE(INDEX($AJ:$AJ,AI203),6),1,0))))</f>
        <v/>
      </c>
      <c r="AM203" s="0" t="str">
        <f aca="false">IF(D203="","",IFERROR(MATCH(D203,CATÁLOGO!$C$5:$C$39,0),""))</f>
        <v/>
      </c>
      <c r="AN203" s="0" t="str">
        <f aca="false">IF(M203&lt;&gt;"Sí","",IF(AND(ISNUMBER(AE203),AK203&gt;=AE203),0,1))</f>
        <v/>
      </c>
      <c r="AO203" s="0" t="str">
        <f aca="false">IF(OR(E203="",C203="",NOT(ISNUMBER(B203))),"",SUMIFS($E$6:$E$505,$C$6:$C$505,C203,$B$6:$B$505,"&gt;="&amp;DATE(YEAR(B203),MONTH(B203),1),$B$6:$B$505,"&lt;"&amp;DATE(YEAR(B203),MONTH(B203)+1,1)))</f>
        <v/>
      </c>
      <c r="AP203" s="0" t="str">
        <f aca="false">IF(C203="","",IFERROR(INDEX(CLIENTES!$M$6:$M$305,MATCH(C203,CLIENTES!$A$6:$A$305,0)),""))</f>
        <v/>
      </c>
      <c r="AQ203" s="27" t="n">
        <f aca="false">IF(AND(ISNUMBER(AO203),ISNUMBER(AP203)),IF(AND(AP203&gt;0,AO203&gt;AP203),1,0),0)</f>
        <v>0</v>
      </c>
      <c r="AR203" s="27" t="n">
        <f aca="false">IF(NOT(ISNUMBER(B203)),0,IF(B203&lt;MAX($B$5:B202),1,0))</f>
        <v>0</v>
      </c>
      <c r="AS203" s="0" t="str">
        <f aca="false">IF(C203="","",IFERROR(INDEX(CLIENTES!$H$6:$H$305,MATCH(C203,CLIENTES!$A$6:$A$305,0)),""))</f>
        <v/>
      </c>
      <c r="AT203" s="0" t="str">
        <f aca="false">IF(AND(LEFT(P203,5)="AVISO",T203&lt;&gt;"Presentado",ISNUMBER(Q203)),Q203,"")</f>
        <v/>
      </c>
      <c r="AU203" s="27" t="n">
        <f aca="false">IF(AND(D203="XVI - Activos virtuales (PSAV): operación de intercambio/transferencia",M203="Sí",ISNUMBER(AE203)),IF(AK203&gt;=AE203,1,0),0)</f>
        <v>0</v>
      </c>
      <c r="AV203" s="30" t="n">
        <f aca="false">IF(NOT(ISNUMBER(B203)),CONFIG!$B$4,IFERROR(INDEX(CONFIG!$I$5:$I$14,MATCH(IF(MONTH(B203)=1,YEAR(B203)-1,YEAR(B203)),CONFIG!$H$5:$H$14,0)),CONFIG!$B$4))</f>
        <v>117.31</v>
      </c>
      <c r="AW203" s="27" t="n">
        <f aca="false">IF(AND(LEFT(D203,4)="I - ",ISNUMBER(B203),C203&lt;&gt;""),SUMIFS($E$6:$E$505,$C$6:$C$505,C203,$D$6:$D$505,D203,$B$6:$B$505,"&gt;"&amp;(B203-1),$B$6:$B$505,"&lt;="&amp;B203),0)</f>
        <v>0</v>
      </c>
      <c r="AX203" s="0" t="str">
        <f aca="false">IF(E203="","",IF(AD203="Siempre","AVISO (siempre)",IF(AD203="No aplica","Sin Aviso (sólo preparas: Ley 17 XI)",IF(NOT(ISNUMBER(AE203)),"",IF(AA203&lt;&gt;"ACUMULA",IF(E203&gt;=AE203,IF(AND(D203="XVI - Activos virtuales (PSAV): cobro de contraprestación (comisión) por el servicio",COUNTIFS($C$6:$C$505,C203,$B$6:$B$505,"&gt;="&amp;INT(B203),$B$6:$B$505,"&lt;"&amp;(INT(B203)+1),$AU$6:$AU$505,1)&gt;0),"En el Aviso del inciso a) (R 31 Bis)","AVISO"),"—"),IF(M203&lt;&gt;"Sí","—",IF(AK203&gt;=AE203,IF(AK203=E203,"AVISO","AVISO (acumulado)"),"Acumulando")))))))</f>
        <v/>
      </c>
    </row>
    <row r="204" customFormat="false" ht="15" hidden="false" customHeight="false" outlineLevel="0" collapsed="false">
      <c r="A204" s="9" t="str">
        <f aca="false">IF(E204="","",ROW()-5)</f>
        <v/>
      </c>
      <c r="B204" s="20"/>
      <c r="C204" s="21"/>
      <c r="D204" s="21"/>
      <c r="E204" s="22"/>
      <c r="F204" s="22"/>
      <c r="G204" s="21"/>
      <c r="H204" s="21"/>
      <c r="I204" s="9" t="str">
        <f aca="false">IF(C204="","",IFERROR(INDEX(CLIENTES!$B$6:$B$305,MATCH(C204,CLIENTES!$A$6:$A$305,0)),"⚠ ID no registrado"))</f>
        <v/>
      </c>
      <c r="J204" s="9" t="str">
        <f aca="false">IF(C204="","",IFERROR(INDEX(CLIENTES!$Z$6:$Z$305,MATCH(C204,CLIENTES!$A$6:$A$305,0)),""))</f>
        <v/>
      </c>
      <c r="K204" s="9" t="str">
        <f aca="false">IF(E204="","",IF(AB204="Siempre","Sí",IF(ISNUMBER(AC204),IF(E204&gt;=AC204,"Sí",IF(AW204&gt;=AC204,"Sí (serie 24 h)","No")),"")))</f>
        <v/>
      </c>
      <c r="L204" s="9" t="str">
        <f aca="false">IF(E204="","",AA204)</f>
        <v/>
      </c>
      <c r="M204" s="9" t="str">
        <f aca="false">IF(E204="","",IF(AA204&lt;&gt;"ACUMULA","No aplica",IF(LEFT(K204,2)="Sí","Sí","No")))</f>
        <v/>
      </c>
      <c r="N204" s="23" t="str">
        <f aca="false">IF(M204="Sí",AJ204,"")</f>
        <v/>
      </c>
      <c r="O204" s="24" t="str">
        <f aca="false">IF(M204="Sí",AK204,"")</f>
        <v/>
      </c>
      <c r="P204" s="25" t="str">
        <f aca="false">IF(AND(LEFT(D204,6)="XIV - ",LEFT(AX204,5)="AVISO"),"Pedimento (R 16): no va al SPPLD",AX204)</f>
        <v/>
      </c>
      <c r="Q204" s="23" t="str">
        <f aca="false">IF(LEFT(P204,5)="AVISO",IF(ISNUMBER(B204),DATE(YEAR(B204),MONTH(B204)+1,17),"Falta fecha"),"")</f>
        <v/>
      </c>
      <c r="R204" s="9" t="str">
        <f aca="false">IF(OR(F204="",F204=0),"",IF(ISNUMBER(AG204),IF(F204&gt;=AG204,"PROHIBIDO","Dentro del límite"),"No aplica"))</f>
        <v/>
      </c>
      <c r="S204" s="26" t="str">
        <f aca="false">IF(E204="","",MID(IF(AQ204=1," · Excede el perfil declarado","")&amp;IF(H204="Sí"," · Paga un tercero","")&amp;IF(J204="Alto"," · Cliente de riesgo alto: DDR (RCG 23 Ter 3 y 4)","")&amp;IF(AND(AS204&lt;&gt;"",AS204&lt;&gt;"No",AS204&lt;&gt;0)," · PEP","")&amp;IF(R204="PROHIBIDO"," · Efectivo prohibido: no lo recibas (Art. 32)","")&amp;IF(AR204=1," · ⚠ Fecha fuera de orden","")&amp;IF(LEFT(I204,1)="⚠"," · ⚠ Cliente no registrado","")&amp;IF(D204=""," · ⚠ Falta la actividad","")&amp;IF(AND(LEFT(P204,5)="AVISO",W204="")," · Captura la cifra total con IVA para el Aviso","")&amp;IF(AND(ISNUMBER(W204),W204&lt;E204)," · ⚠ La cifra con IVA es menor que el monto sin IVA",""),4,400))</f>
        <v/>
      </c>
      <c r="T204" s="21"/>
      <c r="U204" s="20"/>
      <c r="V204" s="9" t="str">
        <f aca="false">IF(LEFT(P204,5)&lt;&gt;"AVISO","",IF(T204="Presentado",IF(AND(ISNUMBER(U204),ISNUMBER(Q204),U204&gt;Q204),"Presentado tarde","Presentado"),IF(NOT(ISNUMBER(Q204)),"Falta fecha",IF(Q204&lt;CONFIG!$B$6,"VENCIDO","Vence en "&amp;(Q204-CONFIG!$B$6)&amp;" días"))))</f>
        <v/>
      </c>
      <c r="W204" s="22"/>
      <c r="X204" s="21"/>
      <c r="AA204" s="0" t="str">
        <f aca="false">IF(AM204="","",INDEX(CATÁLOGO!$D$5:$D$39,AM204))</f>
        <v/>
      </c>
      <c r="AB204" s="0" t="str">
        <f aca="false">IF(AM204="","",INDEX(CATÁLOGO!$E$5:$E$39,AM204))</f>
        <v/>
      </c>
      <c r="AC204" s="0" t="str">
        <f aca="false">IF(AB204="","",IF(ISNUMBER(AB204),AB204*AV204,AB204))</f>
        <v/>
      </c>
      <c r="AD204" s="0" t="str">
        <f aca="false">IF(AM204="","",INDEX(CATÁLOGO!$F$5:$F$39,AM204))</f>
        <v/>
      </c>
      <c r="AE204" s="0" t="str">
        <f aca="false">IF(AD204="","",IF(ISNUMBER(AD204),AD204*AV204,AD204))</f>
        <v/>
      </c>
      <c r="AF204" s="0" t="str">
        <f aca="false">IF(AM204="","",INDEX(CATÁLOGO!$G$5:$G$39,AM204))</f>
        <v/>
      </c>
      <c r="AG204" s="0" t="str">
        <f aca="false">IF(AF204="","",IF(ISNUMBER(AF204),AF204*AV204,AF204))</f>
        <v/>
      </c>
      <c r="AH204" s="0" t="str">
        <f aca="false">IF(E204="","",C204&amp;"|"&amp;D204)</f>
        <v/>
      </c>
      <c r="AI204" s="27" t="n">
        <f aca="false">IF(M204&lt;&gt;"Sí",0,SUMPRODUCT(MAX(($AH$5:AH203=AH204)*($M$5:M203="Sí")*ROW($AH$5:AH203))))</f>
        <v>0</v>
      </c>
      <c r="AJ204" s="0" t="str">
        <f aca="false">IF(M204&lt;&gt;"Sí","",IF(AL204=1,B204,INDEX($AJ:$AJ,AI204)))</f>
        <v/>
      </c>
      <c r="AK204" s="0" t="str">
        <f aca="false">IF(M204&lt;&gt;"Sí","",IF(AL204=1,E204,INDEX($AK:$AK,AI204)+E204))</f>
        <v/>
      </c>
      <c r="AL204" s="0" t="str">
        <f aca="false">IF(M204&lt;&gt;"Sí","",IF(AI204=0,1,IF(INDEX($AN:$AN,AI204)=0,1,IF(B204&gt;=EDATE(INDEX($AJ:$AJ,AI204),6),1,0))))</f>
        <v/>
      </c>
      <c r="AM204" s="0" t="str">
        <f aca="false">IF(D204="","",IFERROR(MATCH(D204,CATÁLOGO!$C$5:$C$39,0),""))</f>
        <v/>
      </c>
      <c r="AN204" s="0" t="str">
        <f aca="false">IF(M204&lt;&gt;"Sí","",IF(AND(ISNUMBER(AE204),AK204&gt;=AE204),0,1))</f>
        <v/>
      </c>
      <c r="AO204" s="0" t="str">
        <f aca="false">IF(OR(E204="",C204="",NOT(ISNUMBER(B204))),"",SUMIFS($E$6:$E$505,$C$6:$C$505,C204,$B$6:$B$505,"&gt;="&amp;DATE(YEAR(B204),MONTH(B204),1),$B$6:$B$505,"&lt;"&amp;DATE(YEAR(B204),MONTH(B204)+1,1)))</f>
        <v/>
      </c>
      <c r="AP204" s="0" t="str">
        <f aca="false">IF(C204="","",IFERROR(INDEX(CLIENTES!$M$6:$M$305,MATCH(C204,CLIENTES!$A$6:$A$305,0)),""))</f>
        <v/>
      </c>
      <c r="AQ204" s="27" t="n">
        <f aca="false">IF(AND(ISNUMBER(AO204),ISNUMBER(AP204)),IF(AND(AP204&gt;0,AO204&gt;AP204),1,0),0)</f>
        <v>0</v>
      </c>
      <c r="AR204" s="27" t="n">
        <f aca="false">IF(NOT(ISNUMBER(B204)),0,IF(B204&lt;MAX($B$5:B203),1,0))</f>
        <v>0</v>
      </c>
      <c r="AS204" s="0" t="str">
        <f aca="false">IF(C204="","",IFERROR(INDEX(CLIENTES!$H$6:$H$305,MATCH(C204,CLIENTES!$A$6:$A$305,0)),""))</f>
        <v/>
      </c>
      <c r="AT204" s="0" t="str">
        <f aca="false">IF(AND(LEFT(P204,5)="AVISO",T204&lt;&gt;"Presentado",ISNUMBER(Q204)),Q204,"")</f>
        <v/>
      </c>
      <c r="AU204" s="27" t="n">
        <f aca="false">IF(AND(D204="XVI - Activos virtuales (PSAV): operación de intercambio/transferencia",M204="Sí",ISNUMBER(AE204)),IF(AK204&gt;=AE204,1,0),0)</f>
        <v>0</v>
      </c>
      <c r="AV204" s="30" t="n">
        <f aca="false">IF(NOT(ISNUMBER(B204)),CONFIG!$B$4,IFERROR(INDEX(CONFIG!$I$5:$I$14,MATCH(IF(MONTH(B204)=1,YEAR(B204)-1,YEAR(B204)),CONFIG!$H$5:$H$14,0)),CONFIG!$B$4))</f>
        <v>117.31</v>
      </c>
      <c r="AW204" s="27" t="n">
        <f aca="false">IF(AND(LEFT(D204,4)="I - ",ISNUMBER(B204),C204&lt;&gt;""),SUMIFS($E$6:$E$505,$C$6:$C$505,C204,$D$6:$D$505,D204,$B$6:$B$505,"&gt;"&amp;(B204-1),$B$6:$B$505,"&lt;="&amp;B204),0)</f>
        <v>0</v>
      </c>
      <c r="AX204" s="0" t="str">
        <f aca="false">IF(E204="","",IF(AD204="Siempre","AVISO (siempre)",IF(AD204="No aplica","Sin Aviso (sólo preparas: Ley 17 XI)",IF(NOT(ISNUMBER(AE204)),"",IF(AA204&lt;&gt;"ACUMULA",IF(E204&gt;=AE204,IF(AND(D204="XVI - Activos virtuales (PSAV): cobro de contraprestación (comisión) por el servicio",COUNTIFS($C$6:$C$505,C204,$B$6:$B$505,"&gt;="&amp;INT(B204),$B$6:$B$505,"&lt;"&amp;(INT(B204)+1),$AU$6:$AU$505,1)&gt;0),"En el Aviso del inciso a) (R 31 Bis)","AVISO"),"—"),IF(M204&lt;&gt;"Sí","—",IF(AK204&gt;=AE204,IF(AK204=E204,"AVISO","AVISO (acumulado)"),"Acumulando")))))))</f>
        <v/>
      </c>
    </row>
    <row r="205" customFormat="false" ht="15" hidden="false" customHeight="false" outlineLevel="0" collapsed="false">
      <c r="A205" s="9" t="str">
        <f aca="false">IF(E205="","",ROW()-5)</f>
        <v/>
      </c>
      <c r="B205" s="20"/>
      <c r="C205" s="21"/>
      <c r="D205" s="21"/>
      <c r="E205" s="22"/>
      <c r="F205" s="22"/>
      <c r="G205" s="21"/>
      <c r="H205" s="21"/>
      <c r="I205" s="9" t="str">
        <f aca="false">IF(C205="","",IFERROR(INDEX(CLIENTES!$B$6:$B$305,MATCH(C205,CLIENTES!$A$6:$A$305,0)),"⚠ ID no registrado"))</f>
        <v/>
      </c>
      <c r="J205" s="9" t="str">
        <f aca="false">IF(C205="","",IFERROR(INDEX(CLIENTES!$Z$6:$Z$305,MATCH(C205,CLIENTES!$A$6:$A$305,0)),""))</f>
        <v/>
      </c>
      <c r="K205" s="9" t="str">
        <f aca="false">IF(E205="","",IF(AB205="Siempre","Sí",IF(ISNUMBER(AC205),IF(E205&gt;=AC205,"Sí",IF(AW205&gt;=AC205,"Sí (serie 24 h)","No")),"")))</f>
        <v/>
      </c>
      <c r="L205" s="9" t="str">
        <f aca="false">IF(E205="","",AA205)</f>
        <v/>
      </c>
      <c r="M205" s="9" t="str">
        <f aca="false">IF(E205="","",IF(AA205&lt;&gt;"ACUMULA","No aplica",IF(LEFT(K205,2)="Sí","Sí","No")))</f>
        <v/>
      </c>
      <c r="N205" s="23" t="str">
        <f aca="false">IF(M205="Sí",AJ205,"")</f>
        <v/>
      </c>
      <c r="O205" s="24" t="str">
        <f aca="false">IF(M205="Sí",AK205,"")</f>
        <v/>
      </c>
      <c r="P205" s="25" t="str">
        <f aca="false">IF(AND(LEFT(D205,6)="XIV - ",LEFT(AX205,5)="AVISO"),"Pedimento (R 16): no va al SPPLD",AX205)</f>
        <v/>
      </c>
      <c r="Q205" s="23" t="str">
        <f aca="false">IF(LEFT(P205,5)="AVISO",IF(ISNUMBER(B205),DATE(YEAR(B205),MONTH(B205)+1,17),"Falta fecha"),"")</f>
        <v/>
      </c>
      <c r="R205" s="9" t="str">
        <f aca="false">IF(OR(F205="",F205=0),"",IF(ISNUMBER(AG205),IF(F205&gt;=AG205,"PROHIBIDO","Dentro del límite"),"No aplica"))</f>
        <v/>
      </c>
      <c r="S205" s="26" t="str">
        <f aca="false">IF(E205="","",MID(IF(AQ205=1," · Excede el perfil declarado","")&amp;IF(H205="Sí"," · Paga un tercero","")&amp;IF(J205="Alto"," · Cliente de riesgo alto: DDR (RCG 23 Ter 3 y 4)","")&amp;IF(AND(AS205&lt;&gt;"",AS205&lt;&gt;"No",AS205&lt;&gt;0)," · PEP","")&amp;IF(R205="PROHIBIDO"," · Efectivo prohibido: no lo recibas (Art. 32)","")&amp;IF(AR205=1," · ⚠ Fecha fuera de orden","")&amp;IF(LEFT(I205,1)="⚠"," · ⚠ Cliente no registrado","")&amp;IF(D205=""," · ⚠ Falta la actividad","")&amp;IF(AND(LEFT(P205,5)="AVISO",W205="")," · Captura la cifra total con IVA para el Aviso","")&amp;IF(AND(ISNUMBER(W205),W205&lt;E205)," · ⚠ La cifra con IVA es menor que el monto sin IVA",""),4,400))</f>
        <v/>
      </c>
      <c r="T205" s="21"/>
      <c r="U205" s="20"/>
      <c r="V205" s="9" t="str">
        <f aca="false">IF(LEFT(P205,5)&lt;&gt;"AVISO","",IF(T205="Presentado",IF(AND(ISNUMBER(U205),ISNUMBER(Q205),U205&gt;Q205),"Presentado tarde","Presentado"),IF(NOT(ISNUMBER(Q205)),"Falta fecha",IF(Q205&lt;CONFIG!$B$6,"VENCIDO","Vence en "&amp;(Q205-CONFIG!$B$6)&amp;" días"))))</f>
        <v/>
      </c>
      <c r="W205" s="22"/>
      <c r="X205" s="21"/>
      <c r="AA205" s="0" t="str">
        <f aca="false">IF(AM205="","",INDEX(CATÁLOGO!$D$5:$D$39,AM205))</f>
        <v/>
      </c>
      <c r="AB205" s="0" t="str">
        <f aca="false">IF(AM205="","",INDEX(CATÁLOGO!$E$5:$E$39,AM205))</f>
        <v/>
      </c>
      <c r="AC205" s="0" t="str">
        <f aca="false">IF(AB205="","",IF(ISNUMBER(AB205),AB205*AV205,AB205))</f>
        <v/>
      </c>
      <c r="AD205" s="0" t="str">
        <f aca="false">IF(AM205="","",INDEX(CATÁLOGO!$F$5:$F$39,AM205))</f>
        <v/>
      </c>
      <c r="AE205" s="0" t="str">
        <f aca="false">IF(AD205="","",IF(ISNUMBER(AD205),AD205*AV205,AD205))</f>
        <v/>
      </c>
      <c r="AF205" s="0" t="str">
        <f aca="false">IF(AM205="","",INDEX(CATÁLOGO!$G$5:$G$39,AM205))</f>
        <v/>
      </c>
      <c r="AG205" s="0" t="str">
        <f aca="false">IF(AF205="","",IF(ISNUMBER(AF205),AF205*AV205,AF205))</f>
        <v/>
      </c>
      <c r="AH205" s="0" t="str">
        <f aca="false">IF(E205="","",C205&amp;"|"&amp;D205)</f>
        <v/>
      </c>
      <c r="AI205" s="27" t="n">
        <f aca="false">IF(M205&lt;&gt;"Sí",0,SUMPRODUCT(MAX(($AH$5:AH204=AH205)*($M$5:M204="Sí")*ROW($AH$5:AH204))))</f>
        <v>0</v>
      </c>
      <c r="AJ205" s="0" t="str">
        <f aca="false">IF(M205&lt;&gt;"Sí","",IF(AL205=1,B205,INDEX($AJ:$AJ,AI205)))</f>
        <v/>
      </c>
      <c r="AK205" s="0" t="str">
        <f aca="false">IF(M205&lt;&gt;"Sí","",IF(AL205=1,E205,INDEX($AK:$AK,AI205)+E205))</f>
        <v/>
      </c>
      <c r="AL205" s="0" t="str">
        <f aca="false">IF(M205&lt;&gt;"Sí","",IF(AI205=0,1,IF(INDEX($AN:$AN,AI205)=0,1,IF(B205&gt;=EDATE(INDEX($AJ:$AJ,AI205),6),1,0))))</f>
        <v/>
      </c>
      <c r="AM205" s="0" t="str">
        <f aca="false">IF(D205="","",IFERROR(MATCH(D205,CATÁLOGO!$C$5:$C$39,0),""))</f>
        <v/>
      </c>
      <c r="AN205" s="0" t="str">
        <f aca="false">IF(M205&lt;&gt;"Sí","",IF(AND(ISNUMBER(AE205),AK205&gt;=AE205),0,1))</f>
        <v/>
      </c>
      <c r="AO205" s="0" t="str">
        <f aca="false">IF(OR(E205="",C205="",NOT(ISNUMBER(B205))),"",SUMIFS($E$6:$E$505,$C$6:$C$505,C205,$B$6:$B$505,"&gt;="&amp;DATE(YEAR(B205),MONTH(B205),1),$B$6:$B$505,"&lt;"&amp;DATE(YEAR(B205),MONTH(B205)+1,1)))</f>
        <v/>
      </c>
      <c r="AP205" s="0" t="str">
        <f aca="false">IF(C205="","",IFERROR(INDEX(CLIENTES!$M$6:$M$305,MATCH(C205,CLIENTES!$A$6:$A$305,0)),""))</f>
        <v/>
      </c>
      <c r="AQ205" s="27" t="n">
        <f aca="false">IF(AND(ISNUMBER(AO205),ISNUMBER(AP205)),IF(AND(AP205&gt;0,AO205&gt;AP205),1,0),0)</f>
        <v>0</v>
      </c>
      <c r="AR205" s="27" t="n">
        <f aca="false">IF(NOT(ISNUMBER(B205)),0,IF(B205&lt;MAX($B$5:B204),1,0))</f>
        <v>0</v>
      </c>
      <c r="AS205" s="0" t="str">
        <f aca="false">IF(C205="","",IFERROR(INDEX(CLIENTES!$H$6:$H$305,MATCH(C205,CLIENTES!$A$6:$A$305,0)),""))</f>
        <v/>
      </c>
      <c r="AT205" s="0" t="str">
        <f aca="false">IF(AND(LEFT(P205,5)="AVISO",T205&lt;&gt;"Presentado",ISNUMBER(Q205)),Q205,"")</f>
        <v/>
      </c>
      <c r="AU205" s="27" t="n">
        <f aca="false">IF(AND(D205="XVI - Activos virtuales (PSAV): operación de intercambio/transferencia",M205="Sí",ISNUMBER(AE205)),IF(AK205&gt;=AE205,1,0),0)</f>
        <v>0</v>
      </c>
      <c r="AV205" s="30" t="n">
        <f aca="false">IF(NOT(ISNUMBER(B205)),CONFIG!$B$4,IFERROR(INDEX(CONFIG!$I$5:$I$14,MATCH(IF(MONTH(B205)=1,YEAR(B205)-1,YEAR(B205)),CONFIG!$H$5:$H$14,0)),CONFIG!$B$4))</f>
        <v>117.31</v>
      </c>
      <c r="AW205" s="27" t="n">
        <f aca="false">IF(AND(LEFT(D205,4)="I - ",ISNUMBER(B205),C205&lt;&gt;""),SUMIFS($E$6:$E$505,$C$6:$C$505,C205,$D$6:$D$505,D205,$B$6:$B$505,"&gt;"&amp;(B205-1),$B$6:$B$505,"&lt;="&amp;B205),0)</f>
        <v>0</v>
      </c>
      <c r="AX205" s="0" t="str">
        <f aca="false">IF(E205="","",IF(AD205="Siempre","AVISO (siempre)",IF(AD205="No aplica","Sin Aviso (sólo preparas: Ley 17 XI)",IF(NOT(ISNUMBER(AE205)),"",IF(AA205&lt;&gt;"ACUMULA",IF(E205&gt;=AE205,IF(AND(D205="XVI - Activos virtuales (PSAV): cobro de contraprestación (comisión) por el servicio",COUNTIFS($C$6:$C$505,C205,$B$6:$B$505,"&gt;="&amp;INT(B205),$B$6:$B$505,"&lt;"&amp;(INT(B205)+1),$AU$6:$AU$505,1)&gt;0),"En el Aviso del inciso a) (R 31 Bis)","AVISO"),"—"),IF(M205&lt;&gt;"Sí","—",IF(AK205&gt;=AE205,IF(AK205=E205,"AVISO","AVISO (acumulado)"),"Acumulando")))))))</f>
        <v/>
      </c>
    </row>
    <row r="206" customFormat="false" ht="15" hidden="false" customHeight="false" outlineLevel="0" collapsed="false">
      <c r="A206" s="9" t="str">
        <f aca="false">IF(E206="","",ROW()-5)</f>
        <v/>
      </c>
      <c r="B206" s="20"/>
      <c r="C206" s="21"/>
      <c r="D206" s="21"/>
      <c r="E206" s="22"/>
      <c r="F206" s="22"/>
      <c r="G206" s="21"/>
      <c r="H206" s="21"/>
      <c r="I206" s="9" t="str">
        <f aca="false">IF(C206="","",IFERROR(INDEX(CLIENTES!$B$6:$B$305,MATCH(C206,CLIENTES!$A$6:$A$305,0)),"⚠ ID no registrado"))</f>
        <v/>
      </c>
      <c r="J206" s="9" t="str">
        <f aca="false">IF(C206="","",IFERROR(INDEX(CLIENTES!$Z$6:$Z$305,MATCH(C206,CLIENTES!$A$6:$A$305,0)),""))</f>
        <v/>
      </c>
      <c r="K206" s="9" t="str">
        <f aca="false">IF(E206="","",IF(AB206="Siempre","Sí",IF(ISNUMBER(AC206),IF(E206&gt;=AC206,"Sí",IF(AW206&gt;=AC206,"Sí (serie 24 h)","No")),"")))</f>
        <v/>
      </c>
      <c r="L206" s="9" t="str">
        <f aca="false">IF(E206="","",AA206)</f>
        <v/>
      </c>
      <c r="M206" s="9" t="str">
        <f aca="false">IF(E206="","",IF(AA206&lt;&gt;"ACUMULA","No aplica",IF(LEFT(K206,2)="Sí","Sí","No")))</f>
        <v/>
      </c>
      <c r="N206" s="23" t="str">
        <f aca="false">IF(M206="Sí",AJ206,"")</f>
        <v/>
      </c>
      <c r="O206" s="24" t="str">
        <f aca="false">IF(M206="Sí",AK206,"")</f>
        <v/>
      </c>
      <c r="P206" s="25" t="str">
        <f aca="false">IF(AND(LEFT(D206,6)="XIV - ",LEFT(AX206,5)="AVISO"),"Pedimento (R 16): no va al SPPLD",AX206)</f>
        <v/>
      </c>
      <c r="Q206" s="23" t="str">
        <f aca="false">IF(LEFT(P206,5)="AVISO",IF(ISNUMBER(B206),DATE(YEAR(B206),MONTH(B206)+1,17),"Falta fecha"),"")</f>
        <v/>
      </c>
      <c r="R206" s="9" t="str">
        <f aca="false">IF(OR(F206="",F206=0),"",IF(ISNUMBER(AG206),IF(F206&gt;=AG206,"PROHIBIDO","Dentro del límite"),"No aplica"))</f>
        <v/>
      </c>
      <c r="S206" s="26" t="str">
        <f aca="false">IF(E206="","",MID(IF(AQ206=1," · Excede el perfil declarado","")&amp;IF(H206="Sí"," · Paga un tercero","")&amp;IF(J206="Alto"," · Cliente de riesgo alto: DDR (RCG 23 Ter 3 y 4)","")&amp;IF(AND(AS206&lt;&gt;"",AS206&lt;&gt;"No",AS206&lt;&gt;0)," · PEP","")&amp;IF(R206="PROHIBIDO"," · Efectivo prohibido: no lo recibas (Art. 32)","")&amp;IF(AR206=1," · ⚠ Fecha fuera de orden","")&amp;IF(LEFT(I206,1)="⚠"," · ⚠ Cliente no registrado","")&amp;IF(D206=""," · ⚠ Falta la actividad","")&amp;IF(AND(LEFT(P206,5)="AVISO",W206="")," · Captura la cifra total con IVA para el Aviso","")&amp;IF(AND(ISNUMBER(W206),W206&lt;E206)," · ⚠ La cifra con IVA es menor que el monto sin IVA",""),4,400))</f>
        <v/>
      </c>
      <c r="T206" s="21"/>
      <c r="U206" s="20"/>
      <c r="V206" s="9" t="str">
        <f aca="false">IF(LEFT(P206,5)&lt;&gt;"AVISO","",IF(T206="Presentado",IF(AND(ISNUMBER(U206),ISNUMBER(Q206),U206&gt;Q206),"Presentado tarde","Presentado"),IF(NOT(ISNUMBER(Q206)),"Falta fecha",IF(Q206&lt;CONFIG!$B$6,"VENCIDO","Vence en "&amp;(Q206-CONFIG!$B$6)&amp;" días"))))</f>
        <v/>
      </c>
      <c r="W206" s="22"/>
      <c r="X206" s="21"/>
      <c r="AA206" s="0" t="str">
        <f aca="false">IF(AM206="","",INDEX(CATÁLOGO!$D$5:$D$39,AM206))</f>
        <v/>
      </c>
      <c r="AB206" s="0" t="str">
        <f aca="false">IF(AM206="","",INDEX(CATÁLOGO!$E$5:$E$39,AM206))</f>
        <v/>
      </c>
      <c r="AC206" s="0" t="str">
        <f aca="false">IF(AB206="","",IF(ISNUMBER(AB206),AB206*AV206,AB206))</f>
        <v/>
      </c>
      <c r="AD206" s="0" t="str">
        <f aca="false">IF(AM206="","",INDEX(CATÁLOGO!$F$5:$F$39,AM206))</f>
        <v/>
      </c>
      <c r="AE206" s="0" t="str">
        <f aca="false">IF(AD206="","",IF(ISNUMBER(AD206),AD206*AV206,AD206))</f>
        <v/>
      </c>
      <c r="AF206" s="0" t="str">
        <f aca="false">IF(AM206="","",INDEX(CATÁLOGO!$G$5:$G$39,AM206))</f>
        <v/>
      </c>
      <c r="AG206" s="0" t="str">
        <f aca="false">IF(AF206="","",IF(ISNUMBER(AF206),AF206*AV206,AF206))</f>
        <v/>
      </c>
      <c r="AH206" s="0" t="str">
        <f aca="false">IF(E206="","",C206&amp;"|"&amp;D206)</f>
        <v/>
      </c>
      <c r="AI206" s="27" t="n">
        <f aca="false">IF(M206&lt;&gt;"Sí",0,SUMPRODUCT(MAX(($AH$5:AH205=AH206)*($M$5:M205="Sí")*ROW($AH$5:AH205))))</f>
        <v>0</v>
      </c>
      <c r="AJ206" s="0" t="str">
        <f aca="false">IF(M206&lt;&gt;"Sí","",IF(AL206=1,B206,INDEX($AJ:$AJ,AI206)))</f>
        <v/>
      </c>
      <c r="AK206" s="0" t="str">
        <f aca="false">IF(M206&lt;&gt;"Sí","",IF(AL206=1,E206,INDEX($AK:$AK,AI206)+E206))</f>
        <v/>
      </c>
      <c r="AL206" s="0" t="str">
        <f aca="false">IF(M206&lt;&gt;"Sí","",IF(AI206=0,1,IF(INDEX($AN:$AN,AI206)=0,1,IF(B206&gt;=EDATE(INDEX($AJ:$AJ,AI206),6),1,0))))</f>
        <v/>
      </c>
      <c r="AM206" s="0" t="str">
        <f aca="false">IF(D206="","",IFERROR(MATCH(D206,CATÁLOGO!$C$5:$C$39,0),""))</f>
        <v/>
      </c>
      <c r="AN206" s="0" t="str">
        <f aca="false">IF(M206&lt;&gt;"Sí","",IF(AND(ISNUMBER(AE206),AK206&gt;=AE206),0,1))</f>
        <v/>
      </c>
      <c r="AO206" s="0" t="str">
        <f aca="false">IF(OR(E206="",C206="",NOT(ISNUMBER(B206))),"",SUMIFS($E$6:$E$505,$C$6:$C$505,C206,$B$6:$B$505,"&gt;="&amp;DATE(YEAR(B206),MONTH(B206),1),$B$6:$B$505,"&lt;"&amp;DATE(YEAR(B206),MONTH(B206)+1,1)))</f>
        <v/>
      </c>
      <c r="AP206" s="0" t="str">
        <f aca="false">IF(C206="","",IFERROR(INDEX(CLIENTES!$M$6:$M$305,MATCH(C206,CLIENTES!$A$6:$A$305,0)),""))</f>
        <v/>
      </c>
      <c r="AQ206" s="27" t="n">
        <f aca="false">IF(AND(ISNUMBER(AO206),ISNUMBER(AP206)),IF(AND(AP206&gt;0,AO206&gt;AP206),1,0),0)</f>
        <v>0</v>
      </c>
      <c r="AR206" s="27" t="n">
        <f aca="false">IF(NOT(ISNUMBER(B206)),0,IF(B206&lt;MAX($B$5:B205),1,0))</f>
        <v>0</v>
      </c>
      <c r="AS206" s="0" t="str">
        <f aca="false">IF(C206="","",IFERROR(INDEX(CLIENTES!$H$6:$H$305,MATCH(C206,CLIENTES!$A$6:$A$305,0)),""))</f>
        <v/>
      </c>
      <c r="AT206" s="0" t="str">
        <f aca="false">IF(AND(LEFT(P206,5)="AVISO",T206&lt;&gt;"Presentado",ISNUMBER(Q206)),Q206,"")</f>
        <v/>
      </c>
      <c r="AU206" s="27" t="n">
        <f aca="false">IF(AND(D206="XVI - Activos virtuales (PSAV): operación de intercambio/transferencia",M206="Sí",ISNUMBER(AE206)),IF(AK206&gt;=AE206,1,0),0)</f>
        <v>0</v>
      </c>
      <c r="AV206" s="30" t="n">
        <f aca="false">IF(NOT(ISNUMBER(B206)),CONFIG!$B$4,IFERROR(INDEX(CONFIG!$I$5:$I$14,MATCH(IF(MONTH(B206)=1,YEAR(B206)-1,YEAR(B206)),CONFIG!$H$5:$H$14,0)),CONFIG!$B$4))</f>
        <v>117.31</v>
      </c>
      <c r="AW206" s="27" t="n">
        <f aca="false">IF(AND(LEFT(D206,4)="I - ",ISNUMBER(B206),C206&lt;&gt;""),SUMIFS($E$6:$E$505,$C$6:$C$505,C206,$D$6:$D$505,D206,$B$6:$B$505,"&gt;"&amp;(B206-1),$B$6:$B$505,"&lt;="&amp;B206),0)</f>
        <v>0</v>
      </c>
      <c r="AX206" s="0" t="str">
        <f aca="false">IF(E206="","",IF(AD206="Siempre","AVISO (siempre)",IF(AD206="No aplica","Sin Aviso (sólo preparas: Ley 17 XI)",IF(NOT(ISNUMBER(AE206)),"",IF(AA206&lt;&gt;"ACUMULA",IF(E206&gt;=AE206,IF(AND(D206="XVI - Activos virtuales (PSAV): cobro de contraprestación (comisión) por el servicio",COUNTIFS($C$6:$C$505,C206,$B$6:$B$505,"&gt;="&amp;INT(B206),$B$6:$B$505,"&lt;"&amp;(INT(B206)+1),$AU$6:$AU$505,1)&gt;0),"En el Aviso del inciso a) (R 31 Bis)","AVISO"),"—"),IF(M206&lt;&gt;"Sí","—",IF(AK206&gt;=AE206,IF(AK206=E206,"AVISO","AVISO (acumulado)"),"Acumulando")))))))</f>
        <v/>
      </c>
    </row>
    <row r="207" customFormat="false" ht="15" hidden="false" customHeight="false" outlineLevel="0" collapsed="false">
      <c r="A207" s="9" t="str">
        <f aca="false">IF(E207="","",ROW()-5)</f>
        <v/>
      </c>
      <c r="B207" s="20"/>
      <c r="C207" s="21"/>
      <c r="D207" s="21"/>
      <c r="E207" s="22"/>
      <c r="F207" s="22"/>
      <c r="G207" s="21"/>
      <c r="H207" s="21"/>
      <c r="I207" s="9" t="str">
        <f aca="false">IF(C207="","",IFERROR(INDEX(CLIENTES!$B$6:$B$305,MATCH(C207,CLIENTES!$A$6:$A$305,0)),"⚠ ID no registrado"))</f>
        <v/>
      </c>
      <c r="J207" s="9" t="str">
        <f aca="false">IF(C207="","",IFERROR(INDEX(CLIENTES!$Z$6:$Z$305,MATCH(C207,CLIENTES!$A$6:$A$305,0)),""))</f>
        <v/>
      </c>
      <c r="K207" s="9" t="str">
        <f aca="false">IF(E207="","",IF(AB207="Siempre","Sí",IF(ISNUMBER(AC207),IF(E207&gt;=AC207,"Sí",IF(AW207&gt;=AC207,"Sí (serie 24 h)","No")),"")))</f>
        <v/>
      </c>
      <c r="L207" s="9" t="str">
        <f aca="false">IF(E207="","",AA207)</f>
        <v/>
      </c>
      <c r="M207" s="9" t="str">
        <f aca="false">IF(E207="","",IF(AA207&lt;&gt;"ACUMULA","No aplica",IF(LEFT(K207,2)="Sí","Sí","No")))</f>
        <v/>
      </c>
      <c r="N207" s="23" t="str">
        <f aca="false">IF(M207="Sí",AJ207,"")</f>
        <v/>
      </c>
      <c r="O207" s="24" t="str">
        <f aca="false">IF(M207="Sí",AK207,"")</f>
        <v/>
      </c>
      <c r="P207" s="25" t="str">
        <f aca="false">IF(AND(LEFT(D207,6)="XIV - ",LEFT(AX207,5)="AVISO"),"Pedimento (R 16): no va al SPPLD",AX207)</f>
        <v/>
      </c>
      <c r="Q207" s="23" t="str">
        <f aca="false">IF(LEFT(P207,5)="AVISO",IF(ISNUMBER(B207),DATE(YEAR(B207),MONTH(B207)+1,17),"Falta fecha"),"")</f>
        <v/>
      </c>
      <c r="R207" s="9" t="str">
        <f aca="false">IF(OR(F207="",F207=0),"",IF(ISNUMBER(AG207),IF(F207&gt;=AG207,"PROHIBIDO","Dentro del límite"),"No aplica"))</f>
        <v/>
      </c>
      <c r="S207" s="26" t="str">
        <f aca="false">IF(E207="","",MID(IF(AQ207=1," · Excede el perfil declarado","")&amp;IF(H207="Sí"," · Paga un tercero","")&amp;IF(J207="Alto"," · Cliente de riesgo alto: DDR (RCG 23 Ter 3 y 4)","")&amp;IF(AND(AS207&lt;&gt;"",AS207&lt;&gt;"No",AS207&lt;&gt;0)," · PEP","")&amp;IF(R207="PROHIBIDO"," · Efectivo prohibido: no lo recibas (Art. 32)","")&amp;IF(AR207=1," · ⚠ Fecha fuera de orden","")&amp;IF(LEFT(I207,1)="⚠"," · ⚠ Cliente no registrado","")&amp;IF(D207=""," · ⚠ Falta la actividad","")&amp;IF(AND(LEFT(P207,5)="AVISO",W207="")," · Captura la cifra total con IVA para el Aviso","")&amp;IF(AND(ISNUMBER(W207),W207&lt;E207)," · ⚠ La cifra con IVA es menor que el monto sin IVA",""),4,400))</f>
        <v/>
      </c>
      <c r="T207" s="21"/>
      <c r="U207" s="20"/>
      <c r="V207" s="9" t="str">
        <f aca="false">IF(LEFT(P207,5)&lt;&gt;"AVISO","",IF(T207="Presentado",IF(AND(ISNUMBER(U207),ISNUMBER(Q207),U207&gt;Q207),"Presentado tarde","Presentado"),IF(NOT(ISNUMBER(Q207)),"Falta fecha",IF(Q207&lt;CONFIG!$B$6,"VENCIDO","Vence en "&amp;(Q207-CONFIG!$B$6)&amp;" días"))))</f>
        <v/>
      </c>
      <c r="W207" s="22"/>
      <c r="X207" s="21"/>
      <c r="AA207" s="0" t="str">
        <f aca="false">IF(AM207="","",INDEX(CATÁLOGO!$D$5:$D$39,AM207))</f>
        <v/>
      </c>
      <c r="AB207" s="0" t="str">
        <f aca="false">IF(AM207="","",INDEX(CATÁLOGO!$E$5:$E$39,AM207))</f>
        <v/>
      </c>
      <c r="AC207" s="0" t="str">
        <f aca="false">IF(AB207="","",IF(ISNUMBER(AB207),AB207*AV207,AB207))</f>
        <v/>
      </c>
      <c r="AD207" s="0" t="str">
        <f aca="false">IF(AM207="","",INDEX(CATÁLOGO!$F$5:$F$39,AM207))</f>
        <v/>
      </c>
      <c r="AE207" s="0" t="str">
        <f aca="false">IF(AD207="","",IF(ISNUMBER(AD207),AD207*AV207,AD207))</f>
        <v/>
      </c>
      <c r="AF207" s="0" t="str">
        <f aca="false">IF(AM207="","",INDEX(CATÁLOGO!$G$5:$G$39,AM207))</f>
        <v/>
      </c>
      <c r="AG207" s="0" t="str">
        <f aca="false">IF(AF207="","",IF(ISNUMBER(AF207),AF207*AV207,AF207))</f>
        <v/>
      </c>
      <c r="AH207" s="0" t="str">
        <f aca="false">IF(E207="","",C207&amp;"|"&amp;D207)</f>
        <v/>
      </c>
      <c r="AI207" s="27" t="n">
        <f aca="false">IF(M207&lt;&gt;"Sí",0,SUMPRODUCT(MAX(($AH$5:AH206=AH207)*($M$5:M206="Sí")*ROW($AH$5:AH206))))</f>
        <v>0</v>
      </c>
      <c r="AJ207" s="0" t="str">
        <f aca="false">IF(M207&lt;&gt;"Sí","",IF(AL207=1,B207,INDEX($AJ:$AJ,AI207)))</f>
        <v/>
      </c>
      <c r="AK207" s="0" t="str">
        <f aca="false">IF(M207&lt;&gt;"Sí","",IF(AL207=1,E207,INDEX($AK:$AK,AI207)+E207))</f>
        <v/>
      </c>
      <c r="AL207" s="0" t="str">
        <f aca="false">IF(M207&lt;&gt;"Sí","",IF(AI207=0,1,IF(INDEX($AN:$AN,AI207)=0,1,IF(B207&gt;=EDATE(INDEX($AJ:$AJ,AI207),6),1,0))))</f>
        <v/>
      </c>
      <c r="AM207" s="0" t="str">
        <f aca="false">IF(D207="","",IFERROR(MATCH(D207,CATÁLOGO!$C$5:$C$39,0),""))</f>
        <v/>
      </c>
      <c r="AN207" s="0" t="str">
        <f aca="false">IF(M207&lt;&gt;"Sí","",IF(AND(ISNUMBER(AE207),AK207&gt;=AE207),0,1))</f>
        <v/>
      </c>
      <c r="AO207" s="0" t="str">
        <f aca="false">IF(OR(E207="",C207="",NOT(ISNUMBER(B207))),"",SUMIFS($E$6:$E$505,$C$6:$C$505,C207,$B$6:$B$505,"&gt;="&amp;DATE(YEAR(B207),MONTH(B207),1),$B$6:$B$505,"&lt;"&amp;DATE(YEAR(B207),MONTH(B207)+1,1)))</f>
        <v/>
      </c>
      <c r="AP207" s="0" t="str">
        <f aca="false">IF(C207="","",IFERROR(INDEX(CLIENTES!$M$6:$M$305,MATCH(C207,CLIENTES!$A$6:$A$305,0)),""))</f>
        <v/>
      </c>
      <c r="AQ207" s="27" t="n">
        <f aca="false">IF(AND(ISNUMBER(AO207),ISNUMBER(AP207)),IF(AND(AP207&gt;0,AO207&gt;AP207),1,0),0)</f>
        <v>0</v>
      </c>
      <c r="AR207" s="27" t="n">
        <f aca="false">IF(NOT(ISNUMBER(B207)),0,IF(B207&lt;MAX($B$5:B206),1,0))</f>
        <v>0</v>
      </c>
      <c r="AS207" s="0" t="str">
        <f aca="false">IF(C207="","",IFERROR(INDEX(CLIENTES!$H$6:$H$305,MATCH(C207,CLIENTES!$A$6:$A$305,0)),""))</f>
        <v/>
      </c>
      <c r="AT207" s="0" t="str">
        <f aca="false">IF(AND(LEFT(P207,5)="AVISO",T207&lt;&gt;"Presentado",ISNUMBER(Q207)),Q207,"")</f>
        <v/>
      </c>
      <c r="AU207" s="27" t="n">
        <f aca="false">IF(AND(D207="XVI - Activos virtuales (PSAV): operación de intercambio/transferencia",M207="Sí",ISNUMBER(AE207)),IF(AK207&gt;=AE207,1,0),0)</f>
        <v>0</v>
      </c>
      <c r="AV207" s="30" t="n">
        <f aca="false">IF(NOT(ISNUMBER(B207)),CONFIG!$B$4,IFERROR(INDEX(CONFIG!$I$5:$I$14,MATCH(IF(MONTH(B207)=1,YEAR(B207)-1,YEAR(B207)),CONFIG!$H$5:$H$14,0)),CONFIG!$B$4))</f>
        <v>117.31</v>
      </c>
      <c r="AW207" s="27" t="n">
        <f aca="false">IF(AND(LEFT(D207,4)="I - ",ISNUMBER(B207),C207&lt;&gt;""),SUMIFS($E$6:$E$505,$C$6:$C$505,C207,$D$6:$D$505,D207,$B$6:$B$505,"&gt;"&amp;(B207-1),$B$6:$B$505,"&lt;="&amp;B207),0)</f>
        <v>0</v>
      </c>
      <c r="AX207" s="0" t="str">
        <f aca="false">IF(E207="","",IF(AD207="Siempre","AVISO (siempre)",IF(AD207="No aplica","Sin Aviso (sólo preparas: Ley 17 XI)",IF(NOT(ISNUMBER(AE207)),"",IF(AA207&lt;&gt;"ACUMULA",IF(E207&gt;=AE207,IF(AND(D207="XVI - Activos virtuales (PSAV): cobro de contraprestación (comisión) por el servicio",COUNTIFS($C$6:$C$505,C207,$B$6:$B$505,"&gt;="&amp;INT(B207),$B$6:$B$505,"&lt;"&amp;(INT(B207)+1),$AU$6:$AU$505,1)&gt;0),"En el Aviso del inciso a) (R 31 Bis)","AVISO"),"—"),IF(M207&lt;&gt;"Sí","—",IF(AK207&gt;=AE207,IF(AK207=E207,"AVISO","AVISO (acumulado)"),"Acumulando")))))))</f>
        <v/>
      </c>
    </row>
    <row r="208" customFormat="false" ht="15" hidden="false" customHeight="false" outlineLevel="0" collapsed="false">
      <c r="A208" s="9" t="str">
        <f aca="false">IF(E208="","",ROW()-5)</f>
        <v/>
      </c>
      <c r="B208" s="20"/>
      <c r="C208" s="21"/>
      <c r="D208" s="21"/>
      <c r="E208" s="22"/>
      <c r="F208" s="22"/>
      <c r="G208" s="21"/>
      <c r="H208" s="21"/>
      <c r="I208" s="9" t="str">
        <f aca="false">IF(C208="","",IFERROR(INDEX(CLIENTES!$B$6:$B$305,MATCH(C208,CLIENTES!$A$6:$A$305,0)),"⚠ ID no registrado"))</f>
        <v/>
      </c>
      <c r="J208" s="9" t="str">
        <f aca="false">IF(C208="","",IFERROR(INDEX(CLIENTES!$Z$6:$Z$305,MATCH(C208,CLIENTES!$A$6:$A$305,0)),""))</f>
        <v/>
      </c>
      <c r="K208" s="9" t="str">
        <f aca="false">IF(E208="","",IF(AB208="Siempre","Sí",IF(ISNUMBER(AC208),IF(E208&gt;=AC208,"Sí",IF(AW208&gt;=AC208,"Sí (serie 24 h)","No")),"")))</f>
        <v/>
      </c>
      <c r="L208" s="9" t="str">
        <f aca="false">IF(E208="","",AA208)</f>
        <v/>
      </c>
      <c r="M208" s="9" t="str">
        <f aca="false">IF(E208="","",IF(AA208&lt;&gt;"ACUMULA","No aplica",IF(LEFT(K208,2)="Sí","Sí","No")))</f>
        <v/>
      </c>
      <c r="N208" s="23" t="str">
        <f aca="false">IF(M208="Sí",AJ208,"")</f>
        <v/>
      </c>
      <c r="O208" s="24" t="str">
        <f aca="false">IF(M208="Sí",AK208,"")</f>
        <v/>
      </c>
      <c r="P208" s="25" t="str">
        <f aca="false">IF(AND(LEFT(D208,6)="XIV - ",LEFT(AX208,5)="AVISO"),"Pedimento (R 16): no va al SPPLD",AX208)</f>
        <v/>
      </c>
      <c r="Q208" s="23" t="str">
        <f aca="false">IF(LEFT(P208,5)="AVISO",IF(ISNUMBER(B208),DATE(YEAR(B208),MONTH(B208)+1,17),"Falta fecha"),"")</f>
        <v/>
      </c>
      <c r="R208" s="9" t="str">
        <f aca="false">IF(OR(F208="",F208=0),"",IF(ISNUMBER(AG208),IF(F208&gt;=AG208,"PROHIBIDO","Dentro del límite"),"No aplica"))</f>
        <v/>
      </c>
      <c r="S208" s="26" t="str">
        <f aca="false">IF(E208="","",MID(IF(AQ208=1," · Excede el perfil declarado","")&amp;IF(H208="Sí"," · Paga un tercero","")&amp;IF(J208="Alto"," · Cliente de riesgo alto: DDR (RCG 23 Ter 3 y 4)","")&amp;IF(AND(AS208&lt;&gt;"",AS208&lt;&gt;"No",AS208&lt;&gt;0)," · PEP","")&amp;IF(R208="PROHIBIDO"," · Efectivo prohibido: no lo recibas (Art. 32)","")&amp;IF(AR208=1," · ⚠ Fecha fuera de orden","")&amp;IF(LEFT(I208,1)="⚠"," · ⚠ Cliente no registrado","")&amp;IF(D208=""," · ⚠ Falta la actividad","")&amp;IF(AND(LEFT(P208,5)="AVISO",W208="")," · Captura la cifra total con IVA para el Aviso","")&amp;IF(AND(ISNUMBER(W208),W208&lt;E208)," · ⚠ La cifra con IVA es menor que el monto sin IVA",""),4,400))</f>
        <v/>
      </c>
      <c r="T208" s="21"/>
      <c r="U208" s="20"/>
      <c r="V208" s="9" t="str">
        <f aca="false">IF(LEFT(P208,5)&lt;&gt;"AVISO","",IF(T208="Presentado",IF(AND(ISNUMBER(U208),ISNUMBER(Q208),U208&gt;Q208),"Presentado tarde","Presentado"),IF(NOT(ISNUMBER(Q208)),"Falta fecha",IF(Q208&lt;CONFIG!$B$6,"VENCIDO","Vence en "&amp;(Q208-CONFIG!$B$6)&amp;" días"))))</f>
        <v/>
      </c>
      <c r="W208" s="22"/>
      <c r="X208" s="21"/>
      <c r="AA208" s="0" t="str">
        <f aca="false">IF(AM208="","",INDEX(CATÁLOGO!$D$5:$D$39,AM208))</f>
        <v/>
      </c>
      <c r="AB208" s="0" t="str">
        <f aca="false">IF(AM208="","",INDEX(CATÁLOGO!$E$5:$E$39,AM208))</f>
        <v/>
      </c>
      <c r="AC208" s="0" t="str">
        <f aca="false">IF(AB208="","",IF(ISNUMBER(AB208),AB208*AV208,AB208))</f>
        <v/>
      </c>
      <c r="AD208" s="0" t="str">
        <f aca="false">IF(AM208="","",INDEX(CATÁLOGO!$F$5:$F$39,AM208))</f>
        <v/>
      </c>
      <c r="AE208" s="0" t="str">
        <f aca="false">IF(AD208="","",IF(ISNUMBER(AD208),AD208*AV208,AD208))</f>
        <v/>
      </c>
      <c r="AF208" s="0" t="str">
        <f aca="false">IF(AM208="","",INDEX(CATÁLOGO!$G$5:$G$39,AM208))</f>
        <v/>
      </c>
      <c r="AG208" s="0" t="str">
        <f aca="false">IF(AF208="","",IF(ISNUMBER(AF208),AF208*AV208,AF208))</f>
        <v/>
      </c>
      <c r="AH208" s="0" t="str">
        <f aca="false">IF(E208="","",C208&amp;"|"&amp;D208)</f>
        <v/>
      </c>
      <c r="AI208" s="27" t="n">
        <f aca="false">IF(M208&lt;&gt;"Sí",0,SUMPRODUCT(MAX(($AH$5:AH207=AH208)*($M$5:M207="Sí")*ROW($AH$5:AH207))))</f>
        <v>0</v>
      </c>
      <c r="AJ208" s="0" t="str">
        <f aca="false">IF(M208&lt;&gt;"Sí","",IF(AL208=1,B208,INDEX($AJ:$AJ,AI208)))</f>
        <v/>
      </c>
      <c r="AK208" s="0" t="str">
        <f aca="false">IF(M208&lt;&gt;"Sí","",IF(AL208=1,E208,INDEX($AK:$AK,AI208)+E208))</f>
        <v/>
      </c>
      <c r="AL208" s="0" t="str">
        <f aca="false">IF(M208&lt;&gt;"Sí","",IF(AI208=0,1,IF(INDEX($AN:$AN,AI208)=0,1,IF(B208&gt;=EDATE(INDEX($AJ:$AJ,AI208),6),1,0))))</f>
        <v/>
      </c>
      <c r="AM208" s="0" t="str">
        <f aca="false">IF(D208="","",IFERROR(MATCH(D208,CATÁLOGO!$C$5:$C$39,0),""))</f>
        <v/>
      </c>
      <c r="AN208" s="0" t="str">
        <f aca="false">IF(M208&lt;&gt;"Sí","",IF(AND(ISNUMBER(AE208),AK208&gt;=AE208),0,1))</f>
        <v/>
      </c>
      <c r="AO208" s="0" t="str">
        <f aca="false">IF(OR(E208="",C208="",NOT(ISNUMBER(B208))),"",SUMIFS($E$6:$E$505,$C$6:$C$505,C208,$B$6:$B$505,"&gt;="&amp;DATE(YEAR(B208),MONTH(B208),1),$B$6:$B$505,"&lt;"&amp;DATE(YEAR(B208),MONTH(B208)+1,1)))</f>
        <v/>
      </c>
      <c r="AP208" s="0" t="str">
        <f aca="false">IF(C208="","",IFERROR(INDEX(CLIENTES!$M$6:$M$305,MATCH(C208,CLIENTES!$A$6:$A$305,0)),""))</f>
        <v/>
      </c>
      <c r="AQ208" s="27" t="n">
        <f aca="false">IF(AND(ISNUMBER(AO208),ISNUMBER(AP208)),IF(AND(AP208&gt;0,AO208&gt;AP208),1,0),0)</f>
        <v>0</v>
      </c>
      <c r="AR208" s="27" t="n">
        <f aca="false">IF(NOT(ISNUMBER(B208)),0,IF(B208&lt;MAX($B$5:B207),1,0))</f>
        <v>0</v>
      </c>
      <c r="AS208" s="0" t="str">
        <f aca="false">IF(C208="","",IFERROR(INDEX(CLIENTES!$H$6:$H$305,MATCH(C208,CLIENTES!$A$6:$A$305,0)),""))</f>
        <v/>
      </c>
      <c r="AT208" s="0" t="str">
        <f aca="false">IF(AND(LEFT(P208,5)="AVISO",T208&lt;&gt;"Presentado",ISNUMBER(Q208)),Q208,"")</f>
        <v/>
      </c>
      <c r="AU208" s="27" t="n">
        <f aca="false">IF(AND(D208="XVI - Activos virtuales (PSAV): operación de intercambio/transferencia",M208="Sí",ISNUMBER(AE208)),IF(AK208&gt;=AE208,1,0),0)</f>
        <v>0</v>
      </c>
      <c r="AV208" s="30" t="n">
        <f aca="false">IF(NOT(ISNUMBER(B208)),CONFIG!$B$4,IFERROR(INDEX(CONFIG!$I$5:$I$14,MATCH(IF(MONTH(B208)=1,YEAR(B208)-1,YEAR(B208)),CONFIG!$H$5:$H$14,0)),CONFIG!$B$4))</f>
        <v>117.31</v>
      </c>
      <c r="AW208" s="27" t="n">
        <f aca="false">IF(AND(LEFT(D208,4)="I - ",ISNUMBER(B208),C208&lt;&gt;""),SUMIFS($E$6:$E$505,$C$6:$C$505,C208,$D$6:$D$505,D208,$B$6:$B$505,"&gt;"&amp;(B208-1),$B$6:$B$505,"&lt;="&amp;B208),0)</f>
        <v>0</v>
      </c>
      <c r="AX208" s="0" t="str">
        <f aca="false">IF(E208="","",IF(AD208="Siempre","AVISO (siempre)",IF(AD208="No aplica","Sin Aviso (sólo preparas: Ley 17 XI)",IF(NOT(ISNUMBER(AE208)),"",IF(AA208&lt;&gt;"ACUMULA",IF(E208&gt;=AE208,IF(AND(D208="XVI - Activos virtuales (PSAV): cobro de contraprestación (comisión) por el servicio",COUNTIFS($C$6:$C$505,C208,$B$6:$B$505,"&gt;="&amp;INT(B208),$B$6:$B$505,"&lt;"&amp;(INT(B208)+1),$AU$6:$AU$505,1)&gt;0),"En el Aviso del inciso a) (R 31 Bis)","AVISO"),"—"),IF(M208&lt;&gt;"Sí","—",IF(AK208&gt;=AE208,IF(AK208=E208,"AVISO","AVISO (acumulado)"),"Acumulando")))))))</f>
        <v/>
      </c>
    </row>
    <row r="209" customFormat="false" ht="15" hidden="false" customHeight="false" outlineLevel="0" collapsed="false">
      <c r="A209" s="9" t="str">
        <f aca="false">IF(E209="","",ROW()-5)</f>
        <v/>
      </c>
      <c r="B209" s="20"/>
      <c r="C209" s="21"/>
      <c r="D209" s="21"/>
      <c r="E209" s="22"/>
      <c r="F209" s="22"/>
      <c r="G209" s="21"/>
      <c r="H209" s="21"/>
      <c r="I209" s="9" t="str">
        <f aca="false">IF(C209="","",IFERROR(INDEX(CLIENTES!$B$6:$B$305,MATCH(C209,CLIENTES!$A$6:$A$305,0)),"⚠ ID no registrado"))</f>
        <v/>
      </c>
      <c r="J209" s="9" t="str">
        <f aca="false">IF(C209="","",IFERROR(INDEX(CLIENTES!$Z$6:$Z$305,MATCH(C209,CLIENTES!$A$6:$A$305,0)),""))</f>
        <v/>
      </c>
      <c r="K209" s="9" t="str">
        <f aca="false">IF(E209="","",IF(AB209="Siempre","Sí",IF(ISNUMBER(AC209),IF(E209&gt;=AC209,"Sí",IF(AW209&gt;=AC209,"Sí (serie 24 h)","No")),"")))</f>
        <v/>
      </c>
      <c r="L209" s="9" t="str">
        <f aca="false">IF(E209="","",AA209)</f>
        <v/>
      </c>
      <c r="M209" s="9" t="str">
        <f aca="false">IF(E209="","",IF(AA209&lt;&gt;"ACUMULA","No aplica",IF(LEFT(K209,2)="Sí","Sí","No")))</f>
        <v/>
      </c>
      <c r="N209" s="23" t="str">
        <f aca="false">IF(M209="Sí",AJ209,"")</f>
        <v/>
      </c>
      <c r="O209" s="24" t="str">
        <f aca="false">IF(M209="Sí",AK209,"")</f>
        <v/>
      </c>
      <c r="P209" s="25" t="str">
        <f aca="false">IF(AND(LEFT(D209,6)="XIV - ",LEFT(AX209,5)="AVISO"),"Pedimento (R 16): no va al SPPLD",AX209)</f>
        <v/>
      </c>
      <c r="Q209" s="23" t="str">
        <f aca="false">IF(LEFT(P209,5)="AVISO",IF(ISNUMBER(B209),DATE(YEAR(B209),MONTH(B209)+1,17),"Falta fecha"),"")</f>
        <v/>
      </c>
      <c r="R209" s="9" t="str">
        <f aca="false">IF(OR(F209="",F209=0),"",IF(ISNUMBER(AG209),IF(F209&gt;=AG209,"PROHIBIDO","Dentro del límite"),"No aplica"))</f>
        <v/>
      </c>
      <c r="S209" s="26" t="str">
        <f aca="false">IF(E209="","",MID(IF(AQ209=1," · Excede el perfil declarado","")&amp;IF(H209="Sí"," · Paga un tercero","")&amp;IF(J209="Alto"," · Cliente de riesgo alto: DDR (RCG 23 Ter 3 y 4)","")&amp;IF(AND(AS209&lt;&gt;"",AS209&lt;&gt;"No",AS209&lt;&gt;0)," · PEP","")&amp;IF(R209="PROHIBIDO"," · Efectivo prohibido: no lo recibas (Art. 32)","")&amp;IF(AR209=1," · ⚠ Fecha fuera de orden","")&amp;IF(LEFT(I209,1)="⚠"," · ⚠ Cliente no registrado","")&amp;IF(D209=""," · ⚠ Falta la actividad","")&amp;IF(AND(LEFT(P209,5)="AVISO",W209="")," · Captura la cifra total con IVA para el Aviso","")&amp;IF(AND(ISNUMBER(W209),W209&lt;E209)," · ⚠ La cifra con IVA es menor que el monto sin IVA",""),4,400))</f>
        <v/>
      </c>
      <c r="T209" s="21"/>
      <c r="U209" s="20"/>
      <c r="V209" s="9" t="str">
        <f aca="false">IF(LEFT(P209,5)&lt;&gt;"AVISO","",IF(T209="Presentado",IF(AND(ISNUMBER(U209),ISNUMBER(Q209),U209&gt;Q209),"Presentado tarde","Presentado"),IF(NOT(ISNUMBER(Q209)),"Falta fecha",IF(Q209&lt;CONFIG!$B$6,"VENCIDO","Vence en "&amp;(Q209-CONFIG!$B$6)&amp;" días"))))</f>
        <v/>
      </c>
      <c r="W209" s="22"/>
      <c r="X209" s="21"/>
      <c r="AA209" s="0" t="str">
        <f aca="false">IF(AM209="","",INDEX(CATÁLOGO!$D$5:$D$39,AM209))</f>
        <v/>
      </c>
      <c r="AB209" s="0" t="str">
        <f aca="false">IF(AM209="","",INDEX(CATÁLOGO!$E$5:$E$39,AM209))</f>
        <v/>
      </c>
      <c r="AC209" s="0" t="str">
        <f aca="false">IF(AB209="","",IF(ISNUMBER(AB209),AB209*AV209,AB209))</f>
        <v/>
      </c>
      <c r="AD209" s="0" t="str">
        <f aca="false">IF(AM209="","",INDEX(CATÁLOGO!$F$5:$F$39,AM209))</f>
        <v/>
      </c>
      <c r="AE209" s="0" t="str">
        <f aca="false">IF(AD209="","",IF(ISNUMBER(AD209),AD209*AV209,AD209))</f>
        <v/>
      </c>
      <c r="AF209" s="0" t="str">
        <f aca="false">IF(AM209="","",INDEX(CATÁLOGO!$G$5:$G$39,AM209))</f>
        <v/>
      </c>
      <c r="AG209" s="0" t="str">
        <f aca="false">IF(AF209="","",IF(ISNUMBER(AF209),AF209*AV209,AF209))</f>
        <v/>
      </c>
      <c r="AH209" s="0" t="str">
        <f aca="false">IF(E209="","",C209&amp;"|"&amp;D209)</f>
        <v/>
      </c>
      <c r="AI209" s="27" t="n">
        <f aca="false">IF(M209&lt;&gt;"Sí",0,SUMPRODUCT(MAX(($AH$5:AH208=AH209)*($M$5:M208="Sí")*ROW($AH$5:AH208))))</f>
        <v>0</v>
      </c>
      <c r="AJ209" s="0" t="str">
        <f aca="false">IF(M209&lt;&gt;"Sí","",IF(AL209=1,B209,INDEX($AJ:$AJ,AI209)))</f>
        <v/>
      </c>
      <c r="AK209" s="0" t="str">
        <f aca="false">IF(M209&lt;&gt;"Sí","",IF(AL209=1,E209,INDEX($AK:$AK,AI209)+E209))</f>
        <v/>
      </c>
      <c r="AL209" s="0" t="str">
        <f aca="false">IF(M209&lt;&gt;"Sí","",IF(AI209=0,1,IF(INDEX($AN:$AN,AI209)=0,1,IF(B209&gt;=EDATE(INDEX($AJ:$AJ,AI209),6),1,0))))</f>
        <v/>
      </c>
      <c r="AM209" s="0" t="str">
        <f aca="false">IF(D209="","",IFERROR(MATCH(D209,CATÁLOGO!$C$5:$C$39,0),""))</f>
        <v/>
      </c>
      <c r="AN209" s="0" t="str">
        <f aca="false">IF(M209&lt;&gt;"Sí","",IF(AND(ISNUMBER(AE209),AK209&gt;=AE209),0,1))</f>
        <v/>
      </c>
      <c r="AO209" s="0" t="str">
        <f aca="false">IF(OR(E209="",C209="",NOT(ISNUMBER(B209))),"",SUMIFS($E$6:$E$505,$C$6:$C$505,C209,$B$6:$B$505,"&gt;="&amp;DATE(YEAR(B209),MONTH(B209),1),$B$6:$B$505,"&lt;"&amp;DATE(YEAR(B209),MONTH(B209)+1,1)))</f>
        <v/>
      </c>
      <c r="AP209" s="0" t="str">
        <f aca="false">IF(C209="","",IFERROR(INDEX(CLIENTES!$M$6:$M$305,MATCH(C209,CLIENTES!$A$6:$A$305,0)),""))</f>
        <v/>
      </c>
      <c r="AQ209" s="27" t="n">
        <f aca="false">IF(AND(ISNUMBER(AO209),ISNUMBER(AP209)),IF(AND(AP209&gt;0,AO209&gt;AP209),1,0),0)</f>
        <v>0</v>
      </c>
      <c r="AR209" s="27" t="n">
        <f aca="false">IF(NOT(ISNUMBER(B209)),0,IF(B209&lt;MAX($B$5:B208),1,0))</f>
        <v>0</v>
      </c>
      <c r="AS209" s="0" t="str">
        <f aca="false">IF(C209="","",IFERROR(INDEX(CLIENTES!$H$6:$H$305,MATCH(C209,CLIENTES!$A$6:$A$305,0)),""))</f>
        <v/>
      </c>
      <c r="AT209" s="0" t="str">
        <f aca="false">IF(AND(LEFT(P209,5)="AVISO",T209&lt;&gt;"Presentado",ISNUMBER(Q209)),Q209,"")</f>
        <v/>
      </c>
      <c r="AU209" s="27" t="n">
        <f aca="false">IF(AND(D209="XVI - Activos virtuales (PSAV): operación de intercambio/transferencia",M209="Sí",ISNUMBER(AE209)),IF(AK209&gt;=AE209,1,0),0)</f>
        <v>0</v>
      </c>
      <c r="AV209" s="30" t="n">
        <f aca="false">IF(NOT(ISNUMBER(B209)),CONFIG!$B$4,IFERROR(INDEX(CONFIG!$I$5:$I$14,MATCH(IF(MONTH(B209)=1,YEAR(B209)-1,YEAR(B209)),CONFIG!$H$5:$H$14,0)),CONFIG!$B$4))</f>
        <v>117.31</v>
      </c>
      <c r="AW209" s="27" t="n">
        <f aca="false">IF(AND(LEFT(D209,4)="I - ",ISNUMBER(B209),C209&lt;&gt;""),SUMIFS($E$6:$E$505,$C$6:$C$505,C209,$D$6:$D$505,D209,$B$6:$B$505,"&gt;"&amp;(B209-1),$B$6:$B$505,"&lt;="&amp;B209),0)</f>
        <v>0</v>
      </c>
      <c r="AX209" s="0" t="str">
        <f aca="false">IF(E209="","",IF(AD209="Siempre","AVISO (siempre)",IF(AD209="No aplica","Sin Aviso (sólo preparas: Ley 17 XI)",IF(NOT(ISNUMBER(AE209)),"",IF(AA209&lt;&gt;"ACUMULA",IF(E209&gt;=AE209,IF(AND(D209="XVI - Activos virtuales (PSAV): cobro de contraprestación (comisión) por el servicio",COUNTIFS($C$6:$C$505,C209,$B$6:$B$505,"&gt;="&amp;INT(B209),$B$6:$B$505,"&lt;"&amp;(INT(B209)+1),$AU$6:$AU$505,1)&gt;0),"En el Aviso del inciso a) (R 31 Bis)","AVISO"),"—"),IF(M209&lt;&gt;"Sí","—",IF(AK209&gt;=AE209,IF(AK209=E209,"AVISO","AVISO (acumulado)"),"Acumulando")))))))</f>
        <v/>
      </c>
    </row>
    <row r="210" customFormat="false" ht="15" hidden="false" customHeight="false" outlineLevel="0" collapsed="false">
      <c r="A210" s="9" t="str">
        <f aca="false">IF(E210="","",ROW()-5)</f>
        <v/>
      </c>
      <c r="B210" s="20"/>
      <c r="C210" s="21"/>
      <c r="D210" s="21"/>
      <c r="E210" s="22"/>
      <c r="F210" s="22"/>
      <c r="G210" s="21"/>
      <c r="H210" s="21"/>
      <c r="I210" s="9" t="str">
        <f aca="false">IF(C210="","",IFERROR(INDEX(CLIENTES!$B$6:$B$305,MATCH(C210,CLIENTES!$A$6:$A$305,0)),"⚠ ID no registrado"))</f>
        <v/>
      </c>
      <c r="J210" s="9" t="str">
        <f aca="false">IF(C210="","",IFERROR(INDEX(CLIENTES!$Z$6:$Z$305,MATCH(C210,CLIENTES!$A$6:$A$305,0)),""))</f>
        <v/>
      </c>
      <c r="K210" s="9" t="str">
        <f aca="false">IF(E210="","",IF(AB210="Siempre","Sí",IF(ISNUMBER(AC210),IF(E210&gt;=AC210,"Sí",IF(AW210&gt;=AC210,"Sí (serie 24 h)","No")),"")))</f>
        <v/>
      </c>
      <c r="L210" s="9" t="str">
        <f aca="false">IF(E210="","",AA210)</f>
        <v/>
      </c>
      <c r="M210" s="9" t="str">
        <f aca="false">IF(E210="","",IF(AA210&lt;&gt;"ACUMULA","No aplica",IF(LEFT(K210,2)="Sí","Sí","No")))</f>
        <v/>
      </c>
      <c r="N210" s="23" t="str">
        <f aca="false">IF(M210="Sí",AJ210,"")</f>
        <v/>
      </c>
      <c r="O210" s="24" t="str">
        <f aca="false">IF(M210="Sí",AK210,"")</f>
        <v/>
      </c>
      <c r="P210" s="25" t="str">
        <f aca="false">IF(AND(LEFT(D210,6)="XIV - ",LEFT(AX210,5)="AVISO"),"Pedimento (R 16): no va al SPPLD",AX210)</f>
        <v/>
      </c>
      <c r="Q210" s="23" t="str">
        <f aca="false">IF(LEFT(P210,5)="AVISO",IF(ISNUMBER(B210),DATE(YEAR(B210),MONTH(B210)+1,17),"Falta fecha"),"")</f>
        <v/>
      </c>
      <c r="R210" s="9" t="str">
        <f aca="false">IF(OR(F210="",F210=0),"",IF(ISNUMBER(AG210),IF(F210&gt;=AG210,"PROHIBIDO","Dentro del límite"),"No aplica"))</f>
        <v/>
      </c>
      <c r="S210" s="26" t="str">
        <f aca="false">IF(E210="","",MID(IF(AQ210=1," · Excede el perfil declarado","")&amp;IF(H210="Sí"," · Paga un tercero","")&amp;IF(J210="Alto"," · Cliente de riesgo alto: DDR (RCG 23 Ter 3 y 4)","")&amp;IF(AND(AS210&lt;&gt;"",AS210&lt;&gt;"No",AS210&lt;&gt;0)," · PEP","")&amp;IF(R210="PROHIBIDO"," · Efectivo prohibido: no lo recibas (Art. 32)","")&amp;IF(AR210=1," · ⚠ Fecha fuera de orden","")&amp;IF(LEFT(I210,1)="⚠"," · ⚠ Cliente no registrado","")&amp;IF(D210=""," · ⚠ Falta la actividad","")&amp;IF(AND(LEFT(P210,5)="AVISO",W210="")," · Captura la cifra total con IVA para el Aviso","")&amp;IF(AND(ISNUMBER(W210),W210&lt;E210)," · ⚠ La cifra con IVA es menor que el monto sin IVA",""),4,400))</f>
        <v/>
      </c>
      <c r="T210" s="21"/>
      <c r="U210" s="20"/>
      <c r="V210" s="9" t="str">
        <f aca="false">IF(LEFT(P210,5)&lt;&gt;"AVISO","",IF(T210="Presentado",IF(AND(ISNUMBER(U210),ISNUMBER(Q210),U210&gt;Q210),"Presentado tarde","Presentado"),IF(NOT(ISNUMBER(Q210)),"Falta fecha",IF(Q210&lt;CONFIG!$B$6,"VENCIDO","Vence en "&amp;(Q210-CONFIG!$B$6)&amp;" días"))))</f>
        <v/>
      </c>
      <c r="W210" s="22"/>
      <c r="X210" s="21"/>
      <c r="AA210" s="0" t="str">
        <f aca="false">IF(AM210="","",INDEX(CATÁLOGO!$D$5:$D$39,AM210))</f>
        <v/>
      </c>
      <c r="AB210" s="0" t="str">
        <f aca="false">IF(AM210="","",INDEX(CATÁLOGO!$E$5:$E$39,AM210))</f>
        <v/>
      </c>
      <c r="AC210" s="0" t="str">
        <f aca="false">IF(AB210="","",IF(ISNUMBER(AB210),AB210*AV210,AB210))</f>
        <v/>
      </c>
      <c r="AD210" s="0" t="str">
        <f aca="false">IF(AM210="","",INDEX(CATÁLOGO!$F$5:$F$39,AM210))</f>
        <v/>
      </c>
      <c r="AE210" s="0" t="str">
        <f aca="false">IF(AD210="","",IF(ISNUMBER(AD210),AD210*AV210,AD210))</f>
        <v/>
      </c>
      <c r="AF210" s="0" t="str">
        <f aca="false">IF(AM210="","",INDEX(CATÁLOGO!$G$5:$G$39,AM210))</f>
        <v/>
      </c>
      <c r="AG210" s="0" t="str">
        <f aca="false">IF(AF210="","",IF(ISNUMBER(AF210),AF210*AV210,AF210))</f>
        <v/>
      </c>
      <c r="AH210" s="0" t="str">
        <f aca="false">IF(E210="","",C210&amp;"|"&amp;D210)</f>
        <v/>
      </c>
      <c r="AI210" s="27" t="n">
        <f aca="false">IF(M210&lt;&gt;"Sí",0,SUMPRODUCT(MAX(($AH$5:AH209=AH210)*($M$5:M209="Sí")*ROW($AH$5:AH209))))</f>
        <v>0</v>
      </c>
      <c r="AJ210" s="0" t="str">
        <f aca="false">IF(M210&lt;&gt;"Sí","",IF(AL210=1,B210,INDEX($AJ:$AJ,AI210)))</f>
        <v/>
      </c>
      <c r="AK210" s="0" t="str">
        <f aca="false">IF(M210&lt;&gt;"Sí","",IF(AL210=1,E210,INDEX($AK:$AK,AI210)+E210))</f>
        <v/>
      </c>
      <c r="AL210" s="0" t="str">
        <f aca="false">IF(M210&lt;&gt;"Sí","",IF(AI210=0,1,IF(INDEX($AN:$AN,AI210)=0,1,IF(B210&gt;=EDATE(INDEX($AJ:$AJ,AI210),6),1,0))))</f>
        <v/>
      </c>
      <c r="AM210" s="0" t="str">
        <f aca="false">IF(D210="","",IFERROR(MATCH(D210,CATÁLOGO!$C$5:$C$39,0),""))</f>
        <v/>
      </c>
      <c r="AN210" s="0" t="str">
        <f aca="false">IF(M210&lt;&gt;"Sí","",IF(AND(ISNUMBER(AE210),AK210&gt;=AE210),0,1))</f>
        <v/>
      </c>
      <c r="AO210" s="0" t="str">
        <f aca="false">IF(OR(E210="",C210="",NOT(ISNUMBER(B210))),"",SUMIFS($E$6:$E$505,$C$6:$C$505,C210,$B$6:$B$505,"&gt;="&amp;DATE(YEAR(B210),MONTH(B210),1),$B$6:$B$505,"&lt;"&amp;DATE(YEAR(B210),MONTH(B210)+1,1)))</f>
        <v/>
      </c>
      <c r="AP210" s="0" t="str">
        <f aca="false">IF(C210="","",IFERROR(INDEX(CLIENTES!$M$6:$M$305,MATCH(C210,CLIENTES!$A$6:$A$305,0)),""))</f>
        <v/>
      </c>
      <c r="AQ210" s="27" t="n">
        <f aca="false">IF(AND(ISNUMBER(AO210),ISNUMBER(AP210)),IF(AND(AP210&gt;0,AO210&gt;AP210),1,0),0)</f>
        <v>0</v>
      </c>
      <c r="AR210" s="27" t="n">
        <f aca="false">IF(NOT(ISNUMBER(B210)),0,IF(B210&lt;MAX($B$5:B209),1,0))</f>
        <v>0</v>
      </c>
      <c r="AS210" s="0" t="str">
        <f aca="false">IF(C210="","",IFERROR(INDEX(CLIENTES!$H$6:$H$305,MATCH(C210,CLIENTES!$A$6:$A$305,0)),""))</f>
        <v/>
      </c>
      <c r="AT210" s="0" t="str">
        <f aca="false">IF(AND(LEFT(P210,5)="AVISO",T210&lt;&gt;"Presentado",ISNUMBER(Q210)),Q210,"")</f>
        <v/>
      </c>
      <c r="AU210" s="27" t="n">
        <f aca="false">IF(AND(D210="XVI - Activos virtuales (PSAV): operación de intercambio/transferencia",M210="Sí",ISNUMBER(AE210)),IF(AK210&gt;=AE210,1,0),0)</f>
        <v>0</v>
      </c>
      <c r="AV210" s="30" t="n">
        <f aca="false">IF(NOT(ISNUMBER(B210)),CONFIG!$B$4,IFERROR(INDEX(CONFIG!$I$5:$I$14,MATCH(IF(MONTH(B210)=1,YEAR(B210)-1,YEAR(B210)),CONFIG!$H$5:$H$14,0)),CONFIG!$B$4))</f>
        <v>117.31</v>
      </c>
      <c r="AW210" s="27" t="n">
        <f aca="false">IF(AND(LEFT(D210,4)="I - ",ISNUMBER(B210),C210&lt;&gt;""),SUMIFS($E$6:$E$505,$C$6:$C$505,C210,$D$6:$D$505,D210,$B$6:$B$505,"&gt;"&amp;(B210-1),$B$6:$B$505,"&lt;="&amp;B210),0)</f>
        <v>0</v>
      </c>
      <c r="AX210" s="0" t="str">
        <f aca="false">IF(E210="","",IF(AD210="Siempre","AVISO (siempre)",IF(AD210="No aplica","Sin Aviso (sólo preparas: Ley 17 XI)",IF(NOT(ISNUMBER(AE210)),"",IF(AA210&lt;&gt;"ACUMULA",IF(E210&gt;=AE210,IF(AND(D210="XVI - Activos virtuales (PSAV): cobro de contraprestación (comisión) por el servicio",COUNTIFS($C$6:$C$505,C210,$B$6:$B$505,"&gt;="&amp;INT(B210),$B$6:$B$505,"&lt;"&amp;(INT(B210)+1),$AU$6:$AU$505,1)&gt;0),"En el Aviso del inciso a) (R 31 Bis)","AVISO"),"—"),IF(M210&lt;&gt;"Sí","—",IF(AK210&gt;=AE210,IF(AK210=E210,"AVISO","AVISO (acumulado)"),"Acumulando")))))))</f>
        <v/>
      </c>
    </row>
    <row r="211" customFormat="false" ht="15" hidden="false" customHeight="false" outlineLevel="0" collapsed="false">
      <c r="A211" s="9" t="str">
        <f aca="false">IF(E211="","",ROW()-5)</f>
        <v/>
      </c>
      <c r="B211" s="20"/>
      <c r="C211" s="21"/>
      <c r="D211" s="21"/>
      <c r="E211" s="22"/>
      <c r="F211" s="22"/>
      <c r="G211" s="21"/>
      <c r="H211" s="21"/>
      <c r="I211" s="9" t="str">
        <f aca="false">IF(C211="","",IFERROR(INDEX(CLIENTES!$B$6:$B$305,MATCH(C211,CLIENTES!$A$6:$A$305,0)),"⚠ ID no registrado"))</f>
        <v/>
      </c>
      <c r="J211" s="9" t="str">
        <f aca="false">IF(C211="","",IFERROR(INDEX(CLIENTES!$Z$6:$Z$305,MATCH(C211,CLIENTES!$A$6:$A$305,0)),""))</f>
        <v/>
      </c>
      <c r="K211" s="9" t="str">
        <f aca="false">IF(E211="","",IF(AB211="Siempre","Sí",IF(ISNUMBER(AC211),IF(E211&gt;=AC211,"Sí",IF(AW211&gt;=AC211,"Sí (serie 24 h)","No")),"")))</f>
        <v/>
      </c>
      <c r="L211" s="9" t="str">
        <f aca="false">IF(E211="","",AA211)</f>
        <v/>
      </c>
      <c r="M211" s="9" t="str">
        <f aca="false">IF(E211="","",IF(AA211&lt;&gt;"ACUMULA","No aplica",IF(LEFT(K211,2)="Sí","Sí","No")))</f>
        <v/>
      </c>
      <c r="N211" s="23" t="str">
        <f aca="false">IF(M211="Sí",AJ211,"")</f>
        <v/>
      </c>
      <c r="O211" s="24" t="str">
        <f aca="false">IF(M211="Sí",AK211,"")</f>
        <v/>
      </c>
      <c r="P211" s="25" t="str">
        <f aca="false">IF(AND(LEFT(D211,6)="XIV - ",LEFT(AX211,5)="AVISO"),"Pedimento (R 16): no va al SPPLD",AX211)</f>
        <v/>
      </c>
      <c r="Q211" s="23" t="str">
        <f aca="false">IF(LEFT(P211,5)="AVISO",IF(ISNUMBER(B211),DATE(YEAR(B211),MONTH(B211)+1,17),"Falta fecha"),"")</f>
        <v/>
      </c>
      <c r="R211" s="9" t="str">
        <f aca="false">IF(OR(F211="",F211=0),"",IF(ISNUMBER(AG211),IF(F211&gt;=AG211,"PROHIBIDO","Dentro del límite"),"No aplica"))</f>
        <v/>
      </c>
      <c r="S211" s="26" t="str">
        <f aca="false">IF(E211="","",MID(IF(AQ211=1," · Excede el perfil declarado","")&amp;IF(H211="Sí"," · Paga un tercero","")&amp;IF(J211="Alto"," · Cliente de riesgo alto: DDR (RCG 23 Ter 3 y 4)","")&amp;IF(AND(AS211&lt;&gt;"",AS211&lt;&gt;"No",AS211&lt;&gt;0)," · PEP","")&amp;IF(R211="PROHIBIDO"," · Efectivo prohibido: no lo recibas (Art. 32)","")&amp;IF(AR211=1," · ⚠ Fecha fuera de orden","")&amp;IF(LEFT(I211,1)="⚠"," · ⚠ Cliente no registrado","")&amp;IF(D211=""," · ⚠ Falta la actividad","")&amp;IF(AND(LEFT(P211,5)="AVISO",W211="")," · Captura la cifra total con IVA para el Aviso","")&amp;IF(AND(ISNUMBER(W211),W211&lt;E211)," · ⚠ La cifra con IVA es menor que el monto sin IVA",""),4,400))</f>
        <v/>
      </c>
      <c r="T211" s="21"/>
      <c r="U211" s="20"/>
      <c r="V211" s="9" t="str">
        <f aca="false">IF(LEFT(P211,5)&lt;&gt;"AVISO","",IF(T211="Presentado",IF(AND(ISNUMBER(U211),ISNUMBER(Q211),U211&gt;Q211),"Presentado tarde","Presentado"),IF(NOT(ISNUMBER(Q211)),"Falta fecha",IF(Q211&lt;CONFIG!$B$6,"VENCIDO","Vence en "&amp;(Q211-CONFIG!$B$6)&amp;" días"))))</f>
        <v/>
      </c>
      <c r="W211" s="22"/>
      <c r="X211" s="21"/>
      <c r="AA211" s="0" t="str">
        <f aca="false">IF(AM211="","",INDEX(CATÁLOGO!$D$5:$D$39,AM211))</f>
        <v/>
      </c>
      <c r="AB211" s="0" t="str">
        <f aca="false">IF(AM211="","",INDEX(CATÁLOGO!$E$5:$E$39,AM211))</f>
        <v/>
      </c>
      <c r="AC211" s="0" t="str">
        <f aca="false">IF(AB211="","",IF(ISNUMBER(AB211),AB211*AV211,AB211))</f>
        <v/>
      </c>
      <c r="AD211" s="0" t="str">
        <f aca="false">IF(AM211="","",INDEX(CATÁLOGO!$F$5:$F$39,AM211))</f>
        <v/>
      </c>
      <c r="AE211" s="0" t="str">
        <f aca="false">IF(AD211="","",IF(ISNUMBER(AD211),AD211*AV211,AD211))</f>
        <v/>
      </c>
      <c r="AF211" s="0" t="str">
        <f aca="false">IF(AM211="","",INDEX(CATÁLOGO!$G$5:$G$39,AM211))</f>
        <v/>
      </c>
      <c r="AG211" s="0" t="str">
        <f aca="false">IF(AF211="","",IF(ISNUMBER(AF211),AF211*AV211,AF211))</f>
        <v/>
      </c>
      <c r="AH211" s="0" t="str">
        <f aca="false">IF(E211="","",C211&amp;"|"&amp;D211)</f>
        <v/>
      </c>
      <c r="AI211" s="27" t="n">
        <f aca="false">IF(M211&lt;&gt;"Sí",0,SUMPRODUCT(MAX(($AH$5:AH210=AH211)*($M$5:M210="Sí")*ROW($AH$5:AH210))))</f>
        <v>0</v>
      </c>
      <c r="AJ211" s="0" t="str">
        <f aca="false">IF(M211&lt;&gt;"Sí","",IF(AL211=1,B211,INDEX($AJ:$AJ,AI211)))</f>
        <v/>
      </c>
      <c r="AK211" s="0" t="str">
        <f aca="false">IF(M211&lt;&gt;"Sí","",IF(AL211=1,E211,INDEX($AK:$AK,AI211)+E211))</f>
        <v/>
      </c>
      <c r="AL211" s="0" t="str">
        <f aca="false">IF(M211&lt;&gt;"Sí","",IF(AI211=0,1,IF(INDEX($AN:$AN,AI211)=0,1,IF(B211&gt;=EDATE(INDEX($AJ:$AJ,AI211),6),1,0))))</f>
        <v/>
      </c>
      <c r="AM211" s="0" t="str">
        <f aca="false">IF(D211="","",IFERROR(MATCH(D211,CATÁLOGO!$C$5:$C$39,0),""))</f>
        <v/>
      </c>
      <c r="AN211" s="0" t="str">
        <f aca="false">IF(M211&lt;&gt;"Sí","",IF(AND(ISNUMBER(AE211),AK211&gt;=AE211),0,1))</f>
        <v/>
      </c>
      <c r="AO211" s="0" t="str">
        <f aca="false">IF(OR(E211="",C211="",NOT(ISNUMBER(B211))),"",SUMIFS($E$6:$E$505,$C$6:$C$505,C211,$B$6:$B$505,"&gt;="&amp;DATE(YEAR(B211),MONTH(B211),1),$B$6:$B$505,"&lt;"&amp;DATE(YEAR(B211),MONTH(B211)+1,1)))</f>
        <v/>
      </c>
      <c r="AP211" s="0" t="str">
        <f aca="false">IF(C211="","",IFERROR(INDEX(CLIENTES!$M$6:$M$305,MATCH(C211,CLIENTES!$A$6:$A$305,0)),""))</f>
        <v/>
      </c>
      <c r="AQ211" s="27" t="n">
        <f aca="false">IF(AND(ISNUMBER(AO211),ISNUMBER(AP211)),IF(AND(AP211&gt;0,AO211&gt;AP211),1,0),0)</f>
        <v>0</v>
      </c>
      <c r="AR211" s="27" t="n">
        <f aca="false">IF(NOT(ISNUMBER(B211)),0,IF(B211&lt;MAX($B$5:B210),1,0))</f>
        <v>0</v>
      </c>
      <c r="AS211" s="0" t="str">
        <f aca="false">IF(C211="","",IFERROR(INDEX(CLIENTES!$H$6:$H$305,MATCH(C211,CLIENTES!$A$6:$A$305,0)),""))</f>
        <v/>
      </c>
      <c r="AT211" s="0" t="str">
        <f aca="false">IF(AND(LEFT(P211,5)="AVISO",T211&lt;&gt;"Presentado",ISNUMBER(Q211)),Q211,"")</f>
        <v/>
      </c>
      <c r="AU211" s="27" t="n">
        <f aca="false">IF(AND(D211="XVI - Activos virtuales (PSAV): operación de intercambio/transferencia",M211="Sí",ISNUMBER(AE211)),IF(AK211&gt;=AE211,1,0),0)</f>
        <v>0</v>
      </c>
      <c r="AV211" s="30" t="n">
        <f aca="false">IF(NOT(ISNUMBER(B211)),CONFIG!$B$4,IFERROR(INDEX(CONFIG!$I$5:$I$14,MATCH(IF(MONTH(B211)=1,YEAR(B211)-1,YEAR(B211)),CONFIG!$H$5:$H$14,0)),CONFIG!$B$4))</f>
        <v>117.31</v>
      </c>
      <c r="AW211" s="27" t="n">
        <f aca="false">IF(AND(LEFT(D211,4)="I - ",ISNUMBER(B211),C211&lt;&gt;""),SUMIFS($E$6:$E$505,$C$6:$C$505,C211,$D$6:$D$505,D211,$B$6:$B$505,"&gt;"&amp;(B211-1),$B$6:$B$505,"&lt;="&amp;B211),0)</f>
        <v>0</v>
      </c>
      <c r="AX211" s="0" t="str">
        <f aca="false">IF(E211="","",IF(AD211="Siempre","AVISO (siempre)",IF(AD211="No aplica","Sin Aviso (sólo preparas: Ley 17 XI)",IF(NOT(ISNUMBER(AE211)),"",IF(AA211&lt;&gt;"ACUMULA",IF(E211&gt;=AE211,IF(AND(D211="XVI - Activos virtuales (PSAV): cobro de contraprestación (comisión) por el servicio",COUNTIFS($C$6:$C$505,C211,$B$6:$B$505,"&gt;="&amp;INT(B211),$B$6:$B$505,"&lt;"&amp;(INT(B211)+1),$AU$6:$AU$505,1)&gt;0),"En el Aviso del inciso a) (R 31 Bis)","AVISO"),"—"),IF(M211&lt;&gt;"Sí","—",IF(AK211&gt;=AE211,IF(AK211=E211,"AVISO","AVISO (acumulado)"),"Acumulando")))))))</f>
        <v/>
      </c>
    </row>
    <row r="212" customFormat="false" ht="15" hidden="false" customHeight="false" outlineLevel="0" collapsed="false">
      <c r="A212" s="9" t="str">
        <f aca="false">IF(E212="","",ROW()-5)</f>
        <v/>
      </c>
      <c r="B212" s="20"/>
      <c r="C212" s="21"/>
      <c r="D212" s="21"/>
      <c r="E212" s="22"/>
      <c r="F212" s="22"/>
      <c r="G212" s="21"/>
      <c r="H212" s="21"/>
      <c r="I212" s="9" t="str">
        <f aca="false">IF(C212="","",IFERROR(INDEX(CLIENTES!$B$6:$B$305,MATCH(C212,CLIENTES!$A$6:$A$305,0)),"⚠ ID no registrado"))</f>
        <v/>
      </c>
      <c r="J212" s="9" t="str">
        <f aca="false">IF(C212="","",IFERROR(INDEX(CLIENTES!$Z$6:$Z$305,MATCH(C212,CLIENTES!$A$6:$A$305,0)),""))</f>
        <v/>
      </c>
      <c r="K212" s="9" t="str">
        <f aca="false">IF(E212="","",IF(AB212="Siempre","Sí",IF(ISNUMBER(AC212),IF(E212&gt;=AC212,"Sí",IF(AW212&gt;=AC212,"Sí (serie 24 h)","No")),"")))</f>
        <v/>
      </c>
      <c r="L212" s="9" t="str">
        <f aca="false">IF(E212="","",AA212)</f>
        <v/>
      </c>
      <c r="M212" s="9" t="str">
        <f aca="false">IF(E212="","",IF(AA212&lt;&gt;"ACUMULA","No aplica",IF(LEFT(K212,2)="Sí","Sí","No")))</f>
        <v/>
      </c>
      <c r="N212" s="23" t="str">
        <f aca="false">IF(M212="Sí",AJ212,"")</f>
        <v/>
      </c>
      <c r="O212" s="24" t="str">
        <f aca="false">IF(M212="Sí",AK212,"")</f>
        <v/>
      </c>
      <c r="P212" s="25" t="str">
        <f aca="false">IF(AND(LEFT(D212,6)="XIV - ",LEFT(AX212,5)="AVISO"),"Pedimento (R 16): no va al SPPLD",AX212)</f>
        <v/>
      </c>
      <c r="Q212" s="23" t="str">
        <f aca="false">IF(LEFT(P212,5)="AVISO",IF(ISNUMBER(B212),DATE(YEAR(B212),MONTH(B212)+1,17),"Falta fecha"),"")</f>
        <v/>
      </c>
      <c r="R212" s="9" t="str">
        <f aca="false">IF(OR(F212="",F212=0),"",IF(ISNUMBER(AG212),IF(F212&gt;=AG212,"PROHIBIDO","Dentro del límite"),"No aplica"))</f>
        <v/>
      </c>
      <c r="S212" s="26" t="str">
        <f aca="false">IF(E212="","",MID(IF(AQ212=1," · Excede el perfil declarado","")&amp;IF(H212="Sí"," · Paga un tercero","")&amp;IF(J212="Alto"," · Cliente de riesgo alto: DDR (RCG 23 Ter 3 y 4)","")&amp;IF(AND(AS212&lt;&gt;"",AS212&lt;&gt;"No",AS212&lt;&gt;0)," · PEP","")&amp;IF(R212="PROHIBIDO"," · Efectivo prohibido: no lo recibas (Art. 32)","")&amp;IF(AR212=1," · ⚠ Fecha fuera de orden","")&amp;IF(LEFT(I212,1)="⚠"," · ⚠ Cliente no registrado","")&amp;IF(D212=""," · ⚠ Falta la actividad","")&amp;IF(AND(LEFT(P212,5)="AVISO",W212="")," · Captura la cifra total con IVA para el Aviso","")&amp;IF(AND(ISNUMBER(W212),W212&lt;E212)," · ⚠ La cifra con IVA es menor que el monto sin IVA",""),4,400))</f>
        <v/>
      </c>
      <c r="T212" s="21"/>
      <c r="U212" s="20"/>
      <c r="V212" s="9" t="str">
        <f aca="false">IF(LEFT(P212,5)&lt;&gt;"AVISO","",IF(T212="Presentado",IF(AND(ISNUMBER(U212),ISNUMBER(Q212),U212&gt;Q212),"Presentado tarde","Presentado"),IF(NOT(ISNUMBER(Q212)),"Falta fecha",IF(Q212&lt;CONFIG!$B$6,"VENCIDO","Vence en "&amp;(Q212-CONFIG!$B$6)&amp;" días"))))</f>
        <v/>
      </c>
      <c r="W212" s="22"/>
      <c r="X212" s="21"/>
      <c r="AA212" s="0" t="str">
        <f aca="false">IF(AM212="","",INDEX(CATÁLOGO!$D$5:$D$39,AM212))</f>
        <v/>
      </c>
      <c r="AB212" s="0" t="str">
        <f aca="false">IF(AM212="","",INDEX(CATÁLOGO!$E$5:$E$39,AM212))</f>
        <v/>
      </c>
      <c r="AC212" s="0" t="str">
        <f aca="false">IF(AB212="","",IF(ISNUMBER(AB212),AB212*AV212,AB212))</f>
        <v/>
      </c>
      <c r="AD212" s="0" t="str">
        <f aca="false">IF(AM212="","",INDEX(CATÁLOGO!$F$5:$F$39,AM212))</f>
        <v/>
      </c>
      <c r="AE212" s="0" t="str">
        <f aca="false">IF(AD212="","",IF(ISNUMBER(AD212),AD212*AV212,AD212))</f>
        <v/>
      </c>
      <c r="AF212" s="0" t="str">
        <f aca="false">IF(AM212="","",INDEX(CATÁLOGO!$G$5:$G$39,AM212))</f>
        <v/>
      </c>
      <c r="AG212" s="0" t="str">
        <f aca="false">IF(AF212="","",IF(ISNUMBER(AF212),AF212*AV212,AF212))</f>
        <v/>
      </c>
      <c r="AH212" s="0" t="str">
        <f aca="false">IF(E212="","",C212&amp;"|"&amp;D212)</f>
        <v/>
      </c>
      <c r="AI212" s="27" t="n">
        <f aca="false">IF(M212&lt;&gt;"Sí",0,SUMPRODUCT(MAX(($AH$5:AH211=AH212)*($M$5:M211="Sí")*ROW($AH$5:AH211))))</f>
        <v>0</v>
      </c>
      <c r="AJ212" s="0" t="str">
        <f aca="false">IF(M212&lt;&gt;"Sí","",IF(AL212=1,B212,INDEX($AJ:$AJ,AI212)))</f>
        <v/>
      </c>
      <c r="AK212" s="0" t="str">
        <f aca="false">IF(M212&lt;&gt;"Sí","",IF(AL212=1,E212,INDEX($AK:$AK,AI212)+E212))</f>
        <v/>
      </c>
      <c r="AL212" s="0" t="str">
        <f aca="false">IF(M212&lt;&gt;"Sí","",IF(AI212=0,1,IF(INDEX($AN:$AN,AI212)=0,1,IF(B212&gt;=EDATE(INDEX($AJ:$AJ,AI212),6),1,0))))</f>
        <v/>
      </c>
      <c r="AM212" s="0" t="str">
        <f aca="false">IF(D212="","",IFERROR(MATCH(D212,CATÁLOGO!$C$5:$C$39,0),""))</f>
        <v/>
      </c>
      <c r="AN212" s="0" t="str">
        <f aca="false">IF(M212&lt;&gt;"Sí","",IF(AND(ISNUMBER(AE212),AK212&gt;=AE212),0,1))</f>
        <v/>
      </c>
      <c r="AO212" s="0" t="str">
        <f aca="false">IF(OR(E212="",C212="",NOT(ISNUMBER(B212))),"",SUMIFS($E$6:$E$505,$C$6:$C$505,C212,$B$6:$B$505,"&gt;="&amp;DATE(YEAR(B212),MONTH(B212),1),$B$6:$B$505,"&lt;"&amp;DATE(YEAR(B212),MONTH(B212)+1,1)))</f>
        <v/>
      </c>
      <c r="AP212" s="0" t="str">
        <f aca="false">IF(C212="","",IFERROR(INDEX(CLIENTES!$M$6:$M$305,MATCH(C212,CLIENTES!$A$6:$A$305,0)),""))</f>
        <v/>
      </c>
      <c r="AQ212" s="27" t="n">
        <f aca="false">IF(AND(ISNUMBER(AO212),ISNUMBER(AP212)),IF(AND(AP212&gt;0,AO212&gt;AP212),1,0),0)</f>
        <v>0</v>
      </c>
      <c r="AR212" s="27" t="n">
        <f aca="false">IF(NOT(ISNUMBER(B212)),0,IF(B212&lt;MAX($B$5:B211),1,0))</f>
        <v>0</v>
      </c>
      <c r="AS212" s="0" t="str">
        <f aca="false">IF(C212="","",IFERROR(INDEX(CLIENTES!$H$6:$H$305,MATCH(C212,CLIENTES!$A$6:$A$305,0)),""))</f>
        <v/>
      </c>
      <c r="AT212" s="0" t="str">
        <f aca="false">IF(AND(LEFT(P212,5)="AVISO",T212&lt;&gt;"Presentado",ISNUMBER(Q212)),Q212,"")</f>
        <v/>
      </c>
      <c r="AU212" s="27" t="n">
        <f aca="false">IF(AND(D212="XVI - Activos virtuales (PSAV): operación de intercambio/transferencia",M212="Sí",ISNUMBER(AE212)),IF(AK212&gt;=AE212,1,0),0)</f>
        <v>0</v>
      </c>
      <c r="AV212" s="30" t="n">
        <f aca="false">IF(NOT(ISNUMBER(B212)),CONFIG!$B$4,IFERROR(INDEX(CONFIG!$I$5:$I$14,MATCH(IF(MONTH(B212)=1,YEAR(B212)-1,YEAR(B212)),CONFIG!$H$5:$H$14,0)),CONFIG!$B$4))</f>
        <v>117.31</v>
      </c>
      <c r="AW212" s="27" t="n">
        <f aca="false">IF(AND(LEFT(D212,4)="I - ",ISNUMBER(B212),C212&lt;&gt;""),SUMIFS($E$6:$E$505,$C$6:$C$505,C212,$D$6:$D$505,D212,$B$6:$B$505,"&gt;"&amp;(B212-1),$B$6:$B$505,"&lt;="&amp;B212),0)</f>
        <v>0</v>
      </c>
      <c r="AX212" s="0" t="str">
        <f aca="false">IF(E212="","",IF(AD212="Siempre","AVISO (siempre)",IF(AD212="No aplica","Sin Aviso (sólo preparas: Ley 17 XI)",IF(NOT(ISNUMBER(AE212)),"",IF(AA212&lt;&gt;"ACUMULA",IF(E212&gt;=AE212,IF(AND(D212="XVI - Activos virtuales (PSAV): cobro de contraprestación (comisión) por el servicio",COUNTIFS($C$6:$C$505,C212,$B$6:$B$505,"&gt;="&amp;INT(B212),$B$6:$B$505,"&lt;"&amp;(INT(B212)+1),$AU$6:$AU$505,1)&gt;0),"En el Aviso del inciso a) (R 31 Bis)","AVISO"),"—"),IF(M212&lt;&gt;"Sí","—",IF(AK212&gt;=AE212,IF(AK212=E212,"AVISO","AVISO (acumulado)"),"Acumulando")))))))</f>
        <v/>
      </c>
    </row>
    <row r="213" customFormat="false" ht="15" hidden="false" customHeight="false" outlineLevel="0" collapsed="false">
      <c r="A213" s="9" t="str">
        <f aca="false">IF(E213="","",ROW()-5)</f>
        <v/>
      </c>
      <c r="B213" s="20"/>
      <c r="C213" s="21"/>
      <c r="D213" s="21"/>
      <c r="E213" s="22"/>
      <c r="F213" s="22"/>
      <c r="G213" s="21"/>
      <c r="H213" s="21"/>
      <c r="I213" s="9" t="str">
        <f aca="false">IF(C213="","",IFERROR(INDEX(CLIENTES!$B$6:$B$305,MATCH(C213,CLIENTES!$A$6:$A$305,0)),"⚠ ID no registrado"))</f>
        <v/>
      </c>
      <c r="J213" s="9" t="str">
        <f aca="false">IF(C213="","",IFERROR(INDEX(CLIENTES!$Z$6:$Z$305,MATCH(C213,CLIENTES!$A$6:$A$305,0)),""))</f>
        <v/>
      </c>
      <c r="K213" s="9" t="str">
        <f aca="false">IF(E213="","",IF(AB213="Siempre","Sí",IF(ISNUMBER(AC213),IF(E213&gt;=AC213,"Sí",IF(AW213&gt;=AC213,"Sí (serie 24 h)","No")),"")))</f>
        <v/>
      </c>
      <c r="L213" s="9" t="str">
        <f aca="false">IF(E213="","",AA213)</f>
        <v/>
      </c>
      <c r="M213" s="9" t="str">
        <f aca="false">IF(E213="","",IF(AA213&lt;&gt;"ACUMULA","No aplica",IF(LEFT(K213,2)="Sí","Sí","No")))</f>
        <v/>
      </c>
      <c r="N213" s="23" t="str">
        <f aca="false">IF(M213="Sí",AJ213,"")</f>
        <v/>
      </c>
      <c r="O213" s="24" t="str">
        <f aca="false">IF(M213="Sí",AK213,"")</f>
        <v/>
      </c>
      <c r="P213" s="25" t="str">
        <f aca="false">IF(AND(LEFT(D213,6)="XIV - ",LEFT(AX213,5)="AVISO"),"Pedimento (R 16): no va al SPPLD",AX213)</f>
        <v/>
      </c>
      <c r="Q213" s="23" t="str">
        <f aca="false">IF(LEFT(P213,5)="AVISO",IF(ISNUMBER(B213),DATE(YEAR(B213),MONTH(B213)+1,17),"Falta fecha"),"")</f>
        <v/>
      </c>
      <c r="R213" s="9" t="str">
        <f aca="false">IF(OR(F213="",F213=0),"",IF(ISNUMBER(AG213),IF(F213&gt;=AG213,"PROHIBIDO","Dentro del límite"),"No aplica"))</f>
        <v/>
      </c>
      <c r="S213" s="26" t="str">
        <f aca="false">IF(E213="","",MID(IF(AQ213=1," · Excede el perfil declarado","")&amp;IF(H213="Sí"," · Paga un tercero","")&amp;IF(J213="Alto"," · Cliente de riesgo alto: DDR (RCG 23 Ter 3 y 4)","")&amp;IF(AND(AS213&lt;&gt;"",AS213&lt;&gt;"No",AS213&lt;&gt;0)," · PEP","")&amp;IF(R213="PROHIBIDO"," · Efectivo prohibido: no lo recibas (Art. 32)","")&amp;IF(AR213=1," · ⚠ Fecha fuera de orden","")&amp;IF(LEFT(I213,1)="⚠"," · ⚠ Cliente no registrado","")&amp;IF(D213=""," · ⚠ Falta la actividad","")&amp;IF(AND(LEFT(P213,5)="AVISO",W213="")," · Captura la cifra total con IVA para el Aviso","")&amp;IF(AND(ISNUMBER(W213),W213&lt;E213)," · ⚠ La cifra con IVA es menor que el monto sin IVA",""),4,400))</f>
        <v/>
      </c>
      <c r="T213" s="21"/>
      <c r="U213" s="20"/>
      <c r="V213" s="9" t="str">
        <f aca="false">IF(LEFT(P213,5)&lt;&gt;"AVISO","",IF(T213="Presentado",IF(AND(ISNUMBER(U213),ISNUMBER(Q213),U213&gt;Q213),"Presentado tarde","Presentado"),IF(NOT(ISNUMBER(Q213)),"Falta fecha",IF(Q213&lt;CONFIG!$B$6,"VENCIDO","Vence en "&amp;(Q213-CONFIG!$B$6)&amp;" días"))))</f>
        <v/>
      </c>
      <c r="W213" s="22"/>
      <c r="X213" s="21"/>
      <c r="AA213" s="0" t="str">
        <f aca="false">IF(AM213="","",INDEX(CATÁLOGO!$D$5:$D$39,AM213))</f>
        <v/>
      </c>
      <c r="AB213" s="0" t="str">
        <f aca="false">IF(AM213="","",INDEX(CATÁLOGO!$E$5:$E$39,AM213))</f>
        <v/>
      </c>
      <c r="AC213" s="0" t="str">
        <f aca="false">IF(AB213="","",IF(ISNUMBER(AB213),AB213*AV213,AB213))</f>
        <v/>
      </c>
      <c r="AD213" s="0" t="str">
        <f aca="false">IF(AM213="","",INDEX(CATÁLOGO!$F$5:$F$39,AM213))</f>
        <v/>
      </c>
      <c r="AE213" s="0" t="str">
        <f aca="false">IF(AD213="","",IF(ISNUMBER(AD213),AD213*AV213,AD213))</f>
        <v/>
      </c>
      <c r="AF213" s="0" t="str">
        <f aca="false">IF(AM213="","",INDEX(CATÁLOGO!$G$5:$G$39,AM213))</f>
        <v/>
      </c>
      <c r="AG213" s="0" t="str">
        <f aca="false">IF(AF213="","",IF(ISNUMBER(AF213),AF213*AV213,AF213))</f>
        <v/>
      </c>
      <c r="AH213" s="0" t="str">
        <f aca="false">IF(E213="","",C213&amp;"|"&amp;D213)</f>
        <v/>
      </c>
      <c r="AI213" s="27" t="n">
        <f aca="false">IF(M213&lt;&gt;"Sí",0,SUMPRODUCT(MAX(($AH$5:AH212=AH213)*($M$5:M212="Sí")*ROW($AH$5:AH212))))</f>
        <v>0</v>
      </c>
      <c r="AJ213" s="0" t="str">
        <f aca="false">IF(M213&lt;&gt;"Sí","",IF(AL213=1,B213,INDEX($AJ:$AJ,AI213)))</f>
        <v/>
      </c>
      <c r="AK213" s="0" t="str">
        <f aca="false">IF(M213&lt;&gt;"Sí","",IF(AL213=1,E213,INDEX($AK:$AK,AI213)+E213))</f>
        <v/>
      </c>
      <c r="AL213" s="0" t="str">
        <f aca="false">IF(M213&lt;&gt;"Sí","",IF(AI213=0,1,IF(INDEX($AN:$AN,AI213)=0,1,IF(B213&gt;=EDATE(INDEX($AJ:$AJ,AI213),6),1,0))))</f>
        <v/>
      </c>
      <c r="AM213" s="0" t="str">
        <f aca="false">IF(D213="","",IFERROR(MATCH(D213,CATÁLOGO!$C$5:$C$39,0),""))</f>
        <v/>
      </c>
      <c r="AN213" s="0" t="str">
        <f aca="false">IF(M213&lt;&gt;"Sí","",IF(AND(ISNUMBER(AE213),AK213&gt;=AE213),0,1))</f>
        <v/>
      </c>
      <c r="AO213" s="0" t="str">
        <f aca="false">IF(OR(E213="",C213="",NOT(ISNUMBER(B213))),"",SUMIFS($E$6:$E$505,$C$6:$C$505,C213,$B$6:$B$505,"&gt;="&amp;DATE(YEAR(B213),MONTH(B213),1),$B$6:$B$505,"&lt;"&amp;DATE(YEAR(B213),MONTH(B213)+1,1)))</f>
        <v/>
      </c>
      <c r="AP213" s="0" t="str">
        <f aca="false">IF(C213="","",IFERROR(INDEX(CLIENTES!$M$6:$M$305,MATCH(C213,CLIENTES!$A$6:$A$305,0)),""))</f>
        <v/>
      </c>
      <c r="AQ213" s="27" t="n">
        <f aca="false">IF(AND(ISNUMBER(AO213),ISNUMBER(AP213)),IF(AND(AP213&gt;0,AO213&gt;AP213),1,0),0)</f>
        <v>0</v>
      </c>
      <c r="AR213" s="27" t="n">
        <f aca="false">IF(NOT(ISNUMBER(B213)),0,IF(B213&lt;MAX($B$5:B212),1,0))</f>
        <v>0</v>
      </c>
      <c r="AS213" s="0" t="str">
        <f aca="false">IF(C213="","",IFERROR(INDEX(CLIENTES!$H$6:$H$305,MATCH(C213,CLIENTES!$A$6:$A$305,0)),""))</f>
        <v/>
      </c>
      <c r="AT213" s="0" t="str">
        <f aca="false">IF(AND(LEFT(P213,5)="AVISO",T213&lt;&gt;"Presentado",ISNUMBER(Q213)),Q213,"")</f>
        <v/>
      </c>
      <c r="AU213" s="27" t="n">
        <f aca="false">IF(AND(D213="XVI - Activos virtuales (PSAV): operación de intercambio/transferencia",M213="Sí",ISNUMBER(AE213)),IF(AK213&gt;=AE213,1,0),0)</f>
        <v>0</v>
      </c>
      <c r="AV213" s="30" t="n">
        <f aca="false">IF(NOT(ISNUMBER(B213)),CONFIG!$B$4,IFERROR(INDEX(CONFIG!$I$5:$I$14,MATCH(IF(MONTH(B213)=1,YEAR(B213)-1,YEAR(B213)),CONFIG!$H$5:$H$14,0)),CONFIG!$B$4))</f>
        <v>117.31</v>
      </c>
      <c r="AW213" s="27" t="n">
        <f aca="false">IF(AND(LEFT(D213,4)="I - ",ISNUMBER(B213),C213&lt;&gt;""),SUMIFS($E$6:$E$505,$C$6:$C$505,C213,$D$6:$D$505,D213,$B$6:$B$505,"&gt;"&amp;(B213-1),$B$6:$B$505,"&lt;="&amp;B213),0)</f>
        <v>0</v>
      </c>
      <c r="AX213" s="0" t="str">
        <f aca="false">IF(E213="","",IF(AD213="Siempre","AVISO (siempre)",IF(AD213="No aplica","Sin Aviso (sólo preparas: Ley 17 XI)",IF(NOT(ISNUMBER(AE213)),"",IF(AA213&lt;&gt;"ACUMULA",IF(E213&gt;=AE213,IF(AND(D213="XVI - Activos virtuales (PSAV): cobro de contraprestación (comisión) por el servicio",COUNTIFS($C$6:$C$505,C213,$B$6:$B$505,"&gt;="&amp;INT(B213),$B$6:$B$505,"&lt;"&amp;(INT(B213)+1),$AU$6:$AU$505,1)&gt;0),"En el Aviso del inciso a) (R 31 Bis)","AVISO"),"—"),IF(M213&lt;&gt;"Sí","—",IF(AK213&gt;=AE213,IF(AK213=E213,"AVISO","AVISO (acumulado)"),"Acumulando")))))))</f>
        <v/>
      </c>
    </row>
    <row r="214" customFormat="false" ht="15" hidden="false" customHeight="false" outlineLevel="0" collapsed="false">
      <c r="A214" s="9" t="str">
        <f aca="false">IF(E214="","",ROW()-5)</f>
        <v/>
      </c>
      <c r="B214" s="20"/>
      <c r="C214" s="21"/>
      <c r="D214" s="21"/>
      <c r="E214" s="22"/>
      <c r="F214" s="22"/>
      <c r="G214" s="21"/>
      <c r="H214" s="21"/>
      <c r="I214" s="9" t="str">
        <f aca="false">IF(C214="","",IFERROR(INDEX(CLIENTES!$B$6:$B$305,MATCH(C214,CLIENTES!$A$6:$A$305,0)),"⚠ ID no registrado"))</f>
        <v/>
      </c>
      <c r="J214" s="9" t="str">
        <f aca="false">IF(C214="","",IFERROR(INDEX(CLIENTES!$Z$6:$Z$305,MATCH(C214,CLIENTES!$A$6:$A$305,0)),""))</f>
        <v/>
      </c>
      <c r="K214" s="9" t="str">
        <f aca="false">IF(E214="","",IF(AB214="Siempre","Sí",IF(ISNUMBER(AC214),IF(E214&gt;=AC214,"Sí",IF(AW214&gt;=AC214,"Sí (serie 24 h)","No")),"")))</f>
        <v/>
      </c>
      <c r="L214" s="9" t="str">
        <f aca="false">IF(E214="","",AA214)</f>
        <v/>
      </c>
      <c r="M214" s="9" t="str">
        <f aca="false">IF(E214="","",IF(AA214&lt;&gt;"ACUMULA","No aplica",IF(LEFT(K214,2)="Sí","Sí","No")))</f>
        <v/>
      </c>
      <c r="N214" s="23" t="str">
        <f aca="false">IF(M214="Sí",AJ214,"")</f>
        <v/>
      </c>
      <c r="O214" s="24" t="str">
        <f aca="false">IF(M214="Sí",AK214,"")</f>
        <v/>
      </c>
      <c r="P214" s="25" t="str">
        <f aca="false">IF(AND(LEFT(D214,6)="XIV - ",LEFT(AX214,5)="AVISO"),"Pedimento (R 16): no va al SPPLD",AX214)</f>
        <v/>
      </c>
      <c r="Q214" s="23" t="str">
        <f aca="false">IF(LEFT(P214,5)="AVISO",IF(ISNUMBER(B214),DATE(YEAR(B214),MONTH(B214)+1,17),"Falta fecha"),"")</f>
        <v/>
      </c>
      <c r="R214" s="9" t="str">
        <f aca="false">IF(OR(F214="",F214=0),"",IF(ISNUMBER(AG214),IF(F214&gt;=AG214,"PROHIBIDO","Dentro del límite"),"No aplica"))</f>
        <v/>
      </c>
      <c r="S214" s="26" t="str">
        <f aca="false">IF(E214="","",MID(IF(AQ214=1," · Excede el perfil declarado","")&amp;IF(H214="Sí"," · Paga un tercero","")&amp;IF(J214="Alto"," · Cliente de riesgo alto: DDR (RCG 23 Ter 3 y 4)","")&amp;IF(AND(AS214&lt;&gt;"",AS214&lt;&gt;"No",AS214&lt;&gt;0)," · PEP","")&amp;IF(R214="PROHIBIDO"," · Efectivo prohibido: no lo recibas (Art. 32)","")&amp;IF(AR214=1," · ⚠ Fecha fuera de orden","")&amp;IF(LEFT(I214,1)="⚠"," · ⚠ Cliente no registrado","")&amp;IF(D214=""," · ⚠ Falta la actividad","")&amp;IF(AND(LEFT(P214,5)="AVISO",W214="")," · Captura la cifra total con IVA para el Aviso","")&amp;IF(AND(ISNUMBER(W214),W214&lt;E214)," · ⚠ La cifra con IVA es menor que el monto sin IVA",""),4,400))</f>
        <v/>
      </c>
      <c r="T214" s="21"/>
      <c r="U214" s="20"/>
      <c r="V214" s="9" t="str">
        <f aca="false">IF(LEFT(P214,5)&lt;&gt;"AVISO","",IF(T214="Presentado",IF(AND(ISNUMBER(U214),ISNUMBER(Q214),U214&gt;Q214),"Presentado tarde","Presentado"),IF(NOT(ISNUMBER(Q214)),"Falta fecha",IF(Q214&lt;CONFIG!$B$6,"VENCIDO","Vence en "&amp;(Q214-CONFIG!$B$6)&amp;" días"))))</f>
        <v/>
      </c>
      <c r="W214" s="22"/>
      <c r="X214" s="21"/>
      <c r="AA214" s="0" t="str">
        <f aca="false">IF(AM214="","",INDEX(CATÁLOGO!$D$5:$D$39,AM214))</f>
        <v/>
      </c>
      <c r="AB214" s="0" t="str">
        <f aca="false">IF(AM214="","",INDEX(CATÁLOGO!$E$5:$E$39,AM214))</f>
        <v/>
      </c>
      <c r="AC214" s="0" t="str">
        <f aca="false">IF(AB214="","",IF(ISNUMBER(AB214),AB214*AV214,AB214))</f>
        <v/>
      </c>
      <c r="AD214" s="0" t="str">
        <f aca="false">IF(AM214="","",INDEX(CATÁLOGO!$F$5:$F$39,AM214))</f>
        <v/>
      </c>
      <c r="AE214" s="0" t="str">
        <f aca="false">IF(AD214="","",IF(ISNUMBER(AD214),AD214*AV214,AD214))</f>
        <v/>
      </c>
      <c r="AF214" s="0" t="str">
        <f aca="false">IF(AM214="","",INDEX(CATÁLOGO!$G$5:$G$39,AM214))</f>
        <v/>
      </c>
      <c r="AG214" s="0" t="str">
        <f aca="false">IF(AF214="","",IF(ISNUMBER(AF214),AF214*AV214,AF214))</f>
        <v/>
      </c>
      <c r="AH214" s="0" t="str">
        <f aca="false">IF(E214="","",C214&amp;"|"&amp;D214)</f>
        <v/>
      </c>
      <c r="AI214" s="27" t="n">
        <f aca="false">IF(M214&lt;&gt;"Sí",0,SUMPRODUCT(MAX(($AH$5:AH213=AH214)*($M$5:M213="Sí")*ROW($AH$5:AH213))))</f>
        <v>0</v>
      </c>
      <c r="AJ214" s="0" t="str">
        <f aca="false">IF(M214&lt;&gt;"Sí","",IF(AL214=1,B214,INDEX($AJ:$AJ,AI214)))</f>
        <v/>
      </c>
      <c r="AK214" s="0" t="str">
        <f aca="false">IF(M214&lt;&gt;"Sí","",IF(AL214=1,E214,INDEX($AK:$AK,AI214)+E214))</f>
        <v/>
      </c>
      <c r="AL214" s="0" t="str">
        <f aca="false">IF(M214&lt;&gt;"Sí","",IF(AI214=0,1,IF(INDEX($AN:$AN,AI214)=0,1,IF(B214&gt;=EDATE(INDEX($AJ:$AJ,AI214),6),1,0))))</f>
        <v/>
      </c>
      <c r="AM214" s="0" t="str">
        <f aca="false">IF(D214="","",IFERROR(MATCH(D214,CATÁLOGO!$C$5:$C$39,0),""))</f>
        <v/>
      </c>
      <c r="AN214" s="0" t="str">
        <f aca="false">IF(M214&lt;&gt;"Sí","",IF(AND(ISNUMBER(AE214),AK214&gt;=AE214),0,1))</f>
        <v/>
      </c>
      <c r="AO214" s="0" t="str">
        <f aca="false">IF(OR(E214="",C214="",NOT(ISNUMBER(B214))),"",SUMIFS($E$6:$E$505,$C$6:$C$505,C214,$B$6:$B$505,"&gt;="&amp;DATE(YEAR(B214),MONTH(B214),1),$B$6:$B$505,"&lt;"&amp;DATE(YEAR(B214),MONTH(B214)+1,1)))</f>
        <v/>
      </c>
      <c r="AP214" s="0" t="str">
        <f aca="false">IF(C214="","",IFERROR(INDEX(CLIENTES!$M$6:$M$305,MATCH(C214,CLIENTES!$A$6:$A$305,0)),""))</f>
        <v/>
      </c>
      <c r="AQ214" s="27" t="n">
        <f aca="false">IF(AND(ISNUMBER(AO214),ISNUMBER(AP214)),IF(AND(AP214&gt;0,AO214&gt;AP214),1,0),0)</f>
        <v>0</v>
      </c>
      <c r="AR214" s="27" t="n">
        <f aca="false">IF(NOT(ISNUMBER(B214)),0,IF(B214&lt;MAX($B$5:B213),1,0))</f>
        <v>0</v>
      </c>
      <c r="AS214" s="0" t="str">
        <f aca="false">IF(C214="","",IFERROR(INDEX(CLIENTES!$H$6:$H$305,MATCH(C214,CLIENTES!$A$6:$A$305,0)),""))</f>
        <v/>
      </c>
      <c r="AT214" s="0" t="str">
        <f aca="false">IF(AND(LEFT(P214,5)="AVISO",T214&lt;&gt;"Presentado",ISNUMBER(Q214)),Q214,"")</f>
        <v/>
      </c>
      <c r="AU214" s="27" t="n">
        <f aca="false">IF(AND(D214="XVI - Activos virtuales (PSAV): operación de intercambio/transferencia",M214="Sí",ISNUMBER(AE214)),IF(AK214&gt;=AE214,1,0),0)</f>
        <v>0</v>
      </c>
      <c r="AV214" s="30" t="n">
        <f aca="false">IF(NOT(ISNUMBER(B214)),CONFIG!$B$4,IFERROR(INDEX(CONFIG!$I$5:$I$14,MATCH(IF(MONTH(B214)=1,YEAR(B214)-1,YEAR(B214)),CONFIG!$H$5:$H$14,0)),CONFIG!$B$4))</f>
        <v>117.31</v>
      </c>
      <c r="AW214" s="27" t="n">
        <f aca="false">IF(AND(LEFT(D214,4)="I - ",ISNUMBER(B214),C214&lt;&gt;""),SUMIFS($E$6:$E$505,$C$6:$C$505,C214,$D$6:$D$505,D214,$B$6:$B$505,"&gt;"&amp;(B214-1),$B$6:$B$505,"&lt;="&amp;B214),0)</f>
        <v>0</v>
      </c>
      <c r="AX214" s="0" t="str">
        <f aca="false">IF(E214="","",IF(AD214="Siempre","AVISO (siempre)",IF(AD214="No aplica","Sin Aviso (sólo preparas: Ley 17 XI)",IF(NOT(ISNUMBER(AE214)),"",IF(AA214&lt;&gt;"ACUMULA",IF(E214&gt;=AE214,IF(AND(D214="XVI - Activos virtuales (PSAV): cobro de contraprestación (comisión) por el servicio",COUNTIFS($C$6:$C$505,C214,$B$6:$B$505,"&gt;="&amp;INT(B214),$B$6:$B$505,"&lt;"&amp;(INT(B214)+1),$AU$6:$AU$505,1)&gt;0),"En el Aviso del inciso a) (R 31 Bis)","AVISO"),"—"),IF(M214&lt;&gt;"Sí","—",IF(AK214&gt;=AE214,IF(AK214=E214,"AVISO","AVISO (acumulado)"),"Acumulando")))))))</f>
        <v/>
      </c>
    </row>
    <row r="215" customFormat="false" ht="15" hidden="false" customHeight="false" outlineLevel="0" collapsed="false">
      <c r="A215" s="9" t="str">
        <f aca="false">IF(E215="","",ROW()-5)</f>
        <v/>
      </c>
      <c r="B215" s="20"/>
      <c r="C215" s="21"/>
      <c r="D215" s="21"/>
      <c r="E215" s="22"/>
      <c r="F215" s="22"/>
      <c r="G215" s="21"/>
      <c r="H215" s="21"/>
      <c r="I215" s="9" t="str">
        <f aca="false">IF(C215="","",IFERROR(INDEX(CLIENTES!$B$6:$B$305,MATCH(C215,CLIENTES!$A$6:$A$305,0)),"⚠ ID no registrado"))</f>
        <v/>
      </c>
      <c r="J215" s="9" t="str">
        <f aca="false">IF(C215="","",IFERROR(INDEX(CLIENTES!$Z$6:$Z$305,MATCH(C215,CLIENTES!$A$6:$A$305,0)),""))</f>
        <v/>
      </c>
      <c r="K215" s="9" t="str">
        <f aca="false">IF(E215="","",IF(AB215="Siempre","Sí",IF(ISNUMBER(AC215),IF(E215&gt;=AC215,"Sí",IF(AW215&gt;=AC215,"Sí (serie 24 h)","No")),"")))</f>
        <v/>
      </c>
      <c r="L215" s="9" t="str">
        <f aca="false">IF(E215="","",AA215)</f>
        <v/>
      </c>
      <c r="M215" s="9" t="str">
        <f aca="false">IF(E215="","",IF(AA215&lt;&gt;"ACUMULA","No aplica",IF(LEFT(K215,2)="Sí","Sí","No")))</f>
        <v/>
      </c>
      <c r="N215" s="23" t="str">
        <f aca="false">IF(M215="Sí",AJ215,"")</f>
        <v/>
      </c>
      <c r="O215" s="24" t="str">
        <f aca="false">IF(M215="Sí",AK215,"")</f>
        <v/>
      </c>
      <c r="P215" s="25" t="str">
        <f aca="false">IF(AND(LEFT(D215,6)="XIV - ",LEFT(AX215,5)="AVISO"),"Pedimento (R 16): no va al SPPLD",AX215)</f>
        <v/>
      </c>
      <c r="Q215" s="23" t="str">
        <f aca="false">IF(LEFT(P215,5)="AVISO",IF(ISNUMBER(B215),DATE(YEAR(B215),MONTH(B215)+1,17),"Falta fecha"),"")</f>
        <v/>
      </c>
      <c r="R215" s="9" t="str">
        <f aca="false">IF(OR(F215="",F215=0),"",IF(ISNUMBER(AG215),IF(F215&gt;=AG215,"PROHIBIDO","Dentro del límite"),"No aplica"))</f>
        <v/>
      </c>
      <c r="S215" s="26" t="str">
        <f aca="false">IF(E215="","",MID(IF(AQ215=1," · Excede el perfil declarado","")&amp;IF(H215="Sí"," · Paga un tercero","")&amp;IF(J215="Alto"," · Cliente de riesgo alto: DDR (RCG 23 Ter 3 y 4)","")&amp;IF(AND(AS215&lt;&gt;"",AS215&lt;&gt;"No",AS215&lt;&gt;0)," · PEP","")&amp;IF(R215="PROHIBIDO"," · Efectivo prohibido: no lo recibas (Art. 32)","")&amp;IF(AR215=1," · ⚠ Fecha fuera de orden","")&amp;IF(LEFT(I215,1)="⚠"," · ⚠ Cliente no registrado","")&amp;IF(D215=""," · ⚠ Falta la actividad","")&amp;IF(AND(LEFT(P215,5)="AVISO",W215="")," · Captura la cifra total con IVA para el Aviso","")&amp;IF(AND(ISNUMBER(W215),W215&lt;E215)," · ⚠ La cifra con IVA es menor que el monto sin IVA",""),4,400))</f>
        <v/>
      </c>
      <c r="T215" s="21"/>
      <c r="U215" s="20"/>
      <c r="V215" s="9" t="str">
        <f aca="false">IF(LEFT(P215,5)&lt;&gt;"AVISO","",IF(T215="Presentado",IF(AND(ISNUMBER(U215),ISNUMBER(Q215),U215&gt;Q215),"Presentado tarde","Presentado"),IF(NOT(ISNUMBER(Q215)),"Falta fecha",IF(Q215&lt;CONFIG!$B$6,"VENCIDO","Vence en "&amp;(Q215-CONFIG!$B$6)&amp;" días"))))</f>
        <v/>
      </c>
      <c r="W215" s="22"/>
      <c r="X215" s="21"/>
      <c r="AA215" s="0" t="str">
        <f aca="false">IF(AM215="","",INDEX(CATÁLOGO!$D$5:$D$39,AM215))</f>
        <v/>
      </c>
      <c r="AB215" s="0" t="str">
        <f aca="false">IF(AM215="","",INDEX(CATÁLOGO!$E$5:$E$39,AM215))</f>
        <v/>
      </c>
      <c r="AC215" s="0" t="str">
        <f aca="false">IF(AB215="","",IF(ISNUMBER(AB215),AB215*AV215,AB215))</f>
        <v/>
      </c>
      <c r="AD215" s="0" t="str">
        <f aca="false">IF(AM215="","",INDEX(CATÁLOGO!$F$5:$F$39,AM215))</f>
        <v/>
      </c>
      <c r="AE215" s="0" t="str">
        <f aca="false">IF(AD215="","",IF(ISNUMBER(AD215),AD215*AV215,AD215))</f>
        <v/>
      </c>
      <c r="AF215" s="0" t="str">
        <f aca="false">IF(AM215="","",INDEX(CATÁLOGO!$G$5:$G$39,AM215))</f>
        <v/>
      </c>
      <c r="AG215" s="0" t="str">
        <f aca="false">IF(AF215="","",IF(ISNUMBER(AF215),AF215*AV215,AF215))</f>
        <v/>
      </c>
      <c r="AH215" s="0" t="str">
        <f aca="false">IF(E215="","",C215&amp;"|"&amp;D215)</f>
        <v/>
      </c>
      <c r="AI215" s="27" t="n">
        <f aca="false">IF(M215&lt;&gt;"Sí",0,SUMPRODUCT(MAX(($AH$5:AH214=AH215)*($M$5:M214="Sí")*ROW($AH$5:AH214))))</f>
        <v>0</v>
      </c>
      <c r="AJ215" s="0" t="str">
        <f aca="false">IF(M215&lt;&gt;"Sí","",IF(AL215=1,B215,INDEX($AJ:$AJ,AI215)))</f>
        <v/>
      </c>
      <c r="AK215" s="0" t="str">
        <f aca="false">IF(M215&lt;&gt;"Sí","",IF(AL215=1,E215,INDEX($AK:$AK,AI215)+E215))</f>
        <v/>
      </c>
      <c r="AL215" s="0" t="str">
        <f aca="false">IF(M215&lt;&gt;"Sí","",IF(AI215=0,1,IF(INDEX($AN:$AN,AI215)=0,1,IF(B215&gt;=EDATE(INDEX($AJ:$AJ,AI215),6),1,0))))</f>
        <v/>
      </c>
      <c r="AM215" s="0" t="str">
        <f aca="false">IF(D215="","",IFERROR(MATCH(D215,CATÁLOGO!$C$5:$C$39,0),""))</f>
        <v/>
      </c>
      <c r="AN215" s="0" t="str">
        <f aca="false">IF(M215&lt;&gt;"Sí","",IF(AND(ISNUMBER(AE215),AK215&gt;=AE215),0,1))</f>
        <v/>
      </c>
      <c r="AO215" s="0" t="str">
        <f aca="false">IF(OR(E215="",C215="",NOT(ISNUMBER(B215))),"",SUMIFS($E$6:$E$505,$C$6:$C$505,C215,$B$6:$B$505,"&gt;="&amp;DATE(YEAR(B215),MONTH(B215),1),$B$6:$B$505,"&lt;"&amp;DATE(YEAR(B215),MONTH(B215)+1,1)))</f>
        <v/>
      </c>
      <c r="AP215" s="0" t="str">
        <f aca="false">IF(C215="","",IFERROR(INDEX(CLIENTES!$M$6:$M$305,MATCH(C215,CLIENTES!$A$6:$A$305,0)),""))</f>
        <v/>
      </c>
      <c r="AQ215" s="27" t="n">
        <f aca="false">IF(AND(ISNUMBER(AO215),ISNUMBER(AP215)),IF(AND(AP215&gt;0,AO215&gt;AP215),1,0),0)</f>
        <v>0</v>
      </c>
      <c r="AR215" s="27" t="n">
        <f aca="false">IF(NOT(ISNUMBER(B215)),0,IF(B215&lt;MAX($B$5:B214),1,0))</f>
        <v>0</v>
      </c>
      <c r="AS215" s="0" t="str">
        <f aca="false">IF(C215="","",IFERROR(INDEX(CLIENTES!$H$6:$H$305,MATCH(C215,CLIENTES!$A$6:$A$305,0)),""))</f>
        <v/>
      </c>
      <c r="AT215" s="0" t="str">
        <f aca="false">IF(AND(LEFT(P215,5)="AVISO",T215&lt;&gt;"Presentado",ISNUMBER(Q215)),Q215,"")</f>
        <v/>
      </c>
      <c r="AU215" s="27" t="n">
        <f aca="false">IF(AND(D215="XVI - Activos virtuales (PSAV): operación de intercambio/transferencia",M215="Sí",ISNUMBER(AE215)),IF(AK215&gt;=AE215,1,0),0)</f>
        <v>0</v>
      </c>
      <c r="AV215" s="30" t="n">
        <f aca="false">IF(NOT(ISNUMBER(B215)),CONFIG!$B$4,IFERROR(INDEX(CONFIG!$I$5:$I$14,MATCH(IF(MONTH(B215)=1,YEAR(B215)-1,YEAR(B215)),CONFIG!$H$5:$H$14,0)),CONFIG!$B$4))</f>
        <v>117.31</v>
      </c>
      <c r="AW215" s="27" t="n">
        <f aca="false">IF(AND(LEFT(D215,4)="I - ",ISNUMBER(B215),C215&lt;&gt;""),SUMIFS($E$6:$E$505,$C$6:$C$505,C215,$D$6:$D$505,D215,$B$6:$B$505,"&gt;"&amp;(B215-1),$B$6:$B$505,"&lt;="&amp;B215),0)</f>
        <v>0</v>
      </c>
      <c r="AX215" s="0" t="str">
        <f aca="false">IF(E215="","",IF(AD215="Siempre","AVISO (siempre)",IF(AD215="No aplica","Sin Aviso (sólo preparas: Ley 17 XI)",IF(NOT(ISNUMBER(AE215)),"",IF(AA215&lt;&gt;"ACUMULA",IF(E215&gt;=AE215,IF(AND(D215="XVI - Activos virtuales (PSAV): cobro de contraprestación (comisión) por el servicio",COUNTIFS($C$6:$C$505,C215,$B$6:$B$505,"&gt;="&amp;INT(B215),$B$6:$B$505,"&lt;"&amp;(INT(B215)+1),$AU$6:$AU$505,1)&gt;0),"En el Aviso del inciso a) (R 31 Bis)","AVISO"),"—"),IF(M215&lt;&gt;"Sí","—",IF(AK215&gt;=AE215,IF(AK215=E215,"AVISO","AVISO (acumulado)"),"Acumulando")))))))</f>
        <v/>
      </c>
    </row>
    <row r="216" customFormat="false" ht="15" hidden="false" customHeight="false" outlineLevel="0" collapsed="false">
      <c r="A216" s="9" t="str">
        <f aca="false">IF(E216="","",ROW()-5)</f>
        <v/>
      </c>
      <c r="B216" s="20"/>
      <c r="C216" s="21"/>
      <c r="D216" s="21"/>
      <c r="E216" s="22"/>
      <c r="F216" s="22"/>
      <c r="G216" s="21"/>
      <c r="H216" s="21"/>
      <c r="I216" s="9" t="str">
        <f aca="false">IF(C216="","",IFERROR(INDEX(CLIENTES!$B$6:$B$305,MATCH(C216,CLIENTES!$A$6:$A$305,0)),"⚠ ID no registrado"))</f>
        <v/>
      </c>
      <c r="J216" s="9" t="str">
        <f aca="false">IF(C216="","",IFERROR(INDEX(CLIENTES!$Z$6:$Z$305,MATCH(C216,CLIENTES!$A$6:$A$305,0)),""))</f>
        <v/>
      </c>
      <c r="K216" s="9" t="str">
        <f aca="false">IF(E216="","",IF(AB216="Siempre","Sí",IF(ISNUMBER(AC216),IF(E216&gt;=AC216,"Sí",IF(AW216&gt;=AC216,"Sí (serie 24 h)","No")),"")))</f>
        <v/>
      </c>
      <c r="L216" s="9" t="str">
        <f aca="false">IF(E216="","",AA216)</f>
        <v/>
      </c>
      <c r="M216" s="9" t="str">
        <f aca="false">IF(E216="","",IF(AA216&lt;&gt;"ACUMULA","No aplica",IF(LEFT(K216,2)="Sí","Sí","No")))</f>
        <v/>
      </c>
      <c r="N216" s="23" t="str">
        <f aca="false">IF(M216="Sí",AJ216,"")</f>
        <v/>
      </c>
      <c r="O216" s="24" t="str">
        <f aca="false">IF(M216="Sí",AK216,"")</f>
        <v/>
      </c>
      <c r="P216" s="25" t="str">
        <f aca="false">IF(AND(LEFT(D216,6)="XIV - ",LEFT(AX216,5)="AVISO"),"Pedimento (R 16): no va al SPPLD",AX216)</f>
        <v/>
      </c>
      <c r="Q216" s="23" t="str">
        <f aca="false">IF(LEFT(P216,5)="AVISO",IF(ISNUMBER(B216),DATE(YEAR(B216),MONTH(B216)+1,17),"Falta fecha"),"")</f>
        <v/>
      </c>
      <c r="R216" s="9" t="str">
        <f aca="false">IF(OR(F216="",F216=0),"",IF(ISNUMBER(AG216),IF(F216&gt;=AG216,"PROHIBIDO","Dentro del límite"),"No aplica"))</f>
        <v/>
      </c>
      <c r="S216" s="26" t="str">
        <f aca="false">IF(E216="","",MID(IF(AQ216=1," · Excede el perfil declarado","")&amp;IF(H216="Sí"," · Paga un tercero","")&amp;IF(J216="Alto"," · Cliente de riesgo alto: DDR (RCG 23 Ter 3 y 4)","")&amp;IF(AND(AS216&lt;&gt;"",AS216&lt;&gt;"No",AS216&lt;&gt;0)," · PEP","")&amp;IF(R216="PROHIBIDO"," · Efectivo prohibido: no lo recibas (Art. 32)","")&amp;IF(AR216=1," · ⚠ Fecha fuera de orden","")&amp;IF(LEFT(I216,1)="⚠"," · ⚠ Cliente no registrado","")&amp;IF(D216=""," · ⚠ Falta la actividad","")&amp;IF(AND(LEFT(P216,5)="AVISO",W216="")," · Captura la cifra total con IVA para el Aviso","")&amp;IF(AND(ISNUMBER(W216),W216&lt;E216)," · ⚠ La cifra con IVA es menor que el monto sin IVA",""),4,400))</f>
        <v/>
      </c>
      <c r="T216" s="21"/>
      <c r="U216" s="20"/>
      <c r="V216" s="9" t="str">
        <f aca="false">IF(LEFT(P216,5)&lt;&gt;"AVISO","",IF(T216="Presentado",IF(AND(ISNUMBER(U216),ISNUMBER(Q216),U216&gt;Q216),"Presentado tarde","Presentado"),IF(NOT(ISNUMBER(Q216)),"Falta fecha",IF(Q216&lt;CONFIG!$B$6,"VENCIDO","Vence en "&amp;(Q216-CONFIG!$B$6)&amp;" días"))))</f>
        <v/>
      </c>
      <c r="W216" s="22"/>
      <c r="X216" s="21"/>
      <c r="AA216" s="0" t="str">
        <f aca="false">IF(AM216="","",INDEX(CATÁLOGO!$D$5:$D$39,AM216))</f>
        <v/>
      </c>
      <c r="AB216" s="0" t="str">
        <f aca="false">IF(AM216="","",INDEX(CATÁLOGO!$E$5:$E$39,AM216))</f>
        <v/>
      </c>
      <c r="AC216" s="0" t="str">
        <f aca="false">IF(AB216="","",IF(ISNUMBER(AB216),AB216*AV216,AB216))</f>
        <v/>
      </c>
      <c r="AD216" s="0" t="str">
        <f aca="false">IF(AM216="","",INDEX(CATÁLOGO!$F$5:$F$39,AM216))</f>
        <v/>
      </c>
      <c r="AE216" s="0" t="str">
        <f aca="false">IF(AD216="","",IF(ISNUMBER(AD216),AD216*AV216,AD216))</f>
        <v/>
      </c>
      <c r="AF216" s="0" t="str">
        <f aca="false">IF(AM216="","",INDEX(CATÁLOGO!$G$5:$G$39,AM216))</f>
        <v/>
      </c>
      <c r="AG216" s="0" t="str">
        <f aca="false">IF(AF216="","",IF(ISNUMBER(AF216),AF216*AV216,AF216))</f>
        <v/>
      </c>
      <c r="AH216" s="0" t="str">
        <f aca="false">IF(E216="","",C216&amp;"|"&amp;D216)</f>
        <v/>
      </c>
      <c r="AI216" s="27" t="n">
        <f aca="false">IF(M216&lt;&gt;"Sí",0,SUMPRODUCT(MAX(($AH$5:AH215=AH216)*($M$5:M215="Sí")*ROW($AH$5:AH215))))</f>
        <v>0</v>
      </c>
      <c r="AJ216" s="0" t="str">
        <f aca="false">IF(M216&lt;&gt;"Sí","",IF(AL216=1,B216,INDEX($AJ:$AJ,AI216)))</f>
        <v/>
      </c>
      <c r="AK216" s="0" t="str">
        <f aca="false">IF(M216&lt;&gt;"Sí","",IF(AL216=1,E216,INDEX($AK:$AK,AI216)+E216))</f>
        <v/>
      </c>
      <c r="AL216" s="0" t="str">
        <f aca="false">IF(M216&lt;&gt;"Sí","",IF(AI216=0,1,IF(INDEX($AN:$AN,AI216)=0,1,IF(B216&gt;=EDATE(INDEX($AJ:$AJ,AI216),6),1,0))))</f>
        <v/>
      </c>
      <c r="AM216" s="0" t="str">
        <f aca="false">IF(D216="","",IFERROR(MATCH(D216,CATÁLOGO!$C$5:$C$39,0),""))</f>
        <v/>
      </c>
      <c r="AN216" s="0" t="str">
        <f aca="false">IF(M216&lt;&gt;"Sí","",IF(AND(ISNUMBER(AE216),AK216&gt;=AE216),0,1))</f>
        <v/>
      </c>
      <c r="AO216" s="0" t="str">
        <f aca="false">IF(OR(E216="",C216="",NOT(ISNUMBER(B216))),"",SUMIFS($E$6:$E$505,$C$6:$C$505,C216,$B$6:$B$505,"&gt;="&amp;DATE(YEAR(B216),MONTH(B216),1),$B$6:$B$505,"&lt;"&amp;DATE(YEAR(B216),MONTH(B216)+1,1)))</f>
        <v/>
      </c>
      <c r="AP216" s="0" t="str">
        <f aca="false">IF(C216="","",IFERROR(INDEX(CLIENTES!$M$6:$M$305,MATCH(C216,CLIENTES!$A$6:$A$305,0)),""))</f>
        <v/>
      </c>
      <c r="AQ216" s="27" t="n">
        <f aca="false">IF(AND(ISNUMBER(AO216),ISNUMBER(AP216)),IF(AND(AP216&gt;0,AO216&gt;AP216),1,0),0)</f>
        <v>0</v>
      </c>
      <c r="AR216" s="27" t="n">
        <f aca="false">IF(NOT(ISNUMBER(B216)),0,IF(B216&lt;MAX($B$5:B215),1,0))</f>
        <v>0</v>
      </c>
      <c r="AS216" s="0" t="str">
        <f aca="false">IF(C216="","",IFERROR(INDEX(CLIENTES!$H$6:$H$305,MATCH(C216,CLIENTES!$A$6:$A$305,0)),""))</f>
        <v/>
      </c>
      <c r="AT216" s="0" t="str">
        <f aca="false">IF(AND(LEFT(P216,5)="AVISO",T216&lt;&gt;"Presentado",ISNUMBER(Q216)),Q216,"")</f>
        <v/>
      </c>
      <c r="AU216" s="27" t="n">
        <f aca="false">IF(AND(D216="XVI - Activos virtuales (PSAV): operación de intercambio/transferencia",M216="Sí",ISNUMBER(AE216)),IF(AK216&gt;=AE216,1,0),0)</f>
        <v>0</v>
      </c>
      <c r="AV216" s="30" t="n">
        <f aca="false">IF(NOT(ISNUMBER(B216)),CONFIG!$B$4,IFERROR(INDEX(CONFIG!$I$5:$I$14,MATCH(IF(MONTH(B216)=1,YEAR(B216)-1,YEAR(B216)),CONFIG!$H$5:$H$14,0)),CONFIG!$B$4))</f>
        <v>117.31</v>
      </c>
      <c r="AW216" s="27" t="n">
        <f aca="false">IF(AND(LEFT(D216,4)="I - ",ISNUMBER(B216),C216&lt;&gt;""),SUMIFS($E$6:$E$505,$C$6:$C$505,C216,$D$6:$D$505,D216,$B$6:$B$505,"&gt;"&amp;(B216-1),$B$6:$B$505,"&lt;="&amp;B216),0)</f>
        <v>0</v>
      </c>
      <c r="AX216" s="0" t="str">
        <f aca="false">IF(E216="","",IF(AD216="Siempre","AVISO (siempre)",IF(AD216="No aplica","Sin Aviso (sólo preparas: Ley 17 XI)",IF(NOT(ISNUMBER(AE216)),"",IF(AA216&lt;&gt;"ACUMULA",IF(E216&gt;=AE216,IF(AND(D216="XVI - Activos virtuales (PSAV): cobro de contraprestación (comisión) por el servicio",COUNTIFS($C$6:$C$505,C216,$B$6:$B$505,"&gt;="&amp;INT(B216),$B$6:$B$505,"&lt;"&amp;(INT(B216)+1),$AU$6:$AU$505,1)&gt;0),"En el Aviso del inciso a) (R 31 Bis)","AVISO"),"—"),IF(M216&lt;&gt;"Sí","—",IF(AK216&gt;=AE216,IF(AK216=E216,"AVISO","AVISO (acumulado)"),"Acumulando")))))))</f>
        <v/>
      </c>
    </row>
    <row r="217" customFormat="false" ht="15" hidden="false" customHeight="false" outlineLevel="0" collapsed="false">
      <c r="A217" s="9" t="str">
        <f aca="false">IF(E217="","",ROW()-5)</f>
        <v/>
      </c>
      <c r="B217" s="20"/>
      <c r="C217" s="21"/>
      <c r="D217" s="21"/>
      <c r="E217" s="22"/>
      <c r="F217" s="22"/>
      <c r="G217" s="21"/>
      <c r="H217" s="21"/>
      <c r="I217" s="9" t="str">
        <f aca="false">IF(C217="","",IFERROR(INDEX(CLIENTES!$B$6:$B$305,MATCH(C217,CLIENTES!$A$6:$A$305,0)),"⚠ ID no registrado"))</f>
        <v/>
      </c>
      <c r="J217" s="9" t="str">
        <f aca="false">IF(C217="","",IFERROR(INDEX(CLIENTES!$Z$6:$Z$305,MATCH(C217,CLIENTES!$A$6:$A$305,0)),""))</f>
        <v/>
      </c>
      <c r="K217" s="9" t="str">
        <f aca="false">IF(E217="","",IF(AB217="Siempre","Sí",IF(ISNUMBER(AC217),IF(E217&gt;=AC217,"Sí",IF(AW217&gt;=AC217,"Sí (serie 24 h)","No")),"")))</f>
        <v/>
      </c>
      <c r="L217" s="9" t="str">
        <f aca="false">IF(E217="","",AA217)</f>
        <v/>
      </c>
      <c r="M217" s="9" t="str">
        <f aca="false">IF(E217="","",IF(AA217&lt;&gt;"ACUMULA","No aplica",IF(LEFT(K217,2)="Sí","Sí","No")))</f>
        <v/>
      </c>
      <c r="N217" s="23" t="str">
        <f aca="false">IF(M217="Sí",AJ217,"")</f>
        <v/>
      </c>
      <c r="O217" s="24" t="str">
        <f aca="false">IF(M217="Sí",AK217,"")</f>
        <v/>
      </c>
      <c r="P217" s="25" t="str">
        <f aca="false">IF(AND(LEFT(D217,6)="XIV - ",LEFT(AX217,5)="AVISO"),"Pedimento (R 16): no va al SPPLD",AX217)</f>
        <v/>
      </c>
      <c r="Q217" s="23" t="str">
        <f aca="false">IF(LEFT(P217,5)="AVISO",IF(ISNUMBER(B217),DATE(YEAR(B217),MONTH(B217)+1,17),"Falta fecha"),"")</f>
        <v/>
      </c>
      <c r="R217" s="9" t="str">
        <f aca="false">IF(OR(F217="",F217=0),"",IF(ISNUMBER(AG217),IF(F217&gt;=AG217,"PROHIBIDO","Dentro del límite"),"No aplica"))</f>
        <v/>
      </c>
      <c r="S217" s="26" t="str">
        <f aca="false">IF(E217="","",MID(IF(AQ217=1," · Excede el perfil declarado","")&amp;IF(H217="Sí"," · Paga un tercero","")&amp;IF(J217="Alto"," · Cliente de riesgo alto: DDR (RCG 23 Ter 3 y 4)","")&amp;IF(AND(AS217&lt;&gt;"",AS217&lt;&gt;"No",AS217&lt;&gt;0)," · PEP","")&amp;IF(R217="PROHIBIDO"," · Efectivo prohibido: no lo recibas (Art. 32)","")&amp;IF(AR217=1," · ⚠ Fecha fuera de orden","")&amp;IF(LEFT(I217,1)="⚠"," · ⚠ Cliente no registrado","")&amp;IF(D217=""," · ⚠ Falta la actividad","")&amp;IF(AND(LEFT(P217,5)="AVISO",W217="")," · Captura la cifra total con IVA para el Aviso","")&amp;IF(AND(ISNUMBER(W217),W217&lt;E217)," · ⚠ La cifra con IVA es menor que el monto sin IVA",""),4,400))</f>
        <v/>
      </c>
      <c r="T217" s="21"/>
      <c r="U217" s="20"/>
      <c r="V217" s="9" t="str">
        <f aca="false">IF(LEFT(P217,5)&lt;&gt;"AVISO","",IF(T217="Presentado",IF(AND(ISNUMBER(U217),ISNUMBER(Q217),U217&gt;Q217),"Presentado tarde","Presentado"),IF(NOT(ISNUMBER(Q217)),"Falta fecha",IF(Q217&lt;CONFIG!$B$6,"VENCIDO","Vence en "&amp;(Q217-CONFIG!$B$6)&amp;" días"))))</f>
        <v/>
      </c>
      <c r="W217" s="22"/>
      <c r="X217" s="21"/>
      <c r="AA217" s="0" t="str">
        <f aca="false">IF(AM217="","",INDEX(CATÁLOGO!$D$5:$D$39,AM217))</f>
        <v/>
      </c>
      <c r="AB217" s="0" t="str">
        <f aca="false">IF(AM217="","",INDEX(CATÁLOGO!$E$5:$E$39,AM217))</f>
        <v/>
      </c>
      <c r="AC217" s="0" t="str">
        <f aca="false">IF(AB217="","",IF(ISNUMBER(AB217),AB217*AV217,AB217))</f>
        <v/>
      </c>
      <c r="AD217" s="0" t="str">
        <f aca="false">IF(AM217="","",INDEX(CATÁLOGO!$F$5:$F$39,AM217))</f>
        <v/>
      </c>
      <c r="AE217" s="0" t="str">
        <f aca="false">IF(AD217="","",IF(ISNUMBER(AD217),AD217*AV217,AD217))</f>
        <v/>
      </c>
      <c r="AF217" s="0" t="str">
        <f aca="false">IF(AM217="","",INDEX(CATÁLOGO!$G$5:$G$39,AM217))</f>
        <v/>
      </c>
      <c r="AG217" s="0" t="str">
        <f aca="false">IF(AF217="","",IF(ISNUMBER(AF217),AF217*AV217,AF217))</f>
        <v/>
      </c>
      <c r="AH217" s="0" t="str">
        <f aca="false">IF(E217="","",C217&amp;"|"&amp;D217)</f>
        <v/>
      </c>
      <c r="AI217" s="27" t="n">
        <f aca="false">IF(M217&lt;&gt;"Sí",0,SUMPRODUCT(MAX(($AH$5:AH216=AH217)*($M$5:M216="Sí")*ROW($AH$5:AH216))))</f>
        <v>0</v>
      </c>
      <c r="AJ217" s="0" t="str">
        <f aca="false">IF(M217&lt;&gt;"Sí","",IF(AL217=1,B217,INDEX($AJ:$AJ,AI217)))</f>
        <v/>
      </c>
      <c r="AK217" s="0" t="str">
        <f aca="false">IF(M217&lt;&gt;"Sí","",IF(AL217=1,E217,INDEX($AK:$AK,AI217)+E217))</f>
        <v/>
      </c>
      <c r="AL217" s="0" t="str">
        <f aca="false">IF(M217&lt;&gt;"Sí","",IF(AI217=0,1,IF(INDEX($AN:$AN,AI217)=0,1,IF(B217&gt;=EDATE(INDEX($AJ:$AJ,AI217),6),1,0))))</f>
        <v/>
      </c>
      <c r="AM217" s="0" t="str">
        <f aca="false">IF(D217="","",IFERROR(MATCH(D217,CATÁLOGO!$C$5:$C$39,0),""))</f>
        <v/>
      </c>
      <c r="AN217" s="0" t="str">
        <f aca="false">IF(M217&lt;&gt;"Sí","",IF(AND(ISNUMBER(AE217),AK217&gt;=AE217),0,1))</f>
        <v/>
      </c>
      <c r="AO217" s="0" t="str">
        <f aca="false">IF(OR(E217="",C217="",NOT(ISNUMBER(B217))),"",SUMIFS($E$6:$E$505,$C$6:$C$505,C217,$B$6:$B$505,"&gt;="&amp;DATE(YEAR(B217),MONTH(B217),1),$B$6:$B$505,"&lt;"&amp;DATE(YEAR(B217),MONTH(B217)+1,1)))</f>
        <v/>
      </c>
      <c r="AP217" s="0" t="str">
        <f aca="false">IF(C217="","",IFERROR(INDEX(CLIENTES!$M$6:$M$305,MATCH(C217,CLIENTES!$A$6:$A$305,0)),""))</f>
        <v/>
      </c>
      <c r="AQ217" s="27" t="n">
        <f aca="false">IF(AND(ISNUMBER(AO217),ISNUMBER(AP217)),IF(AND(AP217&gt;0,AO217&gt;AP217),1,0),0)</f>
        <v>0</v>
      </c>
      <c r="AR217" s="27" t="n">
        <f aca="false">IF(NOT(ISNUMBER(B217)),0,IF(B217&lt;MAX($B$5:B216),1,0))</f>
        <v>0</v>
      </c>
      <c r="AS217" s="0" t="str">
        <f aca="false">IF(C217="","",IFERROR(INDEX(CLIENTES!$H$6:$H$305,MATCH(C217,CLIENTES!$A$6:$A$305,0)),""))</f>
        <v/>
      </c>
      <c r="AT217" s="0" t="str">
        <f aca="false">IF(AND(LEFT(P217,5)="AVISO",T217&lt;&gt;"Presentado",ISNUMBER(Q217)),Q217,"")</f>
        <v/>
      </c>
      <c r="AU217" s="27" t="n">
        <f aca="false">IF(AND(D217="XVI - Activos virtuales (PSAV): operación de intercambio/transferencia",M217="Sí",ISNUMBER(AE217)),IF(AK217&gt;=AE217,1,0),0)</f>
        <v>0</v>
      </c>
      <c r="AV217" s="30" t="n">
        <f aca="false">IF(NOT(ISNUMBER(B217)),CONFIG!$B$4,IFERROR(INDEX(CONFIG!$I$5:$I$14,MATCH(IF(MONTH(B217)=1,YEAR(B217)-1,YEAR(B217)),CONFIG!$H$5:$H$14,0)),CONFIG!$B$4))</f>
        <v>117.31</v>
      </c>
      <c r="AW217" s="27" t="n">
        <f aca="false">IF(AND(LEFT(D217,4)="I - ",ISNUMBER(B217),C217&lt;&gt;""),SUMIFS($E$6:$E$505,$C$6:$C$505,C217,$D$6:$D$505,D217,$B$6:$B$505,"&gt;"&amp;(B217-1),$B$6:$B$505,"&lt;="&amp;B217),0)</f>
        <v>0</v>
      </c>
      <c r="AX217" s="0" t="str">
        <f aca="false">IF(E217="","",IF(AD217="Siempre","AVISO (siempre)",IF(AD217="No aplica","Sin Aviso (sólo preparas: Ley 17 XI)",IF(NOT(ISNUMBER(AE217)),"",IF(AA217&lt;&gt;"ACUMULA",IF(E217&gt;=AE217,IF(AND(D217="XVI - Activos virtuales (PSAV): cobro de contraprestación (comisión) por el servicio",COUNTIFS($C$6:$C$505,C217,$B$6:$B$505,"&gt;="&amp;INT(B217),$B$6:$B$505,"&lt;"&amp;(INT(B217)+1),$AU$6:$AU$505,1)&gt;0),"En el Aviso del inciso a) (R 31 Bis)","AVISO"),"—"),IF(M217&lt;&gt;"Sí","—",IF(AK217&gt;=AE217,IF(AK217=E217,"AVISO","AVISO (acumulado)"),"Acumulando")))))))</f>
        <v/>
      </c>
    </row>
    <row r="218" customFormat="false" ht="15" hidden="false" customHeight="false" outlineLevel="0" collapsed="false">
      <c r="A218" s="9" t="str">
        <f aca="false">IF(E218="","",ROW()-5)</f>
        <v/>
      </c>
      <c r="B218" s="20"/>
      <c r="C218" s="21"/>
      <c r="D218" s="21"/>
      <c r="E218" s="22"/>
      <c r="F218" s="22"/>
      <c r="G218" s="21"/>
      <c r="H218" s="21"/>
      <c r="I218" s="9" t="str">
        <f aca="false">IF(C218="","",IFERROR(INDEX(CLIENTES!$B$6:$B$305,MATCH(C218,CLIENTES!$A$6:$A$305,0)),"⚠ ID no registrado"))</f>
        <v/>
      </c>
      <c r="J218" s="9" t="str">
        <f aca="false">IF(C218="","",IFERROR(INDEX(CLIENTES!$Z$6:$Z$305,MATCH(C218,CLIENTES!$A$6:$A$305,0)),""))</f>
        <v/>
      </c>
      <c r="K218" s="9" t="str">
        <f aca="false">IF(E218="","",IF(AB218="Siempre","Sí",IF(ISNUMBER(AC218),IF(E218&gt;=AC218,"Sí",IF(AW218&gt;=AC218,"Sí (serie 24 h)","No")),"")))</f>
        <v/>
      </c>
      <c r="L218" s="9" t="str">
        <f aca="false">IF(E218="","",AA218)</f>
        <v/>
      </c>
      <c r="M218" s="9" t="str">
        <f aca="false">IF(E218="","",IF(AA218&lt;&gt;"ACUMULA","No aplica",IF(LEFT(K218,2)="Sí","Sí","No")))</f>
        <v/>
      </c>
      <c r="N218" s="23" t="str">
        <f aca="false">IF(M218="Sí",AJ218,"")</f>
        <v/>
      </c>
      <c r="O218" s="24" t="str">
        <f aca="false">IF(M218="Sí",AK218,"")</f>
        <v/>
      </c>
      <c r="P218" s="25" t="str">
        <f aca="false">IF(AND(LEFT(D218,6)="XIV - ",LEFT(AX218,5)="AVISO"),"Pedimento (R 16): no va al SPPLD",AX218)</f>
        <v/>
      </c>
      <c r="Q218" s="23" t="str">
        <f aca="false">IF(LEFT(P218,5)="AVISO",IF(ISNUMBER(B218),DATE(YEAR(B218),MONTH(B218)+1,17),"Falta fecha"),"")</f>
        <v/>
      </c>
      <c r="R218" s="9" t="str">
        <f aca="false">IF(OR(F218="",F218=0),"",IF(ISNUMBER(AG218),IF(F218&gt;=AG218,"PROHIBIDO","Dentro del límite"),"No aplica"))</f>
        <v/>
      </c>
      <c r="S218" s="26" t="str">
        <f aca="false">IF(E218="","",MID(IF(AQ218=1," · Excede el perfil declarado","")&amp;IF(H218="Sí"," · Paga un tercero","")&amp;IF(J218="Alto"," · Cliente de riesgo alto: DDR (RCG 23 Ter 3 y 4)","")&amp;IF(AND(AS218&lt;&gt;"",AS218&lt;&gt;"No",AS218&lt;&gt;0)," · PEP","")&amp;IF(R218="PROHIBIDO"," · Efectivo prohibido: no lo recibas (Art. 32)","")&amp;IF(AR218=1," · ⚠ Fecha fuera de orden","")&amp;IF(LEFT(I218,1)="⚠"," · ⚠ Cliente no registrado","")&amp;IF(D218=""," · ⚠ Falta la actividad","")&amp;IF(AND(LEFT(P218,5)="AVISO",W218="")," · Captura la cifra total con IVA para el Aviso","")&amp;IF(AND(ISNUMBER(W218),W218&lt;E218)," · ⚠ La cifra con IVA es menor que el monto sin IVA",""),4,400))</f>
        <v/>
      </c>
      <c r="T218" s="21"/>
      <c r="U218" s="20"/>
      <c r="V218" s="9" t="str">
        <f aca="false">IF(LEFT(P218,5)&lt;&gt;"AVISO","",IF(T218="Presentado",IF(AND(ISNUMBER(U218),ISNUMBER(Q218),U218&gt;Q218),"Presentado tarde","Presentado"),IF(NOT(ISNUMBER(Q218)),"Falta fecha",IF(Q218&lt;CONFIG!$B$6,"VENCIDO","Vence en "&amp;(Q218-CONFIG!$B$6)&amp;" días"))))</f>
        <v/>
      </c>
      <c r="W218" s="22"/>
      <c r="X218" s="21"/>
      <c r="AA218" s="0" t="str">
        <f aca="false">IF(AM218="","",INDEX(CATÁLOGO!$D$5:$D$39,AM218))</f>
        <v/>
      </c>
      <c r="AB218" s="0" t="str">
        <f aca="false">IF(AM218="","",INDEX(CATÁLOGO!$E$5:$E$39,AM218))</f>
        <v/>
      </c>
      <c r="AC218" s="0" t="str">
        <f aca="false">IF(AB218="","",IF(ISNUMBER(AB218),AB218*AV218,AB218))</f>
        <v/>
      </c>
      <c r="AD218" s="0" t="str">
        <f aca="false">IF(AM218="","",INDEX(CATÁLOGO!$F$5:$F$39,AM218))</f>
        <v/>
      </c>
      <c r="AE218" s="0" t="str">
        <f aca="false">IF(AD218="","",IF(ISNUMBER(AD218),AD218*AV218,AD218))</f>
        <v/>
      </c>
      <c r="AF218" s="0" t="str">
        <f aca="false">IF(AM218="","",INDEX(CATÁLOGO!$G$5:$G$39,AM218))</f>
        <v/>
      </c>
      <c r="AG218" s="0" t="str">
        <f aca="false">IF(AF218="","",IF(ISNUMBER(AF218),AF218*AV218,AF218))</f>
        <v/>
      </c>
      <c r="AH218" s="0" t="str">
        <f aca="false">IF(E218="","",C218&amp;"|"&amp;D218)</f>
        <v/>
      </c>
      <c r="AI218" s="27" t="n">
        <f aca="false">IF(M218&lt;&gt;"Sí",0,SUMPRODUCT(MAX(($AH$5:AH217=AH218)*($M$5:M217="Sí")*ROW($AH$5:AH217))))</f>
        <v>0</v>
      </c>
      <c r="AJ218" s="0" t="str">
        <f aca="false">IF(M218&lt;&gt;"Sí","",IF(AL218=1,B218,INDEX($AJ:$AJ,AI218)))</f>
        <v/>
      </c>
      <c r="AK218" s="0" t="str">
        <f aca="false">IF(M218&lt;&gt;"Sí","",IF(AL218=1,E218,INDEX($AK:$AK,AI218)+E218))</f>
        <v/>
      </c>
      <c r="AL218" s="0" t="str">
        <f aca="false">IF(M218&lt;&gt;"Sí","",IF(AI218=0,1,IF(INDEX($AN:$AN,AI218)=0,1,IF(B218&gt;=EDATE(INDEX($AJ:$AJ,AI218),6),1,0))))</f>
        <v/>
      </c>
      <c r="AM218" s="0" t="str">
        <f aca="false">IF(D218="","",IFERROR(MATCH(D218,CATÁLOGO!$C$5:$C$39,0),""))</f>
        <v/>
      </c>
      <c r="AN218" s="0" t="str">
        <f aca="false">IF(M218&lt;&gt;"Sí","",IF(AND(ISNUMBER(AE218),AK218&gt;=AE218),0,1))</f>
        <v/>
      </c>
      <c r="AO218" s="0" t="str">
        <f aca="false">IF(OR(E218="",C218="",NOT(ISNUMBER(B218))),"",SUMIFS($E$6:$E$505,$C$6:$C$505,C218,$B$6:$B$505,"&gt;="&amp;DATE(YEAR(B218),MONTH(B218),1),$B$6:$B$505,"&lt;"&amp;DATE(YEAR(B218),MONTH(B218)+1,1)))</f>
        <v/>
      </c>
      <c r="AP218" s="0" t="str">
        <f aca="false">IF(C218="","",IFERROR(INDEX(CLIENTES!$M$6:$M$305,MATCH(C218,CLIENTES!$A$6:$A$305,0)),""))</f>
        <v/>
      </c>
      <c r="AQ218" s="27" t="n">
        <f aca="false">IF(AND(ISNUMBER(AO218),ISNUMBER(AP218)),IF(AND(AP218&gt;0,AO218&gt;AP218),1,0),0)</f>
        <v>0</v>
      </c>
      <c r="AR218" s="27" t="n">
        <f aca="false">IF(NOT(ISNUMBER(B218)),0,IF(B218&lt;MAX($B$5:B217),1,0))</f>
        <v>0</v>
      </c>
      <c r="AS218" s="0" t="str">
        <f aca="false">IF(C218="","",IFERROR(INDEX(CLIENTES!$H$6:$H$305,MATCH(C218,CLIENTES!$A$6:$A$305,0)),""))</f>
        <v/>
      </c>
      <c r="AT218" s="0" t="str">
        <f aca="false">IF(AND(LEFT(P218,5)="AVISO",T218&lt;&gt;"Presentado",ISNUMBER(Q218)),Q218,"")</f>
        <v/>
      </c>
      <c r="AU218" s="27" t="n">
        <f aca="false">IF(AND(D218="XVI - Activos virtuales (PSAV): operación de intercambio/transferencia",M218="Sí",ISNUMBER(AE218)),IF(AK218&gt;=AE218,1,0),0)</f>
        <v>0</v>
      </c>
      <c r="AV218" s="30" t="n">
        <f aca="false">IF(NOT(ISNUMBER(B218)),CONFIG!$B$4,IFERROR(INDEX(CONFIG!$I$5:$I$14,MATCH(IF(MONTH(B218)=1,YEAR(B218)-1,YEAR(B218)),CONFIG!$H$5:$H$14,0)),CONFIG!$B$4))</f>
        <v>117.31</v>
      </c>
      <c r="AW218" s="27" t="n">
        <f aca="false">IF(AND(LEFT(D218,4)="I - ",ISNUMBER(B218),C218&lt;&gt;""),SUMIFS($E$6:$E$505,$C$6:$C$505,C218,$D$6:$D$505,D218,$B$6:$B$505,"&gt;"&amp;(B218-1),$B$6:$B$505,"&lt;="&amp;B218),0)</f>
        <v>0</v>
      </c>
      <c r="AX218" s="0" t="str">
        <f aca="false">IF(E218="","",IF(AD218="Siempre","AVISO (siempre)",IF(AD218="No aplica","Sin Aviso (sólo preparas: Ley 17 XI)",IF(NOT(ISNUMBER(AE218)),"",IF(AA218&lt;&gt;"ACUMULA",IF(E218&gt;=AE218,IF(AND(D218="XVI - Activos virtuales (PSAV): cobro de contraprestación (comisión) por el servicio",COUNTIFS($C$6:$C$505,C218,$B$6:$B$505,"&gt;="&amp;INT(B218),$B$6:$B$505,"&lt;"&amp;(INT(B218)+1),$AU$6:$AU$505,1)&gt;0),"En el Aviso del inciso a) (R 31 Bis)","AVISO"),"—"),IF(M218&lt;&gt;"Sí","—",IF(AK218&gt;=AE218,IF(AK218=E218,"AVISO","AVISO (acumulado)"),"Acumulando")))))))</f>
        <v/>
      </c>
    </row>
    <row r="219" customFormat="false" ht="15" hidden="false" customHeight="false" outlineLevel="0" collapsed="false">
      <c r="A219" s="9" t="str">
        <f aca="false">IF(E219="","",ROW()-5)</f>
        <v/>
      </c>
      <c r="B219" s="20"/>
      <c r="C219" s="21"/>
      <c r="D219" s="21"/>
      <c r="E219" s="22"/>
      <c r="F219" s="22"/>
      <c r="G219" s="21"/>
      <c r="H219" s="21"/>
      <c r="I219" s="9" t="str">
        <f aca="false">IF(C219="","",IFERROR(INDEX(CLIENTES!$B$6:$B$305,MATCH(C219,CLIENTES!$A$6:$A$305,0)),"⚠ ID no registrado"))</f>
        <v/>
      </c>
      <c r="J219" s="9" t="str">
        <f aca="false">IF(C219="","",IFERROR(INDEX(CLIENTES!$Z$6:$Z$305,MATCH(C219,CLIENTES!$A$6:$A$305,0)),""))</f>
        <v/>
      </c>
      <c r="K219" s="9" t="str">
        <f aca="false">IF(E219="","",IF(AB219="Siempre","Sí",IF(ISNUMBER(AC219),IF(E219&gt;=AC219,"Sí",IF(AW219&gt;=AC219,"Sí (serie 24 h)","No")),"")))</f>
        <v/>
      </c>
      <c r="L219" s="9" t="str">
        <f aca="false">IF(E219="","",AA219)</f>
        <v/>
      </c>
      <c r="M219" s="9" t="str">
        <f aca="false">IF(E219="","",IF(AA219&lt;&gt;"ACUMULA","No aplica",IF(LEFT(K219,2)="Sí","Sí","No")))</f>
        <v/>
      </c>
      <c r="N219" s="23" t="str">
        <f aca="false">IF(M219="Sí",AJ219,"")</f>
        <v/>
      </c>
      <c r="O219" s="24" t="str">
        <f aca="false">IF(M219="Sí",AK219,"")</f>
        <v/>
      </c>
      <c r="P219" s="25" t="str">
        <f aca="false">IF(AND(LEFT(D219,6)="XIV - ",LEFT(AX219,5)="AVISO"),"Pedimento (R 16): no va al SPPLD",AX219)</f>
        <v/>
      </c>
      <c r="Q219" s="23" t="str">
        <f aca="false">IF(LEFT(P219,5)="AVISO",IF(ISNUMBER(B219),DATE(YEAR(B219),MONTH(B219)+1,17),"Falta fecha"),"")</f>
        <v/>
      </c>
      <c r="R219" s="9" t="str">
        <f aca="false">IF(OR(F219="",F219=0),"",IF(ISNUMBER(AG219),IF(F219&gt;=AG219,"PROHIBIDO","Dentro del límite"),"No aplica"))</f>
        <v/>
      </c>
      <c r="S219" s="26" t="str">
        <f aca="false">IF(E219="","",MID(IF(AQ219=1," · Excede el perfil declarado","")&amp;IF(H219="Sí"," · Paga un tercero","")&amp;IF(J219="Alto"," · Cliente de riesgo alto: DDR (RCG 23 Ter 3 y 4)","")&amp;IF(AND(AS219&lt;&gt;"",AS219&lt;&gt;"No",AS219&lt;&gt;0)," · PEP","")&amp;IF(R219="PROHIBIDO"," · Efectivo prohibido: no lo recibas (Art. 32)","")&amp;IF(AR219=1," · ⚠ Fecha fuera de orden","")&amp;IF(LEFT(I219,1)="⚠"," · ⚠ Cliente no registrado","")&amp;IF(D219=""," · ⚠ Falta la actividad","")&amp;IF(AND(LEFT(P219,5)="AVISO",W219="")," · Captura la cifra total con IVA para el Aviso","")&amp;IF(AND(ISNUMBER(W219),W219&lt;E219)," · ⚠ La cifra con IVA es menor que el monto sin IVA",""),4,400))</f>
        <v/>
      </c>
      <c r="T219" s="21"/>
      <c r="U219" s="20"/>
      <c r="V219" s="9" t="str">
        <f aca="false">IF(LEFT(P219,5)&lt;&gt;"AVISO","",IF(T219="Presentado",IF(AND(ISNUMBER(U219),ISNUMBER(Q219),U219&gt;Q219),"Presentado tarde","Presentado"),IF(NOT(ISNUMBER(Q219)),"Falta fecha",IF(Q219&lt;CONFIG!$B$6,"VENCIDO","Vence en "&amp;(Q219-CONFIG!$B$6)&amp;" días"))))</f>
        <v/>
      </c>
      <c r="W219" s="22"/>
      <c r="X219" s="21"/>
      <c r="AA219" s="0" t="str">
        <f aca="false">IF(AM219="","",INDEX(CATÁLOGO!$D$5:$D$39,AM219))</f>
        <v/>
      </c>
      <c r="AB219" s="0" t="str">
        <f aca="false">IF(AM219="","",INDEX(CATÁLOGO!$E$5:$E$39,AM219))</f>
        <v/>
      </c>
      <c r="AC219" s="0" t="str">
        <f aca="false">IF(AB219="","",IF(ISNUMBER(AB219),AB219*AV219,AB219))</f>
        <v/>
      </c>
      <c r="AD219" s="0" t="str">
        <f aca="false">IF(AM219="","",INDEX(CATÁLOGO!$F$5:$F$39,AM219))</f>
        <v/>
      </c>
      <c r="AE219" s="0" t="str">
        <f aca="false">IF(AD219="","",IF(ISNUMBER(AD219),AD219*AV219,AD219))</f>
        <v/>
      </c>
      <c r="AF219" s="0" t="str">
        <f aca="false">IF(AM219="","",INDEX(CATÁLOGO!$G$5:$G$39,AM219))</f>
        <v/>
      </c>
      <c r="AG219" s="0" t="str">
        <f aca="false">IF(AF219="","",IF(ISNUMBER(AF219),AF219*AV219,AF219))</f>
        <v/>
      </c>
      <c r="AH219" s="0" t="str">
        <f aca="false">IF(E219="","",C219&amp;"|"&amp;D219)</f>
        <v/>
      </c>
      <c r="AI219" s="27" t="n">
        <f aca="false">IF(M219&lt;&gt;"Sí",0,SUMPRODUCT(MAX(($AH$5:AH218=AH219)*($M$5:M218="Sí")*ROW($AH$5:AH218))))</f>
        <v>0</v>
      </c>
      <c r="AJ219" s="0" t="str">
        <f aca="false">IF(M219&lt;&gt;"Sí","",IF(AL219=1,B219,INDEX($AJ:$AJ,AI219)))</f>
        <v/>
      </c>
      <c r="AK219" s="0" t="str">
        <f aca="false">IF(M219&lt;&gt;"Sí","",IF(AL219=1,E219,INDEX($AK:$AK,AI219)+E219))</f>
        <v/>
      </c>
      <c r="AL219" s="0" t="str">
        <f aca="false">IF(M219&lt;&gt;"Sí","",IF(AI219=0,1,IF(INDEX($AN:$AN,AI219)=0,1,IF(B219&gt;=EDATE(INDEX($AJ:$AJ,AI219),6),1,0))))</f>
        <v/>
      </c>
      <c r="AM219" s="0" t="str">
        <f aca="false">IF(D219="","",IFERROR(MATCH(D219,CATÁLOGO!$C$5:$C$39,0),""))</f>
        <v/>
      </c>
      <c r="AN219" s="0" t="str">
        <f aca="false">IF(M219&lt;&gt;"Sí","",IF(AND(ISNUMBER(AE219),AK219&gt;=AE219),0,1))</f>
        <v/>
      </c>
      <c r="AO219" s="0" t="str">
        <f aca="false">IF(OR(E219="",C219="",NOT(ISNUMBER(B219))),"",SUMIFS($E$6:$E$505,$C$6:$C$505,C219,$B$6:$B$505,"&gt;="&amp;DATE(YEAR(B219),MONTH(B219),1),$B$6:$B$505,"&lt;"&amp;DATE(YEAR(B219),MONTH(B219)+1,1)))</f>
        <v/>
      </c>
      <c r="AP219" s="0" t="str">
        <f aca="false">IF(C219="","",IFERROR(INDEX(CLIENTES!$M$6:$M$305,MATCH(C219,CLIENTES!$A$6:$A$305,0)),""))</f>
        <v/>
      </c>
      <c r="AQ219" s="27" t="n">
        <f aca="false">IF(AND(ISNUMBER(AO219),ISNUMBER(AP219)),IF(AND(AP219&gt;0,AO219&gt;AP219),1,0),0)</f>
        <v>0</v>
      </c>
      <c r="AR219" s="27" t="n">
        <f aca="false">IF(NOT(ISNUMBER(B219)),0,IF(B219&lt;MAX($B$5:B218),1,0))</f>
        <v>0</v>
      </c>
      <c r="AS219" s="0" t="str">
        <f aca="false">IF(C219="","",IFERROR(INDEX(CLIENTES!$H$6:$H$305,MATCH(C219,CLIENTES!$A$6:$A$305,0)),""))</f>
        <v/>
      </c>
      <c r="AT219" s="0" t="str">
        <f aca="false">IF(AND(LEFT(P219,5)="AVISO",T219&lt;&gt;"Presentado",ISNUMBER(Q219)),Q219,"")</f>
        <v/>
      </c>
      <c r="AU219" s="27" t="n">
        <f aca="false">IF(AND(D219="XVI - Activos virtuales (PSAV): operación de intercambio/transferencia",M219="Sí",ISNUMBER(AE219)),IF(AK219&gt;=AE219,1,0),0)</f>
        <v>0</v>
      </c>
      <c r="AV219" s="30" t="n">
        <f aca="false">IF(NOT(ISNUMBER(B219)),CONFIG!$B$4,IFERROR(INDEX(CONFIG!$I$5:$I$14,MATCH(IF(MONTH(B219)=1,YEAR(B219)-1,YEAR(B219)),CONFIG!$H$5:$H$14,0)),CONFIG!$B$4))</f>
        <v>117.31</v>
      </c>
      <c r="AW219" s="27" t="n">
        <f aca="false">IF(AND(LEFT(D219,4)="I - ",ISNUMBER(B219),C219&lt;&gt;""),SUMIFS($E$6:$E$505,$C$6:$C$505,C219,$D$6:$D$505,D219,$B$6:$B$505,"&gt;"&amp;(B219-1),$B$6:$B$505,"&lt;="&amp;B219),0)</f>
        <v>0</v>
      </c>
      <c r="AX219" s="0" t="str">
        <f aca="false">IF(E219="","",IF(AD219="Siempre","AVISO (siempre)",IF(AD219="No aplica","Sin Aviso (sólo preparas: Ley 17 XI)",IF(NOT(ISNUMBER(AE219)),"",IF(AA219&lt;&gt;"ACUMULA",IF(E219&gt;=AE219,IF(AND(D219="XVI - Activos virtuales (PSAV): cobro de contraprestación (comisión) por el servicio",COUNTIFS($C$6:$C$505,C219,$B$6:$B$505,"&gt;="&amp;INT(B219),$B$6:$B$505,"&lt;"&amp;(INT(B219)+1),$AU$6:$AU$505,1)&gt;0),"En el Aviso del inciso a) (R 31 Bis)","AVISO"),"—"),IF(M219&lt;&gt;"Sí","—",IF(AK219&gt;=AE219,IF(AK219=E219,"AVISO","AVISO (acumulado)"),"Acumulando")))))))</f>
        <v/>
      </c>
    </row>
    <row r="220" customFormat="false" ht="15" hidden="false" customHeight="false" outlineLevel="0" collapsed="false">
      <c r="A220" s="9" t="str">
        <f aca="false">IF(E220="","",ROW()-5)</f>
        <v/>
      </c>
      <c r="B220" s="20"/>
      <c r="C220" s="21"/>
      <c r="D220" s="21"/>
      <c r="E220" s="22"/>
      <c r="F220" s="22"/>
      <c r="G220" s="21"/>
      <c r="H220" s="21"/>
      <c r="I220" s="9" t="str">
        <f aca="false">IF(C220="","",IFERROR(INDEX(CLIENTES!$B$6:$B$305,MATCH(C220,CLIENTES!$A$6:$A$305,0)),"⚠ ID no registrado"))</f>
        <v/>
      </c>
      <c r="J220" s="9" t="str">
        <f aca="false">IF(C220="","",IFERROR(INDEX(CLIENTES!$Z$6:$Z$305,MATCH(C220,CLIENTES!$A$6:$A$305,0)),""))</f>
        <v/>
      </c>
      <c r="K220" s="9" t="str">
        <f aca="false">IF(E220="","",IF(AB220="Siempre","Sí",IF(ISNUMBER(AC220),IF(E220&gt;=AC220,"Sí",IF(AW220&gt;=AC220,"Sí (serie 24 h)","No")),"")))</f>
        <v/>
      </c>
      <c r="L220" s="9" t="str">
        <f aca="false">IF(E220="","",AA220)</f>
        <v/>
      </c>
      <c r="M220" s="9" t="str">
        <f aca="false">IF(E220="","",IF(AA220&lt;&gt;"ACUMULA","No aplica",IF(LEFT(K220,2)="Sí","Sí","No")))</f>
        <v/>
      </c>
      <c r="N220" s="23" t="str">
        <f aca="false">IF(M220="Sí",AJ220,"")</f>
        <v/>
      </c>
      <c r="O220" s="24" t="str">
        <f aca="false">IF(M220="Sí",AK220,"")</f>
        <v/>
      </c>
      <c r="P220" s="25" t="str">
        <f aca="false">IF(AND(LEFT(D220,6)="XIV - ",LEFT(AX220,5)="AVISO"),"Pedimento (R 16): no va al SPPLD",AX220)</f>
        <v/>
      </c>
      <c r="Q220" s="23" t="str">
        <f aca="false">IF(LEFT(P220,5)="AVISO",IF(ISNUMBER(B220),DATE(YEAR(B220),MONTH(B220)+1,17),"Falta fecha"),"")</f>
        <v/>
      </c>
      <c r="R220" s="9" t="str">
        <f aca="false">IF(OR(F220="",F220=0),"",IF(ISNUMBER(AG220),IF(F220&gt;=AG220,"PROHIBIDO","Dentro del límite"),"No aplica"))</f>
        <v/>
      </c>
      <c r="S220" s="26" t="str">
        <f aca="false">IF(E220="","",MID(IF(AQ220=1," · Excede el perfil declarado","")&amp;IF(H220="Sí"," · Paga un tercero","")&amp;IF(J220="Alto"," · Cliente de riesgo alto: DDR (RCG 23 Ter 3 y 4)","")&amp;IF(AND(AS220&lt;&gt;"",AS220&lt;&gt;"No",AS220&lt;&gt;0)," · PEP","")&amp;IF(R220="PROHIBIDO"," · Efectivo prohibido: no lo recibas (Art. 32)","")&amp;IF(AR220=1," · ⚠ Fecha fuera de orden","")&amp;IF(LEFT(I220,1)="⚠"," · ⚠ Cliente no registrado","")&amp;IF(D220=""," · ⚠ Falta la actividad","")&amp;IF(AND(LEFT(P220,5)="AVISO",W220="")," · Captura la cifra total con IVA para el Aviso","")&amp;IF(AND(ISNUMBER(W220),W220&lt;E220)," · ⚠ La cifra con IVA es menor que el monto sin IVA",""),4,400))</f>
        <v/>
      </c>
      <c r="T220" s="21"/>
      <c r="U220" s="20"/>
      <c r="V220" s="9" t="str">
        <f aca="false">IF(LEFT(P220,5)&lt;&gt;"AVISO","",IF(T220="Presentado",IF(AND(ISNUMBER(U220),ISNUMBER(Q220),U220&gt;Q220),"Presentado tarde","Presentado"),IF(NOT(ISNUMBER(Q220)),"Falta fecha",IF(Q220&lt;CONFIG!$B$6,"VENCIDO","Vence en "&amp;(Q220-CONFIG!$B$6)&amp;" días"))))</f>
        <v/>
      </c>
      <c r="W220" s="22"/>
      <c r="X220" s="21"/>
      <c r="AA220" s="0" t="str">
        <f aca="false">IF(AM220="","",INDEX(CATÁLOGO!$D$5:$D$39,AM220))</f>
        <v/>
      </c>
      <c r="AB220" s="0" t="str">
        <f aca="false">IF(AM220="","",INDEX(CATÁLOGO!$E$5:$E$39,AM220))</f>
        <v/>
      </c>
      <c r="AC220" s="0" t="str">
        <f aca="false">IF(AB220="","",IF(ISNUMBER(AB220),AB220*AV220,AB220))</f>
        <v/>
      </c>
      <c r="AD220" s="0" t="str">
        <f aca="false">IF(AM220="","",INDEX(CATÁLOGO!$F$5:$F$39,AM220))</f>
        <v/>
      </c>
      <c r="AE220" s="0" t="str">
        <f aca="false">IF(AD220="","",IF(ISNUMBER(AD220),AD220*AV220,AD220))</f>
        <v/>
      </c>
      <c r="AF220" s="0" t="str">
        <f aca="false">IF(AM220="","",INDEX(CATÁLOGO!$G$5:$G$39,AM220))</f>
        <v/>
      </c>
      <c r="AG220" s="0" t="str">
        <f aca="false">IF(AF220="","",IF(ISNUMBER(AF220),AF220*AV220,AF220))</f>
        <v/>
      </c>
      <c r="AH220" s="0" t="str">
        <f aca="false">IF(E220="","",C220&amp;"|"&amp;D220)</f>
        <v/>
      </c>
      <c r="AI220" s="27" t="n">
        <f aca="false">IF(M220&lt;&gt;"Sí",0,SUMPRODUCT(MAX(($AH$5:AH219=AH220)*($M$5:M219="Sí")*ROW($AH$5:AH219))))</f>
        <v>0</v>
      </c>
      <c r="AJ220" s="0" t="str">
        <f aca="false">IF(M220&lt;&gt;"Sí","",IF(AL220=1,B220,INDEX($AJ:$AJ,AI220)))</f>
        <v/>
      </c>
      <c r="AK220" s="0" t="str">
        <f aca="false">IF(M220&lt;&gt;"Sí","",IF(AL220=1,E220,INDEX($AK:$AK,AI220)+E220))</f>
        <v/>
      </c>
      <c r="AL220" s="0" t="str">
        <f aca="false">IF(M220&lt;&gt;"Sí","",IF(AI220=0,1,IF(INDEX($AN:$AN,AI220)=0,1,IF(B220&gt;=EDATE(INDEX($AJ:$AJ,AI220),6),1,0))))</f>
        <v/>
      </c>
      <c r="AM220" s="0" t="str">
        <f aca="false">IF(D220="","",IFERROR(MATCH(D220,CATÁLOGO!$C$5:$C$39,0),""))</f>
        <v/>
      </c>
      <c r="AN220" s="0" t="str">
        <f aca="false">IF(M220&lt;&gt;"Sí","",IF(AND(ISNUMBER(AE220),AK220&gt;=AE220),0,1))</f>
        <v/>
      </c>
      <c r="AO220" s="0" t="str">
        <f aca="false">IF(OR(E220="",C220="",NOT(ISNUMBER(B220))),"",SUMIFS($E$6:$E$505,$C$6:$C$505,C220,$B$6:$B$505,"&gt;="&amp;DATE(YEAR(B220),MONTH(B220),1),$B$6:$B$505,"&lt;"&amp;DATE(YEAR(B220),MONTH(B220)+1,1)))</f>
        <v/>
      </c>
      <c r="AP220" s="0" t="str">
        <f aca="false">IF(C220="","",IFERROR(INDEX(CLIENTES!$M$6:$M$305,MATCH(C220,CLIENTES!$A$6:$A$305,0)),""))</f>
        <v/>
      </c>
      <c r="AQ220" s="27" t="n">
        <f aca="false">IF(AND(ISNUMBER(AO220),ISNUMBER(AP220)),IF(AND(AP220&gt;0,AO220&gt;AP220),1,0),0)</f>
        <v>0</v>
      </c>
      <c r="AR220" s="27" t="n">
        <f aca="false">IF(NOT(ISNUMBER(B220)),0,IF(B220&lt;MAX($B$5:B219),1,0))</f>
        <v>0</v>
      </c>
      <c r="AS220" s="0" t="str">
        <f aca="false">IF(C220="","",IFERROR(INDEX(CLIENTES!$H$6:$H$305,MATCH(C220,CLIENTES!$A$6:$A$305,0)),""))</f>
        <v/>
      </c>
      <c r="AT220" s="0" t="str">
        <f aca="false">IF(AND(LEFT(P220,5)="AVISO",T220&lt;&gt;"Presentado",ISNUMBER(Q220)),Q220,"")</f>
        <v/>
      </c>
      <c r="AU220" s="27" t="n">
        <f aca="false">IF(AND(D220="XVI - Activos virtuales (PSAV): operación de intercambio/transferencia",M220="Sí",ISNUMBER(AE220)),IF(AK220&gt;=AE220,1,0),0)</f>
        <v>0</v>
      </c>
      <c r="AV220" s="30" t="n">
        <f aca="false">IF(NOT(ISNUMBER(B220)),CONFIG!$B$4,IFERROR(INDEX(CONFIG!$I$5:$I$14,MATCH(IF(MONTH(B220)=1,YEAR(B220)-1,YEAR(B220)),CONFIG!$H$5:$H$14,0)),CONFIG!$B$4))</f>
        <v>117.31</v>
      </c>
      <c r="AW220" s="27" t="n">
        <f aca="false">IF(AND(LEFT(D220,4)="I - ",ISNUMBER(B220),C220&lt;&gt;""),SUMIFS($E$6:$E$505,$C$6:$C$505,C220,$D$6:$D$505,D220,$B$6:$B$505,"&gt;"&amp;(B220-1),$B$6:$B$505,"&lt;="&amp;B220),0)</f>
        <v>0</v>
      </c>
      <c r="AX220" s="0" t="str">
        <f aca="false">IF(E220="","",IF(AD220="Siempre","AVISO (siempre)",IF(AD220="No aplica","Sin Aviso (sólo preparas: Ley 17 XI)",IF(NOT(ISNUMBER(AE220)),"",IF(AA220&lt;&gt;"ACUMULA",IF(E220&gt;=AE220,IF(AND(D220="XVI - Activos virtuales (PSAV): cobro de contraprestación (comisión) por el servicio",COUNTIFS($C$6:$C$505,C220,$B$6:$B$505,"&gt;="&amp;INT(B220),$B$6:$B$505,"&lt;"&amp;(INT(B220)+1),$AU$6:$AU$505,1)&gt;0),"En el Aviso del inciso a) (R 31 Bis)","AVISO"),"—"),IF(M220&lt;&gt;"Sí","—",IF(AK220&gt;=AE220,IF(AK220=E220,"AVISO","AVISO (acumulado)"),"Acumulando")))))))</f>
        <v/>
      </c>
    </row>
    <row r="221" customFormat="false" ht="15" hidden="false" customHeight="false" outlineLevel="0" collapsed="false">
      <c r="A221" s="9" t="str">
        <f aca="false">IF(E221="","",ROW()-5)</f>
        <v/>
      </c>
      <c r="B221" s="20"/>
      <c r="C221" s="21"/>
      <c r="D221" s="21"/>
      <c r="E221" s="22"/>
      <c r="F221" s="22"/>
      <c r="G221" s="21"/>
      <c r="H221" s="21"/>
      <c r="I221" s="9" t="str">
        <f aca="false">IF(C221="","",IFERROR(INDEX(CLIENTES!$B$6:$B$305,MATCH(C221,CLIENTES!$A$6:$A$305,0)),"⚠ ID no registrado"))</f>
        <v/>
      </c>
      <c r="J221" s="9" t="str">
        <f aca="false">IF(C221="","",IFERROR(INDEX(CLIENTES!$Z$6:$Z$305,MATCH(C221,CLIENTES!$A$6:$A$305,0)),""))</f>
        <v/>
      </c>
      <c r="K221" s="9" t="str">
        <f aca="false">IF(E221="","",IF(AB221="Siempre","Sí",IF(ISNUMBER(AC221),IF(E221&gt;=AC221,"Sí",IF(AW221&gt;=AC221,"Sí (serie 24 h)","No")),"")))</f>
        <v/>
      </c>
      <c r="L221" s="9" t="str">
        <f aca="false">IF(E221="","",AA221)</f>
        <v/>
      </c>
      <c r="M221" s="9" t="str">
        <f aca="false">IF(E221="","",IF(AA221&lt;&gt;"ACUMULA","No aplica",IF(LEFT(K221,2)="Sí","Sí","No")))</f>
        <v/>
      </c>
      <c r="N221" s="23" t="str">
        <f aca="false">IF(M221="Sí",AJ221,"")</f>
        <v/>
      </c>
      <c r="O221" s="24" t="str">
        <f aca="false">IF(M221="Sí",AK221,"")</f>
        <v/>
      </c>
      <c r="P221" s="25" t="str">
        <f aca="false">IF(AND(LEFT(D221,6)="XIV - ",LEFT(AX221,5)="AVISO"),"Pedimento (R 16): no va al SPPLD",AX221)</f>
        <v/>
      </c>
      <c r="Q221" s="23" t="str">
        <f aca="false">IF(LEFT(P221,5)="AVISO",IF(ISNUMBER(B221),DATE(YEAR(B221),MONTH(B221)+1,17),"Falta fecha"),"")</f>
        <v/>
      </c>
      <c r="R221" s="9" t="str">
        <f aca="false">IF(OR(F221="",F221=0),"",IF(ISNUMBER(AG221),IF(F221&gt;=AG221,"PROHIBIDO","Dentro del límite"),"No aplica"))</f>
        <v/>
      </c>
      <c r="S221" s="26" t="str">
        <f aca="false">IF(E221="","",MID(IF(AQ221=1," · Excede el perfil declarado","")&amp;IF(H221="Sí"," · Paga un tercero","")&amp;IF(J221="Alto"," · Cliente de riesgo alto: DDR (RCG 23 Ter 3 y 4)","")&amp;IF(AND(AS221&lt;&gt;"",AS221&lt;&gt;"No",AS221&lt;&gt;0)," · PEP","")&amp;IF(R221="PROHIBIDO"," · Efectivo prohibido: no lo recibas (Art. 32)","")&amp;IF(AR221=1," · ⚠ Fecha fuera de orden","")&amp;IF(LEFT(I221,1)="⚠"," · ⚠ Cliente no registrado","")&amp;IF(D221=""," · ⚠ Falta la actividad","")&amp;IF(AND(LEFT(P221,5)="AVISO",W221="")," · Captura la cifra total con IVA para el Aviso","")&amp;IF(AND(ISNUMBER(W221),W221&lt;E221)," · ⚠ La cifra con IVA es menor que el monto sin IVA",""),4,400))</f>
        <v/>
      </c>
      <c r="T221" s="21"/>
      <c r="U221" s="20"/>
      <c r="V221" s="9" t="str">
        <f aca="false">IF(LEFT(P221,5)&lt;&gt;"AVISO","",IF(T221="Presentado",IF(AND(ISNUMBER(U221),ISNUMBER(Q221),U221&gt;Q221),"Presentado tarde","Presentado"),IF(NOT(ISNUMBER(Q221)),"Falta fecha",IF(Q221&lt;CONFIG!$B$6,"VENCIDO","Vence en "&amp;(Q221-CONFIG!$B$6)&amp;" días"))))</f>
        <v/>
      </c>
      <c r="W221" s="22"/>
      <c r="X221" s="21"/>
      <c r="AA221" s="0" t="str">
        <f aca="false">IF(AM221="","",INDEX(CATÁLOGO!$D$5:$D$39,AM221))</f>
        <v/>
      </c>
      <c r="AB221" s="0" t="str">
        <f aca="false">IF(AM221="","",INDEX(CATÁLOGO!$E$5:$E$39,AM221))</f>
        <v/>
      </c>
      <c r="AC221" s="0" t="str">
        <f aca="false">IF(AB221="","",IF(ISNUMBER(AB221),AB221*AV221,AB221))</f>
        <v/>
      </c>
      <c r="AD221" s="0" t="str">
        <f aca="false">IF(AM221="","",INDEX(CATÁLOGO!$F$5:$F$39,AM221))</f>
        <v/>
      </c>
      <c r="AE221" s="0" t="str">
        <f aca="false">IF(AD221="","",IF(ISNUMBER(AD221),AD221*AV221,AD221))</f>
        <v/>
      </c>
      <c r="AF221" s="0" t="str">
        <f aca="false">IF(AM221="","",INDEX(CATÁLOGO!$G$5:$G$39,AM221))</f>
        <v/>
      </c>
      <c r="AG221" s="0" t="str">
        <f aca="false">IF(AF221="","",IF(ISNUMBER(AF221),AF221*AV221,AF221))</f>
        <v/>
      </c>
      <c r="AH221" s="0" t="str">
        <f aca="false">IF(E221="","",C221&amp;"|"&amp;D221)</f>
        <v/>
      </c>
      <c r="AI221" s="27" t="n">
        <f aca="false">IF(M221&lt;&gt;"Sí",0,SUMPRODUCT(MAX(($AH$5:AH220=AH221)*($M$5:M220="Sí")*ROW($AH$5:AH220))))</f>
        <v>0</v>
      </c>
      <c r="AJ221" s="0" t="str">
        <f aca="false">IF(M221&lt;&gt;"Sí","",IF(AL221=1,B221,INDEX($AJ:$AJ,AI221)))</f>
        <v/>
      </c>
      <c r="AK221" s="0" t="str">
        <f aca="false">IF(M221&lt;&gt;"Sí","",IF(AL221=1,E221,INDEX($AK:$AK,AI221)+E221))</f>
        <v/>
      </c>
      <c r="AL221" s="0" t="str">
        <f aca="false">IF(M221&lt;&gt;"Sí","",IF(AI221=0,1,IF(INDEX($AN:$AN,AI221)=0,1,IF(B221&gt;=EDATE(INDEX($AJ:$AJ,AI221),6),1,0))))</f>
        <v/>
      </c>
      <c r="AM221" s="0" t="str">
        <f aca="false">IF(D221="","",IFERROR(MATCH(D221,CATÁLOGO!$C$5:$C$39,0),""))</f>
        <v/>
      </c>
      <c r="AN221" s="0" t="str">
        <f aca="false">IF(M221&lt;&gt;"Sí","",IF(AND(ISNUMBER(AE221),AK221&gt;=AE221),0,1))</f>
        <v/>
      </c>
      <c r="AO221" s="0" t="str">
        <f aca="false">IF(OR(E221="",C221="",NOT(ISNUMBER(B221))),"",SUMIFS($E$6:$E$505,$C$6:$C$505,C221,$B$6:$B$505,"&gt;="&amp;DATE(YEAR(B221),MONTH(B221),1),$B$6:$B$505,"&lt;"&amp;DATE(YEAR(B221),MONTH(B221)+1,1)))</f>
        <v/>
      </c>
      <c r="AP221" s="0" t="str">
        <f aca="false">IF(C221="","",IFERROR(INDEX(CLIENTES!$M$6:$M$305,MATCH(C221,CLIENTES!$A$6:$A$305,0)),""))</f>
        <v/>
      </c>
      <c r="AQ221" s="27" t="n">
        <f aca="false">IF(AND(ISNUMBER(AO221),ISNUMBER(AP221)),IF(AND(AP221&gt;0,AO221&gt;AP221),1,0),0)</f>
        <v>0</v>
      </c>
      <c r="AR221" s="27" t="n">
        <f aca="false">IF(NOT(ISNUMBER(B221)),0,IF(B221&lt;MAX($B$5:B220),1,0))</f>
        <v>0</v>
      </c>
      <c r="AS221" s="0" t="str">
        <f aca="false">IF(C221="","",IFERROR(INDEX(CLIENTES!$H$6:$H$305,MATCH(C221,CLIENTES!$A$6:$A$305,0)),""))</f>
        <v/>
      </c>
      <c r="AT221" s="0" t="str">
        <f aca="false">IF(AND(LEFT(P221,5)="AVISO",T221&lt;&gt;"Presentado",ISNUMBER(Q221)),Q221,"")</f>
        <v/>
      </c>
      <c r="AU221" s="27" t="n">
        <f aca="false">IF(AND(D221="XVI - Activos virtuales (PSAV): operación de intercambio/transferencia",M221="Sí",ISNUMBER(AE221)),IF(AK221&gt;=AE221,1,0),0)</f>
        <v>0</v>
      </c>
      <c r="AV221" s="30" t="n">
        <f aca="false">IF(NOT(ISNUMBER(B221)),CONFIG!$B$4,IFERROR(INDEX(CONFIG!$I$5:$I$14,MATCH(IF(MONTH(B221)=1,YEAR(B221)-1,YEAR(B221)),CONFIG!$H$5:$H$14,0)),CONFIG!$B$4))</f>
        <v>117.31</v>
      </c>
      <c r="AW221" s="27" t="n">
        <f aca="false">IF(AND(LEFT(D221,4)="I - ",ISNUMBER(B221),C221&lt;&gt;""),SUMIFS($E$6:$E$505,$C$6:$C$505,C221,$D$6:$D$505,D221,$B$6:$B$505,"&gt;"&amp;(B221-1),$B$6:$B$505,"&lt;="&amp;B221),0)</f>
        <v>0</v>
      </c>
      <c r="AX221" s="0" t="str">
        <f aca="false">IF(E221="","",IF(AD221="Siempre","AVISO (siempre)",IF(AD221="No aplica","Sin Aviso (sólo preparas: Ley 17 XI)",IF(NOT(ISNUMBER(AE221)),"",IF(AA221&lt;&gt;"ACUMULA",IF(E221&gt;=AE221,IF(AND(D221="XVI - Activos virtuales (PSAV): cobro de contraprestación (comisión) por el servicio",COUNTIFS($C$6:$C$505,C221,$B$6:$B$505,"&gt;="&amp;INT(B221),$B$6:$B$505,"&lt;"&amp;(INT(B221)+1),$AU$6:$AU$505,1)&gt;0),"En el Aviso del inciso a) (R 31 Bis)","AVISO"),"—"),IF(M221&lt;&gt;"Sí","—",IF(AK221&gt;=AE221,IF(AK221=E221,"AVISO","AVISO (acumulado)"),"Acumulando")))))))</f>
        <v/>
      </c>
    </row>
    <row r="222" customFormat="false" ht="15" hidden="false" customHeight="false" outlineLevel="0" collapsed="false">
      <c r="A222" s="9" t="str">
        <f aca="false">IF(E222="","",ROW()-5)</f>
        <v/>
      </c>
      <c r="B222" s="20"/>
      <c r="C222" s="21"/>
      <c r="D222" s="21"/>
      <c r="E222" s="22"/>
      <c r="F222" s="22"/>
      <c r="G222" s="21"/>
      <c r="H222" s="21"/>
      <c r="I222" s="9" t="str">
        <f aca="false">IF(C222="","",IFERROR(INDEX(CLIENTES!$B$6:$B$305,MATCH(C222,CLIENTES!$A$6:$A$305,0)),"⚠ ID no registrado"))</f>
        <v/>
      </c>
      <c r="J222" s="9" t="str">
        <f aca="false">IF(C222="","",IFERROR(INDEX(CLIENTES!$Z$6:$Z$305,MATCH(C222,CLIENTES!$A$6:$A$305,0)),""))</f>
        <v/>
      </c>
      <c r="K222" s="9" t="str">
        <f aca="false">IF(E222="","",IF(AB222="Siempre","Sí",IF(ISNUMBER(AC222),IF(E222&gt;=AC222,"Sí",IF(AW222&gt;=AC222,"Sí (serie 24 h)","No")),"")))</f>
        <v/>
      </c>
      <c r="L222" s="9" t="str">
        <f aca="false">IF(E222="","",AA222)</f>
        <v/>
      </c>
      <c r="M222" s="9" t="str">
        <f aca="false">IF(E222="","",IF(AA222&lt;&gt;"ACUMULA","No aplica",IF(LEFT(K222,2)="Sí","Sí","No")))</f>
        <v/>
      </c>
      <c r="N222" s="23" t="str">
        <f aca="false">IF(M222="Sí",AJ222,"")</f>
        <v/>
      </c>
      <c r="O222" s="24" t="str">
        <f aca="false">IF(M222="Sí",AK222,"")</f>
        <v/>
      </c>
      <c r="P222" s="25" t="str">
        <f aca="false">IF(AND(LEFT(D222,6)="XIV - ",LEFT(AX222,5)="AVISO"),"Pedimento (R 16): no va al SPPLD",AX222)</f>
        <v/>
      </c>
      <c r="Q222" s="23" t="str">
        <f aca="false">IF(LEFT(P222,5)="AVISO",IF(ISNUMBER(B222),DATE(YEAR(B222),MONTH(B222)+1,17),"Falta fecha"),"")</f>
        <v/>
      </c>
      <c r="R222" s="9" t="str">
        <f aca="false">IF(OR(F222="",F222=0),"",IF(ISNUMBER(AG222),IF(F222&gt;=AG222,"PROHIBIDO","Dentro del límite"),"No aplica"))</f>
        <v/>
      </c>
      <c r="S222" s="26" t="str">
        <f aca="false">IF(E222="","",MID(IF(AQ222=1," · Excede el perfil declarado","")&amp;IF(H222="Sí"," · Paga un tercero","")&amp;IF(J222="Alto"," · Cliente de riesgo alto: DDR (RCG 23 Ter 3 y 4)","")&amp;IF(AND(AS222&lt;&gt;"",AS222&lt;&gt;"No",AS222&lt;&gt;0)," · PEP","")&amp;IF(R222="PROHIBIDO"," · Efectivo prohibido: no lo recibas (Art. 32)","")&amp;IF(AR222=1," · ⚠ Fecha fuera de orden","")&amp;IF(LEFT(I222,1)="⚠"," · ⚠ Cliente no registrado","")&amp;IF(D222=""," · ⚠ Falta la actividad","")&amp;IF(AND(LEFT(P222,5)="AVISO",W222="")," · Captura la cifra total con IVA para el Aviso","")&amp;IF(AND(ISNUMBER(W222),W222&lt;E222)," · ⚠ La cifra con IVA es menor que el monto sin IVA",""),4,400))</f>
        <v/>
      </c>
      <c r="T222" s="21"/>
      <c r="U222" s="20"/>
      <c r="V222" s="9" t="str">
        <f aca="false">IF(LEFT(P222,5)&lt;&gt;"AVISO","",IF(T222="Presentado",IF(AND(ISNUMBER(U222),ISNUMBER(Q222),U222&gt;Q222),"Presentado tarde","Presentado"),IF(NOT(ISNUMBER(Q222)),"Falta fecha",IF(Q222&lt;CONFIG!$B$6,"VENCIDO","Vence en "&amp;(Q222-CONFIG!$B$6)&amp;" días"))))</f>
        <v/>
      </c>
      <c r="W222" s="22"/>
      <c r="X222" s="21"/>
      <c r="AA222" s="0" t="str">
        <f aca="false">IF(AM222="","",INDEX(CATÁLOGO!$D$5:$D$39,AM222))</f>
        <v/>
      </c>
      <c r="AB222" s="0" t="str">
        <f aca="false">IF(AM222="","",INDEX(CATÁLOGO!$E$5:$E$39,AM222))</f>
        <v/>
      </c>
      <c r="AC222" s="0" t="str">
        <f aca="false">IF(AB222="","",IF(ISNUMBER(AB222),AB222*AV222,AB222))</f>
        <v/>
      </c>
      <c r="AD222" s="0" t="str">
        <f aca="false">IF(AM222="","",INDEX(CATÁLOGO!$F$5:$F$39,AM222))</f>
        <v/>
      </c>
      <c r="AE222" s="0" t="str">
        <f aca="false">IF(AD222="","",IF(ISNUMBER(AD222),AD222*AV222,AD222))</f>
        <v/>
      </c>
      <c r="AF222" s="0" t="str">
        <f aca="false">IF(AM222="","",INDEX(CATÁLOGO!$G$5:$G$39,AM222))</f>
        <v/>
      </c>
      <c r="AG222" s="0" t="str">
        <f aca="false">IF(AF222="","",IF(ISNUMBER(AF222),AF222*AV222,AF222))</f>
        <v/>
      </c>
      <c r="AH222" s="0" t="str">
        <f aca="false">IF(E222="","",C222&amp;"|"&amp;D222)</f>
        <v/>
      </c>
      <c r="AI222" s="27" t="n">
        <f aca="false">IF(M222&lt;&gt;"Sí",0,SUMPRODUCT(MAX(($AH$5:AH221=AH222)*($M$5:M221="Sí")*ROW($AH$5:AH221))))</f>
        <v>0</v>
      </c>
      <c r="AJ222" s="0" t="str">
        <f aca="false">IF(M222&lt;&gt;"Sí","",IF(AL222=1,B222,INDEX($AJ:$AJ,AI222)))</f>
        <v/>
      </c>
      <c r="AK222" s="0" t="str">
        <f aca="false">IF(M222&lt;&gt;"Sí","",IF(AL222=1,E222,INDEX($AK:$AK,AI222)+E222))</f>
        <v/>
      </c>
      <c r="AL222" s="0" t="str">
        <f aca="false">IF(M222&lt;&gt;"Sí","",IF(AI222=0,1,IF(INDEX($AN:$AN,AI222)=0,1,IF(B222&gt;=EDATE(INDEX($AJ:$AJ,AI222),6),1,0))))</f>
        <v/>
      </c>
      <c r="AM222" s="0" t="str">
        <f aca="false">IF(D222="","",IFERROR(MATCH(D222,CATÁLOGO!$C$5:$C$39,0),""))</f>
        <v/>
      </c>
      <c r="AN222" s="0" t="str">
        <f aca="false">IF(M222&lt;&gt;"Sí","",IF(AND(ISNUMBER(AE222),AK222&gt;=AE222),0,1))</f>
        <v/>
      </c>
      <c r="AO222" s="0" t="str">
        <f aca="false">IF(OR(E222="",C222="",NOT(ISNUMBER(B222))),"",SUMIFS($E$6:$E$505,$C$6:$C$505,C222,$B$6:$B$505,"&gt;="&amp;DATE(YEAR(B222),MONTH(B222),1),$B$6:$B$505,"&lt;"&amp;DATE(YEAR(B222),MONTH(B222)+1,1)))</f>
        <v/>
      </c>
      <c r="AP222" s="0" t="str">
        <f aca="false">IF(C222="","",IFERROR(INDEX(CLIENTES!$M$6:$M$305,MATCH(C222,CLIENTES!$A$6:$A$305,0)),""))</f>
        <v/>
      </c>
      <c r="AQ222" s="27" t="n">
        <f aca="false">IF(AND(ISNUMBER(AO222),ISNUMBER(AP222)),IF(AND(AP222&gt;0,AO222&gt;AP222),1,0),0)</f>
        <v>0</v>
      </c>
      <c r="AR222" s="27" t="n">
        <f aca="false">IF(NOT(ISNUMBER(B222)),0,IF(B222&lt;MAX($B$5:B221),1,0))</f>
        <v>0</v>
      </c>
      <c r="AS222" s="0" t="str">
        <f aca="false">IF(C222="","",IFERROR(INDEX(CLIENTES!$H$6:$H$305,MATCH(C222,CLIENTES!$A$6:$A$305,0)),""))</f>
        <v/>
      </c>
      <c r="AT222" s="0" t="str">
        <f aca="false">IF(AND(LEFT(P222,5)="AVISO",T222&lt;&gt;"Presentado",ISNUMBER(Q222)),Q222,"")</f>
        <v/>
      </c>
      <c r="AU222" s="27" t="n">
        <f aca="false">IF(AND(D222="XVI - Activos virtuales (PSAV): operación de intercambio/transferencia",M222="Sí",ISNUMBER(AE222)),IF(AK222&gt;=AE222,1,0),0)</f>
        <v>0</v>
      </c>
      <c r="AV222" s="30" t="n">
        <f aca="false">IF(NOT(ISNUMBER(B222)),CONFIG!$B$4,IFERROR(INDEX(CONFIG!$I$5:$I$14,MATCH(IF(MONTH(B222)=1,YEAR(B222)-1,YEAR(B222)),CONFIG!$H$5:$H$14,0)),CONFIG!$B$4))</f>
        <v>117.31</v>
      </c>
      <c r="AW222" s="27" t="n">
        <f aca="false">IF(AND(LEFT(D222,4)="I - ",ISNUMBER(B222),C222&lt;&gt;""),SUMIFS($E$6:$E$505,$C$6:$C$505,C222,$D$6:$D$505,D222,$B$6:$B$505,"&gt;"&amp;(B222-1),$B$6:$B$505,"&lt;="&amp;B222),0)</f>
        <v>0</v>
      </c>
      <c r="AX222" s="0" t="str">
        <f aca="false">IF(E222="","",IF(AD222="Siempre","AVISO (siempre)",IF(AD222="No aplica","Sin Aviso (sólo preparas: Ley 17 XI)",IF(NOT(ISNUMBER(AE222)),"",IF(AA222&lt;&gt;"ACUMULA",IF(E222&gt;=AE222,IF(AND(D222="XVI - Activos virtuales (PSAV): cobro de contraprestación (comisión) por el servicio",COUNTIFS($C$6:$C$505,C222,$B$6:$B$505,"&gt;="&amp;INT(B222),$B$6:$B$505,"&lt;"&amp;(INT(B222)+1),$AU$6:$AU$505,1)&gt;0),"En el Aviso del inciso a) (R 31 Bis)","AVISO"),"—"),IF(M222&lt;&gt;"Sí","—",IF(AK222&gt;=AE222,IF(AK222=E222,"AVISO","AVISO (acumulado)"),"Acumulando")))))))</f>
        <v/>
      </c>
    </row>
    <row r="223" customFormat="false" ht="15" hidden="false" customHeight="false" outlineLevel="0" collapsed="false">
      <c r="A223" s="9" t="str">
        <f aca="false">IF(E223="","",ROW()-5)</f>
        <v/>
      </c>
      <c r="B223" s="20"/>
      <c r="C223" s="21"/>
      <c r="D223" s="21"/>
      <c r="E223" s="22"/>
      <c r="F223" s="22"/>
      <c r="G223" s="21"/>
      <c r="H223" s="21"/>
      <c r="I223" s="9" t="str">
        <f aca="false">IF(C223="","",IFERROR(INDEX(CLIENTES!$B$6:$B$305,MATCH(C223,CLIENTES!$A$6:$A$305,0)),"⚠ ID no registrado"))</f>
        <v/>
      </c>
      <c r="J223" s="9" t="str">
        <f aca="false">IF(C223="","",IFERROR(INDEX(CLIENTES!$Z$6:$Z$305,MATCH(C223,CLIENTES!$A$6:$A$305,0)),""))</f>
        <v/>
      </c>
      <c r="K223" s="9" t="str">
        <f aca="false">IF(E223="","",IF(AB223="Siempre","Sí",IF(ISNUMBER(AC223),IF(E223&gt;=AC223,"Sí",IF(AW223&gt;=AC223,"Sí (serie 24 h)","No")),"")))</f>
        <v/>
      </c>
      <c r="L223" s="9" t="str">
        <f aca="false">IF(E223="","",AA223)</f>
        <v/>
      </c>
      <c r="M223" s="9" t="str">
        <f aca="false">IF(E223="","",IF(AA223&lt;&gt;"ACUMULA","No aplica",IF(LEFT(K223,2)="Sí","Sí","No")))</f>
        <v/>
      </c>
      <c r="N223" s="23" t="str">
        <f aca="false">IF(M223="Sí",AJ223,"")</f>
        <v/>
      </c>
      <c r="O223" s="24" t="str">
        <f aca="false">IF(M223="Sí",AK223,"")</f>
        <v/>
      </c>
      <c r="P223" s="25" t="str">
        <f aca="false">IF(AND(LEFT(D223,6)="XIV - ",LEFT(AX223,5)="AVISO"),"Pedimento (R 16): no va al SPPLD",AX223)</f>
        <v/>
      </c>
      <c r="Q223" s="23" t="str">
        <f aca="false">IF(LEFT(P223,5)="AVISO",IF(ISNUMBER(B223),DATE(YEAR(B223),MONTH(B223)+1,17),"Falta fecha"),"")</f>
        <v/>
      </c>
      <c r="R223" s="9" t="str">
        <f aca="false">IF(OR(F223="",F223=0),"",IF(ISNUMBER(AG223),IF(F223&gt;=AG223,"PROHIBIDO","Dentro del límite"),"No aplica"))</f>
        <v/>
      </c>
      <c r="S223" s="26" t="str">
        <f aca="false">IF(E223="","",MID(IF(AQ223=1," · Excede el perfil declarado","")&amp;IF(H223="Sí"," · Paga un tercero","")&amp;IF(J223="Alto"," · Cliente de riesgo alto: DDR (RCG 23 Ter 3 y 4)","")&amp;IF(AND(AS223&lt;&gt;"",AS223&lt;&gt;"No",AS223&lt;&gt;0)," · PEP","")&amp;IF(R223="PROHIBIDO"," · Efectivo prohibido: no lo recibas (Art. 32)","")&amp;IF(AR223=1," · ⚠ Fecha fuera de orden","")&amp;IF(LEFT(I223,1)="⚠"," · ⚠ Cliente no registrado","")&amp;IF(D223=""," · ⚠ Falta la actividad","")&amp;IF(AND(LEFT(P223,5)="AVISO",W223="")," · Captura la cifra total con IVA para el Aviso","")&amp;IF(AND(ISNUMBER(W223),W223&lt;E223)," · ⚠ La cifra con IVA es menor que el monto sin IVA",""),4,400))</f>
        <v/>
      </c>
      <c r="T223" s="21"/>
      <c r="U223" s="20"/>
      <c r="V223" s="9" t="str">
        <f aca="false">IF(LEFT(P223,5)&lt;&gt;"AVISO","",IF(T223="Presentado",IF(AND(ISNUMBER(U223),ISNUMBER(Q223),U223&gt;Q223),"Presentado tarde","Presentado"),IF(NOT(ISNUMBER(Q223)),"Falta fecha",IF(Q223&lt;CONFIG!$B$6,"VENCIDO","Vence en "&amp;(Q223-CONFIG!$B$6)&amp;" días"))))</f>
        <v/>
      </c>
      <c r="W223" s="22"/>
      <c r="X223" s="21"/>
      <c r="AA223" s="0" t="str">
        <f aca="false">IF(AM223="","",INDEX(CATÁLOGO!$D$5:$D$39,AM223))</f>
        <v/>
      </c>
      <c r="AB223" s="0" t="str">
        <f aca="false">IF(AM223="","",INDEX(CATÁLOGO!$E$5:$E$39,AM223))</f>
        <v/>
      </c>
      <c r="AC223" s="0" t="str">
        <f aca="false">IF(AB223="","",IF(ISNUMBER(AB223),AB223*AV223,AB223))</f>
        <v/>
      </c>
      <c r="AD223" s="0" t="str">
        <f aca="false">IF(AM223="","",INDEX(CATÁLOGO!$F$5:$F$39,AM223))</f>
        <v/>
      </c>
      <c r="AE223" s="0" t="str">
        <f aca="false">IF(AD223="","",IF(ISNUMBER(AD223),AD223*AV223,AD223))</f>
        <v/>
      </c>
      <c r="AF223" s="0" t="str">
        <f aca="false">IF(AM223="","",INDEX(CATÁLOGO!$G$5:$G$39,AM223))</f>
        <v/>
      </c>
      <c r="AG223" s="0" t="str">
        <f aca="false">IF(AF223="","",IF(ISNUMBER(AF223),AF223*AV223,AF223))</f>
        <v/>
      </c>
      <c r="AH223" s="0" t="str">
        <f aca="false">IF(E223="","",C223&amp;"|"&amp;D223)</f>
        <v/>
      </c>
      <c r="AI223" s="27" t="n">
        <f aca="false">IF(M223&lt;&gt;"Sí",0,SUMPRODUCT(MAX(($AH$5:AH222=AH223)*($M$5:M222="Sí")*ROW($AH$5:AH222))))</f>
        <v>0</v>
      </c>
      <c r="AJ223" s="0" t="str">
        <f aca="false">IF(M223&lt;&gt;"Sí","",IF(AL223=1,B223,INDEX($AJ:$AJ,AI223)))</f>
        <v/>
      </c>
      <c r="AK223" s="0" t="str">
        <f aca="false">IF(M223&lt;&gt;"Sí","",IF(AL223=1,E223,INDEX($AK:$AK,AI223)+E223))</f>
        <v/>
      </c>
      <c r="AL223" s="0" t="str">
        <f aca="false">IF(M223&lt;&gt;"Sí","",IF(AI223=0,1,IF(INDEX($AN:$AN,AI223)=0,1,IF(B223&gt;=EDATE(INDEX($AJ:$AJ,AI223),6),1,0))))</f>
        <v/>
      </c>
      <c r="AM223" s="0" t="str">
        <f aca="false">IF(D223="","",IFERROR(MATCH(D223,CATÁLOGO!$C$5:$C$39,0),""))</f>
        <v/>
      </c>
      <c r="AN223" s="0" t="str">
        <f aca="false">IF(M223&lt;&gt;"Sí","",IF(AND(ISNUMBER(AE223),AK223&gt;=AE223),0,1))</f>
        <v/>
      </c>
      <c r="AO223" s="0" t="str">
        <f aca="false">IF(OR(E223="",C223="",NOT(ISNUMBER(B223))),"",SUMIFS($E$6:$E$505,$C$6:$C$505,C223,$B$6:$B$505,"&gt;="&amp;DATE(YEAR(B223),MONTH(B223),1),$B$6:$B$505,"&lt;"&amp;DATE(YEAR(B223),MONTH(B223)+1,1)))</f>
        <v/>
      </c>
      <c r="AP223" s="0" t="str">
        <f aca="false">IF(C223="","",IFERROR(INDEX(CLIENTES!$M$6:$M$305,MATCH(C223,CLIENTES!$A$6:$A$305,0)),""))</f>
        <v/>
      </c>
      <c r="AQ223" s="27" t="n">
        <f aca="false">IF(AND(ISNUMBER(AO223),ISNUMBER(AP223)),IF(AND(AP223&gt;0,AO223&gt;AP223),1,0),0)</f>
        <v>0</v>
      </c>
      <c r="AR223" s="27" t="n">
        <f aca="false">IF(NOT(ISNUMBER(B223)),0,IF(B223&lt;MAX($B$5:B222),1,0))</f>
        <v>0</v>
      </c>
      <c r="AS223" s="0" t="str">
        <f aca="false">IF(C223="","",IFERROR(INDEX(CLIENTES!$H$6:$H$305,MATCH(C223,CLIENTES!$A$6:$A$305,0)),""))</f>
        <v/>
      </c>
      <c r="AT223" s="0" t="str">
        <f aca="false">IF(AND(LEFT(P223,5)="AVISO",T223&lt;&gt;"Presentado",ISNUMBER(Q223)),Q223,"")</f>
        <v/>
      </c>
      <c r="AU223" s="27" t="n">
        <f aca="false">IF(AND(D223="XVI - Activos virtuales (PSAV): operación de intercambio/transferencia",M223="Sí",ISNUMBER(AE223)),IF(AK223&gt;=AE223,1,0),0)</f>
        <v>0</v>
      </c>
      <c r="AV223" s="30" t="n">
        <f aca="false">IF(NOT(ISNUMBER(B223)),CONFIG!$B$4,IFERROR(INDEX(CONFIG!$I$5:$I$14,MATCH(IF(MONTH(B223)=1,YEAR(B223)-1,YEAR(B223)),CONFIG!$H$5:$H$14,0)),CONFIG!$B$4))</f>
        <v>117.31</v>
      </c>
      <c r="AW223" s="27" t="n">
        <f aca="false">IF(AND(LEFT(D223,4)="I - ",ISNUMBER(B223),C223&lt;&gt;""),SUMIFS($E$6:$E$505,$C$6:$C$505,C223,$D$6:$D$505,D223,$B$6:$B$505,"&gt;"&amp;(B223-1),$B$6:$B$505,"&lt;="&amp;B223),0)</f>
        <v>0</v>
      </c>
      <c r="AX223" s="0" t="str">
        <f aca="false">IF(E223="","",IF(AD223="Siempre","AVISO (siempre)",IF(AD223="No aplica","Sin Aviso (sólo preparas: Ley 17 XI)",IF(NOT(ISNUMBER(AE223)),"",IF(AA223&lt;&gt;"ACUMULA",IF(E223&gt;=AE223,IF(AND(D223="XVI - Activos virtuales (PSAV): cobro de contraprestación (comisión) por el servicio",COUNTIFS($C$6:$C$505,C223,$B$6:$B$505,"&gt;="&amp;INT(B223),$B$6:$B$505,"&lt;"&amp;(INT(B223)+1),$AU$6:$AU$505,1)&gt;0),"En el Aviso del inciso a) (R 31 Bis)","AVISO"),"—"),IF(M223&lt;&gt;"Sí","—",IF(AK223&gt;=AE223,IF(AK223=E223,"AVISO","AVISO (acumulado)"),"Acumulando")))))))</f>
        <v/>
      </c>
    </row>
    <row r="224" customFormat="false" ht="15" hidden="false" customHeight="false" outlineLevel="0" collapsed="false">
      <c r="A224" s="9" t="str">
        <f aca="false">IF(E224="","",ROW()-5)</f>
        <v/>
      </c>
      <c r="B224" s="20"/>
      <c r="C224" s="21"/>
      <c r="D224" s="21"/>
      <c r="E224" s="22"/>
      <c r="F224" s="22"/>
      <c r="G224" s="21"/>
      <c r="H224" s="21"/>
      <c r="I224" s="9" t="str">
        <f aca="false">IF(C224="","",IFERROR(INDEX(CLIENTES!$B$6:$B$305,MATCH(C224,CLIENTES!$A$6:$A$305,0)),"⚠ ID no registrado"))</f>
        <v/>
      </c>
      <c r="J224" s="9" t="str">
        <f aca="false">IF(C224="","",IFERROR(INDEX(CLIENTES!$Z$6:$Z$305,MATCH(C224,CLIENTES!$A$6:$A$305,0)),""))</f>
        <v/>
      </c>
      <c r="K224" s="9" t="str">
        <f aca="false">IF(E224="","",IF(AB224="Siempre","Sí",IF(ISNUMBER(AC224),IF(E224&gt;=AC224,"Sí",IF(AW224&gt;=AC224,"Sí (serie 24 h)","No")),"")))</f>
        <v/>
      </c>
      <c r="L224" s="9" t="str">
        <f aca="false">IF(E224="","",AA224)</f>
        <v/>
      </c>
      <c r="M224" s="9" t="str">
        <f aca="false">IF(E224="","",IF(AA224&lt;&gt;"ACUMULA","No aplica",IF(LEFT(K224,2)="Sí","Sí","No")))</f>
        <v/>
      </c>
      <c r="N224" s="23" t="str">
        <f aca="false">IF(M224="Sí",AJ224,"")</f>
        <v/>
      </c>
      <c r="O224" s="24" t="str">
        <f aca="false">IF(M224="Sí",AK224,"")</f>
        <v/>
      </c>
      <c r="P224" s="25" t="str">
        <f aca="false">IF(AND(LEFT(D224,6)="XIV - ",LEFT(AX224,5)="AVISO"),"Pedimento (R 16): no va al SPPLD",AX224)</f>
        <v/>
      </c>
      <c r="Q224" s="23" t="str">
        <f aca="false">IF(LEFT(P224,5)="AVISO",IF(ISNUMBER(B224),DATE(YEAR(B224),MONTH(B224)+1,17),"Falta fecha"),"")</f>
        <v/>
      </c>
      <c r="R224" s="9" t="str">
        <f aca="false">IF(OR(F224="",F224=0),"",IF(ISNUMBER(AG224),IF(F224&gt;=AG224,"PROHIBIDO","Dentro del límite"),"No aplica"))</f>
        <v/>
      </c>
      <c r="S224" s="26" t="str">
        <f aca="false">IF(E224="","",MID(IF(AQ224=1," · Excede el perfil declarado","")&amp;IF(H224="Sí"," · Paga un tercero","")&amp;IF(J224="Alto"," · Cliente de riesgo alto: DDR (RCG 23 Ter 3 y 4)","")&amp;IF(AND(AS224&lt;&gt;"",AS224&lt;&gt;"No",AS224&lt;&gt;0)," · PEP","")&amp;IF(R224="PROHIBIDO"," · Efectivo prohibido: no lo recibas (Art. 32)","")&amp;IF(AR224=1," · ⚠ Fecha fuera de orden","")&amp;IF(LEFT(I224,1)="⚠"," · ⚠ Cliente no registrado","")&amp;IF(D224=""," · ⚠ Falta la actividad","")&amp;IF(AND(LEFT(P224,5)="AVISO",W224="")," · Captura la cifra total con IVA para el Aviso","")&amp;IF(AND(ISNUMBER(W224),W224&lt;E224)," · ⚠ La cifra con IVA es menor que el monto sin IVA",""),4,400))</f>
        <v/>
      </c>
      <c r="T224" s="21"/>
      <c r="U224" s="20"/>
      <c r="V224" s="9" t="str">
        <f aca="false">IF(LEFT(P224,5)&lt;&gt;"AVISO","",IF(T224="Presentado",IF(AND(ISNUMBER(U224),ISNUMBER(Q224),U224&gt;Q224),"Presentado tarde","Presentado"),IF(NOT(ISNUMBER(Q224)),"Falta fecha",IF(Q224&lt;CONFIG!$B$6,"VENCIDO","Vence en "&amp;(Q224-CONFIG!$B$6)&amp;" días"))))</f>
        <v/>
      </c>
      <c r="W224" s="22"/>
      <c r="X224" s="21"/>
      <c r="AA224" s="0" t="str">
        <f aca="false">IF(AM224="","",INDEX(CATÁLOGO!$D$5:$D$39,AM224))</f>
        <v/>
      </c>
      <c r="AB224" s="0" t="str">
        <f aca="false">IF(AM224="","",INDEX(CATÁLOGO!$E$5:$E$39,AM224))</f>
        <v/>
      </c>
      <c r="AC224" s="0" t="str">
        <f aca="false">IF(AB224="","",IF(ISNUMBER(AB224),AB224*AV224,AB224))</f>
        <v/>
      </c>
      <c r="AD224" s="0" t="str">
        <f aca="false">IF(AM224="","",INDEX(CATÁLOGO!$F$5:$F$39,AM224))</f>
        <v/>
      </c>
      <c r="AE224" s="0" t="str">
        <f aca="false">IF(AD224="","",IF(ISNUMBER(AD224),AD224*AV224,AD224))</f>
        <v/>
      </c>
      <c r="AF224" s="0" t="str">
        <f aca="false">IF(AM224="","",INDEX(CATÁLOGO!$G$5:$G$39,AM224))</f>
        <v/>
      </c>
      <c r="AG224" s="0" t="str">
        <f aca="false">IF(AF224="","",IF(ISNUMBER(AF224),AF224*AV224,AF224))</f>
        <v/>
      </c>
      <c r="AH224" s="0" t="str">
        <f aca="false">IF(E224="","",C224&amp;"|"&amp;D224)</f>
        <v/>
      </c>
      <c r="AI224" s="27" t="n">
        <f aca="false">IF(M224&lt;&gt;"Sí",0,SUMPRODUCT(MAX(($AH$5:AH223=AH224)*($M$5:M223="Sí")*ROW($AH$5:AH223))))</f>
        <v>0</v>
      </c>
      <c r="AJ224" s="0" t="str">
        <f aca="false">IF(M224&lt;&gt;"Sí","",IF(AL224=1,B224,INDEX($AJ:$AJ,AI224)))</f>
        <v/>
      </c>
      <c r="AK224" s="0" t="str">
        <f aca="false">IF(M224&lt;&gt;"Sí","",IF(AL224=1,E224,INDEX($AK:$AK,AI224)+E224))</f>
        <v/>
      </c>
      <c r="AL224" s="0" t="str">
        <f aca="false">IF(M224&lt;&gt;"Sí","",IF(AI224=0,1,IF(INDEX($AN:$AN,AI224)=0,1,IF(B224&gt;=EDATE(INDEX($AJ:$AJ,AI224),6),1,0))))</f>
        <v/>
      </c>
      <c r="AM224" s="0" t="str">
        <f aca="false">IF(D224="","",IFERROR(MATCH(D224,CATÁLOGO!$C$5:$C$39,0),""))</f>
        <v/>
      </c>
      <c r="AN224" s="0" t="str">
        <f aca="false">IF(M224&lt;&gt;"Sí","",IF(AND(ISNUMBER(AE224),AK224&gt;=AE224),0,1))</f>
        <v/>
      </c>
      <c r="AO224" s="0" t="str">
        <f aca="false">IF(OR(E224="",C224="",NOT(ISNUMBER(B224))),"",SUMIFS($E$6:$E$505,$C$6:$C$505,C224,$B$6:$B$505,"&gt;="&amp;DATE(YEAR(B224),MONTH(B224),1),$B$6:$B$505,"&lt;"&amp;DATE(YEAR(B224),MONTH(B224)+1,1)))</f>
        <v/>
      </c>
      <c r="AP224" s="0" t="str">
        <f aca="false">IF(C224="","",IFERROR(INDEX(CLIENTES!$M$6:$M$305,MATCH(C224,CLIENTES!$A$6:$A$305,0)),""))</f>
        <v/>
      </c>
      <c r="AQ224" s="27" t="n">
        <f aca="false">IF(AND(ISNUMBER(AO224),ISNUMBER(AP224)),IF(AND(AP224&gt;0,AO224&gt;AP224),1,0),0)</f>
        <v>0</v>
      </c>
      <c r="AR224" s="27" t="n">
        <f aca="false">IF(NOT(ISNUMBER(B224)),0,IF(B224&lt;MAX($B$5:B223),1,0))</f>
        <v>0</v>
      </c>
      <c r="AS224" s="0" t="str">
        <f aca="false">IF(C224="","",IFERROR(INDEX(CLIENTES!$H$6:$H$305,MATCH(C224,CLIENTES!$A$6:$A$305,0)),""))</f>
        <v/>
      </c>
      <c r="AT224" s="0" t="str">
        <f aca="false">IF(AND(LEFT(P224,5)="AVISO",T224&lt;&gt;"Presentado",ISNUMBER(Q224)),Q224,"")</f>
        <v/>
      </c>
      <c r="AU224" s="27" t="n">
        <f aca="false">IF(AND(D224="XVI - Activos virtuales (PSAV): operación de intercambio/transferencia",M224="Sí",ISNUMBER(AE224)),IF(AK224&gt;=AE224,1,0),0)</f>
        <v>0</v>
      </c>
      <c r="AV224" s="30" t="n">
        <f aca="false">IF(NOT(ISNUMBER(B224)),CONFIG!$B$4,IFERROR(INDEX(CONFIG!$I$5:$I$14,MATCH(IF(MONTH(B224)=1,YEAR(B224)-1,YEAR(B224)),CONFIG!$H$5:$H$14,0)),CONFIG!$B$4))</f>
        <v>117.31</v>
      </c>
      <c r="AW224" s="27" t="n">
        <f aca="false">IF(AND(LEFT(D224,4)="I - ",ISNUMBER(B224),C224&lt;&gt;""),SUMIFS($E$6:$E$505,$C$6:$C$505,C224,$D$6:$D$505,D224,$B$6:$B$505,"&gt;"&amp;(B224-1),$B$6:$B$505,"&lt;="&amp;B224),0)</f>
        <v>0</v>
      </c>
      <c r="AX224" s="0" t="str">
        <f aca="false">IF(E224="","",IF(AD224="Siempre","AVISO (siempre)",IF(AD224="No aplica","Sin Aviso (sólo preparas: Ley 17 XI)",IF(NOT(ISNUMBER(AE224)),"",IF(AA224&lt;&gt;"ACUMULA",IF(E224&gt;=AE224,IF(AND(D224="XVI - Activos virtuales (PSAV): cobro de contraprestación (comisión) por el servicio",COUNTIFS($C$6:$C$505,C224,$B$6:$B$505,"&gt;="&amp;INT(B224),$B$6:$B$505,"&lt;"&amp;(INT(B224)+1),$AU$6:$AU$505,1)&gt;0),"En el Aviso del inciso a) (R 31 Bis)","AVISO"),"—"),IF(M224&lt;&gt;"Sí","—",IF(AK224&gt;=AE224,IF(AK224=E224,"AVISO","AVISO (acumulado)"),"Acumulando")))))))</f>
        <v/>
      </c>
    </row>
    <row r="225" customFormat="false" ht="15" hidden="false" customHeight="false" outlineLevel="0" collapsed="false">
      <c r="A225" s="9" t="str">
        <f aca="false">IF(E225="","",ROW()-5)</f>
        <v/>
      </c>
      <c r="B225" s="20"/>
      <c r="C225" s="21"/>
      <c r="D225" s="21"/>
      <c r="E225" s="22"/>
      <c r="F225" s="22"/>
      <c r="G225" s="21"/>
      <c r="H225" s="21"/>
      <c r="I225" s="9" t="str">
        <f aca="false">IF(C225="","",IFERROR(INDEX(CLIENTES!$B$6:$B$305,MATCH(C225,CLIENTES!$A$6:$A$305,0)),"⚠ ID no registrado"))</f>
        <v/>
      </c>
      <c r="J225" s="9" t="str">
        <f aca="false">IF(C225="","",IFERROR(INDEX(CLIENTES!$Z$6:$Z$305,MATCH(C225,CLIENTES!$A$6:$A$305,0)),""))</f>
        <v/>
      </c>
      <c r="K225" s="9" t="str">
        <f aca="false">IF(E225="","",IF(AB225="Siempre","Sí",IF(ISNUMBER(AC225),IF(E225&gt;=AC225,"Sí",IF(AW225&gt;=AC225,"Sí (serie 24 h)","No")),"")))</f>
        <v/>
      </c>
      <c r="L225" s="9" t="str">
        <f aca="false">IF(E225="","",AA225)</f>
        <v/>
      </c>
      <c r="M225" s="9" t="str">
        <f aca="false">IF(E225="","",IF(AA225&lt;&gt;"ACUMULA","No aplica",IF(LEFT(K225,2)="Sí","Sí","No")))</f>
        <v/>
      </c>
      <c r="N225" s="23" t="str">
        <f aca="false">IF(M225="Sí",AJ225,"")</f>
        <v/>
      </c>
      <c r="O225" s="24" t="str">
        <f aca="false">IF(M225="Sí",AK225,"")</f>
        <v/>
      </c>
      <c r="P225" s="25" t="str">
        <f aca="false">IF(AND(LEFT(D225,6)="XIV - ",LEFT(AX225,5)="AVISO"),"Pedimento (R 16): no va al SPPLD",AX225)</f>
        <v/>
      </c>
      <c r="Q225" s="23" t="str">
        <f aca="false">IF(LEFT(P225,5)="AVISO",IF(ISNUMBER(B225),DATE(YEAR(B225),MONTH(B225)+1,17),"Falta fecha"),"")</f>
        <v/>
      </c>
      <c r="R225" s="9" t="str">
        <f aca="false">IF(OR(F225="",F225=0),"",IF(ISNUMBER(AG225),IF(F225&gt;=AG225,"PROHIBIDO","Dentro del límite"),"No aplica"))</f>
        <v/>
      </c>
      <c r="S225" s="26" t="str">
        <f aca="false">IF(E225="","",MID(IF(AQ225=1," · Excede el perfil declarado","")&amp;IF(H225="Sí"," · Paga un tercero","")&amp;IF(J225="Alto"," · Cliente de riesgo alto: DDR (RCG 23 Ter 3 y 4)","")&amp;IF(AND(AS225&lt;&gt;"",AS225&lt;&gt;"No",AS225&lt;&gt;0)," · PEP","")&amp;IF(R225="PROHIBIDO"," · Efectivo prohibido: no lo recibas (Art. 32)","")&amp;IF(AR225=1," · ⚠ Fecha fuera de orden","")&amp;IF(LEFT(I225,1)="⚠"," · ⚠ Cliente no registrado","")&amp;IF(D225=""," · ⚠ Falta la actividad","")&amp;IF(AND(LEFT(P225,5)="AVISO",W225="")," · Captura la cifra total con IVA para el Aviso","")&amp;IF(AND(ISNUMBER(W225),W225&lt;E225)," · ⚠ La cifra con IVA es menor que el monto sin IVA",""),4,400))</f>
        <v/>
      </c>
      <c r="T225" s="21"/>
      <c r="U225" s="20"/>
      <c r="V225" s="9" t="str">
        <f aca="false">IF(LEFT(P225,5)&lt;&gt;"AVISO","",IF(T225="Presentado",IF(AND(ISNUMBER(U225),ISNUMBER(Q225),U225&gt;Q225),"Presentado tarde","Presentado"),IF(NOT(ISNUMBER(Q225)),"Falta fecha",IF(Q225&lt;CONFIG!$B$6,"VENCIDO","Vence en "&amp;(Q225-CONFIG!$B$6)&amp;" días"))))</f>
        <v/>
      </c>
      <c r="W225" s="22"/>
      <c r="X225" s="21"/>
      <c r="AA225" s="0" t="str">
        <f aca="false">IF(AM225="","",INDEX(CATÁLOGO!$D$5:$D$39,AM225))</f>
        <v/>
      </c>
      <c r="AB225" s="0" t="str">
        <f aca="false">IF(AM225="","",INDEX(CATÁLOGO!$E$5:$E$39,AM225))</f>
        <v/>
      </c>
      <c r="AC225" s="0" t="str">
        <f aca="false">IF(AB225="","",IF(ISNUMBER(AB225),AB225*AV225,AB225))</f>
        <v/>
      </c>
      <c r="AD225" s="0" t="str">
        <f aca="false">IF(AM225="","",INDEX(CATÁLOGO!$F$5:$F$39,AM225))</f>
        <v/>
      </c>
      <c r="AE225" s="0" t="str">
        <f aca="false">IF(AD225="","",IF(ISNUMBER(AD225),AD225*AV225,AD225))</f>
        <v/>
      </c>
      <c r="AF225" s="0" t="str">
        <f aca="false">IF(AM225="","",INDEX(CATÁLOGO!$G$5:$G$39,AM225))</f>
        <v/>
      </c>
      <c r="AG225" s="0" t="str">
        <f aca="false">IF(AF225="","",IF(ISNUMBER(AF225),AF225*AV225,AF225))</f>
        <v/>
      </c>
      <c r="AH225" s="0" t="str">
        <f aca="false">IF(E225="","",C225&amp;"|"&amp;D225)</f>
        <v/>
      </c>
      <c r="AI225" s="27" t="n">
        <f aca="false">IF(M225&lt;&gt;"Sí",0,SUMPRODUCT(MAX(($AH$5:AH224=AH225)*($M$5:M224="Sí")*ROW($AH$5:AH224))))</f>
        <v>0</v>
      </c>
      <c r="AJ225" s="0" t="str">
        <f aca="false">IF(M225&lt;&gt;"Sí","",IF(AL225=1,B225,INDEX($AJ:$AJ,AI225)))</f>
        <v/>
      </c>
      <c r="AK225" s="0" t="str">
        <f aca="false">IF(M225&lt;&gt;"Sí","",IF(AL225=1,E225,INDEX($AK:$AK,AI225)+E225))</f>
        <v/>
      </c>
      <c r="AL225" s="0" t="str">
        <f aca="false">IF(M225&lt;&gt;"Sí","",IF(AI225=0,1,IF(INDEX($AN:$AN,AI225)=0,1,IF(B225&gt;=EDATE(INDEX($AJ:$AJ,AI225),6),1,0))))</f>
        <v/>
      </c>
      <c r="AM225" s="0" t="str">
        <f aca="false">IF(D225="","",IFERROR(MATCH(D225,CATÁLOGO!$C$5:$C$39,0),""))</f>
        <v/>
      </c>
      <c r="AN225" s="0" t="str">
        <f aca="false">IF(M225&lt;&gt;"Sí","",IF(AND(ISNUMBER(AE225),AK225&gt;=AE225),0,1))</f>
        <v/>
      </c>
      <c r="AO225" s="0" t="str">
        <f aca="false">IF(OR(E225="",C225="",NOT(ISNUMBER(B225))),"",SUMIFS($E$6:$E$505,$C$6:$C$505,C225,$B$6:$B$505,"&gt;="&amp;DATE(YEAR(B225),MONTH(B225),1),$B$6:$B$505,"&lt;"&amp;DATE(YEAR(B225),MONTH(B225)+1,1)))</f>
        <v/>
      </c>
      <c r="AP225" s="0" t="str">
        <f aca="false">IF(C225="","",IFERROR(INDEX(CLIENTES!$M$6:$M$305,MATCH(C225,CLIENTES!$A$6:$A$305,0)),""))</f>
        <v/>
      </c>
      <c r="AQ225" s="27" t="n">
        <f aca="false">IF(AND(ISNUMBER(AO225),ISNUMBER(AP225)),IF(AND(AP225&gt;0,AO225&gt;AP225),1,0),0)</f>
        <v>0</v>
      </c>
      <c r="AR225" s="27" t="n">
        <f aca="false">IF(NOT(ISNUMBER(B225)),0,IF(B225&lt;MAX($B$5:B224),1,0))</f>
        <v>0</v>
      </c>
      <c r="AS225" s="0" t="str">
        <f aca="false">IF(C225="","",IFERROR(INDEX(CLIENTES!$H$6:$H$305,MATCH(C225,CLIENTES!$A$6:$A$305,0)),""))</f>
        <v/>
      </c>
      <c r="AT225" s="0" t="str">
        <f aca="false">IF(AND(LEFT(P225,5)="AVISO",T225&lt;&gt;"Presentado",ISNUMBER(Q225)),Q225,"")</f>
        <v/>
      </c>
      <c r="AU225" s="27" t="n">
        <f aca="false">IF(AND(D225="XVI - Activos virtuales (PSAV): operación de intercambio/transferencia",M225="Sí",ISNUMBER(AE225)),IF(AK225&gt;=AE225,1,0),0)</f>
        <v>0</v>
      </c>
      <c r="AV225" s="30" t="n">
        <f aca="false">IF(NOT(ISNUMBER(B225)),CONFIG!$B$4,IFERROR(INDEX(CONFIG!$I$5:$I$14,MATCH(IF(MONTH(B225)=1,YEAR(B225)-1,YEAR(B225)),CONFIG!$H$5:$H$14,0)),CONFIG!$B$4))</f>
        <v>117.31</v>
      </c>
      <c r="AW225" s="27" t="n">
        <f aca="false">IF(AND(LEFT(D225,4)="I - ",ISNUMBER(B225),C225&lt;&gt;""),SUMIFS($E$6:$E$505,$C$6:$C$505,C225,$D$6:$D$505,D225,$B$6:$B$505,"&gt;"&amp;(B225-1),$B$6:$B$505,"&lt;="&amp;B225),0)</f>
        <v>0</v>
      </c>
      <c r="AX225" s="0" t="str">
        <f aca="false">IF(E225="","",IF(AD225="Siempre","AVISO (siempre)",IF(AD225="No aplica","Sin Aviso (sólo preparas: Ley 17 XI)",IF(NOT(ISNUMBER(AE225)),"",IF(AA225&lt;&gt;"ACUMULA",IF(E225&gt;=AE225,IF(AND(D225="XVI - Activos virtuales (PSAV): cobro de contraprestación (comisión) por el servicio",COUNTIFS($C$6:$C$505,C225,$B$6:$B$505,"&gt;="&amp;INT(B225),$B$6:$B$505,"&lt;"&amp;(INT(B225)+1),$AU$6:$AU$505,1)&gt;0),"En el Aviso del inciso a) (R 31 Bis)","AVISO"),"—"),IF(M225&lt;&gt;"Sí","—",IF(AK225&gt;=AE225,IF(AK225=E225,"AVISO","AVISO (acumulado)"),"Acumulando")))))))</f>
        <v/>
      </c>
    </row>
    <row r="226" customFormat="false" ht="15" hidden="false" customHeight="false" outlineLevel="0" collapsed="false">
      <c r="A226" s="9" t="str">
        <f aca="false">IF(E226="","",ROW()-5)</f>
        <v/>
      </c>
      <c r="B226" s="20"/>
      <c r="C226" s="21"/>
      <c r="D226" s="21"/>
      <c r="E226" s="22"/>
      <c r="F226" s="22"/>
      <c r="G226" s="21"/>
      <c r="H226" s="21"/>
      <c r="I226" s="9" t="str">
        <f aca="false">IF(C226="","",IFERROR(INDEX(CLIENTES!$B$6:$B$305,MATCH(C226,CLIENTES!$A$6:$A$305,0)),"⚠ ID no registrado"))</f>
        <v/>
      </c>
      <c r="J226" s="9" t="str">
        <f aca="false">IF(C226="","",IFERROR(INDEX(CLIENTES!$Z$6:$Z$305,MATCH(C226,CLIENTES!$A$6:$A$305,0)),""))</f>
        <v/>
      </c>
      <c r="K226" s="9" t="str">
        <f aca="false">IF(E226="","",IF(AB226="Siempre","Sí",IF(ISNUMBER(AC226),IF(E226&gt;=AC226,"Sí",IF(AW226&gt;=AC226,"Sí (serie 24 h)","No")),"")))</f>
        <v/>
      </c>
      <c r="L226" s="9" t="str">
        <f aca="false">IF(E226="","",AA226)</f>
        <v/>
      </c>
      <c r="M226" s="9" t="str">
        <f aca="false">IF(E226="","",IF(AA226&lt;&gt;"ACUMULA","No aplica",IF(LEFT(K226,2)="Sí","Sí","No")))</f>
        <v/>
      </c>
      <c r="N226" s="23" t="str">
        <f aca="false">IF(M226="Sí",AJ226,"")</f>
        <v/>
      </c>
      <c r="O226" s="24" t="str">
        <f aca="false">IF(M226="Sí",AK226,"")</f>
        <v/>
      </c>
      <c r="P226" s="25" t="str">
        <f aca="false">IF(AND(LEFT(D226,6)="XIV - ",LEFT(AX226,5)="AVISO"),"Pedimento (R 16): no va al SPPLD",AX226)</f>
        <v/>
      </c>
      <c r="Q226" s="23" t="str">
        <f aca="false">IF(LEFT(P226,5)="AVISO",IF(ISNUMBER(B226),DATE(YEAR(B226),MONTH(B226)+1,17),"Falta fecha"),"")</f>
        <v/>
      </c>
      <c r="R226" s="9" t="str">
        <f aca="false">IF(OR(F226="",F226=0),"",IF(ISNUMBER(AG226),IF(F226&gt;=AG226,"PROHIBIDO","Dentro del límite"),"No aplica"))</f>
        <v/>
      </c>
      <c r="S226" s="26" t="str">
        <f aca="false">IF(E226="","",MID(IF(AQ226=1," · Excede el perfil declarado","")&amp;IF(H226="Sí"," · Paga un tercero","")&amp;IF(J226="Alto"," · Cliente de riesgo alto: DDR (RCG 23 Ter 3 y 4)","")&amp;IF(AND(AS226&lt;&gt;"",AS226&lt;&gt;"No",AS226&lt;&gt;0)," · PEP","")&amp;IF(R226="PROHIBIDO"," · Efectivo prohibido: no lo recibas (Art. 32)","")&amp;IF(AR226=1," · ⚠ Fecha fuera de orden","")&amp;IF(LEFT(I226,1)="⚠"," · ⚠ Cliente no registrado","")&amp;IF(D226=""," · ⚠ Falta la actividad","")&amp;IF(AND(LEFT(P226,5)="AVISO",W226="")," · Captura la cifra total con IVA para el Aviso","")&amp;IF(AND(ISNUMBER(W226),W226&lt;E226)," · ⚠ La cifra con IVA es menor que el monto sin IVA",""),4,400))</f>
        <v/>
      </c>
      <c r="T226" s="21"/>
      <c r="U226" s="20"/>
      <c r="V226" s="9" t="str">
        <f aca="false">IF(LEFT(P226,5)&lt;&gt;"AVISO","",IF(T226="Presentado",IF(AND(ISNUMBER(U226),ISNUMBER(Q226),U226&gt;Q226),"Presentado tarde","Presentado"),IF(NOT(ISNUMBER(Q226)),"Falta fecha",IF(Q226&lt;CONFIG!$B$6,"VENCIDO","Vence en "&amp;(Q226-CONFIG!$B$6)&amp;" días"))))</f>
        <v/>
      </c>
      <c r="W226" s="22"/>
      <c r="X226" s="21"/>
      <c r="AA226" s="0" t="str">
        <f aca="false">IF(AM226="","",INDEX(CATÁLOGO!$D$5:$D$39,AM226))</f>
        <v/>
      </c>
      <c r="AB226" s="0" t="str">
        <f aca="false">IF(AM226="","",INDEX(CATÁLOGO!$E$5:$E$39,AM226))</f>
        <v/>
      </c>
      <c r="AC226" s="0" t="str">
        <f aca="false">IF(AB226="","",IF(ISNUMBER(AB226),AB226*AV226,AB226))</f>
        <v/>
      </c>
      <c r="AD226" s="0" t="str">
        <f aca="false">IF(AM226="","",INDEX(CATÁLOGO!$F$5:$F$39,AM226))</f>
        <v/>
      </c>
      <c r="AE226" s="0" t="str">
        <f aca="false">IF(AD226="","",IF(ISNUMBER(AD226),AD226*AV226,AD226))</f>
        <v/>
      </c>
      <c r="AF226" s="0" t="str">
        <f aca="false">IF(AM226="","",INDEX(CATÁLOGO!$G$5:$G$39,AM226))</f>
        <v/>
      </c>
      <c r="AG226" s="0" t="str">
        <f aca="false">IF(AF226="","",IF(ISNUMBER(AF226),AF226*AV226,AF226))</f>
        <v/>
      </c>
      <c r="AH226" s="0" t="str">
        <f aca="false">IF(E226="","",C226&amp;"|"&amp;D226)</f>
        <v/>
      </c>
      <c r="AI226" s="27" t="n">
        <f aca="false">IF(M226&lt;&gt;"Sí",0,SUMPRODUCT(MAX(($AH$5:AH225=AH226)*($M$5:M225="Sí")*ROW($AH$5:AH225))))</f>
        <v>0</v>
      </c>
      <c r="AJ226" s="0" t="str">
        <f aca="false">IF(M226&lt;&gt;"Sí","",IF(AL226=1,B226,INDEX($AJ:$AJ,AI226)))</f>
        <v/>
      </c>
      <c r="AK226" s="0" t="str">
        <f aca="false">IF(M226&lt;&gt;"Sí","",IF(AL226=1,E226,INDEX($AK:$AK,AI226)+E226))</f>
        <v/>
      </c>
      <c r="AL226" s="0" t="str">
        <f aca="false">IF(M226&lt;&gt;"Sí","",IF(AI226=0,1,IF(INDEX($AN:$AN,AI226)=0,1,IF(B226&gt;=EDATE(INDEX($AJ:$AJ,AI226),6),1,0))))</f>
        <v/>
      </c>
      <c r="AM226" s="0" t="str">
        <f aca="false">IF(D226="","",IFERROR(MATCH(D226,CATÁLOGO!$C$5:$C$39,0),""))</f>
        <v/>
      </c>
      <c r="AN226" s="0" t="str">
        <f aca="false">IF(M226&lt;&gt;"Sí","",IF(AND(ISNUMBER(AE226),AK226&gt;=AE226),0,1))</f>
        <v/>
      </c>
      <c r="AO226" s="0" t="str">
        <f aca="false">IF(OR(E226="",C226="",NOT(ISNUMBER(B226))),"",SUMIFS($E$6:$E$505,$C$6:$C$505,C226,$B$6:$B$505,"&gt;="&amp;DATE(YEAR(B226),MONTH(B226),1),$B$6:$B$505,"&lt;"&amp;DATE(YEAR(B226),MONTH(B226)+1,1)))</f>
        <v/>
      </c>
      <c r="AP226" s="0" t="str">
        <f aca="false">IF(C226="","",IFERROR(INDEX(CLIENTES!$M$6:$M$305,MATCH(C226,CLIENTES!$A$6:$A$305,0)),""))</f>
        <v/>
      </c>
      <c r="AQ226" s="27" t="n">
        <f aca="false">IF(AND(ISNUMBER(AO226),ISNUMBER(AP226)),IF(AND(AP226&gt;0,AO226&gt;AP226),1,0),0)</f>
        <v>0</v>
      </c>
      <c r="AR226" s="27" t="n">
        <f aca="false">IF(NOT(ISNUMBER(B226)),0,IF(B226&lt;MAX($B$5:B225),1,0))</f>
        <v>0</v>
      </c>
      <c r="AS226" s="0" t="str">
        <f aca="false">IF(C226="","",IFERROR(INDEX(CLIENTES!$H$6:$H$305,MATCH(C226,CLIENTES!$A$6:$A$305,0)),""))</f>
        <v/>
      </c>
      <c r="AT226" s="0" t="str">
        <f aca="false">IF(AND(LEFT(P226,5)="AVISO",T226&lt;&gt;"Presentado",ISNUMBER(Q226)),Q226,"")</f>
        <v/>
      </c>
      <c r="AU226" s="27" t="n">
        <f aca="false">IF(AND(D226="XVI - Activos virtuales (PSAV): operación de intercambio/transferencia",M226="Sí",ISNUMBER(AE226)),IF(AK226&gt;=AE226,1,0),0)</f>
        <v>0</v>
      </c>
      <c r="AV226" s="30" t="n">
        <f aca="false">IF(NOT(ISNUMBER(B226)),CONFIG!$B$4,IFERROR(INDEX(CONFIG!$I$5:$I$14,MATCH(IF(MONTH(B226)=1,YEAR(B226)-1,YEAR(B226)),CONFIG!$H$5:$H$14,0)),CONFIG!$B$4))</f>
        <v>117.31</v>
      </c>
      <c r="AW226" s="27" t="n">
        <f aca="false">IF(AND(LEFT(D226,4)="I - ",ISNUMBER(B226),C226&lt;&gt;""),SUMIFS($E$6:$E$505,$C$6:$C$505,C226,$D$6:$D$505,D226,$B$6:$B$505,"&gt;"&amp;(B226-1),$B$6:$B$505,"&lt;="&amp;B226),0)</f>
        <v>0</v>
      </c>
      <c r="AX226" s="0" t="str">
        <f aca="false">IF(E226="","",IF(AD226="Siempre","AVISO (siempre)",IF(AD226="No aplica","Sin Aviso (sólo preparas: Ley 17 XI)",IF(NOT(ISNUMBER(AE226)),"",IF(AA226&lt;&gt;"ACUMULA",IF(E226&gt;=AE226,IF(AND(D226="XVI - Activos virtuales (PSAV): cobro de contraprestación (comisión) por el servicio",COUNTIFS($C$6:$C$505,C226,$B$6:$B$505,"&gt;="&amp;INT(B226),$B$6:$B$505,"&lt;"&amp;(INT(B226)+1),$AU$6:$AU$505,1)&gt;0),"En el Aviso del inciso a) (R 31 Bis)","AVISO"),"—"),IF(M226&lt;&gt;"Sí","—",IF(AK226&gt;=AE226,IF(AK226=E226,"AVISO","AVISO (acumulado)"),"Acumulando")))))))</f>
        <v/>
      </c>
    </row>
    <row r="227" customFormat="false" ht="15" hidden="false" customHeight="false" outlineLevel="0" collapsed="false">
      <c r="A227" s="9" t="str">
        <f aca="false">IF(E227="","",ROW()-5)</f>
        <v/>
      </c>
      <c r="B227" s="20"/>
      <c r="C227" s="21"/>
      <c r="D227" s="21"/>
      <c r="E227" s="22"/>
      <c r="F227" s="22"/>
      <c r="G227" s="21"/>
      <c r="H227" s="21"/>
      <c r="I227" s="9" t="str">
        <f aca="false">IF(C227="","",IFERROR(INDEX(CLIENTES!$B$6:$B$305,MATCH(C227,CLIENTES!$A$6:$A$305,0)),"⚠ ID no registrado"))</f>
        <v/>
      </c>
      <c r="J227" s="9" t="str">
        <f aca="false">IF(C227="","",IFERROR(INDEX(CLIENTES!$Z$6:$Z$305,MATCH(C227,CLIENTES!$A$6:$A$305,0)),""))</f>
        <v/>
      </c>
      <c r="K227" s="9" t="str">
        <f aca="false">IF(E227="","",IF(AB227="Siempre","Sí",IF(ISNUMBER(AC227),IF(E227&gt;=AC227,"Sí",IF(AW227&gt;=AC227,"Sí (serie 24 h)","No")),"")))</f>
        <v/>
      </c>
      <c r="L227" s="9" t="str">
        <f aca="false">IF(E227="","",AA227)</f>
        <v/>
      </c>
      <c r="M227" s="9" t="str">
        <f aca="false">IF(E227="","",IF(AA227&lt;&gt;"ACUMULA","No aplica",IF(LEFT(K227,2)="Sí","Sí","No")))</f>
        <v/>
      </c>
      <c r="N227" s="23" t="str">
        <f aca="false">IF(M227="Sí",AJ227,"")</f>
        <v/>
      </c>
      <c r="O227" s="24" t="str">
        <f aca="false">IF(M227="Sí",AK227,"")</f>
        <v/>
      </c>
      <c r="P227" s="25" t="str">
        <f aca="false">IF(AND(LEFT(D227,6)="XIV - ",LEFT(AX227,5)="AVISO"),"Pedimento (R 16): no va al SPPLD",AX227)</f>
        <v/>
      </c>
      <c r="Q227" s="23" t="str">
        <f aca="false">IF(LEFT(P227,5)="AVISO",IF(ISNUMBER(B227),DATE(YEAR(B227),MONTH(B227)+1,17),"Falta fecha"),"")</f>
        <v/>
      </c>
      <c r="R227" s="9" t="str">
        <f aca="false">IF(OR(F227="",F227=0),"",IF(ISNUMBER(AG227),IF(F227&gt;=AG227,"PROHIBIDO","Dentro del límite"),"No aplica"))</f>
        <v/>
      </c>
      <c r="S227" s="26" t="str">
        <f aca="false">IF(E227="","",MID(IF(AQ227=1," · Excede el perfil declarado","")&amp;IF(H227="Sí"," · Paga un tercero","")&amp;IF(J227="Alto"," · Cliente de riesgo alto: DDR (RCG 23 Ter 3 y 4)","")&amp;IF(AND(AS227&lt;&gt;"",AS227&lt;&gt;"No",AS227&lt;&gt;0)," · PEP","")&amp;IF(R227="PROHIBIDO"," · Efectivo prohibido: no lo recibas (Art. 32)","")&amp;IF(AR227=1," · ⚠ Fecha fuera de orden","")&amp;IF(LEFT(I227,1)="⚠"," · ⚠ Cliente no registrado","")&amp;IF(D227=""," · ⚠ Falta la actividad","")&amp;IF(AND(LEFT(P227,5)="AVISO",W227="")," · Captura la cifra total con IVA para el Aviso","")&amp;IF(AND(ISNUMBER(W227),W227&lt;E227)," · ⚠ La cifra con IVA es menor que el monto sin IVA",""),4,400))</f>
        <v/>
      </c>
      <c r="T227" s="21"/>
      <c r="U227" s="20"/>
      <c r="V227" s="9" t="str">
        <f aca="false">IF(LEFT(P227,5)&lt;&gt;"AVISO","",IF(T227="Presentado",IF(AND(ISNUMBER(U227),ISNUMBER(Q227),U227&gt;Q227),"Presentado tarde","Presentado"),IF(NOT(ISNUMBER(Q227)),"Falta fecha",IF(Q227&lt;CONFIG!$B$6,"VENCIDO","Vence en "&amp;(Q227-CONFIG!$B$6)&amp;" días"))))</f>
        <v/>
      </c>
      <c r="W227" s="22"/>
      <c r="X227" s="21"/>
      <c r="AA227" s="0" t="str">
        <f aca="false">IF(AM227="","",INDEX(CATÁLOGO!$D$5:$D$39,AM227))</f>
        <v/>
      </c>
      <c r="AB227" s="0" t="str">
        <f aca="false">IF(AM227="","",INDEX(CATÁLOGO!$E$5:$E$39,AM227))</f>
        <v/>
      </c>
      <c r="AC227" s="0" t="str">
        <f aca="false">IF(AB227="","",IF(ISNUMBER(AB227),AB227*AV227,AB227))</f>
        <v/>
      </c>
      <c r="AD227" s="0" t="str">
        <f aca="false">IF(AM227="","",INDEX(CATÁLOGO!$F$5:$F$39,AM227))</f>
        <v/>
      </c>
      <c r="AE227" s="0" t="str">
        <f aca="false">IF(AD227="","",IF(ISNUMBER(AD227),AD227*AV227,AD227))</f>
        <v/>
      </c>
      <c r="AF227" s="0" t="str">
        <f aca="false">IF(AM227="","",INDEX(CATÁLOGO!$G$5:$G$39,AM227))</f>
        <v/>
      </c>
      <c r="AG227" s="0" t="str">
        <f aca="false">IF(AF227="","",IF(ISNUMBER(AF227),AF227*AV227,AF227))</f>
        <v/>
      </c>
      <c r="AH227" s="0" t="str">
        <f aca="false">IF(E227="","",C227&amp;"|"&amp;D227)</f>
        <v/>
      </c>
      <c r="AI227" s="27" t="n">
        <f aca="false">IF(M227&lt;&gt;"Sí",0,SUMPRODUCT(MAX(($AH$5:AH226=AH227)*($M$5:M226="Sí")*ROW($AH$5:AH226))))</f>
        <v>0</v>
      </c>
      <c r="AJ227" s="0" t="str">
        <f aca="false">IF(M227&lt;&gt;"Sí","",IF(AL227=1,B227,INDEX($AJ:$AJ,AI227)))</f>
        <v/>
      </c>
      <c r="AK227" s="0" t="str">
        <f aca="false">IF(M227&lt;&gt;"Sí","",IF(AL227=1,E227,INDEX($AK:$AK,AI227)+E227))</f>
        <v/>
      </c>
      <c r="AL227" s="0" t="str">
        <f aca="false">IF(M227&lt;&gt;"Sí","",IF(AI227=0,1,IF(INDEX($AN:$AN,AI227)=0,1,IF(B227&gt;=EDATE(INDEX($AJ:$AJ,AI227),6),1,0))))</f>
        <v/>
      </c>
      <c r="AM227" s="0" t="str">
        <f aca="false">IF(D227="","",IFERROR(MATCH(D227,CATÁLOGO!$C$5:$C$39,0),""))</f>
        <v/>
      </c>
      <c r="AN227" s="0" t="str">
        <f aca="false">IF(M227&lt;&gt;"Sí","",IF(AND(ISNUMBER(AE227),AK227&gt;=AE227),0,1))</f>
        <v/>
      </c>
      <c r="AO227" s="0" t="str">
        <f aca="false">IF(OR(E227="",C227="",NOT(ISNUMBER(B227))),"",SUMIFS($E$6:$E$505,$C$6:$C$505,C227,$B$6:$B$505,"&gt;="&amp;DATE(YEAR(B227),MONTH(B227),1),$B$6:$B$505,"&lt;"&amp;DATE(YEAR(B227),MONTH(B227)+1,1)))</f>
        <v/>
      </c>
      <c r="AP227" s="0" t="str">
        <f aca="false">IF(C227="","",IFERROR(INDEX(CLIENTES!$M$6:$M$305,MATCH(C227,CLIENTES!$A$6:$A$305,0)),""))</f>
        <v/>
      </c>
      <c r="AQ227" s="27" t="n">
        <f aca="false">IF(AND(ISNUMBER(AO227),ISNUMBER(AP227)),IF(AND(AP227&gt;0,AO227&gt;AP227),1,0),0)</f>
        <v>0</v>
      </c>
      <c r="AR227" s="27" t="n">
        <f aca="false">IF(NOT(ISNUMBER(B227)),0,IF(B227&lt;MAX($B$5:B226),1,0))</f>
        <v>0</v>
      </c>
      <c r="AS227" s="0" t="str">
        <f aca="false">IF(C227="","",IFERROR(INDEX(CLIENTES!$H$6:$H$305,MATCH(C227,CLIENTES!$A$6:$A$305,0)),""))</f>
        <v/>
      </c>
      <c r="AT227" s="0" t="str">
        <f aca="false">IF(AND(LEFT(P227,5)="AVISO",T227&lt;&gt;"Presentado",ISNUMBER(Q227)),Q227,"")</f>
        <v/>
      </c>
      <c r="AU227" s="27" t="n">
        <f aca="false">IF(AND(D227="XVI - Activos virtuales (PSAV): operación de intercambio/transferencia",M227="Sí",ISNUMBER(AE227)),IF(AK227&gt;=AE227,1,0),0)</f>
        <v>0</v>
      </c>
      <c r="AV227" s="30" t="n">
        <f aca="false">IF(NOT(ISNUMBER(B227)),CONFIG!$B$4,IFERROR(INDEX(CONFIG!$I$5:$I$14,MATCH(IF(MONTH(B227)=1,YEAR(B227)-1,YEAR(B227)),CONFIG!$H$5:$H$14,0)),CONFIG!$B$4))</f>
        <v>117.31</v>
      </c>
      <c r="AW227" s="27" t="n">
        <f aca="false">IF(AND(LEFT(D227,4)="I - ",ISNUMBER(B227),C227&lt;&gt;""),SUMIFS($E$6:$E$505,$C$6:$C$505,C227,$D$6:$D$505,D227,$B$6:$B$505,"&gt;"&amp;(B227-1),$B$6:$B$505,"&lt;="&amp;B227),0)</f>
        <v>0</v>
      </c>
      <c r="AX227" s="0" t="str">
        <f aca="false">IF(E227="","",IF(AD227="Siempre","AVISO (siempre)",IF(AD227="No aplica","Sin Aviso (sólo preparas: Ley 17 XI)",IF(NOT(ISNUMBER(AE227)),"",IF(AA227&lt;&gt;"ACUMULA",IF(E227&gt;=AE227,IF(AND(D227="XVI - Activos virtuales (PSAV): cobro de contraprestación (comisión) por el servicio",COUNTIFS($C$6:$C$505,C227,$B$6:$B$505,"&gt;="&amp;INT(B227),$B$6:$B$505,"&lt;"&amp;(INT(B227)+1),$AU$6:$AU$505,1)&gt;0),"En el Aviso del inciso a) (R 31 Bis)","AVISO"),"—"),IF(M227&lt;&gt;"Sí","—",IF(AK227&gt;=AE227,IF(AK227=E227,"AVISO","AVISO (acumulado)"),"Acumulando")))))))</f>
        <v/>
      </c>
    </row>
    <row r="228" customFormat="false" ht="15" hidden="false" customHeight="false" outlineLevel="0" collapsed="false">
      <c r="A228" s="9" t="str">
        <f aca="false">IF(E228="","",ROW()-5)</f>
        <v/>
      </c>
      <c r="B228" s="20"/>
      <c r="C228" s="21"/>
      <c r="D228" s="21"/>
      <c r="E228" s="22"/>
      <c r="F228" s="22"/>
      <c r="G228" s="21"/>
      <c r="H228" s="21"/>
      <c r="I228" s="9" t="str">
        <f aca="false">IF(C228="","",IFERROR(INDEX(CLIENTES!$B$6:$B$305,MATCH(C228,CLIENTES!$A$6:$A$305,0)),"⚠ ID no registrado"))</f>
        <v/>
      </c>
      <c r="J228" s="9" t="str">
        <f aca="false">IF(C228="","",IFERROR(INDEX(CLIENTES!$Z$6:$Z$305,MATCH(C228,CLIENTES!$A$6:$A$305,0)),""))</f>
        <v/>
      </c>
      <c r="K228" s="9" t="str">
        <f aca="false">IF(E228="","",IF(AB228="Siempre","Sí",IF(ISNUMBER(AC228),IF(E228&gt;=AC228,"Sí",IF(AW228&gt;=AC228,"Sí (serie 24 h)","No")),"")))</f>
        <v/>
      </c>
      <c r="L228" s="9" t="str">
        <f aca="false">IF(E228="","",AA228)</f>
        <v/>
      </c>
      <c r="M228" s="9" t="str">
        <f aca="false">IF(E228="","",IF(AA228&lt;&gt;"ACUMULA","No aplica",IF(LEFT(K228,2)="Sí","Sí","No")))</f>
        <v/>
      </c>
      <c r="N228" s="23" t="str">
        <f aca="false">IF(M228="Sí",AJ228,"")</f>
        <v/>
      </c>
      <c r="O228" s="24" t="str">
        <f aca="false">IF(M228="Sí",AK228,"")</f>
        <v/>
      </c>
      <c r="P228" s="25" t="str">
        <f aca="false">IF(AND(LEFT(D228,6)="XIV - ",LEFT(AX228,5)="AVISO"),"Pedimento (R 16): no va al SPPLD",AX228)</f>
        <v/>
      </c>
      <c r="Q228" s="23" t="str">
        <f aca="false">IF(LEFT(P228,5)="AVISO",IF(ISNUMBER(B228),DATE(YEAR(B228),MONTH(B228)+1,17),"Falta fecha"),"")</f>
        <v/>
      </c>
      <c r="R228" s="9" t="str">
        <f aca="false">IF(OR(F228="",F228=0),"",IF(ISNUMBER(AG228),IF(F228&gt;=AG228,"PROHIBIDO","Dentro del límite"),"No aplica"))</f>
        <v/>
      </c>
      <c r="S228" s="26" t="str">
        <f aca="false">IF(E228="","",MID(IF(AQ228=1," · Excede el perfil declarado","")&amp;IF(H228="Sí"," · Paga un tercero","")&amp;IF(J228="Alto"," · Cliente de riesgo alto: DDR (RCG 23 Ter 3 y 4)","")&amp;IF(AND(AS228&lt;&gt;"",AS228&lt;&gt;"No",AS228&lt;&gt;0)," · PEP","")&amp;IF(R228="PROHIBIDO"," · Efectivo prohibido: no lo recibas (Art. 32)","")&amp;IF(AR228=1," · ⚠ Fecha fuera de orden","")&amp;IF(LEFT(I228,1)="⚠"," · ⚠ Cliente no registrado","")&amp;IF(D228=""," · ⚠ Falta la actividad","")&amp;IF(AND(LEFT(P228,5)="AVISO",W228="")," · Captura la cifra total con IVA para el Aviso","")&amp;IF(AND(ISNUMBER(W228),W228&lt;E228)," · ⚠ La cifra con IVA es menor que el monto sin IVA",""),4,400))</f>
        <v/>
      </c>
      <c r="T228" s="21"/>
      <c r="U228" s="20"/>
      <c r="V228" s="9" t="str">
        <f aca="false">IF(LEFT(P228,5)&lt;&gt;"AVISO","",IF(T228="Presentado",IF(AND(ISNUMBER(U228),ISNUMBER(Q228),U228&gt;Q228),"Presentado tarde","Presentado"),IF(NOT(ISNUMBER(Q228)),"Falta fecha",IF(Q228&lt;CONFIG!$B$6,"VENCIDO","Vence en "&amp;(Q228-CONFIG!$B$6)&amp;" días"))))</f>
        <v/>
      </c>
      <c r="W228" s="22"/>
      <c r="X228" s="21"/>
      <c r="AA228" s="0" t="str">
        <f aca="false">IF(AM228="","",INDEX(CATÁLOGO!$D$5:$D$39,AM228))</f>
        <v/>
      </c>
      <c r="AB228" s="0" t="str">
        <f aca="false">IF(AM228="","",INDEX(CATÁLOGO!$E$5:$E$39,AM228))</f>
        <v/>
      </c>
      <c r="AC228" s="0" t="str">
        <f aca="false">IF(AB228="","",IF(ISNUMBER(AB228),AB228*AV228,AB228))</f>
        <v/>
      </c>
      <c r="AD228" s="0" t="str">
        <f aca="false">IF(AM228="","",INDEX(CATÁLOGO!$F$5:$F$39,AM228))</f>
        <v/>
      </c>
      <c r="AE228" s="0" t="str">
        <f aca="false">IF(AD228="","",IF(ISNUMBER(AD228),AD228*AV228,AD228))</f>
        <v/>
      </c>
      <c r="AF228" s="0" t="str">
        <f aca="false">IF(AM228="","",INDEX(CATÁLOGO!$G$5:$G$39,AM228))</f>
        <v/>
      </c>
      <c r="AG228" s="0" t="str">
        <f aca="false">IF(AF228="","",IF(ISNUMBER(AF228),AF228*AV228,AF228))</f>
        <v/>
      </c>
      <c r="AH228" s="0" t="str">
        <f aca="false">IF(E228="","",C228&amp;"|"&amp;D228)</f>
        <v/>
      </c>
      <c r="AI228" s="27" t="n">
        <f aca="false">IF(M228&lt;&gt;"Sí",0,SUMPRODUCT(MAX(($AH$5:AH227=AH228)*($M$5:M227="Sí")*ROW($AH$5:AH227))))</f>
        <v>0</v>
      </c>
      <c r="AJ228" s="0" t="str">
        <f aca="false">IF(M228&lt;&gt;"Sí","",IF(AL228=1,B228,INDEX($AJ:$AJ,AI228)))</f>
        <v/>
      </c>
      <c r="AK228" s="0" t="str">
        <f aca="false">IF(M228&lt;&gt;"Sí","",IF(AL228=1,E228,INDEX($AK:$AK,AI228)+E228))</f>
        <v/>
      </c>
      <c r="AL228" s="0" t="str">
        <f aca="false">IF(M228&lt;&gt;"Sí","",IF(AI228=0,1,IF(INDEX($AN:$AN,AI228)=0,1,IF(B228&gt;=EDATE(INDEX($AJ:$AJ,AI228),6),1,0))))</f>
        <v/>
      </c>
      <c r="AM228" s="0" t="str">
        <f aca="false">IF(D228="","",IFERROR(MATCH(D228,CATÁLOGO!$C$5:$C$39,0),""))</f>
        <v/>
      </c>
      <c r="AN228" s="0" t="str">
        <f aca="false">IF(M228&lt;&gt;"Sí","",IF(AND(ISNUMBER(AE228),AK228&gt;=AE228),0,1))</f>
        <v/>
      </c>
      <c r="AO228" s="0" t="str">
        <f aca="false">IF(OR(E228="",C228="",NOT(ISNUMBER(B228))),"",SUMIFS($E$6:$E$505,$C$6:$C$505,C228,$B$6:$B$505,"&gt;="&amp;DATE(YEAR(B228),MONTH(B228),1),$B$6:$B$505,"&lt;"&amp;DATE(YEAR(B228),MONTH(B228)+1,1)))</f>
        <v/>
      </c>
      <c r="AP228" s="0" t="str">
        <f aca="false">IF(C228="","",IFERROR(INDEX(CLIENTES!$M$6:$M$305,MATCH(C228,CLIENTES!$A$6:$A$305,0)),""))</f>
        <v/>
      </c>
      <c r="AQ228" s="27" t="n">
        <f aca="false">IF(AND(ISNUMBER(AO228),ISNUMBER(AP228)),IF(AND(AP228&gt;0,AO228&gt;AP228),1,0),0)</f>
        <v>0</v>
      </c>
      <c r="AR228" s="27" t="n">
        <f aca="false">IF(NOT(ISNUMBER(B228)),0,IF(B228&lt;MAX($B$5:B227),1,0))</f>
        <v>0</v>
      </c>
      <c r="AS228" s="0" t="str">
        <f aca="false">IF(C228="","",IFERROR(INDEX(CLIENTES!$H$6:$H$305,MATCH(C228,CLIENTES!$A$6:$A$305,0)),""))</f>
        <v/>
      </c>
      <c r="AT228" s="0" t="str">
        <f aca="false">IF(AND(LEFT(P228,5)="AVISO",T228&lt;&gt;"Presentado",ISNUMBER(Q228)),Q228,"")</f>
        <v/>
      </c>
      <c r="AU228" s="27" t="n">
        <f aca="false">IF(AND(D228="XVI - Activos virtuales (PSAV): operación de intercambio/transferencia",M228="Sí",ISNUMBER(AE228)),IF(AK228&gt;=AE228,1,0),0)</f>
        <v>0</v>
      </c>
      <c r="AV228" s="30" t="n">
        <f aca="false">IF(NOT(ISNUMBER(B228)),CONFIG!$B$4,IFERROR(INDEX(CONFIG!$I$5:$I$14,MATCH(IF(MONTH(B228)=1,YEAR(B228)-1,YEAR(B228)),CONFIG!$H$5:$H$14,0)),CONFIG!$B$4))</f>
        <v>117.31</v>
      </c>
      <c r="AW228" s="27" t="n">
        <f aca="false">IF(AND(LEFT(D228,4)="I - ",ISNUMBER(B228),C228&lt;&gt;""),SUMIFS($E$6:$E$505,$C$6:$C$505,C228,$D$6:$D$505,D228,$B$6:$B$505,"&gt;"&amp;(B228-1),$B$6:$B$505,"&lt;="&amp;B228),0)</f>
        <v>0</v>
      </c>
      <c r="AX228" s="0" t="str">
        <f aca="false">IF(E228="","",IF(AD228="Siempre","AVISO (siempre)",IF(AD228="No aplica","Sin Aviso (sólo preparas: Ley 17 XI)",IF(NOT(ISNUMBER(AE228)),"",IF(AA228&lt;&gt;"ACUMULA",IF(E228&gt;=AE228,IF(AND(D228="XVI - Activos virtuales (PSAV): cobro de contraprestación (comisión) por el servicio",COUNTIFS($C$6:$C$505,C228,$B$6:$B$505,"&gt;="&amp;INT(B228),$B$6:$B$505,"&lt;"&amp;(INT(B228)+1),$AU$6:$AU$505,1)&gt;0),"En el Aviso del inciso a) (R 31 Bis)","AVISO"),"—"),IF(M228&lt;&gt;"Sí","—",IF(AK228&gt;=AE228,IF(AK228=E228,"AVISO","AVISO (acumulado)"),"Acumulando")))))))</f>
        <v/>
      </c>
    </row>
    <row r="229" customFormat="false" ht="15" hidden="false" customHeight="false" outlineLevel="0" collapsed="false">
      <c r="A229" s="9" t="str">
        <f aca="false">IF(E229="","",ROW()-5)</f>
        <v/>
      </c>
      <c r="B229" s="20"/>
      <c r="C229" s="21"/>
      <c r="D229" s="21"/>
      <c r="E229" s="22"/>
      <c r="F229" s="22"/>
      <c r="G229" s="21"/>
      <c r="H229" s="21"/>
      <c r="I229" s="9" t="str">
        <f aca="false">IF(C229="","",IFERROR(INDEX(CLIENTES!$B$6:$B$305,MATCH(C229,CLIENTES!$A$6:$A$305,0)),"⚠ ID no registrado"))</f>
        <v/>
      </c>
      <c r="J229" s="9" t="str">
        <f aca="false">IF(C229="","",IFERROR(INDEX(CLIENTES!$Z$6:$Z$305,MATCH(C229,CLIENTES!$A$6:$A$305,0)),""))</f>
        <v/>
      </c>
      <c r="K229" s="9" t="str">
        <f aca="false">IF(E229="","",IF(AB229="Siempre","Sí",IF(ISNUMBER(AC229),IF(E229&gt;=AC229,"Sí",IF(AW229&gt;=AC229,"Sí (serie 24 h)","No")),"")))</f>
        <v/>
      </c>
      <c r="L229" s="9" t="str">
        <f aca="false">IF(E229="","",AA229)</f>
        <v/>
      </c>
      <c r="M229" s="9" t="str">
        <f aca="false">IF(E229="","",IF(AA229&lt;&gt;"ACUMULA","No aplica",IF(LEFT(K229,2)="Sí","Sí","No")))</f>
        <v/>
      </c>
      <c r="N229" s="23" t="str">
        <f aca="false">IF(M229="Sí",AJ229,"")</f>
        <v/>
      </c>
      <c r="O229" s="24" t="str">
        <f aca="false">IF(M229="Sí",AK229,"")</f>
        <v/>
      </c>
      <c r="P229" s="25" t="str">
        <f aca="false">IF(AND(LEFT(D229,6)="XIV - ",LEFT(AX229,5)="AVISO"),"Pedimento (R 16): no va al SPPLD",AX229)</f>
        <v/>
      </c>
      <c r="Q229" s="23" t="str">
        <f aca="false">IF(LEFT(P229,5)="AVISO",IF(ISNUMBER(B229),DATE(YEAR(B229),MONTH(B229)+1,17),"Falta fecha"),"")</f>
        <v/>
      </c>
      <c r="R229" s="9" t="str">
        <f aca="false">IF(OR(F229="",F229=0),"",IF(ISNUMBER(AG229),IF(F229&gt;=AG229,"PROHIBIDO","Dentro del límite"),"No aplica"))</f>
        <v/>
      </c>
      <c r="S229" s="26" t="str">
        <f aca="false">IF(E229="","",MID(IF(AQ229=1," · Excede el perfil declarado","")&amp;IF(H229="Sí"," · Paga un tercero","")&amp;IF(J229="Alto"," · Cliente de riesgo alto: DDR (RCG 23 Ter 3 y 4)","")&amp;IF(AND(AS229&lt;&gt;"",AS229&lt;&gt;"No",AS229&lt;&gt;0)," · PEP","")&amp;IF(R229="PROHIBIDO"," · Efectivo prohibido: no lo recibas (Art. 32)","")&amp;IF(AR229=1," · ⚠ Fecha fuera de orden","")&amp;IF(LEFT(I229,1)="⚠"," · ⚠ Cliente no registrado","")&amp;IF(D229=""," · ⚠ Falta la actividad","")&amp;IF(AND(LEFT(P229,5)="AVISO",W229="")," · Captura la cifra total con IVA para el Aviso","")&amp;IF(AND(ISNUMBER(W229),W229&lt;E229)," · ⚠ La cifra con IVA es menor que el monto sin IVA",""),4,400))</f>
        <v/>
      </c>
      <c r="T229" s="21"/>
      <c r="U229" s="20"/>
      <c r="V229" s="9" t="str">
        <f aca="false">IF(LEFT(P229,5)&lt;&gt;"AVISO","",IF(T229="Presentado",IF(AND(ISNUMBER(U229),ISNUMBER(Q229),U229&gt;Q229),"Presentado tarde","Presentado"),IF(NOT(ISNUMBER(Q229)),"Falta fecha",IF(Q229&lt;CONFIG!$B$6,"VENCIDO","Vence en "&amp;(Q229-CONFIG!$B$6)&amp;" días"))))</f>
        <v/>
      </c>
      <c r="W229" s="22"/>
      <c r="X229" s="21"/>
      <c r="AA229" s="0" t="str">
        <f aca="false">IF(AM229="","",INDEX(CATÁLOGO!$D$5:$D$39,AM229))</f>
        <v/>
      </c>
      <c r="AB229" s="0" t="str">
        <f aca="false">IF(AM229="","",INDEX(CATÁLOGO!$E$5:$E$39,AM229))</f>
        <v/>
      </c>
      <c r="AC229" s="0" t="str">
        <f aca="false">IF(AB229="","",IF(ISNUMBER(AB229),AB229*AV229,AB229))</f>
        <v/>
      </c>
      <c r="AD229" s="0" t="str">
        <f aca="false">IF(AM229="","",INDEX(CATÁLOGO!$F$5:$F$39,AM229))</f>
        <v/>
      </c>
      <c r="AE229" s="0" t="str">
        <f aca="false">IF(AD229="","",IF(ISNUMBER(AD229),AD229*AV229,AD229))</f>
        <v/>
      </c>
      <c r="AF229" s="0" t="str">
        <f aca="false">IF(AM229="","",INDEX(CATÁLOGO!$G$5:$G$39,AM229))</f>
        <v/>
      </c>
      <c r="AG229" s="0" t="str">
        <f aca="false">IF(AF229="","",IF(ISNUMBER(AF229),AF229*AV229,AF229))</f>
        <v/>
      </c>
      <c r="AH229" s="0" t="str">
        <f aca="false">IF(E229="","",C229&amp;"|"&amp;D229)</f>
        <v/>
      </c>
      <c r="AI229" s="27" t="n">
        <f aca="false">IF(M229&lt;&gt;"Sí",0,SUMPRODUCT(MAX(($AH$5:AH228=AH229)*($M$5:M228="Sí")*ROW($AH$5:AH228))))</f>
        <v>0</v>
      </c>
      <c r="AJ229" s="0" t="str">
        <f aca="false">IF(M229&lt;&gt;"Sí","",IF(AL229=1,B229,INDEX($AJ:$AJ,AI229)))</f>
        <v/>
      </c>
      <c r="AK229" s="0" t="str">
        <f aca="false">IF(M229&lt;&gt;"Sí","",IF(AL229=1,E229,INDEX($AK:$AK,AI229)+E229))</f>
        <v/>
      </c>
      <c r="AL229" s="0" t="str">
        <f aca="false">IF(M229&lt;&gt;"Sí","",IF(AI229=0,1,IF(INDEX($AN:$AN,AI229)=0,1,IF(B229&gt;=EDATE(INDEX($AJ:$AJ,AI229),6),1,0))))</f>
        <v/>
      </c>
      <c r="AM229" s="0" t="str">
        <f aca="false">IF(D229="","",IFERROR(MATCH(D229,CATÁLOGO!$C$5:$C$39,0),""))</f>
        <v/>
      </c>
      <c r="AN229" s="0" t="str">
        <f aca="false">IF(M229&lt;&gt;"Sí","",IF(AND(ISNUMBER(AE229),AK229&gt;=AE229),0,1))</f>
        <v/>
      </c>
      <c r="AO229" s="0" t="str">
        <f aca="false">IF(OR(E229="",C229="",NOT(ISNUMBER(B229))),"",SUMIFS($E$6:$E$505,$C$6:$C$505,C229,$B$6:$B$505,"&gt;="&amp;DATE(YEAR(B229),MONTH(B229),1),$B$6:$B$505,"&lt;"&amp;DATE(YEAR(B229),MONTH(B229)+1,1)))</f>
        <v/>
      </c>
      <c r="AP229" s="0" t="str">
        <f aca="false">IF(C229="","",IFERROR(INDEX(CLIENTES!$M$6:$M$305,MATCH(C229,CLIENTES!$A$6:$A$305,0)),""))</f>
        <v/>
      </c>
      <c r="AQ229" s="27" t="n">
        <f aca="false">IF(AND(ISNUMBER(AO229),ISNUMBER(AP229)),IF(AND(AP229&gt;0,AO229&gt;AP229),1,0),0)</f>
        <v>0</v>
      </c>
      <c r="AR229" s="27" t="n">
        <f aca="false">IF(NOT(ISNUMBER(B229)),0,IF(B229&lt;MAX($B$5:B228),1,0))</f>
        <v>0</v>
      </c>
      <c r="AS229" s="0" t="str">
        <f aca="false">IF(C229="","",IFERROR(INDEX(CLIENTES!$H$6:$H$305,MATCH(C229,CLIENTES!$A$6:$A$305,0)),""))</f>
        <v/>
      </c>
      <c r="AT229" s="0" t="str">
        <f aca="false">IF(AND(LEFT(P229,5)="AVISO",T229&lt;&gt;"Presentado",ISNUMBER(Q229)),Q229,"")</f>
        <v/>
      </c>
      <c r="AU229" s="27" t="n">
        <f aca="false">IF(AND(D229="XVI - Activos virtuales (PSAV): operación de intercambio/transferencia",M229="Sí",ISNUMBER(AE229)),IF(AK229&gt;=AE229,1,0),0)</f>
        <v>0</v>
      </c>
      <c r="AV229" s="30" t="n">
        <f aca="false">IF(NOT(ISNUMBER(B229)),CONFIG!$B$4,IFERROR(INDEX(CONFIG!$I$5:$I$14,MATCH(IF(MONTH(B229)=1,YEAR(B229)-1,YEAR(B229)),CONFIG!$H$5:$H$14,0)),CONFIG!$B$4))</f>
        <v>117.31</v>
      </c>
      <c r="AW229" s="27" t="n">
        <f aca="false">IF(AND(LEFT(D229,4)="I - ",ISNUMBER(B229),C229&lt;&gt;""),SUMIFS($E$6:$E$505,$C$6:$C$505,C229,$D$6:$D$505,D229,$B$6:$B$505,"&gt;"&amp;(B229-1),$B$6:$B$505,"&lt;="&amp;B229),0)</f>
        <v>0</v>
      </c>
      <c r="AX229" s="0" t="str">
        <f aca="false">IF(E229="","",IF(AD229="Siempre","AVISO (siempre)",IF(AD229="No aplica","Sin Aviso (sólo preparas: Ley 17 XI)",IF(NOT(ISNUMBER(AE229)),"",IF(AA229&lt;&gt;"ACUMULA",IF(E229&gt;=AE229,IF(AND(D229="XVI - Activos virtuales (PSAV): cobro de contraprestación (comisión) por el servicio",COUNTIFS($C$6:$C$505,C229,$B$6:$B$505,"&gt;="&amp;INT(B229),$B$6:$B$505,"&lt;"&amp;(INT(B229)+1),$AU$6:$AU$505,1)&gt;0),"En el Aviso del inciso a) (R 31 Bis)","AVISO"),"—"),IF(M229&lt;&gt;"Sí","—",IF(AK229&gt;=AE229,IF(AK229=E229,"AVISO","AVISO (acumulado)"),"Acumulando")))))))</f>
        <v/>
      </c>
    </row>
    <row r="230" customFormat="false" ht="15" hidden="false" customHeight="false" outlineLevel="0" collapsed="false">
      <c r="A230" s="9" t="str">
        <f aca="false">IF(E230="","",ROW()-5)</f>
        <v/>
      </c>
      <c r="B230" s="20"/>
      <c r="C230" s="21"/>
      <c r="D230" s="21"/>
      <c r="E230" s="22"/>
      <c r="F230" s="22"/>
      <c r="G230" s="21"/>
      <c r="H230" s="21"/>
      <c r="I230" s="9" t="str">
        <f aca="false">IF(C230="","",IFERROR(INDEX(CLIENTES!$B$6:$B$305,MATCH(C230,CLIENTES!$A$6:$A$305,0)),"⚠ ID no registrado"))</f>
        <v/>
      </c>
      <c r="J230" s="9" t="str">
        <f aca="false">IF(C230="","",IFERROR(INDEX(CLIENTES!$Z$6:$Z$305,MATCH(C230,CLIENTES!$A$6:$A$305,0)),""))</f>
        <v/>
      </c>
      <c r="K230" s="9" t="str">
        <f aca="false">IF(E230="","",IF(AB230="Siempre","Sí",IF(ISNUMBER(AC230),IF(E230&gt;=AC230,"Sí",IF(AW230&gt;=AC230,"Sí (serie 24 h)","No")),"")))</f>
        <v/>
      </c>
      <c r="L230" s="9" t="str">
        <f aca="false">IF(E230="","",AA230)</f>
        <v/>
      </c>
      <c r="M230" s="9" t="str">
        <f aca="false">IF(E230="","",IF(AA230&lt;&gt;"ACUMULA","No aplica",IF(LEFT(K230,2)="Sí","Sí","No")))</f>
        <v/>
      </c>
      <c r="N230" s="23" t="str">
        <f aca="false">IF(M230="Sí",AJ230,"")</f>
        <v/>
      </c>
      <c r="O230" s="24" t="str">
        <f aca="false">IF(M230="Sí",AK230,"")</f>
        <v/>
      </c>
      <c r="P230" s="25" t="str">
        <f aca="false">IF(AND(LEFT(D230,6)="XIV - ",LEFT(AX230,5)="AVISO"),"Pedimento (R 16): no va al SPPLD",AX230)</f>
        <v/>
      </c>
      <c r="Q230" s="23" t="str">
        <f aca="false">IF(LEFT(P230,5)="AVISO",IF(ISNUMBER(B230),DATE(YEAR(B230),MONTH(B230)+1,17),"Falta fecha"),"")</f>
        <v/>
      </c>
      <c r="R230" s="9" t="str">
        <f aca="false">IF(OR(F230="",F230=0),"",IF(ISNUMBER(AG230),IF(F230&gt;=AG230,"PROHIBIDO","Dentro del límite"),"No aplica"))</f>
        <v/>
      </c>
      <c r="S230" s="26" t="str">
        <f aca="false">IF(E230="","",MID(IF(AQ230=1," · Excede el perfil declarado","")&amp;IF(H230="Sí"," · Paga un tercero","")&amp;IF(J230="Alto"," · Cliente de riesgo alto: DDR (RCG 23 Ter 3 y 4)","")&amp;IF(AND(AS230&lt;&gt;"",AS230&lt;&gt;"No",AS230&lt;&gt;0)," · PEP","")&amp;IF(R230="PROHIBIDO"," · Efectivo prohibido: no lo recibas (Art. 32)","")&amp;IF(AR230=1," · ⚠ Fecha fuera de orden","")&amp;IF(LEFT(I230,1)="⚠"," · ⚠ Cliente no registrado","")&amp;IF(D230=""," · ⚠ Falta la actividad","")&amp;IF(AND(LEFT(P230,5)="AVISO",W230="")," · Captura la cifra total con IVA para el Aviso","")&amp;IF(AND(ISNUMBER(W230),W230&lt;E230)," · ⚠ La cifra con IVA es menor que el monto sin IVA",""),4,400))</f>
        <v/>
      </c>
      <c r="T230" s="21"/>
      <c r="U230" s="20"/>
      <c r="V230" s="9" t="str">
        <f aca="false">IF(LEFT(P230,5)&lt;&gt;"AVISO","",IF(T230="Presentado",IF(AND(ISNUMBER(U230),ISNUMBER(Q230),U230&gt;Q230),"Presentado tarde","Presentado"),IF(NOT(ISNUMBER(Q230)),"Falta fecha",IF(Q230&lt;CONFIG!$B$6,"VENCIDO","Vence en "&amp;(Q230-CONFIG!$B$6)&amp;" días"))))</f>
        <v/>
      </c>
      <c r="W230" s="22"/>
      <c r="X230" s="21"/>
      <c r="AA230" s="0" t="str">
        <f aca="false">IF(AM230="","",INDEX(CATÁLOGO!$D$5:$D$39,AM230))</f>
        <v/>
      </c>
      <c r="AB230" s="0" t="str">
        <f aca="false">IF(AM230="","",INDEX(CATÁLOGO!$E$5:$E$39,AM230))</f>
        <v/>
      </c>
      <c r="AC230" s="0" t="str">
        <f aca="false">IF(AB230="","",IF(ISNUMBER(AB230),AB230*AV230,AB230))</f>
        <v/>
      </c>
      <c r="AD230" s="0" t="str">
        <f aca="false">IF(AM230="","",INDEX(CATÁLOGO!$F$5:$F$39,AM230))</f>
        <v/>
      </c>
      <c r="AE230" s="0" t="str">
        <f aca="false">IF(AD230="","",IF(ISNUMBER(AD230),AD230*AV230,AD230))</f>
        <v/>
      </c>
      <c r="AF230" s="0" t="str">
        <f aca="false">IF(AM230="","",INDEX(CATÁLOGO!$G$5:$G$39,AM230))</f>
        <v/>
      </c>
      <c r="AG230" s="0" t="str">
        <f aca="false">IF(AF230="","",IF(ISNUMBER(AF230),AF230*AV230,AF230))</f>
        <v/>
      </c>
      <c r="AH230" s="0" t="str">
        <f aca="false">IF(E230="","",C230&amp;"|"&amp;D230)</f>
        <v/>
      </c>
      <c r="AI230" s="27" t="n">
        <f aca="false">IF(M230&lt;&gt;"Sí",0,SUMPRODUCT(MAX(($AH$5:AH229=AH230)*($M$5:M229="Sí")*ROW($AH$5:AH229))))</f>
        <v>0</v>
      </c>
      <c r="AJ230" s="0" t="str">
        <f aca="false">IF(M230&lt;&gt;"Sí","",IF(AL230=1,B230,INDEX($AJ:$AJ,AI230)))</f>
        <v/>
      </c>
      <c r="AK230" s="0" t="str">
        <f aca="false">IF(M230&lt;&gt;"Sí","",IF(AL230=1,E230,INDEX($AK:$AK,AI230)+E230))</f>
        <v/>
      </c>
      <c r="AL230" s="0" t="str">
        <f aca="false">IF(M230&lt;&gt;"Sí","",IF(AI230=0,1,IF(INDEX($AN:$AN,AI230)=0,1,IF(B230&gt;=EDATE(INDEX($AJ:$AJ,AI230),6),1,0))))</f>
        <v/>
      </c>
      <c r="AM230" s="0" t="str">
        <f aca="false">IF(D230="","",IFERROR(MATCH(D230,CATÁLOGO!$C$5:$C$39,0),""))</f>
        <v/>
      </c>
      <c r="AN230" s="0" t="str">
        <f aca="false">IF(M230&lt;&gt;"Sí","",IF(AND(ISNUMBER(AE230),AK230&gt;=AE230),0,1))</f>
        <v/>
      </c>
      <c r="AO230" s="0" t="str">
        <f aca="false">IF(OR(E230="",C230="",NOT(ISNUMBER(B230))),"",SUMIFS($E$6:$E$505,$C$6:$C$505,C230,$B$6:$B$505,"&gt;="&amp;DATE(YEAR(B230),MONTH(B230),1),$B$6:$B$505,"&lt;"&amp;DATE(YEAR(B230),MONTH(B230)+1,1)))</f>
        <v/>
      </c>
      <c r="AP230" s="0" t="str">
        <f aca="false">IF(C230="","",IFERROR(INDEX(CLIENTES!$M$6:$M$305,MATCH(C230,CLIENTES!$A$6:$A$305,0)),""))</f>
        <v/>
      </c>
      <c r="AQ230" s="27" t="n">
        <f aca="false">IF(AND(ISNUMBER(AO230),ISNUMBER(AP230)),IF(AND(AP230&gt;0,AO230&gt;AP230),1,0),0)</f>
        <v>0</v>
      </c>
      <c r="AR230" s="27" t="n">
        <f aca="false">IF(NOT(ISNUMBER(B230)),0,IF(B230&lt;MAX($B$5:B229),1,0))</f>
        <v>0</v>
      </c>
      <c r="AS230" s="0" t="str">
        <f aca="false">IF(C230="","",IFERROR(INDEX(CLIENTES!$H$6:$H$305,MATCH(C230,CLIENTES!$A$6:$A$305,0)),""))</f>
        <v/>
      </c>
      <c r="AT230" s="0" t="str">
        <f aca="false">IF(AND(LEFT(P230,5)="AVISO",T230&lt;&gt;"Presentado",ISNUMBER(Q230)),Q230,"")</f>
        <v/>
      </c>
      <c r="AU230" s="27" t="n">
        <f aca="false">IF(AND(D230="XVI - Activos virtuales (PSAV): operación de intercambio/transferencia",M230="Sí",ISNUMBER(AE230)),IF(AK230&gt;=AE230,1,0),0)</f>
        <v>0</v>
      </c>
      <c r="AV230" s="30" t="n">
        <f aca="false">IF(NOT(ISNUMBER(B230)),CONFIG!$B$4,IFERROR(INDEX(CONFIG!$I$5:$I$14,MATCH(IF(MONTH(B230)=1,YEAR(B230)-1,YEAR(B230)),CONFIG!$H$5:$H$14,0)),CONFIG!$B$4))</f>
        <v>117.31</v>
      </c>
      <c r="AW230" s="27" t="n">
        <f aca="false">IF(AND(LEFT(D230,4)="I - ",ISNUMBER(B230),C230&lt;&gt;""),SUMIFS($E$6:$E$505,$C$6:$C$505,C230,$D$6:$D$505,D230,$B$6:$B$505,"&gt;"&amp;(B230-1),$B$6:$B$505,"&lt;="&amp;B230),0)</f>
        <v>0</v>
      </c>
      <c r="AX230" s="0" t="str">
        <f aca="false">IF(E230="","",IF(AD230="Siempre","AVISO (siempre)",IF(AD230="No aplica","Sin Aviso (sólo preparas: Ley 17 XI)",IF(NOT(ISNUMBER(AE230)),"",IF(AA230&lt;&gt;"ACUMULA",IF(E230&gt;=AE230,IF(AND(D230="XVI - Activos virtuales (PSAV): cobro de contraprestación (comisión) por el servicio",COUNTIFS($C$6:$C$505,C230,$B$6:$B$505,"&gt;="&amp;INT(B230),$B$6:$B$505,"&lt;"&amp;(INT(B230)+1),$AU$6:$AU$505,1)&gt;0),"En el Aviso del inciso a) (R 31 Bis)","AVISO"),"—"),IF(M230&lt;&gt;"Sí","—",IF(AK230&gt;=AE230,IF(AK230=E230,"AVISO","AVISO (acumulado)"),"Acumulando")))))))</f>
        <v/>
      </c>
    </row>
    <row r="231" customFormat="false" ht="15" hidden="false" customHeight="false" outlineLevel="0" collapsed="false">
      <c r="A231" s="9" t="str">
        <f aca="false">IF(E231="","",ROW()-5)</f>
        <v/>
      </c>
      <c r="B231" s="20"/>
      <c r="C231" s="21"/>
      <c r="D231" s="21"/>
      <c r="E231" s="22"/>
      <c r="F231" s="22"/>
      <c r="G231" s="21"/>
      <c r="H231" s="21"/>
      <c r="I231" s="9" t="str">
        <f aca="false">IF(C231="","",IFERROR(INDEX(CLIENTES!$B$6:$B$305,MATCH(C231,CLIENTES!$A$6:$A$305,0)),"⚠ ID no registrado"))</f>
        <v/>
      </c>
      <c r="J231" s="9" t="str">
        <f aca="false">IF(C231="","",IFERROR(INDEX(CLIENTES!$Z$6:$Z$305,MATCH(C231,CLIENTES!$A$6:$A$305,0)),""))</f>
        <v/>
      </c>
      <c r="K231" s="9" t="str">
        <f aca="false">IF(E231="","",IF(AB231="Siempre","Sí",IF(ISNUMBER(AC231),IF(E231&gt;=AC231,"Sí",IF(AW231&gt;=AC231,"Sí (serie 24 h)","No")),"")))</f>
        <v/>
      </c>
      <c r="L231" s="9" t="str">
        <f aca="false">IF(E231="","",AA231)</f>
        <v/>
      </c>
      <c r="M231" s="9" t="str">
        <f aca="false">IF(E231="","",IF(AA231&lt;&gt;"ACUMULA","No aplica",IF(LEFT(K231,2)="Sí","Sí","No")))</f>
        <v/>
      </c>
      <c r="N231" s="23" t="str">
        <f aca="false">IF(M231="Sí",AJ231,"")</f>
        <v/>
      </c>
      <c r="O231" s="24" t="str">
        <f aca="false">IF(M231="Sí",AK231,"")</f>
        <v/>
      </c>
      <c r="P231" s="25" t="str">
        <f aca="false">IF(AND(LEFT(D231,6)="XIV - ",LEFT(AX231,5)="AVISO"),"Pedimento (R 16): no va al SPPLD",AX231)</f>
        <v/>
      </c>
      <c r="Q231" s="23" t="str">
        <f aca="false">IF(LEFT(P231,5)="AVISO",IF(ISNUMBER(B231),DATE(YEAR(B231),MONTH(B231)+1,17),"Falta fecha"),"")</f>
        <v/>
      </c>
      <c r="R231" s="9" t="str">
        <f aca="false">IF(OR(F231="",F231=0),"",IF(ISNUMBER(AG231),IF(F231&gt;=AG231,"PROHIBIDO","Dentro del límite"),"No aplica"))</f>
        <v/>
      </c>
      <c r="S231" s="26" t="str">
        <f aca="false">IF(E231="","",MID(IF(AQ231=1," · Excede el perfil declarado","")&amp;IF(H231="Sí"," · Paga un tercero","")&amp;IF(J231="Alto"," · Cliente de riesgo alto: DDR (RCG 23 Ter 3 y 4)","")&amp;IF(AND(AS231&lt;&gt;"",AS231&lt;&gt;"No",AS231&lt;&gt;0)," · PEP","")&amp;IF(R231="PROHIBIDO"," · Efectivo prohibido: no lo recibas (Art. 32)","")&amp;IF(AR231=1," · ⚠ Fecha fuera de orden","")&amp;IF(LEFT(I231,1)="⚠"," · ⚠ Cliente no registrado","")&amp;IF(D231=""," · ⚠ Falta la actividad","")&amp;IF(AND(LEFT(P231,5)="AVISO",W231="")," · Captura la cifra total con IVA para el Aviso","")&amp;IF(AND(ISNUMBER(W231),W231&lt;E231)," · ⚠ La cifra con IVA es menor que el monto sin IVA",""),4,400))</f>
        <v/>
      </c>
      <c r="T231" s="21"/>
      <c r="U231" s="20"/>
      <c r="V231" s="9" t="str">
        <f aca="false">IF(LEFT(P231,5)&lt;&gt;"AVISO","",IF(T231="Presentado",IF(AND(ISNUMBER(U231),ISNUMBER(Q231),U231&gt;Q231),"Presentado tarde","Presentado"),IF(NOT(ISNUMBER(Q231)),"Falta fecha",IF(Q231&lt;CONFIG!$B$6,"VENCIDO","Vence en "&amp;(Q231-CONFIG!$B$6)&amp;" días"))))</f>
        <v/>
      </c>
      <c r="W231" s="22"/>
      <c r="X231" s="21"/>
      <c r="AA231" s="0" t="str">
        <f aca="false">IF(AM231="","",INDEX(CATÁLOGO!$D$5:$D$39,AM231))</f>
        <v/>
      </c>
      <c r="AB231" s="0" t="str">
        <f aca="false">IF(AM231="","",INDEX(CATÁLOGO!$E$5:$E$39,AM231))</f>
        <v/>
      </c>
      <c r="AC231" s="0" t="str">
        <f aca="false">IF(AB231="","",IF(ISNUMBER(AB231),AB231*AV231,AB231))</f>
        <v/>
      </c>
      <c r="AD231" s="0" t="str">
        <f aca="false">IF(AM231="","",INDEX(CATÁLOGO!$F$5:$F$39,AM231))</f>
        <v/>
      </c>
      <c r="AE231" s="0" t="str">
        <f aca="false">IF(AD231="","",IF(ISNUMBER(AD231),AD231*AV231,AD231))</f>
        <v/>
      </c>
      <c r="AF231" s="0" t="str">
        <f aca="false">IF(AM231="","",INDEX(CATÁLOGO!$G$5:$G$39,AM231))</f>
        <v/>
      </c>
      <c r="AG231" s="0" t="str">
        <f aca="false">IF(AF231="","",IF(ISNUMBER(AF231),AF231*AV231,AF231))</f>
        <v/>
      </c>
      <c r="AH231" s="0" t="str">
        <f aca="false">IF(E231="","",C231&amp;"|"&amp;D231)</f>
        <v/>
      </c>
      <c r="AI231" s="27" t="n">
        <f aca="false">IF(M231&lt;&gt;"Sí",0,SUMPRODUCT(MAX(($AH$5:AH230=AH231)*($M$5:M230="Sí")*ROW($AH$5:AH230))))</f>
        <v>0</v>
      </c>
      <c r="AJ231" s="0" t="str">
        <f aca="false">IF(M231&lt;&gt;"Sí","",IF(AL231=1,B231,INDEX($AJ:$AJ,AI231)))</f>
        <v/>
      </c>
      <c r="AK231" s="0" t="str">
        <f aca="false">IF(M231&lt;&gt;"Sí","",IF(AL231=1,E231,INDEX($AK:$AK,AI231)+E231))</f>
        <v/>
      </c>
      <c r="AL231" s="0" t="str">
        <f aca="false">IF(M231&lt;&gt;"Sí","",IF(AI231=0,1,IF(INDEX($AN:$AN,AI231)=0,1,IF(B231&gt;=EDATE(INDEX($AJ:$AJ,AI231),6),1,0))))</f>
        <v/>
      </c>
      <c r="AM231" s="0" t="str">
        <f aca="false">IF(D231="","",IFERROR(MATCH(D231,CATÁLOGO!$C$5:$C$39,0),""))</f>
        <v/>
      </c>
      <c r="AN231" s="0" t="str">
        <f aca="false">IF(M231&lt;&gt;"Sí","",IF(AND(ISNUMBER(AE231),AK231&gt;=AE231),0,1))</f>
        <v/>
      </c>
      <c r="AO231" s="0" t="str">
        <f aca="false">IF(OR(E231="",C231="",NOT(ISNUMBER(B231))),"",SUMIFS($E$6:$E$505,$C$6:$C$505,C231,$B$6:$B$505,"&gt;="&amp;DATE(YEAR(B231),MONTH(B231),1),$B$6:$B$505,"&lt;"&amp;DATE(YEAR(B231),MONTH(B231)+1,1)))</f>
        <v/>
      </c>
      <c r="AP231" s="0" t="str">
        <f aca="false">IF(C231="","",IFERROR(INDEX(CLIENTES!$M$6:$M$305,MATCH(C231,CLIENTES!$A$6:$A$305,0)),""))</f>
        <v/>
      </c>
      <c r="AQ231" s="27" t="n">
        <f aca="false">IF(AND(ISNUMBER(AO231),ISNUMBER(AP231)),IF(AND(AP231&gt;0,AO231&gt;AP231),1,0),0)</f>
        <v>0</v>
      </c>
      <c r="AR231" s="27" t="n">
        <f aca="false">IF(NOT(ISNUMBER(B231)),0,IF(B231&lt;MAX($B$5:B230),1,0))</f>
        <v>0</v>
      </c>
      <c r="AS231" s="0" t="str">
        <f aca="false">IF(C231="","",IFERROR(INDEX(CLIENTES!$H$6:$H$305,MATCH(C231,CLIENTES!$A$6:$A$305,0)),""))</f>
        <v/>
      </c>
      <c r="AT231" s="0" t="str">
        <f aca="false">IF(AND(LEFT(P231,5)="AVISO",T231&lt;&gt;"Presentado",ISNUMBER(Q231)),Q231,"")</f>
        <v/>
      </c>
      <c r="AU231" s="27" t="n">
        <f aca="false">IF(AND(D231="XVI - Activos virtuales (PSAV): operación de intercambio/transferencia",M231="Sí",ISNUMBER(AE231)),IF(AK231&gt;=AE231,1,0),0)</f>
        <v>0</v>
      </c>
      <c r="AV231" s="30" t="n">
        <f aca="false">IF(NOT(ISNUMBER(B231)),CONFIG!$B$4,IFERROR(INDEX(CONFIG!$I$5:$I$14,MATCH(IF(MONTH(B231)=1,YEAR(B231)-1,YEAR(B231)),CONFIG!$H$5:$H$14,0)),CONFIG!$B$4))</f>
        <v>117.31</v>
      </c>
      <c r="AW231" s="27" t="n">
        <f aca="false">IF(AND(LEFT(D231,4)="I - ",ISNUMBER(B231),C231&lt;&gt;""),SUMIFS($E$6:$E$505,$C$6:$C$505,C231,$D$6:$D$505,D231,$B$6:$B$505,"&gt;"&amp;(B231-1),$B$6:$B$505,"&lt;="&amp;B231),0)</f>
        <v>0</v>
      </c>
      <c r="AX231" s="0" t="str">
        <f aca="false">IF(E231="","",IF(AD231="Siempre","AVISO (siempre)",IF(AD231="No aplica","Sin Aviso (sólo preparas: Ley 17 XI)",IF(NOT(ISNUMBER(AE231)),"",IF(AA231&lt;&gt;"ACUMULA",IF(E231&gt;=AE231,IF(AND(D231="XVI - Activos virtuales (PSAV): cobro de contraprestación (comisión) por el servicio",COUNTIFS($C$6:$C$505,C231,$B$6:$B$505,"&gt;="&amp;INT(B231),$B$6:$B$505,"&lt;"&amp;(INT(B231)+1),$AU$6:$AU$505,1)&gt;0),"En el Aviso del inciso a) (R 31 Bis)","AVISO"),"—"),IF(M231&lt;&gt;"Sí","—",IF(AK231&gt;=AE231,IF(AK231=E231,"AVISO","AVISO (acumulado)"),"Acumulando")))))))</f>
        <v/>
      </c>
    </row>
    <row r="232" customFormat="false" ht="15" hidden="false" customHeight="false" outlineLevel="0" collapsed="false">
      <c r="A232" s="9" t="str">
        <f aca="false">IF(E232="","",ROW()-5)</f>
        <v/>
      </c>
      <c r="B232" s="20"/>
      <c r="C232" s="21"/>
      <c r="D232" s="21"/>
      <c r="E232" s="22"/>
      <c r="F232" s="22"/>
      <c r="G232" s="21"/>
      <c r="H232" s="21"/>
      <c r="I232" s="9" t="str">
        <f aca="false">IF(C232="","",IFERROR(INDEX(CLIENTES!$B$6:$B$305,MATCH(C232,CLIENTES!$A$6:$A$305,0)),"⚠ ID no registrado"))</f>
        <v/>
      </c>
      <c r="J232" s="9" t="str">
        <f aca="false">IF(C232="","",IFERROR(INDEX(CLIENTES!$Z$6:$Z$305,MATCH(C232,CLIENTES!$A$6:$A$305,0)),""))</f>
        <v/>
      </c>
      <c r="K232" s="9" t="str">
        <f aca="false">IF(E232="","",IF(AB232="Siempre","Sí",IF(ISNUMBER(AC232),IF(E232&gt;=AC232,"Sí",IF(AW232&gt;=AC232,"Sí (serie 24 h)","No")),"")))</f>
        <v/>
      </c>
      <c r="L232" s="9" t="str">
        <f aca="false">IF(E232="","",AA232)</f>
        <v/>
      </c>
      <c r="M232" s="9" t="str">
        <f aca="false">IF(E232="","",IF(AA232&lt;&gt;"ACUMULA","No aplica",IF(LEFT(K232,2)="Sí","Sí","No")))</f>
        <v/>
      </c>
      <c r="N232" s="23" t="str">
        <f aca="false">IF(M232="Sí",AJ232,"")</f>
        <v/>
      </c>
      <c r="O232" s="24" t="str">
        <f aca="false">IF(M232="Sí",AK232,"")</f>
        <v/>
      </c>
      <c r="P232" s="25" t="str">
        <f aca="false">IF(AND(LEFT(D232,6)="XIV - ",LEFT(AX232,5)="AVISO"),"Pedimento (R 16): no va al SPPLD",AX232)</f>
        <v/>
      </c>
      <c r="Q232" s="23" t="str">
        <f aca="false">IF(LEFT(P232,5)="AVISO",IF(ISNUMBER(B232),DATE(YEAR(B232),MONTH(B232)+1,17),"Falta fecha"),"")</f>
        <v/>
      </c>
      <c r="R232" s="9" t="str">
        <f aca="false">IF(OR(F232="",F232=0),"",IF(ISNUMBER(AG232),IF(F232&gt;=AG232,"PROHIBIDO","Dentro del límite"),"No aplica"))</f>
        <v/>
      </c>
      <c r="S232" s="26" t="str">
        <f aca="false">IF(E232="","",MID(IF(AQ232=1," · Excede el perfil declarado","")&amp;IF(H232="Sí"," · Paga un tercero","")&amp;IF(J232="Alto"," · Cliente de riesgo alto: DDR (RCG 23 Ter 3 y 4)","")&amp;IF(AND(AS232&lt;&gt;"",AS232&lt;&gt;"No",AS232&lt;&gt;0)," · PEP","")&amp;IF(R232="PROHIBIDO"," · Efectivo prohibido: no lo recibas (Art. 32)","")&amp;IF(AR232=1," · ⚠ Fecha fuera de orden","")&amp;IF(LEFT(I232,1)="⚠"," · ⚠ Cliente no registrado","")&amp;IF(D232=""," · ⚠ Falta la actividad","")&amp;IF(AND(LEFT(P232,5)="AVISO",W232="")," · Captura la cifra total con IVA para el Aviso","")&amp;IF(AND(ISNUMBER(W232),W232&lt;E232)," · ⚠ La cifra con IVA es menor que el monto sin IVA",""),4,400))</f>
        <v/>
      </c>
      <c r="T232" s="21"/>
      <c r="U232" s="20"/>
      <c r="V232" s="9" t="str">
        <f aca="false">IF(LEFT(P232,5)&lt;&gt;"AVISO","",IF(T232="Presentado",IF(AND(ISNUMBER(U232),ISNUMBER(Q232),U232&gt;Q232),"Presentado tarde","Presentado"),IF(NOT(ISNUMBER(Q232)),"Falta fecha",IF(Q232&lt;CONFIG!$B$6,"VENCIDO","Vence en "&amp;(Q232-CONFIG!$B$6)&amp;" días"))))</f>
        <v/>
      </c>
      <c r="W232" s="22"/>
      <c r="X232" s="21"/>
      <c r="AA232" s="0" t="str">
        <f aca="false">IF(AM232="","",INDEX(CATÁLOGO!$D$5:$D$39,AM232))</f>
        <v/>
      </c>
      <c r="AB232" s="0" t="str">
        <f aca="false">IF(AM232="","",INDEX(CATÁLOGO!$E$5:$E$39,AM232))</f>
        <v/>
      </c>
      <c r="AC232" s="0" t="str">
        <f aca="false">IF(AB232="","",IF(ISNUMBER(AB232),AB232*AV232,AB232))</f>
        <v/>
      </c>
      <c r="AD232" s="0" t="str">
        <f aca="false">IF(AM232="","",INDEX(CATÁLOGO!$F$5:$F$39,AM232))</f>
        <v/>
      </c>
      <c r="AE232" s="0" t="str">
        <f aca="false">IF(AD232="","",IF(ISNUMBER(AD232),AD232*AV232,AD232))</f>
        <v/>
      </c>
      <c r="AF232" s="0" t="str">
        <f aca="false">IF(AM232="","",INDEX(CATÁLOGO!$G$5:$G$39,AM232))</f>
        <v/>
      </c>
      <c r="AG232" s="0" t="str">
        <f aca="false">IF(AF232="","",IF(ISNUMBER(AF232),AF232*AV232,AF232))</f>
        <v/>
      </c>
      <c r="AH232" s="0" t="str">
        <f aca="false">IF(E232="","",C232&amp;"|"&amp;D232)</f>
        <v/>
      </c>
      <c r="AI232" s="27" t="n">
        <f aca="false">IF(M232&lt;&gt;"Sí",0,SUMPRODUCT(MAX(($AH$5:AH231=AH232)*($M$5:M231="Sí")*ROW($AH$5:AH231))))</f>
        <v>0</v>
      </c>
      <c r="AJ232" s="0" t="str">
        <f aca="false">IF(M232&lt;&gt;"Sí","",IF(AL232=1,B232,INDEX($AJ:$AJ,AI232)))</f>
        <v/>
      </c>
      <c r="AK232" s="0" t="str">
        <f aca="false">IF(M232&lt;&gt;"Sí","",IF(AL232=1,E232,INDEX($AK:$AK,AI232)+E232))</f>
        <v/>
      </c>
      <c r="AL232" s="0" t="str">
        <f aca="false">IF(M232&lt;&gt;"Sí","",IF(AI232=0,1,IF(INDEX($AN:$AN,AI232)=0,1,IF(B232&gt;=EDATE(INDEX($AJ:$AJ,AI232),6),1,0))))</f>
        <v/>
      </c>
      <c r="AM232" s="0" t="str">
        <f aca="false">IF(D232="","",IFERROR(MATCH(D232,CATÁLOGO!$C$5:$C$39,0),""))</f>
        <v/>
      </c>
      <c r="AN232" s="0" t="str">
        <f aca="false">IF(M232&lt;&gt;"Sí","",IF(AND(ISNUMBER(AE232),AK232&gt;=AE232),0,1))</f>
        <v/>
      </c>
      <c r="AO232" s="0" t="str">
        <f aca="false">IF(OR(E232="",C232="",NOT(ISNUMBER(B232))),"",SUMIFS($E$6:$E$505,$C$6:$C$505,C232,$B$6:$B$505,"&gt;="&amp;DATE(YEAR(B232),MONTH(B232),1),$B$6:$B$505,"&lt;"&amp;DATE(YEAR(B232),MONTH(B232)+1,1)))</f>
        <v/>
      </c>
      <c r="AP232" s="0" t="str">
        <f aca="false">IF(C232="","",IFERROR(INDEX(CLIENTES!$M$6:$M$305,MATCH(C232,CLIENTES!$A$6:$A$305,0)),""))</f>
        <v/>
      </c>
      <c r="AQ232" s="27" t="n">
        <f aca="false">IF(AND(ISNUMBER(AO232),ISNUMBER(AP232)),IF(AND(AP232&gt;0,AO232&gt;AP232),1,0),0)</f>
        <v>0</v>
      </c>
      <c r="AR232" s="27" t="n">
        <f aca="false">IF(NOT(ISNUMBER(B232)),0,IF(B232&lt;MAX($B$5:B231),1,0))</f>
        <v>0</v>
      </c>
      <c r="AS232" s="0" t="str">
        <f aca="false">IF(C232="","",IFERROR(INDEX(CLIENTES!$H$6:$H$305,MATCH(C232,CLIENTES!$A$6:$A$305,0)),""))</f>
        <v/>
      </c>
      <c r="AT232" s="0" t="str">
        <f aca="false">IF(AND(LEFT(P232,5)="AVISO",T232&lt;&gt;"Presentado",ISNUMBER(Q232)),Q232,"")</f>
        <v/>
      </c>
      <c r="AU232" s="27" t="n">
        <f aca="false">IF(AND(D232="XVI - Activos virtuales (PSAV): operación de intercambio/transferencia",M232="Sí",ISNUMBER(AE232)),IF(AK232&gt;=AE232,1,0),0)</f>
        <v>0</v>
      </c>
      <c r="AV232" s="30" t="n">
        <f aca="false">IF(NOT(ISNUMBER(B232)),CONFIG!$B$4,IFERROR(INDEX(CONFIG!$I$5:$I$14,MATCH(IF(MONTH(B232)=1,YEAR(B232)-1,YEAR(B232)),CONFIG!$H$5:$H$14,0)),CONFIG!$B$4))</f>
        <v>117.31</v>
      </c>
      <c r="AW232" s="27" t="n">
        <f aca="false">IF(AND(LEFT(D232,4)="I - ",ISNUMBER(B232),C232&lt;&gt;""),SUMIFS($E$6:$E$505,$C$6:$C$505,C232,$D$6:$D$505,D232,$B$6:$B$505,"&gt;"&amp;(B232-1),$B$6:$B$505,"&lt;="&amp;B232),0)</f>
        <v>0</v>
      </c>
      <c r="AX232" s="0" t="str">
        <f aca="false">IF(E232="","",IF(AD232="Siempre","AVISO (siempre)",IF(AD232="No aplica","Sin Aviso (sólo preparas: Ley 17 XI)",IF(NOT(ISNUMBER(AE232)),"",IF(AA232&lt;&gt;"ACUMULA",IF(E232&gt;=AE232,IF(AND(D232="XVI - Activos virtuales (PSAV): cobro de contraprestación (comisión) por el servicio",COUNTIFS($C$6:$C$505,C232,$B$6:$B$505,"&gt;="&amp;INT(B232),$B$6:$B$505,"&lt;"&amp;(INT(B232)+1),$AU$6:$AU$505,1)&gt;0),"En el Aviso del inciso a) (R 31 Bis)","AVISO"),"—"),IF(M232&lt;&gt;"Sí","—",IF(AK232&gt;=AE232,IF(AK232=E232,"AVISO","AVISO (acumulado)"),"Acumulando")))))))</f>
        <v/>
      </c>
    </row>
    <row r="233" customFormat="false" ht="15" hidden="false" customHeight="false" outlineLevel="0" collapsed="false">
      <c r="A233" s="9" t="str">
        <f aca="false">IF(E233="","",ROW()-5)</f>
        <v/>
      </c>
      <c r="B233" s="20"/>
      <c r="C233" s="21"/>
      <c r="D233" s="21"/>
      <c r="E233" s="22"/>
      <c r="F233" s="22"/>
      <c r="G233" s="21"/>
      <c r="H233" s="21"/>
      <c r="I233" s="9" t="str">
        <f aca="false">IF(C233="","",IFERROR(INDEX(CLIENTES!$B$6:$B$305,MATCH(C233,CLIENTES!$A$6:$A$305,0)),"⚠ ID no registrado"))</f>
        <v/>
      </c>
      <c r="J233" s="9" t="str">
        <f aca="false">IF(C233="","",IFERROR(INDEX(CLIENTES!$Z$6:$Z$305,MATCH(C233,CLIENTES!$A$6:$A$305,0)),""))</f>
        <v/>
      </c>
      <c r="K233" s="9" t="str">
        <f aca="false">IF(E233="","",IF(AB233="Siempre","Sí",IF(ISNUMBER(AC233),IF(E233&gt;=AC233,"Sí",IF(AW233&gt;=AC233,"Sí (serie 24 h)","No")),"")))</f>
        <v/>
      </c>
      <c r="L233" s="9" t="str">
        <f aca="false">IF(E233="","",AA233)</f>
        <v/>
      </c>
      <c r="M233" s="9" t="str">
        <f aca="false">IF(E233="","",IF(AA233&lt;&gt;"ACUMULA","No aplica",IF(LEFT(K233,2)="Sí","Sí","No")))</f>
        <v/>
      </c>
      <c r="N233" s="23" t="str">
        <f aca="false">IF(M233="Sí",AJ233,"")</f>
        <v/>
      </c>
      <c r="O233" s="24" t="str">
        <f aca="false">IF(M233="Sí",AK233,"")</f>
        <v/>
      </c>
      <c r="P233" s="25" t="str">
        <f aca="false">IF(AND(LEFT(D233,6)="XIV - ",LEFT(AX233,5)="AVISO"),"Pedimento (R 16): no va al SPPLD",AX233)</f>
        <v/>
      </c>
      <c r="Q233" s="23" t="str">
        <f aca="false">IF(LEFT(P233,5)="AVISO",IF(ISNUMBER(B233),DATE(YEAR(B233),MONTH(B233)+1,17),"Falta fecha"),"")</f>
        <v/>
      </c>
      <c r="R233" s="9" t="str">
        <f aca="false">IF(OR(F233="",F233=0),"",IF(ISNUMBER(AG233),IF(F233&gt;=AG233,"PROHIBIDO","Dentro del límite"),"No aplica"))</f>
        <v/>
      </c>
      <c r="S233" s="26" t="str">
        <f aca="false">IF(E233="","",MID(IF(AQ233=1," · Excede el perfil declarado","")&amp;IF(H233="Sí"," · Paga un tercero","")&amp;IF(J233="Alto"," · Cliente de riesgo alto: DDR (RCG 23 Ter 3 y 4)","")&amp;IF(AND(AS233&lt;&gt;"",AS233&lt;&gt;"No",AS233&lt;&gt;0)," · PEP","")&amp;IF(R233="PROHIBIDO"," · Efectivo prohibido: no lo recibas (Art. 32)","")&amp;IF(AR233=1," · ⚠ Fecha fuera de orden","")&amp;IF(LEFT(I233,1)="⚠"," · ⚠ Cliente no registrado","")&amp;IF(D233=""," · ⚠ Falta la actividad","")&amp;IF(AND(LEFT(P233,5)="AVISO",W233="")," · Captura la cifra total con IVA para el Aviso","")&amp;IF(AND(ISNUMBER(W233),W233&lt;E233)," · ⚠ La cifra con IVA es menor que el monto sin IVA",""),4,400))</f>
        <v/>
      </c>
      <c r="T233" s="21"/>
      <c r="U233" s="20"/>
      <c r="V233" s="9" t="str">
        <f aca="false">IF(LEFT(P233,5)&lt;&gt;"AVISO","",IF(T233="Presentado",IF(AND(ISNUMBER(U233),ISNUMBER(Q233),U233&gt;Q233),"Presentado tarde","Presentado"),IF(NOT(ISNUMBER(Q233)),"Falta fecha",IF(Q233&lt;CONFIG!$B$6,"VENCIDO","Vence en "&amp;(Q233-CONFIG!$B$6)&amp;" días"))))</f>
        <v/>
      </c>
      <c r="W233" s="22"/>
      <c r="X233" s="21"/>
      <c r="AA233" s="0" t="str">
        <f aca="false">IF(AM233="","",INDEX(CATÁLOGO!$D$5:$D$39,AM233))</f>
        <v/>
      </c>
      <c r="AB233" s="0" t="str">
        <f aca="false">IF(AM233="","",INDEX(CATÁLOGO!$E$5:$E$39,AM233))</f>
        <v/>
      </c>
      <c r="AC233" s="0" t="str">
        <f aca="false">IF(AB233="","",IF(ISNUMBER(AB233),AB233*AV233,AB233))</f>
        <v/>
      </c>
      <c r="AD233" s="0" t="str">
        <f aca="false">IF(AM233="","",INDEX(CATÁLOGO!$F$5:$F$39,AM233))</f>
        <v/>
      </c>
      <c r="AE233" s="0" t="str">
        <f aca="false">IF(AD233="","",IF(ISNUMBER(AD233),AD233*AV233,AD233))</f>
        <v/>
      </c>
      <c r="AF233" s="0" t="str">
        <f aca="false">IF(AM233="","",INDEX(CATÁLOGO!$G$5:$G$39,AM233))</f>
        <v/>
      </c>
      <c r="AG233" s="0" t="str">
        <f aca="false">IF(AF233="","",IF(ISNUMBER(AF233),AF233*AV233,AF233))</f>
        <v/>
      </c>
      <c r="AH233" s="0" t="str">
        <f aca="false">IF(E233="","",C233&amp;"|"&amp;D233)</f>
        <v/>
      </c>
      <c r="AI233" s="27" t="n">
        <f aca="false">IF(M233&lt;&gt;"Sí",0,SUMPRODUCT(MAX(($AH$5:AH232=AH233)*($M$5:M232="Sí")*ROW($AH$5:AH232))))</f>
        <v>0</v>
      </c>
      <c r="AJ233" s="0" t="str">
        <f aca="false">IF(M233&lt;&gt;"Sí","",IF(AL233=1,B233,INDEX($AJ:$AJ,AI233)))</f>
        <v/>
      </c>
      <c r="AK233" s="0" t="str">
        <f aca="false">IF(M233&lt;&gt;"Sí","",IF(AL233=1,E233,INDEX($AK:$AK,AI233)+E233))</f>
        <v/>
      </c>
      <c r="AL233" s="0" t="str">
        <f aca="false">IF(M233&lt;&gt;"Sí","",IF(AI233=0,1,IF(INDEX($AN:$AN,AI233)=0,1,IF(B233&gt;=EDATE(INDEX($AJ:$AJ,AI233),6),1,0))))</f>
        <v/>
      </c>
      <c r="AM233" s="0" t="str">
        <f aca="false">IF(D233="","",IFERROR(MATCH(D233,CATÁLOGO!$C$5:$C$39,0),""))</f>
        <v/>
      </c>
      <c r="AN233" s="0" t="str">
        <f aca="false">IF(M233&lt;&gt;"Sí","",IF(AND(ISNUMBER(AE233),AK233&gt;=AE233),0,1))</f>
        <v/>
      </c>
      <c r="AO233" s="0" t="str">
        <f aca="false">IF(OR(E233="",C233="",NOT(ISNUMBER(B233))),"",SUMIFS($E$6:$E$505,$C$6:$C$505,C233,$B$6:$B$505,"&gt;="&amp;DATE(YEAR(B233),MONTH(B233),1),$B$6:$B$505,"&lt;"&amp;DATE(YEAR(B233),MONTH(B233)+1,1)))</f>
        <v/>
      </c>
      <c r="AP233" s="0" t="str">
        <f aca="false">IF(C233="","",IFERROR(INDEX(CLIENTES!$M$6:$M$305,MATCH(C233,CLIENTES!$A$6:$A$305,0)),""))</f>
        <v/>
      </c>
      <c r="AQ233" s="27" t="n">
        <f aca="false">IF(AND(ISNUMBER(AO233),ISNUMBER(AP233)),IF(AND(AP233&gt;0,AO233&gt;AP233),1,0),0)</f>
        <v>0</v>
      </c>
      <c r="AR233" s="27" t="n">
        <f aca="false">IF(NOT(ISNUMBER(B233)),0,IF(B233&lt;MAX($B$5:B232),1,0))</f>
        <v>0</v>
      </c>
      <c r="AS233" s="0" t="str">
        <f aca="false">IF(C233="","",IFERROR(INDEX(CLIENTES!$H$6:$H$305,MATCH(C233,CLIENTES!$A$6:$A$305,0)),""))</f>
        <v/>
      </c>
      <c r="AT233" s="0" t="str">
        <f aca="false">IF(AND(LEFT(P233,5)="AVISO",T233&lt;&gt;"Presentado",ISNUMBER(Q233)),Q233,"")</f>
        <v/>
      </c>
      <c r="AU233" s="27" t="n">
        <f aca="false">IF(AND(D233="XVI - Activos virtuales (PSAV): operación de intercambio/transferencia",M233="Sí",ISNUMBER(AE233)),IF(AK233&gt;=AE233,1,0),0)</f>
        <v>0</v>
      </c>
      <c r="AV233" s="30" t="n">
        <f aca="false">IF(NOT(ISNUMBER(B233)),CONFIG!$B$4,IFERROR(INDEX(CONFIG!$I$5:$I$14,MATCH(IF(MONTH(B233)=1,YEAR(B233)-1,YEAR(B233)),CONFIG!$H$5:$H$14,0)),CONFIG!$B$4))</f>
        <v>117.31</v>
      </c>
      <c r="AW233" s="27" t="n">
        <f aca="false">IF(AND(LEFT(D233,4)="I - ",ISNUMBER(B233),C233&lt;&gt;""),SUMIFS($E$6:$E$505,$C$6:$C$505,C233,$D$6:$D$505,D233,$B$6:$B$505,"&gt;"&amp;(B233-1),$B$6:$B$505,"&lt;="&amp;B233),0)</f>
        <v>0</v>
      </c>
      <c r="AX233" s="0" t="str">
        <f aca="false">IF(E233="","",IF(AD233="Siempre","AVISO (siempre)",IF(AD233="No aplica","Sin Aviso (sólo preparas: Ley 17 XI)",IF(NOT(ISNUMBER(AE233)),"",IF(AA233&lt;&gt;"ACUMULA",IF(E233&gt;=AE233,IF(AND(D233="XVI - Activos virtuales (PSAV): cobro de contraprestación (comisión) por el servicio",COUNTIFS($C$6:$C$505,C233,$B$6:$B$505,"&gt;="&amp;INT(B233),$B$6:$B$505,"&lt;"&amp;(INT(B233)+1),$AU$6:$AU$505,1)&gt;0),"En el Aviso del inciso a) (R 31 Bis)","AVISO"),"—"),IF(M233&lt;&gt;"Sí","—",IF(AK233&gt;=AE233,IF(AK233=E233,"AVISO","AVISO (acumulado)"),"Acumulando")))))))</f>
        <v/>
      </c>
    </row>
    <row r="234" customFormat="false" ht="15" hidden="false" customHeight="false" outlineLevel="0" collapsed="false">
      <c r="A234" s="9" t="str">
        <f aca="false">IF(E234="","",ROW()-5)</f>
        <v/>
      </c>
      <c r="B234" s="20"/>
      <c r="C234" s="21"/>
      <c r="D234" s="21"/>
      <c r="E234" s="22"/>
      <c r="F234" s="22"/>
      <c r="G234" s="21"/>
      <c r="H234" s="21"/>
      <c r="I234" s="9" t="str">
        <f aca="false">IF(C234="","",IFERROR(INDEX(CLIENTES!$B$6:$B$305,MATCH(C234,CLIENTES!$A$6:$A$305,0)),"⚠ ID no registrado"))</f>
        <v/>
      </c>
      <c r="J234" s="9" t="str">
        <f aca="false">IF(C234="","",IFERROR(INDEX(CLIENTES!$Z$6:$Z$305,MATCH(C234,CLIENTES!$A$6:$A$305,0)),""))</f>
        <v/>
      </c>
      <c r="K234" s="9" t="str">
        <f aca="false">IF(E234="","",IF(AB234="Siempre","Sí",IF(ISNUMBER(AC234),IF(E234&gt;=AC234,"Sí",IF(AW234&gt;=AC234,"Sí (serie 24 h)","No")),"")))</f>
        <v/>
      </c>
      <c r="L234" s="9" t="str">
        <f aca="false">IF(E234="","",AA234)</f>
        <v/>
      </c>
      <c r="M234" s="9" t="str">
        <f aca="false">IF(E234="","",IF(AA234&lt;&gt;"ACUMULA","No aplica",IF(LEFT(K234,2)="Sí","Sí","No")))</f>
        <v/>
      </c>
      <c r="N234" s="23" t="str">
        <f aca="false">IF(M234="Sí",AJ234,"")</f>
        <v/>
      </c>
      <c r="O234" s="24" t="str">
        <f aca="false">IF(M234="Sí",AK234,"")</f>
        <v/>
      </c>
      <c r="P234" s="25" t="str">
        <f aca="false">IF(AND(LEFT(D234,6)="XIV - ",LEFT(AX234,5)="AVISO"),"Pedimento (R 16): no va al SPPLD",AX234)</f>
        <v/>
      </c>
      <c r="Q234" s="23" t="str">
        <f aca="false">IF(LEFT(P234,5)="AVISO",IF(ISNUMBER(B234),DATE(YEAR(B234),MONTH(B234)+1,17),"Falta fecha"),"")</f>
        <v/>
      </c>
      <c r="R234" s="9" t="str">
        <f aca="false">IF(OR(F234="",F234=0),"",IF(ISNUMBER(AG234),IF(F234&gt;=AG234,"PROHIBIDO","Dentro del límite"),"No aplica"))</f>
        <v/>
      </c>
      <c r="S234" s="26" t="str">
        <f aca="false">IF(E234="","",MID(IF(AQ234=1," · Excede el perfil declarado","")&amp;IF(H234="Sí"," · Paga un tercero","")&amp;IF(J234="Alto"," · Cliente de riesgo alto: DDR (RCG 23 Ter 3 y 4)","")&amp;IF(AND(AS234&lt;&gt;"",AS234&lt;&gt;"No",AS234&lt;&gt;0)," · PEP","")&amp;IF(R234="PROHIBIDO"," · Efectivo prohibido: no lo recibas (Art. 32)","")&amp;IF(AR234=1," · ⚠ Fecha fuera de orden","")&amp;IF(LEFT(I234,1)="⚠"," · ⚠ Cliente no registrado","")&amp;IF(D234=""," · ⚠ Falta la actividad","")&amp;IF(AND(LEFT(P234,5)="AVISO",W234="")," · Captura la cifra total con IVA para el Aviso","")&amp;IF(AND(ISNUMBER(W234),W234&lt;E234)," · ⚠ La cifra con IVA es menor que el monto sin IVA",""),4,400))</f>
        <v/>
      </c>
      <c r="T234" s="21"/>
      <c r="U234" s="20"/>
      <c r="V234" s="9" t="str">
        <f aca="false">IF(LEFT(P234,5)&lt;&gt;"AVISO","",IF(T234="Presentado",IF(AND(ISNUMBER(U234),ISNUMBER(Q234),U234&gt;Q234),"Presentado tarde","Presentado"),IF(NOT(ISNUMBER(Q234)),"Falta fecha",IF(Q234&lt;CONFIG!$B$6,"VENCIDO","Vence en "&amp;(Q234-CONFIG!$B$6)&amp;" días"))))</f>
        <v/>
      </c>
      <c r="W234" s="22"/>
      <c r="X234" s="21"/>
      <c r="AA234" s="0" t="str">
        <f aca="false">IF(AM234="","",INDEX(CATÁLOGO!$D$5:$D$39,AM234))</f>
        <v/>
      </c>
      <c r="AB234" s="0" t="str">
        <f aca="false">IF(AM234="","",INDEX(CATÁLOGO!$E$5:$E$39,AM234))</f>
        <v/>
      </c>
      <c r="AC234" s="0" t="str">
        <f aca="false">IF(AB234="","",IF(ISNUMBER(AB234),AB234*AV234,AB234))</f>
        <v/>
      </c>
      <c r="AD234" s="0" t="str">
        <f aca="false">IF(AM234="","",INDEX(CATÁLOGO!$F$5:$F$39,AM234))</f>
        <v/>
      </c>
      <c r="AE234" s="0" t="str">
        <f aca="false">IF(AD234="","",IF(ISNUMBER(AD234),AD234*AV234,AD234))</f>
        <v/>
      </c>
      <c r="AF234" s="0" t="str">
        <f aca="false">IF(AM234="","",INDEX(CATÁLOGO!$G$5:$G$39,AM234))</f>
        <v/>
      </c>
      <c r="AG234" s="0" t="str">
        <f aca="false">IF(AF234="","",IF(ISNUMBER(AF234),AF234*AV234,AF234))</f>
        <v/>
      </c>
      <c r="AH234" s="0" t="str">
        <f aca="false">IF(E234="","",C234&amp;"|"&amp;D234)</f>
        <v/>
      </c>
      <c r="AI234" s="27" t="n">
        <f aca="false">IF(M234&lt;&gt;"Sí",0,SUMPRODUCT(MAX(($AH$5:AH233=AH234)*($M$5:M233="Sí")*ROW($AH$5:AH233))))</f>
        <v>0</v>
      </c>
      <c r="AJ234" s="0" t="str">
        <f aca="false">IF(M234&lt;&gt;"Sí","",IF(AL234=1,B234,INDEX($AJ:$AJ,AI234)))</f>
        <v/>
      </c>
      <c r="AK234" s="0" t="str">
        <f aca="false">IF(M234&lt;&gt;"Sí","",IF(AL234=1,E234,INDEX($AK:$AK,AI234)+E234))</f>
        <v/>
      </c>
      <c r="AL234" s="0" t="str">
        <f aca="false">IF(M234&lt;&gt;"Sí","",IF(AI234=0,1,IF(INDEX($AN:$AN,AI234)=0,1,IF(B234&gt;=EDATE(INDEX($AJ:$AJ,AI234),6),1,0))))</f>
        <v/>
      </c>
      <c r="AM234" s="0" t="str">
        <f aca="false">IF(D234="","",IFERROR(MATCH(D234,CATÁLOGO!$C$5:$C$39,0),""))</f>
        <v/>
      </c>
      <c r="AN234" s="0" t="str">
        <f aca="false">IF(M234&lt;&gt;"Sí","",IF(AND(ISNUMBER(AE234),AK234&gt;=AE234),0,1))</f>
        <v/>
      </c>
      <c r="AO234" s="0" t="str">
        <f aca="false">IF(OR(E234="",C234="",NOT(ISNUMBER(B234))),"",SUMIFS($E$6:$E$505,$C$6:$C$505,C234,$B$6:$B$505,"&gt;="&amp;DATE(YEAR(B234),MONTH(B234),1),$B$6:$B$505,"&lt;"&amp;DATE(YEAR(B234),MONTH(B234)+1,1)))</f>
        <v/>
      </c>
      <c r="AP234" s="0" t="str">
        <f aca="false">IF(C234="","",IFERROR(INDEX(CLIENTES!$M$6:$M$305,MATCH(C234,CLIENTES!$A$6:$A$305,0)),""))</f>
        <v/>
      </c>
      <c r="AQ234" s="27" t="n">
        <f aca="false">IF(AND(ISNUMBER(AO234),ISNUMBER(AP234)),IF(AND(AP234&gt;0,AO234&gt;AP234),1,0),0)</f>
        <v>0</v>
      </c>
      <c r="AR234" s="27" t="n">
        <f aca="false">IF(NOT(ISNUMBER(B234)),0,IF(B234&lt;MAX($B$5:B233),1,0))</f>
        <v>0</v>
      </c>
      <c r="AS234" s="0" t="str">
        <f aca="false">IF(C234="","",IFERROR(INDEX(CLIENTES!$H$6:$H$305,MATCH(C234,CLIENTES!$A$6:$A$305,0)),""))</f>
        <v/>
      </c>
      <c r="AT234" s="0" t="str">
        <f aca="false">IF(AND(LEFT(P234,5)="AVISO",T234&lt;&gt;"Presentado",ISNUMBER(Q234)),Q234,"")</f>
        <v/>
      </c>
      <c r="AU234" s="27" t="n">
        <f aca="false">IF(AND(D234="XVI - Activos virtuales (PSAV): operación de intercambio/transferencia",M234="Sí",ISNUMBER(AE234)),IF(AK234&gt;=AE234,1,0),0)</f>
        <v>0</v>
      </c>
      <c r="AV234" s="30" t="n">
        <f aca="false">IF(NOT(ISNUMBER(B234)),CONFIG!$B$4,IFERROR(INDEX(CONFIG!$I$5:$I$14,MATCH(IF(MONTH(B234)=1,YEAR(B234)-1,YEAR(B234)),CONFIG!$H$5:$H$14,0)),CONFIG!$B$4))</f>
        <v>117.31</v>
      </c>
      <c r="AW234" s="27" t="n">
        <f aca="false">IF(AND(LEFT(D234,4)="I - ",ISNUMBER(B234),C234&lt;&gt;""),SUMIFS($E$6:$E$505,$C$6:$C$505,C234,$D$6:$D$505,D234,$B$6:$B$505,"&gt;"&amp;(B234-1),$B$6:$B$505,"&lt;="&amp;B234),0)</f>
        <v>0</v>
      </c>
      <c r="AX234" s="0" t="str">
        <f aca="false">IF(E234="","",IF(AD234="Siempre","AVISO (siempre)",IF(AD234="No aplica","Sin Aviso (sólo preparas: Ley 17 XI)",IF(NOT(ISNUMBER(AE234)),"",IF(AA234&lt;&gt;"ACUMULA",IF(E234&gt;=AE234,IF(AND(D234="XVI - Activos virtuales (PSAV): cobro de contraprestación (comisión) por el servicio",COUNTIFS($C$6:$C$505,C234,$B$6:$B$505,"&gt;="&amp;INT(B234),$B$6:$B$505,"&lt;"&amp;(INT(B234)+1),$AU$6:$AU$505,1)&gt;0),"En el Aviso del inciso a) (R 31 Bis)","AVISO"),"—"),IF(M234&lt;&gt;"Sí","—",IF(AK234&gt;=AE234,IF(AK234=E234,"AVISO","AVISO (acumulado)"),"Acumulando")))))))</f>
        <v/>
      </c>
    </row>
    <row r="235" customFormat="false" ht="15" hidden="false" customHeight="false" outlineLevel="0" collapsed="false">
      <c r="A235" s="9" t="str">
        <f aca="false">IF(E235="","",ROW()-5)</f>
        <v/>
      </c>
      <c r="B235" s="20"/>
      <c r="C235" s="21"/>
      <c r="D235" s="21"/>
      <c r="E235" s="22"/>
      <c r="F235" s="22"/>
      <c r="G235" s="21"/>
      <c r="H235" s="21"/>
      <c r="I235" s="9" t="str">
        <f aca="false">IF(C235="","",IFERROR(INDEX(CLIENTES!$B$6:$B$305,MATCH(C235,CLIENTES!$A$6:$A$305,0)),"⚠ ID no registrado"))</f>
        <v/>
      </c>
      <c r="J235" s="9" t="str">
        <f aca="false">IF(C235="","",IFERROR(INDEX(CLIENTES!$Z$6:$Z$305,MATCH(C235,CLIENTES!$A$6:$A$305,0)),""))</f>
        <v/>
      </c>
      <c r="K235" s="9" t="str">
        <f aca="false">IF(E235="","",IF(AB235="Siempre","Sí",IF(ISNUMBER(AC235),IF(E235&gt;=AC235,"Sí",IF(AW235&gt;=AC235,"Sí (serie 24 h)","No")),"")))</f>
        <v/>
      </c>
      <c r="L235" s="9" t="str">
        <f aca="false">IF(E235="","",AA235)</f>
        <v/>
      </c>
      <c r="M235" s="9" t="str">
        <f aca="false">IF(E235="","",IF(AA235&lt;&gt;"ACUMULA","No aplica",IF(LEFT(K235,2)="Sí","Sí","No")))</f>
        <v/>
      </c>
      <c r="N235" s="23" t="str">
        <f aca="false">IF(M235="Sí",AJ235,"")</f>
        <v/>
      </c>
      <c r="O235" s="24" t="str">
        <f aca="false">IF(M235="Sí",AK235,"")</f>
        <v/>
      </c>
      <c r="P235" s="25" t="str">
        <f aca="false">IF(AND(LEFT(D235,6)="XIV - ",LEFT(AX235,5)="AVISO"),"Pedimento (R 16): no va al SPPLD",AX235)</f>
        <v/>
      </c>
      <c r="Q235" s="23" t="str">
        <f aca="false">IF(LEFT(P235,5)="AVISO",IF(ISNUMBER(B235),DATE(YEAR(B235),MONTH(B235)+1,17),"Falta fecha"),"")</f>
        <v/>
      </c>
      <c r="R235" s="9" t="str">
        <f aca="false">IF(OR(F235="",F235=0),"",IF(ISNUMBER(AG235),IF(F235&gt;=AG235,"PROHIBIDO","Dentro del límite"),"No aplica"))</f>
        <v/>
      </c>
      <c r="S235" s="26" t="str">
        <f aca="false">IF(E235="","",MID(IF(AQ235=1," · Excede el perfil declarado","")&amp;IF(H235="Sí"," · Paga un tercero","")&amp;IF(J235="Alto"," · Cliente de riesgo alto: DDR (RCG 23 Ter 3 y 4)","")&amp;IF(AND(AS235&lt;&gt;"",AS235&lt;&gt;"No",AS235&lt;&gt;0)," · PEP","")&amp;IF(R235="PROHIBIDO"," · Efectivo prohibido: no lo recibas (Art. 32)","")&amp;IF(AR235=1," · ⚠ Fecha fuera de orden","")&amp;IF(LEFT(I235,1)="⚠"," · ⚠ Cliente no registrado","")&amp;IF(D235=""," · ⚠ Falta la actividad","")&amp;IF(AND(LEFT(P235,5)="AVISO",W235="")," · Captura la cifra total con IVA para el Aviso","")&amp;IF(AND(ISNUMBER(W235),W235&lt;E235)," · ⚠ La cifra con IVA es menor que el monto sin IVA",""),4,400))</f>
        <v/>
      </c>
      <c r="T235" s="21"/>
      <c r="U235" s="20"/>
      <c r="V235" s="9" t="str">
        <f aca="false">IF(LEFT(P235,5)&lt;&gt;"AVISO","",IF(T235="Presentado",IF(AND(ISNUMBER(U235),ISNUMBER(Q235),U235&gt;Q235),"Presentado tarde","Presentado"),IF(NOT(ISNUMBER(Q235)),"Falta fecha",IF(Q235&lt;CONFIG!$B$6,"VENCIDO","Vence en "&amp;(Q235-CONFIG!$B$6)&amp;" días"))))</f>
        <v/>
      </c>
      <c r="W235" s="22"/>
      <c r="X235" s="21"/>
      <c r="AA235" s="0" t="str">
        <f aca="false">IF(AM235="","",INDEX(CATÁLOGO!$D$5:$D$39,AM235))</f>
        <v/>
      </c>
      <c r="AB235" s="0" t="str">
        <f aca="false">IF(AM235="","",INDEX(CATÁLOGO!$E$5:$E$39,AM235))</f>
        <v/>
      </c>
      <c r="AC235" s="0" t="str">
        <f aca="false">IF(AB235="","",IF(ISNUMBER(AB235),AB235*AV235,AB235))</f>
        <v/>
      </c>
      <c r="AD235" s="0" t="str">
        <f aca="false">IF(AM235="","",INDEX(CATÁLOGO!$F$5:$F$39,AM235))</f>
        <v/>
      </c>
      <c r="AE235" s="0" t="str">
        <f aca="false">IF(AD235="","",IF(ISNUMBER(AD235),AD235*AV235,AD235))</f>
        <v/>
      </c>
      <c r="AF235" s="0" t="str">
        <f aca="false">IF(AM235="","",INDEX(CATÁLOGO!$G$5:$G$39,AM235))</f>
        <v/>
      </c>
      <c r="AG235" s="0" t="str">
        <f aca="false">IF(AF235="","",IF(ISNUMBER(AF235),AF235*AV235,AF235))</f>
        <v/>
      </c>
      <c r="AH235" s="0" t="str">
        <f aca="false">IF(E235="","",C235&amp;"|"&amp;D235)</f>
        <v/>
      </c>
      <c r="AI235" s="27" t="n">
        <f aca="false">IF(M235&lt;&gt;"Sí",0,SUMPRODUCT(MAX(($AH$5:AH234=AH235)*($M$5:M234="Sí")*ROW($AH$5:AH234))))</f>
        <v>0</v>
      </c>
      <c r="AJ235" s="0" t="str">
        <f aca="false">IF(M235&lt;&gt;"Sí","",IF(AL235=1,B235,INDEX($AJ:$AJ,AI235)))</f>
        <v/>
      </c>
      <c r="AK235" s="0" t="str">
        <f aca="false">IF(M235&lt;&gt;"Sí","",IF(AL235=1,E235,INDEX($AK:$AK,AI235)+E235))</f>
        <v/>
      </c>
      <c r="AL235" s="0" t="str">
        <f aca="false">IF(M235&lt;&gt;"Sí","",IF(AI235=0,1,IF(INDEX($AN:$AN,AI235)=0,1,IF(B235&gt;=EDATE(INDEX($AJ:$AJ,AI235),6),1,0))))</f>
        <v/>
      </c>
      <c r="AM235" s="0" t="str">
        <f aca="false">IF(D235="","",IFERROR(MATCH(D235,CATÁLOGO!$C$5:$C$39,0),""))</f>
        <v/>
      </c>
      <c r="AN235" s="0" t="str">
        <f aca="false">IF(M235&lt;&gt;"Sí","",IF(AND(ISNUMBER(AE235),AK235&gt;=AE235),0,1))</f>
        <v/>
      </c>
      <c r="AO235" s="0" t="str">
        <f aca="false">IF(OR(E235="",C235="",NOT(ISNUMBER(B235))),"",SUMIFS($E$6:$E$505,$C$6:$C$505,C235,$B$6:$B$505,"&gt;="&amp;DATE(YEAR(B235),MONTH(B235),1),$B$6:$B$505,"&lt;"&amp;DATE(YEAR(B235),MONTH(B235)+1,1)))</f>
        <v/>
      </c>
      <c r="AP235" s="0" t="str">
        <f aca="false">IF(C235="","",IFERROR(INDEX(CLIENTES!$M$6:$M$305,MATCH(C235,CLIENTES!$A$6:$A$305,0)),""))</f>
        <v/>
      </c>
      <c r="AQ235" s="27" t="n">
        <f aca="false">IF(AND(ISNUMBER(AO235),ISNUMBER(AP235)),IF(AND(AP235&gt;0,AO235&gt;AP235),1,0),0)</f>
        <v>0</v>
      </c>
      <c r="AR235" s="27" t="n">
        <f aca="false">IF(NOT(ISNUMBER(B235)),0,IF(B235&lt;MAX($B$5:B234),1,0))</f>
        <v>0</v>
      </c>
      <c r="AS235" s="0" t="str">
        <f aca="false">IF(C235="","",IFERROR(INDEX(CLIENTES!$H$6:$H$305,MATCH(C235,CLIENTES!$A$6:$A$305,0)),""))</f>
        <v/>
      </c>
      <c r="AT235" s="0" t="str">
        <f aca="false">IF(AND(LEFT(P235,5)="AVISO",T235&lt;&gt;"Presentado",ISNUMBER(Q235)),Q235,"")</f>
        <v/>
      </c>
      <c r="AU235" s="27" t="n">
        <f aca="false">IF(AND(D235="XVI - Activos virtuales (PSAV): operación de intercambio/transferencia",M235="Sí",ISNUMBER(AE235)),IF(AK235&gt;=AE235,1,0),0)</f>
        <v>0</v>
      </c>
      <c r="AV235" s="30" t="n">
        <f aca="false">IF(NOT(ISNUMBER(B235)),CONFIG!$B$4,IFERROR(INDEX(CONFIG!$I$5:$I$14,MATCH(IF(MONTH(B235)=1,YEAR(B235)-1,YEAR(B235)),CONFIG!$H$5:$H$14,0)),CONFIG!$B$4))</f>
        <v>117.31</v>
      </c>
      <c r="AW235" s="27" t="n">
        <f aca="false">IF(AND(LEFT(D235,4)="I - ",ISNUMBER(B235),C235&lt;&gt;""),SUMIFS($E$6:$E$505,$C$6:$C$505,C235,$D$6:$D$505,D235,$B$6:$B$505,"&gt;"&amp;(B235-1),$B$6:$B$505,"&lt;="&amp;B235),0)</f>
        <v>0</v>
      </c>
      <c r="AX235" s="0" t="str">
        <f aca="false">IF(E235="","",IF(AD235="Siempre","AVISO (siempre)",IF(AD235="No aplica","Sin Aviso (sólo preparas: Ley 17 XI)",IF(NOT(ISNUMBER(AE235)),"",IF(AA235&lt;&gt;"ACUMULA",IF(E235&gt;=AE235,IF(AND(D235="XVI - Activos virtuales (PSAV): cobro de contraprestación (comisión) por el servicio",COUNTIFS($C$6:$C$505,C235,$B$6:$B$505,"&gt;="&amp;INT(B235),$B$6:$B$505,"&lt;"&amp;(INT(B235)+1),$AU$6:$AU$505,1)&gt;0),"En el Aviso del inciso a) (R 31 Bis)","AVISO"),"—"),IF(M235&lt;&gt;"Sí","—",IF(AK235&gt;=AE235,IF(AK235=E235,"AVISO","AVISO (acumulado)"),"Acumulando")))))))</f>
        <v/>
      </c>
    </row>
    <row r="236" customFormat="false" ht="15" hidden="false" customHeight="false" outlineLevel="0" collapsed="false">
      <c r="A236" s="9" t="str">
        <f aca="false">IF(E236="","",ROW()-5)</f>
        <v/>
      </c>
      <c r="B236" s="20"/>
      <c r="C236" s="21"/>
      <c r="D236" s="21"/>
      <c r="E236" s="22"/>
      <c r="F236" s="22"/>
      <c r="G236" s="21"/>
      <c r="H236" s="21"/>
      <c r="I236" s="9" t="str">
        <f aca="false">IF(C236="","",IFERROR(INDEX(CLIENTES!$B$6:$B$305,MATCH(C236,CLIENTES!$A$6:$A$305,0)),"⚠ ID no registrado"))</f>
        <v/>
      </c>
      <c r="J236" s="9" t="str">
        <f aca="false">IF(C236="","",IFERROR(INDEX(CLIENTES!$Z$6:$Z$305,MATCH(C236,CLIENTES!$A$6:$A$305,0)),""))</f>
        <v/>
      </c>
      <c r="K236" s="9" t="str">
        <f aca="false">IF(E236="","",IF(AB236="Siempre","Sí",IF(ISNUMBER(AC236),IF(E236&gt;=AC236,"Sí",IF(AW236&gt;=AC236,"Sí (serie 24 h)","No")),"")))</f>
        <v/>
      </c>
      <c r="L236" s="9" t="str">
        <f aca="false">IF(E236="","",AA236)</f>
        <v/>
      </c>
      <c r="M236" s="9" t="str">
        <f aca="false">IF(E236="","",IF(AA236&lt;&gt;"ACUMULA","No aplica",IF(LEFT(K236,2)="Sí","Sí","No")))</f>
        <v/>
      </c>
      <c r="N236" s="23" t="str">
        <f aca="false">IF(M236="Sí",AJ236,"")</f>
        <v/>
      </c>
      <c r="O236" s="24" t="str">
        <f aca="false">IF(M236="Sí",AK236,"")</f>
        <v/>
      </c>
      <c r="P236" s="25" t="str">
        <f aca="false">IF(AND(LEFT(D236,6)="XIV - ",LEFT(AX236,5)="AVISO"),"Pedimento (R 16): no va al SPPLD",AX236)</f>
        <v/>
      </c>
      <c r="Q236" s="23" t="str">
        <f aca="false">IF(LEFT(P236,5)="AVISO",IF(ISNUMBER(B236),DATE(YEAR(B236),MONTH(B236)+1,17),"Falta fecha"),"")</f>
        <v/>
      </c>
      <c r="R236" s="9" t="str">
        <f aca="false">IF(OR(F236="",F236=0),"",IF(ISNUMBER(AG236),IF(F236&gt;=AG236,"PROHIBIDO","Dentro del límite"),"No aplica"))</f>
        <v/>
      </c>
      <c r="S236" s="26" t="str">
        <f aca="false">IF(E236="","",MID(IF(AQ236=1," · Excede el perfil declarado","")&amp;IF(H236="Sí"," · Paga un tercero","")&amp;IF(J236="Alto"," · Cliente de riesgo alto: DDR (RCG 23 Ter 3 y 4)","")&amp;IF(AND(AS236&lt;&gt;"",AS236&lt;&gt;"No",AS236&lt;&gt;0)," · PEP","")&amp;IF(R236="PROHIBIDO"," · Efectivo prohibido: no lo recibas (Art. 32)","")&amp;IF(AR236=1," · ⚠ Fecha fuera de orden","")&amp;IF(LEFT(I236,1)="⚠"," · ⚠ Cliente no registrado","")&amp;IF(D236=""," · ⚠ Falta la actividad","")&amp;IF(AND(LEFT(P236,5)="AVISO",W236="")," · Captura la cifra total con IVA para el Aviso","")&amp;IF(AND(ISNUMBER(W236),W236&lt;E236)," · ⚠ La cifra con IVA es menor que el monto sin IVA",""),4,400))</f>
        <v/>
      </c>
      <c r="T236" s="21"/>
      <c r="U236" s="20"/>
      <c r="V236" s="9" t="str">
        <f aca="false">IF(LEFT(P236,5)&lt;&gt;"AVISO","",IF(T236="Presentado",IF(AND(ISNUMBER(U236),ISNUMBER(Q236),U236&gt;Q236),"Presentado tarde","Presentado"),IF(NOT(ISNUMBER(Q236)),"Falta fecha",IF(Q236&lt;CONFIG!$B$6,"VENCIDO","Vence en "&amp;(Q236-CONFIG!$B$6)&amp;" días"))))</f>
        <v/>
      </c>
      <c r="W236" s="22"/>
      <c r="X236" s="21"/>
      <c r="AA236" s="0" t="str">
        <f aca="false">IF(AM236="","",INDEX(CATÁLOGO!$D$5:$D$39,AM236))</f>
        <v/>
      </c>
      <c r="AB236" s="0" t="str">
        <f aca="false">IF(AM236="","",INDEX(CATÁLOGO!$E$5:$E$39,AM236))</f>
        <v/>
      </c>
      <c r="AC236" s="0" t="str">
        <f aca="false">IF(AB236="","",IF(ISNUMBER(AB236),AB236*AV236,AB236))</f>
        <v/>
      </c>
      <c r="AD236" s="0" t="str">
        <f aca="false">IF(AM236="","",INDEX(CATÁLOGO!$F$5:$F$39,AM236))</f>
        <v/>
      </c>
      <c r="AE236" s="0" t="str">
        <f aca="false">IF(AD236="","",IF(ISNUMBER(AD236),AD236*AV236,AD236))</f>
        <v/>
      </c>
      <c r="AF236" s="0" t="str">
        <f aca="false">IF(AM236="","",INDEX(CATÁLOGO!$G$5:$G$39,AM236))</f>
        <v/>
      </c>
      <c r="AG236" s="0" t="str">
        <f aca="false">IF(AF236="","",IF(ISNUMBER(AF236),AF236*AV236,AF236))</f>
        <v/>
      </c>
      <c r="AH236" s="0" t="str">
        <f aca="false">IF(E236="","",C236&amp;"|"&amp;D236)</f>
        <v/>
      </c>
      <c r="AI236" s="27" t="n">
        <f aca="false">IF(M236&lt;&gt;"Sí",0,SUMPRODUCT(MAX(($AH$5:AH235=AH236)*($M$5:M235="Sí")*ROW($AH$5:AH235))))</f>
        <v>0</v>
      </c>
      <c r="AJ236" s="0" t="str">
        <f aca="false">IF(M236&lt;&gt;"Sí","",IF(AL236=1,B236,INDEX($AJ:$AJ,AI236)))</f>
        <v/>
      </c>
      <c r="AK236" s="0" t="str">
        <f aca="false">IF(M236&lt;&gt;"Sí","",IF(AL236=1,E236,INDEX($AK:$AK,AI236)+E236))</f>
        <v/>
      </c>
      <c r="AL236" s="0" t="str">
        <f aca="false">IF(M236&lt;&gt;"Sí","",IF(AI236=0,1,IF(INDEX($AN:$AN,AI236)=0,1,IF(B236&gt;=EDATE(INDEX($AJ:$AJ,AI236),6),1,0))))</f>
        <v/>
      </c>
      <c r="AM236" s="0" t="str">
        <f aca="false">IF(D236="","",IFERROR(MATCH(D236,CATÁLOGO!$C$5:$C$39,0),""))</f>
        <v/>
      </c>
      <c r="AN236" s="0" t="str">
        <f aca="false">IF(M236&lt;&gt;"Sí","",IF(AND(ISNUMBER(AE236),AK236&gt;=AE236),0,1))</f>
        <v/>
      </c>
      <c r="AO236" s="0" t="str">
        <f aca="false">IF(OR(E236="",C236="",NOT(ISNUMBER(B236))),"",SUMIFS($E$6:$E$505,$C$6:$C$505,C236,$B$6:$B$505,"&gt;="&amp;DATE(YEAR(B236),MONTH(B236),1),$B$6:$B$505,"&lt;"&amp;DATE(YEAR(B236),MONTH(B236)+1,1)))</f>
        <v/>
      </c>
      <c r="AP236" s="0" t="str">
        <f aca="false">IF(C236="","",IFERROR(INDEX(CLIENTES!$M$6:$M$305,MATCH(C236,CLIENTES!$A$6:$A$305,0)),""))</f>
        <v/>
      </c>
      <c r="AQ236" s="27" t="n">
        <f aca="false">IF(AND(ISNUMBER(AO236),ISNUMBER(AP236)),IF(AND(AP236&gt;0,AO236&gt;AP236),1,0),0)</f>
        <v>0</v>
      </c>
      <c r="AR236" s="27" t="n">
        <f aca="false">IF(NOT(ISNUMBER(B236)),0,IF(B236&lt;MAX($B$5:B235),1,0))</f>
        <v>0</v>
      </c>
      <c r="AS236" s="0" t="str">
        <f aca="false">IF(C236="","",IFERROR(INDEX(CLIENTES!$H$6:$H$305,MATCH(C236,CLIENTES!$A$6:$A$305,0)),""))</f>
        <v/>
      </c>
      <c r="AT236" s="0" t="str">
        <f aca="false">IF(AND(LEFT(P236,5)="AVISO",T236&lt;&gt;"Presentado",ISNUMBER(Q236)),Q236,"")</f>
        <v/>
      </c>
      <c r="AU236" s="27" t="n">
        <f aca="false">IF(AND(D236="XVI - Activos virtuales (PSAV): operación de intercambio/transferencia",M236="Sí",ISNUMBER(AE236)),IF(AK236&gt;=AE236,1,0),0)</f>
        <v>0</v>
      </c>
      <c r="AV236" s="30" t="n">
        <f aca="false">IF(NOT(ISNUMBER(B236)),CONFIG!$B$4,IFERROR(INDEX(CONFIG!$I$5:$I$14,MATCH(IF(MONTH(B236)=1,YEAR(B236)-1,YEAR(B236)),CONFIG!$H$5:$H$14,0)),CONFIG!$B$4))</f>
        <v>117.31</v>
      </c>
      <c r="AW236" s="27" t="n">
        <f aca="false">IF(AND(LEFT(D236,4)="I - ",ISNUMBER(B236),C236&lt;&gt;""),SUMIFS($E$6:$E$505,$C$6:$C$505,C236,$D$6:$D$505,D236,$B$6:$B$505,"&gt;"&amp;(B236-1),$B$6:$B$505,"&lt;="&amp;B236),0)</f>
        <v>0</v>
      </c>
      <c r="AX236" s="0" t="str">
        <f aca="false">IF(E236="","",IF(AD236="Siempre","AVISO (siempre)",IF(AD236="No aplica","Sin Aviso (sólo preparas: Ley 17 XI)",IF(NOT(ISNUMBER(AE236)),"",IF(AA236&lt;&gt;"ACUMULA",IF(E236&gt;=AE236,IF(AND(D236="XVI - Activos virtuales (PSAV): cobro de contraprestación (comisión) por el servicio",COUNTIFS($C$6:$C$505,C236,$B$6:$B$505,"&gt;="&amp;INT(B236),$B$6:$B$505,"&lt;"&amp;(INT(B236)+1),$AU$6:$AU$505,1)&gt;0),"En el Aviso del inciso a) (R 31 Bis)","AVISO"),"—"),IF(M236&lt;&gt;"Sí","—",IF(AK236&gt;=AE236,IF(AK236=E236,"AVISO","AVISO (acumulado)"),"Acumulando")))))))</f>
        <v/>
      </c>
    </row>
    <row r="237" customFormat="false" ht="15" hidden="false" customHeight="false" outlineLevel="0" collapsed="false">
      <c r="A237" s="9" t="str">
        <f aca="false">IF(E237="","",ROW()-5)</f>
        <v/>
      </c>
      <c r="B237" s="20"/>
      <c r="C237" s="21"/>
      <c r="D237" s="21"/>
      <c r="E237" s="22"/>
      <c r="F237" s="22"/>
      <c r="G237" s="21"/>
      <c r="H237" s="21"/>
      <c r="I237" s="9" t="str">
        <f aca="false">IF(C237="","",IFERROR(INDEX(CLIENTES!$B$6:$B$305,MATCH(C237,CLIENTES!$A$6:$A$305,0)),"⚠ ID no registrado"))</f>
        <v/>
      </c>
      <c r="J237" s="9" t="str">
        <f aca="false">IF(C237="","",IFERROR(INDEX(CLIENTES!$Z$6:$Z$305,MATCH(C237,CLIENTES!$A$6:$A$305,0)),""))</f>
        <v/>
      </c>
      <c r="K237" s="9" t="str">
        <f aca="false">IF(E237="","",IF(AB237="Siempre","Sí",IF(ISNUMBER(AC237),IF(E237&gt;=AC237,"Sí",IF(AW237&gt;=AC237,"Sí (serie 24 h)","No")),"")))</f>
        <v/>
      </c>
      <c r="L237" s="9" t="str">
        <f aca="false">IF(E237="","",AA237)</f>
        <v/>
      </c>
      <c r="M237" s="9" t="str">
        <f aca="false">IF(E237="","",IF(AA237&lt;&gt;"ACUMULA","No aplica",IF(LEFT(K237,2)="Sí","Sí","No")))</f>
        <v/>
      </c>
      <c r="N237" s="23" t="str">
        <f aca="false">IF(M237="Sí",AJ237,"")</f>
        <v/>
      </c>
      <c r="O237" s="24" t="str">
        <f aca="false">IF(M237="Sí",AK237,"")</f>
        <v/>
      </c>
      <c r="P237" s="25" t="str">
        <f aca="false">IF(AND(LEFT(D237,6)="XIV - ",LEFT(AX237,5)="AVISO"),"Pedimento (R 16): no va al SPPLD",AX237)</f>
        <v/>
      </c>
      <c r="Q237" s="23" t="str">
        <f aca="false">IF(LEFT(P237,5)="AVISO",IF(ISNUMBER(B237),DATE(YEAR(B237),MONTH(B237)+1,17),"Falta fecha"),"")</f>
        <v/>
      </c>
      <c r="R237" s="9" t="str">
        <f aca="false">IF(OR(F237="",F237=0),"",IF(ISNUMBER(AG237),IF(F237&gt;=AG237,"PROHIBIDO","Dentro del límite"),"No aplica"))</f>
        <v/>
      </c>
      <c r="S237" s="26" t="str">
        <f aca="false">IF(E237="","",MID(IF(AQ237=1," · Excede el perfil declarado","")&amp;IF(H237="Sí"," · Paga un tercero","")&amp;IF(J237="Alto"," · Cliente de riesgo alto: DDR (RCG 23 Ter 3 y 4)","")&amp;IF(AND(AS237&lt;&gt;"",AS237&lt;&gt;"No",AS237&lt;&gt;0)," · PEP","")&amp;IF(R237="PROHIBIDO"," · Efectivo prohibido: no lo recibas (Art. 32)","")&amp;IF(AR237=1," · ⚠ Fecha fuera de orden","")&amp;IF(LEFT(I237,1)="⚠"," · ⚠ Cliente no registrado","")&amp;IF(D237=""," · ⚠ Falta la actividad","")&amp;IF(AND(LEFT(P237,5)="AVISO",W237="")," · Captura la cifra total con IVA para el Aviso","")&amp;IF(AND(ISNUMBER(W237),W237&lt;E237)," · ⚠ La cifra con IVA es menor que el monto sin IVA",""),4,400))</f>
        <v/>
      </c>
      <c r="T237" s="21"/>
      <c r="U237" s="20"/>
      <c r="V237" s="9" t="str">
        <f aca="false">IF(LEFT(P237,5)&lt;&gt;"AVISO","",IF(T237="Presentado",IF(AND(ISNUMBER(U237),ISNUMBER(Q237),U237&gt;Q237),"Presentado tarde","Presentado"),IF(NOT(ISNUMBER(Q237)),"Falta fecha",IF(Q237&lt;CONFIG!$B$6,"VENCIDO","Vence en "&amp;(Q237-CONFIG!$B$6)&amp;" días"))))</f>
        <v/>
      </c>
      <c r="W237" s="22"/>
      <c r="X237" s="21"/>
      <c r="AA237" s="0" t="str">
        <f aca="false">IF(AM237="","",INDEX(CATÁLOGO!$D$5:$D$39,AM237))</f>
        <v/>
      </c>
      <c r="AB237" s="0" t="str">
        <f aca="false">IF(AM237="","",INDEX(CATÁLOGO!$E$5:$E$39,AM237))</f>
        <v/>
      </c>
      <c r="AC237" s="0" t="str">
        <f aca="false">IF(AB237="","",IF(ISNUMBER(AB237),AB237*AV237,AB237))</f>
        <v/>
      </c>
      <c r="AD237" s="0" t="str">
        <f aca="false">IF(AM237="","",INDEX(CATÁLOGO!$F$5:$F$39,AM237))</f>
        <v/>
      </c>
      <c r="AE237" s="0" t="str">
        <f aca="false">IF(AD237="","",IF(ISNUMBER(AD237),AD237*AV237,AD237))</f>
        <v/>
      </c>
      <c r="AF237" s="0" t="str">
        <f aca="false">IF(AM237="","",INDEX(CATÁLOGO!$G$5:$G$39,AM237))</f>
        <v/>
      </c>
      <c r="AG237" s="0" t="str">
        <f aca="false">IF(AF237="","",IF(ISNUMBER(AF237),AF237*AV237,AF237))</f>
        <v/>
      </c>
      <c r="AH237" s="0" t="str">
        <f aca="false">IF(E237="","",C237&amp;"|"&amp;D237)</f>
        <v/>
      </c>
      <c r="AI237" s="27" t="n">
        <f aca="false">IF(M237&lt;&gt;"Sí",0,SUMPRODUCT(MAX(($AH$5:AH236=AH237)*($M$5:M236="Sí")*ROW($AH$5:AH236))))</f>
        <v>0</v>
      </c>
      <c r="AJ237" s="0" t="str">
        <f aca="false">IF(M237&lt;&gt;"Sí","",IF(AL237=1,B237,INDEX($AJ:$AJ,AI237)))</f>
        <v/>
      </c>
      <c r="AK237" s="0" t="str">
        <f aca="false">IF(M237&lt;&gt;"Sí","",IF(AL237=1,E237,INDEX($AK:$AK,AI237)+E237))</f>
        <v/>
      </c>
      <c r="AL237" s="0" t="str">
        <f aca="false">IF(M237&lt;&gt;"Sí","",IF(AI237=0,1,IF(INDEX($AN:$AN,AI237)=0,1,IF(B237&gt;=EDATE(INDEX($AJ:$AJ,AI237),6),1,0))))</f>
        <v/>
      </c>
      <c r="AM237" s="0" t="str">
        <f aca="false">IF(D237="","",IFERROR(MATCH(D237,CATÁLOGO!$C$5:$C$39,0),""))</f>
        <v/>
      </c>
      <c r="AN237" s="0" t="str">
        <f aca="false">IF(M237&lt;&gt;"Sí","",IF(AND(ISNUMBER(AE237),AK237&gt;=AE237),0,1))</f>
        <v/>
      </c>
      <c r="AO237" s="0" t="str">
        <f aca="false">IF(OR(E237="",C237="",NOT(ISNUMBER(B237))),"",SUMIFS($E$6:$E$505,$C$6:$C$505,C237,$B$6:$B$505,"&gt;="&amp;DATE(YEAR(B237),MONTH(B237),1),$B$6:$B$505,"&lt;"&amp;DATE(YEAR(B237),MONTH(B237)+1,1)))</f>
        <v/>
      </c>
      <c r="AP237" s="0" t="str">
        <f aca="false">IF(C237="","",IFERROR(INDEX(CLIENTES!$M$6:$M$305,MATCH(C237,CLIENTES!$A$6:$A$305,0)),""))</f>
        <v/>
      </c>
      <c r="AQ237" s="27" t="n">
        <f aca="false">IF(AND(ISNUMBER(AO237),ISNUMBER(AP237)),IF(AND(AP237&gt;0,AO237&gt;AP237),1,0),0)</f>
        <v>0</v>
      </c>
      <c r="AR237" s="27" t="n">
        <f aca="false">IF(NOT(ISNUMBER(B237)),0,IF(B237&lt;MAX($B$5:B236),1,0))</f>
        <v>0</v>
      </c>
      <c r="AS237" s="0" t="str">
        <f aca="false">IF(C237="","",IFERROR(INDEX(CLIENTES!$H$6:$H$305,MATCH(C237,CLIENTES!$A$6:$A$305,0)),""))</f>
        <v/>
      </c>
      <c r="AT237" s="0" t="str">
        <f aca="false">IF(AND(LEFT(P237,5)="AVISO",T237&lt;&gt;"Presentado",ISNUMBER(Q237)),Q237,"")</f>
        <v/>
      </c>
      <c r="AU237" s="27" t="n">
        <f aca="false">IF(AND(D237="XVI - Activos virtuales (PSAV): operación de intercambio/transferencia",M237="Sí",ISNUMBER(AE237)),IF(AK237&gt;=AE237,1,0),0)</f>
        <v>0</v>
      </c>
      <c r="AV237" s="30" t="n">
        <f aca="false">IF(NOT(ISNUMBER(B237)),CONFIG!$B$4,IFERROR(INDEX(CONFIG!$I$5:$I$14,MATCH(IF(MONTH(B237)=1,YEAR(B237)-1,YEAR(B237)),CONFIG!$H$5:$H$14,0)),CONFIG!$B$4))</f>
        <v>117.31</v>
      </c>
      <c r="AW237" s="27" t="n">
        <f aca="false">IF(AND(LEFT(D237,4)="I - ",ISNUMBER(B237),C237&lt;&gt;""),SUMIFS($E$6:$E$505,$C$6:$C$505,C237,$D$6:$D$505,D237,$B$6:$B$505,"&gt;"&amp;(B237-1),$B$6:$B$505,"&lt;="&amp;B237),0)</f>
        <v>0</v>
      </c>
      <c r="AX237" s="0" t="str">
        <f aca="false">IF(E237="","",IF(AD237="Siempre","AVISO (siempre)",IF(AD237="No aplica","Sin Aviso (sólo preparas: Ley 17 XI)",IF(NOT(ISNUMBER(AE237)),"",IF(AA237&lt;&gt;"ACUMULA",IF(E237&gt;=AE237,IF(AND(D237="XVI - Activos virtuales (PSAV): cobro de contraprestación (comisión) por el servicio",COUNTIFS($C$6:$C$505,C237,$B$6:$B$505,"&gt;="&amp;INT(B237),$B$6:$B$505,"&lt;"&amp;(INT(B237)+1),$AU$6:$AU$505,1)&gt;0),"En el Aviso del inciso a) (R 31 Bis)","AVISO"),"—"),IF(M237&lt;&gt;"Sí","—",IF(AK237&gt;=AE237,IF(AK237=E237,"AVISO","AVISO (acumulado)"),"Acumulando")))))))</f>
        <v/>
      </c>
    </row>
    <row r="238" customFormat="false" ht="15" hidden="false" customHeight="false" outlineLevel="0" collapsed="false">
      <c r="A238" s="9" t="str">
        <f aca="false">IF(E238="","",ROW()-5)</f>
        <v/>
      </c>
      <c r="B238" s="20"/>
      <c r="C238" s="21"/>
      <c r="D238" s="21"/>
      <c r="E238" s="22"/>
      <c r="F238" s="22"/>
      <c r="G238" s="21"/>
      <c r="H238" s="21"/>
      <c r="I238" s="9" t="str">
        <f aca="false">IF(C238="","",IFERROR(INDEX(CLIENTES!$B$6:$B$305,MATCH(C238,CLIENTES!$A$6:$A$305,0)),"⚠ ID no registrado"))</f>
        <v/>
      </c>
      <c r="J238" s="9" t="str">
        <f aca="false">IF(C238="","",IFERROR(INDEX(CLIENTES!$Z$6:$Z$305,MATCH(C238,CLIENTES!$A$6:$A$305,0)),""))</f>
        <v/>
      </c>
      <c r="K238" s="9" t="str">
        <f aca="false">IF(E238="","",IF(AB238="Siempre","Sí",IF(ISNUMBER(AC238),IF(E238&gt;=AC238,"Sí",IF(AW238&gt;=AC238,"Sí (serie 24 h)","No")),"")))</f>
        <v/>
      </c>
      <c r="L238" s="9" t="str">
        <f aca="false">IF(E238="","",AA238)</f>
        <v/>
      </c>
      <c r="M238" s="9" t="str">
        <f aca="false">IF(E238="","",IF(AA238&lt;&gt;"ACUMULA","No aplica",IF(LEFT(K238,2)="Sí","Sí","No")))</f>
        <v/>
      </c>
      <c r="N238" s="23" t="str">
        <f aca="false">IF(M238="Sí",AJ238,"")</f>
        <v/>
      </c>
      <c r="O238" s="24" t="str">
        <f aca="false">IF(M238="Sí",AK238,"")</f>
        <v/>
      </c>
      <c r="P238" s="25" t="str">
        <f aca="false">IF(AND(LEFT(D238,6)="XIV - ",LEFT(AX238,5)="AVISO"),"Pedimento (R 16): no va al SPPLD",AX238)</f>
        <v/>
      </c>
      <c r="Q238" s="23" t="str">
        <f aca="false">IF(LEFT(P238,5)="AVISO",IF(ISNUMBER(B238),DATE(YEAR(B238),MONTH(B238)+1,17),"Falta fecha"),"")</f>
        <v/>
      </c>
      <c r="R238" s="9" t="str">
        <f aca="false">IF(OR(F238="",F238=0),"",IF(ISNUMBER(AG238),IF(F238&gt;=AG238,"PROHIBIDO","Dentro del límite"),"No aplica"))</f>
        <v/>
      </c>
      <c r="S238" s="26" t="str">
        <f aca="false">IF(E238="","",MID(IF(AQ238=1," · Excede el perfil declarado","")&amp;IF(H238="Sí"," · Paga un tercero","")&amp;IF(J238="Alto"," · Cliente de riesgo alto: DDR (RCG 23 Ter 3 y 4)","")&amp;IF(AND(AS238&lt;&gt;"",AS238&lt;&gt;"No",AS238&lt;&gt;0)," · PEP","")&amp;IF(R238="PROHIBIDO"," · Efectivo prohibido: no lo recibas (Art. 32)","")&amp;IF(AR238=1," · ⚠ Fecha fuera de orden","")&amp;IF(LEFT(I238,1)="⚠"," · ⚠ Cliente no registrado","")&amp;IF(D238=""," · ⚠ Falta la actividad","")&amp;IF(AND(LEFT(P238,5)="AVISO",W238="")," · Captura la cifra total con IVA para el Aviso","")&amp;IF(AND(ISNUMBER(W238),W238&lt;E238)," · ⚠ La cifra con IVA es menor que el monto sin IVA",""),4,400))</f>
        <v/>
      </c>
      <c r="T238" s="21"/>
      <c r="U238" s="20"/>
      <c r="V238" s="9" t="str">
        <f aca="false">IF(LEFT(P238,5)&lt;&gt;"AVISO","",IF(T238="Presentado",IF(AND(ISNUMBER(U238),ISNUMBER(Q238),U238&gt;Q238),"Presentado tarde","Presentado"),IF(NOT(ISNUMBER(Q238)),"Falta fecha",IF(Q238&lt;CONFIG!$B$6,"VENCIDO","Vence en "&amp;(Q238-CONFIG!$B$6)&amp;" días"))))</f>
        <v/>
      </c>
      <c r="W238" s="22"/>
      <c r="X238" s="21"/>
      <c r="AA238" s="0" t="str">
        <f aca="false">IF(AM238="","",INDEX(CATÁLOGO!$D$5:$D$39,AM238))</f>
        <v/>
      </c>
      <c r="AB238" s="0" t="str">
        <f aca="false">IF(AM238="","",INDEX(CATÁLOGO!$E$5:$E$39,AM238))</f>
        <v/>
      </c>
      <c r="AC238" s="0" t="str">
        <f aca="false">IF(AB238="","",IF(ISNUMBER(AB238),AB238*AV238,AB238))</f>
        <v/>
      </c>
      <c r="AD238" s="0" t="str">
        <f aca="false">IF(AM238="","",INDEX(CATÁLOGO!$F$5:$F$39,AM238))</f>
        <v/>
      </c>
      <c r="AE238" s="0" t="str">
        <f aca="false">IF(AD238="","",IF(ISNUMBER(AD238),AD238*AV238,AD238))</f>
        <v/>
      </c>
      <c r="AF238" s="0" t="str">
        <f aca="false">IF(AM238="","",INDEX(CATÁLOGO!$G$5:$G$39,AM238))</f>
        <v/>
      </c>
      <c r="AG238" s="0" t="str">
        <f aca="false">IF(AF238="","",IF(ISNUMBER(AF238),AF238*AV238,AF238))</f>
        <v/>
      </c>
      <c r="AH238" s="0" t="str">
        <f aca="false">IF(E238="","",C238&amp;"|"&amp;D238)</f>
        <v/>
      </c>
      <c r="AI238" s="27" t="n">
        <f aca="false">IF(M238&lt;&gt;"Sí",0,SUMPRODUCT(MAX(($AH$5:AH237=AH238)*($M$5:M237="Sí")*ROW($AH$5:AH237))))</f>
        <v>0</v>
      </c>
      <c r="AJ238" s="0" t="str">
        <f aca="false">IF(M238&lt;&gt;"Sí","",IF(AL238=1,B238,INDEX($AJ:$AJ,AI238)))</f>
        <v/>
      </c>
      <c r="AK238" s="0" t="str">
        <f aca="false">IF(M238&lt;&gt;"Sí","",IF(AL238=1,E238,INDEX($AK:$AK,AI238)+E238))</f>
        <v/>
      </c>
      <c r="AL238" s="0" t="str">
        <f aca="false">IF(M238&lt;&gt;"Sí","",IF(AI238=0,1,IF(INDEX($AN:$AN,AI238)=0,1,IF(B238&gt;=EDATE(INDEX($AJ:$AJ,AI238),6),1,0))))</f>
        <v/>
      </c>
      <c r="AM238" s="0" t="str">
        <f aca="false">IF(D238="","",IFERROR(MATCH(D238,CATÁLOGO!$C$5:$C$39,0),""))</f>
        <v/>
      </c>
      <c r="AN238" s="0" t="str">
        <f aca="false">IF(M238&lt;&gt;"Sí","",IF(AND(ISNUMBER(AE238),AK238&gt;=AE238),0,1))</f>
        <v/>
      </c>
      <c r="AO238" s="0" t="str">
        <f aca="false">IF(OR(E238="",C238="",NOT(ISNUMBER(B238))),"",SUMIFS($E$6:$E$505,$C$6:$C$505,C238,$B$6:$B$505,"&gt;="&amp;DATE(YEAR(B238),MONTH(B238),1),$B$6:$B$505,"&lt;"&amp;DATE(YEAR(B238),MONTH(B238)+1,1)))</f>
        <v/>
      </c>
      <c r="AP238" s="0" t="str">
        <f aca="false">IF(C238="","",IFERROR(INDEX(CLIENTES!$M$6:$M$305,MATCH(C238,CLIENTES!$A$6:$A$305,0)),""))</f>
        <v/>
      </c>
      <c r="AQ238" s="27" t="n">
        <f aca="false">IF(AND(ISNUMBER(AO238),ISNUMBER(AP238)),IF(AND(AP238&gt;0,AO238&gt;AP238),1,0),0)</f>
        <v>0</v>
      </c>
      <c r="AR238" s="27" t="n">
        <f aca="false">IF(NOT(ISNUMBER(B238)),0,IF(B238&lt;MAX($B$5:B237),1,0))</f>
        <v>0</v>
      </c>
      <c r="AS238" s="0" t="str">
        <f aca="false">IF(C238="","",IFERROR(INDEX(CLIENTES!$H$6:$H$305,MATCH(C238,CLIENTES!$A$6:$A$305,0)),""))</f>
        <v/>
      </c>
      <c r="AT238" s="0" t="str">
        <f aca="false">IF(AND(LEFT(P238,5)="AVISO",T238&lt;&gt;"Presentado",ISNUMBER(Q238)),Q238,"")</f>
        <v/>
      </c>
      <c r="AU238" s="27" t="n">
        <f aca="false">IF(AND(D238="XVI - Activos virtuales (PSAV): operación de intercambio/transferencia",M238="Sí",ISNUMBER(AE238)),IF(AK238&gt;=AE238,1,0),0)</f>
        <v>0</v>
      </c>
      <c r="AV238" s="30" t="n">
        <f aca="false">IF(NOT(ISNUMBER(B238)),CONFIG!$B$4,IFERROR(INDEX(CONFIG!$I$5:$I$14,MATCH(IF(MONTH(B238)=1,YEAR(B238)-1,YEAR(B238)),CONFIG!$H$5:$H$14,0)),CONFIG!$B$4))</f>
        <v>117.31</v>
      </c>
      <c r="AW238" s="27" t="n">
        <f aca="false">IF(AND(LEFT(D238,4)="I - ",ISNUMBER(B238),C238&lt;&gt;""),SUMIFS($E$6:$E$505,$C$6:$C$505,C238,$D$6:$D$505,D238,$B$6:$B$505,"&gt;"&amp;(B238-1),$B$6:$B$505,"&lt;="&amp;B238),0)</f>
        <v>0</v>
      </c>
      <c r="AX238" s="0" t="str">
        <f aca="false">IF(E238="","",IF(AD238="Siempre","AVISO (siempre)",IF(AD238="No aplica","Sin Aviso (sólo preparas: Ley 17 XI)",IF(NOT(ISNUMBER(AE238)),"",IF(AA238&lt;&gt;"ACUMULA",IF(E238&gt;=AE238,IF(AND(D238="XVI - Activos virtuales (PSAV): cobro de contraprestación (comisión) por el servicio",COUNTIFS($C$6:$C$505,C238,$B$6:$B$505,"&gt;="&amp;INT(B238),$B$6:$B$505,"&lt;"&amp;(INT(B238)+1),$AU$6:$AU$505,1)&gt;0),"En el Aviso del inciso a) (R 31 Bis)","AVISO"),"—"),IF(M238&lt;&gt;"Sí","—",IF(AK238&gt;=AE238,IF(AK238=E238,"AVISO","AVISO (acumulado)"),"Acumulando")))))))</f>
        <v/>
      </c>
    </row>
    <row r="239" customFormat="false" ht="15" hidden="false" customHeight="false" outlineLevel="0" collapsed="false">
      <c r="A239" s="9" t="str">
        <f aca="false">IF(E239="","",ROW()-5)</f>
        <v/>
      </c>
      <c r="B239" s="20"/>
      <c r="C239" s="21"/>
      <c r="D239" s="21"/>
      <c r="E239" s="22"/>
      <c r="F239" s="22"/>
      <c r="G239" s="21"/>
      <c r="H239" s="21"/>
      <c r="I239" s="9" t="str">
        <f aca="false">IF(C239="","",IFERROR(INDEX(CLIENTES!$B$6:$B$305,MATCH(C239,CLIENTES!$A$6:$A$305,0)),"⚠ ID no registrado"))</f>
        <v/>
      </c>
      <c r="J239" s="9" t="str">
        <f aca="false">IF(C239="","",IFERROR(INDEX(CLIENTES!$Z$6:$Z$305,MATCH(C239,CLIENTES!$A$6:$A$305,0)),""))</f>
        <v/>
      </c>
      <c r="K239" s="9" t="str">
        <f aca="false">IF(E239="","",IF(AB239="Siempre","Sí",IF(ISNUMBER(AC239),IF(E239&gt;=AC239,"Sí",IF(AW239&gt;=AC239,"Sí (serie 24 h)","No")),"")))</f>
        <v/>
      </c>
      <c r="L239" s="9" t="str">
        <f aca="false">IF(E239="","",AA239)</f>
        <v/>
      </c>
      <c r="M239" s="9" t="str">
        <f aca="false">IF(E239="","",IF(AA239&lt;&gt;"ACUMULA","No aplica",IF(LEFT(K239,2)="Sí","Sí","No")))</f>
        <v/>
      </c>
      <c r="N239" s="23" t="str">
        <f aca="false">IF(M239="Sí",AJ239,"")</f>
        <v/>
      </c>
      <c r="O239" s="24" t="str">
        <f aca="false">IF(M239="Sí",AK239,"")</f>
        <v/>
      </c>
      <c r="P239" s="25" t="str">
        <f aca="false">IF(AND(LEFT(D239,6)="XIV - ",LEFT(AX239,5)="AVISO"),"Pedimento (R 16): no va al SPPLD",AX239)</f>
        <v/>
      </c>
      <c r="Q239" s="23" t="str">
        <f aca="false">IF(LEFT(P239,5)="AVISO",IF(ISNUMBER(B239),DATE(YEAR(B239),MONTH(B239)+1,17),"Falta fecha"),"")</f>
        <v/>
      </c>
      <c r="R239" s="9" t="str">
        <f aca="false">IF(OR(F239="",F239=0),"",IF(ISNUMBER(AG239),IF(F239&gt;=AG239,"PROHIBIDO","Dentro del límite"),"No aplica"))</f>
        <v/>
      </c>
      <c r="S239" s="26" t="str">
        <f aca="false">IF(E239="","",MID(IF(AQ239=1," · Excede el perfil declarado","")&amp;IF(H239="Sí"," · Paga un tercero","")&amp;IF(J239="Alto"," · Cliente de riesgo alto: DDR (RCG 23 Ter 3 y 4)","")&amp;IF(AND(AS239&lt;&gt;"",AS239&lt;&gt;"No",AS239&lt;&gt;0)," · PEP","")&amp;IF(R239="PROHIBIDO"," · Efectivo prohibido: no lo recibas (Art. 32)","")&amp;IF(AR239=1," · ⚠ Fecha fuera de orden","")&amp;IF(LEFT(I239,1)="⚠"," · ⚠ Cliente no registrado","")&amp;IF(D239=""," · ⚠ Falta la actividad","")&amp;IF(AND(LEFT(P239,5)="AVISO",W239="")," · Captura la cifra total con IVA para el Aviso","")&amp;IF(AND(ISNUMBER(W239),W239&lt;E239)," · ⚠ La cifra con IVA es menor que el monto sin IVA",""),4,400))</f>
        <v/>
      </c>
      <c r="T239" s="21"/>
      <c r="U239" s="20"/>
      <c r="V239" s="9" t="str">
        <f aca="false">IF(LEFT(P239,5)&lt;&gt;"AVISO","",IF(T239="Presentado",IF(AND(ISNUMBER(U239),ISNUMBER(Q239),U239&gt;Q239),"Presentado tarde","Presentado"),IF(NOT(ISNUMBER(Q239)),"Falta fecha",IF(Q239&lt;CONFIG!$B$6,"VENCIDO","Vence en "&amp;(Q239-CONFIG!$B$6)&amp;" días"))))</f>
        <v/>
      </c>
      <c r="W239" s="22"/>
      <c r="X239" s="21"/>
      <c r="AA239" s="0" t="str">
        <f aca="false">IF(AM239="","",INDEX(CATÁLOGO!$D$5:$D$39,AM239))</f>
        <v/>
      </c>
      <c r="AB239" s="0" t="str">
        <f aca="false">IF(AM239="","",INDEX(CATÁLOGO!$E$5:$E$39,AM239))</f>
        <v/>
      </c>
      <c r="AC239" s="0" t="str">
        <f aca="false">IF(AB239="","",IF(ISNUMBER(AB239),AB239*AV239,AB239))</f>
        <v/>
      </c>
      <c r="AD239" s="0" t="str">
        <f aca="false">IF(AM239="","",INDEX(CATÁLOGO!$F$5:$F$39,AM239))</f>
        <v/>
      </c>
      <c r="AE239" s="0" t="str">
        <f aca="false">IF(AD239="","",IF(ISNUMBER(AD239),AD239*AV239,AD239))</f>
        <v/>
      </c>
      <c r="AF239" s="0" t="str">
        <f aca="false">IF(AM239="","",INDEX(CATÁLOGO!$G$5:$G$39,AM239))</f>
        <v/>
      </c>
      <c r="AG239" s="0" t="str">
        <f aca="false">IF(AF239="","",IF(ISNUMBER(AF239),AF239*AV239,AF239))</f>
        <v/>
      </c>
      <c r="AH239" s="0" t="str">
        <f aca="false">IF(E239="","",C239&amp;"|"&amp;D239)</f>
        <v/>
      </c>
      <c r="AI239" s="27" t="n">
        <f aca="false">IF(M239&lt;&gt;"Sí",0,SUMPRODUCT(MAX(($AH$5:AH238=AH239)*($M$5:M238="Sí")*ROW($AH$5:AH238))))</f>
        <v>0</v>
      </c>
      <c r="AJ239" s="0" t="str">
        <f aca="false">IF(M239&lt;&gt;"Sí","",IF(AL239=1,B239,INDEX($AJ:$AJ,AI239)))</f>
        <v/>
      </c>
      <c r="AK239" s="0" t="str">
        <f aca="false">IF(M239&lt;&gt;"Sí","",IF(AL239=1,E239,INDEX($AK:$AK,AI239)+E239))</f>
        <v/>
      </c>
      <c r="AL239" s="0" t="str">
        <f aca="false">IF(M239&lt;&gt;"Sí","",IF(AI239=0,1,IF(INDEX($AN:$AN,AI239)=0,1,IF(B239&gt;=EDATE(INDEX($AJ:$AJ,AI239),6),1,0))))</f>
        <v/>
      </c>
      <c r="AM239" s="0" t="str">
        <f aca="false">IF(D239="","",IFERROR(MATCH(D239,CATÁLOGO!$C$5:$C$39,0),""))</f>
        <v/>
      </c>
      <c r="AN239" s="0" t="str">
        <f aca="false">IF(M239&lt;&gt;"Sí","",IF(AND(ISNUMBER(AE239),AK239&gt;=AE239),0,1))</f>
        <v/>
      </c>
      <c r="AO239" s="0" t="str">
        <f aca="false">IF(OR(E239="",C239="",NOT(ISNUMBER(B239))),"",SUMIFS($E$6:$E$505,$C$6:$C$505,C239,$B$6:$B$505,"&gt;="&amp;DATE(YEAR(B239),MONTH(B239),1),$B$6:$B$505,"&lt;"&amp;DATE(YEAR(B239),MONTH(B239)+1,1)))</f>
        <v/>
      </c>
      <c r="AP239" s="0" t="str">
        <f aca="false">IF(C239="","",IFERROR(INDEX(CLIENTES!$M$6:$M$305,MATCH(C239,CLIENTES!$A$6:$A$305,0)),""))</f>
        <v/>
      </c>
      <c r="AQ239" s="27" t="n">
        <f aca="false">IF(AND(ISNUMBER(AO239),ISNUMBER(AP239)),IF(AND(AP239&gt;0,AO239&gt;AP239),1,0),0)</f>
        <v>0</v>
      </c>
      <c r="AR239" s="27" t="n">
        <f aca="false">IF(NOT(ISNUMBER(B239)),0,IF(B239&lt;MAX($B$5:B238),1,0))</f>
        <v>0</v>
      </c>
      <c r="AS239" s="0" t="str">
        <f aca="false">IF(C239="","",IFERROR(INDEX(CLIENTES!$H$6:$H$305,MATCH(C239,CLIENTES!$A$6:$A$305,0)),""))</f>
        <v/>
      </c>
      <c r="AT239" s="0" t="str">
        <f aca="false">IF(AND(LEFT(P239,5)="AVISO",T239&lt;&gt;"Presentado",ISNUMBER(Q239)),Q239,"")</f>
        <v/>
      </c>
      <c r="AU239" s="27" t="n">
        <f aca="false">IF(AND(D239="XVI - Activos virtuales (PSAV): operación de intercambio/transferencia",M239="Sí",ISNUMBER(AE239)),IF(AK239&gt;=AE239,1,0),0)</f>
        <v>0</v>
      </c>
      <c r="AV239" s="30" t="n">
        <f aca="false">IF(NOT(ISNUMBER(B239)),CONFIG!$B$4,IFERROR(INDEX(CONFIG!$I$5:$I$14,MATCH(IF(MONTH(B239)=1,YEAR(B239)-1,YEAR(B239)),CONFIG!$H$5:$H$14,0)),CONFIG!$B$4))</f>
        <v>117.31</v>
      </c>
      <c r="AW239" s="27" t="n">
        <f aca="false">IF(AND(LEFT(D239,4)="I - ",ISNUMBER(B239),C239&lt;&gt;""),SUMIFS($E$6:$E$505,$C$6:$C$505,C239,$D$6:$D$505,D239,$B$6:$B$505,"&gt;"&amp;(B239-1),$B$6:$B$505,"&lt;="&amp;B239),0)</f>
        <v>0</v>
      </c>
      <c r="AX239" s="0" t="str">
        <f aca="false">IF(E239="","",IF(AD239="Siempre","AVISO (siempre)",IF(AD239="No aplica","Sin Aviso (sólo preparas: Ley 17 XI)",IF(NOT(ISNUMBER(AE239)),"",IF(AA239&lt;&gt;"ACUMULA",IF(E239&gt;=AE239,IF(AND(D239="XVI - Activos virtuales (PSAV): cobro de contraprestación (comisión) por el servicio",COUNTIFS($C$6:$C$505,C239,$B$6:$B$505,"&gt;="&amp;INT(B239),$B$6:$B$505,"&lt;"&amp;(INT(B239)+1),$AU$6:$AU$505,1)&gt;0),"En el Aviso del inciso a) (R 31 Bis)","AVISO"),"—"),IF(M239&lt;&gt;"Sí","—",IF(AK239&gt;=AE239,IF(AK239=E239,"AVISO","AVISO (acumulado)"),"Acumulando")))))))</f>
        <v/>
      </c>
    </row>
    <row r="240" customFormat="false" ht="15" hidden="false" customHeight="false" outlineLevel="0" collapsed="false">
      <c r="A240" s="9" t="str">
        <f aca="false">IF(E240="","",ROW()-5)</f>
        <v/>
      </c>
      <c r="B240" s="20"/>
      <c r="C240" s="21"/>
      <c r="D240" s="21"/>
      <c r="E240" s="22"/>
      <c r="F240" s="22"/>
      <c r="G240" s="21"/>
      <c r="H240" s="21"/>
      <c r="I240" s="9" t="str">
        <f aca="false">IF(C240="","",IFERROR(INDEX(CLIENTES!$B$6:$B$305,MATCH(C240,CLIENTES!$A$6:$A$305,0)),"⚠ ID no registrado"))</f>
        <v/>
      </c>
      <c r="J240" s="9" t="str">
        <f aca="false">IF(C240="","",IFERROR(INDEX(CLIENTES!$Z$6:$Z$305,MATCH(C240,CLIENTES!$A$6:$A$305,0)),""))</f>
        <v/>
      </c>
      <c r="K240" s="9" t="str">
        <f aca="false">IF(E240="","",IF(AB240="Siempre","Sí",IF(ISNUMBER(AC240),IF(E240&gt;=AC240,"Sí",IF(AW240&gt;=AC240,"Sí (serie 24 h)","No")),"")))</f>
        <v/>
      </c>
      <c r="L240" s="9" t="str">
        <f aca="false">IF(E240="","",AA240)</f>
        <v/>
      </c>
      <c r="M240" s="9" t="str">
        <f aca="false">IF(E240="","",IF(AA240&lt;&gt;"ACUMULA","No aplica",IF(LEFT(K240,2)="Sí","Sí","No")))</f>
        <v/>
      </c>
      <c r="N240" s="23" t="str">
        <f aca="false">IF(M240="Sí",AJ240,"")</f>
        <v/>
      </c>
      <c r="O240" s="24" t="str">
        <f aca="false">IF(M240="Sí",AK240,"")</f>
        <v/>
      </c>
      <c r="P240" s="25" t="str">
        <f aca="false">IF(AND(LEFT(D240,6)="XIV - ",LEFT(AX240,5)="AVISO"),"Pedimento (R 16): no va al SPPLD",AX240)</f>
        <v/>
      </c>
      <c r="Q240" s="23" t="str">
        <f aca="false">IF(LEFT(P240,5)="AVISO",IF(ISNUMBER(B240),DATE(YEAR(B240),MONTH(B240)+1,17),"Falta fecha"),"")</f>
        <v/>
      </c>
      <c r="R240" s="9" t="str">
        <f aca="false">IF(OR(F240="",F240=0),"",IF(ISNUMBER(AG240),IF(F240&gt;=AG240,"PROHIBIDO","Dentro del límite"),"No aplica"))</f>
        <v/>
      </c>
      <c r="S240" s="26" t="str">
        <f aca="false">IF(E240="","",MID(IF(AQ240=1," · Excede el perfil declarado","")&amp;IF(H240="Sí"," · Paga un tercero","")&amp;IF(J240="Alto"," · Cliente de riesgo alto: DDR (RCG 23 Ter 3 y 4)","")&amp;IF(AND(AS240&lt;&gt;"",AS240&lt;&gt;"No",AS240&lt;&gt;0)," · PEP","")&amp;IF(R240="PROHIBIDO"," · Efectivo prohibido: no lo recibas (Art. 32)","")&amp;IF(AR240=1," · ⚠ Fecha fuera de orden","")&amp;IF(LEFT(I240,1)="⚠"," · ⚠ Cliente no registrado","")&amp;IF(D240=""," · ⚠ Falta la actividad","")&amp;IF(AND(LEFT(P240,5)="AVISO",W240="")," · Captura la cifra total con IVA para el Aviso","")&amp;IF(AND(ISNUMBER(W240),W240&lt;E240)," · ⚠ La cifra con IVA es menor que el monto sin IVA",""),4,400))</f>
        <v/>
      </c>
      <c r="T240" s="21"/>
      <c r="U240" s="20"/>
      <c r="V240" s="9" t="str">
        <f aca="false">IF(LEFT(P240,5)&lt;&gt;"AVISO","",IF(T240="Presentado",IF(AND(ISNUMBER(U240),ISNUMBER(Q240),U240&gt;Q240),"Presentado tarde","Presentado"),IF(NOT(ISNUMBER(Q240)),"Falta fecha",IF(Q240&lt;CONFIG!$B$6,"VENCIDO","Vence en "&amp;(Q240-CONFIG!$B$6)&amp;" días"))))</f>
        <v/>
      </c>
      <c r="W240" s="22"/>
      <c r="X240" s="21"/>
      <c r="AA240" s="0" t="str">
        <f aca="false">IF(AM240="","",INDEX(CATÁLOGO!$D$5:$D$39,AM240))</f>
        <v/>
      </c>
      <c r="AB240" s="0" t="str">
        <f aca="false">IF(AM240="","",INDEX(CATÁLOGO!$E$5:$E$39,AM240))</f>
        <v/>
      </c>
      <c r="AC240" s="0" t="str">
        <f aca="false">IF(AB240="","",IF(ISNUMBER(AB240),AB240*AV240,AB240))</f>
        <v/>
      </c>
      <c r="AD240" s="0" t="str">
        <f aca="false">IF(AM240="","",INDEX(CATÁLOGO!$F$5:$F$39,AM240))</f>
        <v/>
      </c>
      <c r="AE240" s="0" t="str">
        <f aca="false">IF(AD240="","",IF(ISNUMBER(AD240),AD240*AV240,AD240))</f>
        <v/>
      </c>
      <c r="AF240" s="0" t="str">
        <f aca="false">IF(AM240="","",INDEX(CATÁLOGO!$G$5:$G$39,AM240))</f>
        <v/>
      </c>
      <c r="AG240" s="0" t="str">
        <f aca="false">IF(AF240="","",IF(ISNUMBER(AF240),AF240*AV240,AF240))</f>
        <v/>
      </c>
      <c r="AH240" s="0" t="str">
        <f aca="false">IF(E240="","",C240&amp;"|"&amp;D240)</f>
        <v/>
      </c>
      <c r="AI240" s="27" t="n">
        <f aca="false">IF(M240&lt;&gt;"Sí",0,SUMPRODUCT(MAX(($AH$5:AH239=AH240)*($M$5:M239="Sí")*ROW($AH$5:AH239))))</f>
        <v>0</v>
      </c>
      <c r="AJ240" s="0" t="str">
        <f aca="false">IF(M240&lt;&gt;"Sí","",IF(AL240=1,B240,INDEX($AJ:$AJ,AI240)))</f>
        <v/>
      </c>
      <c r="AK240" s="0" t="str">
        <f aca="false">IF(M240&lt;&gt;"Sí","",IF(AL240=1,E240,INDEX($AK:$AK,AI240)+E240))</f>
        <v/>
      </c>
      <c r="AL240" s="0" t="str">
        <f aca="false">IF(M240&lt;&gt;"Sí","",IF(AI240=0,1,IF(INDEX($AN:$AN,AI240)=0,1,IF(B240&gt;=EDATE(INDEX($AJ:$AJ,AI240),6),1,0))))</f>
        <v/>
      </c>
      <c r="AM240" s="0" t="str">
        <f aca="false">IF(D240="","",IFERROR(MATCH(D240,CATÁLOGO!$C$5:$C$39,0),""))</f>
        <v/>
      </c>
      <c r="AN240" s="0" t="str">
        <f aca="false">IF(M240&lt;&gt;"Sí","",IF(AND(ISNUMBER(AE240),AK240&gt;=AE240),0,1))</f>
        <v/>
      </c>
      <c r="AO240" s="0" t="str">
        <f aca="false">IF(OR(E240="",C240="",NOT(ISNUMBER(B240))),"",SUMIFS($E$6:$E$505,$C$6:$C$505,C240,$B$6:$B$505,"&gt;="&amp;DATE(YEAR(B240),MONTH(B240),1),$B$6:$B$505,"&lt;"&amp;DATE(YEAR(B240),MONTH(B240)+1,1)))</f>
        <v/>
      </c>
      <c r="AP240" s="0" t="str">
        <f aca="false">IF(C240="","",IFERROR(INDEX(CLIENTES!$M$6:$M$305,MATCH(C240,CLIENTES!$A$6:$A$305,0)),""))</f>
        <v/>
      </c>
      <c r="AQ240" s="27" t="n">
        <f aca="false">IF(AND(ISNUMBER(AO240),ISNUMBER(AP240)),IF(AND(AP240&gt;0,AO240&gt;AP240),1,0),0)</f>
        <v>0</v>
      </c>
      <c r="AR240" s="27" t="n">
        <f aca="false">IF(NOT(ISNUMBER(B240)),0,IF(B240&lt;MAX($B$5:B239),1,0))</f>
        <v>0</v>
      </c>
      <c r="AS240" s="0" t="str">
        <f aca="false">IF(C240="","",IFERROR(INDEX(CLIENTES!$H$6:$H$305,MATCH(C240,CLIENTES!$A$6:$A$305,0)),""))</f>
        <v/>
      </c>
      <c r="AT240" s="0" t="str">
        <f aca="false">IF(AND(LEFT(P240,5)="AVISO",T240&lt;&gt;"Presentado",ISNUMBER(Q240)),Q240,"")</f>
        <v/>
      </c>
      <c r="AU240" s="27" t="n">
        <f aca="false">IF(AND(D240="XVI - Activos virtuales (PSAV): operación de intercambio/transferencia",M240="Sí",ISNUMBER(AE240)),IF(AK240&gt;=AE240,1,0),0)</f>
        <v>0</v>
      </c>
      <c r="AV240" s="30" t="n">
        <f aca="false">IF(NOT(ISNUMBER(B240)),CONFIG!$B$4,IFERROR(INDEX(CONFIG!$I$5:$I$14,MATCH(IF(MONTH(B240)=1,YEAR(B240)-1,YEAR(B240)),CONFIG!$H$5:$H$14,0)),CONFIG!$B$4))</f>
        <v>117.31</v>
      </c>
      <c r="AW240" s="27" t="n">
        <f aca="false">IF(AND(LEFT(D240,4)="I - ",ISNUMBER(B240),C240&lt;&gt;""),SUMIFS($E$6:$E$505,$C$6:$C$505,C240,$D$6:$D$505,D240,$B$6:$B$505,"&gt;"&amp;(B240-1),$B$6:$B$505,"&lt;="&amp;B240),0)</f>
        <v>0</v>
      </c>
      <c r="AX240" s="0" t="str">
        <f aca="false">IF(E240="","",IF(AD240="Siempre","AVISO (siempre)",IF(AD240="No aplica","Sin Aviso (sólo preparas: Ley 17 XI)",IF(NOT(ISNUMBER(AE240)),"",IF(AA240&lt;&gt;"ACUMULA",IF(E240&gt;=AE240,IF(AND(D240="XVI - Activos virtuales (PSAV): cobro de contraprestación (comisión) por el servicio",COUNTIFS($C$6:$C$505,C240,$B$6:$B$505,"&gt;="&amp;INT(B240),$B$6:$B$505,"&lt;"&amp;(INT(B240)+1),$AU$6:$AU$505,1)&gt;0),"En el Aviso del inciso a) (R 31 Bis)","AVISO"),"—"),IF(M240&lt;&gt;"Sí","—",IF(AK240&gt;=AE240,IF(AK240=E240,"AVISO","AVISO (acumulado)"),"Acumulando")))))))</f>
        <v/>
      </c>
    </row>
    <row r="241" customFormat="false" ht="15" hidden="false" customHeight="false" outlineLevel="0" collapsed="false">
      <c r="A241" s="9" t="str">
        <f aca="false">IF(E241="","",ROW()-5)</f>
        <v/>
      </c>
      <c r="B241" s="20"/>
      <c r="C241" s="21"/>
      <c r="D241" s="21"/>
      <c r="E241" s="22"/>
      <c r="F241" s="22"/>
      <c r="G241" s="21"/>
      <c r="H241" s="21"/>
      <c r="I241" s="9" t="str">
        <f aca="false">IF(C241="","",IFERROR(INDEX(CLIENTES!$B$6:$B$305,MATCH(C241,CLIENTES!$A$6:$A$305,0)),"⚠ ID no registrado"))</f>
        <v/>
      </c>
      <c r="J241" s="9" t="str">
        <f aca="false">IF(C241="","",IFERROR(INDEX(CLIENTES!$Z$6:$Z$305,MATCH(C241,CLIENTES!$A$6:$A$305,0)),""))</f>
        <v/>
      </c>
      <c r="K241" s="9" t="str">
        <f aca="false">IF(E241="","",IF(AB241="Siempre","Sí",IF(ISNUMBER(AC241),IF(E241&gt;=AC241,"Sí",IF(AW241&gt;=AC241,"Sí (serie 24 h)","No")),"")))</f>
        <v/>
      </c>
      <c r="L241" s="9" t="str">
        <f aca="false">IF(E241="","",AA241)</f>
        <v/>
      </c>
      <c r="M241" s="9" t="str">
        <f aca="false">IF(E241="","",IF(AA241&lt;&gt;"ACUMULA","No aplica",IF(LEFT(K241,2)="Sí","Sí","No")))</f>
        <v/>
      </c>
      <c r="N241" s="23" t="str">
        <f aca="false">IF(M241="Sí",AJ241,"")</f>
        <v/>
      </c>
      <c r="O241" s="24" t="str">
        <f aca="false">IF(M241="Sí",AK241,"")</f>
        <v/>
      </c>
      <c r="P241" s="25" t="str">
        <f aca="false">IF(AND(LEFT(D241,6)="XIV - ",LEFT(AX241,5)="AVISO"),"Pedimento (R 16): no va al SPPLD",AX241)</f>
        <v/>
      </c>
      <c r="Q241" s="23" t="str">
        <f aca="false">IF(LEFT(P241,5)="AVISO",IF(ISNUMBER(B241),DATE(YEAR(B241),MONTH(B241)+1,17),"Falta fecha"),"")</f>
        <v/>
      </c>
      <c r="R241" s="9" t="str">
        <f aca="false">IF(OR(F241="",F241=0),"",IF(ISNUMBER(AG241),IF(F241&gt;=AG241,"PROHIBIDO","Dentro del límite"),"No aplica"))</f>
        <v/>
      </c>
      <c r="S241" s="26" t="str">
        <f aca="false">IF(E241="","",MID(IF(AQ241=1," · Excede el perfil declarado","")&amp;IF(H241="Sí"," · Paga un tercero","")&amp;IF(J241="Alto"," · Cliente de riesgo alto: DDR (RCG 23 Ter 3 y 4)","")&amp;IF(AND(AS241&lt;&gt;"",AS241&lt;&gt;"No",AS241&lt;&gt;0)," · PEP","")&amp;IF(R241="PROHIBIDO"," · Efectivo prohibido: no lo recibas (Art. 32)","")&amp;IF(AR241=1," · ⚠ Fecha fuera de orden","")&amp;IF(LEFT(I241,1)="⚠"," · ⚠ Cliente no registrado","")&amp;IF(D241=""," · ⚠ Falta la actividad","")&amp;IF(AND(LEFT(P241,5)="AVISO",W241="")," · Captura la cifra total con IVA para el Aviso","")&amp;IF(AND(ISNUMBER(W241),W241&lt;E241)," · ⚠ La cifra con IVA es menor que el monto sin IVA",""),4,400))</f>
        <v/>
      </c>
      <c r="T241" s="21"/>
      <c r="U241" s="20"/>
      <c r="V241" s="9" t="str">
        <f aca="false">IF(LEFT(P241,5)&lt;&gt;"AVISO","",IF(T241="Presentado",IF(AND(ISNUMBER(U241),ISNUMBER(Q241),U241&gt;Q241),"Presentado tarde","Presentado"),IF(NOT(ISNUMBER(Q241)),"Falta fecha",IF(Q241&lt;CONFIG!$B$6,"VENCIDO","Vence en "&amp;(Q241-CONFIG!$B$6)&amp;" días"))))</f>
        <v/>
      </c>
      <c r="W241" s="22"/>
      <c r="X241" s="21"/>
      <c r="AA241" s="0" t="str">
        <f aca="false">IF(AM241="","",INDEX(CATÁLOGO!$D$5:$D$39,AM241))</f>
        <v/>
      </c>
      <c r="AB241" s="0" t="str">
        <f aca="false">IF(AM241="","",INDEX(CATÁLOGO!$E$5:$E$39,AM241))</f>
        <v/>
      </c>
      <c r="AC241" s="0" t="str">
        <f aca="false">IF(AB241="","",IF(ISNUMBER(AB241),AB241*AV241,AB241))</f>
        <v/>
      </c>
      <c r="AD241" s="0" t="str">
        <f aca="false">IF(AM241="","",INDEX(CATÁLOGO!$F$5:$F$39,AM241))</f>
        <v/>
      </c>
      <c r="AE241" s="0" t="str">
        <f aca="false">IF(AD241="","",IF(ISNUMBER(AD241),AD241*AV241,AD241))</f>
        <v/>
      </c>
      <c r="AF241" s="0" t="str">
        <f aca="false">IF(AM241="","",INDEX(CATÁLOGO!$G$5:$G$39,AM241))</f>
        <v/>
      </c>
      <c r="AG241" s="0" t="str">
        <f aca="false">IF(AF241="","",IF(ISNUMBER(AF241),AF241*AV241,AF241))</f>
        <v/>
      </c>
      <c r="AH241" s="0" t="str">
        <f aca="false">IF(E241="","",C241&amp;"|"&amp;D241)</f>
        <v/>
      </c>
      <c r="AI241" s="27" t="n">
        <f aca="false">IF(M241&lt;&gt;"Sí",0,SUMPRODUCT(MAX(($AH$5:AH240=AH241)*($M$5:M240="Sí")*ROW($AH$5:AH240))))</f>
        <v>0</v>
      </c>
      <c r="AJ241" s="0" t="str">
        <f aca="false">IF(M241&lt;&gt;"Sí","",IF(AL241=1,B241,INDEX($AJ:$AJ,AI241)))</f>
        <v/>
      </c>
      <c r="AK241" s="0" t="str">
        <f aca="false">IF(M241&lt;&gt;"Sí","",IF(AL241=1,E241,INDEX($AK:$AK,AI241)+E241))</f>
        <v/>
      </c>
      <c r="AL241" s="0" t="str">
        <f aca="false">IF(M241&lt;&gt;"Sí","",IF(AI241=0,1,IF(INDEX($AN:$AN,AI241)=0,1,IF(B241&gt;=EDATE(INDEX($AJ:$AJ,AI241),6),1,0))))</f>
        <v/>
      </c>
      <c r="AM241" s="0" t="str">
        <f aca="false">IF(D241="","",IFERROR(MATCH(D241,CATÁLOGO!$C$5:$C$39,0),""))</f>
        <v/>
      </c>
      <c r="AN241" s="0" t="str">
        <f aca="false">IF(M241&lt;&gt;"Sí","",IF(AND(ISNUMBER(AE241),AK241&gt;=AE241),0,1))</f>
        <v/>
      </c>
      <c r="AO241" s="0" t="str">
        <f aca="false">IF(OR(E241="",C241="",NOT(ISNUMBER(B241))),"",SUMIFS($E$6:$E$505,$C$6:$C$505,C241,$B$6:$B$505,"&gt;="&amp;DATE(YEAR(B241),MONTH(B241),1),$B$6:$B$505,"&lt;"&amp;DATE(YEAR(B241),MONTH(B241)+1,1)))</f>
        <v/>
      </c>
      <c r="AP241" s="0" t="str">
        <f aca="false">IF(C241="","",IFERROR(INDEX(CLIENTES!$M$6:$M$305,MATCH(C241,CLIENTES!$A$6:$A$305,0)),""))</f>
        <v/>
      </c>
      <c r="AQ241" s="27" t="n">
        <f aca="false">IF(AND(ISNUMBER(AO241),ISNUMBER(AP241)),IF(AND(AP241&gt;0,AO241&gt;AP241),1,0),0)</f>
        <v>0</v>
      </c>
      <c r="AR241" s="27" t="n">
        <f aca="false">IF(NOT(ISNUMBER(B241)),0,IF(B241&lt;MAX($B$5:B240),1,0))</f>
        <v>0</v>
      </c>
      <c r="AS241" s="0" t="str">
        <f aca="false">IF(C241="","",IFERROR(INDEX(CLIENTES!$H$6:$H$305,MATCH(C241,CLIENTES!$A$6:$A$305,0)),""))</f>
        <v/>
      </c>
      <c r="AT241" s="0" t="str">
        <f aca="false">IF(AND(LEFT(P241,5)="AVISO",T241&lt;&gt;"Presentado",ISNUMBER(Q241)),Q241,"")</f>
        <v/>
      </c>
      <c r="AU241" s="27" t="n">
        <f aca="false">IF(AND(D241="XVI - Activos virtuales (PSAV): operación de intercambio/transferencia",M241="Sí",ISNUMBER(AE241)),IF(AK241&gt;=AE241,1,0),0)</f>
        <v>0</v>
      </c>
      <c r="AV241" s="30" t="n">
        <f aca="false">IF(NOT(ISNUMBER(B241)),CONFIG!$B$4,IFERROR(INDEX(CONFIG!$I$5:$I$14,MATCH(IF(MONTH(B241)=1,YEAR(B241)-1,YEAR(B241)),CONFIG!$H$5:$H$14,0)),CONFIG!$B$4))</f>
        <v>117.31</v>
      </c>
      <c r="AW241" s="27" t="n">
        <f aca="false">IF(AND(LEFT(D241,4)="I - ",ISNUMBER(B241),C241&lt;&gt;""),SUMIFS($E$6:$E$505,$C$6:$C$505,C241,$D$6:$D$505,D241,$B$6:$B$505,"&gt;"&amp;(B241-1),$B$6:$B$505,"&lt;="&amp;B241),0)</f>
        <v>0</v>
      </c>
      <c r="AX241" s="0" t="str">
        <f aca="false">IF(E241="","",IF(AD241="Siempre","AVISO (siempre)",IF(AD241="No aplica","Sin Aviso (sólo preparas: Ley 17 XI)",IF(NOT(ISNUMBER(AE241)),"",IF(AA241&lt;&gt;"ACUMULA",IF(E241&gt;=AE241,IF(AND(D241="XVI - Activos virtuales (PSAV): cobro de contraprestación (comisión) por el servicio",COUNTIFS($C$6:$C$505,C241,$B$6:$B$505,"&gt;="&amp;INT(B241),$B$6:$B$505,"&lt;"&amp;(INT(B241)+1),$AU$6:$AU$505,1)&gt;0),"En el Aviso del inciso a) (R 31 Bis)","AVISO"),"—"),IF(M241&lt;&gt;"Sí","—",IF(AK241&gt;=AE241,IF(AK241=E241,"AVISO","AVISO (acumulado)"),"Acumulando")))))))</f>
        <v/>
      </c>
    </row>
    <row r="242" customFormat="false" ht="15" hidden="false" customHeight="false" outlineLevel="0" collapsed="false">
      <c r="A242" s="9" t="str">
        <f aca="false">IF(E242="","",ROW()-5)</f>
        <v/>
      </c>
      <c r="B242" s="20"/>
      <c r="C242" s="21"/>
      <c r="D242" s="21"/>
      <c r="E242" s="22"/>
      <c r="F242" s="22"/>
      <c r="G242" s="21"/>
      <c r="H242" s="21"/>
      <c r="I242" s="9" t="str">
        <f aca="false">IF(C242="","",IFERROR(INDEX(CLIENTES!$B$6:$B$305,MATCH(C242,CLIENTES!$A$6:$A$305,0)),"⚠ ID no registrado"))</f>
        <v/>
      </c>
      <c r="J242" s="9" t="str">
        <f aca="false">IF(C242="","",IFERROR(INDEX(CLIENTES!$Z$6:$Z$305,MATCH(C242,CLIENTES!$A$6:$A$305,0)),""))</f>
        <v/>
      </c>
      <c r="K242" s="9" t="str">
        <f aca="false">IF(E242="","",IF(AB242="Siempre","Sí",IF(ISNUMBER(AC242),IF(E242&gt;=AC242,"Sí",IF(AW242&gt;=AC242,"Sí (serie 24 h)","No")),"")))</f>
        <v/>
      </c>
      <c r="L242" s="9" t="str">
        <f aca="false">IF(E242="","",AA242)</f>
        <v/>
      </c>
      <c r="M242" s="9" t="str">
        <f aca="false">IF(E242="","",IF(AA242&lt;&gt;"ACUMULA","No aplica",IF(LEFT(K242,2)="Sí","Sí","No")))</f>
        <v/>
      </c>
      <c r="N242" s="23" t="str">
        <f aca="false">IF(M242="Sí",AJ242,"")</f>
        <v/>
      </c>
      <c r="O242" s="24" t="str">
        <f aca="false">IF(M242="Sí",AK242,"")</f>
        <v/>
      </c>
      <c r="P242" s="25" t="str">
        <f aca="false">IF(AND(LEFT(D242,6)="XIV - ",LEFT(AX242,5)="AVISO"),"Pedimento (R 16): no va al SPPLD",AX242)</f>
        <v/>
      </c>
      <c r="Q242" s="23" t="str">
        <f aca="false">IF(LEFT(P242,5)="AVISO",IF(ISNUMBER(B242),DATE(YEAR(B242),MONTH(B242)+1,17),"Falta fecha"),"")</f>
        <v/>
      </c>
      <c r="R242" s="9" t="str">
        <f aca="false">IF(OR(F242="",F242=0),"",IF(ISNUMBER(AG242),IF(F242&gt;=AG242,"PROHIBIDO","Dentro del límite"),"No aplica"))</f>
        <v/>
      </c>
      <c r="S242" s="26" t="str">
        <f aca="false">IF(E242="","",MID(IF(AQ242=1," · Excede el perfil declarado","")&amp;IF(H242="Sí"," · Paga un tercero","")&amp;IF(J242="Alto"," · Cliente de riesgo alto: DDR (RCG 23 Ter 3 y 4)","")&amp;IF(AND(AS242&lt;&gt;"",AS242&lt;&gt;"No",AS242&lt;&gt;0)," · PEP","")&amp;IF(R242="PROHIBIDO"," · Efectivo prohibido: no lo recibas (Art. 32)","")&amp;IF(AR242=1," · ⚠ Fecha fuera de orden","")&amp;IF(LEFT(I242,1)="⚠"," · ⚠ Cliente no registrado","")&amp;IF(D242=""," · ⚠ Falta la actividad","")&amp;IF(AND(LEFT(P242,5)="AVISO",W242="")," · Captura la cifra total con IVA para el Aviso","")&amp;IF(AND(ISNUMBER(W242),W242&lt;E242)," · ⚠ La cifra con IVA es menor que el monto sin IVA",""),4,400))</f>
        <v/>
      </c>
      <c r="T242" s="21"/>
      <c r="U242" s="20"/>
      <c r="V242" s="9" t="str">
        <f aca="false">IF(LEFT(P242,5)&lt;&gt;"AVISO","",IF(T242="Presentado",IF(AND(ISNUMBER(U242),ISNUMBER(Q242),U242&gt;Q242),"Presentado tarde","Presentado"),IF(NOT(ISNUMBER(Q242)),"Falta fecha",IF(Q242&lt;CONFIG!$B$6,"VENCIDO","Vence en "&amp;(Q242-CONFIG!$B$6)&amp;" días"))))</f>
        <v/>
      </c>
      <c r="W242" s="22"/>
      <c r="X242" s="21"/>
      <c r="AA242" s="0" t="str">
        <f aca="false">IF(AM242="","",INDEX(CATÁLOGO!$D$5:$D$39,AM242))</f>
        <v/>
      </c>
      <c r="AB242" s="0" t="str">
        <f aca="false">IF(AM242="","",INDEX(CATÁLOGO!$E$5:$E$39,AM242))</f>
        <v/>
      </c>
      <c r="AC242" s="0" t="str">
        <f aca="false">IF(AB242="","",IF(ISNUMBER(AB242),AB242*AV242,AB242))</f>
        <v/>
      </c>
      <c r="AD242" s="0" t="str">
        <f aca="false">IF(AM242="","",INDEX(CATÁLOGO!$F$5:$F$39,AM242))</f>
        <v/>
      </c>
      <c r="AE242" s="0" t="str">
        <f aca="false">IF(AD242="","",IF(ISNUMBER(AD242),AD242*AV242,AD242))</f>
        <v/>
      </c>
      <c r="AF242" s="0" t="str">
        <f aca="false">IF(AM242="","",INDEX(CATÁLOGO!$G$5:$G$39,AM242))</f>
        <v/>
      </c>
      <c r="AG242" s="0" t="str">
        <f aca="false">IF(AF242="","",IF(ISNUMBER(AF242),AF242*AV242,AF242))</f>
        <v/>
      </c>
      <c r="AH242" s="0" t="str">
        <f aca="false">IF(E242="","",C242&amp;"|"&amp;D242)</f>
        <v/>
      </c>
      <c r="AI242" s="27" t="n">
        <f aca="false">IF(M242&lt;&gt;"Sí",0,SUMPRODUCT(MAX(($AH$5:AH241=AH242)*($M$5:M241="Sí")*ROW($AH$5:AH241))))</f>
        <v>0</v>
      </c>
      <c r="AJ242" s="0" t="str">
        <f aca="false">IF(M242&lt;&gt;"Sí","",IF(AL242=1,B242,INDEX($AJ:$AJ,AI242)))</f>
        <v/>
      </c>
      <c r="AK242" s="0" t="str">
        <f aca="false">IF(M242&lt;&gt;"Sí","",IF(AL242=1,E242,INDEX($AK:$AK,AI242)+E242))</f>
        <v/>
      </c>
      <c r="AL242" s="0" t="str">
        <f aca="false">IF(M242&lt;&gt;"Sí","",IF(AI242=0,1,IF(INDEX($AN:$AN,AI242)=0,1,IF(B242&gt;=EDATE(INDEX($AJ:$AJ,AI242),6),1,0))))</f>
        <v/>
      </c>
      <c r="AM242" s="0" t="str">
        <f aca="false">IF(D242="","",IFERROR(MATCH(D242,CATÁLOGO!$C$5:$C$39,0),""))</f>
        <v/>
      </c>
      <c r="AN242" s="0" t="str">
        <f aca="false">IF(M242&lt;&gt;"Sí","",IF(AND(ISNUMBER(AE242),AK242&gt;=AE242),0,1))</f>
        <v/>
      </c>
      <c r="AO242" s="0" t="str">
        <f aca="false">IF(OR(E242="",C242="",NOT(ISNUMBER(B242))),"",SUMIFS($E$6:$E$505,$C$6:$C$505,C242,$B$6:$B$505,"&gt;="&amp;DATE(YEAR(B242),MONTH(B242),1),$B$6:$B$505,"&lt;"&amp;DATE(YEAR(B242),MONTH(B242)+1,1)))</f>
        <v/>
      </c>
      <c r="AP242" s="0" t="str">
        <f aca="false">IF(C242="","",IFERROR(INDEX(CLIENTES!$M$6:$M$305,MATCH(C242,CLIENTES!$A$6:$A$305,0)),""))</f>
        <v/>
      </c>
      <c r="AQ242" s="27" t="n">
        <f aca="false">IF(AND(ISNUMBER(AO242),ISNUMBER(AP242)),IF(AND(AP242&gt;0,AO242&gt;AP242),1,0),0)</f>
        <v>0</v>
      </c>
      <c r="AR242" s="27" t="n">
        <f aca="false">IF(NOT(ISNUMBER(B242)),0,IF(B242&lt;MAX($B$5:B241),1,0))</f>
        <v>0</v>
      </c>
      <c r="AS242" s="0" t="str">
        <f aca="false">IF(C242="","",IFERROR(INDEX(CLIENTES!$H$6:$H$305,MATCH(C242,CLIENTES!$A$6:$A$305,0)),""))</f>
        <v/>
      </c>
      <c r="AT242" s="0" t="str">
        <f aca="false">IF(AND(LEFT(P242,5)="AVISO",T242&lt;&gt;"Presentado",ISNUMBER(Q242)),Q242,"")</f>
        <v/>
      </c>
      <c r="AU242" s="27" t="n">
        <f aca="false">IF(AND(D242="XVI - Activos virtuales (PSAV): operación de intercambio/transferencia",M242="Sí",ISNUMBER(AE242)),IF(AK242&gt;=AE242,1,0),0)</f>
        <v>0</v>
      </c>
      <c r="AV242" s="30" t="n">
        <f aca="false">IF(NOT(ISNUMBER(B242)),CONFIG!$B$4,IFERROR(INDEX(CONFIG!$I$5:$I$14,MATCH(IF(MONTH(B242)=1,YEAR(B242)-1,YEAR(B242)),CONFIG!$H$5:$H$14,0)),CONFIG!$B$4))</f>
        <v>117.31</v>
      </c>
      <c r="AW242" s="27" t="n">
        <f aca="false">IF(AND(LEFT(D242,4)="I - ",ISNUMBER(B242),C242&lt;&gt;""),SUMIFS($E$6:$E$505,$C$6:$C$505,C242,$D$6:$D$505,D242,$B$6:$B$505,"&gt;"&amp;(B242-1),$B$6:$B$505,"&lt;="&amp;B242),0)</f>
        <v>0</v>
      </c>
      <c r="AX242" s="0" t="str">
        <f aca="false">IF(E242="","",IF(AD242="Siempre","AVISO (siempre)",IF(AD242="No aplica","Sin Aviso (sólo preparas: Ley 17 XI)",IF(NOT(ISNUMBER(AE242)),"",IF(AA242&lt;&gt;"ACUMULA",IF(E242&gt;=AE242,IF(AND(D242="XVI - Activos virtuales (PSAV): cobro de contraprestación (comisión) por el servicio",COUNTIFS($C$6:$C$505,C242,$B$6:$B$505,"&gt;="&amp;INT(B242),$B$6:$B$505,"&lt;"&amp;(INT(B242)+1),$AU$6:$AU$505,1)&gt;0),"En el Aviso del inciso a) (R 31 Bis)","AVISO"),"—"),IF(M242&lt;&gt;"Sí","—",IF(AK242&gt;=AE242,IF(AK242=E242,"AVISO","AVISO (acumulado)"),"Acumulando")))))))</f>
        <v/>
      </c>
    </row>
    <row r="243" customFormat="false" ht="15" hidden="false" customHeight="false" outlineLevel="0" collapsed="false">
      <c r="A243" s="9" t="str">
        <f aca="false">IF(E243="","",ROW()-5)</f>
        <v/>
      </c>
      <c r="B243" s="20"/>
      <c r="C243" s="21"/>
      <c r="D243" s="21"/>
      <c r="E243" s="22"/>
      <c r="F243" s="22"/>
      <c r="G243" s="21"/>
      <c r="H243" s="21"/>
      <c r="I243" s="9" t="str">
        <f aca="false">IF(C243="","",IFERROR(INDEX(CLIENTES!$B$6:$B$305,MATCH(C243,CLIENTES!$A$6:$A$305,0)),"⚠ ID no registrado"))</f>
        <v/>
      </c>
      <c r="J243" s="9" t="str">
        <f aca="false">IF(C243="","",IFERROR(INDEX(CLIENTES!$Z$6:$Z$305,MATCH(C243,CLIENTES!$A$6:$A$305,0)),""))</f>
        <v/>
      </c>
      <c r="K243" s="9" t="str">
        <f aca="false">IF(E243="","",IF(AB243="Siempre","Sí",IF(ISNUMBER(AC243),IF(E243&gt;=AC243,"Sí",IF(AW243&gt;=AC243,"Sí (serie 24 h)","No")),"")))</f>
        <v/>
      </c>
      <c r="L243" s="9" t="str">
        <f aca="false">IF(E243="","",AA243)</f>
        <v/>
      </c>
      <c r="M243" s="9" t="str">
        <f aca="false">IF(E243="","",IF(AA243&lt;&gt;"ACUMULA","No aplica",IF(LEFT(K243,2)="Sí","Sí","No")))</f>
        <v/>
      </c>
      <c r="N243" s="23" t="str">
        <f aca="false">IF(M243="Sí",AJ243,"")</f>
        <v/>
      </c>
      <c r="O243" s="24" t="str">
        <f aca="false">IF(M243="Sí",AK243,"")</f>
        <v/>
      </c>
      <c r="P243" s="25" t="str">
        <f aca="false">IF(AND(LEFT(D243,6)="XIV - ",LEFT(AX243,5)="AVISO"),"Pedimento (R 16): no va al SPPLD",AX243)</f>
        <v/>
      </c>
      <c r="Q243" s="23" t="str">
        <f aca="false">IF(LEFT(P243,5)="AVISO",IF(ISNUMBER(B243),DATE(YEAR(B243),MONTH(B243)+1,17),"Falta fecha"),"")</f>
        <v/>
      </c>
      <c r="R243" s="9" t="str">
        <f aca="false">IF(OR(F243="",F243=0),"",IF(ISNUMBER(AG243),IF(F243&gt;=AG243,"PROHIBIDO","Dentro del límite"),"No aplica"))</f>
        <v/>
      </c>
      <c r="S243" s="26" t="str">
        <f aca="false">IF(E243="","",MID(IF(AQ243=1," · Excede el perfil declarado","")&amp;IF(H243="Sí"," · Paga un tercero","")&amp;IF(J243="Alto"," · Cliente de riesgo alto: DDR (RCG 23 Ter 3 y 4)","")&amp;IF(AND(AS243&lt;&gt;"",AS243&lt;&gt;"No",AS243&lt;&gt;0)," · PEP","")&amp;IF(R243="PROHIBIDO"," · Efectivo prohibido: no lo recibas (Art. 32)","")&amp;IF(AR243=1," · ⚠ Fecha fuera de orden","")&amp;IF(LEFT(I243,1)="⚠"," · ⚠ Cliente no registrado","")&amp;IF(D243=""," · ⚠ Falta la actividad","")&amp;IF(AND(LEFT(P243,5)="AVISO",W243="")," · Captura la cifra total con IVA para el Aviso","")&amp;IF(AND(ISNUMBER(W243),W243&lt;E243)," · ⚠ La cifra con IVA es menor que el monto sin IVA",""),4,400))</f>
        <v/>
      </c>
      <c r="T243" s="21"/>
      <c r="U243" s="20"/>
      <c r="V243" s="9" t="str">
        <f aca="false">IF(LEFT(P243,5)&lt;&gt;"AVISO","",IF(T243="Presentado",IF(AND(ISNUMBER(U243),ISNUMBER(Q243),U243&gt;Q243),"Presentado tarde","Presentado"),IF(NOT(ISNUMBER(Q243)),"Falta fecha",IF(Q243&lt;CONFIG!$B$6,"VENCIDO","Vence en "&amp;(Q243-CONFIG!$B$6)&amp;" días"))))</f>
        <v/>
      </c>
      <c r="W243" s="22"/>
      <c r="X243" s="21"/>
      <c r="AA243" s="0" t="str">
        <f aca="false">IF(AM243="","",INDEX(CATÁLOGO!$D$5:$D$39,AM243))</f>
        <v/>
      </c>
      <c r="AB243" s="0" t="str">
        <f aca="false">IF(AM243="","",INDEX(CATÁLOGO!$E$5:$E$39,AM243))</f>
        <v/>
      </c>
      <c r="AC243" s="0" t="str">
        <f aca="false">IF(AB243="","",IF(ISNUMBER(AB243),AB243*AV243,AB243))</f>
        <v/>
      </c>
      <c r="AD243" s="0" t="str">
        <f aca="false">IF(AM243="","",INDEX(CATÁLOGO!$F$5:$F$39,AM243))</f>
        <v/>
      </c>
      <c r="AE243" s="0" t="str">
        <f aca="false">IF(AD243="","",IF(ISNUMBER(AD243),AD243*AV243,AD243))</f>
        <v/>
      </c>
      <c r="AF243" s="0" t="str">
        <f aca="false">IF(AM243="","",INDEX(CATÁLOGO!$G$5:$G$39,AM243))</f>
        <v/>
      </c>
      <c r="AG243" s="0" t="str">
        <f aca="false">IF(AF243="","",IF(ISNUMBER(AF243),AF243*AV243,AF243))</f>
        <v/>
      </c>
      <c r="AH243" s="0" t="str">
        <f aca="false">IF(E243="","",C243&amp;"|"&amp;D243)</f>
        <v/>
      </c>
      <c r="AI243" s="27" t="n">
        <f aca="false">IF(M243&lt;&gt;"Sí",0,SUMPRODUCT(MAX(($AH$5:AH242=AH243)*($M$5:M242="Sí")*ROW($AH$5:AH242))))</f>
        <v>0</v>
      </c>
      <c r="AJ243" s="0" t="str">
        <f aca="false">IF(M243&lt;&gt;"Sí","",IF(AL243=1,B243,INDEX($AJ:$AJ,AI243)))</f>
        <v/>
      </c>
      <c r="AK243" s="0" t="str">
        <f aca="false">IF(M243&lt;&gt;"Sí","",IF(AL243=1,E243,INDEX($AK:$AK,AI243)+E243))</f>
        <v/>
      </c>
      <c r="AL243" s="0" t="str">
        <f aca="false">IF(M243&lt;&gt;"Sí","",IF(AI243=0,1,IF(INDEX($AN:$AN,AI243)=0,1,IF(B243&gt;=EDATE(INDEX($AJ:$AJ,AI243),6),1,0))))</f>
        <v/>
      </c>
      <c r="AM243" s="0" t="str">
        <f aca="false">IF(D243="","",IFERROR(MATCH(D243,CATÁLOGO!$C$5:$C$39,0),""))</f>
        <v/>
      </c>
      <c r="AN243" s="0" t="str">
        <f aca="false">IF(M243&lt;&gt;"Sí","",IF(AND(ISNUMBER(AE243),AK243&gt;=AE243),0,1))</f>
        <v/>
      </c>
      <c r="AO243" s="0" t="str">
        <f aca="false">IF(OR(E243="",C243="",NOT(ISNUMBER(B243))),"",SUMIFS($E$6:$E$505,$C$6:$C$505,C243,$B$6:$B$505,"&gt;="&amp;DATE(YEAR(B243),MONTH(B243),1),$B$6:$B$505,"&lt;"&amp;DATE(YEAR(B243),MONTH(B243)+1,1)))</f>
        <v/>
      </c>
      <c r="AP243" s="0" t="str">
        <f aca="false">IF(C243="","",IFERROR(INDEX(CLIENTES!$M$6:$M$305,MATCH(C243,CLIENTES!$A$6:$A$305,0)),""))</f>
        <v/>
      </c>
      <c r="AQ243" s="27" t="n">
        <f aca="false">IF(AND(ISNUMBER(AO243),ISNUMBER(AP243)),IF(AND(AP243&gt;0,AO243&gt;AP243),1,0),0)</f>
        <v>0</v>
      </c>
      <c r="AR243" s="27" t="n">
        <f aca="false">IF(NOT(ISNUMBER(B243)),0,IF(B243&lt;MAX($B$5:B242),1,0))</f>
        <v>0</v>
      </c>
      <c r="AS243" s="0" t="str">
        <f aca="false">IF(C243="","",IFERROR(INDEX(CLIENTES!$H$6:$H$305,MATCH(C243,CLIENTES!$A$6:$A$305,0)),""))</f>
        <v/>
      </c>
      <c r="AT243" s="0" t="str">
        <f aca="false">IF(AND(LEFT(P243,5)="AVISO",T243&lt;&gt;"Presentado",ISNUMBER(Q243)),Q243,"")</f>
        <v/>
      </c>
      <c r="AU243" s="27" t="n">
        <f aca="false">IF(AND(D243="XVI - Activos virtuales (PSAV): operación de intercambio/transferencia",M243="Sí",ISNUMBER(AE243)),IF(AK243&gt;=AE243,1,0),0)</f>
        <v>0</v>
      </c>
      <c r="AV243" s="30" t="n">
        <f aca="false">IF(NOT(ISNUMBER(B243)),CONFIG!$B$4,IFERROR(INDEX(CONFIG!$I$5:$I$14,MATCH(IF(MONTH(B243)=1,YEAR(B243)-1,YEAR(B243)),CONFIG!$H$5:$H$14,0)),CONFIG!$B$4))</f>
        <v>117.31</v>
      </c>
      <c r="AW243" s="27" t="n">
        <f aca="false">IF(AND(LEFT(D243,4)="I - ",ISNUMBER(B243),C243&lt;&gt;""),SUMIFS($E$6:$E$505,$C$6:$C$505,C243,$D$6:$D$505,D243,$B$6:$B$505,"&gt;"&amp;(B243-1),$B$6:$B$505,"&lt;="&amp;B243),0)</f>
        <v>0</v>
      </c>
      <c r="AX243" s="0" t="str">
        <f aca="false">IF(E243="","",IF(AD243="Siempre","AVISO (siempre)",IF(AD243="No aplica","Sin Aviso (sólo preparas: Ley 17 XI)",IF(NOT(ISNUMBER(AE243)),"",IF(AA243&lt;&gt;"ACUMULA",IF(E243&gt;=AE243,IF(AND(D243="XVI - Activos virtuales (PSAV): cobro de contraprestación (comisión) por el servicio",COUNTIFS($C$6:$C$505,C243,$B$6:$B$505,"&gt;="&amp;INT(B243),$B$6:$B$505,"&lt;"&amp;(INT(B243)+1),$AU$6:$AU$505,1)&gt;0),"En el Aviso del inciso a) (R 31 Bis)","AVISO"),"—"),IF(M243&lt;&gt;"Sí","—",IF(AK243&gt;=AE243,IF(AK243=E243,"AVISO","AVISO (acumulado)"),"Acumulando")))))))</f>
        <v/>
      </c>
    </row>
    <row r="244" customFormat="false" ht="15" hidden="false" customHeight="false" outlineLevel="0" collapsed="false">
      <c r="A244" s="9" t="str">
        <f aca="false">IF(E244="","",ROW()-5)</f>
        <v/>
      </c>
      <c r="B244" s="20"/>
      <c r="C244" s="21"/>
      <c r="D244" s="21"/>
      <c r="E244" s="22"/>
      <c r="F244" s="22"/>
      <c r="G244" s="21"/>
      <c r="H244" s="21"/>
      <c r="I244" s="9" t="str">
        <f aca="false">IF(C244="","",IFERROR(INDEX(CLIENTES!$B$6:$B$305,MATCH(C244,CLIENTES!$A$6:$A$305,0)),"⚠ ID no registrado"))</f>
        <v/>
      </c>
      <c r="J244" s="9" t="str">
        <f aca="false">IF(C244="","",IFERROR(INDEX(CLIENTES!$Z$6:$Z$305,MATCH(C244,CLIENTES!$A$6:$A$305,0)),""))</f>
        <v/>
      </c>
      <c r="K244" s="9" t="str">
        <f aca="false">IF(E244="","",IF(AB244="Siempre","Sí",IF(ISNUMBER(AC244),IF(E244&gt;=AC244,"Sí",IF(AW244&gt;=AC244,"Sí (serie 24 h)","No")),"")))</f>
        <v/>
      </c>
      <c r="L244" s="9" t="str">
        <f aca="false">IF(E244="","",AA244)</f>
        <v/>
      </c>
      <c r="M244" s="9" t="str">
        <f aca="false">IF(E244="","",IF(AA244&lt;&gt;"ACUMULA","No aplica",IF(LEFT(K244,2)="Sí","Sí","No")))</f>
        <v/>
      </c>
      <c r="N244" s="23" t="str">
        <f aca="false">IF(M244="Sí",AJ244,"")</f>
        <v/>
      </c>
      <c r="O244" s="24" t="str">
        <f aca="false">IF(M244="Sí",AK244,"")</f>
        <v/>
      </c>
      <c r="P244" s="25" t="str">
        <f aca="false">IF(AND(LEFT(D244,6)="XIV - ",LEFT(AX244,5)="AVISO"),"Pedimento (R 16): no va al SPPLD",AX244)</f>
        <v/>
      </c>
      <c r="Q244" s="23" t="str">
        <f aca="false">IF(LEFT(P244,5)="AVISO",IF(ISNUMBER(B244),DATE(YEAR(B244),MONTH(B244)+1,17),"Falta fecha"),"")</f>
        <v/>
      </c>
      <c r="R244" s="9" t="str">
        <f aca="false">IF(OR(F244="",F244=0),"",IF(ISNUMBER(AG244),IF(F244&gt;=AG244,"PROHIBIDO","Dentro del límite"),"No aplica"))</f>
        <v/>
      </c>
      <c r="S244" s="26" t="str">
        <f aca="false">IF(E244="","",MID(IF(AQ244=1," · Excede el perfil declarado","")&amp;IF(H244="Sí"," · Paga un tercero","")&amp;IF(J244="Alto"," · Cliente de riesgo alto: DDR (RCG 23 Ter 3 y 4)","")&amp;IF(AND(AS244&lt;&gt;"",AS244&lt;&gt;"No",AS244&lt;&gt;0)," · PEP","")&amp;IF(R244="PROHIBIDO"," · Efectivo prohibido: no lo recibas (Art. 32)","")&amp;IF(AR244=1," · ⚠ Fecha fuera de orden","")&amp;IF(LEFT(I244,1)="⚠"," · ⚠ Cliente no registrado","")&amp;IF(D244=""," · ⚠ Falta la actividad","")&amp;IF(AND(LEFT(P244,5)="AVISO",W244="")," · Captura la cifra total con IVA para el Aviso","")&amp;IF(AND(ISNUMBER(W244),W244&lt;E244)," · ⚠ La cifra con IVA es menor que el monto sin IVA",""),4,400))</f>
        <v/>
      </c>
      <c r="T244" s="21"/>
      <c r="U244" s="20"/>
      <c r="V244" s="9" t="str">
        <f aca="false">IF(LEFT(P244,5)&lt;&gt;"AVISO","",IF(T244="Presentado",IF(AND(ISNUMBER(U244),ISNUMBER(Q244),U244&gt;Q244),"Presentado tarde","Presentado"),IF(NOT(ISNUMBER(Q244)),"Falta fecha",IF(Q244&lt;CONFIG!$B$6,"VENCIDO","Vence en "&amp;(Q244-CONFIG!$B$6)&amp;" días"))))</f>
        <v/>
      </c>
      <c r="W244" s="22"/>
      <c r="X244" s="21"/>
      <c r="AA244" s="0" t="str">
        <f aca="false">IF(AM244="","",INDEX(CATÁLOGO!$D$5:$D$39,AM244))</f>
        <v/>
      </c>
      <c r="AB244" s="0" t="str">
        <f aca="false">IF(AM244="","",INDEX(CATÁLOGO!$E$5:$E$39,AM244))</f>
        <v/>
      </c>
      <c r="AC244" s="0" t="str">
        <f aca="false">IF(AB244="","",IF(ISNUMBER(AB244),AB244*AV244,AB244))</f>
        <v/>
      </c>
      <c r="AD244" s="0" t="str">
        <f aca="false">IF(AM244="","",INDEX(CATÁLOGO!$F$5:$F$39,AM244))</f>
        <v/>
      </c>
      <c r="AE244" s="0" t="str">
        <f aca="false">IF(AD244="","",IF(ISNUMBER(AD244),AD244*AV244,AD244))</f>
        <v/>
      </c>
      <c r="AF244" s="0" t="str">
        <f aca="false">IF(AM244="","",INDEX(CATÁLOGO!$G$5:$G$39,AM244))</f>
        <v/>
      </c>
      <c r="AG244" s="0" t="str">
        <f aca="false">IF(AF244="","",IF(ISNUMBER(AF244),AF244*AV244,AF244))</f>
        <v/>
      </c>
      <c r="AH244" s="0" t="str">
        <f aca="false">IF(E244="","",C244&amp;"|"&amp;D244)</f>
        <v/>
      </c>
      <c r="AI244" s="27" t="n">
        <f aca="false">IF(M244&lt;&gt;"Sí",0,SUMPRODUCT(MAX(($AH$5:AH243=AH244)*($M$5:M243="Sí")*ROW($AH$5:AH243))))</f>
        <v>0</v>
      </c>
      <c r="AJ244" s="0" t="str">
        <f aca="false">IF(M244&lt;&gt;"Sí","",IF(AL244=1,B244,INDEX($AJ:$AJ,AI244)))</f>
        <v/>
      </c>
      <c r="AK244" s="0" t="str">
        <f aca="false">IF(M244&lt;&gt;"Sí","",IF(AL244=1,E244,INDEX($AK:$AK,AI244)+E244))</f>
        <v/>
      </c>
      <c r="AL244" s="0" t="str">
        <f aca="false">IF(M244&lt;&gt;"Sí","",IF(AI244=0,1,IF(INDEX($AN:$AN,AI244)=0,1,IF(B244&gt;=EDATE(INDEX($AJ:$AJ,AI244),6),1,0))))</f>
        <v/>
      </c>
      <c r="AM244" s="0" t="str">
        <f aca="false">IF(D244="","",IFERROR(MATCH(D244,CATÁLOGO!$C$5:$C$39,0),""))</f>
        <v/>
      </c>
      <c r="AN244" s="0" t="str">
        <f aca="false">IF(M244&lt;&gt;"Sí","",IF(AND(ISNUMBER(AE244),AK244&gt;=AE244),0,1))</f>
        <v/>
      </c>
      <c r="AO244" s="0" t="str">
        <f aca="false">IF(OR(E244="",C244="",NOT(ISNUMBER(B244))),"",SUMIFS($E$6:$E$505,$C$6:$C$505,C244,$B$6:$B$505,"&gt;="&amp;DATE(YEAR(B244),MONTH(B244),1),$B$6:$B$505,"&lt;"&amp;DATE(YEAR(B244),MONTH(B244)+1,1)))</f>
        <v/>
      </c>
      <c r="AP244" s="0" t="str">
        <f aca="false">IF(C244="","",IFERROR(INDEX(CLIENTES!$M$6:$M$305,MATCH(C244,CLIENTES!$A$6:$A$305,0)),""))</f>
        <v/>
      </c>
      <c r="AQ244" s="27" t="n">
        <f aca="false">IF(AND(ISNUMBER(AO244),ISNUMBER(AP244)),IF(AND(AP244&gt;0,AO244&gt;AP244),1,0),0)</f>
        <v>0</v>
      </c>
      <c r="AR244" s="27" t="n">
        <f aca="false">IF(NOT(ISNUMBER(B244)),0,IF(B244&lt;MAX($B$5:B243),1,0))</f>
        <v>0</v>
      </c>
      <c r="AS244" s="0" t="str">
        <f aca="false">IF(C244="","",IFERROR(INDEX(CLIENTES!$H$6:$H$305,MATCH(C244,CLIENTES!$A$6:$A$305,0)),""))</f>
        <v/>
      </c>
      <c r="AT244" s="0" t="str">
        <f aca="false">IF(AND(LEFT(P244,5)="AVISO",T244&lt;&gt;"Presentado",ISNUMBER(Q244)),Q244,"")</f>
        <v/>
      </c>
      <c r="AU244" s="27" t="n">
        <f aca="false">IF(AND(D244="XVI - Activos virtuales (PSAV): operación de intercambio/transferencia",M244="Sí",ISNUMBER(AE244)),IF(AK244&gt;=AE244,1,0),0)</f>
        <v>0</v>
      </c>
      <c r="AV244" s="30" t="n">
        <f aca="false">IF(NOT(ISNUMBER(B244)),CONFIG!$B$4,IFERROR(INDEX(CONFIG!$I$5:$I$14,MATCH(IF(MONTH(B244)=1,YEAR(B244)-1,YEAR(B244)),CONFIG!$H$5:$H$14,0)),CONFIG!$B$4))</f>
        <v>117.31</v>
      </c>
      <c r="AW244" s="27" t="n">
        <f aca="false">IF(AND(LEFT(D244,4)="I - ",ISNUMBER(B244),C244&lt;&gt;""),SUMIFS($E$6:$E$505,$C$6:$C$505,C244,$D$6:$D$505,D244,$B$6:$B$505,"&gt;"&amp;(B244-1),$B$6:$B$505,"&lt;="&amp;B244),0)</f>
        <v>0</v>
      </c>
      <c r="AX244" s="0" t="str">
        <f aca="false">IF(E244="","",IF(AD244="Siempre","AVISO (siempre)",IF(AD244="No aplica","Sin Aviso (sólo preparas: Ley 17 XI)",IF(NOT(ISNUMBER(AE244)),"",IF(AA244&lt;&gt;"ACUMULA",IF(E244&gt;=AE244,IF(AND(D244="XVI - Activos virtuales (PSAV): cobro de contraprestación (comisión) por el servicio",COUNTIFS($C$6:$C$505,C244,$B$6:$B$505,"&gt;="&amp;INT(B244),$B$6:$B$505,"&lt;"&amp;(INT(B244)+1),$AU$6:$AU$505,1)&gt;0),"En el Aviso del inciso a) (R 31 Bis)","AVISO"),"—"),IF(M244&lt;&gt;"Sí","—",IF(AK244&gt;=AE244,IF(AK244=E244,"AVISO","AVISO (acumulado)"),"Acumulando")))))))</f>
        <v/>
      </c>
    </row>
    <row r="245" customFormat="false" ht="15" hidden="false" customHeight="false" outlineLevel="0" collapsed="false">
      <c r="A245" s="9" t="str">
        <f aca="false">IF(E245="","",ROW()-5)</f>
        <v/>
      </c>
      <c r="B245" s="20"/>
      <c r="C245" s="21"/>
      <c r="D245" s="21"/>
      <c r="E245" s="22"/>
      <c r="F245" s="22"/>
      <c r="G245" s="21"/>
      <c r="H245" s="21"/>
      <c r="I245" s="9" t="str">
        <f aca="false">IF(C245="","",IFERROR(INDEX(CLIENTES!$B$6:$B$305,MATCH(C245,CLIENTES!$A$6:$A$305,0)),"⚠ ID no registrado"))</f>
        <v/>
      </c>
      <c r="J245" s="9" t="str">
        <f aca="false">IF(C245="","",IFERROR(INDEX(CLIENTES!$Z$6:$Z$305,MATCH(C245,CLIENTES!$A$6:$A$305,0)),""))</f>
        <v/>
      </c>
      <c r="K245" s="9" t="str">
        <f aca="false">IF(E245="","",IF(AB245="Siempre","Sí",IF(ISNUMBER(AC245),IF(E245&gt;=AC245,"Sí",IF(AW245&gt;=AC245,"Sí (serie 24 h)","No")),"")))</f>
        <v/>
      </c>
      <c r="L245" s="9" t="str">
        <f aca="false">IF(E245="","",AA245)</f>
        <v/>
      </c>
      <c r="M245" s="9" t="str">
        <f aca="false">IF(E245="","",IF(AA245&lt;&gt;"ACUMULA","No aplica",IF(LEFT(K245,2)="Sí","Sí","No")))</f>
        <v/>
      </c>
      <c r="N245" s="23" t="str">
        <f aca="false">IF(M245="Sí",AJ245,"")</f>
        <v/>
      </c>
      <c r="O245" s="24" t="str">
        <f aca="false">IF(M245="Sí",AK245,"")</f>
        <v/>
      </c>
      <c r="P245" s="25" t="str">
        <f aca="false">IF(AND(LEFT(D245,6)="XIV - ",LEFT(AX245,5)="AVISO"),"Pedimento (R 16): no va al SPPLD",AX245)</f>
        <v/>
      </c>
      <c r="Q245" s="23" t="str">
        <f aca="false">IF(LEFT(P245,5)="AVISO",IF(ISNUMBER(B245),DATE(YEAR(B245),MONTH(B245)+1,17),"Falta fecha"),"")</f>
        <v/>
      </c>
      <c r="R245" s="9" t="str">
        <f aca="false">IF(OR(F245="",F245=0),"",IF(ISNUMBER(AG245),IF(F245&gt;=AG245,"PROHIBIDO","Dentro del límite"),"No aplica"))</f>
        <v/>
      </c>
      <c r="S245" s="26" t="str">
        <f aca="false">IF(E245="","",MID(IF(AQ245=1," · Excede el perfil declarado","")&amp;IF(H245="Sí"," · Paga un tercero","")&amp;IF(J245="Alto"," · Cliente de riesgo alto: DDR (RCG 23 Ter 3 y 4)","")&amp;IF(AND(AS245&lt;&gt;"",AS245&lt;&gt;"No",AS245&lt;&gt;0)," · PEP","")&amp;IF(R245="PROHIBIDO"," · Efectivo prohibido: no lo recibas (Art. 32)","")&amp;IF(AR245=1," · ⚠ Fecha fuera de orden","")&amp;IF(LEFT(I245,1)="⚠"," · ⚠ Cliente no registrado","")&amp;IF(D245=""," · ⚠ Falta la actividad","")&amp;IF(AND(LEFT(P245,5)="AVISO",W245="")," · Captura la cifra total con IVA para el Aviso","")&amp;IF(AND(ISNUMBER(W245),W245&lt;E245)," · ⚠ La cifra con IVA es menor que el monto sin IVA",""),4,400))</f>
        <v/>
      </c>
      <c r="T245" s="21"/>
      <c r="U245" s="20"/>
      <c r="V245" s="9" t="str">
        <f aca="false">IF(LEFT(P245,5)&lt;&gt;"AVISO","",IF(T245="Presentado",IF(AND(ISNUMBER(U245),ISNUMBER(Q245),U245&gt;Q245),"Presentado tarde","Presentado"),IF(NOT(ISNUMBER(Q245)),"Falta fecha",IF(Q245&lt;CONFIG!$B$6,"VENCIDO","Vence en "&amp;(Q245-CONFIG!$B$6)&amp;" días"))))</f>
        <v/>
      </c>
      <c r="W245" s="22"/>
      <c r="X245" s="21"/>
      <c r="AA245" s="0" t="str">
        <f aca="false">IF(AM245="","",INDEX(CATÁLOGO!$D$5:$D$39,AM245))</f>
        <v/>
      </c>
      <c r="AB245" s="0" t="str">
        <f aca="false">IF(AM245="","",INDEX(CATÁLOGO!$E$5:$E$39,AM245))</f>
        <v/>
      </c>
      <c r="AC245" s="0" t="str">
        <f aca="false">IF(AB245="","",IF(ISNUMBER(AB245),AB245*AV245,AB245))</f>
        <v/>
      </c>
      <c r="AD245" s="0" t="str">
        <f aca="false">IF(AM245="","",INDEX(CATÁLOGO!$F$5:$F$39,AM245))</f>
        <v/>
      </c>
      <c r="AE245" s="0" t="str">
        <f aca="false">IF(AD245="","",IF(ISNUMBER(AD245),AD245*AV245,AD245))</f>
        <v/>
      </c>
      <c r="AF245" s="0" t="str">
        <f aca="false">IF(AM245="","",INDEX(CATÁLOGO!$G$5:$G$39,AM245))</f>
        <v/>
      </c>
      <c r="AG245" s="0" t="str">
        <f aca="false">IF(AF245="","",IF(ISNUMBER(AF245),AF245*AV245,AF245))</f>
        <v/>
      </c>
      <c r="AH245" s="0" t="str">
        <f aca="false">IF(E245="","",C245&amp;"|"&amp;D245)</f>
        <v/>
      </c>
      <c r="AI245" s="27" t="n">
        <f aca="false">IF(M245&lt;&gt;"Sí",0,SUMPRODUCT(MAX(($AH$5:AH244=AH245)*($M$5:M244="Sí")*ROW($AH$5:AH244))))</f>
        <v>0</v>
      </c>
      <c r="AJ245" s="0" t="str">
        <f aca="false">IF(M245&lt;&gt;"Sí","",IF(AL245=1,B245,INDEX($AJ:$AJ,AI245)))</f>
        <v/>
      </c>
      <c r="AK245" s="0" t="str">
        <f aca="false">IF(M245&lt;&gt;"Sí","",IF(AL245=1,E245,INDEX($AK:$AK,AI245)+E245))</f>
        <v/>
      </c>
      <c r="AL245" s="0" t="str">
        <f aca="false">IF(M245&lt;&gt;"Sí","",IF(AI245=0,1,IF(INDEX($AN:$AN,AI245)=0,1,IF(B245&gt;=EDATE(INDEX($AJ:$AJ,AI245),6),1,0))))</f>
        <v/>
      </c>
      <c r="AM245" s="0" t="str">
        <f aca="false">IF(D245="","",IFERROR(MATCH(D245,CATÁLOGO!$C$5:$C$39,0),""))</f>
        <v/>
      </c>
      <c r="AN245" s="0" t="str">
        <f aca="false">IF(M245&lt;&gt;"Sí","",IF(AND(ISNUMBER(AE245),AK245&gt;=AE245),0,1))</f>
        <v/>
      </c>
      <c r="AO245" s="0" t="str">
        <f aca="false">IF(OR(E245="",C245="",NOT(ISNUMBER(B245))),"",SUMIFS($E$6:$E$505,$C$6:$C$505,C245,$B$6:$B$505,"&gt;="&amp;DATE(YEAR(B245),MONTH(B245),1),$B$6:$B$505,"&lt;"&amp;DATE(YEAR(B245),MONTH(B245)+1,1)))</f>
        <v/>
      </c>
      <c r="AP245" s="0" t="str">
        <f aca="false">IF(C245="","",IFERROR(INDEX(CLIENTES!$M$6:$M$305,MATCH(C245,CLIENTES!$A$6:$A$305,0)),""))</f>
        <v/>
      </c>
      <c r="AQ245" s="27" t="n">
        <f aca="false">IF(AND(ISNUMBER(AO245),ISNUMBER(AP245)),IF(AND(AP245&gt;0,AO245&gt;AP245),1,0),0)</f>
        <v>0</v>
      </c>
      <c r="AR245" s="27" t="n">
        <f aca="false">IF(NOT(ISNUMBER(B245)),0,IF(B245&lt;MAX($B$5:B244),1,0))</f>
        <v>0</v>
      </c>
      <c r="AS245" s="0" t="str">
        <f aca="false">IF(C245="","",IFERROR(INDEX(CLIENTES!$H$6:$H$305,MATCH(C245,CLIENTES!$A$6:$A$305,0)),""))</f>
        <v/>
      </c>
      <c r="AT245" s="0" t="str">
        <f aca="false">IF(AND(LEFT(P245,5)="AVISO",T245&lt;&gt;"Presentado",ISNUMBER(Q245)),Q245,"")</f>
        <v/>
      </c>
      <c r="AU245" s="27" t="n">
        <f aca="false">IF(AND(D245="XVI - Activos virtuales (PSAV): operación de intercambio/transferencia",M245="Sí",ISNUMBER(AE245)),IF(AK245&gt;=AE245,1,0),0)</f>
        <v>0</v>
      </c>
      <c r="AV245" s="30" t="n">
        <f aca="false">IF(NOT(ISNUMBER(B245)),CONFIG!$B$4,IFERROR(INDEX(CONFIG!$I$5:$I$14,MATCH(IF(MONTH(B245)=1,YEAR(B245)-1,YEAR(B245)),CONFIG!$H$5:$H$14,0)),CONFIG!$B$4))</f>
        <v>117.31</v>
      </c>
      <c r="AW245" s="27" t="n">
        <f aca="false">IF(AND(LEFT(D245,4)="I - ",ISNUMBER(B245),C245&lt;&gt;""),SUMIFS($E$6:$E$505,$C$6:$C$505,C245,$D$6:$D$505,D245,$B$6:$B$505,"&gt;"&amp;(B245-1),$B$6:$B$505,"&lt;="&amp;B245),0)</f>
        <v>0</v>
      </c>
      <c r="AX245" s="0" t="str">
        <f aca="false">IF(E245="","",IF(AD245="Siempre","AVISO (siempre)",IF(AD245="No aplica","Sin Aviso (sólo preparas: Ley 17 XI)",IF(NOT(ISNUMBER(AE245)),"",IF(AA245&lt;&gt;"ACUMULA",IF(E245&gt;=AE245,IF(AND(D245="XVI - Activos virtuales (PSAV): cobro de contraprestación (comisión) por el servicio",COUNTIFS($C$6:$C$505,C245,$B$6:$B$505,"&gt;="&amp;INT(B245),$B$6:$B$505,"&lt;"&amp;(INT(B245)+1),$AU$6:$AU$505,1)&gt;0),"En el Aviso del inciso a) (R 31 Bis)","AVISO"),"—"),IF(M245&lt;&gt;"Sí","—",IF(AK245&gt;=AE245,IF(AK245=E245,"AVISO","AVISO (acumulado)"),"Acumulando")))))))</f>
        <v/>
      </c>
    </row>
    <row r="246" customFormat="false" ht="15" hidden="false" customHeight="false" outlineLevel="0" collapsed="false">
      <c r="A246" s="9" t="str">
        <f aca="false">IF(E246="","",ROW()-5)</f>
        <v/>
      </c>
      <c r="B246" s="20"/>
      <c r="C246" s="21"/>
      <c r="D246" s="21"/>
      <c r="E246" s="22"/>
      <c r="F246" s="22"/>
      <c r="G246" s="21"/>
      <c r="H246" s="21"/>
      <c r="I246" s="9" t="str">
        <f aca="false">IF(C246="","",IFERROR(INDEX(CLIENTES!$B$6:$B$305,MATCH(C246,CLIENTES!$A$6:$A$305,0)),"⚠ ID no registrado"))</f>
        <v/>
      </c>
      <c r="J246" s="9" t="str">
        <f aca="false">IF(C246="","",IFERROR(INDEX(CLIENTES!$Z$6:$Z$305,MATCH(C246,CLIENTES!$A$6:$A$305,0)),""))</f>
        <v/>
      </c>
      <c r="K246" s="9" t="str">
        <f aca="false">IF(E246="","",IF(AB246="Siempre","Sí",IF(ISNUMBER(AC246),IF(E246&gt;=AC246,"Sí",IF(AW246&gt;=AC246,"Sí (serie 24 h)","No")),"")))</f>
        <v/>
      </c>
      <c r="L246" s="9" t="str">
        <f aca="false">IF(E246="","",AA246)</f>
        <v/>
      </c>
      <c r="M246" s="9" t="str">
        <f aca="false">IF(E246="","",IF(AA246&lt;&gt;"ACUMULA","No aplica",IF(LEFT(K246,2)="Sí","Sí","No")))</f>
        <v/>
      </c>
      <c r="N246" s="23" t="str">
        <f aca="false">IF(M246="Sí",AJ246,"")</f>
        <v/>
      </c>
      <c r="O246" s="24" t="str">
        <f aca="false">IF(M246="Sí",AK246,"")</f>
        <v/>
      </c>
      <c r="P246" s="25" t="str">
        <f aca="false">IF(AND(LEFT(D246,6)="XIV - ",LEFT(AX246,5)="AVISO"),"Pedimento (R 16): no va al SPPLD",AX246)</f>
        <v/>
      </c>
      <c r="Q246" s="23" t="str">
        <f aca="false">IF(LEFT(P246,5)="AVISO",IF(ISNUMBER(B246),DATE(YEAR(B246),MONTH(B246)+1,17),"Falta fecha"),"")</f>
        <v/>
      </c>
      <c r="R246" s="9" t="str">
        <f aca="false">IF(OR(F246="",F246=0),"",IF(ISNUMBER(AG246),IF(F246&gt;=AG246,"PROHIBIDO","Dentro del límite"),"No aplica"))</f>
        <v/>
      </c>
      <c r="S246" s="26" t="str">
        <f aca="false">IF(E246="","",MID(IF(AQ246=1," · Excede el perfil declarado","")&amp;IF(H246="Sí"," · Paga un tercero","")&amp;IF(J246="Alto"," · Cliente de riesgo alto: DDR (RCG 23 Ter 3 y 4)","")&amp;IF(AND(AS246&lt;&gt;"",AS246&lt;&gt;"No",AS246&lt;&gt;0)," · PEP","")&amp;IF(R246="PROHIBIDO"," · Efectivo prohibido: no lo recibas (Art. 32)","")&amp;IF(AR246=1," · ⚠ Fecha fuera de orden","")&amp;IF(LEFT(I246,1)="⚠"," · ⚠ Cliente no registrado","")&amp;IF(D246=""," · ⚠ Falta la actividad","")&amp;IF(AND(LEFT(P246,5)="AVISO",W246="")," · Captura la cifra total con IVA para el Aviso","")&amp;IF(AND(ISNUMBER(W246),W246&lt;E246)," · ⚠ La cifra con IVA es menor que el monto sin IVA",""),4,400))</f>
        <v/>
      </c>
      <c r="T246" s="21"/>
      <c r="U246" s="20"/>
      <c r="V246" s="9" t="str">
        <f aca="false">IF(LEFT(P246,5)&lt;&gt;"AVISO","",IF(T246="Presentado",IF(AND(ISNUMBER(U246),ISNUMBER(Q246),U246&gt;Q246),"Presentado tarde","Presentado"),IF(NOT(ISNUMBER(Q246)),"Falta fecha",IF(Q246&lt;CONFIG!$B$6,"VENCIDO","Vence en "&amp;(Q246-CONFIG!$B$6)&amp;" días"))))</f>
        <v/>
      </c>
      <c r="W246" s="22"/>
      <c r="X246" s="21"/>
      <c r="AA246" s="0" t="str">
        <f aca="false">IF(AM246="","",INDEX(CATÁLOGO!$D$5:$D$39,AM246))</f>
        <v/>
      </c>
      <c r="AB246" s="0" t="str">
        <f aca="false">IF(AM246="","",INDEX(CATÁLOGO!$E$5:$E$39,AM246))</f>
        <v/>
      </c>
      <c r="AC246" s="0" t="str">
        <f aca="false">IF(AB246="","",IF(ISNUMBER(AB246),AB246*AV246,AB246))</f>
        <v/>
      </c>
      <c r="AD246" s="0" t="str">
        <f aca="false">IF(AM246="","",INDEX(CATÁLOGO!$F$5:$F$39,AM246))</f>
        <v/>
      </c>
      <c r="AE246" s="0" t="str">
        <f aca="false">IF(AD246="","",IF(ISNUMBER(AD246),AD246*AV246,AD246))</f>
        <v/>
      </c>
      <c r="AF246" s="0" t="str">
        <f aca="false">IF(AM246="","",INDEX(CATÁLOGO!$G$5:$G$39,AM246))</f>
        <v/>
      </c>
      <c r="AG246" s="0" t="str">
        <f aca="false">IF(AF246="","",IF(ISNUMBER(AF246),AF246*AV246,AF246))</f>
        <v/>
      </c>
      <c r="AH246" s="0" t="str">
        <f aca="false">IF(E246="","",C246&amp;"|"&amp;D246)</f>
        <v/>
      </c>
      <c r="AI246" s="27" t="n">
        <f aca="false">IF(M246&lt;&gt;"Sí",0,SUMPRODUCT(MAX(($AH$5:AH245=AH246)*($M$5:M245="Sí")*ROW($AH$5:AH245))))</f>
        <v>0</v>
      </c>
      <c r="AJ246" s="0" t="str">
        <f aca="false">IF(M246&lt;&gt;"Sí","",IF(AL246=1,B246,INDEX($AJ:$AJ,AI246)))</f>
        <v/>
      </c>
      <c r="AK246" s="0" t="str">
        <f aca="false">IF(M246&lt;&gt;"Sí","",IF(AL246=1,E246,INDEX($AK:$AK,AI246)+E246))</f>
        <v/>
      </c>
      <c r="AL246" s="0" t="str">
        <f aca="false">IF(M246&lt;&gt;"Sí","",IF(AI246=0,1,IF(INDEX($AN:$AN,AI246)=0,1,IF(B246&gt;=EDATE(INDEX($AJ:$AJ,AI246),6),1,0))))</f>
        <v/>
      </c>
      <c r="AM246" s="0" t="str">
        <f aca="false">IF(D246="","",IFERROR(MATCH(D246,CATÁLOGO!$C$5:$C$39,0),""))</f>
        <v/>
      </c>
      <c r="AN246" s="0" t="str">
        <f aca="false">IF(M246&lt;&gt;"Sí","",IF(AND(ISNUMBER(AE246),AK246&gt;=AE246),0,1))</f>
        <v/>
      </c>
      <c r="AO246" s="0" t="str">
        <f aca="false">IF(OR(E246="",C246="",NOT(ISNUMBER(B246))),"",SUMIFS($E$6:$E$505,$C$6:$C$505,C246,$B$6:$B$505,"&gt;="&amp;DATE(YEAR(B246),MONTH(B246),1),$B$6:$B$505,"&lt;"&amp;DATE(YEAR(B246),MONTH(B246)+1,1)))</f>
        <v/>
      </c>
      <c r="AP246" s="0" t="str">
        <f aca="false">IF(C246="","",IFERROR(INDEX(CLIENTES!$M$6:$M$305,MATCH(C246,CLIENTES!$A$6:$A$305,0)),""))</f>
        <v/>
      </c>
      <c r="AQ246" s="27" t="n">
        <f aca="false">IF(AND(ISNUMBER(AO246),ISNUMBER(AP246)),IF(AND(AP246&gt;0,AO246&gt;AP246),1,0),0)</f>
        <v>0</v>
      </c>
      <c r="AR246" s="27" t="n">
        <f aca="false">IF(NOT(ISNUMBER(B246)),0,IF(B246&lt;MAX($B$5:B245),1,0))</f>
        <v>0</v>
      </c>
      <c r="AS246" s="0" t="str">
        <f aca="false">IF(C246="","",IFERROR(INDEX(CLIENTES!$H$6:$H$305,MATCH(C246,CLIENTES!$A$6:$A$305,0)),""))</f>
        <v/>
      </c>
      <c r="AT246" s="0" t="str">
        <f aca="false">IF(AND(LEFT(P246,5)="AVISO",T246&lt;&gt;"Presentado",ISNUMBER(Q246)),Q246,"")</f>
        <v/>
      </c>
      <c r="AU246" s="27" t="n">
        <f aca="false">IF(AND(D246="XVI - Activos virtuales (PSAV): operación de intercambio/transferencia",M246="Sí",ISNUMBER(AE246)),IF(AK246&gt;=AE246,1,0),0)</f>
        <v>0</v>
      </c>
      <c r="AV246" s="30" t="n">
        <f aca="false">IF(NOT(ISNUMBER(B246)),CONFIG!$B$4,IFERROR(INDEX(CONFIG!$I$5:$I$14,MATCH(IF(MONTH(B246)=1,YEAR(B246)-1,YEAR(B246)),CONFIG!$H$5:$H$14,0)),CONFIG!$B$4))</f>
        <v>117.31</v>
      </c>
      <c r="AW246" s="27" t="n">
        <f aca="false">IF(AND(LEFT(D246,4)="I - ",ISNUMBER(B246),C246&lt;&gt;""),SUMIFS($E$6:$E$505,$C$6:$C$505,C246,$D$6:$D$505,D246,$B$6:$B$505,"&gt;"&amp;(B246-1),$B$6:$B$505,"&lt;="&amp;B246),0)</f>
        <v>0</v>
      </c>
      <c r="AX246" s="0" t="str">
        <f aca="false">IF(E246="","",IF(AD246="Siempre","AVISO (siempre)",IF(AD246="No aplica","Sin Aviso (sólo preparas: Ley 17 XI)",IF(NOT(ISNUMBER(AE246)),"",IF(AA246&lt;&gt;"ACUMULA",IF(E246&gt;=AE246,IF(AND(D246="XVI - Activos virtuales (PSAV): cobro de contraprestación (comisión) por el servicio",COUNTIFS($C$6:$C$505,C246,$B$6:$B$505,"&gt;="&amp;INT(B246),$B$6:$B$505,"&lt;"&amp;(INT(B246)+1),$AU$6:$AU$505,1)&gt;0),"En el Aviso del inciso a) (R 31 Bis)","AVISO"),"—"),IF(M246&lt;&gt;"Sí","—",IF(AK246&gt;=AE246,IF(AK246=E246,"AVISO","AVISO (acumulado)"),"Acumulando")))))))</f>
        <v/>
      </c>
    </row>
    <row r="247" customFormat="false" ht="15" hidden="false" customHeight="false" outlineLevel="0" collapsed="false">
      <c r="A247" s="9" t="str">
        <f aca="false">IF(E247="","",ROW()-5)</f>
        <v/>
      </c>
      <c r="B247" s="20"/>
      <c r="C247" s="21"/>
      <c r="D247" s="21"/>
      <c r="E247" s="22"/>
      <c r="F247" s="22"/>
      <c r="G247" s="21"/>
      <c r="H247" s="21"/>
      <c r="I247" s="9" t="str">
        <f aca="false">IF(C247="","",IFERROR(INDEX(CLIENTES!$B$6:$B$305,MATCH(C247,CLIENTES!$A$6:$A$305,0)),"⚠ ID no registrado"))</f>
        <v/>
      </c>
      <c r="J247" s="9" t="str">
        <f aca="false">IF(C247="","",IFERROR(INDEX(CLIENTES!$Z$6:$Z$305,MATCH(C247,CLIENTES!$A$6:$A$305,0)),""))</f>
        <v/>
      </c>
      <c r="K247" s="9" t="str">
        <f aca="false">IF(E247="","",IF(AB247="Siempre","Sí",IF(ISNUMBER(AC247),IF(E247&gt;=AC247,"Sí",IF(AW247&gt;=AC247,"Sí (serie 24 h)","No")),"")))</f>
        <v/>
      </c>
      <c r="L247" s="9" t="str">
        <f aca="false">IF(E247="","",AA247)</f>
        <v/>
      </c>
      <c r="M247" s="9" t="str">
        <f aca="false">IF(E247="","",IF(AA247&lt;&gt;"ACUMULA","No aplica",IF(LEFT(K247,2)="Sí","Sí","No")))</f>
        <v/>
      </c>
      <c r="N247" s="23" t="str">
        <f aca="false">IF(M247="Sí",AJ247,"")</f>
        <v/>
      </c>
      <c r="O247" s="24" t="str">
        <f aca="false">IF(M247="Sí",AK247,"")</f>
        <v/>
      </c>
      <c r="P247" s="25" t="str">
        <f aca="false">IF(AND(LEFT(D247,6)="XIV - ",LEFT(AX247,5)="AVISO"),"Pedimento (R 16): no va al SPPLD",AX247)</f>
        <v/>
      </c>
      <c r="Q247" s="23" t="str">
        <f aca="false">IF(LEFT(P247,5)="AVISO",IF(ISNUMBER(B247),DATE(YEAR(B247),MONTH(B247)+1,17),"Falta fecha"),"")</f>
        <v/>
      </c>
      <c r="R247" s="9" t="str">
        <f aca="false">IF(OR(F247="",F247=0),"",IF(ISNUMBER(AG247),IF(F247&gt;=AG247,"PROHIBIDO","Dentro del límite"),"No aplica"))</f>
        <v/>
      </c>
      <c r="S247" s="26" t="str">
        <f aca="false">IF(E247="","",MID(IF(AQ247=1," · Excede el perfil declarado","")&amp;IF(H247="Sí"," · Paga un tercero","")&amp;IF(J247="Alto"," · Cliente de riesgo alto: DDR (RCG 23 Ter 3 y 4)","")&amp;IF(AND(AS247&lt;&gt;"",AS247&lt;&gt;"No",AS247&lt;&gt;0)," · PEP","")&amp;IF(R247="PROHIBIDO"," · Efectivo prohibido: no lo recibas (Art. 32)","")&amp;IF(AR247=1," · ⚠ Fecha fuera de orden","")&amp;IF(LEFT(I247,1)="⚠"," · ⚠ Cliente no registrado","")&amp;IF(D247=""," · ⚠ Falta la actividad","")&amp;IF(AND(LEFT(P247,5)="AVISO",W247="")," · Captura la cifra total con IVA para el Aviso","")&amp;IF(AND(ISNUMBER(W247),W247&lt;E247)," · ⚠ La cifra con IVA es menor que el monto sin IVA",""),4,400))</f>
        <v/>
      </c>
      <c r="T247" s="21"/>
      <c r="U247" s="20"/>
      <c r="V247" s="9" t="str">
        <f aca="false">IF(LEFT(P247,5)&lt;&gt;"AVISO","",IF(T247="Presentado",IF(AND(ISNUMBER(U247),ISNUMBER(Q247),U247&gt;Q247),"Presentado tarde","Presentado"),IF(NOT(ISNUMBER(Q247)),"Falta fecha",IF(Q247&lt;CONFIG!$B$6,"VENCIDO","Vence en "&amp;(Q247-CONFIG!$B$6)&amp;" días"))))</f>
        <v/>
      </c>
      <c r="W247" s="22"/>
      <c r="X247" s="21"/>
      <c r="AA247" s="0" t="str">
        <f aca="false">IF(AM247="","",INDEX(CATÁLOGO!$D$5:$D$39,AM247))</f>
        <v/>
      </c>
      <c r="AB247" s="0" t="str">
        <f aca="false">IF(AM247="","",INDEX(CATÁLOGO!$E$5:$E$39,AM247))</f>
        <v/>
      </c>
      <c r="AC247" s="0" t="str">
        <f aca="false">IF(AB247="","",IF(ISNUMBER(AB247),AB247*AV247,AB247))</f>
        <v/>
      </c>
      <c r="AD247" s="0" t="str">
        <f aca="false">IF(AM247="","",INDEX(CATÁLOGO!$F$5:$F$39,AM247))</f>
        <v/>
      </c>
      <c r="AE247" s="0" t="str">
        <f aca="false">IF(AD247="","",IF(ISNUMBER(AD247),AD247*AV247,AD247))</f>
        <v/>
      </c>
      <c r="AF247" s="0" t="str">
        <f aca="false">IF(AM247="","",INDEX(CATÁLOGO!$G$5:$G$39,AM247))</f>
        <v/>
      </c>
      <c r="AG247" s="0" t="str">
        <f aca="false">IF(AF247="","",IF(ISNUMBER(AF247),AF247*AV247,AF247))</f>
        <v/>
      </c>
      <c r="AH247" s="0" t="str">
        <f aca="false">IF(E247="","",C247&amp;"|"&amp;D247)</f>
        <v/>
      </c>
      <c r="AI247" s="27" t="n">
        <f aca="false">IF(M247&lt;&gt;"Sí",0,SUMPRODUCT(MAX(($AH$5:AH246=AH247)*($M$5:M246="Sí")*ROW($AH$5:AH246))))</f>
        <v>0</v>
      </c>
      <c r="AJ247" s="0" t="str">
        <f aca="false">IF(M247&lt;&gt;"Sí","",IF(AL247=1,B247,INDEX($AJ:$AJ,AI247)))</f>
        <v/>
      </c>
      <c r="AK247" s="0" t="str">
        <f aca="false">IF(M247&lt;&gt;"Sí","",IF(AL247=1,E247,INDEX($AK:$AK,AI247)+E247))</f>
        <v/>
      </c>
      <c r="AL247" s="0" t="str">
        <f aca="false">IF(M247&lt;&gt;"Sí","",IF(AI247=0,1,IF(INDEX($AN:$AN,AI247)=0,1,IF(B247&gt;=EDATE(INDEX($AJ:$AJ,AI247),6),1,0))))</f>
        <v/>
      </c>
      <c r="AM247" s="0" t="str">
        <f aca="false">IF(D247="","",IFERROR(MATCH(D247,CATÁLOGO!$C$5:$C$39,0),""))</f>
        <v/>
      </c>
      <c r="AN247" s="0" t="str">
        <f aca="false">IF(M247&lt;&gt;"Sí","",IF(AND(ISNUMBER(AE247),AK247&gt;=AE247),0,1))</f>
        <v/>
      </c>
      <c r="AO247" s="0" t="str">
        <f aca="false">IF(OR(E247="",C247="",NOT(ISNUMBER(B247))),"",SUMIFS($E$6:$E$505,$C$6:$C$505,C247,$B$6:$B$505,"&gt;="&amp;DATE(YEAR(B247),MONTH(B247),1),$B$6:$B$505,"&lt;"&amp;DATE(YEAR(B247),MONTH(B247)+1,1)))</f>
        <v/>
      </c>
      <c r="AP247" s="0" t="str">
        <f aca="false">IF(C247="","",IFERROR(INDEX(CLIENTES!$M$6:$M$305,MATCH(C247,CLIENTES!$A$6:$A$305,0)),""))</f>
        <v/>
      </c>
      <c r="AQ247" s="27" t="n">
        <f aca="false">IF(AND(ISNUMBER(AO247),ISNUMBER(AP247)),IF(AND(AP247&gt;0,AO247&gt;AP247),1,0),0)</f>
        <v>0</v>
      </c>
      <c r="AR247" s="27" t="n">
        <f aca="false">IF(NOT(ISNUMBER(B247)),0,IF(B247&lt;MAX($B$5:B246),1,0))</f>
        <v>0</v>
      </c>
      <c r="AS247" s="0" t="str">
        <f aca="false">IF(C247="","",IFERROR(INDEX(CLIENTES!$H$6:$H$305,MATCH(C247,CLIENTES!$A$6:$A$305,0)),""))</f>
        <v/>
      </c>
      <c r="AT247" s="0" t="str">
        <f aca="false">IF(AND(LEFT(P247,5)="AVISO",T247&lt;&gt;"Presentado",ISNUMBER(Q247)),Q247,"")</f>
        <v/>
      </c>
      <c r="AU247" s="27" t="n">
        <f aca="false">IF(AND(D247="XVI - Activos virtuales (PSAV): operación de intercambio/transferencia",M247="Sí",ISNUMBER(AE247)),IF(AK247&gt;=AE247,1,0),0)</f>
        <v>0</v>
      </c>
      <c r="AV247" s="30" t="n">
        <f aca="false">IF(NOT(ISNUMBER(B247)),CONFIG!$B$4,IFERROR(INDEX(CONFIG!$I$5:$I$14,MATCH(IF(MONTH(B247)=1,YEAR(B247)-1,YEAR(B247)),CONFIG!$H$5:$H$14,0)),CONFIG!$B$4))</f>
        <v>117.31</v>
      </c>
      <c r="AW247" s="27" t="n">
        <f aca="false">IF(AND(LEFT(D247,4)="I - ",ISNUMBER(B247),C247&lt;&gt;""),SUMIFS($E$6:$E$505,$C$6:$C$505,C247,$D$6:$D$505,D247,$B$6:$B$505,"&gt;"&amp;(B247-1),$B$6:$B$505,"&lt;="&amp;B247),0)</f>
        <v>0</v>
      </c>
      <c r="AX247" s="0" t="str">
        <f aca="false">IF(E247="","",IF(AD247="Siempre","AVISO (siempre)",IF(AD247="No aplica","Sin Aviso (sólo preparas: Ley 17 XI)",IF(NOT(ISNUMBER(AE247)),"",IF(AA247&lt;&gt;"ACUMULA",IF(E247&gt;=AE247,IF(AND(D247="XVI - Activos virtuales (PSAV): cobro de contraprestación (comisión) por el servicio",COUNTIFS($C$6:$C$505,C247,$B$6:$B$505,"&gt;="&amp;INT(B247),$B$6:$B$505,"&lt;"&amp;(INT(B247)+1),$AU$6:$AU$505,1)&gt;0),"En el Aviso del inciso a) (R 31 Bis)","AVISO"),"—"),IF(M247&lt;&gt;"Sí","—",IF(AK247&gt;=AE247,IF(AK247=E247,"AVISO","AVISO (acumulado)"),"Acumulando")))))))</f>
        <v/>
      </c>
    </row>
    <row r="248" customFormat="false" ht="15" hidden="false" customHeight="false" outlineLevel="0" collapsed="false">
      <c r="A248" s="9" t="str">
        <f aca="false">IF(E248="","",ROW()-5)</f>
        <v/>
      </c>
      <c r="B248" s="20"/>
      <c r="C248" s="21"/>
      <c r="D248" s="21"/>
      <c r="E248" s="22"/>
      <c r="F248" s="22"/>
      <c r="G248" s="21"/>
      <c r="H248" s="21"/>
      <c r="I248" s="9" t="str">
        <f aca="false">IF(C248="","",IFERROR(INDEX(CLIENTES!$B$6:$B$305,MATCH(C248,CLIENTES!$A$6:$A$305,0)),"⚠ ID no registrado"))</f>
        <v/>
      </c>
      <c r="J248" s="9" t="str">
        <f aca="false">IF(C248="","",IFERROR(INDEX(CLIENTES!$Z$6:$Z$305,MATCH(C248,CLIENTES!$A$6:$A$305,0)),""))</f>
        <v/>
      </c>
      <c r="K248" s="9" t="str">
        <f aca="false">IF(E248="","",IF(AB248="Siempre","Sí",IF(ISNUMBER(AC248),IF(E248&gt;=AC248,"Sí",IF(AW248&gt;=AC248,"Sí (serie 24 h)","No")),"")))</f>
        <v/>
      </c>
      <c r="L248" s="9" t="str">
        <f aca="false">IF(E248="","",AA248)</f>
        <v/>
      </c>
      <c r="M248" s="9" t="str">
        <f aca="false">IF(E248="","",IF(AA248&lt;&gt;"ACUMULA","No aplica",IF(LEFT(K248,2)="Sí","Sí","No")))</f>
        <v/>
      </c>
      <c r="N248" s="23" t="str">
        <f aca="false">IF(M248="Sí",AJ248,"")</f>
        <v/>
      </c>
      <c r="O248" s="24" t="str">
        <f aca="false">IF(M248="Sí",AK248,"")</f>
        <v/>
      </c>
      <c r="P248" s="25" t="str">
        <f aca="false">IF(AND(LEFT(D248,6)="XIV - ",LEFT(AX248,5)="AVISO"),"Pedimento (R 16): no va al SPPLD",AX248)</f>
        <v/>
      </c>
      <c r="Q248" s="23" t="str">
        <f aca="false">IF(LEFT(P248,5)="AVISO",IF(ISNUMBER(B248),DATE(YEAR(B248),MONTH(B248)+1,17),"Falta fecha"),"")</f>
        <v/>
      </c>
      <c r="R248" s="9" t="str">
        <f aca="false">IF(OR(F248="",F248=0),"",IF(ISNUMBER(AG248),IF(F248&gt;=AG248,"PROHIBIDO","Dentro del límite"),"No aplica"))</f>
        <v/>
      </c>
      <c r="S248" s="26" t="str">
        <f aca="false">IF(E248="","",MID(IF(AQ248=1," · Excede el perfil declarado","")&amp;IF(H248="Sí"," · Paga un tercero","")&amp;IF(J248="Alto"," · Cliente de riesgo alto: DDR (RCG 23 Ter 3 y 4)","")&amp;IF(AND(AS248&lt;&gt;"",AS248&lt;&gt;"No",AS248&lt;&gt;0)," · PEP","")&amp;IF(R248="PROHIBIDO"," · Efectivo prohibido: no lo recibas (Art. 32)","")&amp;IF(AR248=1," · ⚠ Fecha fuera de orden","")&amp;IF(LEFT(I248,1)="⚠"," · ⚠ Cliente no registrado","")&amp;IF(D248=""," · ⚠ Falta la actividad","")&amp;IF(AND(LEFT(P248,5)="AVISO",W248="")," · Captura la cifra total con IVA para el Aviso","")&amp;IF(AND(ISNUMBER(W248),W248&lt;E248)," · ⚠ La cifra con IVA es menor que el monto sin IVA",""),4,400))</f>
        <v/>
      </c>
      <c r="T248" s="21"/>
      <c r="U248" s="20"/>
      <c r="V248" s="9" t="str">
        <f aca="false">IF(LEFT(P248,5)&lt;&gt;"AVISO","",IF(T248="Presentado",IF(AND(ISNUMBER(U248),ISNUMBER(Q248),U248&gt;Q248),"Presentado tarde","Presentado"),IF(NOT(ISNUMBER(Q248)),"Falta fecha",IF(Q248&lt;CONFIG!$B$6,"VENCIDO","Vence en "&amp;(Q248-CONFIG!$B$6)&amp;" días"))))</f>
        <v/>
      </c>
      <c r="W248" s="22"/>
      <c r="X248" s="21"/>
      <c r="AA248" s="0" t="str">
        <f aca="false">IF(AM248="","",INDEX(CATÁLOGO!$D$5:$D$39,AM248))</f>
        <v/>
      </c>
      <c r="AB248" s="0" t="str">
        <f aca="false">IF(AM248="","",INDEX(CATÁLOGO!$E$5:$E$39,AM248))</f>
        <v/>
      </c>
      <c r="AC248" s="0" t="str">
        <f aca="false">IF(AB248="","",IF(ISNUMBER(AB248),AB248*AV248,AB248))</f>
        <v/>
      </c>
      <c r="AD248" s="0" t="str">
        <f aca="false">IF(AM248="","",INDEX(CATÁLOGO!$F$5:$F$39,AM248))</f>
        <v/>
      </c>
      <c r="AE248" s="0" t="str">
        <f aca="false">IF(AD248="","",IF(ISNUMBER(AD248),AD248*AV248,AD248))</f>
        <v/>
      </c>
      <c r="AF248" s="0" t="str">
        <f aca="false">IF(AM248="","",INDEX(CATÁLOGO!$G$5:$G$39,AM248))</f>
        <v/>
      </c>
      <c r="AG248" s="0" t="str">
        <f aca="false">IF(AF248="","",IF(ISNUMBER(AF248),AF248*AV248,AF248))</f>
        <v/>
      </c>
      <c r="AH248" s="0" t="str">
        <f aca="false">IF(E248="","",C248&amp;"|"&amp;D248)</f>
        <v/>
      </c>
      <c r="AI248" s="27" t="n">
        <f aca="false">IF(M248&lt;&gt;"Sí",0,SUMPRODUCT(MAX(($AH$5:AH247=AH248)*($M$5:M247="Sí")*ROW($AH$5:AH247))))</f>
        <v>0</v>
      </c>
      <c r="AJ248" s="0" t="str">
        <f aca="false">IF(M248&lt;&gt;"Sí","",IF(AL248=1,B248,INDEX($AJ:$AJ,AI248)))</f>
        <v/>
      </c>
      <c r="AK248" s="0" t="str">
        <f aca="false">IF(M248&lt;&gt;"Sí","",IF(AL248=1,E248,INDEX($AK:$AK,AI248)+E248))</f>
        <v/>
      </c>
      <c r="AL248" s="0" t="str">
        <f aca="false">IF(M248&lt;&gt;"Sí","",IF(AI248=0,1,IF(INDEX($AN:$AN,AI248)=0,1,IF(B248&gt;=EDATE(INDEX($AJ:$AJ,AI248),6),1,0))))</f>
        <v/>
      </c>
      <c r="AM248" s="0" t="str">
        <f aca="false">IF(D248="","",IFERROR(MATCH(D248,CATÁLOGO!$C$5:$C$39,0),""))</f>
        <v/>
      </c>
      <c r="AN248" s="0" t="str">
        <f aca="false">IF(M248&lt;&gt;"Sí","",IF(AND(ISNUMBER(AE248),AK248&gt;=AE248),0,1))</f>
        <v/>
      </c>
      <c r="AO248" s="0" t="str">
        <f aca="false">IF(OR(E248="",C248="",NOT(ISNUMBER(B248))),"",SUMIFS($E$6:$E$505,$C$6:$C$505,C248,$B$6:$B$505,"&gt;="&amp;DATE(YEAR(B248),MONTH(B248),1),$B$6:$B$505,"&lt;"&amp;DATE(YEAR(B248),MONTH(B248)+1,1)))</f>
        <v/>
      </c>
      <c r="AP248" s="0" t="str">
        <f aca="false">IF(C248="","",IFERROR(INDEX(CLIENTES!$M$6:$M$305,MATCH(C248,CLIENTES!$A$6:$A$305,0)),""))</f>
        <v/>
      </c>
      <c r="AQ248" s="27" t="n">
        <f aca="false">IF(AND(ISNUMBER(AO248),ISNUMBER(AP248)),IF(AND(AP248&gt;0,AO248&gt;AP248),1,0),0)</f>
        <v>0</v>
      </c>
      <c r="AR248" s="27" t="n">
        <f aca="false">IF(NOT(ISNUMBER(B248)),0,IF(B248&lt;MAX($B$5:B247),1,0))</f>
        <v>0</v>
      </c>
      <c r="AS248" s="0" t="str">
        <f aca="false">IF(C248="","",IFERROR(INDEX(CLIENTES!$H$6:$H$305,MATCH(C248,CLIENTES!$A$6:$A$305,0)),""))</f>
        <v/>
      </c>
      <c r="AT248" s="0" t="str">
        <f aca="false">IF(AND(LEFT(P248,5)="AVISO",T248&lt;&gt;"Presentado",ISNUMBER(Q248)),Q248,"")</f>
        <v/>
      </c>
      <c r="AU248" s="27" t="n">
        <f aca="false">IF(AND(D248="XVI - Activos virtuales (PSAV): operación de intercambio/transferencia",M248="Sí",ISNUMBER(AE248)),IF(AK248&gt;=AE248,1,0),0)</f>
        <v>0</v>
      </c>
      <c r="AV248" s="30" t="n">
        <f aca="false">IF(NOT(ISNUMBER(B248)),CONFIG!$B$4,IFERROR(INDEX(CONFIG!$I$5:$I$14,MATCH(IF(MONTH(B248)=1,YEAR(B248)-1,YEAR(B248)),CONFIG!$H$5:$H$14,0)),CONFIG!$B$4))</f>
        <v>117.31</v>
      </c>
      <c r="AW248" s="27" t="n">
        <f aca="false">IF(AND(LEFT(D248,4)="I - ",ISNUMBER(B248),C248&lt;&gt;""),SUMIFS($E$6:$E$505,$C$6:$C$505,C248,$D$6:$D$505,D248,$B$6:$B$505,"&gt;"&amp;(B248-1),$B$6:$B$505,"&lt;="&amp;B248),0)</f>
        <v>0</v>
      </c>
      <c r="AX248" s="0" t="str">
        <f aca="false">IF(E248="","",IF(AD248="Siempre","AVISO (siempre)",IF(AD248="No aplica","Sin Aviso (sólo preparas: Ley 17 XI)",IF(NOT(ISNUMBER(AE248)),"",IF(AA248&lt;&gt;"ACUMULA",IF(E248&gt;=AE248,IF(AND(D248="XVI - Activos virtuales (PSAV): cobro de contraprestación (comisión) por el servicio",COUNTIFS($C$6:$C$505,C248,$B$6:$B$505,"&gt;="&amp;INT(B248),$B$6:$B$505,"&lt;"&amp;(INT(B248)+1),$AU$6:$AU$505,1)&gt;0),"En el Aviso del inciso a) (R 31 Bis)","AVISO"),"—"),IF(M248&lt;&gt;"Sí","—",IF(AK248&gt;=AE248,IF(AK248=E248,"AVISO","AVISO (acumulado)"),"Acumulando")))))))</f>
        <v/>
      </c>
    </row>
    <row r="249" customFormat="false" ht="15" hidden="false" customHeight="false" outlineLevel="0" collapsed="false">
      <c r="A249" s="9" t="str">
        <f aca="false">IF(E249="","",ROW()-5)</f>
        <v/>
      </c>
      <c r="B249" s="20"/>
      <c r="C249" s="21"/>
      <c r="D249" s="21"/>
      <c r="E249" s="22"/>
      <c r="F249" s="22"/>
      <c r="G249" s="21"/>
      <c r="H249" s="21"/>
      <c r="I249" s="9" t="str">
        <f aca="false">IF(C249="","",IFERROR(INDEX(CLIENTES!$B$6:$B$305,MATCH(C249,CLIENTES!$A$6:$A$305,0)),"⚠ ID no registrado"))</f>
        <v/>
      </c>
      <c r="J249" s="9" t="str">
        <f aca="false">IF(C249="","",IFERROR(INDEX(CLIENTES!$Z$6:$Z$305,MATCH(C249,CLIENTES!$A$6:$A$305,0)),""))</f>
        <v/>
      </c>
      <c r="K249" s="9" t="str">
        <f aca="false">IF(E249="","",IF(AB249="Siempre","Sí",IF(ISNUMBER(AC249),IF(E249&gt;=AC249,"Sí",IF(AW249&gt;=AC249,"Sí (serie 24 h)","No")),"")))</f>
        <v/>
      </c>
      <c r="L249" s="9" t="str">
        <f aca="false">IF(E249="","",AA249)</f>
        <v/>
      </c>
      <c r="M249" s="9" t="str">
        <f aca="false">IF(E249="","",IF(AA249&lt;&gt;"ACUMULA","No aplica",IF(LEFT(K249,2)="Sí","Sí","No")))</f>
        <v/>
      </c>
      <c r="N249" s="23" t="str">
        <f aca="false">IF(M249="Sí",AJ249,"")</f>
        <v/>
      </c>
      <c r="O249" s="24" t="str">
        <f aca="false">IF(M249="Sí",AK249,"")</f>
        <v/>
      </c>
      <c r="P249" s="25" t="str">
        <f aca="false">IF(AND(LEFT(D249,6)="XIV - ",LEFT(AX249,5)="AVISO"),"Pedimento (R 16): no va al SPPLD",AX249)</f>
        <v/>
      </c>
      <c r="Q249" s="23" t="str">
        <f aca="false">IF(LEFT(P249,5)="AVISO",IF(ISNUMBER(B249),DATE(YEAR(B249),MONTH(B249)+1,17),"Falta fecha"),"")</f>
        <v/>
      </c>
      <c r="R249" s="9" t="str">
        <f aca="false">IF(OR(F249="",F249=0),"",IF(ISNUMBER(AG249),IF(F249&gt;=AG249,"PROHIBIDO","Dentro del límite"),"No aplica"))</f>
        <v/>
      </c>
      <c r="S249" s="26" t="str">
        <f aca="false">IF(E249="","",MID(IF(AQ249=1," · Excede el perfil declarado","")&amp;IF(H249="Sí"," · Paga un tercero","")&amp;IF(J249="Alto"," · Cliente de riesgo alto: DDR (RCG 23 Ter 3 y 4)","")&amp;IF(AND(AS249&lt;&gt;"",AS249&lt;&gt;"No",AS249&lt;&gt;0)," · PEP","")&amp;IF(R249="PROHIBIDO"," · Efectivo prohibido: no lo recibas (Art. 32)","")&amp;IF(AR249=1," · ⚠ Fecha fuera de orden","")&amp;IF(LEFT(I249,1)="⚠"," · ⚠ Cliente no registrado","")&amp;IF(D249=""," · ⚠ Falta la actividad","")&amp;IF(AND(LEFT(P249,5)="AVISO",W249="")," · Captura la cifra total con IVA para el Aviso","")&amp;IF(AND(ISNUMBER(W249),W249&lt;E249)," · ⚠ La cifra con IVA es menor que el monto sin IVA",""),4,400))</f>
        <v/>
      </c>
      <c r="T249" s="21"/>
      <c r="U249" s="20"/>
      <c r="V249" s="9" t="str">
        <f aca="false">IF(LEFT(P249,5)&lt;&gt;"AVISO","",IF(T249="Presentado",IF(AND(ISNUMBER(U249),ISNUMBER(Q249),U249&gt;Q249),"Presentado tarde","Presentado"),IF(NOT(ISNUMBER(Q249)),"Falta fecha",IF(Q249&lt;CONFIG!$B$6,"VENCIDO","Vence en "&amp;(Q249-CONFIG!$B$6)&amp;" días"))))</f>
        <v/>
      </c>
      <c r="W249" s="22"/>
      <c r="X249" s="21"/>
      <c r="AA249" s="0" t="str">
        <f aca="false">IF(AM249="","",INDEX(CATÁLOGO!$D$5:$D$39,AM249))</f>
        <v/>
      </c>
      <c r="AB249" s="0" t="str">
        <f aca="false">IF(AM249="","",INDEX(CATÁLOGO!$E$5:$E$39,AM249))</f>
        <v/>
      </c>
      <c r="AC249" s="0" t="str">
        <f aca="false">IF(AB249="","",IF(ISNUMBER(AB249),AB249*AV249,AB249))</f>
        <v/>
      </c>
      <c r="AD249" s="0" t="str">
        <f aca="false">IF(AM249="","",INDEX(CATÁLOGO!$F$5:$F$39,AM249))</f>
        <v/>
      </c>
      <c r="AE249" s="0" t="str">
        <f aca="false">IF(AD249="","",IF(ISNUMBER(AD249),AD249*AV249,AD249))</f>
        <v/>
      </c>
      <c r="AF249" s="0" t="str">
        <f aca="false">IF(AM249="","",INDEX(CATÁLOGO!$G$5:$G$39,AM249))</f>
        <v/>
      </c>
      <c r="AG249" s="0" t="str">
        <f aca="false">IF(AF249="","",IF(ISNUMBER(AF249),AF249*AV249,AF249))</f>
        <v/>
      </c>
      <c r="AH249" s="0" t="str">
        <f aca="false">IF(E249="","",C249&amp;"|"&amp;D249)</f>
        <v/>
      </c>
      <c r="AI249" s="27" t="n">
        <f aca="false">IF(M249&lt;&gt;"Sí",0,SUMPRODUCT(MAX(($AH$5:AH248=AH249)*($M$5:M248="Sí")*ROW($AH$5:AH248))))</f>
        <v>0</v>
      </c>
      <c r="AJ249" s="0" t="str">
        <f aca="false">IF(M249&lt;&gt;"Sí","",IF(AL249=1,B249,INDEX($AJ:$AJ,AI249)))</f>
        <v/>
      </c>
      <c r="AK249" s="0" t="str">
        <f aca="false">IF(M249&lt;&gt;"Sí","",IF(AL249=1,E249,INDEX($AK:$AK,AI249)+E249))</f>
        <v/>
      </c>
      <c r="AL249" s="0" t="str">
        <f aca="false">IF(M249&lt;&gt;"Sí","",IF(AI249=0,1,IF(INDEX($AN:$AN,AI249)=0,1,IF(B249&gt;=EDATE(INDEX($AJ:$AJ,AI249),6),1,0))))</f>
        <v/>
      </c>
      <c r="AM249" s="0" t="str">
        <f aca="false">IF(D249="","",IFERROR(MATCH(D249,CATÁLOGO!$C$5:$C$39,0),""))</f>
        <v/>
      </c>
      <c r="AN249" s="0" t="str">
        <f aca="false">IF(M249&lt;&gt;"Sí","",IF(AND(ISNUMBER(AE249),AK249&gt;=AE249),0,1))</f>
        <v/>
      </c>
      <c r="AO249" s="0" t="str">
        <f aca="false">IF(OR(E249="",C249="",NOT(ISNUMBER(B249))),"",SUMIFS($E$6:$E$505,$C$6:$C$505,C249,$B$6:$B$505,"&gt;="&amp;DATE(YEAR(B249),MONTH(B249),1),$B$6:$B$505,"&lt;"&amp;DATE(YEAR(B249),MONTH(B249)+1,1)))</f>
        <v/>
      </c>
      <c r="AP249" s="0" t="str">
        <f aca="false">IF(C249="","",IFERROR(INDEX(CLIENTES!$M$6:$M$305,MATCH(C249,CLIENTES!$A$6:$A$305,0)),""))</f>
        <v/>
      </c>
      <c r="AQ249" s="27" t="n">
        <f aca="false">IF(AND(ISNUMBER(AO249),ISNUMBER(AP249)),IF(AND(AP249&gt;0,AO249&gt;AP249),1,0),0)</f>
        <v>0</v>
      </c>
      <c r="AR249" s="27" t="n">
        <f aca="false">IF(NOT(ISNUMBER(B249)),0,IF(B249&lt;MAX($B$5:B248),1,0))</f>
        <v>0</v>
      </c>
      <c r="AS249" s="0" t="str">
        <f aca="false">IF(C249="","",IFERROR(INDEX(CLIENTES!$H$6:$H$305,MATCH(C249,CLIENTES!$A$6:$A$305,0)),""))</f>
        <v/>
      </c>
      <c r="AT249" s="0" t="str">
        <f aca="false">IF(AND(LEFT(P249,5)="AVISO",T249&lt;&gt;"Presentado",ISNUMBER(Q249)),Q249,"")</f>
        <v/>
      </c>
      <c r="AU249" s="27" t="n">
        <f aca="false">IF(AND(D249="XVI - Activos virtuales (PSAV): operación de intercambio/transferencia",M249="Sí",ISNUMBER(AE249)),IF(AK249&gt;=AE249,1,0),0)</f>
        <v>0</v>
      </c>
      <c r="AV249" s="30" t="n">
        <f aca="false">IF(NOT(ISNUMBER(B249)),CONFIG!$B$4,IFERROR(INDEX(CONFIG!$I$5:$I$14,MATCH(IF(MONTH(B249)=1,YEAR(B249)-1,YEAR(B249)),CONFIG!$H$5:$H$14,0)),CONFIG!$B$4))</f>
        <v>117.31</v>
      </c>
      <c r="AW249" s="27" t="n">
        <f aca="false">IF(AND(LEFT(D249,4)="I - ",ISNUMBER(B249),C249&lt;&gt;""),SUMIFS($E$6:$E$505,$C$6:$C$505,C249,$D$6:$D$505,D249,$B$6:$B$505,"&gt;"&amp;(B249-1),$B$6:$B$505,"&lt;="&amp;B249),0)</f>
        <v>0</v>
      </c>
      <c r="AX249" s="0" t="str">
        <f aca="false">IF(E249="","",IF(AD249="Siempre","AVISO (siempre)",IF(AD249="No aplica","Sin Aviso (sólo preparas: Ley 17 XI)",IF(NOT(ISNUMBER(AE249)),"",IF(AA249&lt;&gt;"ACUMULA",IF(E249&gt;=AE249,IF(AND(D249="XVI - Activos virtuales (PSAV): cobro de contraprestación (comisión) por el servicio",COUNTIFS($C$6:$C$505,C249,$B$6:$B$505,"&gt;="&amp;INT(B249),$B$6:$B$505,"&lt;"&amp;(INT(B249)+1),$AU$6:$AU$505,1)&gt;0),"En el Aviso del inciso a) (R 31 Bis)","AVISO"),"—"),IF(M249&lt;&gt;"Sí","—",IF(AK249&gt;=AE249,IF(AK249=E249,"AVISO","AVISO (acumulado)"),"Acumulando")))))))</f>
        <v/>
      </c>
    </row>
    <row r="250" customFormat="false" ht="15" hidden="false" customHeight="false" outlineLevel="0" collapsed="false">
      <c r="A250" s="9" t="str">
        <f aca="false">IF(E250="","",ROW()-5)</f>
        <v/>
      </c>
      <c r="B250" s="20"/>
      <c r="C250" s="21"/>
      <c r="D250" s="21"/>
      <c r="E250" s="22"/>
      <c r="F250" s="22"/>
      <c r="G250" s="21"/>
      <c r="H250" s="21"/>
      <c r="I250" s="9" t="str">
        <f aca="false">IF(C250="","",IFERROR(INDEX(CLIENTES!$B$6:$B$305,MATCH(C250,CLIENTES!$A$6:$A$305,0)),"⚠ ID no registrado"))</f>
        <v/>
      </c>
      <c r="J250" s="9" t="str">
        <f aca="false">IF(C250="","",IFERROR(INDEX(CLIENTES!$Z$6:$Z$305,MATCH(C250,CLIENTES!$A$6:$A$305,0)),""))</f>
        <v/>
      </c>
      <c r="K250" s="9" t="str">
        <f aca="false">IF(E250="","",IF(AB250="Siempre","Sí",IF(ISNUMBER(AC250),IF(E250&gt;=AC250,"Sí",IF(AW250&gt;=AC250,"Sí (serie 24 h)","No")),"")))</f>
        <v/>
      </c>
      <c r="L250" s="9" t="str">
        <f aca="false">IF(E250="","",AA250)</f>
        <v/>
      </c>
      <c r="M250" s="9" t="str">
        <f aca="false">IF(E250="","",IF(AA250&lt;&gt;"ACUMULA","No aplica",IF(LEFT(K250,2)="Sí","Sí","No")))</f>
        <v/>
      </c>
      <c r="N250" s="23" t="str">
        <f aca="false">IF(M250="Sí",AJ250,"")</f>
        <v/>
      </c>
      <c r="O250" s="24" t="str">
        <f aca="false">IF(M250="Sí",AK250,"")</f>
        <v/>
      </c>
      <c r="P250" s="25" t="str">
        <f aca="false">IF(AND(LEFT(D250,6)="XIV - ",LEFT(AX250,5)="AVISO"),"Pedimento (R 16): no va al SPPLD",AX250)</f>
        <v/>
      </c>
      <c r="Q250" s="23" t="str">
        <f aca="false">IF(LEFT(P250,5)="AVISO",IF(ISNUMBER(B250),DATE(YEAR(B250),MONTH(B250)+1,17),"Falta fecha"),"")</f>
        <v/>
      </c>
      <c r="R250" s="9" t="str">
        <f aca="false">IF(OR(F250="",F250=0),"",IF(ISNUMBER(AG250),IF(F250&gt;=AG250,"PROHIBIDO","Dentro del límite"),"No aplica"))</f>
        <v/>
      </c>
      <c r="S250" s="26" t="str">
        <f aca="false">IF(E250="","",MID(IF(AQ250=1," · Excede el perfil declarado","")&amp;IF(H250="Sí"," · Paga un tercero","")&amp;IF(J250="Alto"," · Cliente de riesgo alto: DDR (RCG 23 Ter 3 y 4)","")&amp;IF(AND(AS250&lt;&gt;"",AS250&lt;&gt;"No",AS250&lt;&gt;0)," · PEP","")&amp;IF(R250="PROHIBIDO"," · Efectivo prohibido: no lo recibas (Art. 32)","")&amp;IF(AR250=1," · ⚠ Fecha fuera de orden","")&amp;IF(LEFT(I250,1)="⚠"," · ⚠ Cliente no registrado","")&amp;IF(D250=""," · ⚠ Falta la actividad","")&amp;IF(AND(LEFT(P250,5)="AVISO",W250="")," · Captura la cifra total con IVA para el Aviso","")&amp;IF(AND(ISNUMBER(W250),W250&lt;E250)," · ⚠ La cifra con IVA es menor que el monto sin IVA",""),4,400))</f>
        <v/>
      </c>
      <c r="T250" s="21"/>
      <c r="U250" s="20"/>
      <c r="V250" s="9" t="str">
        <f aca="false">IF(LEFT(P250,5)&lt;&gt;"AVISO","",IF(T250="Presentado",IF(AND(ISNUMBER(U250),ISNUMBER(Q250),U250&gt;Q250),"Presentado tarde","Presentado"),IF(NOT(ISNUMBER(Q250)),"Falta fecha",IF(Q250&lt;CONFIG!$B$6,"VENCIDO","Vence en "&amp;(Q250-CONFIG!$B$6)&amp;" días"))))</f>
        <v/>
      </c>
      <c r="W250" s="22"/>
      <c r="X250" s="21"/>
      <c r="AA250" s="0" t="str">
        <f aca="false">IF(AM250="","",INDEX(CATÁLOGO!$D$5:$D$39,AM250))</f>
        <v/>
      </c>
      <c r="AB250" s="0" t="str">
        <f aca="false">IF(AM250="","",INDEX(CATÁLOGO!$E$5:$E$39,AM250))</f>
        <v/>
      </c>
      <c r="AC250" s="0" t="str">
        <f aca="false">IF(AB250="","",IF(ISNUMBER(AB250),AB250*AV250,AB250))</f>
        <v/>
      </c>
      <c r="AD250" s="0" t="str">
        <f aca="false">IF(AM250="","",INDEX(CATÁLOGO!$F$5:$F$39,AM250))</f>
        <v/>
      </c>
      <c r="AE250" s="0" t="str">
        <f aca="false">IF(AD250="","",IF(ISNUMBER(AD250),AD250*AV250,AD250))</f>
        <v/>
      </c>
      <c r="AF250" s="0" t="str">
        <f aca="false">IF(AM250="","",INDEX(CATÁLOGO!$G$5:$G$39,AM250))</f>
        <v/>
      </c>
      <c r="AG250" s="0" t="str">
        <f aca="false">IF(AF250="","",IF(ISNUMBER(AF250),AF250*AV250,AF250))</f>
        <v/>
      </c>
      <c r="AH250" s="0" t="str">
        <f aca="false">IF(E250="","",C250&amp;"|"&amp;D250)</f>
        <v/>
      </c>
      <c r="AI250" s="27" t="n">
        <f aca="false">IF(M250&lt;&gt;"Sí",0,SUMPRODUCT(MAX(($AH$5:AH249=AH250)*($M$5:M249="Sí")*ROW($AH$5:AH249))))</f>
        <v>0</v>
      </c>
      <c r="AJ250" s="0" t="str">
        <f aca="false">IF(M250&lt;&gt;"Sí","",IF(AL250=1,B250,INDEX($AJ:$AJ,AI250)))</f>
        <v/>
      </c>
      <c r="AK250" s="0" t="str">
        <f aca="false">IF(M250&lt;&gt;"Sí","",IF(AL250=1,E250,INDEX($AK:$AK,AI250)+E250))</f>
        <v/>
      </c>
      <c r="AL250" s="0" t="str">
        <f aca="false">IF(M250&lt;&gt;"Sí","",IF(AI250=0,1,IF(INDEX($AN:$AN,AI250)=0,1,IF(B250&gt;=EDATE(INDEX($AJ:$AJ,AI250),6),1,0))))</f>
        <v/>
      </c>
      <c r="AM250" s="0" t="str">
        <f aca="false">IF(D250="","",IFERROR(MATCH(D250,CATÁLOGO!$C$5:$C$39,0),""))</f>
        <v/>
      </c>
      <c r="AN250" s="0" t="str">
        <f aca="false">IF(M250&lt;&gt;"Sí","",IF(AND(ISNUMBER(AE250),AK250&gt;=AE250),0,1))</f>
        <v/>
      </c>
      <c r="AO250" s="0" t="str">
        <f aca="false">IF(OR(E250="",C250="",NOT(ISNUMBER(B250))),"",SUMIFS($E$6:$E$505,$C$6:$C$505,C250,$B$6:$B$505,"&gt;="&amp;DATE(YEAR(B250),MONTH(B250),1),$B$6:$B$505,"&lt;"&amp;DATE(YEAR(B250),MONTH(B250)+1,1)))</f>
        <v/>
      </c>
      <c r="AP250" s="0" t="str">
        <f aca="false">IF(C250="","",IFERROR(INDEX(CLIENTES!$M$6:$M$305,MATCH(C250,CLIENTES!$A$6:$A$305,0)),""))</f>
        <v/>
      </c>
      <c r="AQ250" s="27" t="n">
        <f aca="false">IF(AND(ISNUMBER(AO250),ISNUMBER(AP250)),IF(AND(AP250&gt;0,AO250&gt;AP250),1,0),0)</f>
        <v>0</v>
      </c>
      <c r="AR250" s="27" t="n">
        <f aca="false">IF(NOT(ISNUMBER(B250)),0,IF(B250&lt;MAX($B$5:B249),1,0))</f>
        <v>0</v>
      </c>
      <c r="AS250" s="0" t="str">
        <f aca="false">IF(C250="","",IFERROR(INDEX(CLIENTES!$H$6:$H$305,MATCH(C250,CLIENTES!$A$6:$A$305,0)),""))</f>
        <v/>
      </c>
      <c r="AT250" s="0" t="str">
        <f aca="false">IF(AND(LEFT(P250,5)="AVISO",T250&lt;&gt;"Presentado",ISNUMBER(Q250)),Q250,"")</f>
        <v/>
      </c>
      <c r="AU250" s="27" t="n">
        <f aca="false">IF(AND(D250="XVI - Activos virtuales (PSAV): operación de intercambio/transferencia",M250="Sí",ISNUMBER(AE250)),IF(AK250&gt;=AE250,1,0),0)</f>
        <v>0</v>
      </c>
      <c r="AV250" s="30" t="n">
        <f aca="false">IF(NOT(ISNUMBER(B250)),CONFIG!$B$4,IFERROR(INDEX(CONFIG!$I$5:$I$14,MATCH(IF(MONTH(B250)=1,YEAR(B250)-1,YEAR(B250)),CONFIG!$H$5:$H$14,0)),CONFIG!$B$4))</f>
        <v>117.31</v>
      </c>
      <c r="AW250" s="27" t="n">
        <f aca="false">IF(AND(LEFT(D250,4)="I - ",ISNUMBER(B250),C250&lt;&gt;""),SUMIFS($E$6:$E$505,$C$6:$C$505,C250,$D$6:$D$505,D250,$B$6:$B$505,"&gt;"&amp;(B250-1),$B$6:$B$505,"&lt;="&amp;B250),0)</f>
        <v>0</v>
      </c>
      <c r="AX250" s="0" t="str">
        <f aca="false">IF(E250="","",IF(AD250="Siempre","AVISO (siempre)",IF(AD250="No aplica","Sin Aviso (sólo preparas: Ley 17 XI)",IF(NOT(ISNUMBER(AE250)),"",IF(AA250&lt;&gt;"ACUMULA",IF(E250&gt;=AE250,IF(AND(D250="XVI - Activos virtuales (PSAV): cobro de contraprestación (comisión) por el servicio",COUNTIFS($C$6:$C$505,C250,$B$6:$B$505,"&gt;="&amp;INT(B250),$B$6:$B$505,"&lt;"&amp;(INT(B250)+1),$AU$6:$AU$505,1)&gt;0),"En el Aviso del inciso a) (R 31 Bis)","AVISO"),"—"),IF(M250&lt;&gt;"Sí","—",IF(AK250&gt;=AE250,IF(AK250=E250,"AVISO","AVISO (acumulado)"),"Acumulando")))))))</f>
        <v/>
      </c>
    </row>
    <row r="251" customFormat="false" ht="15" hidden="false" customHeight="false" outlineLevel="0" collapsed="false">
      <c r="A251" s="9" t="str">
        <f aca="false">IF(E251="","",ROW()-5)</f>
        <v/>
      </c>
      <c r="B251" s="20"/>
      <c r="C251" s="21"/>
      <c r="D251" s="21"/>
      <c r="E251" s="22"/>
      <c r="F251" s="22"/>
      <c r="G251" s="21"/>
      <c r="H251" s="21"/>
      <c r="I251" s="9" t="str">
        <f aca="false">IF(C251="","",IFERROR(INDEX(CLIENTES!$B$6:$B$305,MATCH(C251,CLIENTES!$A$6:$A$305,0)),"⚠ ID no registrado"))</f>
        <v/>
      </c>
      <c r="J251" s="9" t="str">
        <f aca="false">IF(C251="","",IFERROR(INDEX(CLIENTES!$Z$6:$Z$305,MATCH(C251,CLIENTES!$A$6:$A$305,0)),""))</f>
        <v/>
      </c>
      <c r="K251" s="9" t="str">
        <f aca="false">IF(E251="","",IF(AB251="Siempre","Sí",IF(ISNUMBER(AC251),IF(E251&gt;=AC251,"Sí",IF(AW251&gt;=AC251,"Sí (serie 24 h)","No")),"")))</f>
        <v/>
      </c>
      <c r="L251" s="9" t="str">
        <f aca="false">IF(E251="","",AA251)</f>
        <v/>
      </c>
      <c r="M251" s="9" t="str">
        <f aca="false">IF(E251="","",IF(AA251&lt;&gt;"ACUMULA","No aplica",IF(LEFT(K251,2)="Sí","Sí","No")))</f>
        <v/>
      </c>
      <c r="N251" s="23" t="str">
        <f aca="false">IF(M251="Sí",AJ251,"")</f>
        <v/>
      </c>
      <c r="O251" s="24" t="str">
        <f aca="false">IF(M251="Sí",AK251,"")</f>
        <v/>
      </c>
      <c r="P251" s="25" t="str">
        <f aca="false">IF(AND(LEFT(D251,6)="XIV - ",LEFT(AX251,5)="AVISO"),"Pedimento (R 16): no va al SPPLD",AX251)</f>
        <v/>
      </c>
      <c r="Q251" s="23" t="str">
        <f aca="false">IF(LEFT(P251,5)="AVISO",IF(ISNUMBER(B251),DATE(YEAR(B251),MONTH(B251)+1,17),"Falta fecha"),"")</f>
        <v/>
      </c>
      <c r="R251" s="9" t="str">
        <f aca="false">IF(OR(F251="",F251=0),"",IF(ISNUMBER(AG251),IF(F251&gt;=AG251,"PROHIBIDO","Dentro del límite"),"No aplica"))</f>
        <v/>
      </c>
      <c r="S251" s="26" t="str">
        <f aca="false">IF(E251="","",MID(IF(AQ251=1," · Excede el perfil declarado","")&amp;IF(H251="Sí"," · Paga un tercero","")&amp;IF(J251="Alto"," · Cliente de riesgo alto: DDR (RCG 23 Ter 3 y 4)","")&amp;IF(AND(AS251&lt;&gt;"",AS251&lt;&gt;"No",AS251&lt;&gt;0)," · PEP","")&amp;IF(R251="PROHIBIDO"," · Efectivo prohibido: no lo recibas (Art. 32)","")&amp;IF(AR251=1," · ⚠ Fecha fuera de orden","")&amp;IF(LEFT(I251,1)="⚠"," · ⚠ Cliente no registrado","")&amp;IF(D251=""," · ⚠ Falta la actividad","")&amp;IF(AND(LEFT(P251,5)="AVISO",W251="")," · Captura la cifra total con IVA para el Aviso","")&amp;IF(AND(ISNUMBER(W251),W251&lt;E251)," · ⚠ La cifra con IVA es menor que el monto sin IVA",""),4,400))</f>
        <v/>
      </c>
      <c r="T251" s="21"/>
      <c r="U251" s="20"/>
      <c r="V251" s="9" t="str">
        <f aca="false">IF(LEFT(P251,5)&lt;&gt;"AVISO","",IF(T251="Presentado",IF(AND(ISNUMBER(U251),ISNUMBER(Q251),U251&gt;Q251),"Presentado tarde","Presentado"),IF(NOT(ISNUMBER(Q251)),"Falta fecha",IF(Q251&lt;CONFIG!$B$6,"VENCIDO","Vence en "&amp;(Q251-CONFIG!$B$6)&amp;" días"))))</f>
        <v/>
      </c>
      <c r="W251" s="22"/>
      <c r="X251" s="21"/>
      <c r="AA251" s="0" t="str">
        <f aca="false">IF(AM251="","",INDEX(CATÁLOGO!$D$5:$D$39,AM251))</f>
        <v/>
      </c>
      <c r="AB251" s="0" t="str">
        <f aca="false">IF(AM251="","",INDEX(CATÁLOGO!$E$5:$E$39,AM251))</f>
        <v/>
      </c>
      <c r="AC251" s="0" t="str">
        <f aca="false">IF(AB251="","",IF(ISNUMBER(AB251),AB251*AV251,AB251))</f>
        <v/>
      </c>
      <c r="AD251" s="0" t="str">
        <f aca="false">IF(AM251="","",INDEX(CATÁLOGO!$F$5:$F$39,AM251))</f>
        <v/>
      </c>
      <c r="AE251" s="0" t="str">
        <f aca="false">IF(AD251="","",IF(ISNUMBER(AD251),AD251*AV251,AD251))</f>
        <v/>
      </c>
      <c r="AF251" s="0" t="str">
        <f aca="false">IF(AM251="","",INDEX(CATÁLOGO!$G$5:$G$39,AM251))</f>
        <v/>
      </c>
      <c r="AG251" s="0" t="str">
        <f aca="false">IF(AF251="","",IF(ISNUMBER(AF251),AF251*AV251,AF251))</f>
        <v/>
      </c>
      <c r="AH251" s="0" t="str">
        <f aca="false">IF(E251="","",C251&amp;"|"&amp;D251)</f>
        <v/>
      </c>
      <c r="AI251" s="27" t="n">
        <f aca="false">IF(M251&lt;&gt;"Sí",0,SUMPRODUCT(MAX(($AH$5:AH250=AH251)*($M$5:M250="Sí")*ROW($AH$5:AH250))))</f>
        <v>0</v>
      </c>
      <c r="AJ251" s="0" t="str">
        <f aca="false">IF(M251&lt;&gt;"Sí","",IF(AL251=1,B251,INDEX($AJ:$AJ,AI251)))</f>
        <v/>
      </c>
      <c r="AK251" s="0" t="str">
        <f aca="false">IF(M251&lt;&gt;"Sí","",IF(AL251=1,E251,INDEX($AK:$AK,AI251)+E251))</f>
        <v/>
      </c>
      <c r="AL251" s="0" t="str">
        <f aca="false">IF(M251&lt;&gt;"Sí","",IF(AI251=0,1,IF(INDEX($AN:$AN,AI251)=0,1,IF(B251&gt;=EDATE(INDEX($AJ:$AJ,AI251),6),1,0))))</f>
        <v/>
      </c>
      <c r="AM251" s="0" t="str">
        <f aca="false">IF(D251="","",IFERROR(MATCH(D251,CATÁLOGO!$C$5:$C$39,0),""))</f>
        <v/>
      </c>
      <c r="AN251" s="0" t="str">
        <f aca="false">IF(M251&lt;&gt;"Sí","",IF(AND(ISNUMBER(AE251),AK251&gt;=AE251),0,1))</f>
        <v/>
      </c>
      <c r="AO251" s="0" t="str">
        <f aca="false">IF(OR(E251="",C251="",NOT(ISNUMBER(B251))),"",SUMIFS($E$6:$E$505,$C$6:$C$505,C251,$B$6:$B$505,"&gt;="&amp;DATE(YEAR(B251),MONTH(B251),1),$B$6:$B$505,"&lt;"&amp;DATE(YEAR(B251),MONTH(B251)+1,1)))</f>
        <v/>
      </c>
      <c r="AP251" s="0" t="str">
        <f aca="false">IF(C251="","",IFERROR(INDEX(CLIENTES!$M$6:$M$305,MATCH(C251,CLIENTES!$A$6:$A$305,0)),""))</f>
        <v/>
      </c>
      <c r="AQ251" s="27" t="n">
        <f aca="false">IF(AND(ISNUMBER(AO251),ISNUMBER(AP251)),IF(AND(AP251&gt;0,AO251&gt;AP251),1,0),0)</f>
        <v>0</v>
      </c>
      <c r="AR251" s="27" t="n">
        <f aca="false">IF(NOT(ISNUMBER(B251)),0,IF(B251&lt;MAX($B$5:B250),1,0))</f>
        <v>0</v>
      </c>
      <c r="AS251" s="0" t="str">
        <f aca="false">IF(C251="","",IFERROR(INDEX(CLIENTES!$H$6:$H$305,MATCH(C251,CLIENTES!$A$6:$A$305,0)),""))</f>
        <v/>
      </c>
      <c r="AT251" s="0" t="str">
        <f aca="false">IF(AND(LEFT(P251,5)="AVISO",T251&lt;&gt;"Presentado",ISNUMBER(Q251)),Q251,"")</f>
        <v/>
      </c>
      <c r="AU251" s="27" t="n">
        <f aca="false">IF(AND(D251="XVI - Activos virtuales (PSAV): operación de intercambio/transferencia",M251="Sí",ISNUMBER(AE251)),IF(AK251&gt;=AE251,1,0),0)</f>
        <v>0</v>
      </c>
      <c r="AV251" s="30" t="n">
        <f aca="false">IF(NOT(ISNUMBER(B251)),CONFIG!$B$4,IFERROR(INDEX(CONFIG!$I$5:$I$14,MATCH(IF(MONTH(B251)=1,YEAR(B251)-1,YEAR(B251)),CONFIG!$H$5:$H$14,0)),CONFIG!$B$4))</f>
        <v>117.31</v>
      </c>
      <c r="AW251" s="27" t="n">
        <f aca="false">IF(AND(LEFT(D251,4)="I - ",ISNUMBER(B251),C251&lt;&gt;""),SUMIFS($E$6:$E$505,$C$6:$C$505,C251,$D$6:$D$505,D251,$B$6:$B$505,"&gt;"&amp;(B251-1),$B$6:$B$505,"&lt;="&amp;B251),0)</f>
        <v>0</v>
      </c>
      <c r="AX251" s="0" t="str">
        <f aca="false">IF(E251="","",IF(AD251="Siempre","AVISO (siempre)",IF(AD251="No aplica","Sin Aviso (sólo preparas: Ley 17 XI)",IF(NOT(ISNUMBER(AE251)),"",IF(AA251&lt;&gt;"ACUMULA",IF(E251&gt;=AE251,IF(AND(D251="XVI - Activos virtuales (PSAV): cobro de contraprestación (comisión) por el servicio",COUNTIFS($C$6:$C$505,C251,$B$6:$B$505,"&gt;="&amp;INT(B251),$B$6:$B$505,"&lt;"&amp;(INT(B251)+1),$AU$6:$AU$505,1)&gt;0),"En el Aviso del inciso a) (R 31 Bis)","AVISO"),"—"),IF(M251&lt;&gt;"Sí","—",IF(AK251&gt;=AE251,IF(AK251=E251,"AVISO","AVISO (acumulado)"),"Acumulando")))))))</f>
        <v/>
      </c>
    </row>
    <row r="252" customFormat="false" ht="15" hidden="false" customHeight="false" outlineLevel="0" collapsed="false">
      <c r="A252" s="9" t="str">
        <f aca="false">IF(E252="","",ROW()-5)</f>
        <v/>
      </c>
      <c r="B252" s="20"/>
      <c r="C252" s="21"/>
      <c r="D252" s="21"/>
      <c r="E252" s="22"/>
      <c r="F252" s="22"/>
      <c r="G252" s="21"/>
      <c r="H252" s="21"/>
      <c r="I252" s="9" t="str">
        <f aca="false">IF(C252="","",IFERROR(INDEX(CLIENTES!$B$6:$B$305,MATCH(C252,CLIENTES!$A$6:$A$305,0)),"⚠ ID no registrado"))</f>
        <v/>
      </c>
      <c r="J252" s="9" t="str">
        <f aca="false">IF(C252="","",IFERROR(INDEX(CLIENTES!$Z$6:$Z$305,MATCH(C252,CLIENTES!$A$6:$A$305,0)),""))</f>
        <v/>
      </c>
      <c r="K252" s="9" t="str">
        <f aca="false">IF(E252="","",IF(AB252="Siempre","Sí",IF(ISNUMBER(AC252),IF(E252&gt;=AC252,"Sí",IF(AW252&gt;=AC252,"Sí (serie 24 h)","No")),"")))</f>
        <v/>
      </c>
      <c r="L252" s="9" t="str">
        <f aca="false">IF(E252="","",AA252)</f>
        <v/>
      </c>
      <c r="M252" s="9" t="str">
        <f aca="false">IF(E252="","",IF(AA252&lt;&gt;"ACUMULA","No aplica",IF(LEFT(K252,2)="Sí","Sí","No")))</f>
        <v/>
      </c>
      <c r="N252" s="23" t="str">
        <f aca="false">IF(M252="Sí",AJ252,"")</f>
        <v/>
      </c>
      <c r="O252" s="24" t="str">
        <f aca="false">IF(M252="Sí",AK252,"")</f>
        <v/>
      </c>
      <c r="P252" s="25" t="str">
        <f aca="false">IF(AND(LEFT(D252,6)="XIV - ",LEFT(AX252,5)="AVISO"),"Pedimento (R 16): no va al SPPLD",AX252)</f>
        <v/>
      </c>
      <c r="Q252" s="23" t="str">
        <f aca="false">IF(LEFT(P252,5)="AVISO",IF(ISNUMBER(B252),DATE(YEAR(B252),MONTH(B252)+1,17),"Falta fecha"),"")</f>
        <v/>
      </c>
      <c r="R252" s="9" t="str">
        <f aca="false">IF(OR(F252="",F252=0),"",IF(ISNUMBER(AG252),IF(F252&gt;=AG252,"PROHIBIDO","Dentro del límite"),"No aplica"))</f>
        <v/>
      </c>
      <c r="S252" s="26" t="str">
        <f aca="false">IF(E252="","",MID(IF(AQ252=1," · Excede el perfil declarado","")&amp;IF(H252="Sí"," · Paga un tercero","")&amp;IF(J252="Alto"," · Cliente de riesgo alto: DDR (RCG 23 Ter 3 y 4)","")&amp;IF(AND(AS252&lt;&gt;"",AS252&lt;&gt;"No",AS252&lt;&gt;0)," · PEP","")&amp;IF(R252="PROHIBIDO"," · Efectivo prohibido: no lo recibas (Art. 32)","")&amp;IF(AR252=1," · ⚠ Fecha fuera de orden","")&amp;IF(LEFT(I252,1)="⚠"," · ⚠ Cliente no registrado","")&amp;IF(D252=""," · ⚠ Falta la actividad","")&amp;IF(AND(LEFT(P252,5)="AVISO",W252="")," · Captura la cifra total con IVA para el Aviso","")&amp;IF(AND(ISNUMBER(W252),W252&lt;E252)," · ⚠ La cifra con IVA es menor que el monto sin IVA",""),4,400))</f>
        <v/>
      </c>
      <c r="T252" s="21"/>
      <c r="U252" s="20"/>
      <c r="V252" s="9" t="str">
        <f aca="false">IF(LEFT(P252,5)&lt;&gt;"AVISO","",IF(T252="Presentado",IF(AND(ISNUMBER(U252),ISNUMBER(Q252),U252&gt;Q252),"Presentado tarde","Presentado"),IF(NOT(ISNUMBER(Q252)),"Falta fecha",IF(Q252&lt;CONFIG!$B$6,"VENCIDO","Vence en "&amp;(Q252-CONFIG!$B$6)&amp;" días"))))</f>
        <v/>
      </c>
      <c r="W252" s="22"/>
      <c r="X252" s="21"/>
      <c r="AA252" s="0" t="str">
        <f aca="false">IF(AM252="","",INDEX(CATÁLOGO!$D$5:$D$39,AM252))</f>
        <v/>
      </c>
      <c r="AB252" s="0" t="str">
        <f aca="false">IF(AM252="","",INDEX(CATÁLOGO!$E$5:$E$39,AM252))</f>
        <v/>
      </c>
      <c r="AC252" s="0" t="str">
        <f aca="false">IF(AB252="","",IF(ISNUMBER(AB252),AB252*AV252,AB252))</f>
        <v/>
      </c>
      <c r="AD252" s="0" t="str">
        <f aca="false">IF(AM252="","",INDEX(CATÁLOGO!$F$5:$F$39,AM252))</f>
        <v/>
      </c>
      <c r="AE252" s="0" t="str">
        <f aca="false">IF(AD252="","",IF(ISNUMBER(AD252),AD252*AV252,AD252))</f>
        <v/>
      </c>
      <c r="AF252" s="0" t="str">
        <f aca="false">IF(AM252="","",INDEX(CATÁLOGO!$G$5:$G$39,AM252))</f>
        <v/>
      </c>
      <c r="AG252" s="0" t="str">
        <f aca="false">IF(AF252="","",IF(ISNUMBER(AF252),AF252*AV252,AF252))</f>
        <v/>
      </c>
      <c r="AH252" s="0" t="str">
        <f aca="false">IF(E252="","",C252&amp;"|"&amp;D252)</f>
        <v/>
      </c>
      <c r="AI252" s="27" t="n">
        <f aca="false">IF(M252&lt;&gt;"Sí",0,SUMPRODUCT(MAX(($AH$5:AH251=AH252)*($M$5:M251="Sí")*ROW($AH$5:AH251))))</f>
        <v>0</v>
      </c>
      <c r="AJ252" s="0" t="str">
        <f aca="false">IF(M252&lt;&gt;"Sí","",IF(AL252=1,B252,INDEX($AJ:$AJ,AI252)))</f>
        <v/>
      </c>
      <c r="AK252" s="0" t="str">
        <f aca="false">IF(M252&lt;&gt;"Sí","",IF(AL252=1,E252,INDEX($AK:$AK,AI252)+E252))</f>
        <v/>
      </c>
      <c r="AL252" s="0" t="str">
        <f aca="false">IF(M252&lt;&gt;"Sí","",IF(AI252=0,1,IF(INDEX($AN:$AN,AI252)=0,1,IF(B252&gt;=EDATE(INDEX($AJ:$AJ,AI252),6),1,0))))</f>
        <v/>
      </c>
      <c r="AM252" s="0" t="str">
        <f aca="false">IF(D252="","",IFERROR(MATCH(D252,CATÁLOGO!$C$5:$C$39,0),""))</f>
        <v/>
      </c>
      <c r="AN252" s="0" t="str">
        <f aca="false">IF(M252&lt;&gt;"Sí","",IF(AND(ISNUMBER(AE252),AK252&gt;=AE252),0,1))</f>
        <v/>
      </c>
      <c r="AO252" s="0" t="str">
        <f aca="false">IF(OR(E252="",C252="",NOT(ISNUMBER(B252))),"",SUMIFS($E$6:$E$505,$C$6:$C$505,C252,$B$6:$B$505,"&gt;="&amp;DATE(YEAR(B252),MONTH(B252),1),$B$6:$B$505,"&lt;"&amp;DATE(YEAR(B252),MONTH(B252)+1,1)))</f>
        <v/>
      </c>
      <c r="AP252" s="0" t="str">
        <f aca="false">IF(C252="","",IFERROR(INDEX(CLIENTES!$M$6:$M$305,MATCH(C252,CLIENTES!$A$6:$A$305,0)),""))</f>
        <v/>
      </c>
      <c r="AQ252" s="27" t="n">
        <f aca="false">IF(AND(ISNUMBER(AO252),ISNUMBER(AP252)),IF(AND(AP252&gt;0,AO252&gt;AP252),1,0),0)</f>
        <v>0</v>
      </c>
      <c r="AR252" s="27" t="n">
        <f aca="false">IF(NOT(ISNUMBER(B252)),0,IF(B252&lt;MAX($B$5:B251),1,0))</f>
        <v>0</v>
      </c>
      <c r="AS252" s="0" t="str">
        <f aca="false">IF(C252="","",IFERROR(INDEX(CLIENTES!$H$6:$H$305,MATCH(C252,CLIENTES!$A$6:$A$305,0)),""))</f>
        <v/>
      </c>
      <c r="AT252" s="0" t="str">
        <f aca="false">IF(AND(LEFT(P252,5)="AVISO",T252&lt;&gt;"Presentado",ISNUMBER(Q252)),Q252,"")</f>
        <v/>
      </c>
      <c r="AU252" s="27" t="n">
        <f aca="false">IF(AND(D252="XVI - Activos virtuales (PSAV): operación de intercambio/transferencia",M252="Sí",ISNUMBER(AE252)),IF(AK252&gt;=AE252,1,0),0)</f>
        <v>0</v>
      </c>
      <c r="AV252" s="30" t="n">
        <f aca="false">IF(NOT(ISNUMBER(B252)),CONFIG!$B$4,IFERROR(INDEX(CONFIG!$I$5:$I$14,MATCH(IF(MONTH(B252)=1,YEAR(B252)-1,YEAR(B252)),CONFIG!$H$5:$H$14,0)),CONFIG!$B$4))</f>
        <v>117.31</v>
      </c>
      <c r="AW252" s="27" t="n">
        <f aca="false">IF(AND(LEFT(D252,4)="I - ",ISNUMBER(B252),C252&lt;&gt;""),SUMIFS($E$6:$E$505,$C$6:$C$505,C252,$D$6:$D$505,D252,$B$6:$B$505,"&gt;"&amp;(B252-1),$B$6:$B$505,"&lt;="&amp;B252),0)</f>
        <v>0</v>
      </c>
      <c r="AX252" s="0" t="str">
        <f aca="false">IF(E252="","",IF(AD252="Siempre","AVISO (siempre)",IF(AD252="No aplica","Sin Aviso (sólo preparas: Ley 17 XI)",IF(NOT(ISNUMBER(AE252)),"",IF(AA252&lt;&gt;"ACUMULA",IF(E252&gt;=AE252,IF(AND(D252="XVI - Activos virtuales (PSAV): cobro de contraprestación (comisión) por el servicio",COUNTIFS($C$6:$C$505,C252,$B$6:$B$505,"&gt;="&amp;INT(B252),$B$6:$B$505,"&lt;"&amp;(INT(B252)+1),$AU$6:$AU$505,1)&gt;0),"En el Aviso del inciso a) (R 31 Bis)","AVISO"),"—"),IF(M252&lt;&gt;"Sí","—",IF(AK252&gt;=AE252,IF(AK252=E252,"AVISO","AVISO (acumulado)"),"Acumulando")))))))</f>
        <v/>
      </c>
    </row>
    <row r="253" customFormat="false" ht="15" hidden="false" customHeight="false" outlineLevel="0" collapsed="false">
      <c r="A253" s="9" t="str">
        <f aca="false">IF(E253="","",ROW()-5)</f>
        <v/>
      </c>
      <c r="B253" s="20"/>
      <c r="C253" s="21"/>
      <c r="D253" s="21"/>
      <c r="E253" s="22"/>
      <c r="F253" s="22"/>
      <c r="G253" s="21"/>
      <c r="H253" s="21"/>
      <c r="I253" s="9" t="str">
        <f aca="false">IF(C253="","",IFERROR(INDEX(CLIENTES!$B$6:$B$305,MATCH(C253,CLIENTES!$A$6:$A$305,0)),"⚠ ID no registrado"))</f>
        <v/>
      </c>
      <c r="J253" s="9" t="str">
        <f aca="false">IF(C253="","",IFERROR(INDEX(CLIENTES!$Z$6:$Z$305,MATCH(C253,CLIENTES!$A$6:$A$305,0)),""))</f>
        <v/>
      </c>
      <c r="K253" s="9" t="str">
        <f aca="false">IF(E253="","",IF(AB253="Siempre","Sí",IF(ISNUMBER(AC253),IF(E253&gt;=AC253,"Sí",IF(AW253&gt;=AC253,"Sí (serie 24 h)","No")),"")))</f>
        <v/>
      </c>
      <c r="L253" s="9" t="str">
        <f aca="false">IF(E253="","",AA253)</f>
        <v/>
      </c>
      <c r="M253" s="9" t="str">
        <f aca="false">IF(E253="","",IF(AA253&lt;&gt;"ACUMULA","No aplica",IF(LEFT(K253,2)="Sí","Sí","No")))</f>
        <v/>
      </c>
      <c r="N253" s="23" t="str">
        <f aca="false">IF(M253="Sí",AJ253,"")</f>
        <v/>
      </c>
      <c r="O253" s="24" t="str">
        <f aca="false">IF(M253="Sí",AK253,"")</f>
        <v/>
      </c>
      <c r="P253" s="25" t="str">
        <f aca="false">IF(AND(LEFT(D253,6)="XIV - ",LEFT(AX253,5)="AVISO"),"Pedimento (R 16): no va al SPPLD",AX253)</f>
        <v/>
      </c>
      <c r="Q253" s="23" t="str">
        <f aca="false">IF(LEFT(P253,5)="AVISO",IF(ISNUMBER(B253),DATE(YEAR(B253),MONTH(B253)+1,17),"Falta fecha"),"")</f>
        <v/>
      </c>
      <c r="R253" s="9" t="str">
        <f aca="false">IF(OR(F253="",F253=0),"",IF(ISNUMBER(AG253),IF(F253&gt;=AG253,"PROHIBIDO","Dentro del límite"),"No aplica"))</f>
        <v/>
      </c>
      <c r="S253" s="26" t="str">
        <f aca="false">IF(E253="","",MID(IF(AQ253=1," · Excede el perfil declarado","")&amp;IF(H253="Sí"," · Paga un tercero","")&amp;IF(J253="Alto"," · Cliente de riesgo alto: DDR (RCG 23 Ter 3 y 4)","")&amp;IF(AND(AS253&lt;&gt;"",AS253&lt;&gt;"No",AS253&lt;&gt;0)," · PEP","")&amp;IF(R253="PROHIBIDO"," · Efectivo prohibido: no lo recibas (Art. 32)","")&amp;IF(AR253=1," · ⚠ Fecha fuera de orden","")&amp;IF(LEFT(I253,1)="⚠"," · ⚠ Cliente no registrado","")&amp;IF(D253=""," · ⚠ Falta la actividad","")&amp;IF(AND(LEFT(P253,5)="AVISO",W253="")," · Captura la cifra total con IVA para el Aviso","")&amp;IF(AND(ISNUMBER(W253),W253&lt;E253)," · ⚠ La cifra con IVA es menor que el monto sin IVA",""),4,400))</f>
        <v/>
      </c>
      <c r="T253" s="21"/>
      <c r="U253" s="20"/>
      <c r="V253" s="9" t="str">
        <f aca="false">IF(LEFT(P253,5)&lt;&gt;"AVISO","",IF(T253="Presentado",IF(AND(ISNUMBER(U253),ISNUMBER(Q253),U253&gt;Q253),"Presentado tarde","Presentado"),IF(NOT(ISNUMBER(Q253)),"Falta fecha",IF(Q253&lt;CONFIG!$B$6,"VENCIDO","Vence en "&amp;(Q253-CONFIG!$B$6)&amp;" días"))))</f>
        <v/>
      </c>
      <c r="W253" s="22"/>
      <c r="X253" s="21"/>
      <c r="AA253" s="0" t="str">
        <f aca="false">IF(AM253="","",INDEX(CATÁLOGO!$D$5:$D$39,AM253))</f>
        <v/>
      </c>
      <c r="AB253" s="0" t="str">
        <f aca="false">IF(AM253="","",INDEX(CATÁLOGO!$E$5:$E$39,AM253))</f>
        <v/>
      </c>
      <c r="AC253" s="0" t="str">
        <f aca="false">IF(AB253="","",IF(ISNUMBER(AB253),AB253*AV253,AB253))</f>
        <v/>
      </c>
      <c r="AD253" s="0" t="str">
        <f aca="false">IF(AM253="","",INDEX(CATÁLOGO!$F$5:$F$39,AM253))</f>
        <v/>
      </c>
      <c r="AE253" s="0" t="str">
        <f aca="false">IF(AD253="","",IF(ISNUMBER(AD253),AD253*AV253,AD253))</f>
        <v/>
      </c>
      <c r="AF253" s="0" t="str">
        <f aca="false">IF(AM253="","",INDEX(CATÁLOGO!$G$5:$G$39,AM253))</f>
        <v/>
      </c>
      <c r="AG253" s="0" t="str">
        <f aca="false">IF(AF253="","",IF(ISNUMBER(AF253),AF253*AV253,AF253))</f>
        <v/>
      </c>
      <c r="AH253" s="0" t="str">
        <f aca="false">IF(E253="","",C253&amp;"|"&amp;D253)</f>
        <v/>
      </c>
      <c r="AI253" s="27" t="n">
        <f aca="false">IF(M253&lt;&gt;"Sí",0,SUMPRODUCT(MAX(($AH$5:AH252=AH253)*($M$5:M252="Sí")*ROW($AH$5:AH252))))</f>
        <v>0</v>
      </c>
      <c r="AJ253" s="0" t="str">
        <f aca="false">IF(M253&lt;&gt;"Sí","",IF(AL253=1,B253,INDEX($AJ:$AJ,AI253)))</f>
        <v/>
      </c>
      <c r="AK253" s="0" t="str">
        <f aca="false">IF(M253&lt;&gt;"Sí","",IF(AL253=1,E253,INDEX($AK:$AK,AI253)+E253))</f>
        <v/>
      </c>
      <c r="AL253" s="0" t="str">
        <f aca="false">IF(M253&lt;&gt;"Sí","",IF(AI253=0,1,IF(INDEX($AN:$AN,AI253)=0,1,IF(B253&gt;=EDATE(INDEX($AJ:$AJ,AI253),6),1,0))))</f>
        <v/>
      </c>
      <c r="AM253" s="0" t="str">
        <f aca="false">IF(D253="","",IFERROR(MATCH(D253,CATÁLOGO!$C$5:$C$39,0),""))</f>
        <v/>
      </c>
      <c r="AN253" s="0" t="str">
        <f aca="false">IF(M253&lt;&gt;"Sí","",IF(AND(ISNUMBER(AE253),AK253&gt;=AE253),0,1))</f>
        <v/>
      </c>
      <c r="AO253" s="0" t="str">
        <f aca="false">IF(OR(E253="",C253="",NOT(ISNUMBER(B253))),"",SUMIFS($E$6:$E$505,$C$6:$C$505,C253,$B$6:$B$505,"&gt;="&amp;DATE(YEAR(B253),MONTH(B253),1),$B$6:$B$505,"&lt;"&amp;DATE(YEAR(B253),MONTH(B253)+1,1)))</f>
        <v/>
      </c>
      <c r="AP253" s="0" t="str">
        <f aca="false">IF(C253="","",IFERROR(INDEX(CLIENTES!$M$6:$M$305,MATCH(C253,CLIENTES!$A$6:$A$305,0)),""))</f>
        <v/>
      </c>
      <c r="AQ253" s="27" t="n">
        <f aca="false">IF(AND(ISNUMBER(AO253),ISNUMBER(AP253)),IF(AND(AP253&gt;0,AO253&gt;AP253),1,0),0)</f>
        <v>0</v>
      </c>
      <c r="AR253" s="27" t="n">
        <f aca="false">IF(NOT(ISNUMBER(B253)),0,IF(B253&lt;MAX($B$5:B252),1,0))</f>
        <v>0</v>
      </c>
      <c r="AS253" s="0" t="str">
        <f aca="false">IF(C253="","",IFERROR(INDEX(CLIENTES!$H$6:$H$305,MATCH(C253,CLIENTES!$A$6:$A$305,0)),""))</f>
        <v/>
      </c>
      <c r="AT253" s="0" t="str">
        <f aca="false">IF(AND(LEFT(P253,5)="AVISO",T253&lt;&gt;"Presentado",ISNUMBER(Q253)),Q253,"")</f>
        <v/>
      </c>
      <c r="AU253" s="27" t="n">
        <f aca="false">IF(AND(D253="XVI - Activos virtuales (PSAV): operación de intercambio/transferencia",M253="Sí",ISNUMBER(AE253)),IF(AK253&gt;=AE253,1,0),0)</f>
        <v>0</v>
      </c>
      <c r="AV253" s="30" t="n">
        <f aca="false">IF(NOT(ISNUMBER(B253)),CONFIG!$B$4,IFERROR(INDEX(CONFIG!$I$5:$I$14,MATCH(IF(MONTH(B253)=1,YEAR(B253)-1,YEAR(B253)),CONFIG!$H$5:$H$14,0)),CONFIG!$B$4))</f>
        <v>117.31</v>
      </c>
      <c r="AW253" s="27" t="n">
        <f aca="false">IF(AND(LEFT(D253,4)="I - ",ISNUMBER(B253),C253&lt;&gt;""),SUMIFS($E$6:$E$505,$C$6:$C$505,C253,$D$6:$D$505,D253,$B$6:$B$505,"&gt;"&amp;(B253-1),$B$6:$B$505,"&lt;="&amp;B253),0)</f>
        <v>0</v>
      </c>
      <c r="AX253" s="0" t="str">
        <f aca="false">IF(E253="","",IF(AD253="Siempre","AVISO (siempre)",IF(AD253="No aplica","Sin Aviso (sólo preparas: Ley 17 XI)",IF(NOT(ISNUMBER(AE253)),"",IF(AA253&lt;&gt;"ACUMULA",IF(E253&gt;=AE253,IF(AND(D253="XVI - Activos virtuales (PSAV): cobro de contraprestación (comisión) por el servicio",COUNTIFS($C$6:$C$505,C253,$B$6:$B$505,"&gt;="&amp;INT(B253),$B$6:$B$505,"&lt;"&amp;(INT(B253)+1),$AU$6:$AU$505,1)&gt;0),"En el Aviso del inciso a) (R 31 Bis)","AVISO"),"—"),IF(M253&lt;&gt;"Sí","—",IF(AK253&gt;=AE253,IF(AK253=E253,"AVISO","AVISO (acumulado)"),"Acumulando")))))))</f>
        <v/>
      </c>
    </row>
    <row r="254" customFormat="false" ht="15" hidden="false" customHeight="false" outlineLevel="0" collapsed="false">
      <c r="A254" s="9" t="str">
        <f aca="false">IF(E254="","",ROW()-5)</f>
        <v/>
      </c>
      <c r="B254" s="20"/>
      <c r="C254" s="21"/>
      <c r="D254" s="21"/>
      <c r="E254" s="22"/>
      <c r="F254" s="22"/>
      <c r="G254" s="21"/>
      <c r="H254" s="21"/>
      <c r="I254" s="9" t="str">
        <f aca="false">IF(C254="","",IFERROR(INDEX(CLIENTES!$B$6:$B$305,MATCH(C254,CLIENTES!$A$6:$A$305,0)),"⚠ ID no registrado"))</f>
        <v/>
      </c>
      <c r="J254" s="9" t="str">
        <f aca="false">IF(C254="","",IFERROR(INDEX(CLIENTES!$Z$6:$Z$305,MATCH(C254,CLIENTES!$A$6:$A$305,0)),""))</f>
        <v/>
      </c>
      <c r="K254" s="9" t="str">
        <f aca="false">IF(E254="","",IF(AB254="Siempre","Sí",IF(ISNUMBER(AC254),IF(E254&gt;=AC254,"Sí",IF(AW254&gt;=AC254,"Sí (serie 24 h)","No")),"")))</f>
        <v/>
      </c>
      <c r="L254" s="9" t="str">
        <f aca="false">IF(E254="","",AA254)</f>
        <v/>
      </c>
      <c r="M254" s="9" t="str">
        <f aca="false">IF(E254="","",IF(AA254&lt;&gt;"ACUMULA","No aplica",IF(LEFT(K254,2)="Sí","Sí","No")))</f>
        <v/>
      </c>
      <c r="N254" s="23" t="str">
        <f aca="false">IF(M254="Sí",AJ254,"")</f>
        <v/>
      </c>
      <c r="O254" s="24" t="str">
        <f aca="false">IF(M254="Sí",AK254,"")</f>
        <v/>
      </c>
      <c r="P254" s="25" t="str">
        <f aca="false">IF(AND(LEFT(D254,6)="XIV - ",LEFT(AX254,5)="AVISO"),"Pedimento (R 16): no va al SPPLD",AX254)</f>
        <v/>
      </c>
      <c r="Q254" s="23" t="str">
        <f aca="false">IF(LEFT(P254,5)="AVISO",IF(ISNUMBER(B254),DATE(YEAR(B254),MONTH(B254)+1,17),"Falta fecha"),"")</f>
        <v/>
      </c>
      <c r="R254" s="9" t="str">
        <f aca="false">IF(OR(F254="",F254=0),"",IF(ISNUMBER(AG254),IF(F254&gt;=AG254,"PROHIBIDO","Dentro del límite"),"No aplica"))</f>
        <v/>
      </c>
      <c r="S254" s="26" t="str">
        <f aca="false">IF(E254="","",MID(IF(AQ254=1," · Excede el perfil declarado","")&amp;IF(H254="Sí"," · Paga un tercero","")&amp;IF(J254="Alto"," · Cliente de riesgo alto: DDR (RCG 23 Ter 3 y 4)","")&amp;IF(AND(AS254&lt;&gt;"",AS254&lt;&gt;"No",AS254&lt;&gt;0)," · PEP","")&amp;IF(R254="PROHIBIDO"," · Efectivo prohibido: no lo recibas (Art. 32)","")&amp;IF(AR254=1," · ⚠ Fecha fuera de orden","")&amp;IF(LEFT(I254,1)="⚠"," · ⚠ Cliente no registrado","")&amp;IF(D254=""," · ⚠ Falta la actividad","")&amp;IF(AND(LEFT(P254,5)="AVISO",W254="")," · Captura la cifra total con IVA para el Aviso","")&amp;IF(AND(ISNUMBER(W254),W254&lt;E254)," · ⚠ La cifra con IVA es menor que el monto sin IVA",""),4,400))</f>
        <v/>
      </c>
      <c r="T254" s="21"/>
      <c r="U254" s="20"/>
      <c r="V254" s="9" t="str">
        <f aca="false">IF(LEFT(P254,5)&lt;&gt;"AVISO","",IF(T254="Presentado",IF(AND(ISNUMBER(U254),ISNUMBER(Q254),U254&gt;Q254),"Presentado tarde","Presentado"),IF(NOT(ISNUMBER(Q254)),"Falta fecha",IF(Q254&lt;CONFIG!$B$6,"VENCIDO","Vence en "&amp;(Q254-CONFIG!$B$6)&amp;" días"))))</f>
        <v/>
      </c>
      <c r="W254" s="22"/>
      <c r="X254" s="21"/>
      <c r="AA254" s="0" t="str">
        <f aca="false">IF(AM254="","",INDEX(CATÁLOGO!$D$5:$D$39,AM254))</f>
        <v/>
      </c>
      <c r="AB254" s="0" t="str">
        <f aca="false">IF(AM254="","",INDEX(CATÁLOGO!$E$5:$E$39,AM254))</f>
        <v/>
      </c>
      <c r="AC254" s="0" t="str">
        <f aca="false">IF(AB254="","",IF(ISNUMBER(AB254),AB254*AV254,AB254))</f>
        <v/>
      </c>
      <c r="AD254" s="0" t="str">
        <f aca="false">IF(AM254="","",INDEX(CATÁLOGO!$F$5:$F$39,AM254))</f>
        <v/>
      </c>
      <c r="AE254" s="0" t="str">
        <f aca="false">IF(AD254="","",IF(ISNUMBER(AD254),AD254*AV254,AD254))</f>
        <v/>
      </c>
      <c r="AF254" s="0" t="str">
        <f aca="false">IF(AM254="","",INDEX(CATÁLOGO!$G$5:$G$39,AM254))</f>
        <v/>
      </c>
      <c r="AG254" s="0" t="str">
        <f aca="false">IF(AF254="","",IF(ISNUMBER(AF254),AF254*AV254,AF254))</f>
        <v/>
      </c>
      <c r="AH254" s="0" t="str">
        <f aca="false">IF(E254="","",C254&amp;"|"&amp;D254)</f>
        <v/>
      </c>
      <c r="AI254" s="27" t="n">
        <f aca="false">IF(M254&lt;&gt;"Sí",0,SUMPRODUCT(MAX(($AH$5:AH253=AH254)*($M$5:M253="Sí")*ROW($AH$5:AH253))))</f>
        <v>0</v>
      </c>
      <c r="AJ254" s="0" t="str">
        <f aca="false">IF(M254&lt;&gt;"Sí","",IF(AL254=1,B254,INDEX($AJ:$AJ,AI254)))</f>
        <v/>
      </c>
      <c r="AK254" s="0" t="str">
        <f aca="false">IF(M254&lt;&gt;"Sí","",IF(AL254=1,E254,INDEX($AK:$AK,AI254)+E254))</f>
        <v/>
      </c>
      <c r="AL254" s="0" t="str">
        <f aca="false">IF(M254&lt;&gt;"Sí","",IF(AI254=0,1,IF(INDEX($AN:$AN,AI254)=0,1,IF(B254&gt;=EDATE(INDEX($AJ:$AJ,AI254),6),1,0))))</f>
        <v/>
      </c>
      <c r="AM254" s="0" t="str">
        <f aca="false">IF(D254="","",IFERROR(MATCH(D254,CATÁLOGO!$C$5:$C$39,0),""))</f>
        <v/>
      </c>
      <c r="AN254" s="0" t="str">
        <f aca="false">IF(M254&lt;&gt;"Sí","",IF(AND(ISNUMBER(AE254),AK254&gt;=AE254),0,1))</f>
        <v/>
      </c>
      <c r="AO254" s="0" t="str">
        <f aca="false">IF(OR(E254="",C254="",NOT(ISNUMBER(B254))),"",SUMIFS($E$6:$E$505,$C$6:$C$505,C254,$B$6:$B$505,"&gt;="&amp;DATE(YEAR(B254),MONTH(B254),1),$B$6:$B$505,"&lt;"&amp;DATE(YEAR(B254),MONTH(B254)+1,1)))</f>
        <v/>
      </c>
      <c r="AP254" s="0" t="str">
        <f aca="false">IF(C254="","",IFERROR(INDEX(CLIENTES!$M$6:$M$305,MATCH(C254,CLIENTES!$A$6:$A$305,0)),""))</f>
        <v/>
      </c>
      <c r="AQ254" s="27" t="n">
        <f aca="false">IF(AND(ISNUMBER(AO254),ISNUMBER(AP254)),IF(AND(AP254&gt;0,AO254&gt;AP254),1,0),0)</f>
        <v>0</v>
      </c>
      <c r="AR254" s="27" t="n">
        <f aca="false">IF(NOT(ISNUMBER(B254)),0,IF(B254&lt;MAX($B$5:B253),1,0))</f>
        <v>0</v>
      </c>
      <c r="AS254" s="0" t="str">
        <f aca="false">IF(C254="","",IFERROR(INDEX(CLIENTES!$H$6:$H$305,MATCH(C254,CLIENTES!$A$6:$A$305,0)),""))</f>
        <v/>
      </c>
      <c r="AT254" s="0" t="str">
        <f aca="false">IF(AND(LEFT(P254,5)="AVISO",T254&lt;&gt;"Presentado",ISNUMBER(Q254)),Q254,"")</f>
        <v/>
      </c>
      <c r="AU254" s="27" t="n">
        <f aca="false">IF(AND(D254="XVI - Activos virtuales (PSAV): operación de intercambio/transferencia",M254="Sí",ISNUMBER(AE254)),IF(AK254&gt;=AE254,1,0),0)</f>
        <v>0</v>
      </c>
      <c r="AV254" s="30" t="n">
        <f aca="false">IF(NOT(ISNUMBER(B254)),CONFIG!$B$4,IFERROR(INDEX(CONFIG!$I$5:$I$14,MATCH(IF(MONTH(B254)=1,YEAR(B254)-1,YEAR(B254)),CONFIG!$H$5:$H$14,0)),CONFIG!$B$4))</f>
        <v>117.31</v>
      </c>
      <c r="AW254" s="27" t="n">
        <f aca="false">IF(AND(LEFT(D254,4)="I - ",ISNUMBER(B254),C254&lt;&gt;""),SUMIFS($E$6:$E$505,$C$6:$C$505,C254,$D$6:$D$505,D254,$B$6:$B$505,"&gt;"&amp;(B254-1),$B$6:$B$505,"&lt;="&amp;B254),0)</f>
        <v>0</v>
      </c>
      <c r="AX254" s="0" t="str">
        <f aca="false">IF(E254="","",IF(AD254="Siempre","AVISO (siempre)",IF(AD254="No aplica","Sin Aviso (sólo preparas: Ley 17 XI)",IF(NOT(ISNUMBER(AE254)),"",IF(AA254&lt;&gt;"ACUMULA",IF(E254&gt;=AE254,IF(AND(D254="XVI - Activos virtuales (PSAV): cobro de contraprestación (comisión) por el servicio",COUNTIFS($C$6:$C$505,C254,$B$6:$B$505,"&gt;="&amp;INT(B254),$B$6:$B$505,"&lt;"&amp;(INT(B254)+1),$AU$6:$AU$505,1)&gt;0),"En el Aviso del inciso a) (R 31 Bis)","AVISO"),"—"),IF(M254&lt;&gt;"Sí","—",IF(AK254&gt;=AE254,IF(AK254=E254,"AVISO","AVISO (acumulado)"),"Acumulando")))))))</f>
        <v/>
      </c>
    </row>
    <row r="255" customFormat="false" ht="15" hidden="false" customHeight="false" outlineLevel="0" collapsed="false">
      <c r="A255" s="9" t="str">
        <f aca="false">IF(E255="","",ROW()-5)</f>
        <v/>
      </c>
      <c r="B255" s="20"/>
      <c r="C255" s="21"/>
      <c r="D255" s="21"/>
      <c r="E255" s="22"/>
      <c r="F255" s="22"/>
      <c r="G255" s="21"/>
      <c r="H255" s="21"/>
      <c r="I255" s="9" t="str">
        <f aca="false">IF(C255="","",IFERROR(INDEX(CLIENTES!$B$6:$B$305,MATCH(C255,CLIENTES!$A$6:$A$305,0)),"⚠ ID no registrado"))</f>
        <v/>
      </c>
      <c r="J255" s="9" t="str">
        <f aca="false">IF(C255="","",IFERROR(INDEX(CLIENTES!$Z$6:$Z$305,MATCH(C255,CLIENTES!$A$6:$A$305,0)),""))</f>
        <v/>
      </c>
      <c r="K255" s="9" t="str">
        <f aca="false">IF(E255="","",IF(AB255="Siempre","Sí",IF(ISNUMBER(AC255),IF(E255&gt;=AC255,"Sí",IF(AW255&gt;=AC255,"Sí (serie 24 h)","No")),"")))</f>
        <v/>
      </c>
      <c r="L255" s="9" t="str">
        <f aca="false">IF(E255="","",AA255)</f>
        <v/>
      </c>
      <c r="M255" s="9" t="str">
        <f aca="false">IF(E255="","",IF(AA255&lt;&gt;"ACUMULA","No aplica",IF(LEFT(K255,2)="Sí","Sí","No")))</f>
        <v/>
      </c>
      <c r="N255" s="23" t="str">
        <f aca="false">IF(M255="Sí",AJ255,"")</f>
        <v/>
      </c>
      <c r="O255" s="24" t="str">
        <f aca="false">IF(M255="Sí",AK255,"")</f>
        <v/>
      </c>
      <c r="P255" s="25" t="str">
        <f aca="false">IF(AND(LEFT(D255,6)="XIV - ",LEFT(AX255,5)="AVISO"),"Pedimento (R 16): no va al SPPLD",AX255)</f>
        <v/>
      </c>
      <c r="Q255" s="23" t="str">
        <f aca="false">IF(LEFT(P255,5)="AVISO",IF(ISNUMBER(B255),DATE(YEAR(B255),MONTH(B255)+1,17),"Falta fecha"),"")</f>
        <v/>
      </c>
      <c r="R255" s="9" t="str">
        <f aca="false">IF(OR(F255="",F255=0),"",IF(ISNUMBER(AG255),IF(F255&gt;=AG255,"PROHIBIDO","Dentro del límite"),"No aplica"))</f>
        <v/>
      </c>
      <c r="S255" s="26" t="str">
        <f aca="false">IF(E255="","",MID(IF(AQ255=1," · Excede el perfil declarado","")&amp;IF(H255="Sí"," · Paga un tercero","")&amp;IF(J255="Alto"," · Cliente de riesgo alto: DDR (RCG 23 Ter 3 y 4)","")&amp;IF(AND(AS255&lt;&gt;"",AS255&lt;&gt;"No",AS255&lt;&gt;0)," · PEP","")&amp;IF(R255="PROHIBIDO"," · Efectivo prohibido: no lo recibas (Art. 32)","")&amp;IF(AR255=1," · ⚠ Fecha fuera de orden","")&amp;IF(LEFT(I255,1)="⚠"," · ⚠ Cliente no registrado","")&amp;IF(D255=""," · ⚠ Falta la actividad","")&amp;IF(AND(LEFT(P255,5)="AVISO",W255="")," · Captura la cifra total con IVA para el Aviso","")&amp;IF(AND(ISNUMBER(W255),W255&lt;E255)," · ⚠ La cifra con IVA es menor que el monto sin IVA",""),4,400))</f>
        <v/>
      </c>
      <c r="T255" s="21"/>
      <c r="U255" s="20"/>
      <c r="V255" s="9" t="str">
        <f aca="false">IF(LEFT(P255,5)&lt;&gt;"AVISO","",IF(T255="Presentado",IF(AND(ISNUMBER(U255),ISNUMBER(Q255),U255&gt;Q255),"Presentado tarde","Presentado"),IF(NOT(ISNUMBER(Q255)),"Falta fecha",IF(Q255&lt;CONFIG!$B$6,"VENCIDO","Vence en "&amp;(Q255-CONFIG!$B$6)&amp;" días"))))</f>
        <v/>
      </c>
      <c r="W255" s="22"/>
      <c r="X255" s="21"/>
      <c r="AA255" s="0" t="str">
        <f aca="false">IF(AM255="","",INDEX(CATÁLOGO!$D$5:$D$39,AM255))</f>
        <v/>
      </c>
      <c r="AB255" s="0" t="str">
        <f aca="false">IF(AM255="","",INDEX(CATÁLOGO!$E$5:$E$39,AM255))</f>
        <v/>
      </c>
      <c r="AC255" s="0" t="str">
        <f aca="false">IF(AB255="","",IF(ISNUMBER(AB255),AB255*AV255,AB255))</f>
        <v/>
      </c>
      <c r="AD255" s="0" t="str">
        <f aca="false">IF(AM255="","",INDEX(CATÁLOGO!$F$5:$F$39,AM255))</f>
        <v/>
      </c>
      <c r="AE255" s="0" t="str">
        <f aca="false">IF(AD255="","",IF(ISNUMBER(AD255),AD255*AV255,AD255))</f>
        <v/>
      </c>
      <c r="AF255" s="0" t="str">
        <f aca="false">IF(AM255="","",INDEX(CATÁLOGO!$G$5:$G$39,AM255))</f>
        <v/>
      </c>
      <c r="AG255" s="0" t="str">
        <f aca="false">IF(AF255="","",IF(ISNUMBER(AF255),AF255*AV255,AF255))</f>
        <v/>
      </c>
      <c r="AH255" s="0" t="str">
        <f aca="false">IF(E255="","",C255&amp;"|"&amp;D255)</f>
        <v/>
      </c>
      <c r="AI255" s="27" t="n">
        <f aca="false">IF(M255&lt;&gt;"Sí",0,SUMPRODUCT(MAX(($AH$5:AH254=AH255)*($M$5:M254="Sí")*ROW($AH$5:AH254))))</f>
        <v>0</v>
      </c>
      <c r="AJ255" s="0" t="str">
        <f aca="false">IF(M255&lt;&gt;"Sí","",IF(AL255=1,B255,INDEX($AJ:$AJ,AI255)))</f>
        <v/>
      </c>
      <c r="AK255" s="0" t="str">
        <f aca="false">IF(M255&lt;&gt;"Sí","",IF(AL255=1,E255,INDEX($AK:$AK,AI255)+E255))</f>
        <v/>
      </c>
      <c r="AL255" s="0" t="str">
        <f aca="false">IF(M255&lt;&gt;"Sí","",IF(AI255=0,1,IF(INDEX($AN:$AN,AI255)=0,1,IF(B255&gt;=EDATE(INDEX($AJ:$AJ,AI255),6),1,0))))</f>
        <v/>
      </c>
      <c r="AM255" s="0" t="str">
        <f aca="false">IF(D255="","",IFERROR(MATCH(D255,CATÁLOGO!$C$5:$C$39,0),""))</f>
        <v/>
      </c>
      <c r="AN255" s="0" t="str">
        <f aca="false">IF(M255&lt;&gt;"Sí","",IF(AND(ISNUMBER(AE255),AK255&gt;=AE255),0,1))</f>
        <v/>
      </c>
      <c r="AO255" s="0" t="str">
        <f aca="false">IF(OR(E255="",C255="",NOT(ISNUMBER(B255))),"",SUMIFS($E$6:$E$505,$C$6:$C$505,C255,$B$6:$B$505,"&gt;="&amp;DATE(YEAR(B255),MONTH(B255),1),$B$6:$B$505,"&lt;"&amp;DATE(YEAR(B255),MONTH(B255)+1,1)))</f>
        <v/>
      </c>
      <c r="AP255" s="0" t="str">
        <f aca="false">IF(C255="","",IFERROR(INDEX(CLIENTES!$M$6:$M$305,MATCH(C255,CLIENTES!$A$6:$A$305,0)),""))</f>
        <v/>
      </c>
      <c r="AQ255" s="27" t="n">
        <f aca="false">IF(AND(ISNUMBER(AO255),ISNUMBER(AP255)),IF(AND(AP255&gt;0,AO255&gt;AP255),1,0),0)</f>
        <v>0</v>
      </c>
      <c r="AR255" s="27" t="n">
        <f aca="false">IF(NOT(ISNUMBER(B255)),0,IF(B255&lt;MAX($B$5:B254),1,0))</f>
        <v>0</v>
      </c>
      <c r="AS255" s="0" t="str">
        <f aca="false">IF(C255="","",IFERROR(INDEX(CLIENTES!$H$6:$H$305,MATCH(C255,CLIENTES!$A$6:$A$305,0)),""))</f>
        <v/>
      </c>
      <c r="AT255" s="0" t="str">
        <f aca="false">IF(AND(LEFT(P255,5)="AVISO",T255&lt;&gt;"Presentado",ISNUMBER(Q255)),Q255,"")</f>
        <v/>
      </c>
      <c r="AU255" s="27" t="n">
        <f aca="false">IF(AND(D255="XVI - Activos virtuales (PSAV): operación de intercambio/transferencia",M255="Sí",ISNUMBER(AE255)),IF(AK255&gt;=AE255,1,0),0)</f>
        <v>0</v>
      </c>
      <c r="AV255" s="30" t="n">
        <f aca="false">IF(NOT(ISNUMBER(B255)),CONFIG!$B$4,IFERROR(INDEX(CONFIG!$I$5:$I$14,MATCH(IF(MONTH(B255)=1,YEAR(B255)-1,YEAR(B255)),CONFIG!$H$5:$H$14,0)),CONFIG!$B$4))</f>
        <v>117.31</v>
      </c>
      <c r="AW255" s="27" t="n">
        <f aca="false">IF(AND(LEFT(D255,4)="I - ",ISNUMBER(B255),C255&lt;&gt;""),SUMIFS($E$6:$E$505,$C$6:$C$505,C255,$D$6:$D$505,D255,$B$6:$B$505,"&gt;"&amp;(B255-1),$B$6:$B$505,"&lt;="&amp;B255),0)</f>
        <v>0</v>
      </c>
      <c r="AX255" s="0" t="str">
        <f aca="false">IF(E255="","",IF(AD255="Siempre","AVISO (siempre)",IF(AD255="No aplica","Sin Aviso (sólo preparas: Ley 17 XI)",IF(NOT(ISNUMBER(AE255)),"",IF(AA255&lt;&gt;"ACUMULA",IF(E255&gt;=AE255,IF(AND(D255="XVI - Activos virtuales (PSAV): cobro de contraprestación (comisión) por el servicio",COUNTIFS($C$6:$C$505,C255,$B$6:$B$505,"&gt;="&amp;INT(B255),$B$6:$B$505,"&lt;"&amp;(INT(B255)+1),$AU$6:$AU$505,1)&gt;0),"En el Aviso del inciso a) (R 31 Bis)","AVISO"),"—"),IF(M255&lt;&gt;"Sí","—",IF(AK255&gt;=AE255,IF(AK255=E255,"AVISO","AVISO (acumulado)"),"Acumulando")))))))</f>
        <v/>
      </c>
    </row>
    <row r="256" customFormat="false" ht="15" hidden="false" customHeight="false" outlineLevel="0" collapsed="false">
      <c r="A256" s="9" t="str">
        <f aca="false">IF(E256="","",ROW()-5)</f>
        <v/>
      </c>
      <c r="B256" s="20"/>
      <c r="C256" s="21"/>
      <c r="D256" s="21"/>
      <c r="E256" s="22"/>
      <c r="F256" s="22"/>
      <c r="G256" s="21"/>
      <c r="H256" s="21"/>
      <c r="I256" s="9" t="str">
        <f aca="false">IF(C256="","",IFERROR(INDEX(CLIENTES!$B$6:$B$305,MATCH(C256,CLIENTES!$A$6:$A$305,0)),"⚠ ID no registrado"))</f>
        <v/>
      </c>
      <c r="J256" s="9" t="str">
        <f aca="false">IF(C256="","",IFERROR(INDEX(CLIENTES!$Z$6:$Z$305,MATCH(C256,CLIENTES!$A$6:$A$305,0)),""))</f>
        <v/>
      </c>
      <c r="K256" s="9" t="str">
        <f aca="false">IF(E256="","",IF(AB256="Siempre","Sí",IF(ISNUMBER(AC256),IF(E256&gt;=AC256,"Sí",IF(AW256&gt;=AC256,"Sí (serie 24 h)","No")),"")))</f>
        <v/>
      </c>
      <c r="L256" s="9" t="str">
        <f aca="false">IF(E256="","",AA256)</f>
        <v/>
      </c>
      <c r="M256" s="9" t="str">
        <f aca="false">IF(E256="","",IF(AA256&lt;&gt;"ACUMULA","No aplica",IF(LEFT(K256,2)="Sí","Sí","No")))</f>
        <v/>
      </c>
      <c r="N256" s="23" t="str">
        <f aca="false">IF(M256="Sí",AJ256,"")</f>
        <v/>
      </c>
      <c r="O256" s="24" t="str">
        <f aca="false">IF(M256="Sí",AK256,"")</f>
        <v/>
      </c>
      <c r="P256" s="25" t="str">
        <f aca="false">IF(AND(LEFT(D256,6)="XIV - ",LEFT(AX256,5)="AVISO"),"Pedimento (R 16): no va al SPPLD",AX256)</f>
        <v/>
      </c>
      <c r="Q256" s="23" t="str">
        <f aca="false">IF(LEFT(P256,5)="AVISO",IF(ISNUMBER(B256),DATE(YEAR(B256),MONTH(B256)+1,17),"Falta fecha"),"")</f>
        <v/>
      </c>
      <c r="R256" s="9" t="str">
        <f aca="false">IF(OR(F256="",F256=0),"",IF(ISNUMBER(AG256),IF(F256&gt;=AG256,"PROHIBIDO","Dentro del límite"),"No aplica"))</f>
        <v/>
      </c>
      <c r="S256" s="26" t="str">
        <f aca="false">IF(E256="","",MID(IF(AQ256=1," · Excede el perfil declarado","")&amp;IF(H256="Sí"," · Paga un tercero","")&amp;IF(J256="Alto"," · Cliente de riesgo alto: DDR (RCG 23 Ter 3 y 4)","")&amp;IF(AND(AS256&lt;&gt;"",AS256&lt;&gt;"No",AS256&lt;&gt;0)," · PEP","")&amp;IF(R256="PROHIBIDO"," · Efectivo prohibido: no lo recibas (Art. 32)","")&amp;IF(AR256=1," · ⚠ Fecha fuera de orden","")&amp;IF(LEFT(I256,1)="⚠"," · ⚠ Cliente no registrado","")&amp;IF(D256=""," · ⚠ Falta la actividad","")&amp;IF(AND(LEFT(P256,5)="AVISO",W256="")," · Captura la cifra total con IVA para el Aviso","")&amp;IF(AND(ISNUMBER(W256),W256&lt;E256)," · ⚠ La cifra con IVA es menor que el monto sin IVA",""),4,400))</f>
        <v/>
      </c>
      <c r="T256" s="21"/>
      <c r="U256" s="20"/>
      <c r="V256" s="9" t="str">
        <f aca="false">IF(LEFT(P256,5)&lt;&gt;"AVISO","",IF(T256="Presentado",IF(AND(ISNUMBER(U256),ISNUMBER(Q256),U256&gt;Q256),"Presentado tarde","Presentado"),IF(NOT(ISNUMBER(Q256)),"Falta fecha",IF(Q256&lt;CONFIG!$B$6,"VENCIDO","Vence en "&amp;(Q256-CONFIG!$B$6)&amp;" días"))))</f>
        <v/>
      </c>
      <c r="W256" s="22"/>
      <c r="X256" s="21"/>
      <c r="AA256" s="0" t="str">
        <f aca="false">IF(AM256="","",INDEX(CATÁLOGO!$D$5:$D$39,AM256))</f>
        <v/>
      </c>
      <c r="AB256" s="0" t="str">
        <f aca="false">IF(AM256="","",INDEX(CATÁLOGO!$E$5:$E$39,AM256))</f>
        <v/>
      </c>
      <c r="AC256" s="0" t="str">
        <f aca="false">IF(AB256="","",IF(ISNUMBER(AB256),AB256*AV256,AB256))</f>
        <v/>
      </c>
      <c r="AD256" s="0" t="str">
        <f aca="false">IF(AM256="","",INDEX(CATÁLOGO!$F$5:$F$39,AM256))</f>
        <v/>
      </c>
      <c r="AE256" s="0" t="str">
        <f aca="false">IF(AD256="","",IF(ISNUMBER(AD256),AD256*AV256,AD256))</f>
        <v/>
      </c>
      <c r="AF256" s="0" t="str">
        <f aca="false">IF(AM256="","",INDEX(CATÁLOGO!$G$5:$G$39,AM256))</f>
        <v/>
      </c>
      <c r="AG256" s="0" t="str">
        <f aca="false">IF(AF256="","",IF(ISNUMBER(AF256),AF256*AV256,AF256))</f>
        <v/>
      </c>
      <c r="AH256" s="0" t="str">
        <f aca="false">IF(E256="","",C256&amp;"|"&amp;D256)</f>
        <v/>
      </c>
      <c r="AI256" s="27" t="n">
        <f aca="false">IF(M256&lt;&gt;"Sí",0,SUMPRODUCT(MAX(($AH$5:AH255=AH256)*($M$5:M255="Sí")*ROW($AH$5:AH255))))</f>
        <v>0</v>
      </c>
      <c r="AJ256" s="0" t="str">
        <f aca="false">IF(M256&lt;&gt;"Sí","",IF(AL256=1,B256,INDEX($AJ:$AJ,AI256)))</f>
        <v/>
      </c>
      <c r="AK256" s="0" t="str">
        <f aca="false">IF(M256&lt;&gt;"Sí","",IF(AL256=1,E256,INDEX($AK:$AK,AI256)+E256))</f>
        <v/>
      </c>
      <c r="AL256" s="0" t="str">
        <f aca="false">IF(M256&lt;&gt;"Sí","",IF(AI256=0,1,IF(INDEX($AN:$AN,AI256)=0,1,IF(B256&gt;=EDATE(INDEX($AJ:$AJ,AI256),6),1,0))))</f>
        <v/>
      </c>
      <c r="AM256" s="0" t="str">
        <f aca="false">IF(D256="","",IFERROR(MATCH(D256,CATÁLOGO!$C$5:$C$39,0),""))</f>
        <v/>
      </c>
      <c r="AN256" s="0" t="str">
        <f aca="false">IF(M256&lt;&gt;"Sí","",IF(AND(ISNUMBER(AE256),AK256&gt;=AE256),0,1))</f>
        <v/>
      </c>
      <c r="AO256" s="0" t="str">
        <f aca="false">IF(OR(E256="",C256="",NOT(ISNUMBER(B256))),"",SUMIFS($E$6:$E$505,$C$6:$C$505,C256,$B$6:$B$505,"&gt;="&amp;DATE(YEAR(B256),MONTH(B256),1),$B$6:$B$505,"&lt;"&amp;DATE(YEAR(B256),MONTH(B256)+1,1)))</f>
        <v/>
      </c>
      <c r="AP256" s="0" t="str">
        <f aca="false">IF(C256="","",IFERROR(INDEX(CLIENTES!$M$6:$M$305,MATCH(C256,CLIENTES!$A$6:$A$305,0)),""))</f>
        <v/>
      </c>
      <c r="AQ256" s="27" t="n">
        <f aca="false">IF(AND(ISNUMBER(AO256),ISNUMBER(AP256)),IF(AND(AP256&gt;0,AO256&gt;AP256),1,0),0)</f>
        <v>0</v>
      </c>
      <c r="AR256" s="27" t="n">
        <f aca="false">IF(NOT(ISNUMBER(B256)),0,IF(B256&lt;MAX($B$5:B255),1,0))</f>
        <v>0</v>
      </c>
      <c r="AS256" s="0" t="str">
        <f aca="false">IF(C256="","",IFERROR(INDEX(CLIENTES!$H$6:$H$305,MATCH(C256,CLIENTES!$A$6:$A$305,0)),""))</f>
        <v/>
      </c>
      <c r="AT256" s="0" t="str">
        <f aca="false">IF(AND(LEFT(P256,5)="AVISO",T256&lt;&gt;"Presentado",ISNUMBER(Q256)),Q256,"")</f>
        <v/>
      </c>
      <c r="AU256" s="27" t="n">
        <f aca="false">IF(AND(D256="XVI - Activos virtuales (PSAV): operación de intercambio/transferencia",M256="Sí",ISNUMBER(AE256)),IF(AK256&gt;=AE256,1,0),0)</f>
        <v>0</v>
      </c>
      <c r="AV256" s="30" t="n">
        <f aca="false">IF(NOT(ISNUMBER(B256)),CONFIG!$B$4,IFERROR(INDEX(CONFIG!$I$5:$I$14,MATCH(IF(MONTH(B256)=1,YEAR(B256)-1,YEAR(B256)),CONFIG!$H$5:$H$14,0)),CONFIG!$B$4))</f>
        <v>117.31</v>
      </c>
      <c r="AW256" s="27" t="n">
        <f aca="false">IF(AND(LEFT(D256,4)="I - ",ISNUMBER(B256),C256&lt;&gt;""),SUMIFS($E$6:$E$505,$C$6:$C$505,C256,$D$6:$D$505,D256,$B$6:$B$505,"&gt;"&amp;(B256-1),$B$6:$B$505,"&lt;="&amp;B256),0)</f>
        <v>0</v>
      </c>
      <c r="AX256" s="0" t="str">
        <f aca="false">IF(E256="","",IF(AD256="Siempre","AVISO (siempre)",IF(AD256="No aplica","Sin Aviso (sólo preparas: Ley 17 XI)",IF(NOT(ISNUMBER(AE256)),"",IF(AA256&lt;&gt;"ACUMULA",IF(E256&gt;=AE256,IF(AND(D256="XVI - Activos virtuales (PSAV): cobro de contraprestación (comisión) por el servicio",COUNTIFS($C$6:$C$505,C256,$B$6:$B$505,"&gt;="&amp;INT(B256),$B$6:$B$505,"&lt;"&amp;(INT(B256)+1),$AU$6:$AU$505,1)&gt;0),"En el Aviso del inciso a) (R 31 Bis)","AVISO"),"—"),IF(M256&lt;&gt;"Sí","—",IF(AK256&gt;=AE256,IF(AK256=E256,"AVISO","AVISO (acumulado)"),"Acumulando")))))))</f>
        <v/>
      </c>
    </row>
    <row r="257" customFormat="false" ht="15" hidden="false" customHeight="false" outlineLevel="0" collapsed="false">
      <c r="A257" s="9" t="str">
        <f aca="false">IF(E257="","",ROW()-5)</f>
        <v/>
      </c>
      <c r="B257" s="20"/>
      <c r="C257" s="21"/>
      <c r="D257" s="21"/>
      <c r="E257" s="22"/>
      <c r="F257" s="22"/>
      <c r="G257" s="21"/>
      <c r="H257" s="21"/>
      <c r="I257" s="9" t="str">
        <f aca="false">IF(C257="","",IFERROR(INDEX(CLIENTES!$B$6:$B$305,MATCH(C257,CLIENTES!$A$6:$A$305,0)),"⚠ ID no registrado"))</f>
        <v/>
      </c>
      <c r="J257" s="9" t="str">
        <f aca="false">IF(C257="","",IFERROR(INDEX(CLIENTES!$Z$6:$Z$305,MATCH(C257,CLIENTES!$A$6:$A$305,0)),""))</f>
        <v/>
      </c>
      <c r="K257" s="9" t="str">
        <f aca="false">IF(E257="","",IF(AB257="Siempre","Sí",IF(ISNUMBER(AC257),IF(E257&gt;=AC257,"Sí",IF(AW257&gt;=AC257,"Sí (serie 24 h)","No")),"")))</f>
        <v/>
      </c>
      <c r="L257" s="9" t="str">
        <f aca="false">IF(E257="","",AA257)</f>
        <v/>
      </c>
      <c r="M257" s="9" t="str">
        <f aca="false">IF(E257="","",IF(AA257&lt;&gt;"ACUMULA","No aplica",IF(LEFT(K257,2)="Sí","Sí","No")))</f>
        <v/>
      </c>
      <c r="N257" s="23" t="str">
        <f aca="false">IF(M257="Sí",AJ257,"")</f>
        <v/>
      </c>
      <c r="O257" s="24" t="str">
        <f aca="false">IF(M257="Sí",AK257,"")</f>
        <v/>
      </c>
      <c r="P257" s="25" t="str">
        <f aca="false">IF(AND(LEFT(D257,6)="XIV - ",LEFT(AX257,5)="AVISO"),"Pedimento (R 16): no va al SPPLD",AX257)</f>
        <v/>
      </c>
      <c r="Q257" s="23" t="str">
        <f aca="false">IF(LEFT(P257,5)="AVISO",IF(ISNUMBER(B257),DATE(YEAR(B257),MONTH(B257)+1,17),"Falta fecha"),"")</f>
        <v/>
      </c>
      <c r="R257" s="9" t="str">
        <f aca="false">IF(OR(F257="",F257=0),"",IF(ISNUMBER(AG257),IF(F257&gt;=AG257,"PROHIBIDO","Dentro del límite"),"No aplica"))</f>
        <v/>
      </c>
      <c r="S257" s="26" t="str">
        <f aca="false">IF(E257="","",MID(IF(AQ257=1," · Excede el perfil declarado","")&amp;IF(H257="Sí"," · Paga un tercero","")&amp;IF(J257="Alto"," · Cliente de riesgo alto: DDR (RCG 23 Ter 3 y 4)","")&amp;IF(AND(AS257&lt;&gt;"",AS257&lt;&gt;"No",AS257&lt;&gt;0)," · PEP","")&amp;IF(R257="PROHIBIDO"," · Efectivo prohibido: no lo recibas (Art. 32)","")&amp;IF(AR257=1," · ⚠ Fecha fuera de orden","")&amp;IF(LEFT(I257,1)="⚠"," · ⚠ Cliente no registrado","")&amp;IF(D257=""," · ⚠ Falta la actividad","")&amp;IF(AND(LEFT(P257,5)="AVISO",W257="")," · Captura la cifra total con IVA para el Aviso","")&amp;IF(AND(ISNUMBER(W257),W257&lt;E257)," · ⚠ La cifra con IVA es menor que el monto sin IVA",""),4,400))</f>
        <v/>
      </c>
      <c r="T257" s="21"/>
      <c r="U257" s="20"/>
      <c r="V257" s="9" t="str">
        <f aca="false">IF(LEFT(P257,5)&lt;&gt;"AVISO","",IF(T257="Presentado",IF(AND(ISNUMBER(U257),ISNUMBER(Q257),U257&gt;Q257),"Presentado tarde","Presentado"),IF(NOT(ISNUMBER(Q257)),"Falta fecha",IF(Q257&lt;CONFIG!$B$6,"VENCIDO","Vence en "&amp;(Q257-CONFIG!$B$6)&amp;" días"))))</f>
        <v/>
      </c>
      <c r="W257" s="22"/>
      <c r="X257" s="21"/>
      <c r="AA257" s="0" t="str">
        <f aca="false">IF(AM257="","",INDEX(CATÁLOGO!$D$5:$D$39,AM257))</f>
        <v/>
      </c>
      <c r="AB257" s="0" t="str">
        <f aca="false">IF(AM257="","",INDEX(CATÁLOGO!$E$5:$E$39,AM257))</f>
        <v/>
      </c>
      <c r="AC257" s="0" t="str">
        <f aca="false">IF(AB257="","",IF(ISNUMBER(AB257),AB257*AV257,AB257))</f>
        <v/>
      </c>
      <c r="AD257" s="0" t="str">
        <f aca="false">IF(AM257="","",INDEX(CATÁLOGO!$F$5:$F$39,AM257))</f>
        <v/>
      </c>
      <c r="AE257" s="0" t="str">
        <f aca="false">IF(AD257="","",IF(ISNUMBER(AD257),AD257*AV257,AD257))</f>
        <v/>
      </c>
      <c r="AF257" s="0" t="str">
        <f aca="false">IF(AM257="","",INDEX(CATÁLOGO!$G$5:$G$39,AM257))</f>
        <v/>
      </c>
      <c r="AG257" s="0" t="str">
        <f aca="false">IF(AF257="","",IF(ISNUMBER(AF257),AF257*AV257,AF257))</f>
        <v/>
      </c>
      <c r="AH257" s="0" t="str">
        <f aca="false">IF(E257="","",C257&amp;"|"&amp;D257)</f>
        <v/>
      </c>
      <c r="AI257" s="27" t="n">
        <f aca="false">IF(M257&lt;&gt;"Sí",0,SUMPRODUCT(MAX(($AH$5:AH256=AH257)*($M$5:M256="Sí")*ROW($AH$5:AH256))))</f>
        <v>0</v>
      </c>
      <c r="AJ257" s="0" t="str">
        <f aca="false">IF(M257&lt;&gt;"Sí","",IF(AL257=1,B257,INDEX($AJ:$AJ,AI257)))</f>
        <v/>
      </c>
      <c r="AK257" s="0" t="str">
        <f aca="false">IF(M257&lt;&gt;"Sí","",IF(AL257=1,E257,INDEX($AK:$AK,AI257)+E257))</f>
        <v/>
      </c>
      <c r="AL257" s="0" t="str">
        <f aca="false">IF(M257&lt;&gt;"Sí","",IF(AI257=0,1,IF(INDEX($AN:$AN,AI257)=0,1,IF(B257&gt;=EDATE(INDEX($AJ:$AJ,AI257),6),1,0))))</f>
        <v/>
      </c>
      <c r="AM257" s="0" t="str">
        <f aca="false">IF(D257="","",IFERROR(MATCH(D257,CATÁLOGO!$C$5:$C$39,0),""))</f>
        <v/>
      </c>
      <c r="AN257" s="0" t="str">
        <f aca="false">IF(M257&lt;&gt;"Sí","",IF(AND(ISNUMBER(AE257),AK257&gt;=AE257),0,1))</f>
        <v/>
      </c>
      <c r="AO257" s="0" t="str">
        <f aca="false">IF(OR(E257="",C257="",NOT(ISNUMBER(B257))),"",SUMIFS($E$6:$E$505,$C$6:$C$505,C257,$B$6:$B$505,"&gt;="&amp;DATE(YEAR(B257),MONTH(B257),1),$B$6:$B$505,"&lt;"&amp;DATE(YEAR(B257),MONTH(B257)+1,1)))</f>
        <v/>
      </c>
      <c r="AP257" s="0" t="str">
        <f aca="false">IF(C257="","",IFERROR(INDEX(CLIENTES!$M$6:$M$305,MATCH(C257,CLIENTES!$A$6:$A$305,0)),""))</f>
        <v/>
      </c>
      <c r="AQ257" s="27" t="n">
        <f aca="false">IF(AND(ISNUMBER(AO257),ISNUMBER(AP257)),IF(AND(AP257&gt;0,AO257&gt;AP257),1,0),0)</f>
        <v>0</v>
      </c>
      <c r="AR257" s="27" t="n">
        <f aca="false">IF(NOT(ISNUMBER(B257)),0,IF(B257&lt;MAX($B$5:B256),1,0))</f>
        <v>0</v>
      </c>
      <c r="AS257" s="0" t="str">
        <f aca="false">IF(C257="","",IFERROR(INDEX(CLIENTES!$H$6:$H$305,MATCH(C257,CLIENTES!$A$6:$A$305,0)),""))</f>
        <v/>
      </c>
      <c r="AT257" s="0" t="str">
        <f aca="false">IF(AND(LEFT(P257,5)="AVISO",T257&lt;&gt;"Presentado",ISNUMBER(Q257)),Q257,"")</f>
        <v/>
      </c>
      <c r="AU257" s="27" t="n">
        <f aca="false">IF(AND(D257="XVI - Activos virtuales (PSAV): operación de intercambio/transferencia",M257="Sí",ISNUMBER(AE257)),IF(AK257&gt;=AE257,1,0),0)</f>
        <v>0</v>
      </c>
      <c r="AV257" s="30" t="n">
        <f aca="false">IF(NOT(ISNUMBER(B257)),CONFIG!$B$4,IFERROR(INDEX(CONFIG!$I$5:$I$14,MATCH(IF(MONTH(B257)=1,YEAR(B257)-1,YEAR(B257)),CONFIG!$H$5:$H$14,0)),CONFIG!$B$4))</f>
        <v>117.31</v>
      </c>
      <c r="AW257" s="27" t="n">
        <f aca="false">IF(AND(LEFT(D257,4)="I - ",ISNUMBER(B257),C257&lt;&gt;""),SUMIFS($E$6:$E$505,$C$6:$C$505,C257,$D$6:$D$505,D257,$B$6:$B$505,"&gt;"&amp;(B257-1),$B$6:$B$505,"&lt;="&amp;B257),0)</f>
        <v>0</v>
      </c>
      <c r="AX257" s="0" t="str">
        <f aca="false">IF(E257="","",IF(AD257="Siempre","AVISO (siempre)",IF(AD257="No aplica","Sin Aviso (sólo preparas: Ley 17 XI)",IF(NOT(ISNUMBER(AE257)),"",IF(AA257&lt;&gt;"ACUMULA",IF(E257&gt;=AE257,IF(AND(D257="XVI - Activos virtuales (PSAV): cobro de contraprestación (comisión) por el servicio",COUNTIFS($C$6:$C$505,C257,$B$6:$B$505,"&gt;="&amp;INT(B257),$B$6:$B$505,"&lt;"&amp;(INT(B257)+1),$AU$6:$AU$505,1)&gt;0),"En el Aviso del inciso a) (R 31 Bis)","AVISO"),"—"),IF(M257&lt;&gt;"Sí","—",IF(AK257&gt;=AE257,IF(AK257=E257,"AVISO","AVISO (acumulado)"),"Acumulando")))))))</f>
        <v/>
      </c>
    </row>
    <row r="258" customFormat="false" ht="15" hidden="false" customHeight="false" outlineLevel="0" collapsed="false">
      <c r="A258" s="9" t="str">
        <f aca="false">IF(E258="","",ROW()-5)</f>
        <v/>
      </c>
      <c r="B258" s="20"/>
      <c r="C258" s="21"/>
      <c r="D258" s="21"/>
      <c r="E258" s="22"/>
      <c r="F258" s="22"/>
      <c r="G258" s="21"/>
      <c r="H258" s="21"/>
      <c r="I258" s="9" t="str">
        <f aca="false">IF(C258="","",IFERROR(INDEX(CLIENTES!$B$6:$B$305,MATCH(C258,CLIENTES!$A$6:$A$305,0)),"⚠ ID no registrado"))</f>
        <v/>
      </c>
      <c r="J258" s="9" t="str">
        <f aca="false">IF(C258="","",IFERROR(INDEX(CLIENTES!$Z$6:$Z$305,MATCH(C258,CLIENTES!$A$6:$A$305,0)),""))</f>
        <v/>
      </c>
      <c r="K258" s="9" t="str">
        <f aca="false">IF(E258="","",IF(AB258="Siempre","Sí",IF(ISNUMBER(AC258),IF(E258&gt;=AC258,"Sí",IF(AW258&gt;=AC258,"Sí (serie 24 h)","No")),"")))</f>
        <v/>
      </c>
      <c r="L258" s="9" t="str">
        <f aca="false">IF(E258="","",AA258)</f>
        <v/>
      </c>
      <c r="M258" s="9" t="str">
        <f aca="false">IF(E258="","",IF(AA258&lt;&gt;"ACUMULA","No aplica",IF(LEFT(K258,2)="Sí","Sí","No")))</f>
        <v/>
      </c>
      <c r="N258" s="23" t="str">
        <f aca="false">IF(M258="Sí",AJ258,"")</f>
        <v/>
      </c>
      <c r="O258" s="24" t="str">
        <f aca="false">IF(M258="Sí",AK258,"")</f>
        <v/>
      </c>
      <c r="P258" s="25" t="str">
        <f aca="false">IF(AND(LEFT(D258,6)="XIV - ",LEFT(AX258,5)="AVISO"),"Pedimento (R 16): no va al SPPLD",AX258)</f>
        <v/>
      </c>
      <c r="Q258" s="23" t="str">
        <f aca="false">IF(LEFT(P258,5)="AVISO",IF(ISNUMBER(B258),DATE(YEAR(B258),MONTH(B258)+1,17),"Falta fecha"),"")</f>
        <v/>
      </c>
      <c r="R258" s="9" t="str">
        <f aca="false">IF(OR(F258="",F258=0),"",IF(ISNUMBER(AG258),IF(F258&gt;=AG258,"PROHIBIDO","Dentro del límite"),"No aplica"))</f>
        <v/>
      </c>
      <c r="S258" s="26" t="str">
        <f aca="false">IF(E258="","",MID(IF(AQ258=1," · Excede el perfil declarado","")&amp;IF(H258="Sí"," · Paga un tercero","")&amp;IF(J258="Alto"," · Cliente de riesgo alto: DDR (RCG 23 Ter 3 y 4)","")&amp;IF(AND(AS258&lt;&gt;"",AS258&lt;&gt;"No",AS258&lt;&gt;0)," · PEP","")&amp;IF(R258="PROHIBIDO"," · Efectivo prohibido: no lo recibas (Art. 32)","")&amp;IF(AR258=1," · ⚠ Fecha fuera de orden","")&amp;IF(LEFT(I258,1)="⚠"," · ⚠ Cliente no registrado","")&amp;IF(D258=""," · ⚠ Falta la actividad","")&amp;IF(AND(LEFT(P258,5)="AVISO",W258="")," · Captura la cifra total con IVA para el Aviso","")&amp;IF(AND(ISNUMBER(W258),W258&lt;E258)," · ⚠ La cifra con IVA es menor que el monto sin IVA",""),4,400))</f>
        <v/>
      </c>
      <c r="T258" s="21"/>
      <c r="U258" s="20"/>
      <c r="V258" s="9" t="str">
        <f aca="false">IF(LEFT(P258,5)&lt;&gt;"AVISO","",IF(T258="Presentado",IF(AND(ISNUMBER(U258),ISNUMBER(Q258),U258&gt;Q258),"Presentado tarde","Presentado"),IF(NOT(ISNUMBER(Q258)),"Falta fecha",IF(Q258&lt;CONFIG!$B$6,"VENCIDO","Vence en "&amp;(Q258-CONFIG!$B$6)&amp;" días"))))</f>
        <v/>
      </c>
      <c r="W258" s="22"/>
      <c r="X258" s="21"/>
      <c r="AA258" s="0" t="str">
        <f aca="false">IF(AM258="","",INDEX(CATÁLOGO!$D$5:$D$39,AM258))</f>
        <v/>
      </c>
      <c r="AB258" s="0" t="str">
        <f aca="false">IF(AM258="","",INDEX(CATÁLOGO!$E$5:$E$39,AM258))</f>
        <v/>
      </c>
      <c r="AC258" s="0" t="str">
        <f aca="false">IF(AB258="","",IF(ISNUMBER(AB258),AB258*AV258,AB258))</f>
        <v/>
      </c>
      <c r="AD258" s="0" t="str">
        <f aca="false">IF(AM258="","",INDEX(CATÁLOGO!$F$5:$F$39,AM258))</f>
        <v/>
      </c>
      <c r="AE258" s="0" t="str">
        <f aca="false">IF(AD258="","",IF(ISNUMBER(AD258),AD258*AV258,AD258))</f>
        <v/>
      </c>
      <c r="AF258" s="0" t="str">
        <f aca="false">IF(AM258="","",INDEX(CATÁLOGO!$G$5:$G$39,AM258))</f>
        <v/>
      </c>
      <c r="AG258" s="0" t="str">
        <f aca="false">IF(AF258="","",IF(ISNUMBER(AF258),AF258*AV258,AF258))</f>
        <v/>
      </c>
      <c r="AH258" s="0" t="str">
        <f aca="false">IF(E258="","",C258&amp;"|"&amp;D258)</f>
        <v/>
      </c>
      <c r="AI258" s="27" t="n">
        <f aca="false">IF(M258&lt;&gt;"Sí",0,SUMPRODUCT(MAX(($AH$5:AH257=AH258)*($M$5:M257="Sí")*ROW($AH$5:AH257))))</f>
        <v>0</v>
      </c>
      <c r="AJ258" s="0" t="str">
        <f aca="false">IF(M258&lt;&gt;"Sí","",IF(AL258=1,B258,INDEX($AJ:$AJ,AI258)))</f>
        <v/>
      </c>
      <c r="AK258" s="0" t="str">
        <f aca="false">IF(M258&lt;&gt;"Sí","",IF(AL258=1,E258,INDEX($AK:$AK,AI258)+E258))</f>
        <v/>
      </c>
      <c r="AL258" s="0" t="str">
        <f aca="false">IF(M258&lt;&gt;"Sí","",IF(AI258=0,1,IF(INDEX($AN:$AN,AI258)=0,1,IF(B258&gt;=EDATE(INDEX($AJ:$AJ,AI258),6),1,0))))</f>
        <v/>
      </c>
      <c r="AM258" s="0" t="str">
        <f aca="false">IF(D258="","",IFERROR(MATCH(D258,CATÁLOGO!$C$5:$C$39,0),""))</f>
        <v/>
      </c>
      <c r="AN258" s="0" t="str">
        <f aca="false">IF(M258&lt;&gt;"Sí","",IF(AND(ISNUMBER(AE258),AK258&gt;=AE258),0,1))</f>
        <v/>
      </c>
      <c r="AO258" s="0" t="str">
        <f aca="false">IF(OR(E258="",C258="",NOT(ISNUMBER(B258))),"",SUMIFS($E$6:$E$505,$C$6:$C$505,C258,$B$6:$B$505,"&gt;="&amp;DATE(YEAR(B258),MONTH(B258),1),$B$6:$B$505,"&lt;"&amp;DATE(YEAR(B258),MONTH(B258)+1,1)))</f>
        <v/>
      </c>
      <c r="AP258" s="0" t="str">
        <f aca="false">IF(C258="","",IFERROR(INDEX(CLIENTES!$M$6:$M$305,MATCH(C258,CLIENTES!$A$6:$A$305,0)),""))</f>
        <v/>
      </c>
      <c r="AQ258" s="27" t="n">
        <f aca="false">IF(AND(ISNUMBER(AO258),ISNUMBER(AP258)),IF(AND(AP258&gt;0,AO258&gt;AP258),1,0),0)</f>
        <v>0</v>
      </c>
      <c r="AR258" s="27" t="n">
        <f aca="false">IF(NOT(ISNUMBER(B258)),0,IF(B258&lt;MAX($B$5:B257),1,0))</f>
        <v>0</v>
      </c>
      <c r="AS258" s="0" t="str">
        <f aca="false">IF(C258="","",IFERROR(INDEX(CLIENTES!$H$6:$H$305,MATCH(C258,CLIENTES!$A$6:$A$305,0)),""))</f>
        <v/>
      </c>
      <c r="AT258" s="0" t="str">
        <f aca="false">IF(AND(LEFT(P258,5)="AVISO",T258&lt;&gt;"Presentado",ISNUMBER(Q258)),Q258,"")</f>
        <v/>
      </c>
      <c r="AU258" s="27" t="n">
        <f aca="false">IF(AND(D258="XVI - Activos virtuales (PSAV): operación de intercambio/transferencia",M258="Sí",ISNUMBER(AE258)),IF(AK258&gt;=AE258,1,0),0)</f>
        <v>0</v>
      </c>
      <c r="AV258" s="30" t="n">
        <f aca="false">IF(NOT(ISNUMBER(B258)),CONFIG!$B$4,IFERROR(INDEX(CONFIG!$I$5:$I$14,MATCH(IF(MONTH(B258)=1,YEAR(B258)-1,YEAR(B258)),CONFIG!$H$5:$H$14,0)),CONFIG!$B$4))</f>
        <v>117.31</v>
      </c>
      <c r="AW258" s="27" t="n">
        <f aca="false">IF(AND(LEFT(D258,4)="I - ",ISNUMBER(B258),C258&lt;&gt;""),SUMIFS($E$6:$E$505,$C$6:$C$505,C258,$D$6:$D$505,D258,$B$6:$B$505,"&gt;"&amp;(B258-1),$B$6:$B$505,"&lt;="&amp;B258),0)</f>
        <v>0</v>
      </c>
      <c r="AX258" s="0" t="str">
        <f aca="false">IF(E258="","",IF(AD258="Siempre","AVISO (siempre)",IF(AD258="No aplica","Sin Aviso (sólo preparas: Ley 17 XI)",IF(NOT(ISNUMBER(AE258)),"",IF(AA258&lt;&gt;"ACUMULA",IF(E258&gt;=AE258,IF(AND(D258="XVI - Activos virtuales (PSAV): cobro de contraprestación (comisión) por el servicio",COUNTIFS($C$6:$C$505,C258,$B$6:$B$505,"&gt;="&amp;INT(B258),$B$6:$B$505,"&lt;"&amp;(INT(B258)+1),$AU$6:$AU$505,1)&gt;0),"En el Aviso del inciso a) (R 31 Bis)","AVISO"),"—"),IF(M258&lt;&gt;"Sí","—",IF(AK258&gt;=AE258,IF(AK258=E258,"AVISO","AVISO (acumulado)"),"Acumulando")))))))</f>
        <v/>
      </c>
    </row>
    <row r="259" customFormat="false" ht="15" hidden="false" customHeight="false" outlineLevel="0" collapsed="false">
      <c r="A259" s="9" t="str">
        <f aca="false">IF(E259="","",ROW()-5)</f>
        <v/>
      </c>
      <c r="B259" s="20"/>
      <c r="C259" s="21"/>
      <c r="D259" s="21"/>
      <c r="E259" s="22"/>
      <c r="F259" s="22"/>
      <c r="G259" s="21"/>
      <c r="H259" s="21"/>
      <c r="I259" s="9" t="str">
        <f aca="false">IF(C259="","",IFERROR(INDEX(CLIENTES!$B$6:$B$305,MATCH(C259,CLIENTES!$A$6:$A$305,0)),"⚠ ID no registrado"))</f>
        <v/>
      </c>
      <c r="J259" s="9" t="str">
        <f aca="false">IF(C259="","",IFERROR(INDEX(CLIENTES!$Z$6:$Z$305,MATCH(C259,CLIENTES!$A$6:$A$305,0)),""))</f>
        <v/>
      </c>
      <c r="K259" s="9" t="str">
        <f aca="false">IF(E259="","",IF(AB259="Siempre","Sí",IF(ISNUMBER(AC259),IF(E259&gt;=AC259,"Sí",IF(AW259&gt;=AC259,"Sí (serie 24 h)","No")),"")))</f>
        <v/>
      </c>
      <c r="L259" s="9" t="str">
        <f aca="false">IF(E259="","",AA259)</f>
        <v/>
      </c>
      <c r="M259" s="9" t="str">
        <f aca="false">IF(E259="","",IF(AA259&lt;&gt;"ACUMULA","No aplica",IF(LEFT(K259,2)="Sí","Sí","No")))</f>
        <v/>
      </c>
      <c r="N259" s="23" t="str">
        <f aca="false">IF(M259="Sí",AJ259,"")</f>
        <v/>
      </c>
      <c r="O259" s="24" t="str">
        <f aca="false">IF(M259="Sí",AK259,"")</f>
        <v/>
      </c>
      <c r="P259" s="25" t="str">
        <f aca="false">IF(AND(LEFT(D259,6)="XIV - ",LEFT(AX259,5)="AVISO"),"Pedimento (R 16): no va al SPPLD",AX259)</f>
        <v/>
      </c>
      <c r="Q259" s="23" t="str">
        <f aca="false">IF(LEFT(P259,5)="AVISO",IF(ISNUMBER(B259),DATE(YEAR(B259),MONTH(B259)+1,17),"Falta fecha"),"")</f>
        <v/>
      </c>
      <c r="R259" s="9" t="str">
        <f aca="false">IF(OR(F259="",F259=0),"",IF(ISNUMBER(AG259),IF(F259&gt;=AG259,"PROHIBIDO","Dentro del límite"),"No aplica"))</f>
        <v/>
      </c>
      <c r="S259" s="26" t="str">
        <f aca="false">IF(E259="","",MID(IF(AQ259=1," · Excede el perfil declarado","")&amp;IF(H259="Sí"," · Paga un tercero","")&amp;IF(J259="Alto"," · Cliente de riesgo alto: DDR (RCG 23 Ter 3 y 4)","")&amp;IF(AND(AS259&lt;&gt;"",AS259&lt;&gt;"No",AS259&lt;&gt;0)," · PEP","")&amp;IF(R259="PROHIBIDO"," · Efectivo prohibido: no lo recibas (Art. 32)","")&amp;IF(AR259=1," · ⚠ Fecha fuera de orden","")&amp;IF(LEFT(I259,1)="⚠"," · ⚠ Cliente no registrado","")&amp;IF(D259=""," · ⚠ Falta la actividad","")&amp;IF(AND(LEFT(P259,5)="AVISO",W259="")," · Captura la cifra total con IVA para el Aviso","")&amp;IF(AND(ISNUMBER(W259),W259&lt;E259)," · ⚠ La cifra con IVA es menor que el monto sin IVA",""),4,400))</f>
        <v/>
      </c>
      <c r="T259" s="21"/>
      <c r="U259" s="20"/>
      <c r="V259" s="9" t="str">
        <f aca="false">IF(LEFT(P259,5)&lt;&gt;"AVISO","",IF(T259="Presentado",IF(AND(ISNUMBER(U259),ISNUMBER(Q259),U259&gt;Q259),"Presentado tarde","Presentado"),IF(NOT(ISNUMBER(Q259)),"Falta fecha",IF(Q259&lt;CONFIG!$B$6,"VENCIDO","Vence en "&amp;(Q259-CONFIG!$B$6)&amp;" días"))))</f>
        <v/>
      </c>
      <c r="W259" s="22"/>
      <c r="X259" s="21"/>
      <c r="AA259" s="0" t="str">
        <f aca="false">IF(AM259="","",INDEX(CATÁLOGO!$D$5:$D$39,AM259))</f>
        <v/>
      </c>
      <c r="AB259" s="0" t="str">
        <f aca="false">IF(AM259="","",INDEX(CATÁLOGO!$E$5:$E$39,AM259))</f>
        <v/>
      </c>
      <c r="AC259" s="0" t="str">
        <f aca="false">IF(AB259="","",IF(ISNUMBER(AB259),AB259*AV259,AB259))</f>
        <v/>
      </c>
      <c r="AD259" s="0" t="str">
        <f aca="false">IF(AM259="","",INDEX(CATÁLOGO!$F$5:$F$39,AM259))</f>
        <v/>
      </c>
      <c r="AE259" s="0" t="str">
        <f aca="false">IF(AD259="","",IF(ISNUMBER(AD259),AD259*AV259,AD259))</f>
        <v/>
      </c>
      <c r="AF259" s="0" t="str">
        <f aca="false">IF(AM259="","",INDEX(CATÁLOGO!$G$5:$G$39,AM259))</f>
        <v/>
      </c>
      <c r="AG259" s="0" t="str">
        <f aca="false">IF(AF259="","",IF(ISNUMBER(AF259),AF259*AV259,AF259))</f>
        <v/>
      </c>
      <c r="AH259" s="0" t="str">
        <f aca="false">IF(E259="","",C259&amp;"|"&amp;D259)</f>
        <v/>
      </c>
      <c r="AI259" s="27" t="n">
        <f aca="false">IF(M259&lt;&gt;"Sí",0,SUMPRODUCT(MAX(($AH$5:AH258=AH259)*($M$5:M258="Sí")*ROW($AH$5:AH258))))</f>
        <v>0</v>
      </c>
      <c r="AJ259" s="0" t="str">
        <f aca="false">IF(M259&lt;&gt;"Sí","",IF(AL259=1,B259,INDEX($AJ:$AJ,AI259)))</f>
        <v/>
      </c>
      <c r="AK259" s="0" t="str">
        <f aca="false">IF(M259&lt;&gt;"Sí","",IF(AL259=1,E259,INDEX($AK:$AK,AI259)+E259))</f>
        <v/>
      </c>
      <c r="AL259" s="0" t="str">
        <f aca="false">IF(M259&lt;&gt;"Sí","",IF(AI259=0,1,IF(INDEX($AN:$AN,AI259)=0,1,IF(B259&gt;=EDATE(INDEX($AJ:$AJ,AI259),6),1,0))))</f>
        <v/>
      </c>
      <c r="AM259" s="0" t="str">
        <f aca="false">IF(D259="","",IFERROR(MATCH(D259,CATÁLOGO!$C$5:$C$39,0),""))</f>
        <v/>
      </c>
      <c r="AN259" s="0" t="str">
        <f aca="false">IF(M259&lt;&gt;"Sí","",IF(AND(ISNUMBER(AE259),AK259&gt;=AE259),0,1))</f>
        <v/>
      </c>
      <c r="AO259" s="0" t="str">
        <f aca="false">IF(OR(E259="",C259="",NOT(ISNUMBER(B259))),"",SUMIFS($E$6:$E$505,$C$6:$C$505,C259,$B$6:$B$505,"&gt;="&amp;DATE(YEAR(B259),MONTH(B259),1),$B$6:$B$505,"&lt;"&amp;DATE(YEAR(B259),MONTH(B259)+1,1)))</f>
        <v/>
      </c>
      <c r="AP259" s="0" t="str">
        <f aca="false">IF(C259="","",IFERROR(INDEX(CLIENTES!$M$6:$M$305,MATCH(C259,CLIENTES!$A$6:$A$305,0)),""))</f>
        <v/>
      </c>
      <c r="AQ259" s="27" t="n">
        <f aca="false">IF(AND(ISNUMBER(AO259),ISNUMBER(AP259)),IF(AND(AP259&gt;0,AO259&gt;AP259),1,0),0)</f>
        <v>0</v>
      </c>
      <c r="AR259" s="27" t="n">
        <f aca="false">IF(NOT(ISNUMBER(B259)),0,IF(B259&lt;MAX($B$5:B258),1,0))</f>
        <v>0</v>
      </c>
      <c r="AS259" s="0" t="str">
        <f aca="false">IF(C259="","",IFERROR(INDEX(CLIENTES!$H$6:$H$305,MATCH(C259,CLIENTES!$A$6:$A$305,0)),""))</f>
        <v/>
      </c>
      <c r="AT259" s="0" t="str">
        <f aca="false">IF(AND(LEFT(P259,5)="AVISO",T259&lt;&gt;"Presentado",ISNUMBER(Q259)),Q259,"")</f>
        <v/>
      </c>
      <c r="AU259" s="27" t="n">
        <f aca="false">IF(AND(D259="XVI - Activos virtuales (PSAV): operación de intercambio/transferencia",M259="Sí",ISNUMBER(AE259)),IF(AK259&gt;=AE259,1,0),0)</f>
        <v>0</v>
      </c>
      <c r="AV259" s="30" t="n">
        <f aca="false">IF(NOT(ISNUMBER(B259)),CONFIG!$B$4,IFERROR(INDEX(CONFIG!$I$5:$I$14,MATCH(IF(MONTH(B259)=1,YEAR(B259)-1,YEAR(B259)),CONFIG!$H$5:$H$14,0)),CONFIG!$B$4))</f>
        <v>117.31</v>
      </c>
      <c r="AW259" s="27" t="n">
        <f aca="false">IF(AND(LEFT(D259,4)="I - ",ISNUMBER(B259),C259&lt;&gt;""),SUMIFS($E$6:$E$505,$C$6:$C$505,C259,$D$6:$D$505,D259,$B$6:$B$505,"&gt;"&amp;(B259-1),$B$6:$B$505,"&lt;="&amp;B259),0)</f>
        <v>0</v>
      </c>
      <c r="AX259" s="0" t="str">
        <f aca="false">IF(E259="","",IF(AD259="Siempre","AVISO (siempre)",IF(AD259="No aplica","Sin Aviso (sólo preparas: Ley 17 XI)",IF(NOT(ISNUMBER(AE259)),"",IF(AA259&lt;&gt;"ACUMULA",IF(E259&gt;=AE259,IF(AND(D259="XVI - Activos virtuales (PSAV): cobro de contraprestación (comisión) por el servicio",COUNTIFS($C$6:$C$505,C259,$B$6:$B$505,"&gt;="&amp;INT(B259),$B$6:$B$505,"&lt;"&amp;(INT(B259)+1),$AU$6:$AU$505,1)&gt;0),"En el Aviso del inciso a) (R 31 Bis)","AVISO"),"—"),IF(M259&lt;&gt;"Sí","—",IF(AK259&gt;=AE259,IF(AK259=E259,"AVISO","AVISO (acumulado)"),"Acumulando")))))))</f>
        <v/>
      </c>
    </row>
    <row r="260" customFormat="false" ht="15" hidden="false" customHeight="false" outlineLevel="0" collapsed="false">
      <c r="A260" s="9" t="str">
        <f aca="false">IF(E260="","",ROW()-5)</f>
        <v/>
      </c>
      <c r="B260" s="20"/>
      <c r="C260" s="21"/>
      <c r="D260" s="21"/>
      <c r="E260" s="22"/>
      <c r="F260" s="22"/>
      <c r="G260" s="21"/>
      <c r="H260" s="21"/>
      <c r="I260" s="9" t="str">
        <f aca="false">IF(C260="","",IFERROR(INDEX(CLIENTES!$B$6:$B$305,MATCH(C260,CLIENTES!$A$6:$A$305,0)),"⚠ ID no registrado"))</f>
        <v/>
      </c>
      <c r="J260" s="9" t="str">
        <f aca="false">IF(C260="","",IFERROR(INDEX(CLIENTES!$Z$6:$Z$305,MATCH(C260,CLIENTES!$A$6:$A$305,0)),""))</f>
        <v/>
      </c>
      <c r="K260" s="9" t="str">
        <f aca="false">IF(E260="","",IF(AB260="Siempre","Sí",IF(ISNUMBER(AC260),IF(E260&gt;=AC260,"Sí",IF(AW260&gt;=AC260,"Sí (serie 24 h)","No")),"")))</f>
        <v/>
      </c>
      <c r="L260" s="9" t="str">
        <f aca="false">IF(E260="","",AA260)</f>
        <v/>
      </c>
      <c r="M260" s="9" t="str">
        <f aca="false">IF(E260="","",IF(AA260&lt;&gt;"ACUMULA","No aplica",IF(LEFT(K260,2)="Sí","Sí","No")))</f>
        <v/>
      </c>
      <c r="N260" s="23" t="str">
        <f aca="false">IF(M260="Sí",AJ260,"")</f>
        <v/>
      </c>
      <c r="O260" s="24" t="str">
        <f aca="false">IF(M260="Sí",AK260,"")</f>
        <v/>
      </c>
      <c r="P260" s="25" t="str">
        <f aca="false">IF(AND(LEFT(D260,6)="XIV - ",LEFT(AX260,5)="AVISO"),"Pedimento (R 16): no va al SPPLD",AX260)</f>
        <v/>
      </c>
      <c r="Q260" s="23" t="str">
        <f aca="false">IF(LEFT(P260,5)="AVISO",IF(ISNUMBER(B260),DATE(YEAR(B260),MONTH(B260)+1,17),"Falta fecha"),"")</f>
        <v/>
      </c>
      <c r="R260" s="9" t="str">
        <f aca="false">IF(OR(F260="",F260=0),"",IF(ISNUMBER(AG260),IF(F260&gt;=AG260,"PROHIBIDO","Dentro del límite"),"No aplica"))</f>
        <v/>
      </c>
      <c r="S260" s="26" t="str">
        <f aca="false">IF(E260="","",MID(IF(AQ260=1," · Excede el perfil declarado","")&amp;IF(H260="Sí"," · Paga un tercero","")&amp;IF(J260="Alto"," · Cliente de riesgo alto: DDR (RCG 23 Ter 3 y 4)","")&amp;IF(AND(AS260&lt;&gt;"",AS260&lt;&gt;"No",AS260&lt;&gt;0)," · PEP","")&amp;IF(R260="PROHIBIDO"," · Efectivo prohibido: no lo recibas (Art. 32)","")&amp;IF(AR260=1," · ⚠ Fecha fuera de orden","")&amp;IF(LEFT(I260,1)="⚠"," · ⚠ Cliente no registrado","")&amp;IF(D260=""," · ⚠ Falta la actividad","")&amp;IF(AND(LEFT(P260,5)="AVISO",W260="")," · Captura la cifra total con IVA para el Aviso","")&amp;IF(AND(ISNUMBER(W260),W260&lt;E260)," · ⚠ La cifra con IVA es menor que el monto sin IVA",""),4,400))</f>
        <v/>
      </c>
      <c r="T260" s="21"/>
      <c r="U260" s="20"/>
      <c r="V260" s="9" t="str">
        <f aca="false">IF(LEFT(P260,5)&lt;&gt;"AVISO","",IF(T260="Presentado",IF(AND(ISNUMBER(U260),ISNUMBER(Q260),U260&gt;Q260),"Presentado tarde","Presentado"),IF(NOT(ISNUMBER(Q260)),"Falta fecha",IF(Q260&lt;CONFIG!$B$6,"VENCIDO","Vence en "&amp;(Q260-CONFIG!$B$6)&amp;" días"))))</f>
        <v/>
      </c>
      <c r="W260" s="22"/>
      <c r="X260" s="21"/>
      <c r="AA260" s="0" t="str">
        <f aca="false">IF(AM260="","",INDEX(CATÁLOGO!$D$5:$D$39,AM260))</f>
        <v/>
      </c>
      <c r="AB260" s="0" t="str">
        <f aca="false">IF(AM260="","",INDEX(CATÁLOGO!$E$5:$E$39,AM260))</f>
        <v/>
      </c>
      <c r="AC260" s="0" t="str">
        <f aca="false">IF(AB260="","",IF(ISNUMBER(AB260),AB260*AV260,AB260))</f>
        <v/>
      </c>
      <c r="AD260" s="0" t="str">
        <f aca="false">IF(AM260="","",INDEX(CATÁLOGO!$F$5:$F$39,AM260))</f>
        <v/>
      </c>
      <c r="AE260" s="0" t="str">
        <f aca="false">IF(AD260="","",IF(ISNUMBER(AD260),AD260*AV260,AD260))</f>
        <v/>
      </c>
      <c r="AF260" s="0" t="str">
        <f aca="false">IF(AM260="","",INDEX(CATÁLOGO!$G$5:$G$39,AM260))</f>
        <v/>
      </c>
      <c r="AG260" s="0" t="str">
        <f aca="false">IF(AF260="","",IF(ISNUMBER(AF260),AF260*AV260,AF260))</f>
        <v/>
      </c>
      <c r="AH260" s="0" t="str">
        <f aca="false">IF(E260="","",C260&amp;"|"&amp;D260)</f>
        <v/>
      </c>
      <c r="AI260" s="27" t="n">
        <f aca="false">IF(M260&lt;&gt;"Sí",0,SUMPRODUCT(MAX(($AH$5:AH259=AH260)*($M$5:M259="Sí")*ROW($AH$5:AH259))))</f>
        <v>0</v>
      </c>
      <c r="AJ260" s="0" t="str">
        <f aca="false">IF(M260&lt;&gt;"Sí","",IF(AL260=1,B260,INDEX($AJ:$AJ,AI260)))</f>
        <v/>
      </c>
      <c r="AK260" s="0" t="str">
        <f aca="false">IF(M260&lt;&gt;"Sí","",IF(AL260=1,E260,INDEX($AK:$AK,AI260)+E260))</f>
        <v/>
      </c>
      <c r="AL260" s="0" t="str">
        <f aca="false">IF(M260&lt;&gt;"Sí","",IF(AI260=0,1,IF(INDEX($AN:$AN,AI260)=0,1,IF(B260&gt;=EDATE(INDEX($AJ:$AJ,AI260),6),1,0))))</f>
        <v/>
      </c>
      <c r="AM260" s="0" t="str">
        <f aca="false">IF(D260="","",IFERROR(MATCH(D260,CATÁLOGO!$C$5:$C$39,0),""))</f>
        <v/>
      </c>
      <c r="AN260" s="0" t="str">
        <f aca="false">IF(M260&lt;&gt;"Sí","",IF(AND(ISNUMBER(AE260),AK260&gt;=AE260),0,1))</f>
        <v/>
      </c>
      <c r="AO260" s="0" t="str">
        <f aca="false">IF(OR(E260="",C260="",NOT(ISNUMBER(B260))),"",SUMIFS($E$6:$E$505,$C$6:$C$505,C260,$B$6:$B$505,"&gt;="&amp;DATE(YEAR(B260),MONTH(B260),1),$B$6:$B$505,"&lt;"&amp;DATE(YEAR(B260),MONTH(B260)+1,1)))</f>
        <v/>
      </c>
      <c r="AP260" s="0" t="str">
        <f aca="false">IF(C260="","",IFERROR(INDEX(CLIENTES!$M$6:$M$305,MATCH(C260,CLIENTES!$A$6:$A$305,0)),""))</f>
        <v/>
      </c>
      <c r="AQ260" s="27" t="n">
        <f aca="false">IF(AND(ISNUMBER(AO260),ISNUMBER(AP260)),IF(AND(AP260&gt;0,AO260&gt;AP260),1,0),0)</f>
        <v>0</v>
      </c>
      <c r="AR260" s="27" t="n">
        <f aca="false">IF(NOT(ISNUMBER(B260)),0,IF(B260&lt;MAX($B$5:B259),1,0))</f>
        <v>0</v>
      </c>
      <c r="AS260" s="0" t="str">
        <f aca="false">IF(C260="","",IFERROR(INDEX(CLIENTES!$H$6:$H$305,MATCH(C260,CLIENTES!$A$6:$A$305,0)),""))</f>
        <v/>
      </c>
      <c r="AT260" s="0" t="str">
        <f aca="false">IF(AND(LEFT(P260,5)="AVISO",T260&lt;&gt;"Presentado",ISNUMBER(Q260)),Q260,"")</f>
        <v/>
      </c>
      <c r="AU260" s="27" t="n">
        <f aca="false">IF(AND(D260="XVI - Activos virtuales (PSAV): operación de intercambio/transferencia",M260="Sí",ISNUMBER(AE260)),IF(AK260&gt;=AE260,1,0),0)</f>
        <v>0</v>
      </c>
      <c r="AV260" s="30" t="n">
        <f aca="false">IF(NOT(ISNUMBER(B260)),CONFIG!$B$4,IFERROR(INDEX(CONFIG!$I$5:$I$14,MATCH(IF(MONTH(B260)=1,YEAR(B260)-1,YEAR(B260)),CONFIG!$H$5:$H$14,0)),CONFIG!$B$4))</f>
        <v>117.31</v>
      </c>
      <c r="AW260" s="27" t="n">
        <f aca="false">IF(AND(LEFT(D260,4)="I - ",ISNUMBER(B260),C260&lt;&gt;""),SUMIFS($E$6:$E$505,$C$6:$C$505,C260,$D$6:$D$505,D260,$B$6:$B$505,"&gt;"&amp;(B260-1),$B$6:$B$505,"&lt;="&amp;B260),0)</f>
        <v>0</v>
      </c>
      <c r="AX260" s="0" t="str">
        <f aca="false">IF(E260="","",IF(AD260="Siempre","AVISO (siempre)",IF(AD260="No aplica","Sin Aviso (sólo preparas: Ley 17 XI)",IF(NOT(ISNUMBER(AE260)),"",IF(AA260&lt;&gt;"ACUMULA",IF(E260&gt;=AE260,IF(AND(D260="XVI - Activos virtuales (PSAV): cobro de contraprestación (comisión) por el servicio",COUNTIFS($C$6:$C$505,C260,$B$6:$B$505,"&gt;="&amp;INT(B260),$B$6:$B$505,"&lt;"&amp;(INT(B260)+1),$AU$6:$AU$505,1)&gt;0),"En el Aviso del inciso a) (R 31 Bis)","AVISO"),"—"),IF(M260&lt;&gt;"Sí","—",IF(AK260&gt;=AE260,IF(AK260=E260,"AVISO","AVISO (acumulado)"),"Acumulando")))))))</f>
        <v/>
      </c>
    </row>
    <row r="261" customFormat="false" ht="15" hidden="false" customHeight="false" outlineLevel="0" collapsed="false">
      <c r="A261" s="9" t="str">
        <f aca="false">IF(E261="","",ROW()-5)</f>
        <v/>
      </c>
      <c r="B261" s="20"/>
      <c r="C261" s="21"/>
      <c r="D261" s="21"/>
      <c r="E261" s="22"/>
      <c r="F261" s="22"/>
      <c r="G261" s="21"/>
      <c r="H261" s="21"/>
      <c r="I261" s="9" t="str">
        <f aca="false">IF(C261="","",IFERROR(INDEX(CLIENTES!$B$6:$B$305,MATCH(C261,CLIENTES!$A$6:$A$305,0)),"⚠ ID no registrado"))</f>
        <v/>
      </c>
      <c r="J261" s="9" t="str">
        <f aca="false">IF(C261="","",IFERROR(INDEX(CLIENTES!$Z$6:$Z$305,MATCH(C261,CLIENTES!$A$6:$A$305,0)),""))</f>
        <v/>
      </c>
      <c r="K261" s="9" t="str">
        <f aca="false">IF(E261="","",IF(AB261="Siempre","Sí",IF(ISNUMBER(AC261),IF(E261&gt;=AC261,"Sí",IF(AW261&gt;=AC261,"Sí (serie 24 h)","No")),"")))</f>
        <v/>
      </c>
      <c r="L261" s="9" t="str">
        <f aca="false">IF(E261="","",AA261)</f>
        <v/>
      </c>
      <c r="M261" s="9" t="str">
        <f aca="false">IF(E261="","",IF(AA261&lt;&gt;"ACUMULA","No aplica",IF(LEFT(K261,2)="Sí","Sí","No")))</f>
        <v/>
      </c>
      <c r="N261" s="23" t="str">
        <f aca="false">IF(M261="Sí",AJ261,"")</f>
        <v/>
      </c>
      <c r="O261" s="24" t="str">
        <f aca="false">IF(M261="Sí",AK261,"")</f>
        <v/>
      </c>
      <c r="P261" s="25" t="str">
        <f aca="false">IF(AND(LEFT(D261,6)="XIV - ",LEFT(AX261,5)="AVISO"),"Pedimento (R 16): no va al SPPLD",AX261)</f>
        <v/>
      </c>
      <c r="Q261" s="23" t="str">
        <f aca="false">IF(LEFT(P261,5)="AVISO",IF(ISNUMBER(B261),DATE(YEAR(B261),MONTH(B261)+1,17),"Falta fecha"),"")</f>
        <v/>
      </c>
      <c r="R261" s="9" t="str">
        <f aca="false">IF(OR(F261="",F261=0),"",IF(ISNUMBER(AG261),IF(F261&gt;=AG261,"PROHIBIDO","Dentro del límite"),"No aplica"))</f>
        <v/>
      </c>
      <c r="S261" s="26" t="str">
        <f aca="false">IF(E261="","",MID(IF(AQ261=1," · Excede el perfil declarado","")&amp;IF(H261="Sí"," · Paga un tercero","")&amp;IF(J261="Alto"," · Cliente de riesgo alto: DDR (RCG 23 Ter 3 y 4)","")&amp;IF(AND(AS261&lt;&gt;"",AS261&lt;&gt;"No",AS261&lt;&gt;0)," · PEP","")&amp;IF(R261="PROHIBIDO"," · Efectivo prohibido: no lo recibas (Art. 32)","")&amp;IF(AR261=1," · ⚠ Fecha fuera de orden","")&amp;IF(LEFT(I261,1)="⚠"," · ⚠ Cliente no registrado","")&amp;IF(D261=""," · ⚠ Falta la actividad","")&amp;IF(AND(LEFT(P261,5)="AVISO",W261="")," · Captura la cifra total con IVA para el Aviso","")&amp;IF(AND(ISNUMBER(W261),W261&lt;E261)," · ⚠ La cifra con IVA es menor que el monto sin IVA",""),4,400))</f>
        <v/>
      </c>
      <c r="T261" s="21"/>
      <c r="U261" s="20"/>
      <c r="V261" s="9" t="str">
        <f aca="false">IF(LEFT(P261,5)&lt;&gt;"AVISO","",IF(T261="Presentado",IF(AND(ISNUMBER(U261),ISNUMBER(Q261),U261&gt;Q261),"Presentado tarde","Presentado"),IF(NOT(ISNUMBER(Q261)),"Falta fecha",IF(Q261&lt;CONFIG!$B$6,"VENCIDO","Vence en "&amp;(Q261-CONFIG!$B$6)&amp;" días"))))</f>
        <v/>
      </c>
      <c r="W261" s="22"/>
      <c r="X261" s="21"/>
      <c r="AA261" s="0" t="str">
        <f aca="false">IF(AM261="","",INDEX(CATÁLOGO!$D$5:$D$39,AM261))</f>
        <v/>
      </c>
      <c r="AB261" s="0" t="str">
        <f aca="false">IF(AM261="","",INDEX(CATÁLOGO!$E$5:$E$39,AM261))</f>
        <v/>
      </c>
      <c r="AC261" s="0" t="str">
        <f aca="false">IF(AB261="","",IF(ISNUMBER(AB261),AB261*AV261,AB261))</f>
        <v/>
      </c>
      <c r="AD261" s="0" t="str">
        <f aca="false">IF(AM261="","",INDEX(CATÁLOGO!$F$5:$F$39,AM261))</f>
        <v/>
      </c>
      <c r="AE261" s="0" t="str">
        <f aca="false">IF(AD261="","",IF(ISNUMBER(AD261),AD261*AV261,AD261))</f>
        <v/>
      </c>
      <c r="AF261" s="0" t="str">
        <f aca="false">IF(AM261="","",INDEX(CATÁLOGO!$G$5:$G$39,AM261))</f>
        <v/>
      </c>
      <c r="AG261" s="0" t="str">
        <f aca="false">IF(AF261="","",IF(ISNUMBER(AF261),AF261*AV261,AF261))</f>
        <v/>
      </c>
      <c r="AH261" s="0" t="str">
        <f aca="false">IF(E261="","",C261&amp;"|"&amp;D261)</f>
        <v/>
      </c>
      <c r="AI261" s="27" t="n">
        <f aca="false">IF(M261&lt;&gt;"Sí",0,SUMPRODUCT(MAX(($AH$5:AH260=AH261)*($M$5:M260="Sí")*ROW($AH$5:AH260))))</f>
        <v>0</v>
      </c>
      <c r="AJ261" s="0" t="str">
        <f aca="false">IF(M261&lt;&gt;"Sí","",IF(AL261=1,B261,INDEX($AJ:$AJ,AI261)))</f>
        <v/>
      </c>
      <c r="AK261" s="0" t="str">
        <f aca="false">IF(M261&lt;&gt;"Sí","",IF(AL261=1,E261,INDEX($AK:$AK,AI261)+E261))</f>
        <v/>
      </c>
      <c r="AL261" s="0" t="str">
        <f aca="false">IF(M261&lt;&gt;"Sí","",IF(AI261=0,1,IF(INDEX($AN:$AN,AI261)=0,1,IF(B261&gt;=EDATE(INDEX($AJ:$AJ,AI261),6),1,0))))</f>
        <v/>
      </c>
      <c r="AM261" s="0" t="str">
        <f aca="false">IF(D261="","",IFERROR(MATCH(D261,CATÁLOGO!$C$5:$C$39,0),""))</f>
        <v/>
      </c>
      <c r="AN261" s="0" t="str">
        <f aca="false">IF(M261&lt;&gt;"Sí","",IF(AND(ISNUMBER(AE261),AK261&gt;=AE261),0,1))</f>
        <v/>
      </c>
      <c r="AO261" s="0" t="str">
        <f aca="false">IF(OR(E261="",C261="",NOT(ISNUMBER(B261))),"",SUMIFS($E$6:$E$505,$C$6:$C$505,C261,$B$6:$B$505,"&gt;="&amp;DATE(YEAR(B261),MONTH(B261),1),$B$6:$B$505,"&lt;"&amp;DATE(YEAR(B261),MONTH(B261)+1,1)))</f>
        <v/>
      </c>
      <c r="AP261" s="0" t="str">
        <f aca="false">IF(C261="","",IFERROR(INDEX(CLIENTES!$M$6:$M$305,MATCH(C261,CLIENTES!$A$6:$A$305,0)),""))</f>
        <v/>
      </c>
      <c r="AQ261" s="27" t="n">
        <f aca="false">IF(AND(ISNUMBER(AO261),ISNUMBER(AP261)),IF(AND(AP261&gt;0,AO261&gt;AP261),1,0),0)</f>
        <v>0</v>
      </c>
      <c r="AR261" s="27" t="n">
        <f aca="false">IF(NOT(ISNUMBER(B261)),0,IF(B261&lt;MAX($B$5:B260),1,0))</f>
        <v>0</v>
      </c>
      <c r="AS261" s="0" t="str">
        <f aca="false">IF(C261="","",IFERROR(INDEX(CLIENTES!$H$6:$H$305,MATCH(C261,CLIENTES!$A$6:$A$305,0)),""))</f>
        <v/>
      </c>
      <c r="AT261" s="0" t="str">
        <f aca="false">IF(AND(LEFT(P261,5)="AVISO",T261&lt;&gt;"Presentado",ISNUMBER(Q261)),Q261,"")</f>
        <v/>
      </c>
      <c r="AU261" s="27" t="n">
        <f aca="false">IF(AND(D261="XVI - Activos virtuales (PSAV): operación de intercambio/transferencia",M261="Sí",ISNUMBER(AE261)),IF(AK261&gt;=AE261,1,0),0)</f>
        <v>0</v>
      </c>
      <c r="AV261" s="30" t="n">
        <f aca="false">IF(NOT(ISNUMBER(B261)),CONFIG!$B$4,IFERROR(INDEX(CONFIG!$I$5:$I$14,MATCH(IF(MONTH(B261)=1,YEAR(B261)-1,YEAR(B261)),CONFIG!$H$5:$H$14,0)),CONFIG!$B$4))</f>
        <v>117.31</v>
      </c>
      <c r="AW261" s="27" t="n">
        <f aca="false">IF(AND(LEFT(D261,4)="I - ",ISNUMBER(B261),C261&lt;&gt;""),SUMIFS($E$6:$E$505,$C$6:$C$505,C261,$D$6:$D$505,D261,$B$6:$B$505,"&gt;"&amp;(B261-1),$B$6:$B$505,"&lt;="&amp;B261),0)</f>
        <v>0</v>
      </c>
      <c r="AX261" s="0" t="str">
        <f aca="false">IF(E261="","",IF(AD261="Siempre","AVISO (siempre)",IF(AD261="No aplica","Sin Aviso (sólo preparas: Ley 17 XI)",IF(NOT(ISNUMBER(AE261)),"",IF(AA261&lt;&gt;"ACUMULA",IF(E261&gt;=AE261,IF(AND(D261="XVI - Activos virtuales (PSAV): cobro de contraprestación (comisión) por el servicio",COUNTIFS($C$6:$C$505,C261,$B$6:$B$505,"&gt;="&amp;INT(B261),$B$6:$B$505,"&lt;"&amp;(INT(B261)+1),$AU$6:$AU$505,1)&gt;0),"En el Aviso del inciso a) (R 31 Bis)","AVISO"),"—"),IF(M261&lt;&gt;"Sí","—",IF(AK261&gt;=AE261,IF(AK261=E261,"AVISO","AVISO (acumulado)"),"Acumulando")))))))</f>
        <v/>
      </c>
    </row>
    <row r="262" customFormat="false" ht="15" hidden="false" customHeight="false" outlineLevel="0" collapsed="false">
      <c r="A262" s="9" t="str">
        <f aca="false">IF(E262="","",ROW()-5)</f>
        <v/>
      </c>
      <c r="B262" s="20"/>
      <c r="C262" s="21"/>
      <c r="D262" s="21"/>
      <c r="E262" s="22"/>
      <c r="F262" s="22"/>
      <c r="G262" s="21"/>
      <c r="H262" s="21"/>
      <c r="I262" s="9" t="str">
        <f aca="false">IF(C262="","",IFERROR(INDEX(CLIENTES!$B$6:$B$305,MATCH(C262,CLIENTES!$A$6:$A$305,0)),"⚠ ID no registrado"))</f>
        <v/>
      </c>
      <c r="J262" s="9" t="str">
        <f aca="false">IF(C262="","",IFERROR(INDEX(CLIENTES!$Z$6:$Z$305,MATCH(C262,CLIENTES!$A$6:$A$305,0)),""))</f>
        <v/>
      </c>
      <c r="K262" s="9" t="str">
        <f aca="false">IF(E262="","",IF(AB262="Siempre","Sí",IF(ISNUMBER(AC262),IF(E262&gt;=AC262,"Sí",IF(AW262&gt;=AC262,"Sí (serie 24 h)","No")),"")))</f>
        <v/>
      </c>
      <c r="L262" s="9" t="str">
        <f aca="false">IF(E262="","",AA262)</f>
        <v/>
      </c>
      <c r="M262" s="9" t="str">
        <f aca="false">IF(E262="","",IF(AA262&lt;&gt;"ACUMULA","No aplica",IF(LEFT(K262,2)="Sí","Sí","No")))</f>
        <v/>
      </c>
      <c r="N262" s="23" t="str">
        <f aca="false">IF(M262="Sí",AJ262,"")</f>
        <v/>
      </c>
      <c r="O262" s="24" t="str">
        <f aca="false">IF(M262="Sí",AK262,"")</f>
        <v/>
      </c>
      <c r="P262" s="25" t="str">
        <f aca="false">IF(AND(LEFT(D262,6)="XIV - ",LEFT(AX262,5)="AVISO"),"Pedimento (R 16): no va al SPPLD",AX262)</f>
        <v/>
      </c>
      <c r="Q262" s="23" t="str">
        <f aca="false">IF(LEFT(P262,5)="AVISO",IF(ISNUMBER(B262),DATE(YEAR(B262),MONTH(B262)+1,17),"Falta fecha"),"")</f>
        <v/>
      </c>
      <c r="R262" s="9" t="str">
        <f aca="false">IF(OR(F262="",F262=0),"",IF(ISNUMBER(AG262),IF(F262&gt;=AG262,"PROHIBIDO","Dentro del límite"),"No aplica"))</f>
        <v/>
      </c>
      <c r="S262" s="26" t="str">
        <f aca="false">IF(E262="","",MID(IF(AQ262=1," · Excede el perfil declarado","")&amp;IF(H262="Sí"," · Paga un tercero","")&amp;IF(J262="Alto"," · Cliente de riesgo alto: DDR (RCG 23 Ter 3 y 4)","")&amp;IF(AND(AS262&lt;&gt;"",AS262&lt;&gt;"No",AS262&lt;&gt;0)," · PEP","")&amp;IF(R262="PROHIBIDO"," · Efectivo prohibido: no lo recibas (Art. 32)","")&amp;IF(AR262=1," · ⚠ Fecha fuera de orden","")&amp;IF(LEFT(I262,1)="⚠"," · ⚠ Cliente no registrado","")&amp;IF(D262=""," · ⚠ Falta la actividad","")&amp;IF(AND(LEFT(P262,5)="AVISO",W262="")," · Captura la cifra total con IVA para el Aviso","")&amp;IF(AND(ISNUMBER(W262),W262&lt;E262)," · ⚠ La cifra con IVA es menor que el monto sin IVA",""),4,400))</f>
        <v/>
      </c>
      <c r="T262" s="21"/>
      <c r="U262" s="20"/>
      <c r="V262" s="9" t="str">
        <f aca="false">IF(LEFT(P262,5)&lt;&gt;"AVISO","",IF(T262="Presentado",IF(AND(ISNUMBER(U262),ISNUMBER(Q262),U262&gt;Q262),"Presentado tarde","Presentado"),IF(NOT(ISNUMBER(Q262)),"Falta fecha",IF(Q262&lt;CONFIG!$B$6,"VENCIDO","Vence en "&amp;(Q262-CONFIG!$B$6)&amp;" días"))))</f>
        <v/>
      </c>
      <c r="W262" s="22"/>
      <c r="X262" s="21"/>
      <c r="AA262" s="0" t="str">
        <f aca="false">IF(AM262="","",INDEX(CATÁLOGO!$D$5:$D$39,AM262))</f>
        <v/>
      </c>
      <c r="AB262" s="0" t="str">
        <f aca="false">IF(AM262="","",INDEX(CATÁLOGO!$E$5:$E$39,AM262))</f>
        <v/>
      </c>
      <c r="AC262" s="0" t="str">
        <f aca="false">IF(AB262="","",IF(ISNUMBER(AB262),AB262*AV262,AB262))</f>
        <v/>
      </c>
      <c r="AD262" s="0" t="str">
        <f aca="false">IF(AM262="","",INDEX(CATÁLOGO!$F$5:$F$39,AM262))</f>
        <v/>
      </c>
      <c r="AE262" s="0" t="str">
        <f aca="false">IF(AD262="","",IF(ISNUMBER(AD262),AD262*AV262,AD262))</f>
        <v/>
      </c>
      <c r="AF262" s="0" t="str">
        <f aca="false">IF(AM262="","",INDEX(CATÁLOGO!$G$5:$G$39,AM262))</f>
        <v/>
      </c>
      <c r="AG262" s="0" t="str">
        <f aca="false">IF(AF262="","",IF(ISNUMBER(AF262),AF262*AV262,AF262))</f>
        <v/>
      </c>
      <c r="AH262" s="0" t="str">
        <f aca="false">IF(E262="","",C262&amp;"|"&amp;D262)</f>
        <v/>
      </c>
      <c r="AI262" s="27" t="n">
        <f aca="false">IF(M262&lt;&gt;"Sí",0,SUMPRODUCT(MAX(($AH$5:AH261=AH262)*($M$5:M261="Sí")*ROW($AH$5:AH261))))</f>
        <v>0</v>
      </c>
      <c r="AJ262" s="0" t="str">
        <f aca="false">IF(M262&lt;&gt;"Sí","",IF(AL262=1,B262,INDEX($AJ:$AJ,AI262)))</f>
        <v/>
      </c>
      <c r="AK262" s="0" t="str">
        <f aca="false">IF(M262&lt;&gt;"Sí","",IF(AL262=1,E262,INDEX($AK:$AK,AI262)+E262))</f>
        <v/>
      </c>
      <c r="AL262" s="0" t="str">
        <f aca="false">IF(M262&lt;&gt;"Sí","",IF(AI262=0,1,IF(INDEX($AN:$AN,AI262)=0,1,IF(B262&gt;=EDATE(INDEX($AJ:$AJ,AI262),6),1,0))))</f>
        <v/>
      </c>
      <c r="AM262" s="0" t="str">
        <f aca="false">IF(D262="","",IFERROR(MATCH(D262,CATÁLOGO!$C$5:$C$39,0),""))</f>
        <v/>
      </c>
      <c r="AN262" s="0" t="str">
        <f aca="false">IF(M262&lt;&gt;"Sí","",IF(AND(ISNUMBER(AE262),AK262&gt;=AE262),0,1))</f>
        <v/>
      </c>
      <c r="AO262" s="0" t="str">
        <f aca="false">IF(OR(E262="",C262="",NOT(ISNUMBER(B262))),"",SUMIFS($E$6:$E$505,$C$6:$C$505,C262,$B$6:$B$505,"&gt;="&amp;DATE(YEAR(B262),MONTH(B262),1),$B$6:$B$505,"&lt;"&amp;DATE(YEAR(B262),MONTH(B262)+1,1)))</f>
        <v/>
      </c>
      <c r="AP262" s="0" t="str">
        <f aca="false">IF(C262="","",IFERROR(INDEX(CLIENTES!$M$6:$M$305,MATCH(C262,CLIENTES!$A$6:$A$305,0)),""))</f>
        <v/>
      </c>
      <c r="AQ262" s="27" t="n">
        <f aca="false">IF(AND(ISNUMBER(AO262),ISNUMBER(AP262)),IF(AND(AP262&gt;0,AO262&gt;AP262),1,0),0)</f>
        <v>0</v>
      </c>
      <c r="AR262" s="27" t="n">
        <f aca="false">IF(NOT(ISNUMBER(B262)),0,IF(B262&lt;MAX($B$5:B261),1,0))</f>
        <v>0</v>
      </c>
      <c r="AS262" s="0" t="str">
        <f aca="false">IF(C262="","",IFERROR(INDEX(CLIENTES!$H$6:$H$305,MATCH(C262,CLIENTES!$A$6:$A$305,0)),""))</f>
        <v/>
      </c>
      <c r="AT262" s="0" t="str">
        <f aca="false">IF(AND(LEFT(P262,5)="AVISO",T262&lt;&gt;"Presentado",ISNUMBER(Q262)),Q262,"")</f>
        <v/>
      </c>
      <c r="AU262" s="27" t="n">
        <f aca="false">IF(AND(D262="XVI - Activos virtuales (PSAV): operación de intercambio/transferencia",M262="Sí",ISNUMBER(AE262)),IF(AK262&gt;=AE262,1,0),0)</f>
        <v>0</v>
      </c>
      <c r="AV262" s="30" t="n">
        <f aca="false">IF(NOT(ISNUMBER(B262)),CONFIG!$B$4,IFERROR(INDEX(CONFIG!$I$5:$I$14,MATCH(IF(MONTH(B262)=1,YEAR(B262)-1,YEAR(B262)),CONFIG!$H$5:$H$14,0)),CONFIG!$B$4))</f>
        <v>117.31</v>
      </c>
      <c r="AW262" s="27" t="n">
        <f aca="false">IF(AND(LEFT(D262,4)="I - ",ISNUMBER(B262),C262&lt;&gt;""),SUMIFS($E$6:$E$505,$C$6:$C$505,C262,$D$6:$D$505,D262,$B$6:$B$505,"&gt;"&amp;(B262-1),$B$6:$B$505,"&lt;="&amp;B262),0)</f>
        <v>0</v>
      </c>
      <c r="AX262" s="0" t="str">
        <f aca="false">IF(E262="","",IF(AD262="Siempre","AVISO (siempre)",IF(AD262="No aplica","Sin Aviso (sólo preparas: Ley 17 XI)",IF(NOT(ISNUMBER(AE262)),"",IF(AA262&lt;&gt;"ACUMULA",IF(E262&gt;=AE262,IF(AND(D262="XVI - Activos virtuales (PSAV): cobro de contraprestación (comisión) por el servicio",COUNTIFS($C$6:$C$505,C262,$B$6:$B$505,"&gt;="&amp;INT(B262),$B$6:$B$505,"&lt;"&amp;(INT(B262)+1),$AU$6:$AU$505,1)&gt;0),"En el Aviso del inciso a) (R 31 Bis)","AVISO"),"—"),IF(M262&lt;&gt;"Sí","—",IF(AK262&gt;=AE262,IF(AK262=E262,"AVISO","AVISO (acumulado)"),"Acumulando")))))))</f>
        <v/>
      </c>
    </row>
    <row r="263" customFormat="false" ht="15" hidden="false" customHeight="false" outlineLevel="0" collapsed="false">
      <c r="A263" s="9" t="str">
        <f aca="false">IF(E263="","",ROW()-5)</f>
        <v/>
      </c>
      <c r="B263" s="20"/>
      <c r="C263" s="21"/>
      <c r="D263" s="21"/>
      <c r="E263" s="22"/>
      <c r="F263" s="22"/>
      <c r="G263" s="21"/>
      <c r="H263" s="21"/>
      <c r="I263" s="9" t="str">
        <f aca="false">IF(C263="","",IFERROR(INDEX(CLIENTES!$B$6:$B$305,MATCH(C263,CLIENTES!$A$6:$A$305,0)),"⚠ ID no registrado"))</f>
        <v/>
      </c>
      <c r="J263" s="9" t="str">
        <f aca="false">IF(C263="","",IFERROR(INDEX(CLIENTES!$Z$6:$Z$305,MATCH(C263,CLIENTES!$A$6:$A$305,0)),""))</f>
        <v/>
      </c>
      <c r="K263" s="9" t="str">
        <f aca="false">IF(E263="","",IF(AB263="Siempre","Sí",IF(ISNUMBER(AC263),IF(E263&gt;=AC263,"Sí",IF(AW263&gt;=AC263,"Sí (serie 24 h)","No")),"")))</f>
        <v/>
      </c>
      <c r="L263" s="9" t="str">
        <f aca="false">IF(E263="","",AA263)</f>
        <v/>
      </c>
      <c r="M263" s="9" t="str">
        <f aca="false">IF(E263="","",IF(AA263&lt;&gt;"ACUMULA","No aplica",IF(LEFT(K263,2)="Sí","Sí","No")))</f>
        <v/>
      </c>
      <c r="N263" s="23" t="str">
        <f aca="false">IF(M263="Sí",AJ263,"")</f>
        <v/>
      </c>
      <c r="O263" s="24" t="str">
        <f aca="false">IF(M263="Sí",AK263,"")</f>
        <v/>
      </c>
      <c r="P263" s="25" t="str">
        <f aca="false">IF(AND(LEFT(D263,6)="XIV - ",LEFT(AX263,5)="AVISO"),"Pedimento (R 16): no va al SPPLD",AX263)</f>
        <v/>
      </c>
      <c r="Q263" s="23" t="str">
        <f aca="false">IF(LEFT(P263,5)="AVISO",IF(ISNUMBER(B263),DATE(YEAR(B263),MONTH(B263)+1,17),"Falta fecha"),"")</f>
        <v/>
      </c>
      <c r="R263" s="9" t="str">
        <f aca="false">IF(OR(F263="",F263=0),"",IF(ISNUMBER(AG263),IF(F263&gt;=AG263,"PROHIBIDO","Dentro del límite"),"No aplica"))</f>
        <v/>
      </c>
      <c r="S263" s="26" t="str">
        <f aca="false">IF(E263="","",MID(IF(AQ263=1," · Excede el perfil declarado","")&amp;IF(H263="Sí"," · Paga un tercero","")&amp;IF(J263="Alto"," · Cliente de riesgo alto: DDR (RCG 23 Ter 3 y 4)","")&amp;IF(AND(AS263&lt;&gt;"",AS263&lt;&gt;"No",AS263&lt;&gt;0)," · PEP","")&amp;IF(R263="PROHIBIDO"," · Efectivo prohibido: no lo recibas (Art. 32)","")&amp;IF(AR263=1," · ⚠ Fecha fuera de orden","")&amp;IF(LEFT(I263,1)="⚠"," · ⚠ Cliente no registrado","")&amp;IF(D263=""," · ⚠ Falta la actividad","")&amp;IF(AND(LEFT(P263,5)="AVISO",W263="")," · Captura la cifra total con IVA para el Aviso","")&amp;IF(AND(ISNUMBER(W263),W263&lt;E263)," · ⚠ La cifra con IVA es menor que el monto sin IVA",""),4,400))</f>
        <v/>
      </c>
      <c r="T263" s="21"/>
      <c r="U263" s="20"/>
      <c r="V263" s="9" t="str">
        <f aca="false">IF(LEFT(P263,5)&lt;&gt;"AVISO","",IF(T263="Presentado",IF(AND(ISNUMBER(U263),ISNUMBER(Q263),U263&gt;Q263),"Presentado tarde","Presentado"),IF(NOT(ISNUMBER(Q263)),"Falta fecha",IF(Q263&lt;CONFIG!$B$6,"VENCIDO","Vence en "&amp;(Q263-CONFIG!$B$6)&amp;" días"))))</f>
        <v/>
      </c>
      <c r="W263" s="22"/>
      <c r="X263" s="21"/>
      <c r="AA263" s="0" t="str">
        <f aca="false">IF(AM263="","",INDEX(CATÁLOGO!$D$5:$D$39,AM263))</f>
        <v/>
      </c>
      <c r="AB263" s="0" t="str">
        <f aca="false">IF(AM263="","",INDEX(CATÁLOGO!$E$5:$E$39,AM263))</f>
        <v/>
      </c>
      <c r="AC263" s="0" t="str">
        <f aca="false">IF(AB263="","",IF(ISNUMBER(AB263),AB263*AV263,AB263))</f>
        <v/>
      </c>
      <c r="AD263" s="0" t="str">
        <f aca="false">IF(AM263="","",INDEX(CATÁLOGO!$F$5:$F$39,AM263))</f>
        <v/>
      </c>
      <c r="AE263" s="0" t="str">
        <f aca="false">IF(AD263="","",IF(ISNUMBER(AD263),AD263*AV263,AD263))</f>
        <v/>
      </c>
      <c r="AF263" s="0" t="str">
        <f aca="false">IF(AM263="","",INDEX(CATÁLOGO!$G$5:$G$39,AM263))</f>
        <v/>
      </c>
      <c r="AG263" s="0" t="str">
        <f aca="false">IF(AF263="","",IF(ISNUMBER(AF263),AF263*AV263,AF263))</f>
        <v/>
      </c>
      <c r="AH263" s="0" t="str">
        <f aca="false">IF(E263="","",C263&amp;"|"&amp;D263)</f>
        <v/>
      </c>
      <c r="AI263" s="27" t="n">
        <f aca="false">IF(M263&lt;&gt;"Sí",0,SUMPRODUCT(MAX(($AH$5:AH262=AH263)*($M$5:M262="Sí")*ROW($AH$5:AH262))))</f>
        <v>0</v>
      </c>
      <c r="AJ263" s="0" t="str">
        <f aca="false">IF(M263&lt;&gt;"Sí","",IF(AL263=1,B263,INDEX($AJ:$AJ,AI263)))</f>
        <v/>
      </c>
      <c r="AK263" s="0" t="str">
        <f aca="false">IF(M263&lt;&gt;"Sí","",IF(AL263=1,E263,INDEX($AK:$AK,AI263)+E263))</f>
        <v/>
      </c>
      <c r="AL263" s="0" t="str">
        <f aca="false">IF(M263&lt;&gt;"Sí","",IF(AI263=0,1,IF(INDEX($AN:$AN,AI263)=0,1,IF(B263&gt;=EDATE(INDEX($AJ:$AJ,AI263),6),1,0))))</f>
        <v/>
      </c>
      <c r="AM263" s="0" t="str">
        <f aca="false">IF(D263="","",IFERROR(MATCH(D263,CATÁLOGO!$C$5:$C$39,0),""))</f>
        <v/>
      </c>
      <c r="AN263" s="0" t="str">
        <f aca="false">IF(M263&lt;&gt;"Sí","",IF(AND(ISNUMBER(AE263),AK263&gt;=AE263),0,1))</f>
        <v/>
      </c>
      <c r="AO263" s="0" t="str">
        <f aca="false">IF(OR(E263="",C263="",NOT(ISNUMBER(B263))),"",SUMIFS($E$6:$E$505,$C$6:$C$505,C263,$B$6:$B$505,"&gt;="&amp;DATE(YEAR(B263),MONTH(B263),1),$B$6:$B$505,"&lt;"&amp;DATE(YEAR(B263),MONTH(B263)+1,1)))</f>
        <v/>
      </c>
      <c r="AP263" s="0" t="str">
        <f aca="false">IF(C263="","",IFERROR(INDEX(CLIENTES!$M$6:$M$305,MATCH(C263,CLIENTES!$A$6:$A$305,0)),""))</f>
        <v/>
      </c>
      <c r="AQ263" s="27" t="n">
        <f aca="false">IF(AND(ISNUMBER(AO263),ISNUMBER(AP263)),IF(AND(AP263&gt;0,AO263&gt;AP263),1,0),0)</f>
        <v>0</v>
      </c>
      <c r="AR263" s="27" t="n">
        <f aca="false">IF(NOT(ISNUMBER(B263)),0,IF(B263&lt;MAX($B$5:B262),1,0))</f>
        <v>0</v>
      </c>
      <c r="AS263" s="0" t="str">
        <f aca="false">IF(C263="","",IFERROR(INDEX(CLIENTES!$H$6:$H$305,MATCH(C263,CLIENTES!$A$6:$A$305,0)),""))</f>
        <v/>
      </c>
      <c r="AT263" s="0" t="str">
        <f aca="false">IF(AND(LEFT(P263,5)="AVISO",T263&lt;&gt;"Presentado",ISNUMBER(Q263)),Q263,"")</f>
        <v/>
      </c>
      <c r="AU263" s="27" t="n">
        <f aca="false">IF(AND(D263="XVI - Activos virtuales (PSAV): operación de intercambio/transferencia",M263="Sí",ISNUMBER(AE263)),IF(AK263&gt;=AE263,1,0),0)</f>
        <v>0</v>
      </c>
      <c r="AV263" s="30" t="n">
        <f aca="false">IF(NOT(ISNUMBER(B263)),CONFIG!$B$4,IFERROR(INDEX(CONFIG!$I$5:$I$14,MATCH(IF(MONTH(B263)=1,YEAR(B263)-1,YEAR(B263)),CONFIG!$H$5:$H$14,0)),CONFIG!$B$4))</f>
        <v>117.31</v>
      </c>
      <c r="AW263" s="27" t="n">
        <f aca="false">IF(AND(LEFT(D263,4)="I - ",ISNUMBER(B263),C263&lt;&gt;""),SUMIFS($E$6:$E$505,$C$6:$C$505,C263,$D$6:$D$505,D263,$B$6:$B$505,"&gt;"&amp;(B263-1),$B$6:$B$505,"&lt;="&amp;B263),0)</f>
        <v>0</v>
      </c>
      <c r="AX263" s="0" t="str">
        <f aca="false">IF(E263="","",IF(AD263="Siempre","AVISO (siempre)",IF(AD263="No aplica","Sin Aviso (sólo preparas: Ley 17 XI)",IF(NOT(ISNUMBER(AE263)),"",IF(AA263&lt;&gt;"ACUMULA",IF(E263&gt;=AE263,IF(AND(D263="XVI - Activos virtuales (PSAV): cobro de contraprestación (comisión) por el servicio",COUNTIFS($C$6:$C$505,C263,$B$6:$B$505,"&gt;="&amp;INT(B263),$B$6:$B$505,"&lt;"&amp;(INT(B263)+1),$AU$6:$AU$505,1)&gt;0),"En el Aviso del inciso a) (R 31 Bis)","AVISO"),"—"),IF(M263&lt;&gt;"Sí","—",IF(AK263&gt;=AE263,IF(AK263=E263,"AVISO","AVISO (acumulado)"),"Acumulando")))))))</f>
        <v/>
      </c>
    </row>
    <row r="264" customFormat="false" ht="15" hidden="false" customHeight="false" outlineLevel="0" collapsed="false">
      <c r="A264" s="9" t="str">
        <f aca="false">IF(E264="","",ROW()-5)</f>
        <v/>
      </c>
      <c r="B264" s="20"/>
      <c r="C264" s="21"/>
      <c r="D264" s="21"/>
      <c r="E264" s="22"/>
      <c r="F264" s="22"/>
      <c r="G264" s="21"/>
      <c r="H264" s="21"/>
      <c r="I264" s="9" t="str">
        <f aca="false">IF(C264="","",IFERROR(INDEX(CLIENTES!$B$6:$B$305,MATCH(C264,CLIENTES!$A$6:$A$305,0)),"⚠ ID no registrado"))</f>
        <v/>
      </c>
      <c r="J264" s="9" t="str">
        <f aca="false">IF(C264="","",IFERROR(INDEX(CLIENTES!$Z$6:$Z$305,MATCH(C264,CLIENTES!$A$6:$A$305,0)),""))</f>
        <v/>
      </c>
      <c r="K264" s="9" t="str">
        <f aca="false">IF(E264="","",IF(AB264="Siempre","Sí",IF(ISNUMBER(AC264),IF(E264&gt;=AC264,"Sí",IF(AW264&gt;=AC264,"Sí (serie 24 h)","No")),"")))</f>
        <v/>
      </c>
      <c r="L264" s="9" t="str">
        <f aca="false">IF(E264="","",AA264)</f>
        <v/>
      </c>
      <c r="M264" s="9" t="str">
        <f aca="false">IF(E264="","",IF(AA264&lt;&gt;"ACUMULA","No aplica",IF(LEFT(K264,2)="Sí","Sí","No")))</f>
        <v/>
      </c>
      <c r="N264" s="23" t="str">
        <f aca="false">IF(M264="Sí",AJ264,"")</f>
        <v/>
      </c>
      <c r="O264" s="24" t="str">
        <f aca="false">IF(M264="Sí",AK264,"")</f>
        <v/>
      </c>
      <c r="P264" s="25" t="str">
        <f aca="false">IF(AND(LEFT(D264,6)="XIV - ",LEFT(AX264,5)="AVISO"),"Pedimento (R 16): no va al SPPLD",AX264)</f>
        <v/>
      </c>
      <c r="Q264" s="23" t="str">
        <f aca="false">IF(LEFT(P264,5)="AVISO",IF(ISNUMBER(B264),DATE(YEAR(B264),MONTH(B264)+1,17),"Falta fecha"),"")</f>
        <v/>
      </c>
      <c r="R264" s="9" t="str">
        <f aca="false">IF(OR(F264="",F264=0),"",IF(ISNUMBER(AG264),IF(F264&gt;=AG264,"PROHIBIDO","Dentro del límite"),"No aplica"))</f>
        <v/>
      </c>
      <c r="S264" s="26" t="str">
        <f aca="false">IF(E264="","",MID(IF(AQ264=1," · Excede el perfil declarado","")&amp;IF(H264="Sí"," · Paga un tercero","")&amp;IF(J264="Alto"," · Cliente de riesgo alto: DDR (RCG 23 Ter 3 y 4)","")&amp;IF(AND(AS264&lt;&gt;"",AS264&lt;&gt;"No",AS264&lt;&gt;0)," · PEP","")&amp;IF(R264="PROHIBIDO"," · Efectivo prohibido: no lo recibas (Art. 32)","")&amp;IF(AR264=1," · ⚠ Fecha fuera de orden","")&amp;IF(LEFT(I264,1)="⚠"," · ⚠ Cliente no registrado","")&amp;IF(D264=""," · ⚠ Falta la actividad","")&amp;IF(AND(LEFT(P264,5)="AVISO",W264="")," · Captura la cifra total con IVA para el Aviso","")&amp;IF(AND(ISNUMBER(W264),W264&lt;E264)," · ⚠ La cifra con IVA es menor que el monto sin IVA",""),4,400))</f>
        <v/>
      </c>
      <c r="T264" s="21"/>
      <c r="U264" s="20"/>
      <c r="V264" s="9" t="str">
        <f aca="false">IF(LEFT(P264,5)&lt;&gt;"AVISO","",IF(T264="Presentado",IF(AND(ISNUMBER(U264),ISNUMBER(Q264),U264&gt;Q264),"Presentado tarde","Presentado"),IF(NOT(ISNUMBER(Q264)),"Falta fecha",IF(Q264&lt;CONFIG!$B$6,"VENCIDO","Vence en "&amp;(Q264-CONFIG!$B$6)&amp;" días"))))</f>
        <v/>
      </c>
      <c r="W264" s="22"/>
      <c r="X264" s="21"/>
      <c r="AA264" s="0" t="str">
        <f aca="false">IF(AM264="","",INDEX(CATÁLOGO!$D$5:$D$39,AM264))</f>
        <v/>
      </c>
      <c r="AB264" s="0" t="str">
        <f aca="false">IF(AM264="","",INDEX(CATÁLOGO!$E$5:$E$39,AM264))</f>
        <v/>
      </c>
      <c r="AC264" s="0" t="str">
        <f aca="false">IF(AB264="","",IF(ISNUMBER(AB264),AB264*AV264,AB264))</f>
        <v/>
      </c>
      <c r="AD264" s="0" t="str">
        <f aca="false">IF(AM264="","",INDEX(CATÁLOGO!$F$5:$F$39,AM264))</f>
        <v/>
      </c>
      <c r="AE264" s="0" t="str">
        <f aca="false">IF(AD264="","",IF(ISNUMBER(AD264),AD264*AV264,AD264))</f>
        <v/>
      </c>
      <c r="AF264" s="0" t="str">
        <f aca="false">IF(AM264="","",INDEX(CATÁLOGO!$G$5:$G$39,AM264))</f>
        <v/>
      </c>
      <c r="AG264" s="0" t="str">
        <f aca="false">IF(AF264="","",IF(ISNUMBER(AF264),AF264*AV264,AF264))</f>
        <v/>
      </c>
      <c r="AH264" s="0" t="str">
        <f aca="false">IF(E264="","",C264&amp;"|"&amp;D264)</f>
        <v/>
      </c>
      <c r="AI264" s="27" t="n">
        <f aca="false">IF(M264&lt;&gt;"Sí",0,SUMPRODUCT(MAX(($AH$5:AH263=AH264)*($M$5:M263="Sí")*ROW($AH$5:AH263))))</f>
        <v>0</v>
      </c>
      <c r="AJ264" s="0" t="str">
        <f aca="false">IF(M264&lt;&gt;"Sí","",IF(AL264=1,B264,INDEX($AJ:$AJ,AI264)))</f>
        <v/>
      </c>
      <c r="AK264" s="0" t="str">
        <f aca="false">IF(M264&lt;&gt;"Sí","",IF(AL264=1,E264,INDEX($AK:$AK,AI264)+E264))</f>
        <v/>
      </c>
      <c r="AL264" s="0" t="str">
        <f aca="false">IF(M264&lt;&gt;"Sí","",IF(AI264=0,1,IF(INDEX($AN:$AN,AI264)=0,1,IF(B264&gt;=EDATE(INDEX($AJ:$AJ,AI264),6),1,0))))</f>
        <v/>
      </c>
      <c r="AM264" s="0" t="str">
        <f aca="false">IF(D264="","",IFERROR(MATCH(D264,CATÁLOGO!$C$5:$C$39,0),""))</f>
        <v/>
      </c>
      <c r="AN264" s="0" t="str">
        <f aca="false">IF(M264&lt;&gt;"Sí","",IF(AND(ISNUMBER(AE264),AK264&gt;=AE264),0,1))</f>
        <v/>
      </c>
      <c r="AO264" s="0" t="str">
        <f aca="false">IF(OR(E264="",C264="",NOT(ISNUMBER(B264))),"",SUMIFS($E$6:$E$505,$C$6:$C$505,C264,$B$6:$B$505,"&gt;="&amp;DATE(YEAR(B264),MONTH(B264),1),$B$6:$B$505,"&lt;"&amp;DATE(YEAR(B264),MONTH(B264)+1,1)))</f>
        <v/>
      </c>
      <c r="AP264" s="0" t="str">
        <f aca="false">IF(C264="","",IFERROR(INDEX(CLIENTES!$M$6:$M$305,MATCH(C264,CLIENTES!$A$6:$A$305,0)),""))</f>
        <v/>
      </c>
      <c r="AQ264" s="27" t="n">
        <f aca="false">IF(AND(ISNUMBER(AO264),ISNUMBER(AP264)),IF(AND(AP264&gt;0,AO264&gt;AP264),1,0),0)</f>
        <v>0</v>
      </c>
      <c r="AR264" s="27" t="n">
        <f aca="false">IF(NOT(ISNUMBER(B264)),0,IF(B264&lt;MAX($B$5:B263),1,0))</f>
        <v>0</v>
      </c>
      <c r="AS264" s="0" t="str">
        <f aca="false">IF(C264="","",IFERROR(INDEX(CLIENTES!$H$6:$H$305,MATCH(C264,CLIENTES!$A$6:$A$305,0)),""))</f>
        <v/>
      </c>
      <c r="AT264" s="0" t="str">
        <f aca="false">IF(AND(LEFT(P264,5)="AVISO",T264&lt;&gt;"Presentado",ISNUMBER(Q264)),Q264,"")</f>
        <v/>
      </c>
      <c r="AU264" s="27" t="n">
        <f aca="false">IF(AND(D264="XVI - Activos virtuales (PSAV): operación de intercambio/transferencia",M264="Sí",ISNUMBER(AE264)),IF(AK264&gt;=AE264,1,0),0)</f>
        <v>0</v>
      </c>
      <c r="AV264" s="30" t="n">
        <f aca="false">IF(NOT(ISNUMBER(B264)),CONFIG!$B$4,IFERROR(INDEX(CONFIG!$I$5:$I$14,MATCH(IF(MONTH(B264)=1,YEAR(B264)-1,YEAR(B264)),CONFIG!$H$5:$H$14,0)),CONFIG!$B$4))</f>
        <v>117.31</v>
      </c>
      <c r="AW264" s="27" t="n">
        <f aca="false">IF(AND(LEFT(D264,4)="I - ",ISNUMBER(B264),C264&lt;&gt;""),SUMIFS($E$6:$E$505,$C$6:$C$505,C264,$D$6:$D$505,D264,$B$6:$B$505,"&gt;"&amp;(B264-1),$B$6:$B$505,"&lt;="&amp;B264),0)</f>
        <v>0</v>
      </c>
      <c r="AX264" s="0" t="str">
        <f aca="false">IF(E264="","",IF(AD264="Siempre","AVISO (siempre)",IF(AD264="No aplica","Sin Aviso (sólo preparas: Ley 17 XI)",IF(NOT(ISNUMBER(AE264)),"",IF(AA264&lt;&gt;"ACUMULA",IF(E264&gt;=AE264,IF(AND(D264="XVI - Activos virtuales (PSAV): cobro de contraprestación (comisión) por el servicio",COUNTIFS($C$6:$C$505,C264,$B$6:$B$505,"&gt;="&amp;INT(B264),$B$6:$B$505,"&lt;"&amp;(INT(B264)+1),$AU$6:$AU$505,1)&gt;0),"En el Aviso del inciso a) (R 31 Bis)","AVISO"),"—"),IF(M264&lt;&gt;"Sí","—",IF(AK264&gt;=AE264,IF(AK264=E264,"AVISO","AVISO (acumulado)"),"Acumulando")))))))</f>
        <v/>
      </c>
    </row>
    <row r="265" customFormat="false" ht="15" hidden="false" customHeight="false" outlineLevel="0" collapsed="false">
      <c r="A265" s="9" t="str">
        <f aca="false">IF(E265="","",ROW()-5)</f>
        <v/>
      </c>
      <c r="B265" s="20"/>
      <c r="C265" s="21"/>
      <c r="D265" s="21"/>
      <c r="E265" s="22"/>
      <c r="F265" s="22"/>
      <c r="G265" s="21"/>
      <c r="H265" s="21"/>
      <c r="I265" s="9" t="str">
        <f aca="false">IF(C265="","",IFERROR(INDEX(CLIENTES!$B$6:$B$305,MATCH(C265,CLIENTES!$A$6:$A$305,0)),"⚠ ID no registrado"))</f>
        <v/>
      </c>
      <c r="J265" s="9" t="str">
        <f aca="false">IF(C265="","",IFERROR(INDEX(CLIENTES!$Z$6:$Z$305,MATCH(C265,CLIENTES!$A$6:$A$305,0)),""))</f>
        <v/>
      </c>
      <c r="K265" s="9" t="str">
        <f aca="false">IF(E265="","",IF(AB265="Siempre","Sí",IF(ISNUMBER(AC265),IF(E265&gt;=AC265,"Sí",IF(AW265&gt;=AC265,"Sí (serie 24 h)","No")),"")))</f>
        <v/>
      </c>
      <c r="L265" s="9" t="str">
        <f aca="false">IF(E265="","",AA265)</f>
        <v/>
      </c>
      <c r="M265" s="9" t="str">
        <f aca="false">IF(E265="","",IF(AA265&lt;&gt;"ACUMULA","No aplica",IF(LEFT(K265,2)="Sí","Sí","No")))</f>
        <v/>
      </c>
      <c r="N265" s="23" t="str">
        <f aca="false">IF(M265="Sí",AJ265,"")</f>
        <v/>
      </c>
      <c r="O265" s="24" t="str">
        <f aca="false">IF(M265="Sí",AK265,"")</f>
        <v/>
      </c>
      <c r="P265" s="25" t="str">
        <f aca="false">IF(AND(LEFT(D265,6)="XIV - ",LEFT(AX265,5)="AVISO"),"Pedimento (R 16): no va al SPPLD",AX265)</f>
        <v/>
      </c>
      <c r="Q265" s="23" t="str">
        <f aca="false">IF(LEFT(P265,5)="AVISO",IF(ISNUMBER(B265),DATE(YEAR(B265),MONTH(B265)+1,17),"Falta fecha"),"")</f>
        <v/>
      </c>
      <c r="R265" s="9" t="str">
        <f aca="false">IF(OR(F265="",F265=0),"",IF(ISNUMBER(AG265),IF(F265&gt;=AG265,"PROHIBIDO","Dentro del límite"),"No aplica"))</f>
        <v/>
      </c>
      <c r="S265" s="26" t="str">
        <f aca="false">IF(E265="","",MID(IF(AQ265=1," · Excede el perfil declarado","")&amp;IF(H265="Sí"," · Paga un tercero","")&amp;IF(J265="Alto"," · Cliente de riesgo alto: DDR (RCG 23 Ter 3 y 4)","")&amp;IF(AND(AS265&lt;&gt;"",AS265&lt;&gt;"No",AS265&lt;&gt;0)," · PEP","")&amp;IF(R265="PROHIBIDO"," · Efectivo prohibido: no lo recibas (Art. 32)","")&amp;IF(AR265=1," · ⚠ Fecha fuera de orden","")&amp;IF(LEFT(I265,1)="⚠"," · ⚠ Cliente no registrado","")&amp;IF(D265=""," · ⚠ Falta la actividad","")&amp;IF(AND(LEFT(P265,5)="AVISO",W265="")," · Captura la cifra total con IVA para el Aviso","")&amp;IF(AND(ISNUMBER(W265),W265&lt;E265)," · ⚠ La cifra con IVA es menor que el monto sin IVA",""),4,400))</f>
        <v/>
      </c>
      <c r="T265" s="21"/>
      <c r="U265" s="20"/>
      <c r="V265" s="9" t="str">
        <f aca="false">IF(LEFT(P265,5)&lt;&gt;"AVISO","",IF(T265="Presentado",IF(AND(ISNUMBER(U265),ISNUMBER(Q265),U265&gt;Q265),"Presentado tarde","Presentado"),IF(NOT(ISNUMBER(Q265)),"Falta fecha",IF(Q265&lt;CONFIG!$B$6,"VENCIDO","Vence en "&amp;(Q265-CONFIG!$B$6)&amp;" días"))))</f>
        <v/>
      </c>
      <c r="W265" s="22"/>
      <c r="X265" s="21"/>
      <c r="AA265" s="0" t="str">
        <f aca="false">IF(AM265="","",INDEX(CATÁLOGO!$D$5:$D$39,AM265))</f>
        <v/>
      </c>
      <c r="AB265" s="0" t="str">
        <f aca="false">IF(AM265="","",INDEX(CATÁLOGO!$E$5:$E$39,AM265))</f>
        <v/>
      </c>
      <c r="AC265" s="0" t="str">
        <f aca="false">IF(AB265="","",IF(ISNUMBER(AB265),AB265*AV265,AB265))</f>
        <v/>
      </c>
      <c r="AD265" s="0" t="str">
        <f aca="false">IF(AM265="","",INDEX(CATÁLOGO!$F$5:$F$39,AM265))</f>
        <v/>
      </c>
      <c r="AE265" s="0" t="str">
        <f aca="false">IF(AD265="","",IF(ISNUMBER(AD265),AD265*AV265,AD265))</f>
        <v/>
      </c>
      <c r="AF265" s="0" t="str">
        <f aca="false">IF(AM265="","",INDEX(CATÁLOGO!$G$5:$G$39,AM265))</f>
        <v/>
      </c>
      <c r="AG265" s="0" t="str">
        <f aca="false">IF(AF265="","",IF(ISNUMBER(AF265),AF265*AV265,AF265))</f>
        <v/>
      </c>
      <c r="AH265" s="0" t="str">
        <f aca="false">IF(E265="","",C265&amp;"|"&amp;D265)</f>
        <v/>
      </c>
      <c r="AI265" s="27" t="n">
        <f aca="false">IF(M265&lt;&gt;"Sí",0,SUMPRODUCT(MAX(($AH$5:AH264=AH265)*($M$5:M264="Sí")*ROW($AH$5:AH264))))</f>
        <v>0</v>
      </c>
      <c r="AJ265" s="0" t="str">
        <f aca="false">IF(M265&lt;&gt;"Sí","",IF(AL265=1,B265,INDEX($AJ:$AJ,AI265)))</f>
        <v/>
      </c>
      <c r="AK265" s="0" t="str">
        <f aca="false">IF(M265&lt;&gt;"Sí","",IF(AL265=1,E265,INDEX($AK:$AK,AI265)+E265))</f>
        <v/>
      </c>
      <c r="AL265" s="0" t="str">
        <f aca="false">IF(M265&lt;&gt;"Sí","",IF(AI265=0,1,IF(INDEX($AN:$AN,AI265)=0,1,IF(B265&gt;=EDATE(INDEX($AJ:$AJ,AI265),6),1,0))))</f>
        <v/>
      </c>
      <c r="AM265" s="0" t="str">
        <f aca="false">IF(D265="","",IFERROR(MATCH(D265,CATÁLOGO!$C$5:$C$39,0),""))</f>
        <v/>
      </c>
      <c r="AN265" s="0" t="str">
        <f aca="false">IF(M265&lt;&gt;"Sí","",IF(AND(ISNUMBER(AE265),AK265&gt;=AE265),0,1))</f>
        <v/>
      </c>
      <c r="AO265" s="0" t="str">
        <f aca="false">IF(OR(E265="",C265="",NOT(ISNUMBER(B265))),"",SUMIFS($E$6:$E$505,$C$6:$C$505,C265,$B$6:$B$505,"&gt;="&amp;DATE(YEAR(B265),MONTH(B265),1),$B$6:$B$505,"&lt;"&amp;DATE(YEAR(B265),MONTH(B265)+1,1)))</f>
        <v/>
      </c>
      <c r="AP265" s="0" t="str">
        <f aca="false">IF(C265="","",IFERROR(INDEX(CLIENTES!$M$6:$M$305,MATCH(C265,CLIENTES!$A$6:$A$305,0)),""))</f>
        <v/>
      </c>
      <c r="AQ265" s="27" t="n">
        <f aca="false">IF(AND(ISNUMBER(AO265),ISNUMBER(AP265)),IF(AND(AP265&gt;0,AO265&gt;AP265),1,0),0)</f>
        <v>0</v>
      </c>
      <c r="AR265" s="27" t="n">
        <f aca="false">IF(NOT(ISNUMBER(B265)),0,IF(B265&lt;MAX($B$5:B264),1,0))</f>
        <v>0</v>
      </c>
      <c r="AS265" s="0" t="str">
        <f aca="false">IF(C265="","",IFERROR(INDEX(CLIENTES!$H$6:$H$305,MATCH(C265,CLIENTES!$A$6:$A$305,0)),""))</f>
        <v/>
      </c>
      <c r="AT265" s="0" t="str">
        <f aca="false">IF(AND(LEFT(P265,5)="AVISO",T265&lt;&gt;"Presentado",ISNUMBER(Q265)),Q265,"")</f>
        <v/>
      </c>
      <c r="AU265" s="27" t="n">
        <f aca="false">IF(AND(D265="XVI - Activos virtuales (PSAV): operación de intercambio/transferencia",M265="Sí",ISNUMBER(AE265)),IF(AK265&gt;=AE265,1,0),0)</f>
        <v>0</v>
      </c>
      <c r="AV265" s="30" t="n">
        <f aca="false">IF(NOT(ISNUMBER(B265)),CONFIG!$B$4,IFERROR(INDEX(CONFIG!$I$5:$I$14,MATCH(IF(MONTH(B265)=1,YEAR(B265)-1,YEAR(B265)),CONFIG!$H$5:$H$14,0)),CONFIG!$B$4))</f>
        <v>117.31</v>
      </c>
      <c r="AW265" s="27" t="n">
        <f aca="false">IF(AND(LEFT(D265,4)="I - ",ISNUMBER(B265),C265&lt;&gt;""),SUMIFS($E$6:$E$505,$C$6:$C$505,C265,$D$6:$D$505,D265,$B$6:$B$505,"&gt;"&amp;(B265-1),$B$6:$B$505,"&lt;="&amp;B265),0)</f>
        <v>0</v>
      </c>
      <c r="AX265" s="0" t="str">
        <f aca="false">IF(E265="","",IF(AD265="Siempre","AVISO (siempre)",IF(AD265="No aplica","Sin Aviso (sólo preparas: Ley 17 XI)",IF(NOT(ISNUMBER(AE265)),"",IF(AA265&lt;&gt;"ACUMULA",IF(E265&gt;=AE265,IF(AND(D265="XVI - Activos virtuales (PSAV): cobro de contraprestación (comisión) por el servicio",COUNTIFS($C$6:$C$505,C265,$B$6:$B$505,"&gt;="&amp;INT(B265),$B$6:$B$505,"&lt;"&amp;(INT(B265)+1),$AU$6:$AU$505,1)&gt;0),"En el Aviso del inciso a) (R 31 Bis)","AVISO"),"—"),IF(M265&lt;&gt;"Sí","—",IF(AK265&gt;=AE265,IF(AK265=E265,"AVISO","AVISO (acumulado)"),"Acumulando")))))))</f>
        <v/>
      </c>
    </row>
    <row r="266" customFormat="false" ht="15" hidden="false" customHeight="false" outlineLevel="0" collapsed="false">
      <c r="A266" s="9" t="str">
        <f aca="false">IF(E266="","",ROW()-5)</f>
        <v/>
      </c>
      <c r="B266" s="20"/>
      <c r="C266" s="21"/>
      <c r="D266" s="21"/>
      <c r="E266" s="22"/>
      <c r="F266" s="22"/>
      <c r="G266" s="21"/>
      <c r="H266" s="21"/>
      <c r="I266" s="9" t="str">
        <f aca="false">IF(C266="","",IFERROR(INDEX(CLIENTES!$B$6:$B$305,MATCH(C266,CLIENTES!$A$6:$A$305,0)),"⚠ ID no registrado"))</f>
        <v/>
      </c>
      <c r="J266" s="9" t="str">
        <f aca="false">IF(C266="","",IFERROR(INDEX(CLIENTES!$Z$6:$Z$305,MATCH(C266,CLIENTES!$A$6:$A$305,0)),""))</f>
        <v/>
      </c>
      <c r="K266" s="9" t="str">
        <f aca="false">IF(E266="","",IF(AB266="Siempre","Sí",IF(ISNUMBER(AC266),IF(E266&gt;=AC266,"Sí",IF(AW266&gt;=AC266,"Sí (serie 24 h)","No")),"")))</f>
        <v/>
      </c>
      <c r="L266" s="9" t="str">
        <f aca="false">IF(E266="","",AA266)</f>
        <v/>
      </c>
      <c r="M266" s="9" t="str">
        <f aca="false">IF(E266="","",IF(AA266&lt;&gt;"ACUMULA","No aplica",IF(LEFT(K266,2)="Sí","Sí","No")))</f>
        <v/>
      </c>
      <c r="N266" s="23" t="str">
        <f aca="false">IF(M266="Sí",AJ266,"")</f>
        <v/>
      </c>
      <c r="O266" s="24" t="str">
        <f aca="false">IF(M266="Sí",AK266,"")</f>
        <v/>
      </c>
      <c r="P266" s="25" t="str">
        <f aca="false">IF(AND(LEFT(D266,6)="XIV - ",LEFT(AX266,5)="AVISO"),"Pedimento (R 16): no va al SPPLD",AX266)</f>
        <v/>
      </c>
      <c r="Q266" s="23" t="str">
        <f aca="false">IF(LEFT(P266,5)="AVISO",IF(ISNUMBER(B266),DATE(YEAR(B266),MONTH(B266)+1,17),"Falta fecha"),"")</f>
        <v/>
      </c>
      <c r="R266" s="9" t="str">
        <f aca="false">IF(OR(F266="",F266=0),"",IF(ISNUMBER(AG266),IF(F266&gt;=AG266,"PROHIBIDO","Dentro del límite"),"No aplica"))</f>
        <v/>
      </c>
      <c r="S266" s="26" t="str">
        <f aca="false">IF(E266="","",MID(IF(AQ266=1," · Excede el perfil declarado","")&amp;IF(H266="Sí"," · Paga un tercero","")&amp;IF(J266="Alto"," · Cliente de riesgo alto: DDR (RCG 23 Ter 3 y 4)","")&amp;IF(AND(AS266&lt;&gt;"",AS266&lt;&gt;"No",AS266&lt;&gt;0)," · PEP","")&amp;IF(R266="PROHIBIDO"," · Efectivo prohibido: no lo recibas (Art. 32)","")&amp;IF(AR266=1," · ⚠ Fecha fuera de orden","")&amp;IF(LEFT(I266,1)="⚠"," · ⚠ Cliente no registrado","")&amp;IF(D266=""," · ⚠ Falta la actividad","")&amp;IF(AND(LEFT(P266,5)="AVISO",W266="")," · Captura la cifra total con IVA para el Aviso","")&amp;IF(AND(ISNUMBER(W266),W266&lt;E266)," · ⚠ La cifra con IVA es menor que el monto sin IVA",""),4,400))</f>
        <v/>
      </c>
      <c r="T266" s="21"/>
      <c r="U266" s="20"/>
      <c r="V266" s="9" t="str">
        <f aca="false">IF(LEFT(P266,5)&lt;&gt;"AVISO","",IF(T266="Presentado",IF(AND(ISNUMBER(U266),ISNUMBER(Q266),U266&gt;Q266),"Presentado tarde","Presentado"),IF(NOT(ISNUMBER(Q266)),"Falta fecha",IF(Q266&lt;CONFIG!$B$6,"VENCIDO","Vence en "&amp;(Q266-CONFIG!$B$6)&amp;" días"))))</f>
        <v/>
      </c>
      <c r="W266" s="22"/>
      <c r="X266" s="21"/>
      <c r="AA266" s="0" t="str">
        <f aca="false">IF(AM266="","",INDEX(CATÁLOGO!$D$5:$D$39,AM266))</f>
        <v/>
      </c>
      <c r="AB266" s="0" t="str">
        <f aca="false">IF(AM266="","",INDEX(CATÁLOGO!$E$5:$E$39,AM266))</f>
        <v/>
      </c>
      <c r="AC266" s="0" t="str">
        <f aca="false">IF(AB266="","",IF(ISNUMBER(AB266),AB266*AV266,AB266))</f>
        <v/>
      </c>
      <c r="AD266" s="0" t="str">
        <f aca="false">IF(AM266="","",INDEX(CATÁLOGO!$F$5:$F$39,AM266))</f>
        <v/>
      </c>
      <c r="AE266" s="0" t="str">
        <f aca="false">IF(AD266="","",IF(ISNUMBER(AD266),AD266*AV266,AD266))</f>
        <v/>
      </c>
      <c r="AF266" s="0" t="str">
        <f aca="false">IF(AM266="","",INDEX(CATÁLOGO!$G$5:$G$39,AM266))</f>
        <v/>
      </c>
      <c r="AG266" s="0" t="str">
        <f aca="false">IF(AF266="","",IF(ISNUMBER(AF266),AF266*AV266,AF266))</f>
        <v/>
      </c>
      <c r="AH266" s="0" t="str">
        <f aca="false">IF(E266="","",C266&amp;"|"&amp;D266)</f>
        <v/>
      </c>
      <c r="AI266" s="27" t="n">
        <f aca="false">IF(M266&lt;&gt;"Sí",0,SUMPRODUCT(MAX(($AH$5:AH265=AH266)*($M$5:M265="Sí")*ROW($AH$5:AH265))))</f>
        <v>0</v>
      </c>
      <c r="AJ266" s="0" t="str">
        <f aca="false">IF(M266&lt;&gt;"Sí","",IF(AL266=1,B266,INDEX($AJ:$AJ,AI266)))</f>
        <v/>
      </c>
      <c r="AK266" s="0" t="str">
        <f aca="false">IF(M266&lt;&gt;"Sí","",IF(AL266=1,E266,INDEX($AK:$AK,AI266)+E266))</f>
        <v/>
      </c>
      <c r="AL266" s="0" t="str">
        <f aca="false">IF(M266&lt;&gt;"Sí","",IF(AI266=0,1,IF(INDEX($AN:$AN,AI266)=0,1,IF(B266&gt;=EDATE(INDEX($AJ:$AJ,AI266),6),1,0))))</f>
        <v/>
      </c>
      <c r="AM266" s="0" t="str">
        <f aca="false">IF(D266="","",IFERROR(MATCH(D266,CATÁLOGO!$C$5:$C$39,0),""))</f>
        <v/>
      </c>
      <c r="AN266" s="0" t="str">
        <f aca="false">IF(M266&lt;&gt;"Sí","",IF(AND(ISNUMBER(AE266),AK266&gt;=AE266),0,1))</f>
        <v/>
      </c>
      <c r="AO266" s="0" t="str">
        <f aca="false">IF(OR(E266="",C266="",NOT(ISNUMBER(B266))),"",SUMIFS($E$6:$E$505,$C$6:$C$505,C266,$B$6:$B$505,"&gt;="&amp;DATE(YEAR(B266),MONTH(B266),1),$B$6:$B$505,"&lt;"&amp;DATE(YEAR(B266),MONTH(B266)+1,1)))</f>
        <v/>
      </c>
      <c r="AP266" s="0" t="str">
        <f aca="false">IF(C266="","",IFERROR(INDEX(CLIENTES!$M$6:$M$305,MATCH(C266,CLIENTES!$A$6:$A$305,0)),""))</f>
        <v/>
      </c>
      <c r="AQ266" s="27" t="n">
        <f aca="false">IF(AND(ISNUMBER(AO266),ISNUMBER(AP266)),IF(AND(AP266&gt;0,AO266&gt;AP266),1,0),0)</f>
        <v>0</v>
      </c>
      <c r="AR266" s="27" t="n">
        <f aca="false">IF(NOT(ISNUMBER(B266)),0,IF(B266&lt;MAX($B$5:B265),1,0))</f>
        <v>0</v>
      </c>
      <c r="AS266" s="0" t="str">
        <f aca="false">IF(C266="","",IFERROR(INDEX(CLIENTES!$H$6:$H$305,MATCH(C266,CLIENTES!$A$6:$A$305,0)),""))</f>
        <v/>
      </c>
      <c r="AT266" s="0" t="str">
        <f aca="false">IF(AND(LEFT(P266,5)="AVISO",T266&lt;&gt;"Presentado",ISNUMBER(Q266)),Q266,"")</f>
        <v/>
      </c>
      <c r="AU266" s="27" t="n">
        <f aca="false">IF(AND(D266="XVI - Activos virtuales (PSAV): operación de intercambio/transferencia",M266="Sí",ISNUMBER(AE266)),IF(AK266&gt;=AE266,1,0),0)</f>
        <v>0</v>
      </c>
      <c r="AV266" s="30" t="n">
        <f aca="false">IF(NOT(ISNUMBER(B266)),CONFIG!$B$4,IFERROR(INDEX(CONFIG!$I$5:$I$14,MATCH(IF(MONTH(B266)=1,YEAR(B266)-1,YEAR(B266)),CONFIG!$H$5:$H$14,0)),CONFIG!$B$4))</f>
        <v>117.31</v>
      </c>
      <c r="AW266" s="27" t="n">
        <f aca="false">IF(AND(LEFT(D266,4)="I - ",ISNUMBER(B266),C266&lt;&gt;""),SUMIFS($E$6:$E$505,$C$6:$C$505,C266,$D$6:$D$505,D266,$B$6:$B$505,"&gt;"&amp;(B266-1),$B$6:$B$505,"&lt;="&amp;B266),0)</f>
        <v>0</v>
      </c>
      <c r="AX266" s="0" t="str">
        <f aca="false">IF(E266="","",IF(AD266="Siempre","AVISO (siempre)",IF(AD266="No aplica","Sin Aviso (sólo preparas: Ley 17 XI)",IF(NOT(ISNUMBER(AE266)),"",IF(AA266&lt;&gt;"ACUMULA",IF(E266&gt;=AE266,IF(AND(D266="XVI - Activos virtuales (PSAV): cobro de contraprestación (comisión) por el servicio",COUNTIFS($C$6:$C$505,C266,$B$6:$B$505,"&gt;="&amp;INT(B266),$B$6:$B$505,"&lt;"&amp;(INT(B266)+1),$AU$6:$AU$505,1)&gt;0),"En el Aviso del inciso a) (R 31 Bis)","AVISO"),"—"),IF(M266&lt;&gt;"Sí","—",IF(AK266&gt;=AE266,IF(AK266=E266,"AVISO","AVISO (acumulado)"),"Acumulando")))))))</f>
        <v/>
      </c>
    </row>
    <row r="267" customFormat="false" ht="15" hidden="false" customHeight="false" outlineLevel="0" collapsed="false">
      <c r="A267" s="9" t="str">
        <f aca="false">IF(E267="","",ROW()-5)</f>
        <v/>
      </c>
      <c r="B267" s="20"/>
      <c r="C267" s="21"/>
      <c r="D267" s="21"/>
      <c r="E267" s="22"/>
      <c r="F267" s="22"/>
      <c r="G267" s="21"/>
      <c r="H267" s="21"/>
      <c r="I267" s="9" t="str">
        <f aca="false">IF(C267="","",IFERROR(INDEX(CLIENTES!$B$6:$B$305,MATCH(C267,CLIENTES!$A$6:$A$305,0)),"⚠ ID no registrado"))</f>
        <v/>
      </c>
      <c r="J267" s="9" t="str">
        <f aca="false">IF(C267="","",IFERROR(INDEX(CLIENTES!$Z$6:$Z$305,MATCH(C267,CLIENTES!$A$6:$A$305,0)),""))</f>
        <v/>
      </c>
      <c r="K267" s="9" t="str">
        <f aca="false">IF(E267="","",IF(AB267="Siempre","Sí",IF(ISNUMBER(AC267),IF(E267&gt;=AC267,"Sí",IF(AW267&gt;=AC267,"Sí (serie 24 h)","No")),"")))</f>
        <v/>
      </c>
      <c r="L267" s="9" t="str">
        <f aca="false">IF(E267="","",AA267)</f>
        <v/>
      </c>
      <c r="M267" s="9" t="str">
        <f aca="false">IF(E267="","",IF(AA267&lt;&gt;"ACUMULA","No aplica",IF(LEFT(K267,2)="Sí","Sí","No")))</f>
        <v/>
      </c>
      <c r="N267" s="23" t="str">
        <f aca="false">IF(M267="Sí",AJ267,"")</f>
        <v/>
      </c>
      <c r="O267" s="24" t="str">
        <f aca="false">IF(M267="Sí",AK267,"")</f>
        <v/>
      </c>
      <c r="P267" s="25" t="str">
        <f aca="false">IF(AND(LEFT(D267,6)="XIV - ",LEFT(AX267,5)="AVISO"),"Pedimento (R 16): no va al SPPLD",AX267)</f>
        <v/>
      </c>
      <c r="Q267" s="23" t="str">
        <f aca="false">IF(LEFT(P267,5)="AVISO",IF(ISNUMBER(B267),DATE(YEAR(B267),MONTH(B267)+1,17),"Falta fecha"),"")</f>
        <v/>
      </c>
      <c r="R267" s="9" t="str">
        <f aca="false">IF(OR(F267="",F267=0),"",IF(ISNUMBER(AG267),IF(F267&gt;=AG267,"PROHIBIDO","Dentro del límite"),"No aplica"))</f>
        <v/>
      </c>
      <c r="S267" s="26" t="str">
        <f aca="false">IF(E267="","",MID(IF(AQ267=1," · Excede el perfil declarado","")&amp;IF(H267="Sí"," · Paga un tercero","")&amp;IF(J267="Alto"," · Cliente de riesgo alto: DDR (RCG 23 Ter 3 y 4)","")&amp;IF(AND(AS267&lt;&gt;"",AS267&lt;&gt;"No",AS267&lt;&gt;0)," · PEP","")&amp;IF(R267="PROHIBIDO"," · Efectivo prohibido: no lo recibas (Art. 32)","")&amp;IF(AR267=1," · ⚠ Fecha fuera de orden","")&amp;IF(LEFT(I267,1)="⚠"," · ⚠ Cliente no registrado","")&amp;IF(D267=""," · ⚠ Falta la actividad","")&amp;IF(AND(LEFT(P267,5)="AVISO",W267="")," · Captura la cifra total con IVA para el Aviso","")&amp;IF(AND(ISNUMBER(W267),W267&lt;E267)," · ⚠ La cifra con IVA es menor que el monto sin IVA",""),4,400))</f>
        <v/>
      </c>
      <c r="T267" s="21"/>
      <c r="U267" s="20"/>
      <c r="V267" s="9" t="str">
        <f aca="false">IF(LEFT(P267,5)&lt;&gt;"AVISO","",IF(T267="Presentado",IF(AND(ISNUMBER(U267),ISNUMBER(Q267),U267&gt;Q267),"Presentado tarde","Presentado"),IF(NOT(ISNUMBER(Q267)),"Falta fecha",IF(Q267&lt;CONFIG!$B$6,"VENCIDO","Vence en "&amp;(Q267-CONFIG!$B$6)&amp;" días"))))</f>
        <v/>
      </c>
      <c r="W267" s="22"/>
      <c r="X267" s="21"/>
      <c r="AA267" s="0" t="str">
        <f aca="false">IF(AM267="","",INDEX(CATÁLOGO!$D$5:$D$39,AM267))</f>
        <v/>
      </c>
      <c r="AB267" s="0" t="str">
        <f aca="false">IF(AM267="","",INDEX(CATÁLOGO!$E$5:$E$39,AM267))</f>
        <v/>
      </c>
      <c r="AC267" s="0" t="str">
        <f aca="false">IF(AB267="","",IF(ISNUMBER(AB267),AB267*AV267,AB267))</f>
        <v/>
      </c>
      <c r="AD267" s="0" t="str">
        <f aca="false">IF(AM267="","",INDEX(CATÁLOGO!$F$5:$F$39,AM267))</f>
        <v/>
      </c>
      <c r="AE267" s="0" t="str">
        <f aca="false">IF(AD267="","",IF(ISNUMBER(AD267),AD267*AV267,AD267))</f>
        <v/>
      </c>
      <c r="AF267" s="0" t="str">
        <f aca="false">IF(AM267="","",INDEX(CATÁLOGO!$G$5:$G$39,AM267))</f>
        <v/>
      </c>
      <c r="AG267" s="0" t="str">
        <f aca="false">IF(AF267="","",IF(ISNUMBER(AF267),AF267*AV267,AF267))</f>
        <v/>
      </c>
      <c r="AH267" s="0" t="str">
        <f aca="false">IF(E267="","",C267&amp;"|"&amp;D267)</f>
        <v/>
      </c>
      <c r="AI267" s="27" t="n">
        <f aca="false">IF(M267&lt;&gt;"Sí",0,SUMPRODUCT(MAX(($AH$5:AH266=AH267)*($M$5:M266="Sí")*ROW($AH$5:AH266))))</f>
        <v>0</v>
      </c>
      <c r="AJ267" s="0" t="str">
        <f aca="false">IF(M267&lt;&gt;"Sí","",IF(AL267=1,B267,INDEX($AJ:$AJ,AI267)))</f>
        <v/>
      </c>
      <c r="AK267" s="0" t="str">
        <f aca="false">IF(M267&lt;&gt;"Sí","",IF(AL267=1,E267,INDEX($AK:$AK,AI267)+E267))</f>
        <v/>
      </c>
      <c r="AL267" s="0" t="str">
        <f aca="false">IF(M267&lt;&gt;"Sí","",IF(AI267=0,1,IF(INDEX($AN:$AN,AI267)=0,1,IF(B267&gt;=EDATE(INDEX($AJ:$AJ,AI267),6),1,0))))</f>
        <v/>
      </c>
      <c r="AM267" s="0" t="str">
        <f aca="false">IF(D267="","",IFERROR(MATCH(D267,CATÁLOGO!$C$5:$C$39,0),""))</f>
        <v/>
      </c>
      <c r="AN267" s="0" t="str">
        <f aca="false">IF(M267&lt;&gt;"Sí","",IF(AND(ISNUMBER(AE267),AK267&gt;=AE267),0,1))</f>
        <v/>
      </c>
      <c r="AO267" s="0" t="str">
        <f aca="false">IF(OR(E267="",C267="",NOT(ISNUMBER(B267))),"",SUMIFS($E$6:$E$505,$C$6:$C$505,C267,$B$6:$B$505,"&gt;="&amp;DATE(YEAR(B267),MONTH(B267),1),$B$6:$B$505,"&lt;"&amp;DATE(YEAR(B267),MONTH(B267)+1,1)))</f>
        <v/>
      </c>
      <c r="AP267" s="0" t="str">
        <f aca="false">IF(C267="","",IFERROR(INDEX(CLIENTES!$M$6:$M$305,MATCH(C267,CLIENTES!$A$6:$A$305,0)),""))</f>
        <v/>
      </c>
      <c r="AQ267" s="27" t="n">
        <f aca="false">IF(AND(ISNUMBER(AO267),ISNUMBER(AP267)),IF(AND(AP267&gt;0,AO267&gt;AP267),1,0),0)</f>
        <v>0</v>
      </c>
      <c r="AR267" s="27" t="n">
        <f aca="false">IF(NOT(ISNUMBER(B267)),0,IF(B267&lt;MAX($B$5:B266),1,0))</f>
        <v>0</v>
      </c>
      <c r="AS267" s="0" t="str">
        <f aca="false">IF(C267="","",IFERROR(INDEX(CLIENTES!$H$6:$H$305,MATCH(C267,CLIENTES!$A$6:$A$305,0)),""))</f>
        <v/>
      </c>
      <c r="AT267" s="0" t="str">
        <f aca="false">IF(AND(LEFT(P267,5)="AVISO",T267&lt;&gt;"Presentado",ISNUMBER(Q267)),Q267,"")</f>
        <v/>
      </c>
      <c r="AU267" s="27" t="n">
        <f aca="false">IF(AND(D267="XVI - Activos virtuales (PSAV): operación de intercambio/transferencia",M267="Sí",ISNUMBER(AE267)),IF(AK267&gt;=AE267,1,0),0)</f>
        <v>0</v>
      </c>
      <c r="AV267" s="30" t="n">
        <f aca="false">IF(NOT(ISNUMBER(B267)),CONFIG!$B$4,IFERROR(INDEX(CONFIG!$I$5:$I$14,MATCH(IF(MONTH(B267)=1,YEAR(B267)-1,YEAR(B267)),CONFIG!$H$5:$H$14,0)),CONFIG!$B$4))</f>
        <v>117.31</v>
      </c>
      <c r="AW267" s="27" t="n">
        <f aca="false">IF(AND(LEFT(D267,4)="I - ",ISNUMBER(B267),C267&lt;&gt;""),SUMIFS($E$6:$E$505,$C$6:$C$505,C267,$D$6:$D$505,D267,$B$6:$B$505,"&gt;"&amp;(B267-1),$B$6:$B$505,"&lt;="&amp;B267),0)</f>
        <v>0</v>
      </c>
      <c r="AX267" s="0" t="str">
        <f aca="false">IF(E267="","",IF(AD267="Siempre","AVISO (siempre)",IF(AD267="No aplica","Sin Aviso (sólo preparas: Ley 17 XI)",IF(NOT(ISNUMBER(AE267)),"",IF(AA267&lt;&gt;"ACUMULA",IF(E267&gt;=AE267,IF(AND(D267="XVI - Activos virtuales (PSAV): cobro de contraprestación (comisión) por el servicio",COUNTIFS($C$6:$C$505,C267,$B$6:$B$505,"&gt;="&amp;INT(B267),$B$6:$B$505,"&lt;"&amp;(INT(B267)+1),$AU$6:$AU$505,1)&gt;0),"En el Aviso del inciso a) (R 31 Bis)","AVISO"),"—"),IF(M267&lt;&gt;"Sí","—",IF(AK267&gt;=AE267,IF(AK267=E267,"AVISO","AVISO (acumulado)"),"Acumulando")))))))</f>
        <v/>
      </c>
    </row>
    <row r="268" customFormat="false" ht="15" hidden="false" customHeight="false" outlineLevel="0" collapsed="false">
      <c r="A268" s="9" t="str">
        <f aca="false">IF(E268="","",ROW()-5)</f>
        <v/>
      </c>
      <c r="B268" s="20"/>
      <c r="C268" s="21"/>
      <c r="D268" s="21"/>
      <c r="E268" s="22"/>
      <c r="F268" s="22"/>
      <c r="G268" s="21"/>
      <c r="H268" s="21"/>
      <c r="I268" s="9" t="str">
        <f aca="false">IF(C268="","",IFERROR(INDEX(CLIENTES!$B$6:$B$305,MATCH(C268,CLIENTES!$A$6:$A$305,0)),"⚠ ID no registrado"))</f>
        <v/>
      </c>
      <c r="J268" s="9" t="str">
        <f aca="false">IF(C268="","",IFERROR(INDEX(CLIENTES!$Z$6:$Z$305,MATCH(C268,CLIENTES!$A$6:$A$305,0)),""))</f>
        <v/>
      </c>
      <c r="K268" s="9" t="str">
        <f aca="false">IF(E268="","",IF(AB268="Siempre","Sí",IF(ISNUMBER(AC268),IF(E268&gt;=AC268,"Sí",IF(AW268&gt;=AC268,"Sí (serie 24 h)","No")),"")))</f>
        <v/>
      </c>
      <c r="L268" s="9" t="str">
        <f aca="false">IF(E268="","",AA268)</f>
        <v/>
      </c>
      <c r="M268" s="9" t="str">
        <f aca="false">IF(E268="","",IF(AA268&lt;&gt;"ACUMULA","No aplica",IF(LEFT(K268,2)="Sí","Sí","No")))</f>
        <v/>
      </c>
      <c r="N268" s="23" t="str">
        <f aca="false">IF(M268="Sí",AJ268,"")</f>
        <v/>
      </c>
      <c r="O268" s="24" t="str">
        <f aca="false">IF(M268="Sí",AK268,"")</f>
        <v/>
      </c>
      <c r="P268" s="25" t="str">
        <f aca="false">IF(AND(LEFT(D268,6)="XIV - ",LEFT(AX268,5)="AVISO"),"Pedimento (R 16): no va al SPPLD",AX268)</f>
        <v/>
      </c>
      <c r="Q268" s="23" t="str">
        <f aca="false">IF(LEFT(P268,5)="AVISO",IF(ISNUMBER(B268),DATE(YEAR(B268),MONTH(B268)+1,17),"Falta fecha"),"")</f>
        <v/>
      </c>
      <c r="R268" s="9" t="str">
        <f aca="false">IF(OR(F268="",F268=0),"",IF(ISNUMBER(AG268),IF(F268&gt;=AG268,"PROHIBIDO","Dentro del límite"),"No aplica"))</f>
        <v/>
      </c>
      <c r="S268" s="26" t="str">
        <f aca="false">IF(E268="","",MID(IF(AQ268=1," · Excede el perfil declarado","")&amp;IF(H268="Sí"," · Paga un tercero","")&amp;IF(J268="Alto"," · Cliente de riesgo alto: DDR (RCG 23 Ter 3 y 4)","")&amp;IF(AND(AS268&lt;&gt;"",AS268&lt;&gt;"No",AS268&lt;&gt;0)," · PEP","")&amp;IF(R268="PROHIBIDO"," · Efectivo prohibido: no lo recibas (Art. 32)","")&amp;IF(AR268=1," · ⚠ Fecha fuera de orden","")&amp;IF(LEFT(I268,1)="⚠"," · ⚠ Cliente no registrado","")&amp;IF(D268=""," · ⚠ Falta la actividad","")&amp;IF(AND(LEFT(P268,5)="AVISO",W268="")," · Captura la cifra total con IVA para el Aviso","")&amp;IF(AND(ISNUMBER(W268),W268&lt;E268)," · ⚠ La cifra con IVA es menor que el monto sin IVA",""),4,400))</f>
        <v/>
      </c>
      <c r="T268" s="21"/>
      <c r="U268" s="20"/>
      <c r="V268" s="9" t="str">
        <f aca="false">IF(LEFT(P268,5)&lt;&gt;"AVISO","",IF(T268="Presentado",IF(AND(ISNUMBER(U268),ISNUMBER(Q268),U268&gt;Q268),"Presentado tarde","Presentado"),IF(NOT(ISNUMBER(Q268)),"Falta fecha",IF(Q268&lt;CONFIG!$B$6,"VENCIDO","Vence en "&amp;(Q268-CONFIG!$B$6)&amp;" días"))))</f>
        <v/>
      </c>
      <c r="W268" s="22"/>
      <c r="X268" s="21"/>
      <c r="AA268" s="0" t="str">
        <f aca="false">IF(AM268="","",INDEX(CATÁLOGO!$D$5:$D$39,AM268))</f>
        <v/>
      </c>
      <c r="AB268" s="0" t="str">
        <f aca="false">IF(AM268="","",INDEX(CATÁLOGO!$E$5:$E$39,AM268))</f>
        <v/>
      </c>
      <c r="AC268" s="0" t="str">
        <f aca="false">IF(AB268="","",IF(ISNUMBER(AB268),AB268*AV268,AB268))</f>
        <v/>
      </c>
      <c r="AD268" s="0" t="str">
        <f aca="false">IF(AM268="","",INDEX(CATÁLOGO!$F$5:$F$39,AM268))</f>
        <v/>
      </c>
      <c r="AE268" s="0" t="str">
        <f aca="false">IF(AD268="","",IF(ISNUMBER(AD268),AD268*AV268,AD268))</f>
        <v/>
      </c>
      <c r="AF268" s="0" t="str">
        <f aca="false">IF(AM268="","",INDEX(CATÁLOGO!$G$5:$G$39,AM268))</f>
        <v/>
      </c>
      <c r="AG268" s="0" t="str">
        <f aca="false">IF(AF268="","",IF(ISNUMBER(AF268),AF268*AV268,AF268))</f>
        <v/>
      </c>
      <c r="AH268" s="0" t="str">
        <f aca="false">IF(E268="","",C268&amp;"|"&amp;D268)</f>
        <v/>
      </c>
      <c r="AI268" s="27" t="n">
        <f aca="false">IF(M268&lt;&gt;"Sí",0,SUMPRODUCT(MAX(($AH$5:AH267=AH268)*($M$5:M267="Sí")*ROW($AH$5:AH267))))</f>
        <v>0</v>
      </c>
      <c r="AJ268" s="0" t="str">
        <f aca="false">IF(M268&lt;&gt;"Sí","",IF(AL268=1,B268,INDEX($AJ:$AJ,AI268)))</f>
        <v/>
      </c>
      <c r="AK268" s="0" t="str">
        <f aca="false">IF(M268&lt;&gt;"Sí","",IF(AL268=1,E268,INDEX($AK:$AK,AI268)+E268))</f>
        <v/>
      </c>
      <c r="AL268" s="0" t="str">
        <f aca="false">IF(M268&lt;&gt;"Sí","",IF(AI268=0,1,IF(INDEX($AN:$AN,AI268)=0,1,IF(B268&gt;=EDATE(INDEX($AJ:$AJ,AI268),6),1,0))))</f>
        <v/>
      </c>
      <c r="AM268" s="0" t="str">
        <f aca="false">IF(D268="","",IFERROR(MATCH(D268,CATÁLOGO!$C$5:$C$39,0),""))</f>
        <v/>
      </c>
      <c r="AN268" s="0" t="str">
        <f aca="false">IF(M268&lt;&gt;"Sí","",IF(AND(ISNUMBER(AE268),AK268&gt;=AE268),0,1))</f>
        <v/>
      </c>
      <c r="AO268" s="0" t="str">
        <f aca="false">IF(OR(E268="",C268="",NOT(ISNUMBER(B268))),"",SUMIFS($E$6:$E$505,$C$6:$C$505,C268,$B$6:$B$505,"&gt;="&amp;DATE(YEAR(B268),MONTH(B268),1),$B$6:$B$505,"&lt;"&amp;DATE(YEAR(B268),MONTH(B268)+1,1)))</f>
        <v/>
      </c>
      <c r="AP268" s="0" t="str">
        <f aca="false">IF(C268="","",IFERROR(INDEX(CLIENTES!$M$6:$M$305,MATCH(C268,CLIENTES!$A$6:$A$305,0)),""))</f>
        <v/>
      </c>
      <c r="AQ268" s="27" t="n">
        <f aca="false">IF(AND(ISNUMBER(AO268),ISNUMBER(AP268)),IF(AND(AP268&gt;0,AO268&gt;AP268),1,0),0)</f>
        <v>0</v>
      </c>
      <c r="AR268" s="27" t="n">
        <f aca="false">IF(NOT(ISNUMBER(B268)),0,IF(B268&lt;MAX($B$5:B267),1,0))</f>
        <v>0</v>
      </c>
      <c r="AS268" s="0" t="str">
        <f aca="false">IF(C268="","",IFERROR(INDEX(CLIENTES!$H$6:$H$305,MATCH(C268,CLIENTES!$A$6:$A$305,0)),""))</f>
        <v/>
      </c>
      <c r="AT268" s="0" t="str">
        <f aca="false">IF(AND(LEFT(P268,5)="AVISO",T268&lt;&gt;"Presentado",ISNUMBER(Q268)),Q268,"")</f>
        <v/>
      </c>
      <c r="AU268" s="27" t="n">
        <f aca="false">IF(AND(D268="XVI - Activos virtuales (PSAV): operación de intercambio/transferencia",M268="Sí",ISNUMBER(AE268)),IF(AK268&gt;=AE268,1,0),0)</f>
        <v>0</v>
      </c>
      <c r="AV268" s="30" t="n">
        <f aca="false">IF(NOT(ISNUMBER(B268)),CONFIG!$B$4,IFERROR(INDEX(CONFIG!$I$5:$I$14,MATCH(IF(MONTH(B268)=1,YEAR(B268)-1,YEAR(B268)),CONFIG!$H$5:$H$14,0)),CONFIG!$B$4))</f>
        <v>117.31</v>
      </c>
      <c r="AW268" s="27" t="n">
        <f aca="false">IF(AND(LEFT(D268,4)="I - ",ISNUMBER(B268),C268&lt;&gt;""),SUMIFS($E$6:$E$505,$C$6:$C$505,C268,$D$6:$D$505,D268,$B$6:$B$505,"&gt;"&amp;(B268-1),$B$6:$B$505,"&lt;="&amp;B268),0)</f>
        <v>0</v>
      </c>
      <c r="AX268" s="0" t="str">
        <f aca="false">IF(E268="","",IF(AD268="Siempre","AVISO (siempre)",IF(AD268="No aplica","Sin Aviso (sólo preparas: Ley 17 XI)",IF(NOT(ISNUMBER(AE268)),"",IF(AA268&lt;&gt;"ACUMULA",IF(E268&gt;=AE268,IF(AND(D268="XVI - Activos virtuales (PSAV): cobro de contraprestación (comisión) por el servicio",COUNTIFS($C$6:$C$505,C268,$B$6:$B$505,"&gt;="&amp;INT(B268),$B$6:$B$505,"&lt;"&amp;(INT(B268)+1),$AU$6:$AU$505,1)&gt;0),"En el Aviso del inciso a) (R 31 Bis)","AVISO"),"—"),IF(M268&lt;&gt;"Sí","—",IF(AK268&gt;=AE268,IF(AK268=E268,"AVISO","AVISO (acumulado)"),"Acumulando")))))))</f>
        <v/>
      </c>
    </row>
    <row r="269" customFormat="false" ht="15" hidden="false" customHeight="false" outlineLevel="0" collapsed="false">
      <c r="A269" s="9" t="str">
        <f aca="false">IF(E269="","",ROW()-5)</f>
        <v/>
      </c>
      <c r="B269" s="20"/>
      <c r="C269" s="21"/>
      <c r="D269" s="21"/>
      <c r="E269" s="22"/>
      <c r="F269" s="22"/>
      <c r="G269" s="21"/>
      <c r="H269" s="21"/>
      <c r="I269" s="9" t="str">
        <f aca="false">IF(C269="","",IFERROR(INDEX(CLIENTES!$B$6:$B$305,MATCH(C269,CLIENTES!$A$6:$A$305,0)),"⚠ ID no registrado"))</f>
        <v/>
      </c>
      <c r="J269" s="9" t="str">
        <f aca="false">IF(C269="","",IFERROR(INDEX(CLIENTES!$Z$6:$Z$305,MATCH(C269,CLIENTES!$A$6:$A$305,0)),""))</f>
        <v/>
      </c>
      <c r="K269" s="9" t="str">
        <f aca="false">IF(E269="","",IF(AB269="Siempre","Sí",IF(ISNUMBER(AC269),IF(E269&gt;=AC269,"Sí",IF(AW269&gt;=AC269,"Sí (serie 24 h)","No")),"")))</f>
        <v/>
      </c>
      <c r="L269" s="9" t="str">
        <f aca="false">IF(E269="","",AA269)</f>
        <v/>
      </c>
      <c r="M269" s="9" t="str">
        <f aca="false">IF(E269="","",IF(AA269&lt;&gt;"ACUMULA","No aplica",IF(LEFT(K269,2)="Sí","Sí","No")))</f>
        <v/>
      </c>
      <c r="N269" s="23" t="str">
        <f aca="false">IF(M269="Sí",AJ269,"")</f>
        <v/>
      </c>
      <c r="O269" s="24" t="str">
        <f aca="false">IF(M269="Sí",AK269,"")</f>
        <v/>
      </c>
      <c r="P269" s="25" t="str">
        <f aca="false">IF(AND(LEFT(D269,6)="XIV - ",LEFT(AX269,5)="AVISO"),"Pedimento (R 16): no va al SPPLD",AX269)</f>
        <v/>
      </c>
      <c r="Q269" s="23" t="str">
        <f aca="false">IF(LEFT(P269,5)="AVISO",IF(ISNUMBER(B269),DATE(YEAR(B269),MONTH(B269)+1,17),"Falta fecha"),"")</f>
        <v/>
      </c>
      <c r="R269" s="9" t="str">
        <f aca="false">IF(OR(F269="",F269=0),"",IF(ISNUMBER(AG269),IF(F269&gt;=AG269,"PROHIBIDO","Dentro del límite"),"No aplica"))</f>
        <v/>
      </c>
      <c r="S269" s="26" t="str">
        <f aca="false">IF(E269="","",MID(IF(AQ269=1," · Excede el perfil declarado","")&amp;IF(H269="Sí"," · Paga un tercero","")&amp;IF(J269="Alto"," · Cliente de riesgo alto: DDR (RCG 23 Ter 3 y 4)","")&amp;IF(AND(AS269&lt;&gt;"",AS269&lt;&gt;"No",AS269&lt;&gt;0)," · PEP","")&amp;IF(R269="PROHIBIDO"," · Efectivo prohibido: no lo recibas (Art. 32)","")&amp;IF(AR269=1," · ⚠ Fecha fuera de orden","")&amp;IF(LEFT(I269,1)="⚠"," · ⚠ Cliente no registrado","")&amp;IF(D269=""," · ⚠ Falta la actividad","")&amp;IF(AND(LEFT(P269,5)="AVISO",W269="")," · Captura la cifra total con IVA para el Aviso","")&amp;IF(AND(ISNUMBER(W269),W269&lt;E269)," · ⚠ La cifra con IVA es menor que el monto sin IVA",""),4,400))</f>
        <v/>
      </c>
      <c r="T269" s="21"/>
      <c r="U269" s="20"/>
      <c r="V269" s="9" t="str">
        <f aca="false">IF(LEFT(P269,5)&lt;&gt;"AVISO","",IF(T269="Presentado",IF(AND(ISNUMBER(U269),ISNUMBER(Q269),U269&gt;Q269),"Presentado tarde","Presentado"),IF(NOT(ISNUMBER(Q269)),"Falta fecha",IF(Q269&lt;CONFIG!$B$6,"VENCIDO","Vence en "&amp;(Q269-CONFIG!$B$6)&amp;" días"))))</f>
        <v/>
      </c>
      <c r="W269" s="22"/>
      <c r="X269" s="21"/>
      <c r="AA269" s="0" t="str">
        <f aca="false">IF(AM269="","",INDEX(CATÁLOGO!$D$5:$D$39,AM269))</f>
        <v/>
      </c>
      <c r="AB269" s="0" t="str">
        <f aca="false">IF(AM269="","",INDEX(CATÁLOGO!$E$5:$E$39,AM269))</f>
        <v/>
      </c>
      <c r="AC269" s="0" t="str">
        <f aca="false">IF(AB269="","",IF(ISNUMBER(AB269),AB269*AV269,AB269))</f>
        <v/>
      </c>
      <c r="AD269" s="0" t="str">
        <f aca="false">IF(AM269="","",INDEX(CATÁLOGO!$F$5:$F$39,AM269))</f>
        <v/>
      </c>
      <c r="AE269" s="0" t="str">
        <f aca="false">IF(AD269="","",IF(ISNUMBER(AD269),AD269*AV269,AD269))</f>
        <v/>
      </c>
      <c r="AF269" s="0" t="str">
        <f aca="false">IF(AM269="","",INDEX(CATÁLOGO!$G$5:$G$39,AM269))</f>
        <v/>
      </c>
      <c r="AG269" s="0" t="str">
        <f aca="false">IF(AF269="","",IF(ISNUMBER(AF269),AF269*AV269,AF269))</f>
        <v/>
      </c>
      <c r="AH269" s="0" t="str">
        <f aca="false">IF(E269="","",C269&amp;"|"&amp;D269)</f>
        <v/>
      </c>
      <c r="AI269" s="27" t="n">
        <f aca="false">IF(M269&lt;&gt;"Sí",0,SUMPRODUCT(MAX(($AH$5:AH268=AH269)*($M$5:M268="Sí")*ROW($AH$5:AH268))))</f>
        <v>0</v>
      </c>
      <c r="AJ269" s="0" t="str">
        <f aca="false">IF(M269&lt;&gt;"Sí","",IF(AL269=1,B269,INDEX($AJ:$AJ,AI269)))</f>
        <v/>
      </c>
      <c r="AK269" s="0" t="str">
        <f aca="false">IF(M269&lt;&gt;"Sí","",IF(AL269=1,E269,INDEX($AK:$AK,AI269)+E269))</f>
        <v/>
      </c>
      <c r="AL269" s="0" t="str">
        <f aca="false">IF(M269&lt;&gt;"Sí","",IF(AI269=0,1,IF(INDEX($AN:$AN,AI269)=0,1,IF(B269&gt;=EDATE(INDEX($AJ:$AJ,AI269),6),1,0))))</f>
        <v/>
      </c>
      <c r="AM269" s="0" t="str">
        <f aca="false">IF(D269="","",IFERROR(MATCH(D269,CATÁLOGO!$C$5:$C$39,0),""))</f>
        <v/>
      </c>
      <c r="AN269" s="0" t="str">
        <f aca="false">IF(M269&lt;&gt;"Sí","",IF(AND(ISNUMBER(AE269),AK269&gt;=AE269),0,1))</f>
        <v/>
      </c>
      <c r="AO269" s="0" t="str">
        <f aca="false">IF(OR(E269="",C269="",NOT(ISNUMBER(B269))),"",SUMIFS($E$6:$E$505,$C$6:$C$505,C269,$B$6:$B$505,"&gt;="&amp;DATE(YEAR(B269),MONTH(B269),1),$B$6:$B$505,"&lt;"&amp;DATE(YEAR(B269),MONTH(B269)+1,1)))</f>
        <v/>
      </c>
      <c r="AP269" s="0" t="str">
        <f aca="false">IF(C269="","",IFERROR(INDEX(CLIENTES!$M$6:$M$305,MATCH(C269,CLIENTES!$A$6:$A$305,0)),""))</f>
        <v/>
      </c>
      <c r="AQ269" s="27" t="n">
        <f aca="false">IF(AND(ISNUMBER(AO269),ISNUMBER(AP269)),IF(AND(AP269&gt;0,AO269&gt;AP269),1,0),0)</f>
        <v>0</v>
      </c>
      <c r="AR269" s="27" t="n">
        <f aca="false">IF(NOT(ISNUMBER(B269)),0,IF(B269&lt;MAX($B$5:B268),1,0))</f>
        <v>0</v>
      </c>
      <c r="AS269" s="0" t="str">
        <f aca="false">IF(C269="","",IFERROR(INDEX(CLIENTES!$H$6:$H$305,MATCH(C269,CLIENTES!$A$6:$A$305,0)),""))</f>
        <v/>
      </c>
      <c r="AT269" s="0" t="str">
        <f aca="false">IF(AND(LEFT(P269,5)="AVISO",T269&lt;&gt;"Presentado",ISNUMBER(Q269)),Q269,"")</f>
        <v/>
      </c>
      <c r="AU269" s="27" t="n">
        <f aca="false">IF(AND(D269="XVI - Activos virtuales (PSAV): operación de intercambio/transferencia",M269="Sí",ISNUMBER(AE269)),IF(AK269&gt;=AE269,1,0),0)</f>
        <v>0</v>
      </c>
      <c r="AV269" s="30" t="n">
        <f aca="false">IF(NOT(ISNUMBER(B269)),CONFIG!$B$4,IFERROR(INDEX(CONFIG!$I$5:$I$14,MATCH(IF(MONTH(B269)=1,YEAR(B269)-1,YEAR(B269)),CONFIG!$H$5:$H$14,0)),CONFIG!$B$4))</f>
        <v>117.31</v>
      </c>
      <c r="AW269" s="27" t="n">
        <f aca="false">IF(AND(LEFT(D269,4)="I - ",ISNUMBER(B269),C269&lt;&gt;""),SUMIFS($E$6:$E$505,$C$6:$C$505,C269,$D$6:$D$505,D269,$B$6:$B$505,"&gt;"&amp;(B269-1),$B$6:$B$505,"&lt;="&amp;B269),0)</f>
        <v>0</v>
      </c>
      <c r="AX269" s="0" t="str">
        <f aca="false">IF(E269="","",IF(AD269="Siempre","AVISO (siempre)",IF(AD269="No aplica","Sin Aviso (sólo preparas: Ley 17 XI)",IF(NOT(ISNUMBER(AE269)),"",IF(AA269&lt;&gt;"ACUMULA",IF(E269&gt;=AE269,IF(AND(D269="XVI - Activos virtuales (PSAV): cobro de contraprestación (comisión) por el servicio",COUNTIFS($C$6:$C$505,C269,$B$6:$B$505,"&gt;="&amp;INT(B269),$B$6:$B$505,"&lt;"&amp;(INT(B269)+1),$AU$6:$AU$505,1)&gt;0),"En el Aviso del inciso a) (R 31 Bis)","AVISO"),"—"),IF(M269&lt;&gt;"Sí","—",IF(AK269&gt;=AE269,IF(AK269=E269,"AVISO","AVISO (acumulado)"),"Acumulando")))))))</f>
        <v/>
      </c>
    </row>
    <row r="270" customFormat="false" ht="15" hidden="false" customHeight="false" outlineLevel="0" collapsed="false">
      <c r="A270" s="9" t="str">
        <f aca="false">IF(E270="","",ROW()-5)</f>
        <v/>
      </c>
      <c r="B270" s="20"/>
      <c r="C270" s="21"/>
      <c r="D270" s="21"/>
      <c r="E270" s="22"/>
      <c r="F270" s="22"/>
      <c r="G270" s="21"/>
      <c r="H270" s="21"/>
      <c r="I270" s="9" t="str">
        <f aca="false">IF(C270="","",IFERROR(INDEX(CLIENTES!$B$6:$B$305,MATCH(C270,CLIENTES!$A$6:$A$305,0)),"⚠ ID no registrado"))</f>
        <v/>
      </c>
      <c r="J270" s="9" t="str">
        <f aca="false">IF(C270="","",IFERROR(INDEX(CLIENTES!$Z$6:$Z$305,MATCH(C270,CLIENTES!$A$6:$A$305,0)),""))</f>
        <v/>
      </c>
      <c r="K270" s="9" t="str">
        <f aca="false">IF(E270="","",IF(AB270="Siempre","Sí",IF(ISNUMBER(AC270),IF(E270&gt;=AC270,"Sí",IF(AW270&gt;=AC270,"Sí (serie 24 h)","No")),"")))</f>
        <v/>
      </c>
      <c r="L270" s="9" t="str">
        <f aca="false">IF(E270="","",AA270)</f>
        <v/>
      </c>
      <c r="M270" s="9" t="str">
        <f aca="false">IF(E270="","",IF(AA270&lt;&gt;"ACUMULA","No aplica",IF(LEFT(K270,2)="Sí","Sí","No")))</f>
        <v/>
      </c>
      <c r="N270" s="23" t="str">
        <f aca="false">IF(M270="Sí",AJ270,"")</f>
        <v/>
      </c>
      <c r="O270" s="24" t="str">
        <f aca="false">IF(M270="Sí",AK270,"")</f>
        <v/>
      </c>
      <c r="P270" s="25" t="str">
        <f aca="false">IF(AND(LEFT(D270,6)="XIV - ",LEFT(AX270,5)="AVISO"),"Pedimento (R 16): no va al SPPLD",AX270)</f>
        <v/>
      </c>
      <c r="Q270" s="23" t="str">
        <f aca="false">IF(LEFT(P270,5)="AVISO",IF(ISNUMBER(B270),DATE(YEAR(B270),MONTH(B270)+1,17),"Falta fecha"),"")</f>
        <v/>
      </c>
      <c r="R270" s="9" t="str">
        <f aca="false">IF(OR(F270="",F270=0),"",IF(ISNUMBER(AG270),IF(F270&gt;=AG270,"PROHIBIDO","Dentro del límite"),"No aplica"))</f>
        <v/>
      </c>
      <c r="S270" s="26" t="str">
        <f aca="false">IF(E270="","",MID(IF(AQ270=1," · Excede el perfil declarado","")&amp;IF(H270="Sí"," · Paga un tercero","")&amp;IF(J270="Alto"," · Cliente de riesgo alto: DDR (RCG 23 Ter 3 y 4)","")&amp;IF(AND(AS270&lt;&gt;"",AS270&lt;&gt;"No",AS270&lt;&gt;0)," · PEP","")&amp;IF(R270="PROHIBIDO"," · Efectivo prohibido: no lo recibas (Art. 32)","")&amp;IF(AR270=1," · ⚠ Fecha fuera de orden","")&amp;IF(LEFT(I270,1)="⚠"," · ⚠ Cliente no registrado","")&amp;IF(D270=""," · ⚠ Falta la actividad","")&amp;IF(AND(LEFT(P270,5)="AVISO",W270="")," · Captura la cifra total con IVA para el Aviso","")&amp;IF(AND(ISNUMBER(W270),W270&lt;E270)," · ⚠ La cifra con IVA es menor que el monto sin IVA",""),4,400))</f>
        <v/>
      </c>
      <c r="T270" s="21"/>
      <c r="U270" s="20"/>
      <c r="V270" s="9" t="str">
        <f aca="false">IF(LEFT(P270,5)&lt;&gt;"AVISO","",IF(T270="Presentado",IF(AND(ISNUMBER(U270),ISNUMBER(Q270),U270&gt;Q270),"Presentado tarde","Presentado"),IF(NOT(ISNUMBER(Q270)),"Falta fecha",IF(Q270&lt;CONFIG!$B$6,"VENCIDO","Vence en "&amp;(Q270-CONFIG!$B$6)&amp;" días"))))</f>
        <v/>
      </c>
      <c r="W270" s="22"/>
      <c r="X270" s="21"/>
      <c r="AA270" s="0" t="str">
        <f aca="false">IF(AM270="","",INDEX(CATÁLOGO!$D$5:$D$39,AM270))</f>
        <v/>
      </c>
      <c r="AB270" s="0" t="str">
        <f aca="false">IF(AM270="","",INDEX(CATÁLOGO!$E$5:$E$39,AM270))</f>
        <v/>
      </c>
      <c r="AC270" s="0" t="str">
        <f aca="false">IF(AB270="","",IF(ISNUMBER(AB270),AB270*AV270,AB270))</f>
        <v/>
      </c>
      <c r="AD270" s="0" t="str">
        <f aca="false">IF(AM270="","",INDEX(CATÁLOGO!$F$5:$F$39,AM270))</f>
        <v/>
      </c>
      <c r="AE270" s="0" t="str">
        <f aca="false">IF(AD270="","",IF(ISNUMBER(AD270),AD270*AV270,AD270))</f>
        <v/>
      </c>
      <c r="AF270" s="0" t="str">
        <f aca="false">IF(AM270="","",INDEX(CATÁLOGO!$G$5:$G$39,AM270))</f>
        <v/>
      </c>
      <c r="AG270" s="0" t="str">
        <f aca="false">IF(AF270="","",IF(ISNUMBER(AF270),AF270*AV270,AF270))</f>
        <v/>
      </c>
      <c r="AH270" s="0" t="str">
        <f aca="false">IF(E270="","",C270&amp;"|"&amp;D270)</f>
        <v/>
      </c>
      <c r="AI270" s="27" t="n">
        <f aca="false">IF(M270&lt;&gt;"Sí",0,SUMPRODUCT(MAX(($AH$5:AH269=AH270)*($M$5:M269="Sí")*ROW($AH$5:AH269))))</f>
        <v>0</v>
      </c>
      <c r="AJ270" s="0" t="str">
        <f aca="false">IF(M270&lt;&gt;"Sí","",IF(AL270=1,B270,INDEX($AJ:$AJ,AI270)))</f>
        <v/>
      </c>
      <c r="AK270" s="0" t="str">
        <f aca="false">IF(M270&lt;&gt;"Sí","",IF(AL270=1,E270,INDEX($AK:$AK,AI270)+E270))</f>
        <v/>
      </c>
      <c r="AL270" s="0" t="str">
        <f aca="false">IF(M270&lt;&gt;"Sí","",IF(AI270=0,1,IF(INDEX($AN:$AN,AI270)=0,1,IF(B270&gt;=EDATE(INDEX($AJ:$AJ,AI270),6),1,0))))</f>
        <v/>
      </c>
      <c r="AM270" s="0" t="str">
        <f aca="false">IF(D270="","",IFERROR(MATCH(D270,CATÁLOGO!$C$5:$C$39,0),""))</f>
        <v/>
      </c>
      <c r="AN270" s="0" t="str">
        <f aca="false">IF(M270&lt;&gt;"Sí","",IF(AND(ISNUMBER(AE270),AK270&gt;=AE270),0,1))</f>
        <v/>
      </c>
      <c r="AO270" s="0" t="str">
        <f aca="false">IF(OR(E270="",C270="",NOT(ISNUMBER(B270))),"",SUMIFS($E$6:$E$505,$C$6:$C$505,C270,$B$6:$B$505,"&gt;="&amp;DATE(YEAR(B270),MONTH(B270),1),$B$6:$B$505,"&lt;"&amp;DATE(YEAR(B270),MONTH(B270)+1,1)))</f>
        <v/>
      </c>
      <c r="AP270" s="0" t="str">
        <f aca="false">IF(C270="","",IFERROR(INDEX(CLIENTES!$M$6:$M$305,MATCH(C270,CLIENTES!$A$6:$A$305,0)),""))</f>
        <v/>
      </c>
      <c r="AQ270" s="27" t="n">
        <f aca="false">IF(AND(ISNUMBER(AO270),ISNUMBER(AP270)),IF(AND(AP270&gt;0,AO270&gt;AP270),1,0),0)</f>
        <v>0</v>
      </c>
      <c r="AR270" s="27" t="n">
        <f aca="false">IF(NOT(ISNUMBER(B270)),0,IF(B270&lt;MAX($B$5:B269),1,0))</f>
        <v>0</v>
      </c>
      <c r="AS270" s="0" t="str">
        <f aca="false">IF(C270="","",IFERROR(INDEX(CLIENTES!$H$6:$H$305,MATCH(C270,CLIENTES!$A$6:$A$305,0)),""))</f>
        <v/>
      </c>
      <c r="AT270" s="0" t="str">
        <f aca="false">IF(AND(LEFT(P270,5)="AVISO",T270&lt;&gt;"Presentado",ISNUMBER(Q270)),Q270,"")</f>
        <v/>
      </c>
      <c r="AU270" s="27" t="n">
        <f aca="false">IF(AND(D270="XVI - Activos virtuales (PSAV): operación de intercambio/transferencia",M270="Sí",ISNUMBER(AE270)),IF(AK270&gt;=AE270,1,0),0)</f>
        <v>0</v>
      </c>
      <c r="AV270" s="30" t="n">
        <f aca="false">IF(NOT(ISNUMBER(B270)),CONFIG!$B$4,IFERROR(INDEX(CONFIG!$I$5:$I$14,MATCH(IF(MONTH(B270)=1,YEAR(B270)-1,YEAR(B270)),CONFIG!$H$5:$H$14,0)),CONFIG!$B$4))</f>
        <v>117.31</v>
      </c>
      <c r="AW270" s="27" t="n">
        <f aca="false">IF(AND(LEFT(D270,4)="I - ",ISNUMBER(B270),C270&lt;&gt;""),SUMIFS($E$6:$E$505,$C$6:$C$505,C270,$D$6:$D$505,D270,$B$6:$B$505,"&gt;"&amp;(B270-1),$B$6:$B$505,"&lt;="&amp;B270),0)</f>
        <v>0</v>
      </c>
      <c r="AX270" s="0" t="str">
        <f aca="false">IF(E270="","",IF(AD270="Siempre","AVISO (siempre)",IF(AD270="No aplica","Sin Aviso (sólo preparas: Ley 17 XI)",IF(NOT(ISNUMBER(AE270)),"",IF(AA270&lt;&gt;"ACUMULA",IF(E270&gt;=AE270,IF(AND(D270="XVI - Activos virtuales (PSAV): cobro de contraprestación (comisión) por el servicio",COUNTIFS($C$6:$C$505,C270,$B$6:$B$505,"&gt;="&amp;INT(B270),$B$6:$B$505,"&lt;"&amp;(INT(B270)+1),$AU$6:$AU$505,1)&gt;0),"En el Aviso del inciso a) (R 31 Bis)","AVISO"),"—"),IF(M270&lt;&gt;"Sí","—",IF(AK270&gt;=AE270,IF(AK270=E270,"AVISO","AVISO (acumulado)"),"Acumulando")))))))</f>
        <v/>
      </c>
    </row>
    <row r="271" customFormat="false" ht="15" hidden="false" customHeight="false" outlineLevel="0" collapsed="false">
      <c r="A271" s="9" t="str">
        <f aca="false">IF(E271="","",ROW()-5)</f>
        <v/>
      </c>
      <c r="B271" s="20"/>
      <c r="C271" s="21"/>
      <c r="D271" s="21"/>
      <c r="E271" s="22"/>
      <c r="F271" s="22"/>
      <c r="G271" s="21"/>
      <c r="H271" s="21"/>
      <c r="I271" s="9" t="str">
        <f aca="false">IF(C271="","",IFERROR(INDEX(CLIENTES!$B$6:$B$305,MATCH(C271,CLIENTES!$A$6:$A$305,0)),"⚠ ID no registrado"))</f>
        <v/>
      </c>
      <c r="J271" s="9" t="str">
        <f aca="false">IF(C271="","",IFERROR(INDEX(CLIENTES!$Z$6:$Z$305,MATCH(C271,CLIENTES!$A$6:$A$305,0)),""))</f>
        <v/>
      </c>
      <c r="K271" s="9" t="str">
        <f aca="false">IF(E271="","",IF(AB271="Siempre","Sí",IF(ISNUMBER(AC271),IF(E271&gt;=AC271,"Sí",IF(AW271&gt;=AC271,"Sí (serie 24 h)","No")),"")))</f>
        <v/>
      </c>
      <c r="L271" s="9" t="str">
        <f aca="false">IF(E271="","",AA271)</f>
        <v/>
      </c>
      <c r="M271" s="9" t="str">
        <f aca="false">IF(E271="","",IF(AA271&lt;&gt;"ACUMULA","No aplica",IF(LEFT(K271,2)="Sí","Sí","No")))</f>
        <v/>
      </c>
      <c r="N271" s="23" t="str">
        <f aca="false">IF(M271="Sí",AJ271,"")</f>
        <v/>
      </c>
      <c r="O271" s="24" t="str">
        <f aca="false">IF(M271="Sí",AK271,"")</f>
        <v/>
      </c>
      <c r="P271" s="25" t="str">
        <f aca="false">IF(AND(LEFT(D271,6)="XIV - ",LEFT(AX271,5)="AVISO"),"Pedimento (R 16): no va al SPPLD",AX271)</f>
        <v/>
      </c>
      <c r="Q271" s="23" t="str">
        <f aca="false">IF(LEFT(P271,5)="AVISO",IF(ISNUMBER(B271),DATE(YEAR(B271),MONTH(B271)+1,17),"Falta fecha"),"")</f>
        <v/>
      </c>
      <c r="R271" s="9" t="str">
        <f aca="false">IF(OR(F271="",F271=0),"",IF(ISNUMBER(AG271),IF(F271&gt;=AG271,"PROHIBIDO","Dentro del límite"),"No aplica"))</f>
        <v/>
      </c>
      <c r="S271" s="26" t="str">
        <f aca="false">IF(E271="","",MID(IF(AQ271=1," · Excede el perfil declarado","")&amp;IF(H271="Sí"," · Paga un tercero","")&amp;IF(J271="Alto"," · Cliente de riesgo alto: DDR (RCG 23 Ter 3 y 4)","")&amp;IF(AND(AS271&lt;&gt;"",AS271&lt;&gt;"No",AS271&lt;&gt;0)," · PEP","")&amp;IF(R271="PROHIBIDO"," · Efectivo prohibido: no lo recibas (Art. 32)","")&amp;IF(AR271=1," · ⚠ Fecha fuera de orden","")&amp;IF(LEFT(I271,1)="⚠"," · ⚠ Cliente no registrado","")&amp;IF(D271=""," · ⚠ Falta la actividad","")&amp;IF(AND(LEFT(P271,5)="AVISO",W271="")," · Captura la cifra total con IVA para el Aviso","")&amp;IF(AND(ISNUMBER(W271),W271&lt;E271)," · ⚠ La cifra con IVA es menor que el monto sin IVA",""),4,400))</f>
        <v/>
      </c>
      <c r="T271" s="21"/>
      <c r="U271" s="20"/>
      <c r="V271" s="9" t="str">
        <f aca="false">IF(LEFT(P271,5)&lt;&gt;"AVISO","",IF(T271="Presentado",IF(AND(ISNUMBER(U271),ISNUMBER(Q271),U271&gt;Q271),"Presentado tarde","Presentado"),IF(NOT(ISNUMBER(Q271)),"Falta fecha",IF(Q271&lt;CONFIG!$B$6,"VENCIDO","Vence en "&amp;(Q271-CONFIG!$B$6)&amp;" días"))))</f>
        <v/>
      </c>
      <c r="W271" s="22"/>
      <c r="X271" s="21"/>
      <c r="AA271" s="0" t="str">
        <f aca="false">IF(AM271="","",INDEX(CATÁLOGO!$D$5:$D$39,AM271))</f>
        <v/>
      </c>
      <c r="AB271" s="0" t="str">
        <f aca="false">IF(AM271="","",INDEX(CATÁLOGO!$E$5:$E$39,AM271))</f>
        <v/>
      </c>
      <c r="AC271" s="0" t="str">
        <f aca="false">IF(AB271="","",IF(ISNUMBER(AB271),AB271*AV271,AB271))</f>
        <v/>
      </c>
      <c r="AD271" s="0" t="str">
        <f aca="false">IF(AM271="","",INDEX(CATÁLOGO!$F$5:$F$39,AM271))</f>
        <v/>
      </c>
      <c r="AE271" s="0" t="str">
        <f aca="false">IF(AD271="","",IF(ISNUMBER(AD271),AD271*AV271,AD271))</f>
        <v/>
      </c>
      <c r="AF271" s="0" t="str">
        <f aca="false">IF(AM271="","",INDEX(CATÁLOGO!$G$5:$G$39,AM271))</f>
        <v/>
      </c>
      <c r="AG271" s="0" t="str">
        <f aca="false">IF(AF271="","",IF(ISNUMBER(AF271),AF271*AV271,AF271))</f>
        <v/>
      </c>
      <c r="AH271" s="0" t="str">
        <f aca="false">IF(E271="","",C271&amp;"|"&amp;D271)</f>
        <v/>
      </c>
      <c r="AI271" s="27" t="n">
        <f aca="false">IF(M271&lt;&gt;"Sí",0,SUMPRODUCT(MAX(($AH$5:AH270=AH271)*($M$5:M270="Sí")*ROW($AH$5:AH270))))</f>
        <v>0</v>
      </c>
      <c r="AJ271" s="0" t="str">
        <f aca="false">IF(M271&lt;&gt;"Sí","",IF(AL271=1,B271,INDEX($AJ:$AJ,AI271)))</f>
        <v/>
      </c>
      <c r="AK271" s="0" t="str">
        <f aca="false">IF(M271&lt;&gt;"Sí","",IF(AL271=1,E271,INDEX($AK:$AK,AI271)+E271))</f>
        <v/>
      </c>
      <c r="AL271" s="0" t="str">
        <f aca="false">IF(M271&lt;&gt;"Sí","",IF(AI271=0,1,IF(INDEX($AN:$AN,AI271)=0,1,IF(B271&gt;=EDATE(INDEX($AJ:$AJ,AI271),6),1,0))))</f>
        <v/>
      </c>
      <c r="AM271" s="0" t="str">
        <f aca="false">IF(D271="","",IFERROR(MATCH(D271,CATÁLOGO!$C$5:$C$39,0),""))</f>
        <v/>
      </c>
      <c r="AN271" s="0" t="str">
        <f aca="false">IF(M271&lt;&gt;"Sí","",IF(AND(ISNUMBER(AE271),AK271&gt;=AE271),0,1))</f>
        <v/>
      </c>
      <c r="AO271" s="0" t="str">
        <f aca="false">IF(OR(E271="",C271="",NOT(ISNUMBER(B271))),"",SUMIFS($E$6:$E$505,$C$6:$C$505,C271,$B$6:$B$505,"&gt;="&amp;DATE(YEAR(B271),MONTH(B271),1),$B$6:$B$505,"&lt;"&amp;DATE(YEAR(B271),MONTH(B271)+1,1)))</f>
        <v/>
      </c>
      <c r="AP271" s="0" t="str">
        <f aca="false">IF(C271="","",IFERROR(INDEX(CLIENTES!$M$6:$M$305,MATCH(C271,CLIENTES!$A$6:$A$305,0)),""))</f>
        <v/>
      </c>
      <c r="AQ271" s="27" t="n">
        <f aca="false">IF(AND(ISNUMBER(AO271),ISNUMBER(AP271)),IF(AND(AP271&gt;0,AO271&gt;AP271),1,0),0)</f>
        <v>0</v>
      </c>
      <c r="AR271" s="27" t="n">
        <f aca="false">IF(NOT(ISNUMBER(B271)),0,IF(B271&lt;MAX($B$5:B270),1,0))</f>
        <v>0</v>
      </c>
      <c r="AS271" s="0" t="str">
        <f aca="false">IF(C271="","",IFERROR(INDEX(CLIENTES!$H$6:$H$305,MATCH(C271,CLIENTES!$A$6:$A$305,0)),""))</f>
        <v/>
      </c>
      <c r="AT271" s="0" t="str">
        <f aca="false">IF(AND(LEFT(P271,5)="AVISO",T271&lt;&gt;"Presentado",ISNUMBER(Q271)),Q271,"")</f>
        <v/>
      </c>
      <c r="AU271" s="27" t="n">
        <f aca="false">IF(AND(D271="XVI - Activos virtuales (PSAV): operación de intercambio/transferencia",M271="Sí",ISNUMBER(AE271)),IF(AK271&gt;=AE271,1,0),0)</f>
        <v>0</v>
      </c>
      <c r="AV271" s="30" t="n">
        <f aca="false">IF(NOT(ISNUMBER(B271)),CONFIG!$B$4,IFERROR(INDEX(CONFIG!$I$5:$I$14,MATCH(IF(MONTH(B271)=1,YEAR(B271)-1,YEAR(B271)),CONFIG!$H$5:$H$14,0)),CONFIG!$B$4))</f>
        <v>117.31</v>
      </c>
      <c r="AW271" s="27" t="n">
        <f aca="false">IF(AND(LEFT(D271,4)="I - ",ISNUMBER(B271),C271&lt;&gt;""),SUMIFS($E$6:$E$505,$C$6:$C$505,C271,$D$6:$D$505,D271,$B$6:$B$505,"&gt;"&amp;(B271-1),$B$6:$B$505,"&lt;="&amp;B271),0)</f>
        <v>0</v>
      </c>
      <c r="AX271" s="0" t="str">
        <f aca="false">IF(E271="","",IF(AD271="Siempre","AVISO (siempre)",IF(AD271="No aplica","Sin Aviso (sólo preparas: Ley 17 XI)",IF(NOT(ISNUMBER(AE271)),"",IF(AA271&lt;&gt;"ACUMULA",IF(E271&gt;=AE271,IF(AND(D271="XVI - Activos virtuales (PSAV): cobro de contraprestación (comisión) por el servicio",COUNTIFS($C$6:$C$505,C271,$B$6:$B$505,"&gt;="&amp;INT(B271),$B$6:$B$505,"&lt;"&amp;(INT(B271)+1),$AU$6:$AU$505,1)&gt;0),"En el Aviso del inciso a) (R 31 Bis)","AVISO"),"—"),IF(M271&lt;&gt;"Sí","—",IF(AK271&gt;=AE271,IF(AK271=E271,"AVISO","AVISO (acumulado)"),"Acumulando")))))))</f>
        <v/>
      </c>
    </row>
    <row r="272" customFormat="false" ht="15" hidden="false" customHeight="false" outlineLevel="0" collapsed="false">
      <c r="A272" s="9" t="str">
        <f aca="false">IF(E272="","",ROW()-5)</f>
        <v/>
      </c>
      <c r="B272" s="20"/>
      <c r="C272" s="21"/>
      <c r="D272" s="21"/>
      <c r="E272" s="22"/>
      <c r="F272" s="22"/>
      <c r="G272" s="21"/>
      <c r="H272" s="21"/>
      <c r="I272" s="9" t="str">
        <f aca="false">IF(C272="","",IFERROR(INDEX(CLIENTES!$B$6:$B$305,MATCH(C272,CLIENTES!$A$6:$A$305,0)),"⚠ ID no registrado"))</f>
        <v/>
      </c>
      <c r="J272" s="9" t="str">
        <f aca="false">IF(C272="","",IFERROR(INDEX(CLIENTES!$Z$6:$Z$305,MATCH(C272,CLIENTES!$A$6:$A$305,0)),""))</f>
        <v/>
      </c>
      <c r="K272" s="9" t="str">
        <f aca="false">IF(E272="","",IF(AB272="Siempre","Sí",IF(ISNUMBER(AC272),IF(E272&gt;=AC272,"Sí",IF(AW272&gt;=AC272,"Sí (serie 24 h)","No")),"")))</f>
        <v/>
      </c>
      <c r="L272" s="9" t="str">
        <f aca="false">IF(E272="","",AA272)</f>
        <v/>
      </c>
      <c r="M272" s="9" t="str">
        <f aca="false">IF(E272="","",IF(AA272&lt;&gt;"ACUMULA","No aplica",IF(LEFT(K272,2)="Sí","Sí","No")))</f>
        <v/>
      </c>
      <c r="N272" s="23" t="str">
        <f aca="false">IF(M272="Sí",AJ272,"")</f>
        <v/>
      </c>
      <c r="O272" s="24" t="str">
        <f aca="false">IF(M272="Sí",AK272,"")</f>
        <v/>
      </c>
      <c r="P272" s="25" t="str">
        <f aca="false">IF(AND(LEFT(D272,6)="XIV - ",LEFT(AX272,5)="AVISO"),"Pedimento (R 16): no va al SPPLD",AX272)</f>
        <v/>
      </c>
      <c r="Q272" s="23" t="str">
        <f aca="false">IF(LEFT(P272,5)="AVISO",IF(ISNUMBER(B272),DATE(YEAR(B272),MONTH(B272)+1,17),"Falta fecha"),"")</f>
        <v/>
      </c>
      <c r="R272" s="9" t="str">
        <f aca="false">IF(OR(F272="",F272=0),"",IF(ISNUMBER(AG272),IF(F272&gt;=AG272,"PROHIBIDO","Dentro del límite"),"No aplica"))</f>
        <v/>
      </c>
      <c r="S272" s="26" t="str">
        <f aca="false">IF(E272="","",MID(IF(AQ272=1," · Excede el perfil declarado","")&amp;IF(H272="Sí"," · Paga un tercero","")&amp;IF(J272="Alto"," · Cliente de riesgo alto: DDR (RCG 23 Ter 3 y 4)","")&amp;IF(AND(AS272&lt;&gt;"",AS272&lt;&gt;"No",AS272&lt;&gt;0)," · PEP","")&amp;IF(R272="PROHIBIDO"," · Efectivo prohibido: no lo recibas (Art. 32)","")&amp;IF(AR272=1," · ⚠ Fecha fuera de orden","")&amp;IF(LEFT(I272,1)="⚠"," · ⚠ Cliente no registrado","")&amp;IF(D272=""," · ⚠ Falta la actividad","")&amp;IF(AND(LEFT(P272,5)="AVISO",W272="")," · Captura la cifra total con IVA para el Aviso","")&amp;IF(AND(ISNUMBER(W272),W272&lt;E272)," · ⚠ La cifra con IVA es menor que el monto sin IVA",""),4,400))</f>
        <v/>
      </c>
      <c r="T272" s="21"/>
      <c r="U272" s="20"/>
      <c r="V272" s="9" t="str">
        <f aca="false">IF(LEFT(P272,5)&lt;&gt;"AVISO","",IF(T272="Presentado",IF(AND(ISNUMBER(U272),ISNUMBER(Q272),U272&gt;Q272),"Presentado tarde","Presentado"),IF(NOT(ISNUMBER(Q272)),"Falta fecha",IF(Q272&lt;CONFIG!$B$6,"VENCIDO","Vence en "&amp;(Q272-CONFIG!$B$6)&amp;" días"))))</f>
        <v/>
      </c>
      <c r="W272" s="22"/>
      <c r="X272" s="21"/>
      <c r="AA272" s="0" t="str">
        <f aca="false">IF(AM272="","",INDEX(CATÁLOGO!$D$5:$D$39,AM272))</f>
        <v/>
      </c>
      <c r="AB272" s="0" t="str">
        <f aca="false">IF(AM272="","",INDEX(CATÁLOGO!$E$5:$E$39,AM272))</f>
        <v/>
      </c>
      <c r="AC272" s="0" t="str">
        <f aca="false">IF(AB272="","",IF(ISNUMBER(AB272),AB272*AV272,AB272))</f>
        <v/>
      </c>
      <c r="AD272" s="0" t="str">
        <f aca="false">IF(AM272="","",INDEX(CATÁLOGO!$F$5:$F$39,AM272))</f>
        <v/>
      </c>
      <c r="AE272" s="0" t="str">
        <f aca="false">IF(AD272="","",IF(ISNUMBER(AD272),AD272*AV272,AD272))</f>
        <v/>
      </c>
      <c r="AF272" s="0" t="str">
        <f aca="false">IF(AM272="","",INDEX(CATÁLOGO!$G$5:$G$39,AM272))</f>
        <v/>
      </c>
      <c r="AG272" s="0" t="str">
        <f aca="false">IF(AF272="","",IF(ISNUMBER(AF272),AF272*AV272,AF272))</f>
        <v/>
      </c>
      <c r="AH272" s="0" t="str">
        <f aca="false">IF(E272="","",C272&amp;"|"&amp;D272)</f>
        <v/>
      </c>
      <c r="AI272" s="27" t="n">
        <f aca="false">IF(M272&lt;&gt;"Sí",0,SUMPRODUCT(MAX(($AH$5:AH271=AH272)*($M$5:M271="Sí")*ROW($AH$5:AH271))))</f>
        <v>0</v>
      </c>
      <c r="AJ272" s="0" t="str">
        <f aca="false">IF(M272&lt;&gt;"Sí","",IF(AL272=1,B272,INDEX($AJ:$AJ,AI272)))</f>
        <v/>
      </c>
      <c r="AK272" s="0" t="str">
        <f aca="false">IF(M272&lt;&gt;"Sí","",IF(AL272=1,E272,INDEX($AK:$AK,AI272)+E272))</f>
        <v/>
      </c>
      <c r="AL272" s="0" t="str">
        <f aca="false">IF(M272&lt;&gt;"Sí","",IF(AI272=0,1,IF(INDEX($AN:$AN,AI272)=0,1,IF(B272&gt;=EDATE(INDEX($AJ:$AJ,AI272),6),1,0))))</f>
        <v/>
      </c>
      <c r="AM272" s="0" t="str">
        <f aca="false">IF(D272="","",IFERROR(MATCH(D272,CATÁLOGO!$C$5:$C$39,0),""))</f>
        <v/>
      </c>
      <c r="AN272" s="0" t="str">
        <f aca="false">IF(M272&lt;&gt;"Sí","",IF(AND(ISNUMBER(AE272),AK272&gt;=AE272),0,1))</f>
        <v/>
      </c>
      <c r="AO272" s="0" t="str">
        <f aca="false">IF(OR(E272="",C272="",NOT(ISNUMBER(B272))),"",SUMIFS($E$6:$E$505,$C$6:$C$505,C272,$B$6:$B$505,"&gt;="&amp;DATE(YEAR(B272),MONTH(B272),1),$B$6:$B$505,"&lt;"&amp;DATE(YEAR(B272),MONTH(B272)+1,1)))</f>
        <v/>
      </c>
      <c r="AP272" s="0" t="str">
        <f aca="false">IF(C272="","",IFERROR(INDEX(CLIENTES!$M$6:$M$305,MATCH(C272,CLIENTES!$A$6:$A$305,0)),""))</f>
        <v/>
      </c>
      <c r="AQ272" s="27" t="n">
        <f aca="false">IF(AND(ISNUMBER(AO272),ISNUMBER(AP272)),IF(AND(AP272&gt;0,AO272&gt;AP272),1,0),0)</f>
        <v>0</v>
      </c>
      <c r="AR272" s="27" t="n">
        <f aca="false">IF(NOT(ISNUMBER(B272)),0,IF(B272&lt;MAX($B$5:B271),1,0))</f>
        <v>0</v>
      </c>
      <c r="AS272" s="0" t="str">
        <f aca="false">IF(C272="","",IFERROR(INDEX(CLIENTES!$H$6:$H$305,MATCH(C272,CLIENTES!$A$6:$A$305,0)),""))</f>
        <v/>
      </c>
      <c r="AT272" s="0" t="str">
        <f aca="false">IF(AND(LEFT(P272,5)="AVISO",T272&lt;&gt;"Presentado",ISNUMBER(Q272)),Q272,"")</f>
        <v/>
      </c>
      <c r="AU272" s="27" t="n">
        <f aca="false">IF(AND(D272="XVI - Activos virtuales (PSAV): operación de intercambio/transferencia",M272="Sí",ISNUMBER(AE272)),IF(AK272&gt;=AE272,1,0),0)</f>
        <v>0</v>
      </c>
      <c r="AV272" s="30" t="n">
        <f aca="false">IF(NOT(ISNUMBER(B272)),CONFIG!$B$4,IFERROR(INDEX(CONFIG!$I$5:$I$14,MATCH(IF(MONTH(B272)=1,YEAR(B272)-1,YEAR(B272)),CONFIG!$H$5:$H$14,0)),CONFIG!$B$4))</f>
        <v>117.31</v>
      </c>
      <c r="AW272" s="27" t="n">
        <f aca="false">IF(AND(LEFT(D272,4)="I - ",ISNUMBER(B272),C272&lt;&gt;""),SUMIFS($E$6:$E$505,$C$6:$C$505,C272,$D$6:$D$505,D272,$B$6:$B$505,"&gt;"&amp;(B272-1),$B$6:$B$505,"&lt;="&amp;B272),0)</f>
        <v>0</v>
      </c>
      <c r="AX272" s="0" t="str">
        <f aca="false">IF(E272="","",IF(AD272="Siempre","AVISO (siempre)",IF(AD272="No aplica","Sin Aviso (sólo preparas: Ley 17 XI)",IF(NOT(ISNUMBER(AE272)),"",IF(AA272&lt;&gt;"ACUMULA",IF(E272&gt;=AE272,IF(AND(D272="XVI - Activos virtuales (PSAV): cobro de contraprestación (comisión) por el servicio",COUNTIFS($C$6:$C$505,C272,$B$6:$B$505,"&gt;="&amp;INT(B272),$B$6:$B$505,"&lt;"&amp;(INT(B272)+1),$AU$6:$AU$505,1)&gt;0),"En el Aviso del inciso a) (R 31 Bis)","AVISO"),"—"),IF(M272&lt;&gt;"Sí","—",IF(AK272&gt;=AE272,IF(AK272=E272,"AVISO","AVISO (acumulado)"),"Acumulando")))))))</f>
        <v/>
      </c>
    </row>
    <row r="273" customFormat="false" ht="15" hidden="false" customHeight="false" outlineLevel="0" collapsed="false">
      <c r="A273" s="9" t="str">
        <f aca="false">IF(E273="","",ROW()-5)</f>
        <v/>
      </c>
      <c r="B273" s="20"/>
      <c r="C273" s="21"/>
      <c r="D273" s="21"/>
      <c r="E273" s="22"/>
      <c r="F273" s="22"/>
      <c r="G273" s="21"/>
      <c r="H273" s="21"/>
      <c r="I273" s="9" t="str">
        <f aca="false">IF(C273="","",IFERROR(INDEX(CLIENTES!$B$6:$B$305,MATCH(C273,CLIENTES!$A$6:$A$305,0)),"⚠ ID no registrado"))</f>
        <v/>
      </c>
      <c r="J273" s="9" t="str">
        <f aca="false">IF(C273="","",IFERROR(INDEX(CLIENTES!$Z$6:$Z$305,MATCH(C273,CLIENTES!$A$6:$A$305,0)),""))</f>
        <v/>
      </c>
      <c r="K273" s="9" t="str">
        <f aca="false">IF(E273="","",IF(AB273="Siempre","Sí",IF(ISNUMBER(AC273),IF(E273&gt;=AC273,"Sí",IF(AW273&gt;=AC273,"Sí (serie 24 h)","No")),"")))</f>
        <v/>
      </c>
      <c r="L273" s="9" t="str">
        <f aca="false">IF(E273="","",AA273)</f>
        <v/>
      </c>
      <c r="M273" s="9" t="str">
        <f aca="false">IF(E273="","",IF(AA273&lt;&gt;"ACUMULA","No aplica",IF(LEFT(K273,2)="Sí","Sí","No")))</f>
        <v/>
      </c>
      <c r="N273" s="23" t="str">
        <f aca="false">IF(M273="Sí",AJ273,"")</f>
        <v/>
      </c>
      <c r="O273" s="24" t="str">
        <f aca="false">IF(M273="Sí",AK273,"")</f>
        <v/>
      </c>
      <c r="P273" s="25" t="str">
        <f aca="false">IF(AND(LEFT(D273,6)="XIV - ",LEFT(AX273,5)="AVISO"),"Pedimento (R 16): no va al SPPLD",AX273)</f>
        <v/>
      </c>
      <c r="Q273" s="23" t="str">
        <f aca="false">IF(LEFT(P273,5)="AVISO",IF(ISNUMBER(B273),DATE(YEAR(B273),MONTH(B273)+1,17),"Falta fecha"),"")</f>
        <v/>
      </c>
      <c r="R273" s="9" t="str">
        <f aca="false">IF(OR(F273="",F273=0),"",IF(ISNUMBER(AG273),IF(F273&gt;=AG273,"PROHIBIDO","Dentro del límite"),"No aplica"))</f>
        <v/>
      </c>
      <c r="S273" s="26" t="str">
        <f aca="false">IF(E273="","",MID(IF(AQ273=1," · Excede el perfil declarado","")&amp;IF(H273="Sí"," · Paga un tercero","")&amp;IF(J273="Alto"," · Cliente de riesgo alto: DDR (RCG 23 Ter 3 y 4)","")&amp;IF(AND(AS273&lt;&gt;"",AS273&lt;&gt;"No",AS273&lt;&gt;0)," · PEP","")&amp;IF(R273="PROHIBIDO"," · Efectivo prohibido: no lo recibas (Art. 32)","")&amp;IF(AR273=1," · ⚠ Fecha fuera de orden","")&amp;IF(LEFT(I273,1)="⚠"," · ⚠ Cliente no registrado","")&amp;IF(D273=""," · ⚠ Falta la actividad","")&amp;IF(AND(LEFT(P273,5)="AVISO",W273="")," · Captura la cifra total con IVA para el Aviso","")&amp;IF(AND(ISNUMBER(W273),W273&lt;E273)," · ⚠ La cifra con IVA es menor que el monto sin IVA",""),4,400))</f>
        <v/>
      </c>
      <c r="T273" s="21"/>
      <c r="U273" s="20"/>
      <c r="V273" s="9" t="str">
        <f aca="false">IF(LEFT(P273,5)&lt;&gt;"AVISO","",IF(T273="Presentado",IF(AND(ISNUMBER(U273),ISNUMBER(Q273),U273&gt;Q273),"Presentado tarde","Presentado"),IF(NOT(ISNUMBER(Q273)),"Falta fecha",IF(Q273&lt;CONFIG!$B$6,"VENCIDO","Vence en "&amp;(Q273-CONFIG!$B$6)&amp;" días"))))</f>
        <v/>
      </c>
      <c r="W273" s="22"/>
      <c r="X273" s="21"/>
      <c r="AA273" s="0" t="str">
        <f aca="false">IF(AM273="","",INDEX(CATÁLOGO!$D$5:$D$39,AM273))</f>
        <v/>
      </c>
      <c r="AB273" s="0" t="str">
        <f aca="false">IF(AM273="","",INDEX(CATÁLOGO!$E$5:$E$39,AM273))</f>
        <v/>
      </c>
      <c r="AC273" s="0" t="str">
        <f aca="false">IF(AB273="","",IF(ISNUMBER(AB273),AB273*AV273,AB273))</f>
        <v/>
      </c>
      <c r="AD273" s="0" t="str">
        <f aca="false">IF(AM273="","",INDEX(CATÁLOGO!$F$5:$F$39,AM273))</f>
        <v/>
      </c>
      <c r="AE273" s="0" t="str">
        <f aca="false">IF(AD273="","",IF(ISNUMBER(AD273),AD273*AV273,AD273))</f>
        <v/>
      </c>
      <c r="AF273" s="0" t="str">
        <f aca="false">IF(AM273="","",INDEX(CATÁLOGO!$G$5:$G$39,AM273))</f>
        <v/>
      </c>
      <c r="AG273" s="0" t="str">
        <f aca="false">IF(AF273="","",IF(ISNUMBER(AF273),AF273*AV273,AF273))</f>
        <v/>
      </c>
      <c r="AH273" s="0" t="str">
        <f aca="false">IF(E273="","",C273&amp;"|"&amp;D273)</f>
        <v/>
      </c>
      <c r="AI273" s="27" t="n">
        <f aca="false">IF(M273&lt;&gt;"Sí",0,SUMPRODUCT(MAX(($AH$5:AH272=AH273)*($M$5:M272="Sí")*ROW($AH$5:AH272))))</f>
        <v>0</v>
      </c>
      <c r="AJ273" s="0" t="str">
        <f aca="false">IF(M273&lt;&gt;"Sí","",IF(AL273=1,B273,INDEX($AJ:$AJ,AI273)))</f>
        <v/>
      </c>
      <c r="AK273" s="0" t="str">
        <f aca="false">IF(M273&lt;&gt;"Sí","",IF(AL273=1,E273,INDEX($AK:$AK,AI273)+E273))</f>
        <v/>
      </c>
      <c r="AL273" s="0" t="str">
        <f aca="false">IF(M273&lt;&gt;"Sí","",IF(AI273=0,1,IF(INDEX($AN:$AN,AI273)=0,1,IF(B273&gt;=EDATE(INDEX($AJ:$AJ,AI273),6),1,0))))</f>
        <v/>
      </c>
      <c r="AM273" s="0" t="str">
        <f aca="false">IF(D273="","",IFERROR(MATCH(D273,CATÁLOGO!$C$5:$C$39,0),""))</f>
        <v/>
      </c>
      <c r="AN273" s="0" t="str">
        <f aca="false">IF(M273&lt;&gt;"Sí","",IF(AND(ISNUMBER(AE273),AK273&gt;=AE273),0,1))</f>
        <v/>
      </c>
      <c r="AO273" s="0" t="str">
        <f aca="false">IF(OR(E273="",C273="",NOT(ISNUMBER(B273))),"",SUMIFS($E$6:$E$505,$C$6:$C$505,C273,$B$6:$B$505,"&gt;="&amp;DATE(YEAR(B273),MONTH(B273),1),$B$6:$B$505,"&lt;"&amp;DATE(YEAR(B273),MONTH(B273)+1,1)))</f>
        <v/>
      </c>
      <c r="AP273" s="0" t="str">
        <f aca="false">IF(C273="","",IFERROR(INDEX(CLIENTES!$M$6:$M$305,MATCH(C273,CLIENTES!$A$6:$A$305,0)),""))</f>
        <v/>
      </c>
      <c r="AQ273" s="27" t="n">
        <f aca="false">IF(AND(ISNUMBER(AO273),ISNUMBER(AP273)),IF(AND(AP273&gt;0,AO273&gt;AP273),1,0),0)</f>
        <v>0</v>
      </c>
      <c r="AR273" s="27" t="n">
        <f aca="false">IF(NOT(ISNUMBER(B273)),0,IF(B273&lt;MAX($B$5:B272),1,0))</f>
        <v>0</v>
      </c>
      <c r="AS273" s="0" t="str">
        <f aca="false">IF(C273="","",IFERROR(INDEX(CLIENTES!$H$6:$H$305,MATCH(C273,CLIENTES!$A$6:$A$305,0)),""))</f>
        <v/>
      </c>
      <c r="AT273" s="0" t="str">
        <f aca="false">IF(AND(LEFT(P273,5)="AVISO",T273&lt;&gt;"Presentado",ISNUMBER(Q273)),Q273,"")</f>
        <v/>
      </c>
      <c r="AU273" s="27" t="n">
        <f aca="false">IF(AND(D273="XVI - Activos virtuales (PSAV): operación de intercambio/transferencia",M273="Sí",ISNUMBER(AE273)),IF(AK273&gt;=AE273,1,0),0)</f>
        <v>0</v>
      </c>
      <c r="AV273" s="30" t="n">
        <f aca="false">IF(NOT(ISNUMBER(B273)),CONFIG!$B$4,IFERROR(INDEX(CONFIG!$I$5:$I$14,MATCH(IF(MONTH(B273)=1,YEAR(B273)-1,YEAR(B273)),CONFIG!$H$5:$H$14,0)),CONFIG!$B$4))</f>
        <v>117.31</v>
      </c>
      <c r="AW273" s="27" t="n">
        <f aca="false">IF(AND(LEFT(D273,4)="I - ",ISNUMBER(B273),C273&lt;&gt;""),SUMIFS($E$6:$E$505,$C$6:$C$505,C273,$D$6:$D$505,D273,$B$6:$B$505,"&gt;"&amp;(B273-1),$B$6:$B$505,"&lt;="&amp;B273),0)</f>
        <v>0</v>
      </c>
      <c r="AX273" s="0" t="str">
        <f aca="false">IF(E273="","",IF(AD273="Siempre","AVISO (siempre)",IF(AD273="No aplica","Sin Aviso (sólo preparas: Ley 17 XI)",IF(NOT(ISNUMBER(AE273)),"",IF(AA273&lt;&gt;"ACUMULA",IF(E273&gt;=AE273,IF(AND(D273="XVI - Activos virtuales (PSAV): cobro de contraprestación (comisión) por el servicio",COUNTIFS($C$6:$C$505,C273,$B$6:$B$505,"&gt;="&amp;INT(B273),$B$6:$B$505,"&lt;"&amp;(INT(B273)+1),$AU$6:$AU$505,1)&gt;0),"En el Aviso del inciso a) (R 31 Bis)","AVISO"),"—"),IF(M273&lt;&gt;"Sí","—",IF(AK273&gt;=AE273,IF(AK273=E273,"AVISO","AVISO (acumulado)"),"Acumulando")))))))</f>
        <v/>
      </c>
    </row>
    <row r="274" customFormat="false" ht="15" hidden="false" customHeight="false" outlineLevel="0" collapsed="false">
      <c r="A274" s="9" t="str">
        <f aca="false">IF(E274="","",ROW()-5)</f>
        <v/>
      </c>
      <c r="B274" s="20"/>
      <c r="C274" s="21"/>
      <c r="D274" s="21"/>
      <c r="E274" s="22"/>
      <c r="F274" s="22"/>
      <c r="G274" s="21"/>
      <c r="H274" s="21"/>
      <c r="I274" s="9" t="str">
        <f aca="false">IF(C274="","",IFERROR(INDEX(CLIENTES!$B$6:$B$305,MATCH(C274,CLIENTES!$A$6:$A$305,0)),"⚠ ID no registrado"))</f>
        <v/>
      </c>
      <c r="J274" s="9" t="str">
        <f aca="false">IF(C274="","",IFERROR(INDEX(CLIENTES!$Z$6:$Z$305,MATCH(C274,CLIENTES!$A$6:$A$305,0)),""))</f>
        <v/>
      </c>
      <c r="K274" s="9" t="str">
        <f aca="false">IF(E274="","",IF(AB274="Siempre","Sí",IF(ISNUMBER(AC274),IF(E274&gt;=AC274,"Sí",IF(AW274&gt;=AC274,"Sí (serie 24 h)","No")),"")))</f>
        <v/>
      </c>
      <c r="L274" s="9" t="str">
        <f aca="false">IF(E274="","",AA274)</f>
        <v/>
      </c>
      <c r="M274" s="9" t="str">
        <f aca="false">IF(E274="","",IF(AA274&lt;&gt;"ACUMULA","No aplica",IF(LEFT(K274,2)="Sí","Sí","No")))</f>
        <v/>
      </c>
      <c r="N274" s="23" t="str">
        <f aca="false">IF(M274="Sí",AJ274,"")</f>
        <v/>
      </c>
      <c r="O274" s="24" t="str">
        <f aca="false">IF(M274="Sí",AK274,"")</f>
        <v/>
      </c>
      <c r="P274" s="25" t="str">
        <f aca="false">IF(AND(LEFT(D274,6)="XIV - ",LEFT(AX274,5)="AVISO"),"Pedimento (R 16): no va al SPPLD",AX274)</f>
        <v/>
      </c>
      <c r="Q274" s="23" t="str">
        <f aca="false">IF(LEFT(P274,5)="AVISO",IF(ISNUMBER(B274),DATE(YEAR(B274),MONTH(B274)+1,17),"Falta fecha"),"")</f>
        <v/>
      </c>
      <c r="R274" s="9" t="str">
        <f aca="false">IF(OR(F274="",F274=0),"",IF(ISNUMBER(AG274),IF(F274&gt;=AG274,"PROHIBIDO","Dentro del límite"),"No aplica"))</f>
        <v/>
      </c>
      <c r="S274" s="26" t="str">
        <f aca="false">IF(E274="","",MID(IF(AQ274=1," · Excede el perfil declarado","")&amp;IF(H274="Sí"," · Paga un tercero","")&amp;IF(J274="Alto"," · Cliente de riesgo alto: DDR (RCG 23 Ter 3 y 4)","")&amp;IF(AND(AS274&lt;&gt;"",AS274&lt;&gt;"No",AS274&lt;&gt;0)," · PEP","")&amp;IF(R274="PROHIBIDO"," · Efectivo prohibido: no lo recibas (Art. 32)","")&amp;IF(AR274=1," · ⚠ Fecha fuera de orden","")&amp;IF(LEFT(I274,1)="⚠"," · ⚠ Cliente no registrado","")&amp;IF(D274=""," · ⚠ Falta la actividad","")&amp;IF(AND(LEFT(P274,5)="AVISO",W274="")," · Captura la cifra total con IVA para el Aviso","")&amp;IF(AND(ISNUMBER(W274),W274&lt;E274)," · ⚠ La cifra con IVA es menor que el monto sin IVA",""),4,400))</f>
        <v/>
      </c>
      <c r="T274" s="21"/>
      <c r="U274" s="20"/>
      <c r="V274" s="9" t="str">
        <f aca="false">IF(LEFT(P274,5)&lt;&gt;"AVISO","",IF(T274="Presentado",IF(AND(ISNUMBER(U274),ISNUMBER(Q274),U274&gt;Q274),"Presentado tarde","Presentado"),IF(NOT(ISNUMBER(Q274)),"Falta fecha",IF(Q274&lt;CONFIG!$B$6,"VENCIDO","Vence en "&amp;(Q274-CONFIG!$B$6)&amp;" días"))))</f>
        <v/>
      </c>
      <c r="W274" s="22"/>
      <c r="X274" s="21"/>
      <c r="AA274" s="0" t="str">
        <f aca="false">IF(AM274="","",INDEX(CATÁLOGO!$D$5:$D$39,AM274))</f>
        <v/>
      </c>
      <c r="AB274" s="0" t="str">
        <f aca="false">IF(AM274="","",INDEX(CATÁLOGO!$E$5:$E$39,AM274))</f>
        <v/>
      </c>
      <c r="AC274" s="0" t="str">
        <f aca="false">IF(AB274="","",IF(ISNUMBER(AB274),AB274*AV274,AB274))</f>
        <v/>
      </c>
      <c r="AD274" s="0" t="str">
        <f aca="false">IF(AM274="","",INDEX(CATÁLOGO!$F$5:$F$39,AM274))</f>
        <v/>
      </c>
      <c r="AE274" s="0" t="str">
        <f aca="false">IF(AD274="","",IF(ISNUMBER(AD274),AD274*AV274,AD274))</f>
        <v/>
      </c>
      <c r="AF274" s="0" t="str">
        <f aca="false">IF(AM274="","",INDEX(CATÁLOGO!$G$5:$G$39,AM274))</f>
        <v/>
      </c>
      <c r="AG274" s="0" t="str">
        <f aca="false">IF(AF274="","",IF(ISNUMBER(AF274),AF274*AV274,AF274))</f>
        <v/>
      </c>
      <c r="AH274" s="0" t="str">
        <f aca="false">IF(E274="","",C274&amp;"|"&amp;D274)</f>
        <v/>
      </c>
      <c r="AI274" s="27" t="n">
        <f aca="false">IF(M274&lt;&gt;"Sí",0,SUMPRODUCT(MAX(($AH$5:AH273=AH274)*($M$5:M273="Sí")*ROW($AH$5:AH273))))</f>
        <v>0</v>
      </c>
      <c r="AJ274" s="0" t="str">
        <f aca="false">IF(M274&lt;&gt;"Sí","",IF(AL274=1,B274,INDEX($AJ:$AJ,AI274)))</f>
        <v/>
      </c>
      <c r="AK274" s="0" t="str">
        <f aca="false">IF(M274&lt;&gt;"Sí","",IF(AL274=1,E274,INDEX($AK:$AK,AI274)+E274))</f>
        <v/>
      </c>
      <c r="AL274" s="0" t="str">
        <f aca="false">IF(M274&lt;&gt;"Sí","",IF(AI274=0,1,IF(INDEX($AN:$AN,AI274)=0,1,IF(B274&gt;=EDATE(INDEX($AJ:$AJ,AI274),6),1,0))))</f>
        <v/>
      </c>
      <c r="AM274" s="0" t="str">
        <f aca="false">IF(D274="","",IFERROR(MATCH(D274,CATÁLOGO!$C$5:$C$39,0),""))</f>
        <v/>
      </c>
      <c r="AN274" s="0" t="str">
        <f aca="false">IF(M274&lt;&gt;"Sí","",IF(AND(ISNUMBER(AE274),AK274&gt;=AE274),0,1))</f>
        <v/>
      </c>
      <c r="AO274" s="0" t="str">
        <f aca="false">IF(OR(E274="",C274="",NOT(ISNUMBER(B274))),"",SUMIFS($E$6:$E$505,$C$6:$C$505,C274,$B$6:$B$505,"&gt;="&amp;DATE(YEAR(B274),MONTH(B274),1),$B$6:$B$505,"&lt;"&amp;DATE(YEAR(B274),MONTH(B274)+1,1)))</f>
        <v/>
      </c>
      <c r="AP274" s="0" t="str">
        <f aca="false">IF(C274="","",IFERROR(INDEX(CLIENTES!$M$6:$M$305,MATCH(C274,CLIENTES!$A$6:$A$305,0)),""))</f>
        <v/>
      </c>
      <c r="AQ274" s="27" t="n">
        <f aca="false">IF(AND(ISNUMBER(AO274),ISNUMBER(AP274)),IF(AND(AP274&gt;0,AO274&gt;AP274),1,0),0)</f>
        <v>0</v>
      </c>
      <c r="AR274" s="27" t="n">
        <f aca="false">IF(NOT(ISNUMBER(B274)),0,IF(B274&lt;MAX($B$5:B273),1,0))</f>
        <v>0</v>
      </c>
      <c r="AS274" s="0" t="str">
        <f aca="false">IF(C274="","",IFERROR(INDEX(CLIENTES!$H$6:$H$305,MATCH(C274,CLIENTES!$A$6:$A$305,0)),""))</f>
        <v/>
      </c>
      <c r="AT274" s="0" t="str">
        <f aca="false">IF(AND(LEFT(P274,5)="AVISO",T274&lt;&gt;"Presentado",ISNUMBER(Q274)),Q274,"")</f>
        <v/>
      </c>
      <c r="AU274" s="27" t="n">
        <f aca="false">IF(AND(D274="XVI - Activos virtuales (PSAV): operación de intercambio/transferencia",M274="Sí",ISNUMBER(AE274)),IF(AK274&gt;=AE274,1,0),0)</f>
        <v>0</v>
      </c>
      <c r="AV274" s="30" t="n">
        <f aca="false">IF(NOT(ISNUMBER(B274)),CONFIG!$B$4,IFERROR(INDEX(CONFIG!$I$5:$I$14,MATCH(IF(MONTH(B274)=1,YEAR(B274)-1,YEAR(B274)),CONFIG!$H$5:$H$14,0)),CONFIG!$B$4))</f>
        <v>117.31</v>
      </c>
      <c r="AW274" s="27" t="n">
        <f aca="false">IF(AND(LEFT(D274,4)="I - ",ISNUMBER(B274),C274&lt;&gt;""),SUMIFS($E$6:$E$505,$C$6:$C$505,C274,$D$6:$D$505,D274,$B$6:$B$505,"&gt;"&amp;(B274-1),$B$6:$B$505,"&lt;="&amp;B274),0)</f>
        <v>0</v>
      </c>
      <c r="AX274" s="0" t="str">
        <f aca="false">IF(E274="","",IF(AD274="Siempre","AVISO (siempre)",IF(AD274="No aplica","Sin Aviso (sólo preparas: Ley 17 XI)",IF(NOT(ISNUMBER(AE274)),"",IF(AA274&lt;&gt;"ACUMULA",IF(E274&gt;=AE274,IF(AND(D274="XVI - Activos virtuales (PSAV): cobro de contraprestación (comisión) por el servicio",COUNTIFS($C$6:$C$505,C274,$B$6:$B$505,"&gt;="&amp;INT(B274),$B$6:$B$505,"&lt;"&amp;(INT(B274)+1),$AU$6:$AU$505,1)&gt;0),"En el Aviso del inciso a) (R 31 Bis)","AVISO"),"—"),IF(M274&lt;&gt;"Sí","—",IF(AK274&gt;=AE274,IF(AK274=E274,"AVISO","AVISO (acumulado)"),"Acumulando")))))))</f>
        <v/>
      </c>
    </row>
    <row r="275" customFormat="false" ht="15" hidden="false" customHeight="false" outlineLevel="0" collapsed="false">
      <c r="A275" s="9" t="str">
        <f aca="false">IF(E275="","",ROW()-5)</f>
        <v/>
      </c>
      <c r="B275" s="20"/>
      <c r="C275" s="21"/>
      <c r="D275" s="21"/>
      <c r="E275" s="22"/>
      <c r="F275" s="22"/>
      <c r="G275" s="21"/>
      <c r="H275" s="21"/>
      <c r="I275" s="9" t="str">
        <f aca="false">IF(C275="","",IFERROR(INDEX(CLIENTES!$B$6:$B$305,MATCH(C275,CLIENTES!$A$6:$A$305,0)),"⚠ ID no registrado"))</f>
        <v/>
      </c>
      <c r="J275" s="9" t="str">
        <f aca="false">IF(C275="","",IFERROR(INDEX(CLIENTES!$Z$6:$Z$305,MATCH(C275,CLIENTES!$A$6:$A$305,0)),""))</f>
        <v/>
      </c>
      <c r="K275" s="9" t="str">
        <f aca="false">IF(E275="","",IF(AB275="Siempre","Sí",IF(ISNUMBER(AC275),IF(E275&gt;=AC275,"Sí",IF(AW275&gt;=AC275,"Sí (serie 24 h)","No")),"")))</f>
        <v/>
      </c>
      <c r="L275" s="9" t="str">
        <f aca="false">IF(E275="","",AA275)</f>
        <v/>
      </c>
      <c r="M275" s="9" t="str">
        <f aca="false">IF(E275="","",IF(AA275&lt;&gt;"ACUMULA","No aplica",IF(LEFT(K275,2)="Sí","Sí","No")))</f>
        <v/>
      </c>
      <c r="N275" s="23" t="str">
        <f aca="false">IF(M275="Sí",AJ275,"")</f>
        <v/>
      </c>
      <c r="O275" s="24" t="str">
        <f aca="false">IF(M275="Sí",AK275,"")</f>
        <v/>
      </c>
      <c r="P275" s="25" t="str">
        <f aca="false">IF(AND(LEFT(D275,6)="XIV - ",LEFT(AX275,5)="AVISO"),"Pedimento (R 16): no va al SPPLD",AX275)</f>
        <v/>
      </c>
      <c r="Q275" s="23" t="str">
        <f aca="false">IF(LEFT(P275,5)="AVISO",IF(ISNUMBER(B275),DATE(YEAR(B275),MONTH(B275)+1,17),"Falta fecha"),"")</f>
        <v/>
      </c>
      <c r="R275" s="9" t="str">
        <f aca="false">IF(OR(F275="",F275=0),"",IF(ISNUMBER(AG275),IF(F275&gt;=AG275,"PROHIBIDO","Dentro del límite"),"No aplica"))</f>
        <v/>
      </c>
      <c r="S275" s="26" t="str">
        <f aca="false">IF(E275="","",MID(IF(AQ275=1," · Excede el perfil declarado","")&amp;IF(H275="Sí"," · Paga un tercero","")&amp;IF(J275="Alto"," · Cliente de riesgo alto: DDR (RCG 23 Ter 3 y 4)","")&amp;IF(AND(AS275&lt;&gt;"",AS275&lt;&gt;"No",AS275&lt;&gt;0)," · PEP","")&amp;IF(R275="PROHIBIDO"," · Efectivo prohibido: no lo recibas (Art. 32)","")&amp;IF(AR275=1," · ⚠ Fecha fuera de orden","")&amp;IF(LEFT(I275,1)="⚠"," · ⚠ Cliente no registrado","")&amp;IF(D275=""," · ⚠ Falta la actividad","")&amp;IF(AND(LEFT(P275,5)="AVISO",W275="")," · Captura la cifra total con IVA para el Aviso","")&amp;IF(AND(ISNUMBER(W275),W275&lt;E275)," · ⚠ La cifra con IVA es menor que el monto sin IVA",""),4,400))</f>
        <v/>
      </c>
      <c r="T275" s="21"/>
      <c r="U275" s="20"/>
      <c r="V275" s="9" t="str">
        <f aca="false">IF(LEFT(P275,5)&lt;&gt;"AVISO","",IF(T275="Presentado",IF(AND(ISNUMBER(U275),ISNUMBER(Q275),U275&gt;Q275),"Presentado tarde","Presentado"),IF(NOT(ISNUMBER(Q275)),"Falta fecha",IF(Q275&lt;CONFIG!$B$6,"VENCIDO","Vence en "&amp;(Q275-CONFIG!$B$6)&amp;" días"))))</f>
        <v/>
      </c>
      <c r="W275" s="22"/>
      <c r="X275" s="21"/>
      <c r="AA275" s="0" t="str">
        <f aca="false">IF(AM275="","",INDEX(CATÁLOGO!$D$5:$D$39,AM275))</f>
        <v/>
      </c>
      <c r="AB275" s="0" t="str">
        <f aca="false">IF(AM275="","",INDEX(CATÁLOGO!$E$5:$E$39,AM275))</f>
        <v/>
      </c>
      <c r="AC275" s="0" t="str">
        <f aca="false">IF(AB275="","",IF(ISNUMBER(AB275),AB275*AV275,AB275))</f>
        <v/>
      </c>
      <c r="AD275" s="0" t="str">
        <f aca="false">IF(AM275="","",INDEX(CATÁLOGO!$F$5:$F$39,AM275))</f>
        <v/>
      </c>
      <c r="AE275" s="0" t="str">
        <f aca="false">IF(AD275="","",IF(ISNUMBER(AD275),AD275*AV275,AD275))</f>
        <v/>
      </c>
      <c r="AF275" s="0" t="str">
        <f aca="false">IF(AM275="","",INDEX(CATÁLOGO!$G$5:$G$39,AM275))</f>
        <v/>
      </c>
      <c r="AG275" s="0" t="str">
        <f aca="false">IF(AF275="","",IF(ISNUMBER(AF275),AF275*AV275,AF275))</f>
        <v/>
      </c>
      <c r="AH275" s="0" t="str">
        <f aca="false">IF(E275="","",C275&amp;"|"&amp;D275)</f>
        <v/>
      </c>
      <c r="AI275" s="27" t="n">
        <f aca="false">IF(M275&lt;&gt;"Sí",0,SUMPRODUCT(MAX(($AH$5:AH274=AH275)*($M$5:M274="Sí")*ROW($AH$5:AH274))))</f>
        <v>0</v>
      </c>
      <c r="AJ275" s="0" t="str">
        <f aca="false">IF(M275&lt;&gt;"Sí","",IF(AL275=1,B275,INDEX($AJ:$AJ,AI275)))</f>
        <v/>
      </c>
      <c r="AK275" s="0" t="str">
        <f aca="false">IF(M275&lt;&gt;"Sí","",IF(AL275=1,E275,INDEX($AK:$AK,AI275)+E275))</f>
        <v/>
      </c>
      <c r="AL275" s="0" t="str">
        <f aca="false">IF(M275&lt;&gt;"Sí","",IF(AI275=0,1,IF(INDEX($AN:$AN,AI275)=0,1,IF(B275&gt;=EDATE(INDEX($AJ:$AJ,AI275),6),1,0))))</f>
        <v/>
      </c>
      <c r="AM275" s="0" t="str">
        <f aca="false">IF(D275="","",IFERROR(MATCH(D275,CATÁLOGO!$C$5:$C$39,0),""))</f>
        <v/>
      </c>
      <c r="AN275" s="0" t="str">
        <f aca="false">IF(M275&lt;&gt;"Sí","",IF(AND(ISNUMBER(AE275),AK275&gt;=AE275),0,1))</f>
        <v/>
      </c>
      <c r="AO275" s="0" t="str">
        <f aca="false">IF(OR(E275="",C275="",NOT(ISNUMBER(B275))),"",SUMIFS($E$6:$E$505,$C$6:$C$505,C275,$B$6:$B$505,"&gt;="&amp;DATE(YEAR(B275),MONTH(B275),1),$B$6:$B$505,"&lt;"&amp;DATE(YEAR(B275),MONTH(B275)+1,1)))</f>
        <v/>
      </c>
      <c r="AP275" s="0" t="str">
        <f aca="false">IF(C275="","",IFERROR(INDEX(CLIENTES!$M$6:$M$305,MATCH(C275,CLIENTES!$A$6:$A$305,0)),""))</f>
        <v/>
      </c>
      <c r="AQ275" s="27" t="n">
        <f aca="false">IF(AND(ISNUMBER(AO275),ISNUMBER(AP275)),IF(AND(AP275&gt;0,AO275&gt;AP275),1,0),0)</f>
        <v>0</v>
      </c>
      <c r="AR275" s="27" t="n">
        <f aca="false">IF(NOT(ISNUMBER(B275)),0,IF(B275&lt;MAX($B$5:B274),1,0))</f>
        <v>0</v>
      </c>
      <c r="AS275" s="0" t="str">
        <f aca="false">IF(C275="","",IFERROR(INDEX(CLIENTES!$H$6:$H$305,MATCH(C275,CLIENTES!$A$6:$A$305,0)),""))</f>
        <v/>
      </c>
      <c r="AT275" s="0" t="str">
        <f aca="false">IF(AND(LEFT(P275,5)="AVISO",T275&lt;&gt;"Presentado",ISNUMBER(Q275)),Q275,"")</f>
        <v/>
      </c>
      <c r="AU275" s="27" t="n">
        <f aca="false">IF(AND(D275="XVI - Activos virtuales (PSAV): operación de intercambio/transferencia",M275="Sí",ISNUMBER(AE275)),IF(AK275&gt;=AE275,1,0),0)</f>
        <v>0</v>
      </c>
      <c r="AV275" s="30" t="n">
        <f aca="false">IF(NOT(ISNUMBER(B275)),CONFIG!$B$4,IFERROR(INDEX(CONFIG!$I$5:$I$14,MATCH(IF(MONTH(B275)=1,YEAR(B275)-1,YEAR(B275)),CONFIG!$H$5:$H$14,0)),CONFIG!$B$4))</f>
        <v>117.31</v>
      </c>
      <c r="AW275" s="27" t="n">
        <f aca="false">IF(AND(LEFT(D275,4)="I - ",ISNUMBER(B275),C275&lt;&gt;""),SUMIFS($E$6:$E$505,$C$6:$C$505,C275,$D$6:$D$505,D275,$B$6:$B$505,"&gt;"&amp;(B275-1),$B$6:$B$505,"&lt;="&amp;B275),0)</f>
        <v>0</v>
      </c>
      <c r="AX275" s="0" t="str">
        <f aca="false">IF(E275="","",IF(AD275="Siempre","AVISO (siempre)",IF(AD275="No aplica","Sin Aviso (sólo preparas: Ley 17 XI)",IF(NOT(ISNUMBER(AE275)),"",IF(AA275&lt;&gt;"ACUMULA",IF(E275&gt;=AE275,IF(AND(D275="XVI - Activos virtuales (PSAV): cobro de contraprestación (comisión) por el servicio",COUNTIFS($C$6:$C$505,C275,$B$6:$B$505,"&gt;="&amp;INT(B275),$B$6:$B$505,"&lt;"&amp;(INT(B275)+1),$AU$6:$AU$505,1)&gt;0),"En el Aviso del inciso a) (R 31 Bis)","AVISO"),"—"),IF(M275&lt;&gt;"Sí","—",IF(AK275&gt;=AE275,IF(AK275=E275,"AVISO","AVISO (acumulado)"),"Acumulando")))))))</f>
        <v/>
      </c>
    </row>
    <row r="276" customFormat="false" ht="15" hidden="false" customHeight="false" outlineLevel="0" collapsed="false">
      <c r="A276" s="9" t="str">
        <f aca="false">IF(E276="","",ROW()-5)</f>
        <v/>
      </c>
      <c r="B276" s="20"/>
      <c r="C276" s="21"/>
      <c r="D276" s="21"/>
      <c r="E276" s="22"/>
      <c r="F276" s="22"/>
      <c r="G276" s="21"/>
      <c r="H276" s="21"/>
      <c r="I276" s="9" t="str">
        <f aca="false">IF(C276="","",IFERROR(INDEX(CLIENTES!$B$6:$B$305,MATCH(C276,CLIENTES!$A$6:$A$305,0)),"⚠ ID no registrado"))</f>
        <v/>
      </c>
      <c r="J276" s="9" t="str">
        <f aca="false">IF(C276="","",IFERROR(INDEX(CLIENTES!$Z$6:$Z$305,MATCH(C276,CLIENTES!$A$6:$A$305,0)),""))</f>
        <v/>
      </c>
      <c r="K276" s="9" t="str">
        <f aca="false">IF(E276="","",IF(AB276="Siempre","Sí",IF(ISNUMBER(AC276),IF(E276&gt;=AC276,"Sí",IF(AW276&gt;=AC276,"Sí (serie 24 h)","No")),"")))</f>
        <v/>
      </c>
      <c r="L276" s="9" t="str">
        <f aca="false">IF(E276="","",AA276)</f>
        <v/>
      </c>
      <c r="M276" s="9" t="str">
        <f aca="false">IF(E276="","",IF(AA276&lt;&gt;"ACUMULA","No aplica",IF(LEFT(K276,2)="Sí","Sí","No")))</f>
        <v/>
      </c>
      <c r="N276" s="23" t="str">
        <f aca="false">IF(M276="Sí",AJ276,"")</f>
        <v/>
      </c>
      <c r="O276" s="24" t="str">
        <f aca="false">IF(M276="Sí",AK276,"")</f>
        <v/>
      </c>
      <c r="P276" s="25" t="str">
        <f aca="false">IF(AND(LEFT(D276,6)="XIV - ",LEFT(AX276,5)="AVISO"),"Pedimento (R 16): no va al SPPLD",AX276)</f>
        <v/>
      </c>
      <c r="Q276" s="23" t="str">
        <f aca="false">IF(LEFT(P276,5)="AVISO",IF(ISNUMBER(B276),DATE(YEAR(B276),MONTH(B276)+1,17),"Falta fecha"),"")</f>
        <v/>
      </c>
      <c r="R276" s="9" t="str">
        <f aca="false">IF(OR(F276="",F276=0),"",IF(ISNUMBER(AG276),IF(F276&gt;=AG276,"PROHIBIDO","Dentro del límite"),"No aplica"))</f>
        <v/>
      </c>
      <c r="S276" s="26" t="str">
        <f aca="false">IF(E276="","",MID(IF(AQ276=1," · Excede el perfil declarado","")&amp;IF(H276="Sí"," · Paga un tercero","")&amp;IF(J276="Alto"," · Cliente de riesgo alto: DDR (RCG 23 Ter 3 y 4)","")&amp;IF(AND(AS276&lt;&gt;"",AS276&lt;&gt;"No",AS276&lt;&gt;0)," · PEP","")&amp;IF(R276="PROHIBIDO"," · Efectivo prohibido: no lo recibas (Art. 32)","")&amp;IF(AR276=1," · ⚠ Fecha fuera de orden","")&amp;IF(LEFT(I276,1)="⚠"," · ⚠ Cliente no registrado","")&amp;IF(D276=""," · ⚠ Falta la actividad","")&amp;IF(AND(LEFT(P276,5)="AVISO",W276="")," · Captura la cifra total con IVA para el Aviso","")&amp;IF(AND(ISNUMBER(W276),W276&lt;E276)," · ⚠ La cifra con IVA es menor que el monto sin IVA",""),4,400))</f>
        <v/>
      </c>
      <c r="T276" s="21"/>
      <c r="U276" s="20"/>
      <c r="V276" s="9" t="str">
        <f aca="false">IF(LEFT(P276,5)&lt;&gt;"AVISO","",IF(T276="Presentado",IF(AND(ISNUMBER(U276),ISNUMBER(Q276),U276&gt;Q276),"Presentado tarde","Presentado"),IF(NOT(ISNUMBER(Q276)),"Falta fecha",IF(Q276&lt;CONFIG!$B$6,"VENCIDO","Vence en "&amp;(Q276-CONFIG!$B$6)&amp;" días"))))</f>
        <v/>
      </c>
      <c r="W276" s="22"/>
      <c r="X276" s="21"/>
      <c r="AA276" s="0" t="str">
        <f aca="false">IF(AM276="","",INDEX(CATÁLOGO!$D$5:$D$39,AM276))</f>
        <v/>
      </c>
      <c r="AB276" s="0" t="str">
        <f aca="false">IF(AM276="","",INDEX(CATÁLOGO!$E$5:$E$39,AM276))</f>
        <v/>
      </c>
      <c r="AC276" s="0" t="str">
        <f aca="false">IF(AB276="","",IF(ISNUMBER(AB276),AB276*AV276,AB276))</f>
        <v/>
      </c>
      <c r="AD276" s="0" t="str">
        <f aca="false">IF(AM276="","",INDEX(CATÁLOGO!$F$5:$F$39,AM276))</f>
        <v/>
      </c>
      <c r="AE276" s="0" t="str">
        <f aca="false">IF(AD276="","",IF(ISNUMBER(AD276),AD276*AV276,AD276))</f>
        <v/>
      </c>
      <c r="AF276" s="0" t="str">
        <f aca="false">IF(AM276="","",INDEX(CATÁLOGO!$G$5:$G$39,AM276))</f>
        <v/>
      </c>
      <c r="AG276" s="0" t="str">
        <f aca="false">IF(AF276="","",IF(ISNUMBER(AF276),AF276*AV276,AF276))</f>
        <v/>
      </c>
      <c r="AH276" s="0" t="str">
        <f aca="false">IF(E276="","",C276&amp;"|"&amp;D276)</f>
        <v/>
      </c>
      <c r="AI276" s="27" t="n">
        <f aca="false">IF(M276&lt;&gt;"Sí",0,SUMPRODUCT(MAX(($AH$5:AH275=AH276)*($M$5:M275="Sí")*ROW($AH$5:AH275))))</f>
        <v>0</v>
      </c>
      <c r="AJ276" s="0" t="str">
        <f aca="false">IF(M276&lt;&gt;"Sí","",IF(AL276=1,B276,INDEX($AJ:$AJ,AI276)))</f>
        <v/>
      </c>
      <c r="AK276" s="0" t="str">
        <f aca="false">IF(M276&lt;&gt;"Sí","",IF(AL276=1,E276,INDEX($AK:$AK,AI276)+E276))</f>
        <v/>
      </c>
      <c r="AL276" s="0" t="str">
        <f aca="false">IF(M276&lt;&gt;"Sí","",IF(AI276=0,1,IF(INDEX($AN:$AN,AI276)=0,1,IF(B276&gt;=EDATE(INDEX($AJ:$AJ,AI276),6),1,0))))</f>
        <v/>
      </c>
      <c r="AM276" s="0" t="str">
        <f aca="false">IF(D276="","",IFERROR(MATCH(D276,CATÁLOGO!$C$5:$C$39,0),""))</f>
        <v/>
      </c>
      <c r="AN276" s="0" t="str">
        <f aca="false">IF(M276&lt;&gt;"Sí","",IF(AND(ISNUMBER(AE276),AK276&gt;=AE276),0,1))</f>
        <v/>
      </c>
      <c r="AO276" s="0" t="str">
        <f aca="false">IF(OR(E276="",C276="",NOT(ISNUMBER(B276))),"",SUMIFS($E$6:$E$505,$C$6:$C$505,C276,$B$6:$B$505,"&gt;="&amp;DATE(YEAR(B276),MONTH(B276),1),$B$6:$B$505,"&lt;"&amp;DATE(YEAR(B276),MONTH(B276)+1,1)))</f>
        <v/>
      </c>
      <c r="AP276" s="0" t="str">
        <f aca="false">IF(C276="","",IFERROR(INDEX(CLIENTES!$M$6:$M$305,MATCH(C276,CLIENTES!$A$6:$A$305,0)),""))</f>
        <v/>
      </c>
      <c r="AQ276" s="27" t="n">
        <f aca="false">IF(AND(ISNUMBER(AO276),ISNUMBER(AP276)),IF(AND(AP276&gt;0,AO276&gt;AP276),1,0),0)</f>
        <v>0</v>
      </c>
      <c r="AR276" s="27" t="n">
        <f aca="false">IF(NOT(ISNUMBER(B276)),0,IF(B276&lt;MAX($B$5:B275),1,0))</f>
        <v>0</v>
      </c>
      <c r="AS276" s="0" t="str">
        <f aca="false">IF(C276="","",IFERROR(INDEX(CLIENTES!$H$6:$H$305,MATCH(C276,CLIENTES!$A$6:$A$305,0)),""))</f>
        <v/>
      </c>
      <c r="AT276" s="0" t="str">
        <f aca="false">IF(AND(LEFT(P276,5)="AVISO",T276&lt;&gt;"Presentado",ISNUMBER(Q276)),Q276,"")</f>
        <v/>
      </c>
      <c r="AU276" s="27" t="n">
        <f aca="false">IF(AND(D276="XVI - Activos virtuales (PSAV): operación de intercambio/transferencia",M276="Sí",ISNUMBER(AE276)),IF(AK276&gt;=AE276,1,0),0)</f>
        <v>0</v>
      </c>
      <c r="AV276" s="30" t="n">
        <f aca="false">IF(NOT(ISNUMBER(B276)),CONFIG!$B$4,IFERROR(INDEX(CONFIG!$I$5:$I$14,MATCH(IF(MONTH(B276)=1,YEAR(B276)-1,YEAR(B276)),CONFIG!$H$5:$H$14,0)),CONFIG!$B$4))</f>
        <v>117.31</v>
      </c>
      <c r="AW276" s="27" t="n">
        <f aca="false">IF(AND(LEFT(D276,4)="I - ",ISNUMBER(B276),C276&lt;&gt;""),SUMIFS($E$6:$E$505,$C$6:$C$505,C276,$D$6:$D$505,D276,$B$6:$B$505,"&gt;"&amp;(B276-1),$B$6:$B$505,"&lt;="&amp;B276),0)</f>
        <v>0</v>
      </c>
      <c r="AX276" s="0" t="str">
        <f aca="false">IF(E276="","",IF(AD276="Siempre","AVISO (siempre)",IF(AD276="No aplica","Sin Aviso (sólo preparas: Ley 17 XI)",IF(NOT(ISNUMBER(AE276)),"",IF(AA276&lt;&gt;"ACUMULA",IF(E276&gt;=AE276,IF(AND(D276="XVI - Activos virtuales (PSAV): cobro de contraprestación (comisión) por el servicio",COUNTIFS($C$6:$C$505,C276,$B$6:$B$505,"&gt;="&amp;INT(B276),$B$6:$B$505,"&lt;"&amp;(INT(B276)+1),$AU$6:$AU$505,1)&gt;0),"En el Aviso del inciso a) (R 31 Bis)","AVISO"),"—"),IF(M276&lt;&gt;"Sí","—",IF(AK276&gt;=AE276,IF(AK276=E276,"AVISO","AVISO (acumulado)"),"Acumulando")))))))</f>
        <v/>
      </c>
    </row>
    <row r="277" customFormat="false" ht="15" hidden="false" customHeight="false" outlineLevel="0" collapsed="false">
      <c r="A277" s="9" t="str">
        <f aca="false">IF(E277="","",ROW()-5)</f>
        <v/>
      </c>
      <c r="B277" s="20"/>
      <c r="C277" s="21"/>
      <c r="D277" s="21"/>
      <c r="E277" s="22"/>
      <c r="F277" s="22"/>
      <c r="G277" s="21"/>
      <c r="H277" s="21"/>
      <c r="I277" s="9" t="str">
        <f aca="false">IF(C277="","",IFERROR(INDEX(CLIENTES!$B$6:$B$305,MATCH(C277,CLIENTES!$A$6:$A$305,0)),"⚠ ID no registrado"))</f>
        <v/>
      </c>
      <c r="J277" s="9" t="str">
        <f aca="false">IF(C277="","",IFERROR(INDEX(CLIENTES!$Z$6:$Z$305,MATCH(C277,CLIENTES!$A$6:$A$305,0)),""))</f>
        <v/>
      </c>
      <c r="K277" s="9" t="str">
        <f aca="false">IF(E277="","",IF(AB277="Siempre","Sí",IF(ISNUMBER(AC277),IF(E277&gt;=AC277,"Sí",IF(AW277&gt;=AC277,"Sí (serie 24 h)","No")),"")))</f>
        <v/>
      </c>
      <c r="L277" s="9" t="str">
        <f aca="false">IF(E277="","",AA277)</f>
        <v/>
      </c>
      <c r="M277" s="9" t="str">
        <f aca="false">IF(E277="","",IF(AA277&lt;&gt;"ACUMULA","No aplica",IF(LEFT(K277,2)="Sí","Sí","No")))</f>
        <v/>
      </c>
      <c r="N277" s="23" t="str">
        <f aca="false">IF(M277="Sí",AJ277,"")</f>
        <v/>
      </c>
      <c r="O277" s="24" t="str">
        <f aca="false">IF(M277="Sí",AK277,"")</f>
        <v/>
      </c>
      <c r="P277" s="25" t="str">
        <f aca="false">IF(AND(LEFT(D277,6)="XIV - ",LEFT(AX277,5)="AVISO"),"Pedimento (R 16): no va al SPPLD",AX277)</f>
        <v/>
      </c>
      <c r="Q277" s="23" t="str">
        <f aca="false">IF(LEFT(P277,5)="AVISO",IF(ISNUMBER(B277),DATE(YEAR(B277),MONTH(B277)+1,17),"Falta fecha"),"")</f>
        <v/>
      </c>
      <c r="R277" s="9" t="str">
        <f aca="false">IF(OR(F277="",F277=0),"",IF(ISNUMBER(AG277),IF(F277&gt;=AG277,"PROHIBIDO","Dentro del límite"),"No aplica"))</f>
        <v/>
      </c>
      <c r="S277" s="26" t="str">
        <f aca="false">IF(E277="","",MID(IF(AQ277=1," · Excede el perfil declarado","")&amp;IF(H277="Sí"," · Paga un tercero","")&amp;IF(J277="Alto"," · Cliente de riesgo alto: DDR (RCG 23 Ter 3 y 4)","")&amp;IF(AND(AS277&lt;&gt;"",AS277&lt;&gt;"No",AS277&lt;&gt;0)," · PEP","")&amp;IF(R277="PROHIBIDO"," · Efectivo prohibido: no lo recibas (Art. 32)","")&amp;IF(AR277=1," · ⚠ Fecha fuera de orden","")&amp;IF(LEFT(I277,1)="⚠"," · ⚠ Cliente no registrado","")&amp;IF(D277=""," · ⚠ Falta la actividad","")&amp;IF(AND(LEFT(P277,5)="AVISO",W277="")," · Captura la cifra total con IVA para el Aviso","")&amp;IF(AND(ISNUMBER(W277),W277&lt;E277)," · ⚠ La cifra con IVA es menor que el monto sin IVA",""),4,400))</f>
        <v/>
      </c>
      <c r="T277" s="21"/>
      <c r="U277" s="20"/>
      <c r="V277" s="9" t="str">
        <f aca="false">IF(LEFT(P277,5)&lt;&gt;"AVISO","",IF(T277="Presentado",IF(AND(ISNUMBER(U277),ISNUMBER(Q277),U277&gt;Q277),"Presentado tarde","Presentado"),IF(NOT(ISNUMBER(Q277)),"Falta fecha",IF(Q277&lt;CONFIG!$B$6,"VENCIDO","Vence en "&amp;(Q277-CONFIG!$B$6)&amp;" días"))))</f>
        <v/>
      </c>
      <c r="W277" s="22"/>
      <c r="X277" s="21"/>
      <c r="AA277" s="0" t="str">
        <f aca="false">IF(AM277="","",INDEX(CATÁLOGO!$D$5:$D$39,AM277))</f>
        <v/>
      </c>
      <c r="AB277" s="0" t="str">
        <f aca="false">IF(AM277="","",INDEX(CATÁLOGO!$E$5:$E$39,AM277))</f>
        <v/>
      </c>
      <c r="AC277" s="0" t="str">
        <f aca="false">IF(AB277="","",IF(ISNUMBER(AB277),AB277*AV277,AB277))</f>
        <v/>
      </c>
      <c r="AD277" s="0" t="str">
        <f aca="false">IF(AM277="","",INDEX(CATÁLOGO!$F$5:$F$39,AM277))</f>
        <v/>
      </c>
      <c r="AE277" s="0" t="str">
        <f aca="false">IF(AD277="","",IF(ISNUMBER(AD277),AD277*AV277,AD277))</f>
        <v/>
      </c>
      <c r="AF277" s="0" t="str">
        <f aca="false">IF(AM277="","",INDEX(CATÁLOGO!$G$5:$G$39,AM277))</f>
        <v/>
      </c>
      <c r="AG277" s="0" t="str">
        <f aca="false">IF(AF277="","",IF(ISNUMBER(AF277),AF277*AV277,AF277))</f>
        <v/>
      </c>
      <c r="AH277" s="0" t="str">
        <f aca="false">IF(E277="","",C277&amp;"|"&amp;D277)</f>
        <v/>
      </c>
      <c r="AI277" s="27" t="n">
        <f aca="false">IF(M277&lt;&gt;"Sí",0,SUMPRODUCT(MAX(($AH$5:AH276=AH277)*($M$5:M276="Sí")*ROW($AH$5:AH276))))</f>
        <v>0</v>
      </c>
      <c r="AJ277" s="0" t="str">
        <f aca="false">IF(M277&lt;&gt;"Sí","",IF(AL277=1,B277,INDEX($AJ:$AJ,AI277)))</f>
        <v/>
      </c>
      <c r="AK277" s="0" t="str">
        <f aca="false">IF(M277&lt;&gt;"Sí","",IF(AL277=1,E277,INDEX($AK:$AK,AI277)+E277))</f>
        <v/>
      </c>
      <c r="AL277" s="0" t="str">
        <f aca="false">IF(M277&lt;&gt;"Sí","",IF(AI277=0,1,IF(INDEX($AN:$AN,AI277)=0,1,IF(B277&gt;=EDATE(INDEX($AJ:$AJ,AI277),6),1,0))))</f>
        <v/>
      </c>
      <c r="AM277" s="0" t="str">
        <f aca="false">IF(D277="","",IFERROR(MATCH(D277,CATÁLOGO!$C$5:$C$39,0),""))</f>
        <v/>
      </c>
      <c r="AN277" s="0" t="str">
        <f aca="false">IF(M277&lt;&gt;"Sí","",IF(AND(ISNUMBER(AE277),AK277&gt;=AE277),0,1))</f>
        <v/>
      </c>
      <c r="AO277" s="0" t="str">
        <f aca="false">IF(OR(E277="",C277="",NOT(ISNUMBER(B277))),"",SUMIFS($E$6:$E$505,$C$6:$C$505,C277,$B$6:$B$505,"&gt;="&amp;DATE(YEAR(B277),MONTH(B277),1),$B$6:$B$505,"&lt;"&amp;DATE(YEAR(B277),MONTH(B277)+1,1)))</f>
        <v/>
      </c>
      <c r="AP277" s="0" t="str">
        <f aca="false">IF(C277="","",IFERROR(INDEX(CLIENTES!$M$6:$M$305,MATCH(C277,CLIENTES!$A$6:$A$305,0)),""))</f>
        <v/>
      </c>
      <c r="AQ277" s="27" t="n">
        <f aca="false">IF(AND(ISNUMBER(AO277),ISNUMBER(AP277)),IF(AND(AP277&gt;0,AO277&gt;AP277),1,0),0)</f>
        <v>0</v>
      </c>
      <c r="AR277" s="27" t="n">
        <f aca="false">IF(NOT(ISNUMBER(B277)),0,IF(B277&lt;MAX($B$5:B276),1,0))</f>
        <v>0</v>
      </c>
      <c r="AS277" s="0" t="str">
        <f aca="false">IF(C277="","",IFERROR(INDEX(CLIENTES!$H$6:$H$305,MATCH(C277,CLIENTES!$A$6:$A$305,0)),""))</f>
        <v/>
      </c>
      <c r="AT277" s="0" t="str">
        <f aca="false">IF(AND(LEFT(P277,5)="AVISO",T277&lt;&gt;"Presentado",ISNUMBER(Q277)),Q277,"")</f>
        <v/>
      </c>
      <c r="AU277" s="27" t="n">
        <f aca="false">IF(AND(D277="XVI - Activos virtuales (PSAV): operación de intercambio/transferencia",M277="Sí",ISNUMBER(AE277)),IF(AK277&gt;=AE277,1,0),0)</f>
        <v>0</v>
      </c>
      <c r="AV277" s="30" t="n">
        <f aca="false">IF(NOT(ISNUMBER(B277)),CONFIG!$B$4,IFERROR(INDEX(CONFIG!$I$5:$I$14,MATCH(IF(MONTH(B277)=1,YEAR(B277)-1,YEAR(B277)),CONFIG!$H$5:$H$14,0)),CONFIG!$B$4))</f>
        <v>117.31</v>
      </c>
      <c r="AW277" s="27" t="n">
        <f aca="false">IF(AND(LEFT(D277,4)="I - ",ISNUMBER(B277),C277&lt;&gt;""),SUMIFS($E$6:$E$505,$C$6:$C$505,C277,$D$6:$D$505,D277,$B$6:$B$505,"&gt;"&amp;(B277-1),$B$6:$B$505,"&lt;="&amp;B277),0)</f>
        <v>0</v>
      </c>
      <c r="AX277" s="0" t="str">
        <f aca="false">IF(E277="","",IF(AD277="Siempre","AVISO (siempre)",IF(AD277="No aplica","Sin Aviso (sólo preparas: Ley 17 XI)",IF(NOT(ISNUMBER(AE277)),"",IF(AA277&lt;&gt;"ACUMULA",IF(E277&gt;=AE277,IF(AND(D277="XVI - Activos virtuales (PSAV): cobro de contraprestación (comisión) por el servicio",COUNTIFS($C$6:$C$505,C277,$B$6:$B$505,"&gt;="&amp;INT(B277),$B$6:$B$505,"&lt;"&amp;(INT(B277)+1),$AU$6:$AU$505,1)&gt;0),"En el Aviso del inciso a) (R 31 Bis)","AVISO"),"—"),IF(M277&lt;&gt;"Sí","—",IF(AK277&gt;=AE277,IF(AK277=E277,"AVISO","AVISO (acumulado)"),"Acumulando")))))))</f>
        <v/>
      </c>
    </row>
    <row r="278" customFormat="false" ht="15" hidden="false" customHeight="false" outlineLevel="0" collapsed="false">
      <c r="A278" s="9" t="str">
        <f aca="false">IF(E278="","",ROW()-5)</f>
        <v/>
      </c>
      <c r="B278" s="20"/>
      <c r="C278" s="21"/>
      <c r="D278" s="21"/>
      <c r="E278" s="22"/>
      <c r="F278" s="22"/>
      <c r="G278" s="21"/>
      <c r="H278" s="21"/>
      <c r="I278" s="9" t="str">
        <f aca="false">IF(C278="","",IFERROR(INDEX(CLIENTES!$B$6:$B$305,MATCH(C278,CLIENTES!$A$6:$A$305,0)),"⚠ ID no registrado"))</f>
        <v/>
      </c>
      <c r="J278" s="9" t="str">
        <f aca="false">IF(C278="","",IFERROR(INDEX(CLIENTES!$Z$6:$Z$305,MATCH(C278,CLIENTES!$A$6:$A$305,0)),""))</f>
        <v/>
      </c>
      <c r="K278" s="9" t="str">
        <f aca="false">IF(E278="","",IF(AB278="Siempre","Sí",IF(ISNUMBER(AC278),IF(E278&gt;=AC278,"Sí",IF(AW278&gt;=AC278,"Sí (serie 24 h)","No")),"")))</f>
        <v/>
      </c>
      <c r="L278" s="9" t="str">
        <f aca="false">IF(E278="","",AA278)</f>
        <v/>
      </c>
      <c r="M278" s="9" t="str">
        <f aca="false">IF(E278="","",IF(AA278&lt;&gt;"ACUMULA","No aplica",IF(LEFT(K278,2)="Sí","Sí","No")))</f>
        <v/>
      </c>
      <c r="N278" s="23" t="str">
        <f aca="false">IF(M278="Sí",AJ278,"")</f>
        <v/>
      </c>
      <c r="O278" s="24" t="str">
        <f aca="false">IF(M278="Sí",AK278,"")</f>
        <v/>
      </c>
      <c r="P278" s="25" t="str">
        <f aca="false">IF(AND(LEFT(D278,6)="XIV - ",LEFT(AX278,5)="AVISO"),"Pedimento (R 16): no va al SPPLD",AX278)</f>
        <v/>
      </c>
      <c r="Q278" s="23" t="str">
        <f aca="false">IF(LEFT(P278,5)="AVISO",IF(ISNUMBER(B278),DATE(YEAR(B278),MONTH(B278)+1,17),"Falta fecha"),"")</f>
        <v/>
      </c>
      <c r="R278" s="9" t="str">
        <f aca="false">IF(OR(F278="",F278=0),"",IF(ISNUMBER(AG278),IF(F278&gt;=AG278,"PROHIBIDO","Dentro del límite"),"No aplica"))</f>
        <v/>
      </c>
      <c r="S278" s="26" t="str">
        <f aca="false">IF(E278="","",MID(IF(AQ278=1," · Excede el perfil declarado","")&amp;IF(H278="Sí"," · Paga un tercero","")&amp;IF(J278="Alto"," · Cliente de riesgo alto: DDR (RCG 23 Ter 3 y 4)","")&amp;IF(AND(AS278&lt;&gt;"",AS278&lt;&gt;"No",AS278&lt;&gt;0)," · PEP","")&amp;IF(R278="PROHIBIDO"," · Efectivo prohibido: no lo recibas (Art. 32)","")&amp;IF(AR278=1," · ⚠ Fecha fuera de orden","")&amp;IF(LEFT(I278,1)="⚠"," · ⚠ Cliente no registrado","")&amp;IF(D278=""," · ⚠ Falta la actividad","")&amp;IF(AND(LEFT(P278,5)="AVISO",W278="")," · Captura la cifra total con IVA para el Aviso","")&amp;IF(AND(ISNUMBER(W278),W278&lt;E278)," · ⚠ La cifra con IVA es menor que el monto sin IVA",""),4,400))</f>
        <v/>
      </c>
      <c r="T278" s="21"/>
      <c r="U278" s="20"/>
      <c r="V278" s="9" t="str">
        <f aca="false">IF(LEFT(P278,5)&lt;&gt;"AVISO","",IF(T278="Presentado",IF(AND(ISNUMBER(U278),ISNUMBER(Q278),U278&gt;Q278),"Presentado tarde","Presentado"),IF(NOT(ISNUMBER(Q278)),"Falta fecha",IF(Q278&lt;CONFIG!$B$6,"VENCIDO","Vence en "&amp;(Q278-CONFIG!$B$6)&amp;" días"))))</f>
        <v/>
      </c>
      <c r="W278" s="22"/>
      <c r="X278" s="21"/>
      <c r="AA278" s="0" t="str">
        <f aca="false">IF(AM278="","",INDEX(CATÁLOGO!$D$5:$D$39,AM278))</f>
        <v/>
      </c>
      <c r="AB278" s="0" t="str">
        <f aca="false">IF(AM278="","",INDEX(CATÁLOGO!$E$5:$E$39,AM278))</f>
        <v/>
      </c>
      <c r="AC278" s="0" t="str">
        <f aca="false">IF(AB278="","",IF(ISNUMBER(AB278),AB278*AV278,AB278))</f>
        <v/>
      </c>
      <c r="AD278" s="0" t="str">
        <f aca="false">IF(AM278="","",INDEX(CATÁLOGO!$F$5:$F$39,AM278))</f>
        <v/>
      </c>
      <c r="AE278" s="0" t="str">
        <f aca="false">IF(AD278="","",IF(ISNUMBER(AD278),AD278*AV278,AD278))</f>
        <v/>
      </c>
      <c r="AF278" s="0" t="str">
        <f aca="false">IF(AM278="","",INDEX(CATÁLOGO!$G$5:$G$39,AM278))</f>
        <v/>
      </c>
      <c r="AG278" s="0" t="str">
        <f aca="false">IF(AF278="","",IF(ISNUMBER(AF278),AF278*AV278,AF278))</f>
        <v/>
      </c>
      <c r="AH278" s="0" t="str">
        <f aca="false">IF(E278="","",C278&amp;"|"&amp;D278)</f>
        <v/>
      </c>
      <c r="AI278" s="27" t="n">
        <f aca="false">IF(M278&lt;&gt;"Sí",0,SUMPRODUCT(MAX(($AH$5:AH277=AH278)*($M$5:M277="Sí")*ROW($AH$5:AH277))))</f>
        <v>0</v>
      </c>
      <c r="AJ278" s="0" t="str">
        <f aca="false">IF(M278&lt;&gt;"Sí","",IF(AL278=1,B278,INDEX($AJ:$AJ,AI278)))</f>
        <v/>
      </c>
      <c r="AK278" s="0" t="str">
        <f aca="false">IF(M278&lt;&gt;"Sí","",IF(AL278=1,E278,INDEX($AK:$AK,AI278)+E278))</f>
        <v/>
      </c>
      <c r="AL278" s="0" t="str">
        <f aca="false">IF(M278&lt;&gt;"Sí","",IF(AI278=0,1,IF(INDEX($AN:$AN,AI278)=0,1,IF(B278&gt;=EDATE(INDEX($AJ:$AJ,AI278),6),1,0))))</f>
        <v/>
      </c>
      <c r="AM278" s="0" t="str">
        <f aca="false">IF(D278="","",IFERROR(MATCH(D278,CATÁLOGO!$C$5:$C$39,0),""))</f>
        <v/>
      </c>
      <c r="AN278" s="0" t="str">
        <f aca="false">IF(M278&lt;&gt;"Sí","",IF(AND(ISNUMBER(AE278),AK278&gt;=AE278),0,1))</f>
        <v/>
      </c>
      <c r="AO278" s="0" t="str">
        <f aca="false">IF(OR(E278="",C278="",NOT(ISNUMBER(B278))),"",SUMIFS($E$6:$E$505,$C$6:$C$505,C278,$B$6:$B$505,"&gt;="&amp;DATE(YEAR(B278),MONTH(B278),1),$B$6:$B$505,"&lt;"&amp;DATE(YEAR(B278),MONTH(B278)+1,1)))</f>
        <v/>
      </c>
      <c r="AP278" s="0" t="str">
        <f aca="false">IF(C278="","",IFERROR(INDEX(CLIENTES!$M$6:$M$305,MATCH(C278,CLIENTES!$A$6:$A$305,0)),""))</f>
        <v/>
      </c>
      <c r="AQ278" s="27" t="n">
        <f aca="false">IF(AND(ISNUMBER(AO278),ISNUMBER(AP278)),IF(AND(AP278&gt;0,AO278&gt;AP278),1,0),0)</f>
        <v>0</v>
      </c>
      <c r="AR278" s="27" t="n">
        <f aca="false">IF(NOT(ISNUMBER(B278)),0,IF(B278&lt;MAX($B$5:B277),1,0))</f>
        <v>0</v>
      </c>
      <c r="AS278" s="0" t="str">
        <f aca="false">IF(C278="","",IFERROR(INDEX(CLIENTES!$H$6:$H$305,MATCH(C278,CLIENTES!$A$6:$A$305,0)),""))</f>
        <v/>
      </c>
      <c r="AT278" s="0" t="str">
        <f aca="false">IF(AND(LEFT(P278,5)="AVISO",T278&lt;&gt;"Presentado",ISNUMBER(Q278)),Q278,"")</f>
        <v/>
      </c>
      <c r="AU278" s="27" t="n">
        <f aca="false">IF(AND(D278="XVI - Activos virtuales (PSAV): operación de intercambio/transferencia",M278="Sí",ISNUMBER(AE278)),IF(AK278&gt;=AE278,1,0),0)</f>
        <v>0</v>
      </c>
      <c r="AV278" s="30" t="n">
        <f aca="false">IF(NOT(ISNUMBER(B278)),CONFIG!$B$4,IFERROR(INDEX(CONFIG!$I$5:$I$14,MATCH(IF(MONTH(B278)=1,YEAR(B278)-1,YEAR(B278)),CONFIG!$H$5:$H$14,0)),CONFIG!$B$4))</f>
        <v>117.31</v>
      </c>
      <c r="AW278" s="27" t="n">
        <f aca="false">IF(AND(LEFT(D278,4)="I - ",ISNUMBER(B278),C278&lt;&gt;""),SUMIFS($E$6:$E$505,$C$6:$C$505,C278,$D$6:$D$505,D278,$B$6:$B$505,"&gt;"&amp;(B278-1),$B$6:$B$505,"&lt;="&amp;B278),0)</f>
        <v>0</v>
      </c>
      <c r="AX278" s="0" t="str">
        <f aca="false">IF(E278="","",IF(AD278="Siempre","AVISO (siempre)",IF(AD278="No aplica","Sin Aviso (sólo preparas: Ley 17 XI)",IF(NOT(ISNUMBER(AE278)),"",IF(AA278&lt;&gt;"ACUMULA",IF(E278&gt;=AE278,IF(AND(D278="XVI - Activos virtuales (PSAV): cobro de contraprestación (comisión) por el servicio",COUNTIFS($C$6:$C$505,C278,$B$6:$B$505,"&gt;="&amp;INT(B278),$B$6:$B$505,"&lt;"&amp;(INT(B278)+1),$AU$6:$AU$505,1)&gt;0),"En el Aviso del inciso a) (R 31 Bis)","AVISO"),"—"),IF(M278&lt;&gt;"Sí","—",IF(AK278&gt;=AE278,IF(AK278=E278,"AVISO","AVISO (acumulado)"),"Acumulando")))))))</f>
        <v/>
      </c>
    </row>
    <row r="279" customFormat="false" ht="15" hidden="false" customHeight="false" outlineLevel="0" collapsed="false">
      <c r="A279" s="9" t="str">
        <f aca="false">IF(E279="","",ROW()-5)</f>
        <v/>
      </c>
      <c r="B279" s="20"/>
      <c r="C279" s="21"/>
      <c r="D279" s="21"/>
      <c r="E279" s="22"/>
      <c r="F279" s="22"/>
      <c r="G279" s="21"/>
      <c r="H279" s="21"/>
      <c r="I279" s="9" t="str">
        <f aca="false">IF(C279="","",IFERROR(INDEX(CLIENTES!$B$6:$B$305,MATCH(C279,CLIENTES!$A$6:$A$305,0)),"⚠ ID no registrado"))</f>
        <v/>
      </c>
      <c r="J279" s="9" t="str">
        <f aca="false">IF(C279="","",IFERROR(INDEX(CLIENTES!$Z$6:$Z$305,MATCH(C279,CLIENTES!$A$6:$A$305,0)),""))</f>
        <v/>
      </c>
      <c r="K279" s="9" t="str">
        <f aca="false">IF(E279="","",IF(AB279="Siempre","Sí",IF(ISNUMBER(AC279),IF(E279&gt;=AC279,"Sí",IF(AW279&gt;=AC279,"Sí (serie 24 h)","No")),"")))</f>
        <v/>
      </c>
      <c r="L279" s="9" t="str">
        <f aca="false">IF(E279="","",AA279)</f>
        <v/>
      </c>
      <c r="M279" s="9" t="str">
        <f aca="false">IF(E279="","",IF(AA279&lt;&gt;"ACUMULA","No aplica",IF(LEFT(K279,2)="Sí","Sí","No")))</f>
        <v/>
      </c>
      <c r="N279" s="23" t="str">
        <f aca="false">IF(M279="Sí",AJ279,"")</f>
        <v/>
      </c>
      <c r="O279" s="24" t="str">
        <f aca="false">IF(M279="Sí",AK279,"")</f>
        <v/>
      </c>
      <c r="P279" s="25" t="str">
        <f aca="false">IF(AND(LEFT(D279,6)="XIV - ",LEFT(AX279,5)="AVISO"),"Pedimento (R 16): no va al SPPLD",AX279)</f>
        <v/>
      </c>
      <c r="Q279" s="23" t="str">
        <f aca="false">IF(LEFT(P279,5)="AVISO",IF(ISNUMBER(B279),DATE(YEAR(B279),MONTH(B279)+1,17),"Falta fecha"),"")</f>
        <v/>
      </c>
      <c r="R279" s="9" t="str">
        <f aca="false">IF(OR(F279="",F279=0),"",IF(ISNUMBER(AG279),IF(F279&gt;=AG279,"PROHIBIDO","Dentro del límite"),"No aplica"))</f>
        <v/>
      </c>
      <c r="S279" s="26" t="str">
        <f aca="false">IF(E279="","",MID(IF(AQ279=1," · Excede el perfil declarado","")&amp;IF(H279="Sí"," · Paga un tercero","")&amp;IF(J279="Alto"," · Cliente de riesgo alto: DDR (RCG 23 Ter 3 y 4)","")&amp;IF(AND(AS279&lt;&gt;"",AS279&lt;&gt;"No",AS279&lt;&gt;0)," · PEP","")&amp;IF(R279="PROHIBIDO"," · Efectivo prohibido: no lo recibas (Art. 32)","")&amp;IF(AR279=1," · ⚠ Fecha fuera de orden","")&amp;IF(LEFT(I279,1)="⚠"," · ⚠ Cliente no registrado","")&amp;IF(D279=""," · ⚠ Falta la actividad","")&amp;IF(AND(LEFT(P279,5)="AVISO",W279="")," · Captura la cifra total con IVA para el Aviso","")&amp;IF(AND(ISNUMBER(W279),W279&lt;E279)," · ⚠ La cifra con IVA es menor que el monto sin IVA",""),4,400))</f>
        <v/>
      </c>
      <c r="T279" s="21"/>
      <c r="U279" s="20"/>
      <c r="V279" s="9" t="str">
        <f aca="false">IF(LEFT(P279,5)&lt;&gt;"AVISO","",IF(T279="Presentado",IF(AND(ISNUMBER(U279),ISNUMBER(Q279),U279&gt;Q279),"Presentado tarde","Presentado"),IF(NOT(ISNUMBER(Q279)),"Falta fecha",IF(Q279&lt;CONFIG!$B$6,"VENCIDO","Vence en "&amp;(Q279-CONFIG!$B$6)&amp;" días"))))</f>
        <v/>
      </c>
      <c r="W279" s="22"/>
      <c r="X279" s="21"/>
      <c r="AA279" s="0" t="str">
        <f aca="false">IF(AM279="","",INDEX(CATÁLOGO!$D$5:$D$39,AM279))</f>
        <v/>
      </c>
      <c r="AB279" s="0" t="str">
        <f aca="false">IF(AM279="","",INDEX(CATÁLOGO!$E$5:$E$39,AM279))</f>
        <v/>
      </c>
      <c r="AC279" s="0" t="str">
        <f aca="false">IF(AB279="","",IF(ISNUMBER(AB279),AB279*AV279,AB279))</f>
        <v/>
      </c>
      <c r="AD279" s="0" t="str">
        <f aca="false">IF(AM279="","",INDEX(CATÁLOGO!$F$5:$F$39,AM279))</f>
        <v/>
      </c>
      <c r="AE279" s="0" t="str">
        <f aca="false">IF(AD279="","",IF(ISNUMBER(AD279),AD279*AV279,AD279))</f>
        <v/>
      </c>
      <c r="AF279" s="0" t="str">
        <f aca="false">IF(AM279="","",INDEX(CATÁLOGO!$G$5:$G$39,AM279))</f>
        <v/>
      </c>
      <c r="AG279" s="0" t="str">
        <f aca="false">IF(AF279="","",IF(ISNUMBER(AF279),AF279*AV279,AF279))</f>
        <v/>
      </c>
      <c r="AH279" s="0" t="str">
        <f aca="false">IF(E279="","",C279&amp;"|"&amp;D279)</f>
        <v/>
      </c>
      <c r="AI279" s="27" t="n">
        <f aca="false">IF(M279&lt;&gt;"Sí",0,SUMPRODUCT(MAX(($AH$5:AH278=AH279)*($M$5:M278="Sí")*ROW($AH$5:AH278))))</f>
        <v>0</v>
      </c>
      <c r="AJ279" s="0" t="str">
        <f aca="false">IF(M279&lt;&gt;"Sí","",IF(AL279=1,B279,INDEX($AJ:$AJ,AI279)))</f>
        <v/>
      </c>
      <c r="AK279" s="0" t="str">
        <f aca="false">IF(M279&lt;&gt;"Sí","",IF(AL279=1,E279,INDEX($AK:$AK,AI279)+E279))</f>
        <v/>
      </c>
      <c r="AL279" s="0" t="str">
        <f aca="false">IF(M279&lt;&gt;"Sí","",IF(AI279=0,1,IF(INDEX($AN:$AN,AI279)=0,1,IF(B279&gt;=EDATE(INDEX($AJ:$AJ,AI279),6),1,0))))</f>
        <v/>
      </c>
      <c r="AM279" s="0" t="str">
        <f aca="false">IF(D279="","",IFERROR(MATCH(D279,CATÁLOGO!$C$5:$C$39,0),""))</f>
        <v/>
      </c>
      <c r="AN279" s="0" t="str">
        <f aca="false">IF(M279&lt;&gt;"Sí","",IF(AND(ISNUMBER(AE279),AK279&gt;=AE279),0,1))</f>
        <v/>
      </c>
      <c r="AO279" s="0" t="str">
        <f aca="false">IF(OR(E279="",C279="",NOT(ISNUMBER(B279))),"",SUMIFS($E$6:$E$505,$C$6:$C$505,C279,$B$6:$B$505,"&gt;="&amp;DATE(YEAR(B279),MONTH(B279),1),$B$6:$B$505,"&lt;"&amp;DATE(YEAR(B279),MONTH(B279)+1,1)))</f>
        <v/>
      </c>
      <c r="AP279" s="0" t="str">
        <f aca="false">IF(C279="","",IFERROR(INDEX(CLIENTES!$M$6:$M$305,MATCH(C279,CLIENTES!$A$6:$A$305,0)),""))</f>
        <v/>
      </c>
      <c r="AQ279" s="27" t="n">
        <f aca="false">IF(AND(ISNUMBER(AO279),ISNUMBER(AP279)),IF(AND(AP279&gt;0,AO279&gt;AP279),1,0),0)</f>
        <v>0</v>
      </c>
      <c r="AR279" s="27" t="n">
        <f aca="false">IF(NOT(ISNUMBER(B279)),0,IF(B279&lt;MAX($B$5:B278),1,0))</f>
        <v>0</v>
      </c>
      <c r="AS279" s="0" t="str">
        <f aca="false">IF(C279="","",IFERROR(INDEX(CLIENTES!$H$6:$H$305,MATCH(C279,CLIENTES!$A$6:$A$305,0)),""))</f>
        <v/>
      </c>
      <c r="AT279" s="0" t="str">
        <f aca="false">IF(AND(LEFT(P279,5)="AVISO",T279&lt;&gt;"Presentado",ISNUMBER(Q279)),Q279,"")</f>
        <v/>
      </c>
      <c r="AU279" s="27" t="n">
        <f aca="false">IF(AND(D279="XVI - Activos virtuales (PSAV): operación de intercambio/transferencia",M279="Sí",ISNUMBER(AE279)),IF(AK279&gt;=AE279,1,0),0)</f>
        <v>0</v>
      </c>
      <c r="AV279" s="30" t="n">
        <f aca="false">IF(NOT(ISNUMBER(B279)),CONFIG!$B$4,IFERROR(INDEX(CONFIG!$I$5:$I$14,MATCH(IF(MONTH(B279)=1,YEAR(B279)-1,YEAR(B279)),CONFIG!$H$5:$H$14,0)),CONFIG!$B$4))</f>
        <v>117.31</v>
      </c>
      <c r="AW279" s="27" t="n">
        <f aca="false">IF(AND(LEFT(D279,4)="I - ",ISNUMBER(B279),C279&lt;&gt;""),SUMIFS($E$6:$E$505,$C$6:$C$505,C279,$D$6:$D$505,D279,$B$6:$B$505,"&gt;"&amp;(B279-1),$B$6:$B$505,"&lt;="&amp;B279),0)</f>
        <v>0</v>
      </c>
      <c r="AX279" s="0" t="str">
        <f aca="false">IF(E279="","",IF(AD279="Siempre","AVISO (siempre)",IF(AD279="No aplica","Sin Aviso (sólo preparas: Ley 17 XI)",IF(NOT(ISNUMBER(AE279)),"",IF(AA279&lt;&gt;"ACUMULA",IF(E279&gt;=AE279,IF(AND(D279="XVI - Activos virtuales (PSAV): cobro de contraprestación (comisión) por el servicio",COUNTIFS($C$6:$C$505,C279,$B$6:$B$505,"&gt;="&amp;INT(B279),$B$6:$B$505,"&lt;"&amp;(INT(B279)+1),$AU$6:$AU$505,1)&gt;0),"En el Aviso del inciso a) (R 31 Bis)","AVISO"),"—"),IF(M279&lt;&gt;"Sí","—",IF(AK279&gt;=AE279,IF(AK279=E279,"AVISO","AVISO (acumulado)"),"Acumulando")))))))</f>
        <v/>
      </c>
    </row>
    <row r="280" customFormat="false" ht="15" hidden="false" customHeight="false" outlineLevel="0" collapsed="false">
      <c r="A280" s="9" t="str">
        <f aca="false">IF(E280="","",ROW()-5)</f>
        <v/>
      </c>
      <c r="B280" s="20"/>
      <c r="C280" s="21"/>
      <c r="D280" s="21"/>
      <c r="E280" s="22"/>
      <c r="F280" s="22"/>
      <c r="G280" s="21"/>
      <c r="H280" s="21"/>
      <c r="I280" s="9" t="str">
        <f aca="false">IF(C280="","",IFERROR(INDEX(CLIENTES!$B$6:$B$305,MATCH(C280,CLIENTES!$A$6:$A$305,0)),"⚠ ID no registrado"))</f>
        <v/>
      </c>
      <c r="J280" s="9" t="str">
        <f aca="false">IF(C280="","",IFERROR(INDEX(CLIENTES!$Z$6:$Z$305,MATCH(C280,CLIENTES!$A$6:$A$305,0)),""))</f>
        <v/>
      </c>
      <c r="K280" s="9" t="str">
        <f aca="false">IF(E280="","",IF(AB280="Siempre","Sí",IF(ISNUMBER(AC280),IF(E280&gt;=AC280,"Sí",IF(AW280&gt;=AC280,"Sí (serie 24 h)","No")),"")))</f>
        <v/>
      </c>
      <c r="L280" s="9" t="str">
        <f aca="false">IF(E280="","",AA280)</f>
        <v/>
      </c>
      <c r="M280" s="9" t="str">
        <f aca="false">IF(E280="","",IF(AA280&lt;&gt;"ACUMULA","No aplica",IF(LEFT(K280,2)="Sí","Sí","No")))</f>
        <v/>
      </c>
      <c r="N280" s="23" t="str">
        <f aca="false">IF(M280="Sí",AJ280,"")</f>
        <v/>
      </c>
      <c r="O280" s="24" t="str">
        <f aca="false">IF(M280="Sí",AK280,"")</f>
        <v/>
      </c>
      <c r="P280" s="25" t="str">
        <f aca="false">IF(AND(LEFT(D280,6)="XIV - ",LEFT(AX280,5)="AVISO"),"Pedimento (R 16): no va al SPPLD",AX280)</f>
        <v/>
      </c>
      <c r="Q280" s="23" t="str">
        <f aca="false">IF(LEFT(P280,5)="AVISO",IF(ISNUMBER(B280),DATE(YEAR(B280),MONTH(B280)+1,17),"Falta fecha"),"")</f>
        <v/>
      </c>
      <c r="R280" s="9" t="str">
        <f aca="false">IF(OR(F280="",F280=0),"",IF(ISNUMBER(AG280),IF(F280&gt;=AG280,"PROHIBIDO","Dentro del límite"),"No aplica"))</f>
        <v/>
      </c>
      <c r="S280" s="26" t="str">
        <f aca="false">IF(E280="","",MID(IF(AQ280=1," · Excede el perfil declarado","")&amp;IF(H280="Sí"," · Paga un tercero","")&amp;IF(J280="Alto"," · Cliente de riesgo alto: DDR (RCG 23 Ter 3 y 4)","")&amp;IF(AND(AS280&lt;&gt;"",AS280&lt;&gt;"No",AS280&lt;&gt;0)," · PEP","")&amp;IF(R280="PROHIBIDO"," · Efectivo prohibido: no lo recibas (Art. 32)","")&amp;IF(AR280=1," · ⚠ Fecha fuera de orden","")&amp;IF(LEFT(I280,1)="⚠"," · ⚠ Cliente no registrado","")&amp;IF(D280=""," · ⚠ Falta la actividad","")&amp;IF(AND(LEFT(P280,5)="AVISO",W280="")," · Captura la cifra total con IVA para el Aviso","")&amp;IF(AND(ISNUMBER(W280),W280&lt;E280)," · ⚠ La cifra con IVA es menor que el monto sin IVA",""),4,400))</f>
        <v/>
      </c>
      <c r="T280" s="21"/>
      <c r="U280" s="20"/>
      <c r="V280" s="9" t="str">
        <f aca="false">IF(LEFT(P280,5)&lt;&gt;"AVISO","",IF(T280="Presentado",IF(AND(ISNUMBER(U280),ISNUMBER(Q280),U280&gt;Q280),"Presentado tarde","Presentado"),IF(NOT(ISNUMBER(Q280)),"Falta fecha",IF(Q280&lt;CONFIG!$B$6,"VENCIDO","Vence en "&amp;(Q280-CONFIG!$B$6)&amp;" días"))))</f>
        <v/>
      </c>
      <c r="W280" s="22"/>
      <c r="X280" s="21"/>
      <c r="AA280" s="0" t="str">
        <f aca="false">IF(AM280="","",INDEX(CATÁLOGO!$D$5:$D$39,AM280))</f>
        <v/>
      </c>
      <c r="AB280" s="0" t="str">
        <f aca="false">IF(AM280="","",INDEX(CATÁLOGO!$E$5:$E$39,AM280))</f>
        <v/>
      </c>
      <c r="AC280" s="0" t="str">
        <f aca="false">IF(AB280="","",IF(ISNUMBER(AB280),AB280*AV280,AB280))</f>
        <v/>
      </c>
      <c r="AD280" s="0" t="str">
        <f aca="false">IF(AM280="","",INDEX(CATÁLOGO!$F$5:$F$39,AM280))</f>
        <v/>
      </c>
      <c r="AE280" s="0" t="str">
        <f aca="false">IF(AD280="","",IF(ISNUMBER(AD280),AD280*AV280,AD280))</f>
        <v/>
      </c>
      <c r="AF280" s="0" t="str">
        <f aca="false">IF(AM280="","",INDEX(CATÁLOGO!$G$5:$G$39,AM280))</f>
        <v/>
      </c>
      <c r="AG280" s="0" t="str">
        <f aca="false">IF(AF280="","",IF(ISNUMBER(AF280),AF280*AV280,AF280))</f>
        <v/>
      </c>
      <c r="AH280" s="0" t="str">
        <f aca="false">IF(E280="","",C280&amp;"|"&amp;D280)</f>
        <v/>
      </c>
      <c r="AI280" s="27" t="n">
        <f aca="false">IF(M280&lt;&gt;"Sí",0,SUMPRODUCT(MAX(($AH$5:AH279=AH280)*($M$5:M279="Sí")*ROW($AH$5:AH279))))</f>
        <v>0</v>
      </c>
      <c r="AJ280" s="0" t="str">
        <f aca="false">IF(M280&lt;&gt;"Sí","",IF(AL280=1,B280,INDEX($AJ:$AJ,AI280)))</f>
        <v/>
      </c>
      <c r="AK280" s="0" t="str">
        <f aca="false">IF(M280&lt;&gt;"Sí","",IF(AL280=1,E280,INDEX($AK:$AK,AI280)+E280))</f>
        <v/>
      </c>
      <c r="AL280" s="0" t="str">
        <f aca="false">IF(M280&lt;&gt;"Sí","",IF(AI280=0,1,IF(INDEX($AN:$AN,AI280)=0,1,IF(B280&gt;=EDATE(INDEX($AJ:$AJ,AI280),6),1,0))))</f>
        <v/>
      </c>
      <c r="AM280" s="0" t="str">
        <f aca="false">IF(D280="","",IFERROR(MATCH(D280,CATÁLOGO!$C$5:$C$39,0),""))</f>
        <v/>
      </c>
      <c r="AN280" s="0" t="str">
        <f aca="false">IF(M280&lt;&gt;"Sí","",IF(AND(ISNUMBER(AE280),AK280&gt;=AE280),0,1))</f>
        <v/>
      </c>
      <c r="AO280" s="0" t="str">
        <f aca="false">IF(OR(E280="",C280="",NOT(ISNUMBER(B280))),"",SUMIFS($E$6:$E$505,$C$6:$C$505,C280,$B$6:$B$505,"&gt;="&amp;DATE(YEAR(B280),MONTH(B280),1),$B$6:$B$505,"&lt;"&amp;DATE(YEAR(B280),MONTH(B280)+1,1)))</f>
        <v/>
      </c>
      <c r="AP280" s="0" t="str">
        <f aca="false">IF(C280="","",IFERROR(INDEX(CLIENTES!$M$6:$M$305,MATCH(C280,CLIENTES!$A$6:$A$305,0)),""))</f>
        <v/>
      </c>
      <c r="AQ280" s="27" t="n">
        <f aca="false">IF(AND(ISNUMBER(AO280),ISNUMBER(AP280)),IF(AND(AP280&gt;0,AO280&gt;AP280),1,0),0)</f>
        <v>0</v>
      </c>
      <c r="AR280" s="27" t="n">
        <f aca="false">IF(NOT(ISNUMBER(B280)),0,IF(B280&lt;MAX($B$5:B279),1,0))</f>
        <v>0</v>
      </c>
      <c r="AS280" s="0" t="str">
        <f aca="false">IF(C280="","",IFERROR(INDEX(CLIENTES!$H$6:$H$305,MATCH(C280,CLIENTES!$A$6:$A$305,0)),""))</f>
        <v/>
      </c>
      <c r="AT280" s="0" t="str">
        <f aca="false">IF(AND(LEFT(P280,5)="AVISO",T280&lt;&gt;"Presentado",ISNUMBER(Q280)),Q280,"")</f>
        <v/>
      </c>
      <c r="AU280" s="27" t="n">
        <f aca="false">IF(AND(D280="XVI - Activos virtuales (PSAV): operación de intercambio/transferencia",M280="Sí",ISNUMBER(AE280)),IF(AK280&gt;=AE280,1,0),0)</f>
        <v>0</v>
      </c>
      <c r="AV280" s="30" t="n">
        <f aca="false">IF(NOT(ISNUMBER(B280)),CONFIG!$B$4,IFERROR(INDEX(CONFIG!$I$5:$I$14,MATCH(IF(MONTH(B280)=1,YEAR(B280)-1,YEAR(B280)),CONFIG!$H$5:$H$14,0)),CONFIG!$B$4))</f>
        <v>117.31</v>
      </c>
      <c r="AW280" s="27" t="n">
        <f aca="false">IF(AND(LEFT(D280,4)="I - ",ISNUMBER(B280),C280&lt;&gt;""),SUMIFS($E$6:$E$505,$C$6:$C$505,C280,$D$6:$D$505,D280,$B$6:$B$505,"&gt;"&amp;(B280-1),$B$6:$B$505,"&lt;="&amp;B280),0)</f>
        <v>0</v>
      </c>
      <c r="AX280" s="0" t="str">
        <f aca="false">IF(E280="","",IF(AD280="Siempre","AVISO (siempre)",IF(AD280="No aplica","Sin Aviso (sólo preparas: Ley 17 XI)",IF(NOT(ISNUMBER(AE280)),"",IF(AA280&lt;&gt;"ACUMULA",IF(E280&gt;=AE280,IF(AND(D280="XVI - Activos virtuales (PSAV): cobro de contraprestación (comisión) por el servicio",COUNTIFS($C$6:$C$505,C280,$B$6:$B$505,"&gt;="&amp;INT(B280),$B$6:$B$505,"&lt;"&amp;(INT(B280)+1),$AU$6:$AU$505,1)&gt;0),"En el Aviso del inciso a) (R 31 Bis)","AVISO"),"—"),IF(M280&lt;&gt;"Sí","—",IF(AK280&gt;=AE280,IF(AK280=E280,"AVISO","AVISO (acumulado)"),"Acumulando")))))))</f>
        <v/>
      </c>
    </row>
    <row r="281" customFormat="false" ht="15" hidden="false" customHeight="false" outlineLevel="0" collapsed="false">
      <c r="A281" s="9" t="str">
        <f aca="false">IF(E281="","",ROW()-5)</f>
        <v/>
      </c>
      <c r="B281" s="20"/>
      <c r="C281" s="21"/>
      <c r="D281" s="21"/>
      <c r="E281" s="22"/>
      <c r="F281" s="22"/>
      <c r="G281" s="21"/>
      <c r="H281" s="21"/>
      <c r="I281" s="9" t="str">
        <f aca="false">IF(C281="","",IFERROR(INDEX(CLIENTES!$B$6:$B$305,MATCH(C281,CLIENTES!$A$6:$A$305,0)),"⚠ ID no registrado"))</f>
        <v/>
      </c>
      <c r="J281" s="9" t="str">
        <f aca="false">IF(C281="","",IFERROR(INDEX(CLIENTES!$Z$6:$Z$305,MATCH(C281,CLIENTES!$A$6:$A$305,0)),""))</f>
        <v/>
      </c>
      <c r="K281" s="9" t="str">
        <f aca="false">IF(E281="","",IF(AB281="Siempre","Sí",IF(ISNUMBER(AC281),IF(E281&gt;=AC281,"Sí",IF(AW281&gt;=AC281,"Sí (serie 24 h)","No")),"")))</f>
        <v/>
      </c>
      <c r="L281" s="9" t="str">
        <f aca="false">IF(E281="","",AA281)</f>
        <v/>
      </c>
      <c r="M281" s="9" t="str">
        <f aca="false">IF(E281="","",IF(AA281&lt;&gt;"ACUMULA","No aplica",IF(LEFT(K281,2)="Sí","Sí","No")))</f>
        <v/>
      </c>
      <c r="N281" s="23" t="str">
        <f aca="false">IF(M281="Sí",AJ281,"")</f>
        <v/>
      </c>
      <c r="O281" s="24" t="str">
        <f aca="false">IF(M281="Sí",AK281,"")</f>
        <v/>
      </c>
      <c r="P281" s="25" t="str">
        <f aca="false">IF(AND(LEFT(D281,6)="XIV - ",LEFT(AX281,5)="AVISO"),"Pedimento (R 16): no va al SPPLD",AX281)</f>
        <v/>
      </c>
      <c r="Q281" s="23" t="str">
        <f aca="false">IF(LEFT(P281,5)="AVISO",IF(ISNUMBER(B281),DATE(YEAR(B281),MONTH(B281)+1,17),"Falta fecha"),"")</f>
        <v/>
      </c>
      <c r="R281" s="9" t="str">
        <f aca="false">IF(OR(F281="",F281=0),"",IF(ISNUMBER(AG281),IF(F281&gt;=AG281,"PROHIBIDO","Dentro del límite"),"No aplica"))</f>
        <v/>
      </c>
      <c r="S281" s="26" t="str">
        <f aca="false">IF(E281="","",MID(IF(AQ281=1," · Excede el perfil declarado","")&amp;IF(H281="Sí"," · Paga un tercero","")&amp;IF(J281="Alto"," · Cliente de riesgo alto: DDR (RCG 23 Ter 3 y 4)","")&amp;IF(AND(AS281&lt;&gt;"",AS281&lt;&gt;"No",AS281&lt;&gt;0)," · PEP","")&amp;IF(R281="PROHIBIDO"," · Efectivo prohibido: no lo recibas (Art. 32)","")&amp;IF(AR281=1," · ⚠ Fecha fuera de orden","")&amp;IF(LEFT(I281,1)="⚠"," · ⚠ Cliente no registrado","")&amp;IF(D281=""," · ⚠ Falta la actividad","")&amp;IF(AND(LEFT(P281,5)="AVISO",W281="")," · Captura la cifra total con IVA para el Aviso","")&amp;IF(AND(ISNUMBER(W281),W281&lt;E281)," · ⚠ La cifra con IVA es menor que el monto sin IVA",""),4,400))</f>
        <v/>
      </c>
      <c r="T281" s="21"/>
      <c r="U281" s="20"/>
      <c r="V281" s="9" t="str">
        <f aca="false">IF(LEFT(P281,5)&lt;&gt;"AVISO","",IF(T281="Presentado",IF(AND(ISNUMBER(U281),ISNUMBER(Q281),U281&gt;Q281),"Presentado tarde","Presentado"),IF(NOT(ISNUMBER(Q281)),"Falta fecha",IF(Q281&lt;CONFIG!$B$6,"VENCIDO","Vence en "&amp;(Q281-CONFIG!$B$6)&amp;" días"))))</f>
        <v/>
      </c>
      <c r="W281" s="22"/>
      <c r="X281" s="21"/>
      <c r="AA281" s="0" t="str">
        <f aca="false">IF(AM281="","",INDEX(CATÁLOGO!$D$5:$D$39,AM281))</f>
        <v/>
      </c>
      <c r="AB281" s="0" t="str">
        <f aca="false">IF(AM281="","",INDEX(CATÁLOGO!$E$5:$E$39,AM281))</f>
        <v/>
      </c>
      <c r="AC281" s="0" t="str">
        <f aca="false">IF(AB281="","",IF(ISNUMBER(AB281),AB281*AV281,AB281))</f>
        <v/>
      </c>
      <c r="AD281" s="0" t="str">
        <f aca="false">IF(AM281="","",INDEX(CATÁLOGO!$F$5:$F$39,AM281))</f>
        <v/>
      </c>
      <c r="AE281" s="0" t="str">
        <f aca="false">IF(AD281="","",IF(ISNUMBER(AD281),AD281*AV281,AD281))</f>
        <v/>
      </c>
      <c r="AF281" s="0" t="str">
        <f aca="false">IF(AM281="","",INDEX(CATÁLOGO!$G$5:$G$39,AM281))</f>
        <v/>
      </c>
      <c r="AG281" s="0" t="str">
        <f aca="false">IF(AF281="","",IF(ISNUMBER(AF281),AF281*AV281,AF281))</f>
        <v/>
      </c>
      <c r="AH281" s="0" t="str">
        <f aca="false">IF(E281="","",C281&amp;"|"&amp;D281)</f>
        <v/>
      </c>
      <c r="AI281" s="27" t="n">
        <f aca="false">IF(M281&lt;&gt;"Sí",0,SUMPRODUCT(MAX(($AH$5:AH280=AH281)*($M$5:M280="Sí")*ROW($AH$5:AH280))))</f>
        <v>0</v>
      </c>
      <c r="AJ281" s="0" t="str">
        <f aca="false">IF(M281&lt;&gt;"Sí","",IF(AL281=1,B281,INDEX($AJ:$AJ,AI281)))</f>
        <v/>
      </c>
      <c r="AK281" s="0" t="str">
        <f aca="false">IF(M281&lt;&gt;"Sí","",IF(AL281=1,E281,INDEX($AK:$AK,AI281)+E281))</f>
        <v/>
      </c>
      <c r="AL281" s="0" t="str">
        <f aca="false">IF(M281&lt;&gt;"Sí","",IF(AI281=0,1,IF(INDEX($AN:$AN,AI281)=0,1,IF(B281&gt;=EDATE(INDEX($AJ:$AJ,AI281),6),1,0))))</f>
        <v/>
      </c>
      <c r="AM281" s="0" t="str">
        <f aca="false">IF(D281="","",IFERROR(MATCH(D281,CATÁLOGO!$C$5:$C$39,0),""))</f>
        <v/>
      </c>
      <c r="AN281" s="0" t="str">
        <f aca="false">IF(M281&lt;&gt;"Sí","",IF(AND(ISNUMBER(AE281),AK281&gt;=AE281),0,1))</f>
        <v/>
      </c>
      <c r="AO281" s="0" t="str">
        <f aca="false">IF(OR(E281="",C281="",NOT(ISNUMBER(B281))),"",SUMIFS($E$6:$E$505,$C$6:$C$505,C281,$B$6:$B$505,"&gt;="&amp;DATE(YEAR(B281),MONTH(B281),1),$B$6:$B$505,"&lt;"&amp;DATE(YEAR(B281),MONTH(B281)+1,1)))</f>
        <v/>
      </c>
      <c r="AP281" s="0" t="str">
        <f aca="false">IF(C281="","",IFERROR(INDEX(CLIENTES!$M$6:$M$305,MATCH(C281,CLIENTES!$A$6:$A$305,0)),""))</f>
        <v/>
      </c>
      <c r="AQ281" s="27" t="n">
        <f aca="false">IF(AND(ISNUMBER(AO281),ISNUMBER(AP281)),IF(AND(AP281&gt;0,AO281&gt;AP281),1,0),0)</f>
        <v>0</v>
      </c>
      <c r="AR281" s="27" t="n">
        <f aca="false">IF(NOT(ISNUMBER(B281)),0,IF(B281&lt;MAX($B$5:B280),1,0))</f>
        <v>0</v>
      </c>
      <c r="AS281" s="0" t="str">
        <f aca="false">IF(C281="","",IFERROR(INDEX(CLIENTES!$H$6:$H$305,MATCH(C281,CLIENTES!$A$6:$A$305,0)),""))</f>
        <v/>
      </c>
      <c r="AT281" s="0" t="str">
        <f aca="false">IF(AND(LEFT(P281,5)="AVISO",T281&lt;&gt;"Presentado",ISNUMBER(Q281)),Q281,"")</f>
        <v/>
      </c>
      <c r="AU281" s="27" t="n">
        <f aca="false">IF(AND(D281="XVI - Activos virtuales (PSAV): operación de intercambio/transferencia",M281="Sí",ISNUMBER(AE281)),IF(AK281&gt;=AE281,1,0),0)</f>
        <v>0</v>
      </c>
      <c r="AV281" s="30" t="n">
        <f aca="false">IF(NOT(ISNUMBER(B281)),CONFIG!$B$4,IFERROR(INDEX(CONFIG!$I$5:$I$14,MATCH(IF(MONTH(B281)=1,YEAR(B281)-1,YEAR(B281)),CONFIG!$H$5:$H$14,0)),CONFIG!$B$4))</f>
        <v>117.31</v>
      </c>
      <c r="AW281" s="27" t="n">
        <f aca="false">IF(AND(LEFT(D281,4)="I - ",ISNUMBER(B281),C281&lt;&gt;""),SUMIFS($E$6:$E$505,$C$6:$C$505,C281,$D$6:$D$505,D281,$B$6:$B$505,"&gt;"&amp;(B281-1),$B$6:$B$505,"&lt;="&amp;B281),0)</f>
        <v>0</v>
      </c>
      <c r="AX281" s="0" t="str">
        <f aca="false">IF(E281="","",IF(AD281="Siempre","AVISO (siempre)",IF(AD281="No aplica","Sin Aviso (sólo preparas: Ley 17 XI)",IF(NOT(ISNUMBER(AE281)),"",IF(AA281&lt;&gt;"ACUMULA",IF(E281&gt;=AE281,IF(AND(D281="XVI - Activos virtuales (PSAV): cobro de contraprestación (comisión) por el servicio",COUNTIFS($C$6:$C$505,C281,$B$6:$B$505,"&gt;="&amp;INT(B281),$B$6:$B$505,"&lt;"&amp;(INT(B281)+1),$AU$6:$AU$505,1)&gt;0),"En el Aviso del inciso a) (R 31 Bis)","AVISO"),"—"),IF(M281&lt;&gt;"Sí","—",IF(AK281&gt;=AE281,IF(AK281=E281,"AVISO","AVISO (acumulado)"),"Acumulando")))))))</f>
        <v/>
      </c>
    </row>
    <row r="282" customFormat="false" ht="15" hidden="false" customHeight="false" outlineLevel="0" collapsed="false">
      <c r="A282" s="9" t="str">
        <f aca="false">IF(E282="","",ROW()-5)</f>
        <v/>
      </c>
      <c r="B282" s="20"/>
      <c r="C282" s="21"/>
      <c r="D282" s="21"/>
      <c r="E282" s="22"/>
      <c r="F282" s="22"/>
      <c r="G282" s="21"/>
      <c r="H282" s="21"/>
      <c r="I282" s="9" t="str">
        <f aca="false">IF(C282="","",IFERROR(INDEX(CLIENTES!$B$6:$B$305,MATCH(C282,CLIENTES!$A$6:$A$305,0)),"⚠ ID no registrado"))</f>
        <v/>
      </c>
      <c r="J282" s="9" t="str">
        <f aca="false">IF(C282="","",IFERROR(INDEX(CLIENTES!$Z$6:$Z$305,MATCH(C282,CLIENTES!$A$6:$A$305,0)),""))</f>
        <v/>
      </c>
      <c r="K282" s="9" t="str">
        <f aca="false">IF(E282="","",IF(AB282="Siempre","Sí",IF(ISNUMBER(AC282),IF(E282&gt;=AC282,"Sí",IF(AW282&gt;=AC282,"Sí (serie 24 h)","No")),"")))</f>
        <v/>
      </c>
      <c r="L282" s="9" t="str">
        <f aca="false">IF(E282="","",AA282)</f>
        <v/>
      </c>
      <c r="M282" s="9" t="str">
        <f aca="false">IF(E282="","",IF(AA282&lt;&gt;"ACUMULA","No aplica",IF(LEFT(K282,2)="Sí","Sí","No")))</f>
        <v/>
      </c>
      <c r="N282" s="23" t="str">
        <f aca="false">IF(M282="Sí",AJ282,"")</f>
        <v/>
      </c>
      <c r="O282" s="24" t="str">
        <f aca="false">IF(M282="Sí",AK282,"")</f>
        <v/>
      </c>
      <c r="P282" s="25" t="str">
        <f aca="false">IF(AND(LEFT(D282,6)="XIV - ",LEFT(AX282,5)="AVISO"),"Pedimento (R 16): no va al SPPLD",AX282)</f>
        <v/>
      </c>
      <c r="Q282" s="23" t="str">
        <f aca="false">IF(LEFT(P282,5)="AVISO",IF(ISNUMBER(B282),DATE(YEAR(B282),MONTH(B282)+1,17),"Falta fecha"),"")</f>
        <v/>
      </c>
      <c r="R282" s="9" t="str">
        <f aca="false">IF(OR(F282="",F282=0),"",IF(ISNUMBER(AG282),IF(F282&gt;=AG282,"PROHIBIDO","Dentro del límite"),"No aplica"))</f>
        <v/>
      </c>
      <c r="S282" s="26" t="str">
        <f aca="false">IF(E282="","",MID(IF(AQ282=1," · Excede el perfil declarado","")&amp;IF(H282="Sí"," · Paga un tercero","")&amp;IF(J282="Alto"," · Cliente de riesgo alto: DDR (RCG 23 Ter 3 y 4)","")&amp;IF(AND(AS282&lt;&gt;"",AS282&lt;&gt;"No",AS282&lt;&gt;0)," · PEP","")&amp;IF(R282="PROHIBIDO"," · Efectivo prohibido: no lo recibas (Art. 32)","")&amp;IF(AR282=1," · ⚠ Fecha fuera de orden","")&amp;IF(LEFT(I282,1)="⚠"," · ⚠ Cliente no registrado","")&amp;IF(D282=""," · ⚠ Falta la actividad","")&amp;IF(AND(LEFT(P282,5)="AVISO",W282="")," · Captura la cifra total con IVA para el Aviso","")&amp;IF(AND(ISNUMBER(W282),W282&lt;E282)," · ⚠ La cifra con IVA es menor que el monto sin IVA",""),4,400))</f>
        <v/>
      </c>
      <c r="T282" s="21"/>
      <c r="U282" s="20"/>
      <c r="V282" s="9" t="str">
        <f aca="false">IF(LEFT(P282,5)&lt;&gt;"AVISO","",IF(T282="Presentado",IF(AND(ISNUMBER(U282),ISNUMBER(Q282),U282&gt;Q282),"Presentado tarde","Presentado"),IF(NOT(ISNUMBER(Q282)),"Falta fecha",IF(Q282&lt;CONFIG!$B$6,"VENCIDO","Vence en "&amp;(Q282-CONFIG!$B$6)&amp;" días"))))</f>
        <v/>
      </c>
      <c r="W282" s="22"/>
      <c r="X282" s="21"/>
      <c r="AA282" s="0" t="str">
        <f aca="false">IF(AM282="","",INDEX(CATÁLOGO!$D$5:$D$39,AM282))</f>
        <v/>
      </c>
      <c r="AB282" s="0" t="str">
        <f aca="false">IF(AM282="","",INDEX(CATÁLOGO!$E$5:$E$39,AM282))</f>
        <v/>
      </c>
      <c r="AC282" s="0" t="str">
        <f aca="false">IF(AB282="","",IF(ISNUMBER(AB282),AB282*AV282,AB282))</f>
        <v/>
      </c>
      <c r="AD282" s="0" t="str">
        <f aca="false">IF(AM282="","",INDEX(CATÁLOGO!$F$5:$F$39,AM282))</f>
        <v/>
      </c>
      <c r="AE282" s="0" t="str">
        <f aca="false">IF(AD282="","",IF(ISNUMBER(AD282),AD282*AV282,AD282))</f>
        <v/>
      </c>
      <c r="AF282" s="0" t="str">
        <f aca="false">IF(AM282="","",INDEX(CATÁLOGO!$G$5:$G$39,AM282))</f>
        <v/>
      </c>
      <c r="AG282" s="0" t="str">
        <f aca="false">IF(AF282="","",IF(ISNUMBER(AF282),AF282*AV282,AF282))</f>
        <v/>
      </c>
      <c r="AH282" s="0" t="str">
        <f aca="false">IF(E282="","",C282&amp;"|"&amp;D282)</f>
        <v/>
      </c>
      <c r="AI282" s="27" t="n">
        <f aca="false">IF(M282&lt;&gt;"Sí",0,SUMPRODUCT(MAX(($AH$5:AH281=AH282)*($M$5:M281="Sí")*ROW($AH$5:AH281))))</f>
        <v>0</v>
      </c>
      <c r="AJ282" s="0" t="str">
        <f aca="false">IF(M282&lt;&gt;"Sí","",IF(AL282=1,B282,INDEX($AJ:$AJ,AI282)))</f>
        <v/>
      </c>
      <c r="AK282" s="0" t="str">
        <f aca="false">IF(M282&lt;&gt;"Sí","",IF(AL282=1,E282,INDEX($AK:$AK,AI282)+E282))</f>
        <v/>
      </c>
      <c r="AL282" s="0" t="str">
        <f aca="false">IF(M282&lt;&gt;"Sí","",IF(AI282=0,1,IF(INDEX($AN:$AN,AI282)=0,1,IF(B282&gt;=EDATE(INDEX($AJ:$AJ,AI282),6),1,0))))</f>
        <v/>
      </c>
      <c r="AM282" s="0" t="str">
        <f aca="false">IF(D282="","",IFERROR(MATCH(D282,CATÁLOGO!$C$5:$C$39,0),""))</f>
        <v/>
      </c>
      <c r="AN282" s="0" t="str">
        <f aca="false">IF(M282&lt;&gt;"Sí","",IF(AND(ISNUMBER(AE282),AK282&gt;=AE282),0,1))</f>
        <v/>
      </c>
      <c r="AO282" s="0" t="str">
        <f aca="false">IF(OR(E282="",C282="",NOT(ISNUMBER(B282))),"",SUMIFS($E$6:$E$505,$C$6:$C$505,C282,$B$6:$B$505,"&gt;="&amp;DATE(YEAR(B282),MONTH(B282),1),$B$6:$B$505,"&lt;"&amp;DATE(YEAR(B282),MONTH(B282)+1,1)))</f>
        <v/>
      </c>
      <c r="AP282" s="0" t="str">
        <f aca="false">IF(C282="","",IFERROR(INDEX(CLIENTES!$M$6:$M$305,MATCH(C282,CLIENTES!$A$6:$A$305,0)),""))</f>
        <v/>
      </c>
      <c r="AQ282" s="27" t="n">
        <f aca="false">IF(AND(ISNUMBER(AO282),ISNUMBER(AP282)),IF(AND(AP282&gt;0,AO282&gt;AP282),1,0),0)</f>
        <v>0</v>
      </c>
      <c r="AR282" s="27" t="n">
        <f aca="false">IF(NOT(ISNUMBER(B282)),0,IF(B282&lt;MAX($B$5:B281),1,0))</f>
        <v>0</v>
      </c>
      <c r="AS282" s="0" t="str">
        <f aca="false">IF(C282="","",IFERROR(INDEX(CLIENTES!$H$6:$H$305,MATCH(C282,CLIENTES!$A$6:$A$305,0)),""))</f>
        <v/>
      </c>
      <c r="AT282" s="0" t="str">
        <f aca="false">IF(AND(LEFT(P282,5)="AVISO",T282&lt;&gt;"Presentado",ISNUMBER(Q282)),Q282,"")</f>
        <v/>
      </c>
      <c r="AU282" s="27" t="n">
        <f aca="false">IF(AND(D282="XVI - Activos virtuales (PSAV): operación de intercambio/transferencia",M282="Sí",ISNUMBER(AE282)),IF(AK282&gt;=AE282,1,0),0)</f>
        <v>0</v>
      </c>
      <c r="AV282" s="30" t="n">
        <f aca="false">IF(NOT(ISNUMBER(B282)),CONFIG!$B$4,IFERROR(INDEX(CONFIG!$I$5:$I$14,MATCH(IF(MONTH(B282)=1,YEAR(B282)-1,YEAR(B282)),CONFIG!$H$5:$H$14,0)),CONFIG!$B$4))</f>
        <v>117.31</v>
      </c>
      <c r="AW282" s="27" t="n">
        <f aca="false">IF(AND(LEFT(D282,4)="I - ",ISNUMBER(B282),C282&lt;&gt;""),SUMIFS($E$6:$E$505,$C$6:$C$505,C282,$D$6:$D$505,D282,$B$6:$B$505,"&gt;"&amp;(B282-1),$B$6:$B$505,"&lt;="&amp;B282),0)</f>
        <v>0</v>
      </c>
      <c r="AX282" s="0" t="str">
        <f aca="false">IF(E282="","",IF(AD282="Siempre","AVISO (siempre)",IF(AD282="No aplica","Sin Aviso (sólo preparas: Ley 17 XI)",IF(NOT(ISNUMBER(AE282)),"",IF(AA282&lt;&gt;"ACUMULA",IF(E282&gt;=AE282,IF(AND(D282="XVI - Activos virtuales (PSAV): cobro de contraprestación (comisión) por el servicio",COUNTIFS($C$6:$C$505,C282,$B$6:$B$505,"&gt;="&amp;INT(B282),$B$6:$B$505,"&lt;"&amp;(INT(B282)+1),$AU$6:$AU$505,1)&gt;0),"En el Aviso del inciso a) (R 31 Bis)","AVISO"),"—"),IF(M282&lt;&gt;"Sí","—",IF(AK282&gt;=AE282,IF(AK282=E282,"AVISO","AVISO (acumulado)"),"Acumulando")))))))</f>
        <v/>
      </c>
    </row>
    <row r="283" customFormat="false" ht="15" hidden="false" customHeight="false" outlineLevel="0" collapsed="false">
      <c r="A283" s="9" t="str">
        <f aca="false">IF(E283="","",ROW()-5)</f>
        <v/>
      </c>
      <c r="B283" s="20"/>
      <c r="C283" s="21"/>
      <c r="D283" s="21"/>
      <c r="E283" s="22"/>
      <c r="F283" s="22"/>
      <c r="G283" s="21"/>
      <c r="H283" s="21"/>
      <c r="I283" s="9" t="str">
        <f aca="false">IF(C283="","",IFERROR(INDEX(CLIENTES!$B$6:$B$305,MATCH(C283,CLIENTES!$A$6:$A$305,0)),"⚠ ID no registrado"))</f>
        <v/>
      </c>
      <c r="J283" s="9" t="str">
        <f aca="false">IF(C283="","",IFERROR(INDEX(CLIENTES!$Z$6:$Z$305,MATCH(C283,CLIENTES!$A$6:$A$305,0)),""))</f>
        <v/>
      </c>
      <c r="K283" s="9" t="str">
        <f aca="false">IF(E283="","",IF(AB283="Siempre","Sí",IF(ISNUMBER(AC283),IF(E283&gt;=AC283,"Sí",IF(AW283&gt;=AC283,"Sí (serie 24 h)","No")),"")))</f>
        <v/>
      </c>
      <c r="L283" s="9" t="str">
        <f aca="false">IF(E283="","",AA283)</f>
        <v/>
      </c>
      <c r="M283" s="9" t="str">
        <f aca="false">IF(E283="","",IF(AA283&lt;&gt;"ACUMULA","No aplica",IF(LEFT(K283,2)="Sí","Sí","No")))</f>
        <v/>
      </c>
      <c r="N283" s="23" t="str">
        <f aca="false">IF(M283="Sí",AJ283,"")</f>
        <v/>
      </c>
      <c r="O283" s="24" t="str">
        <f aca="false">IF(M283="Sí",AK283,"")</f>
        <v/>
      </c>
      <c r="P283" s="25" t="str">
        <f aca="false">IF(AND(LEFT(D283,6)="XIV - ",LEFT(AX283,5)="AVISO"),"Pedimento (R 16): no va al SPPLD",AX283)</f>
        <v/>
      </c>
      <c r="Q283" s="23" t="str">
        <f aca="false">IF(LEFT(P283,5)="AVISO",IF(ISNUMBER(B283),DATE(YEAR(B283),MONTH(B283)+1,17),"Falta fecha"),"")</f>
        <v/>
      </c>
      <c r="R283" s="9" t="str">
        <f aca="false">IF(OR(F283="",F283=0),"",IF(ISNUMBER(AG283),IF(F283&gt;=AG283,"PROHIBIDO","Dentro del límite"),"No aplica"))</f>
        <v/>
      </c>
      <c r="S283" s="26" t="str">
        <f aca="false">IF(E283="","",MID(IF(AQ283=1," · Excede el perfil declarado","")&amp;IF(H283="Sí"," · Paga un tercero","")&amp;IF(J283="Alto"," · Cliente de riesgo alto: DDR (RCG 23 Ter 3 y 4)","")&amp;IF(AND(AS283&lt;&gt;"",AS283&lt;&gt;"No",AS283&lt;&gt;0)," · PEP","")&amp;IF(R283="PROHIBIDO"," · Efectivo prohibido: no lo recibas (Art. 32)","")&amp;IF(AR283=1," · ⚠ Fecha fuera de orden","")&amp;IF(LEFT(I283,1)="⚠"," · ⚠ Cliente no registrado","")&amp;IF(D283=""," · ⚠ Falta la actividad","")&amp;IF(AND(LEFT(P283,5)="AVISO",W283="")," · Captura la cifra total con IVA para el Aviso","")&amp;IF(AND(ISNUMBER(W283),W283&lt;E283)," · ⚠ La cifra con IVA es menor que el monto sin IVA",""),4,400))</f>
        <v/>
      </c>
      <c r="T283" s="21"/>
      <c r="U283" s="20"/>
      <c r="V283" s="9" t="str">
        <f aca="false">IF(LEFT(P283,5)&lt;&gt;"AVISO","",IF(T283="Presentado",IF(AND(ISNUMBER(U283),ISNUMBER(Q283),U283&gt;Q283),"Presentado tarde","Presentado"),IF(NOT(ISNUMBER(Q283)),"Falta fecha",IF(Q283&lt;CONFIG!$B$6,"VENCIDO","Vence en "&amp;(Q283-CONFIG!$B$6)&amp;" días"))))</f>
        <v/>
      </c>
      <c r="W283" s="22"/>
      <c r="X283" s="21"/>
      <c r="AA283" s="0" t="str">
        <f aca="false">IF(AM283="","",INDEX(CATÁLOGO!$D$5:$D$39,AM283))</f>
        <v/>
      </c>
      <c r="AB283" s="0" t="str">
        <f aca="false">IF(AM283="","",INDEX(CATÁLOGO!$E$5:$E$39,AM283))</f>
        <v/>
      </c>
      <c r="AC283" s="0" t="str">
        <f aca="false">IF(AB283="","",IF(ISNUMBER(AB283),AB283*AV283,AB283))</f>
        <v/>
      </c>
      <c r="AD283" s="0" t="str">
        <f aca="false">IF(AM283="","",INDEX(CATÁLOGO!$F$5:$F$39,AM283))</f>
        <v/>
      </c>
      <c r="AE283" s="0" t="str">
        <f aca="false">IF(AD283="","",IF(ISNUMBER(AD283),AD283*AV283,AD283))</f>
        <v/>
      </c>
      <c r="AF283" s="0" t="str">
        <f aca="false">IF(AM283="","",INDEX(CATÁLOGO!$G$5:$G$39,AM283))</f>
        <v/>
      </c>
      <c r="AG283" s="0" t="str">
        <f aca="false">IF(AF283="","",IF(ISNUMBER(AF283),AF283*AV283,AF283))</f>
        <v/>
      </c>
      <c r="AH283" s="0" t="str">
        <f aca="false">IF(E283="","",C283&amp;"|"&amp;D283)</f>
        <v/>
      </c>
      <c r="AI283" s="27" t="n">
        <f aca="false">IF(M283&lt;&gt;"Sí",0,SUMPRODUCT(MAX(($AH$5:AH282=AH283)*($M$5:M282="Sí")*ROW($AH$5:AH282))))</f>
        <v>0</v>
      </c>
      <c r="AJ283" s="0" t="str">
        <f aca="false">IF(M283&lt;&gt;"Sí","",IF(AL283=1,B283,INDEX($AJ:$AJ,AI283)))</f>
        <v/>
      </c>
      <c r="AK283" s="0" t="str">
        <f aca="false">IF(M283&lt;&gt;"Sí","",IF(AL283=1,E283,INDEX($AK:$AK,AI283)+E283))</f>
        <v/>
      </c>
      <c r="AL283" s="0" t="str">
        <f aca="false">IF(M283&lt;&gt;"Sí","",IF(AI283=0,1,IF(INDEX($AN:$AN,AI283)=0,1,IF(B283&gt;=EDATE(INDEX($AJ:$AJ,AI283),6),1,0))))</f>
        <v/>
      </c>
      <c r="AM283" s="0" t="str">
        <f aca="false">IF(D283="","",IFERROR(MATCH(D283,CATÁLOGO!$C$5:$C$39,0),""))</f>
        <v/>
      </c>
      <c r="AN283" s="0" t="str">
        <f aca="false">IF(M283&lt;&gt;"Sí","",IF(AND(ISNUMBER(AE283),AK283&gt;=AE283),0,1))</f>
        <v/>
      </c>
      <c r="AO283" s="0" t="str">
        <f aca="false">IF(OR(E283="",C283="",NOT(ISNUMBER(B283))),"",SUMIFS($E$6:$E$505,$C$6:$C$505,C283,$B$6:$B$505,"&gt;="&amp;DATE(YEAR(B283),MONTH(B283),1),$B$6:$B$505,"&lt;"&amp;DATE(YEAR(B283),MONTH(B283)+1,1)))</f>
        <v/>
      </c>
      <c r="AP283" s="0" t="str">
        <f aca="false">IF(C283="","",IFERROR(INDEX(CLIENTES!$M$6:$M$305,MATCH(C283,CLIENTES!$A$6:$A$305,0)),""))</f>
        <v/>
      </c>
      <c r="AQ283" s="27" t="n">
        <f aca="false">IF(AND(ISNUMBER(AO283),ISNUMBER(AP283)),IF(AND(AP283&gt;0,AO283&gt;AP283),1,0),0)</f>
        <v>0</v>
      </c>
      <c r="AR283" s="27" t="n">
        <f aca="false">IF(NOT(ISNUMBER(B283)),0,IF(B283&lt;MAX($B$5:B282),1,0))</f>
        <v>0</v>
      </c>
      <c r="AS283" s="0" t="str">
        <f aca="false">IF(C283="","",IFERROR(INDEX(CLIENTES!$H$6:$H$305,MATCH(C283,CLIENTES!$A$6:$A$305,0)),""))</f>
        <v/>
      </c>
      <c r="AT283" s="0" t="str">
        <f aca="false">IF(AND(LEFT(P283,5)="AVISO",T283&lt;&gt;"Presentado",ISNUMBER(Q283)),Q283,"")</f>
        <v/>
      </c>
      <c r="AU283" s="27" t="n">
        <f aca="false">IF(AND(D283="XVI - Activos virtuales (PSAV): operación de intercambio/transferencia",M283="Sí",ISNUMBER(AE283)),IF(AK283&gt;=AE283,1,0),0)</f>
        <v>0</v>
      </c>
      <c r="AV283" s="30" t="n">
        <f aca="false">IF(NOT(ISNUMBER(B283)),CONFIG!$B$4,IFERROR(INDEX(CONFIG!$I$5:$I$14,MATCH(IF(MONTH(B283)=1,YEAR(B283)-1,YEAR(B283)),CONFIG!$H$5:$H$14,0)),CONFIG!$B$4))</f>
        <v>117.31</v>
      </c>
      <c r="AW283" s="27" t="n">
        <f aca="false">IF(AND(LEFT(D283,4)="I - ",ISNUMBER(B283),C283&lt;&gt;""),SUMIFS($E$6:$E$505,$C$6:$C$505,C283,$D$6:$D$505,D283,$B$6:$B$505,"&gt;"&amp;(B283-1),$B$6:$B$505,"&lt;="&amp;B283),0)</f>
        <v>0</v>
      </c>
      <c r="AX283" s="0" t="str">
        <f aca="false">IF(E283="","",IF(AD283="Siempre","AVISO (siempre)",IF(AD283="No aplica","Sin Aviso (sólo preparas: Ley 17 XI)",IF(NOT(ISNUMBER(AE283)),"",IF(AA283&lt;&gt;"ACUMULA",IF(E283&gt;=AE283,IF(AND(D283="XVI - Activos virtuales (PSAV): cobro de contraprestación (comisión) por el servicio",COUNTIFS($C$6:$C$505,C283,$B$6:$B$505,"&gt;="&amp;INT(B283),$B$6:$B$505,"&lt;"&amp;(INT(B283)+1),$AU$6:$AU$505,1)&gt;0),"En el Aviso del inciso a) (R 31 Bis)","AVISO"),"—"),IF(M283&lt;&gt;"Sí","—",IF(AK283&gt;=AE283,IF(AK283=E283,"AVISO","AVISO (acumulado)"),"Acumulando")))))))</f>
        <v/>
      </c>
    </row>
    <row r="284" customFormat="false" ht="15" hidden="false" customHeight="false" outlineLevel="0" collapsed="false">
      <c r="A284" s="9" t="str">
        <f aca="false">IF(E284="","",ROW()-5)</f>
        <v/>
      </c>
      <c r="B284" s="20"/>
      <c r="C284" s="21"/>
      <c r="D284" s="21"/>
      <c r="E284" s="22"/>
      <c r="F284" s="22"/>
      <c r="G284" s="21"/>
      <c r="H284" s="21"/>
      <c r="I284" s="9" t="str">
        <f aca="false">IF(C284="","",IFERROR(INDEX(CLIENTES!$B$6:$B$305,MATCH(C284,CLIENTES!$A$6:$A$305,0)),"⚠ ID no registrado"))</f>
        <v/>
      </c>
      <c r="J284" s="9" t="str">
        <f aca="false">IF(C284="","",IFERROR(INDEX(CLIENTES!$Z$6:$Z$305,MATCH(C284,CLIENTES!$A$6:$A$305,0)),""))</f>
        <v/>
      </c>
      <c r="K284" s="9" t="str">
        <f aca="false">IF(E284="","",IF(AB284="Siempre","Sí",IF(ISNUMBER(AC284),IF(E284&gt;=AC284,"Sí",IF(AW284&gt;=AC284,"Sí (serie 24 h)","No")),"")))</f>
        <v/>
      </c>
      <c r="L284" s="9" t="str">
        <f aca="false">IF(E284="","",AA284)</f>
        <v/>
      </c>
      <c r="M284" s="9" t="str">
        <f aca="false">IF(E284="","",IF(AA284&lt;&gt;"ACUMULA","No aplica",IF(LEFT(K284,2)="Sí","Sí","No")))</f>
        <v/>
      </c>
      <c r="N284" s="23" t="str">
        <f aca="false">IF(M284="Sí",AJ284,"")</f>
        <v/>
      </c>
      <c r="O284" s="24" t="str">
        <f aca="false">IF(M284="Sí",AK284,"")</f>
        <v/>
      </c>
      <c r="P284" s="25" t="str">
        <f aca="false">IF(AND(LEFT(D284,6)="XIV - ",LEFT(AX284,5)="AVISO"),"Pedimento (R 16): no va al SPPLD",AX284)</f>
        <v/>
      </c>
      <c r="Q284" s="23" t="str">
        <f aca="false">IF(LEFT(P284,5)="AVISO",IF(ISNUMBER(B284),DATE(YEAR(B284),MONTH(B284)+1,17),"Falta fecha"),"")</f>
        <v/>
      </c>
      <c r="R284" s="9" t="str">
        <f aca="false">IF(OR(F284="",F284=0),"",IF(ISNUMBER(AG284),IF(F284&gt;=AG284,"PROHIBIDO","Dentro del límite"),"No aplica"))</f>
        <v/>
      </c>
      <c r="S284" s="26" t="str">
        <f aca="false">IF(E284="","",MID(IF(AQ284=1," · Excede el perfil declarado","")&amp;IF(H284="Sí"," · Paga un tercero","")&amp;IF(J284="Alto"," · Cliente de riesgo alto: DDR (RCG 23 Ter 3 y 4)","")&amp;IF(AND(AS284&lt;&gt;"",AS284&lt;&gt;"No",AS284&lt;&gt;0)," · PEP","")&amp;IF(R284="PROHIBIDO"," · Efectivo prohibido: no lo recibas (Art. 32)","")&amp;IF(AR284=1," · ⚠ Fecha fuera de orden","")&amp;IF(LEFT(I284,1)="⚠"," · ⚠ Cliente no registrado","")&amp;IF(D284=""," · ⚠ Falta la actividad","")&amp;IF(AND(LEFT(P284,5)="AVISO",W284="")," · Captura la cifra total con IVA para el Aviso","")&amp;IF(AND(ISNUMBER(W284),W284&lt;E284)," · ⚠ La cifra con IVA es menor que el monto sin IVA",""),4,400))</f>
        <v/>
      </c>
      <c r="T284" s="21"/>
      <c r="U284" s="20"/>
      <c r="V284" s="9" t="str">
        <f aca="false">IF(LEFT(P284,5)&lt;&gt;"AVISO","",IF(T284="Presentado",IF(AND(ISNUMBER(U284),ISNUMBER(Q284),U284&gt;Q284),"Presentado tarde","Presentado"),IF(NOT(ISNUMBER(Q284)),"Falta fecha",IF(Q284&lt;CONFIG!$B$6,"VENCIDO","Vence en "&amp;(Q284-CONFIG!$B$6)&amp;" días"))))</f>
        <v/>
      </c>
      <c r="W284" s="22"/>
      <c r="X284" s="21"/>
      <c r="AA284" s="0" t="str">
        <f aca="false">IF(AM284="","",INDEX(CATÁLOGO!$D$5:$D$39,AM284))</f>
        <v/>
      </c>
      <c r="AB284" s="0" t="str">
        <f aca="false">IF(AM284="","",INDEX(CATÁLOGO!$E$5:$E$39,AM284))</f>
        <v/>
      </c>
      <c r="AC284" s="0" t="str">
        <f aca="false">IF(AB284="","",IF(ISNUMBER(AB284),AB284*AV284,AB284))</f>
        <v/>
      </c>
      <c r="AD284" s="0" t="str">
        <f aca="false">IF(AM284="","",INDEX(CATÁLOGO!$F$5:$F$39,AM284))</f>
        <v/>
      </c>
      <c r="AE284" s="0" t="str">
        <f aca="false">IF(AD284="","",IF(ISNUMBER(AD284),AD284*AV284,AD284))</f>
        <v/>
      </c>
      <c r="AF284" s="0" t="str">
        <f aca="false">IF(AM284="","",INDEX(CATÁLOGO!$G$5:$G$39,AM284))</f>
        <v/>
      </c>
      <c r="AG284" s="0" t="str">
        <f aca="false">IF(AF284="","",IF(ISNUMBER(AF284),AF284*AV284,AF284))</f>
        <v/>
      </c>
      <c r="AH284" s="0" t="str">
        <f aca="false">IF(E284="","",C284&amp;"|"&amp;D284)</f>
        <v/>
      </c>
      <c r="AI284" s="27" t="n">
        <f aca="false">IF(M284&lt;&gt;"Sí",0,SUMPRODUCT(MAX(($AH$5:AH283=AH284)*($M$5:M283="Sí")*ROW($AH$5:AH283))))</f>
        <v>0</v>
      </c>
      <c r="AJ284" s="0" t="str">
        <f aca="false">IF(M284&lt;&gt;"Sí","",IF(AL284=1,B284,INDEX($AJ:$AJ,AI284)))</f>
        <v/>
      </c>
      <c r="AK284" s="0" t="str">
        <f aca="false">IF(M284&lt;&gt;"Sí","",IF(AL284=1,E284,INDEX($AK:$AK,AI284)+E284))</f>
        <v/>
      </c>
      <c r="AL284" s="0" t="str">
        <f aca="false">IF(M284&lt;&gt;"Sí","",IF(AI284=0,1,IF(INDEX($AN:$AN,AI284)=0,1,IF(B284&gt;=EDATE(INDEX($AJ:$AJ,AI284),6),1,0))))</f>
        <v/>
      </c>
      <c r="AM284" s="0" t="str">
        <f aca="false">IF(D284="","",IFERROR(MATCH(D284,CATÁLOGO!$C$5:$C$39,0),""))</f>
        <v/>
      </c>
      <c r="AN284" s="0" t="str">
        <f aca="false">IF(M284&lt;&gt;"Sí","",IF(AND(ISNUMBER(AE284),AK284&gt;=AE284),0,1))</f>
        <v/>
      </c>
      <c r="AO284" s="0" t="str">
        <f aca="false">IF(OR(E284="",C284="",NOT(ISNUMBER(B284))),"",SUMIFS($E$6:$E$505,$C$6:$C$505,C284,$B$6:$B$505,"&gt;="&amp;DATE(YEAR(B284),MONTH(B284),1),$B$6:$B$505,"&lt;"&amp;DATE(YEAR(B284),MONTH(B284)+1,1)))</f>
        <v/>
      </c>
      <c r="AP284" s="0" t="str">
        <f aca="false">IF(C284="","",IFERROR(INDEX(CLIENTES!$M$6:$M$305,MATCH(C284,CLIENTES!$A$6:$A$305,0)),""))</f>
        <v/>
      </c>
      <c r="AQ284" s="27" t="n">
        <f aca="false">IF(AND(ISNUMBER(AO284),ISNUMBER(AP284)),IF(AND(AP284&gt;0,AO284&gt;AP284),1,0),0)</f>
        <v>0</v>
      </c>
      <c r="AR284" s="27" t="n">
        <f aca="false">IF(NOT(ISNUMBER(B284)),0,IF(B284&lt;MAX($B$5:B283),1,0))</f>
        <v>0</v>
      </c>
      <c r="AS284" s="0" t="str">
        <f aca="false">IF(C284="","",IFERROR(INDEX(CLIENTES!$H$6:$H$305,MATCH(C284,CLIENTES!$A$6:$A$305,0)),""))</f>
        <v/>
      </c>
      <c r="AT284" s="0" t="str">
        <f aca="false">IF(AND(LEFT(P284,5)="AVISO",T284&lt;&gt;"Presentado",ISNUMBER(Q284)),Q284,"")</f>
        <v/>
      </c>
      <c r="AU284" s="27" t="n">
        <f aca="false">IF(AND(D284="XVI - Activos virtuales (PSAV): operación de intercambio/transferencia",M284="Sí",ISNUMBER(AE284)),IF(AK284&gt;=AE284,1,0),0)</f>
        <v>0</v>
      </c>
      <c r="AV284" s="30" t="n">
        <f aca="false">IF(NOT(ISNUMBER(B284)),CONFIG!$B$4,IFERROR(INDEX(CONFIG!$I$5:$I$14,MATCH(IF(MONTH(B284)=1,YEAR(B284)-1,YEAR(B284)),CONFIG!$H$5:$H$14,0)),CONFIG!$B$4))</f>
        <v>117.31</v>
      </c>
      <c r="AW284" s="27" t="n">
        <f aca="false">IF(AND(LEFT(D284,4)="I - ",ISNUMBER(B284),C284&lt;&gt;""),SUMIFS($E$6:$E$505,$C$6:$C$505,C284,$D$6:$D$505,D284,$B$6:$B$505,"&gt;"&amp;(B284-1),$B$6:$B$505,"&lt;="&amp;B284),0)</f>
        <v>0</v>
      </c>
      <c r="AX284" s="0" t="str">
        <f aca="false">IF(E284="","",IF(AD284="Siempre","AVISO (siempre)",IF(AD284="No aplica","Sin Aviso (sólo preparas: Ley 17 XI)",IF(NOT(ISNUMBER(AE284)),"",IF(AA284&lt;&gt;"ACUMULA",IF(E284&gt;=AE284,IF(AND(D284="XVI - Activos virtuales (PSAV): cobro de contraprestación (comisión) por el servicio",COUNTIFS($C$6:$C$505,C284,$B$6:$B$505,"&gt;="&amp;INT(B284),$B$6:$B$505,"&lt;"&amp;(INT(B284)+1),$AU$6:$AU$505,1)&gt;0),"En el Aviso del inciso a) (R 31 Bis)","AVISO"),"—"),IF(M284&lt;&gt;"Sí","—",IF(AK284&gt;=AE284,IF(AK284=E284,"AVISO","AVISO (acumulado)"),"Acumulando")))))))</f>
        <v/>
      </c>
    </row>
    <row r="285" customFormat="false" ht="15" hidden="false" customHeight="false" outlineLevel="0" collapsed="false">
      <c r="A285" s="9" t="str">
        <f aca="false">IF(E285="","",ROW()-5)</f>
        <v/>
      </c>
      <c r="B285" s="20"/>
      <c r="C285" s="21"/>
      <c r="D285" s="21"/>
      <c r="E285" s="22"/>
      <c r="F285" s="22"/>
      <c r="G285" s="21"/>
      <c r="H285" s="21"/>
      <c r="I285" s="9" t="str">
        <f aca="false">IF(C285="","",IFERROR(INDEX(CLIENTES!$B$6:$B$305,MATCH(C285,CLIENTES!$A$6:$A$305,0)),"⚠ ID no registrado"))</f>
        <v/>
      </c>
      <c r="J285" s="9" t="str">
        <f aca="false">IF(C285="","",IFERROR(INDEX(CLIENTES!$Z$6:$Z$305,MATCH(C285,CLIENTES!$A$6:$A$305,0)),""))</f>
        <v/>
      </c>
      <c r="K285" s="9" t="str">
        <f aca="false">IF(E285="","",IF(AB285="Siempre","Sí",IF(ISNUMBER(AC285),IF(E285&gt;=AC285,"Sí",IF(AW285&gt;=AC285,"Sí (serie 24 h)","No")),"")))</f>
        <v/>
      </c>
      <c r="L285" s="9" t="str">
        <f aca="false">IF(E285="","",AA285)</f>
        <v/>
      </c>
      <c r="M285" s="9" t="str">
        <f aca="false">IF(E285="","",IF(AA285&lt;&gt;"ACUMULA","No aplica",IF(LEFT(K285,2)="Sí","Sí","No")))</f>
        <v/>
      </c>
      <c r="N285" s="23" t="str">
        <f aca="false">IF(M285="Sí",AJ285,"")</f>
        <v/>
      </c>
      <c r="O285" s="24" t="str">
        <f aca="false">IF(M285="Sí",AK285,"")</f>
        <v/>
      </c>
      <c r="P285" s="25" t="str">
        <f aca="false">IF(AND(LEFT(D285,6)="XIV - ",LEFT(AX285,5)="AVISO"),"Pedimento (R 16): no va al SPPLD",AX285)</f>
        <v/>
      </c>
      <c r="Q285" s="23" t="str">
        <f aca="false">IF(LEFT(P285,5)="AVISO",IF(ISNUMBER(B285),DATE(YEAR(B285),MONTH(B285)+1,17),"Falta fecha"),"")</f>
        <v/>
      </c>
      <c r="R285" s="9" t="str">
        <f aca="false">IF(OR(F285="",F285=0),"",IF(ISNUMBER(AG285),IF(F285&gt;=AG285,"PROHIBIDO","Dentro del límite"),"No aplica"))</f>
        <v/>
      </c>
      <c r="S285" s="26" t="str">
        <f aca="false">IF(E285="","",MID(IF(AQ285=1," · Excede el perfil declarado","")&amp;IF(H285="Sí"," · Paga un tercero","")&amp;IF(J285="Alto"," · Cliente de riesgo alto: DDR (RCG 23 Ter 3 y 4)","")&amp;IF(AND(AS285&lt;&gt;"",AS285&lt;&gt;"No",AS285&lt;&gt;0)," · PEP","")&amp;IF(R285="PROHIBIDO"," · Efectivo prohibido: no lo recibas (Art. 32)","")&amp;IF(AR285=1," · ⚠ Fecha fuera de orden","")&amp;IF(LEFT(I285,1)="⚠"," · ⚠ Cliente no registrado","")&amp;IF(D285=""," · ⚠ Falta la actividad","")&amp;IF(AND(LEFT(P285,5)="AVISO",W285="")," · Captura la cifra total con IVA para el Aviso","")&amp;IF(AND(ISNUMBER(W285),W285&lt;E285)," · ⚠ La cifra con IVA es menor que el monto sin IVA",""),4,400))</f>
        <v/>
      </c>
      <c r="T285" s="21"/>
      <c r="U285" s="20"/>
      <c r="V285" s="9" t="str">
        <f aca="false">IF(LEFT(P285,5)&lt;&gt;"AVISO","",IF(T285="Presentado",IF(AND(ISNUMBER(U285),ISNUMBER(Q285),U285&gt;Q285),"Presentado tarde","Presentado"),IF(NOT(ISNUMBER(Q285)),"Falta fecha",IF(Q285&lt;CONFIG!$B$6,"VENCIDO","Vence en "&amp;(Q285-CONFIG!$B$6)&amp;" días"))))</f>
        <v/>
      </c>
      <c r="W285" s="22"/>
      <c r="X285" s="21"/>
      <c r="AA285" s="0" t="str">
        <f aca="false">IF(AM285="","",INDEX(CATÁLOGO!$D$5:$D$39,AM285))</f>
        <v/>
      </c>
      <c r="AB285" s="0" t="str">
        <f aca="false">IF(AM285="","",INDEX(CATÁLOGO!$E$5:$E$39,AM285))</f>
        <v/>
      </c>
      <c r="AC285" s="0" t="str">
        <f aca="false">IF(AB285="","",IF(ISNUMBER(AB285),AB285*AV285,AB285))</f>
        <v/>
      </c>
      <c r="AD285" s="0" t="str">
        <f aca="false">IF(AM285="","",INDEX(CATÁLOGO!$F$5:$F$39,AM285))</f>
        <v/>
      </c>
      <c r="AE285" s="0" t="str">
        <f aca="false">IF(AD285="","",IF(ISNUMBER(AD285),AD285*AV285,AD285))</f>
        <v/>
      </c>
      <c r="AF285" s="0" t="str">
        <f aca="false">IF(AM285="","",INDEX(CATÁLOGO!$G$5:$G$39,AM285))</f>
        <v/>
      </c>
      <c r="AG285" s="0" t="str">
        <f aca="false">IF(AF285="","",IF(ISNUMBER(AF285),AF285*AV285,AF285))</f>
        <v/>
      </c>
      <c r="AH285" s="0" t="str">
        <f aca="false">IF(E285="","",C285&amp;"|"&amp;D285)</f>
        <v/>
      </c>
      <c r="AI285" s="27" t="n">
        <f aca="false">IF(M285&lt;&gt;"Sí",0,SUMPRODUCT(MAX(($AH$5:AH284=AH285)*($M$5:M284="Sí")*ROW($AH$5:AH284))))</f>
        <v>0</v>
      </c>
      <c r="AJ285" s="0" t="str">
        <f aca="false">IF(M285&lt;&gt;"Sí","",IF(AL285=1,B285,INDEX($AJ:$AJ,AI285)))</f>
        <v/>
      </c>
      <c r="AK285" s="0" t="str">
        <f aca="false">IF(M285&lt;&gt;"Sí","",IF(AL285=1,E285,INDEX($AK:$AK,AI285)+E285))</f>
        <v/>
      </c>
      <c r="AL285" s="0" t="str">
        <f aca="false">IF(M285&lt;&gt;"Sí","",IF(AI285=0,1,IF(INDEX($AN:$AN,AI285)=0,1,IF(B285&gt;=EDATE(INDEX($AJ:$AJ,AI285),6),1,0))))</f>
        <v/>
      </c>
      <c r="AM285" s="0" t="str">
        <f aca="false">IF(D285="","",IFERROR(MATCH(D285,CATÁLOGO!$C$5:$C$39,0),""))</f>
        <v/>
      </c>
      <c r="AN285" s="0" t="str">
        <f aca="false">IF(M285&lt;&gt;"Sí","",IF(AND(ISNUMBER(AE285),AK285&gt;=AE285),0,1))</f>
        <v/>
      </c>
      <c r="AO285" s="0" t="str">
        <f aca="false">IF(OR(E285="",C285="",NOT(ISNUMBER(B285))),"",SUMIFS($E$6:$E$505,$C$6:$C$505,C285,$B$6:$B$505,"&gt;="&amp;DATE(YEAR(B285),MONTH(B285),1),$B$6:$B$505,"&lt;"&amp;DATE(YEAR(B285),MONTH(B285)+1,1)))</f>
        <v/>
      </c>
      <c r="AP285" s="0" t="str">
        <f aca="false">IF(C285="","",IFERROR(INDEX(CLIENTES!$M$6:$M$305,MATCH(C285,CLIENTES!$A$6:$A$305,0)),""))</f>
        <v/>
      </c>
      <c r="AQ285" s="27" t="n">
        <f aca="false">IF(AND(ISNUMBER(AO285),ISNUMBER(AP285)),IF(AND(AP285&gt;0,AO285&gt;AP285),1,0),0)</f>
        <v>0</v>
      </c>
      <c r="AR285" s="27" t="n">
        <f aca="false">IF(NOT(ISNUMBER(B285)),0,IF(B285&lt;MAX($B$5:B284),1,0))</f>
        <v>0</v>
      </c>
      <c r="AS285" s="0" t="str">
        <f aca="false">IF(C285="","",IFERROR(INDEX(CLIENTES!$H$6:$H$305,MATCH(C285,CLIENTES!$A$6:$A$305,0)),""))</f>
        <v/>
      </c>
      <c r="AT285" s="0" t="str">
        <f aca="false">IF(AND(LEFT(P285,5)="AVISO",T285&lt;&gt;"Presentado",ISNUMBER(Q285)),Q285,"")</f>
        <v/>
      </c>
      <c r="AU285" s="27" t="n">
        <f aca="false">IF(AND(D285="XVI - Activos virtuales (PSAV): operación de intercambio/transferencia",M285="Sí",ISNUMBER(AE285)),IF(AK285&gt;=AE285,1,0),0)</f>
        <v>0</v>
      </c>
      <c r="AV285" s="30" t="n">
        <f aca="false">IF(NOT(ISNUMBER(B285)),CONFIG!$B$4,IFERROR(INDEX(CONFIG!$I$5:$I$14,MATCH(IF(MONTH(B285)=1,YEAR(B285)-1,YEAR(B285)),CONFIG!$H$5:$H$14,0)),CONFIG!$B$4))</f>
        <v>117.31</v>
      </c>
      <c r="AW285" s="27" t="n">
        <f aca="false">IF(AND(LEFT(D285,4)="I - ",ISNUMBER(B285),C285&lt;&gt;""),SUMIFS($E$6:$E$505,$C$6:$C$505,C285,$D$6:$D$505,D285,$B$6:$B$505,"&gt;"&amp;(B285-1),$B$6:$B$505,"&lt;="&amp;B285),0)</f>
        <v>0</v>
      </c>
      <c r="AX285" s="0" t="str">
        <f aca="false">IF(E285="","",IF(AD285="Siempre","AVISO (siempre)",IF(AD285="No aplica","Sin Aviso (sólo preparas: Ley 17 XI)",IF(NOT(ISNUMBER(AE285)),"",IF(AA285&lt;&gt;"ACUMULA",IF(E285&gt;=AE285,IF(AND(D285="XVI - Activos virtuales (PSAV): cobro de contraprestación (comisión) por el servicio",COUNTIFS($C$6:$C$505,C285,$B$6:$B$505,"&gt;="&amp;INT(B285),$B$6:$B$505,"&lt;"&amp;(INT(B285)+1),$AU$6:$AU$505,1)&gt;0),"En el Aviso del inciso a) (R 31 Bis)","AVISO"),"—"),IF(M285&lt;&gt;"Sí","—",IF(AK285&gt;=AE285,IF(AK285=E285,"AVISO","AVISO (acumulado)"),"Acumulando")))))))</f>
        <v/>
      </c>
    </row>
    <row r="286" customFormat="false" ht="15" hidden="false" customHeight="false" outlineLevel="0" collapsed="false">
      <c r="A286" s="9" t="str">
        <f aca="false">IF(E286="","",ROW()-5)</f>
        <v/>
      </c>
      <c r="B286" s="20"/>
      <c r="C286" s="21"/>
      <c r="D286" s="21"/>
      <c r="E286" s="22"/>
      <c r="F286" s="22"/>
      <c r="G286" s="21"/>
      <c r="H286" s="21"/>
      <c r="I286" s="9" t="str">
        <f aca="false">IF(C286="","",IFERROR(INDEX(CLIENTES!$B$6:$B$305,MATCH(C286,CLIENTES!$A$6:$A$305,0)),"⚠ ID no registrado"))</f>
        <v/>
      </c>
      <c r="J286" s="9" t="str">
        <f aca="false">IF(C286="","",IFERROR(INDEX(CLIENTES!$Z$6:$Z$305,MATCH(C286,CLIENTES!$A$6:$A$305,0)),""))</f>
        <v/>
      </c>
      <c r="K286" s="9" t="str">
        <f aca="false">IF(E286="","",IF(AB286="Siempre","Sí",IF(ISNUMBER(AC286),IF(E286&gt;=AC286,"Sí",IF(AW286&gt;=AC286,"Sí (serie 24 h)","No")),"")))</f>
        <v/>
      </c>
      <c r="L286" s="9" t="str">
        <f aca="false">IF(E286="","",AA286)</f>
        <v/>
      </c>
      <c r="M286" s="9" t="str">
        <f aca="false">IF(E286="","",IF(AA286&lt;&gt;"ACUMULA","No aplica",IF(LEFT(K286,2)="Sí","Sí","No")))</f>
        <v/>
      </c>
      <c r="N286" s="23" t="str">
        <f aca="false">IF(M286="Sí",AJ286,"")</f>
        <v/>
      </c>
      <c r="O286" s="24" t="str">
        <f aca="false">IF(M286="Sí",AK286,"")</f>
        <v/>
      </c>
      <c r="P286" s="25" t="str">
        <f aca="false">IF(AND(LEFT(D286,6)="XIV - ",LEFT(AX286,5)="AVISO"),"Pedimento (R 16): no va al SPPLD",AX286)</f>
        <v/>
      </c>
      <c r="Q286" s="23" t="str">
        <f aca="false">IF(LEFT(P286,5)="AVISO",IF(ISNUMBER(B286),DATE(YEAR(B286),MONTH(B286)+1,17),"Falta fecha"),"")</f>
        <v/>
      </c>
      <c r="R286" s="9" t="str">
        <f aca="false">IF(OR(F286="",F286=0),"",IF(ISNUMBER(AG286),IF(F286&gt;=AG286,"PROHIBIDO","Dentro del límite"),"No aplica"))</f>
        <v/>
      </c>
      <c r="S286" s="26" t="str">
        <f aca="false">IF(E286="","",MID(IF(AQ286=1," · Excede el perfil declarado","")&amp;IF(H286="Sí"," · Paga un tercero","")&amp;IF(J286="Alto"," · Cliente de riesgo alto: DDR (RCG 23 Ter 3 y 4)","")&amp;IF(AND(AS286&lt;&gt;"",AS286&lt;&gt;"No",AS286&lt;&gt;0)," · PEP","")&amp;IF(R286="PROHIBIDO"," · Efectivo prohibido: no lo recibas (Art. 32)","")&amp;IF(AR286=1," · ⚠ Fecha fuera de orden","")&amp;IF(LEFT(I286,1)="⚠"," · ⚠ Cliente no registrado","")&amp;IF(D286=""," · ⚠ Falta la actividad","")&amp;IF(AND(LEFT(P286,5)="AVISO",W286="")," · Captura la cifra total con IVA para el Aviso","")&amp;IF(AND(ISNUMBER(W286),W286&lt;E286)," · ⚠ La cifra con IVA es menor que el monto sin IVA",""),4,400))</f>
        <v/>
      </c>
      <c r="T286" s="21"/>
      <c r="U286" s="20"/>
      <c r="V286" s="9" t="str">
        <f aca="false">IF(LEFT(P286,5)&lt;&gt;"AVISO","",IF(T286="Presentado",IF(AND(ISNUMBER(U286),ISNUMBER(Q286),U286&gt;Q286),"Presentado tarde","Presentado"),IF(NOT(ISNUMBER(Q286)),"Falta fecha",IF(Q286&lt;CONFIG!$B$6,"VENCIDO","Vence en "&amp;(Q286-CONFIG!$B$6)&amp;" días"))))</f>
        <v/>
      </c>
      <c r="W286" s="22"/>
      <c r="X286" s="21"/>
      <c r="AA286" s="0" t="str">
        <f aca="false">IF(AM286="","",INDEX(CATÁLOGO!$D$5:$D$39,AM286))</f>
        <v/>
      </c>
      <c r="AB286" s="0" t="str">
        <f aca="false">IF(AM286="","",INDEX(CATÁLOGO!$E$5:$E$39,AM286))</f>
        <v/>
      </c>
      <c r="AC286" s="0" t="str">
        <f aca="false">IF(AB286="","",IF(ISNUMBER(AB286),AB286*AV286,AB286))</f>
        <v/>
      </c>
      <c r="AD286" s="0" t="str">
        <f aca="false">IF(AM286="","",INDEX(CATÁLOGO!$F$5:$F$39,AM286))</f>
        <v/>
      </c>
      <c r="AE286" s="0" t="str">
        <f aca="false">IF(AD286="","",IF(ISNUMBER(AD286),AD286*AV286,AD286))</f>
        <v/>
      </c>
      <c r="AF286" s="0" t="str">
        <f aca="false">IF(AM286="","",INDEX(CATÁLOGO!$G$5:$G$39,AM286))</f>
        <v/>
      </c>
      <c r="AG286" s="0" t="str">
        <f aca="false">IF(AF286="","",IF(ISNUMBER(AF286),AF286*AV286,AF286))</f>
        <v/>
      </c>
      <c r="AH286" s="0" t="str">
        <f aca="false">IF(E286="","",C286&amp;"|"&amp;D286)</f>
        <v/>
      </c>
      <c r="AI286" s="27" t="n">
        <f aca="false">IF(M286&lt;&gt;"Sí",0,SUMPRODUCT(MAX(($AH$5:AH285=AH286)*($M$5:M285="Sí")*ROW($AH$5:AH285))))</f>
        <v>0</v>
      </c>
      <c r="AJ286" s="0" t="str">
        <f aca="false">IF(M286&lt;&gt;"Sí","",IF(AL286=1,B286,INDEX($AJ:$AJ,AI286)))</f>
        <v/>
      </c>
      <c r="AK286" s="0" t="str">
        <f aca="false">IF(M286&lt;&gt;"Sí","",IF(AL286=1,E286,INDEX($AK:$AK,AI286)+E286))</f>
        <v/>
      </c>
      <c r="AL286" s="0" t="str">
        <f aca="false">IF(M286&lt;&gt;"Sí","",IF(AI286=0,1,IF(INDEX($AN:$AN,AI286)=0,1,IF(B286&gt;=EDATE(INDEX($AJ:$AJ,AI286),6),1,0))))</f>
        <v/>
      </c>
      <c r="AM286" s="0" t="str">
        <f aca="false">IF(D286="","",IFERROR(MATCH(D286,CATÁLOGO!$C$5:$C$39,0),""))</f>
        <v/>
      </c>
      <c r="AN286" s="0" t="str">
        <f aca="false">IF(M286&lt;&gt;"Sí","",IF(AND(ISNUMBER(AE286),AK286&gt;=AE286),0,1))</f>
        <v/>
      </c>
      <c r="AO286" s="0" t="str">
        <f aca="false">IF(OR(E286="",C286="",NOT(ISNUMBER(B286))),"",SUMIFS($E$6:$E$505,$C$6:$C$505,C286,$B$6:$B$505,"&gt;="&amp;DATE(YEAR(B286),MONTH(B286),1),$B$6:$B$505,"&lt;"&amp;DATE(YEAR(B286),MONTH(B286)+1,1)))</f>
        <v/>
      </c>
      <c r="AP286" s="0" t="str">
        <f aca="false">IF(C286="","",IFERROR(INDEX(CLIENTES!$M$6:$M$305,MATCH(C286,CLIENTES!$A$6:$A$305,0)),""))</f>
        <v/>
      </c>
      <c r="AQ286" s="27" t="n">
        <f aca="false">IF(AND(ISNUMBER(AO286),ISNUMBER(AP286)),IF(AND(AP286&gt;0,AO286&gt;AP286),1,0),0)</f>
        <v>0</v>
      </c>
      <c r="AR286" s="27" t="n">
        <f aca="false">IF(NOT(ISNUMBER(B286)),0,IF(B286&lt;MAX($B$5:B285),1,0))</f>
        <v>0</v>
      </c>
      <c r="AS286" s="0" t="str">
        <f aca="false">IF(C286="","",IFERROR(INDEX(CLIENTES!$H$6:$H$305,MATCH(C286,CLIENTES!$A$6:$A$305,0)),""))</f>
        <v/>
      </c>
      <c r="AT286" s="0" t="str">
        <f aca="false">IF(AND(LEFT(P286,5)="AVISO",T286&lt;&gt;"Presentado",ISNUMBER(Q286)),Q286,"")</f>
        <v/>
      </c>
      <c r="AU286" s="27" t="n">
        <f aca="false">IF(AND(D286="XVI - Activos virtuales (PSAV): operación de intercambio/transferencia",M286="Sí",ISNUMBER(AE286)),IF(AK286&gt;=AE286,1,0),0)</f>
        <v>0</v>
      </c>
      <c r="AV286" s="30" t="n">
        <f aca="false">IF(NOT(ISNUMBER(B286)),CONFIG!$B$4,IFERROR(INDEX(CONFIG!$I$5:$I$14,MATCH(IF(MONTH(B286)=1,YEAR(B286)-1,YEAR(B286)),CONFIG!$H$5:$H$14,0)),CONFIG!$B$4))</f>
        <v>117.31</v>
      </c>
      <c r="AW286" s="27" t="n">
        <f aca="false">IF(AND(LEFT(D286,4)="I - ",ISNUMBER(B286),C286&lt;&gt;""),SUMIFS($E$6:$E$505,$C$6:$C$505,C286,$D$6:$D$505,D286,$B$6:$B$505,"&gt;"&amp;(B286-1),$B$6:$B$505,"&lt;="&amp;B286),0)</f>
        <v>0</v>
      </c>
      <c r="AX286" s="0" t="str">
        <f aca="false">IF(E286="","",IF(AD286="Siempre","AVISO (siempre)",IF(AD286="No aplica","Sin Aviso (sólo preparas: Ley 17 XI)",IF(NOT(ISNUMBER(AE286)),"",IF(AA286&lt;&gt;"ACUMULA",IF(E286&gt;=AE286,IF(AND(D286="XVI - Activos virtuales (PSAV): cobro de contraprestación (comisión) por el servicio",COUNTIFS($C$6:$C$505,C286,$B$6:$B$505,"&gt;="&amp;INT(B286),$B$6:$B$505,"&lt;"&amp;(INT(B286)+1),$AU$6:$AU$505,1)&gt;0),"En el Aviso del inciso a) (R 31 Bis)","AVISO"),"—"),IF(M286&lt;&gt;"Sí","—",IF(AK286&gt;=AE286,IF(AK286=E286,"AVISO","AVISO (acumulado)"),"Acumulando")))))))</f>
        <v/>
      </c>
    </row>
    <row r="287" customFormat="false" ht="15" hidden="false" customHeight="false" outlineLevel="0" collapsed="false">
      <c r="A287" s="9" t="str">
        <f aca="false">IF(E287="","",ROW()-5)</f>
        <v/>
      </c>
      <c r="B287" s="20"/>
      <c r="C287" s="21"/>
      <c r="D287" s="21"/>
      <c r="E287" s="22"/>
      <c r="F287" s="22"/>
      <c r="G287" s="21"/>
      <c r="H287" s="21"/>
      <c r="I287" s="9" t="str">
        <f aca="false">IF(C287="","",IFERROR(INDEX(CLIENTES!$B$6:$B$305,MATCH(C287,CLIENTES!$A$6:$A$305,0)),"⚠ ID no registrado"))</f>
        <v/>
      </c>
      <c r="J287" s="9" t="str">
        <f aca="false">IF(C287="","",IFERROR(INDEX(CLIENTES!$Z$6:$Z$305,MATCH(C287,CLIENTES!$A$6:$A$305,0)),""))</f>
        <v/>
      </c>
      <c r="K287" s="9" t="str">
        <f aca="false">IF(E287="","",IF(AB287="Siempre","Sí",IF(ISNUMBER(AC287),IF(E287&gt;=AC287,"Sí",IF(AW287&gt;=AC287,"Sí (serie 24 h)","No")),"")))</f>
        <v/>
      </c>
      <c r="L287" s="9" t="str">
        <f aca="false">IF(E287="","",AA287)</f>
        <v/>
      </c>
      <c r="M287" s="9" t="str">
        <f aca="false">IF(E287="","",IF(AA287&lt;&gt;"ACUMULA","No aplica",IF(LEFT(K287,2)="Sí","Sí","No")))</f>
        <v/>
      </c>
      <c r="N287" s="23" t="str">
        <f aca="false">IF(M287="Sí",AJ287,"")</f>
        <v/>
      </c>
      <c r="O287" s="24" t="str">
        <f aca="false">IF(M287="Sí",AK287,"")</f>
        <v/>
      </c>
      <c r="P287" s="25" t="str">
        <f aca="false">IF(AND(LEFT(D287,6)="XIV - ",LEFT(AX287,5)="AVISO"),"Pedimento (R 16): no va al SPPLD",AX287)</f>
        <v/>
      </c>
      <c r="Q287" s="23" t="str">
        <f aca="false">IF(LEFT(P287,5)="AVISO",IF(ISNUMBER(B287),DATE(YEAR(B287),MONTH(B287)+1,17),"Falta fecha"),"")</f>
        <v/>
      </c>
      <c r="R287" s="9" t="str">
        <f aca="false">IF(OR(F287="",F287=0),"",IF(ISNUMBER(AG287),IF(F287&gt;=AG287,"PROHIBIDO","Dentro del límite"),"No aplica"))</f>
        <v/>
      </c>
      <c r="S287" s="26" t="str">
        <f aca="false">IF(E287="","",MID(IF(AQ287=1," · Excede el perfil declarado","")&amp;IF(H287="Sí"," · Paga un tercero","")&amp;IF(J287="Alto"," · Cliente de riesgo alto: DDR (RCG 23 Ter 3 y 4)","")&amp;IF(AND(AS287&lt;&gt;"",AS287&lt;&gt;"No",AS287&lt;&gt;0)," · PEP","")&amp;IF(R287="PROHIBIDO"," · Efectivo prohibido: no lo recibas (Art. 32)","")&amp;IF(AR287=1," · ⚠ Fecha fuera de orden","")&amp;IF(LEFT(I287,1)="⚠"," · ⚠ Cliente no registrado","")&amp;IF(D287=""," · ⚠ Falta la actividad","")&amp;IF(AND(LEFT(P287,5)="AVISO",W287="")," · Captura la cifra total con IVA para el Aviso","")&amp;IF(AND(ISNUMBER(W287),W287&lt;E287)," · ⚠ La cifra con IVA es menor que el monto sin IVA",""),4,400))</f>
        <v/>
      </c>
      <c r="T287" s="21"/>
      <c r="U287" s="20"/>
      <c r="V287" s="9" t="str">
        <f aca="false">IF(LEFT(P287,5)&lt;&gt;"AVISO","",IF(T287="Presentado",IF(AND(ISNUMBER(U287),ISNUMBER(Q287),U287&gt;Q287),"Presentado tarde","Presentado"),IF(NOT(ISNUMBER(Q287)),"Falta fecha",IF(Q287&lt;CONFIG!$B$6,"VENCIDO","Vence en "&amp;(Q287-CONFIG!$B$6)&amp;" días"))))</f>
        <v/>
      </c>
      <c r="W287" s="22"/>
      <c r="X287" s="21"/>
      <c r="AA287" s="0" t="str">
        <f aca="false">IF(AM287="","",INDEX(CATÁLOGO!$D$5:$D$39,AM287))</f>
        <v/>
      </c>
      <c r="AB287" s="0" t="str">
        <f aca="false">IF(AM287="","",INDEX(CATÁLOGO!$E$5:$E$39,AM287))</f>
        <v/>
      </c>
      <c r="AC287" s="0" t="str">
        <f aca="false">IF(AB287="","",IF(ISNUMBER(AB287),AB287*AV287,AB287))</f>
        <v/>
      </c>
      <c r="AD287" s="0" t="str">
        <f aca="false">IF(AM287="","",INDEX(CATÁLOGO!$F$5:$F$39,AM287))</f>
        <v/>
      </c>
      <c r="AE287" s="0" t="str">
        <f aca="false">IF(AD287="","",IF(ISNUMBER(AD287),AD287*AV287,AD287))</f>
        <v/>
      </c>
      <c r="AF287" s="0" t="str">
        <f aca="false">IF(AM287="","",INDEX(CATÁLOGO!$G$5:$G$39,AM287))</f>
        <v/>
      </c>
      <c r="AG287" s="0" t="str">
        <f aca="false">IF(AF287="","",IF(ISNUMBER(AF287),AF287*AV287,AF287))</f>
        <v/>
      </c>
      <c r="AH287" s="0" t="str">
        <f aca="false">IF(E287="","",C287&amp;"|"&amp;D287)</f>
        <v/>
      </c>
      <c r="AI287" s="27" t="n">
        <f aca="false">IF(M287&lt;&gt;"Sí",0,SUMPRODUCT(MAX(($AH$5:AH286=AH287)*($M$5:M286="Sí")*ROW($AH$5:AH286))))</f>
        <v>0</v>
      </c>
      <c r="AJ287" s="0" t="str">
        <f aca="false">IF(M287&lt;&gt;"Sí","",IF(AL287=1,B287,INDEX($AJ:$AJ,AI287)))</f>
        <v/>
      </c>
      <c r="AK287" s="0" t="str">
        <f aca="false">IF(M287&lt;&gt;"Sí","",IF(AL287=1,E287,INDEX($AK:$AK,AI287)+E287))</f>
        <v/>
      </c>
      <c r="AL287" s="0" t="str">
        <f aca="false">IF(M287&lt;&gt;"Sí","",IF(AI287=0,1,IF(INDEX($AN:$AN,AI287)=0,1,IF(B287&gt;=EDATE(INDEX($AJ:$AJ,AI287),6),1,0))))</f>
        <v/>
      </c>
      <c r="AM287" s="0" t="str">
        <f aca="false">IF(D287="","",IFERROR(MATCH(D287,CATÁLOGO!$C$5:$C$39,0),""))</f>
        <v/>
      </c>
      <c r="AN287" s="0" t="str">
        <f aca="false">IF(M287&lt;&gt;"Sí","",IF(AND(ISNUMBER(AE287),AK287&gt;=AE287),0,1))</f>
        <v/>
      </c>
      <c r="AO287" s="0" t="str">
        <f aca="false">IF(OR(E287="",C287="",NOT(ISNUMBER(B287))),"",SUMIFS($E$6:$E$505,$C$6:$C$505,C287,$B$6:$B$505,"&gt;="&amp;DATE(YEAR(B287),MONTH(B287),1),$B$6:$B$505,"&lt;"&amp;DATE(YEAR(B287),MONTH(B287)+1,1)))</f>
        <v/>
      </c>
      <c r="AP287" s="0" t="str">
        <f aca="false">IF(C287="","",IFERROR(INDEX(CLIENTES!$M$6:$M$305,MATCH(C287,CLIENTES!$A$6:$A$305,0)),""))</f>
        <v/>
      </c>
      <c r="AQ287" s="27" t="n">
        <f aca="false">IF(AND(ISNUMBER(AO287),ISNUMBER(AP287)),IF(AND(AP287&gt;0,AO287&gt;AP287),1,0),0)</f>
        <v>0</v>
      </c>
      <c r="AR287" s="27" t="n">
        <f aca="false">IF(NOT(ISNUMBER(B287)),0,IF(B287&lt;MAX($B$5:B286),1,0))</f>
        <v>0</v>
      </c>
      <c r="AS287" s="0" t="str">
        <f aca="false">IF(C287="","",IFERROR(INDEX(CLIENTES!$H$6:$H$305,MATCH(C287,CLIENTES!$A$6:$A$305,0)),""))</f>
        <v/>
      </c>
      <c r="AT287" s="0" t="str">
        <f aca="false">IF(AND(LEFT(P287,5)="AVISO",T287&lt;&gt;"Presentado",ISNUMBER(Q287)),Q287,"")</f>
        <v/>
      </c>
      <c r="AU287" s="27" t="n">
        <f aca="false">IF(AND(D287="XVI - Activos virtuales (PSAV): operación de intercambio/transferencia",M287="Sí",ISNUMBER(AE287)),IF(AK287&gt;=AE287,1,0),0)</f>
        <v>0</v>
      </c>
      <c r="AV287" s="30" t="n">
        <f aca="false">IF(NOT(ISNUMBER(B287)),CONFIG!$B$4,IFERROR(INDEX(CONFIG!$I$5:$I$14,MATCH(IF(MONTH(B287)=1,YEAR(B287)-1,YEAR(B287)),CONFIG!$H$5:$H$14,0)),CONFIG!$B$4))</f>
        <v>117.31</v>
      </c>
      <c r="AW287" s="27" t="n">
        <f aca="false">IF(AND(LEFT(D287,4)="I - ",ISNUMBER(B287),C287&lt;&gt;""),SUMIFS($E$6:$E$505,$C$6:$C$505,C287,$D$6:$D$505,D287,$B$6:$B$505,"&gt;"&amp;(B287-1),$B$6:$B$505,"&lt;="&amp;B287),0)</f>
        <v>0</v>
      </c>
      <c r="AX287" s="0" t="str">
        <f aca="false">IF(E287="","",IF(AD287="Siempre","AVISO (siempre)",IF(AD287="No aplica","Sin Aviso (sólo preparas: Ley 17 XI)",IF(NOT(ISNUMBER(AE287)),"",IF(AA287&lt;&gt;"ACUMULA",IF(E287&gt;=AE287,IF(AND(D287="XVI - Activos virtuales (PSAV): cobro de contraprestación (comisión) por el servicio",COUNTIFS($C$6:$C$505,C287,$B$6:$B$505,"&gt;="&amp;INT(B287),$B$6:$B$505,"&lt;"&amp;(INT(B287)+1),$AU$6:$AU$505,1)&gt;0),"En el Aviso del inciso a) (R 31 Bis)","AVISO"),"—"),IF(M287&lt;&gt;"Sí","—",IF(AK287&gt;=AE287,IF(AK287=E287,"AVISO","AVISO (acumulado)"),"Acumulando")))))))</f>
        <v/>
      </c>
    </row>
    <row r="288" customFormat="false" ht="15" hidden="false" customHeight="false" outlineLevel="0" collapsed="false">
      <c r="A288" s="9" t="str">
        <f aca="false">IF(E288="","",ROW()-5)</f>
        <v/>
      </c>
      <c r="B288" s="20"/>
      <c r="C288" s="21"/>
      <c r="D288" s="21"/>
      <c r="E288" s="22"/>
      <c r="F288" s="22"/>
      <c r="G288" s="21"/>
      <c r="H288" s="21"/>
      <c r="I288" s="9" t="str">
        <f aca="false">IF(C288="","",IFERROR(INDEX(CLIENTES!$B$6:$B$305,MATCH(C288,CLIENTES!$A$6:$A$305,0)),"⚠ ID no registrado"))</f>
        <v/>
      </c>
      <c r="J288" s="9" t="str">
        <f aca="false">IF(C288="","",IFERROR(INDEX(CLIENTES!$Z$6:$Z$305,MATCH(C288,CLIENTES!$A$6:$A$305,0)),""))</f>
        <v/>
      </c>
      <c r="K288" s="9" t="str">
        <f aca="false">IF(E288="","",IF(AB288="Siempre","Sí",IF(ISNUMBER(AC288),IF(E288&gt;=AC288,"Sí",IF(AW288&gt;=AC288,"Sí (serie 24 h)","No")),"")))</f>
        <v/>
      </c>
      <c r="L288" s="9" t="str">
        <f aca="false">IF(E288="","",AA288)</f>
        <v/>
      </c>
      <c r="M288" s="9" t="str">
        <f aca="false">IF(E288="","",IF(AA288&lt;&gt;"ACUMULA","No aplica",IF(LEFT(K288,2)="Sí","Sí","No")))</f>
        <v/>
      </c>
      <c r="N288" s="23" t="str">
        <f aca="false">IF(M288="Sí",AJ288,"")</f>
        <v/>
      </c>
      <c r="O288" s="24" t="str">
        <f aca="false">IF(M288="Sí",AK288,"")</f>
        <v/>
      </c>
      <c r="P288" s="25" t="str">
        <f aca="false">IF(AND(LEFT(D288,6)="XIV - ",LEFT(AX288,5)="AVISO"),"Pedimento (R 16): no va al SPPLD",AX288)</f>
        <v/>
      </c>
      <c r="Q288" s="23" t="str">
        <f aca="false">IF(LEFT(P288,5)="AVISO",IF(ISNUMBER(B288),DATE(YEAR(B288),MONTH(B288)+1,17),"Falta fecha"),"")</f>
        <v/>
      </c>
      <c r="R288" s="9" t="str">
        <f aca="false">IF(OR(F288="",F288=0),"",IF(ISNUMBER(AG288),IF(F288&gt;=AG288,"PROHIBIDO","Dentro del límite"),"No aplica"))</f>
        <v/>
      </c>
      <c r="S288" s="26" t="str">
        <f aca="false">IF(E288="","",MID(IF(AQ288=1," · Excede el perfil declarado","")&amp;IF(H288="Sí"," · Paga un tercero","")&amp;IF(J288="Alto"," · Cliente de riesgo alto: DDR (RCG 23 Ter 3 y 4)","")&amp;IF(AND(AS288&lt;&gt;"",AS288&lt;&gt;"No",AS288&lt;&gt;0)," · PEP","")&amp;IF(R288="PROHIBIDO"," · Efectivo prohibido: no lo recibas (Art. 32)","")&amp;IF(AR288=1," · ⚠ Fecha fuera de orden","")&amp;IF(LEFT(I288,1)="⚠"," · ⚠ Cliente no registrado","")&amp;IF(D288=""," · ⚠ Falta la actividad","")&amp;IF(AND(LEFT(P288,5)="AVISO",W288="")," · Captura la cifra total con IVA para el Aviso","")&amp;IF(AND(ISNUMBER(W288),W288&lt;E288)," · ⚠ La cifra con IVA es menor que el monto sin IVA",""),4,400))</f>
        <v/>
      </c>
      <c r="T288" s="21"/>
      <c r="U288" s="20"/>
      <c r="V288" s="9" t="str">
        <f aca="false">IF(LEFT(P288,5)&lt;&gt;"AVISO","",IF(T288="Presentado",IF(AND(ISNUMBER(U288),ISNUMBER(Q288),U288&gt;Q288),"Presentado tarde","Presentado"),IF(NOT(ISNUMBER(Q288)),"Falta fecha",IF(Q288&lt;CONFIG!$B$6,"VENCIDO","Vence en "&amp;(Q288-CONFIG!$B$6)&amp;" días"))))</f>
        <v/>
      </c>
      <c r="W288" s="22"/>
      <c r="X288" s="21"/>
      <c r="AA288" s="0" t="str">
        <f aca="false">IF(AM288="","",INDEX(CATÁLOGO!$D$5:$D$39,AM288))</f>
        <v/>
      </c>
      <c r="AB288" s="0" t="str">
        <f aca="false">IF(AM288="","",INDEX(CATÁLOGO!$E$5:$E$39,AM288))</f>
        <v/>
      </c>
      <c r="AC288" s="0" t="str">
        <f aca="false">IF(AB288="","",IF(ISNUMBER(AB288),AB288*AV288,AB288))</f>
        <v/>
      </c>
      <c r="AD288" s="0" t="str">
        <f aca="false">IF(AM288="","",INDEX(CATÁLOGO!$F$5:$F$39,AM288))</f>
        <v/>
      </c>
      <c r="AE288" s="0" t="str">
        <f aca="false">IF(AD288="","",IF(ISNUMBER(AD288),AD288*AV288,AD288))</f>
        <v/>
      </c>
      <c r="AF288" s="0" t="str">
        <f aca="false">IF(AM288="","",INDEX(CATÁLOGO!$G$5:$G$39,AM288))</f>
        <v/>
      </c>
      <c r="AG288" s="0" t="str">
        <f aca="false">IF(AF288="","",IF(ISNUMBER(AF288),AF288*AV288,AF288))</f>
        <v/>
      </c>
      <c r="AH288" s="0" t="str">
        <f aca="false">IF(E288="","",C288&amp;"|"&amp;D288)</f>
        <v/>
      </c>
      <c r="AI288" s="27" t="n">
        <f aca="false">IF(M288&lt;&gt;"Sí",0,SUMPRODUCT(MAX(($AH$5:AH287=AH288)*($M$5:M287="Sí")*ROW($AH$5:AH287))))</f>
        <v>0</v>
      </c>
      <c r="AJ288" s="0" t="str">
        <f aca="false">IF(M288&lt;&gt;"Sí","",IF(AL288=1,B288,INDEX($AJ:$AJ,AI288)))</f>
        <v/>
      </c>
      <c r="AK288" s="0" t="str">
        <f aca="false">IF(M288&lt;&gt;"Sí","",IF(AL288=1,E288,INDEX($AK:$AK,AI288)+E288))</f>
        <v/>
      </c>
      <c r="AL288" s="0" t="str">
        <f aca="false">IF(M288&lt;&gt;"Sí","",IF(AI288=0,1,IF(INDEX($AN:$AN,AI288)=0,1,IF(B288&gt;=EDATE(INDEX($AJ:$AJ,AI288),6),1,0))))</f>
        <v/>
      </c>
      <c r="AM288" s="0" t="str">
        <f aca="false">IF(D288="","",IFERROR(MATCH(D288,CATÁLOGO!$C$5:$C$39,0),""))</f>
        <v/>
      </c>
      <c r="AN288" s="0" t="str">
        <f aca="false">IF(M288&lt;&gt;"Sí","",IF(AND(ISNUMBER(AE288),AK288&gt;=AE288),0,1))</f>
        <v/>
      </c>
      <c r="AO288" s="0" t="str">
        <f aca="false">IF(OR(E288="",C288="",NOT(ISNUMBER(B288))),"",SUMIFS($E$6:$E$505,$C$6:$C$505,C288,$B$6:$B$505,"&gt;="&amp;DATE(YEAR(B288),MONTH(B288),1),$B$6:$B$505,"&lt;"&amp;DATE(YEAR(B288),MONTH(B288)+1,1)))</f>
        <v/>
      </c>
      <c r="AP288" s="0" t="str">
        <f aca="false">IF(C288="","",IFERROR(INDEX(CLIENTES!$M$6:$M$305,MATCH(C288,CLIENTES!$A$6:$A$305,0)),""))</f>
        <v/>
      </c>
      <c r="AQ288" s="27" t="n">
        <f aca="false">IF(AND(ISNUMBER(AO288),ISNUMBER(AP288)),IF(AND(AP288&gt;0,AO288&gt;AP288),1,0),0)</f>
        <v>0</v>
      </c>
      <c r="AR288" s="27" t="n">
        <f aca="false">IF(NOT(ISNUMBER(B288)),0,IF(B288&lt;MAX($B$5:B287),1,0))</f>
        <v>0</v>
      </c>
      <c r="AS288" s="0" t="str">
        <f aca="false">IF(C288="","",IFERROR(INDEX(CLIENTES!$H$6:$H$305,MATCH(C288,CLIENTES!$A$6:$A$305,0)),""))</f>
        <v/>
      </c>
      <c r="AT288" s="0" t="str">
        <f aca="false">IF(AND(LEFT(P288,5)="AVISO",T288&lt;&gt;"Presentado",ISNUMBER(Q288)),Q288,"")</f>
        <v/>
      </c>
      <c r="AU288" s="27" t="n">
        <f aca="false">IF(AND(D288="XVI - Activos virtuales (PSAV): operación de intercambio/transferencia",M288="Sí",ISNUMBER(AE288)),IF(AK288&gt;=AE288,1,0),0)</f>
        <v>0</v>
      </c>
      <c r="AV288" s="30" t="n">
        <f aca="false">IF(NOT(ISNUMBER(B288)),CONFIG!$B$4,IFERROR(INDEX(CONFIG!$I$5:$I$14,MATCH(IF(MONTH(B288)=1,YEAR(B288)-1,YEAR(B288)),CONFIG!$H$5:$H$14,0)),CONFIG!$B$4))</f>
        <v>117.31</v>
      </c>
      <c r="AW288" s="27" t="n">
        <f aca="false">IF(AND(LEFT(D288,4)="I - ",ISNUMBER(B288),C288&lt;&gt;""),SUMIFS($E$6:$E$505,$C$6:$C$505,C288,$D$6:$D$505,D288,$B$6:$B$505,"&gt;"&amp;(B288-1),$B$6:$B$505,"&lt;="&amp;B288),0)</f>
        <v>0</v>
      </c>
      <c r="AX288" s="0" t="str">
        <f aca="false">IF(E288="","",IF(AD288="Siempre","AVISO (siempre)",IF(AD288="No aplica","Sin Aviso (sólo preparas: Ley 17 XI)",IF(NOT(ISNUMBER(AE288)),"",IF(AA288&lt;&gt;"ACUMULA",IF(E288&gt;=AE288,IF(AND(D288="XVI - Activos virtuales (PSAV): cobro de contraprestación (comisión) por el servicio",COUNTIFS($C$6:$C$505,C288,$B$6:$B$505,"&gt;="&amp;INT(B288),$B$6:$B$505,"&lt;"&amp;(INT(B288)+1),$AU$6:$AU$505,1)&gt;0),"En el Aviso del inciso a) (R 31 Bis)","AVISO"),"—"),IF(M288&lt;&gt;"Sí","—",IF(AK288&gt;=AE288,IF(AK288=E288,"AVISO","AVISO (acumulado)"),"Acumulando")))))))</f>
        <v/>
      </c>
    </row>
    <row r="289" customFormat="false" ht="15" hidden="false" customHeight="false" outlineLevel="0" collapsed="false">
      <c r="A289" s="9" t="str">
        <f aca="false">IF(E289="","",ROW()-5)</f>
        <v/>
      </c>
      <c r="B289" s="20"/>
      <c r="C289" s="21"/>
      <c r="D289" s="21"/>
      <c r="E289" s="22"/>
      <c r="F289" s="22"/>
      <c r="G289" s="21"/>
      <c r="H289" s="21"/>
      <c r="I289" s="9" t="str">
        <f aca="false">IF(C289="","",IFERROR(INDEX(CLIENTES!$B$6:$B$305,MATCH(C289,CLIENTES!$A$6:$A$305,0)),"⚠ ID no registrado"))</f>
        <v/>
      </c>
      <c r="J289" s="9" t="str">
        <f aca="false">IF(C289="","",IFERROR(INDEX(CLIENTES!$Z$6:$Z$305,MATCH(C289,CLIENTES!$A$6:$A$305,0)),""))</f>
        <v/>
      </c>
      <c r="K289" s="9" t="str">
        <f aca="false">IF(E289="","",IF(AB289="Siempre","Sí",IF(ISNUMBER(AC289),IF(E289&gt;=AC289,"Sí",IF(AW289&gt;=AC289,"Sí (serie 24 h)","No")),"")))</f>
        <v/>
      </c>
      <c r="L289" s="9" t="str">
        <f aca="false">IF(E289="","",AA289)</f>
        <v/>
      </c>
      <c r="M289" s="9" t="str">
        <f aca="false">IF(E289="","",IF(AA289&lt;&gt;"ACUMULA","No aplica",IF(LEFT(K289,2)="Sí","Sí","No")))</f>
        <v/>
      </c>
      <c r="N289" s="23" t="str">
        <f aca="false">IF(M289="Sí",AJ289,"")</f>
        <v/>
      </c>
      <c r="O289" s="24" t="str">
        <f aca="false">IF(M289="Sí",AK289,"")</f>
        <v/>
      </c>
      <c r="P289" s="25" t="str">
        <f aca="false">IF(AND(LEFT(D289,6)="XIV - ",LEFT(AX289,5)="AVISO"),"Pedimento (R 16): no va al SPPLD",AX289)</f>
        <v/>
      </c>
      <c r="Q289" s="23" t="str">
        <f aca="false">IF(LEFT(P289,5)="AVISO",IF(ISNUMBER(B289),DATE(YEAR(B289),MONTH(B289)+1,17),"Falta fecha"),"")</f>
        <v/>
      </c>
      <c r="R289" s="9" t="str">
        <f aca="false">IF(OR(F289="",F289=0),"",IF(ISNUMBER(AG289),IF(F289&gt;=AG289,"PROHIBIDO","Dentro del límite"),"No aplica"))</f>
        <v/>
      </c>
      <c r="S289" s="26" t="str">
        <f aca="false">IF(E289="","",MID(IF(AQ289=1," · Excede el perfil declarado","")&amp;IF(H289="Sí"," · Paga un tercero","")&amp;IF(J289="Alto"," · Cliente de riesgo alto: DDR (RCG 23 Ter 3 y 4)","")&amp;IF(AND(AS289&lt;&gt;"",AS289&lt;&gt;"No",AS289&lt;&gt;0)," · PEP","")&amp;IF(R289="PROHIBIDO"," · Efectivo prohibido: no lo recibas (Art. 32)","")&amp;IF(AR289=1," · ⚠ Fecha fuera de orden","")&amp;IF(LEFT(I289,1)="⚠"," · ⚠ Cliente no registrado","")&amp;IF(D289=""," · ⚠ Falta la actividad","")&amp;IF(AND(LEFT(P289,5)="AVISO",W289="")," · Captura la cifra total con IVA para el Aviso","")&amp;IF(AND(ISNUMBER(W289),W289&lt;E289)," · ⚠ La cifra con IVA es menor que el monto sin IVA",""),4,400))</f>
        <v/>
      </c>
      <c r="T289" s="21"/>
      <c r="U289" s="20"/>
      <c r="V289" s="9" t="str">
        <f aca="false">IF(LEFT(P289,5)&lt;&gt;"AVISO","",IF(T289="Presentado",IF(AND(ISNUMBER(U289),ISNUMBER(Q289),U289&gt;Q289),"Presentado tarde","Presentado"),IF(NOT(ISNUMBER(Q289)),"Falta fecha",IF(Q289&lt;CONFIG!$B$6,"VENCIDO","Vence en "&amp;(Q289-CONFIG!$B$6)&amp;" días"))))</f>
        <v/>
      </c>
      <c r="W289" s="22"/>
      <c r="X289" s="21"/>
      <c r="AA289" s="0" t="str">
        <f aca="false">IF(AM289="","",INDEX(CATÁLOGO!$D$5:$D$39,AM289))</f>
        <v/>
      </c>
      <c r="AB289" s="0" t="str">
        <f aca="false">IF(AM289="","",INDEX(CATÁLOGO!$E$5:$E$39,AM289))</f>
        <v/>
      </c>
      <c r="AC289" s="0" t="str">
        <f aca="false">IF(AB289="","",IF(ISNUMBER(AB289),AB289*AV289,AB289))</f>
        <v/>
      </c>
      <c r="AD289" s="0" t="str">
        <f aca="false">IF(AM289="","",INDEX(CATÁLOGO!$F$5:$F$39,AM289))</f>
        <v/>
      </c>
      <c r="AE289" s="0" t="str">
        <f aca="false">IF(AD289="","",IF(ISNUMBER(AD289),AD289*AV289,AD289))</f>
        <v/>
      </c>
      <c r="AF289" s="0" t="str">
        <f aca="false">IF(AM289="","",INDEX(CATÁLOGO!$G$5:$G$39,AM289))</f>
        <v/>
      </c>
      <c r="AG289" s="0" t="str">
        <f aca="false">IF(AF289="","",IF(ISNUMBER(AF289),AF289*AV289,AF289))</f>
        <v/>
      </c>
      <c r="AH289" s="0" t="str">
        <f aca="false">IF(E289="","",C289&amp;"|"&amp;D289)</f>
        <v/>
      </c>
      <c r="AI289" s="27" t="n">
        <f aca="false">IF(M289&lt;&gt;"Sí",0,SUMPRODUCT(MAX(($AH$5:AH288=AH289)*($M$5:M288="Sí")*ROW($AH$5:AH288))))</f>
        <v>0</v>
      </c>
      <c r="AJ289" s="0" t="str">
        <f aca="false">IF(M289&lt;&gt;"Sí","",IF(AL289=1,B289,INDEX($AJ:$AJ,AI289)))</f>
        <v/>
      </c>
      <c r="AK289" s="0" t="str">
        <f aca="false">IF(M289&lt;&gt;"Sí","",IF(AL289=1,E289,INDEX($AK:$AK,AI289)+E289))</f>
        <v/>
      </c>
      <c r="AL289" s="0" t="str">
        <f aca="false">IF(M289&lt;&gt;"Sí","",IF(AI289=0,1,IF(INDEX($AN:$AN,AI289)=0,1,IF(B289&gt;=EDATE(INDEX($AJ:$AJ,AI289),6),1,0))))</f>
        <v/>
      </c>
      <c r="AM289" s="0" t="str">
        <f aca="false">IF(D289="","",IFERROR(MATCH(D289,CATÁLOGO!$C$5:$C$39,0),""))</f>
        <v/>
      </c>
      <c r="AN289" s="0" t="str">
        <f aca="false">IF(M289&lt;&gt;"Sí","",IF(AND(ISNUMBER(AE289),AK289&gt;=AE289),0,1))</f>
        <v/>
      </c>
      <c r="AO289" s="0" t="str">
        <f aca="false">IF(OR(E289="",C289="",NOT(ISNUMBER(B289))),"",SUMIFS($E$6:$E$505,$C$6:$C$505,C289,$B$6:$B$505,"&gt;="&amp;DATE(YEAR(B289),MONTH(B289),1),$B$6:$B$505,"&lt;"&amp;DATE(YEAR(B289),MONTH(B289)+1,1)))</f>
        <v/>
      </c>
      <c r="AP289" s="0" t="str">
        <f aca="false">IF(C289="","",IFERROR(INDEX(CLIENTES!$M$6:$M$305,MATCH(C289,CLIENTES!$A$6:$A$305,0)),""))</f>
        <v/>
      </c>
      <c r="AQ289" s="27" t="n">
        <f aca="false">IF(AND(ISNUMBER(AO289),ISNUMBER(AP289)),IF(AND(AP289&gt;0,AO289&gt;AP289),1,0),0)</f>
        <v>0</v>
      </c>
      <c r="AR289" s="27" t="n">
        <f aca="false">IF(NOT(ISNUMBER(B289)),0,IF(B289&lt;MAX($B$5:B288),1,0))</f>
        <v>0</v>
      </c>
      <c r="AS289" s="0" t="str">
        <f aca="false">IF(C289="","",IFERROR(INDEX(CLIENTES!$H$6:$H$305,MATCH(C289,CLIENTES!$A$6:$A$305,0)),""))</f>
        <v/>
      </c>
      <c r="AT289" s="0" t="str">
        <f aca="false">IF(AND(LEFT(P289,5)="AVISO",T289&lt;&gt;"Presentado",ISNUMBER(Q289)),Q289,"")</f>
        <v/>
      </c>
      <c r="AU289" s="27" t="n">
        <f aca="false">IF(AND(D289="XVI - Activos virtuales (PSAV): operación de intercambio/transferencia",M289="Sí",ISNUMBER(AE289)),IF(AK289&gt;=AE289,1,0),0)</f>
        <v>0</v>
      </c>
      <c r="AV289" s="30" t="n">
        <f aca="false">IF(NOT(ISNUMBER(B289)),CONFIG!$B$4,IFERROR(INDEX(CONFIG!$I$5:$I$14,MATCH(IF(MONTH(B289)=1,YEAR(B289)-1,YEAR(B289)),CONFIG!$H$5:$H$14,0)),CONFIG!$B$4))</f>
        <v>117.31</v>
      </c>
      <c r="AW289" s="27" t="n">
        <f aca="false">IF(AND(LEFT(D289,4)="I - ",ISNUMBER(B289),C289&lt;&gt;""),SUMIFS($E$6:$E$505,$C$6:$C$505,C289,$D$6:$D$505,D289,$B$6:$B$505,"&gt;"&amp;(B289-1),$B$6:$B$505,"&lt;="&amp;B289),0)</f>
        <v>0</v>
      </c>
      <c r="AX289" s="0" t="str">
        <f aca="false">IF(E289="","",IF(AD289="Siempre","AVISO (siempre)",IF(AD289="No aplica","Sin Aviso (sólo preparas: Ley 17 XI)",IF(NOT(ISNUMBER(AE289)),"",IF(AA289&lt;&gt;"ACUMULA",IF(E289&gt;=AE289,IF(AND(D289="XVI - Activos virtuales (PSAV): cobro de contraprestación (comisión) por el servicio",COUNTIFS($C$6:$C$505,C289,$B$6:$B$505,"&gt;="&amp;INT(B289),$B$6:$B$505,"&lt;"&amp;(INT(B289)+1),$AU$6:$AU$505,1)&gt;0),"En el Aviso del inciso a) (R 31 Bis)","AVISO"),"—"),IF(M289&lt;&gt;"Sí","—",IF(AK289&gt;=AE289,IF(AK289=E289,"AVISO","AVISO (acumulado)"),"Acumulando")))))))</f>
        <v/>
      </c>
    </row>
    <row r="290" customFormat="false" ht="15" hidden="false" customHeight="false" outlineLevel="0" collapsed="false">
      <c r="A290" s="9" t="str">
        <f aca="false">IF(E290="","",ROW()-5)</f>
        <v/>
      </c>
      <c r="B290" s="20"/>
      <c r="C290" s="21"/>
      <c r="D290" s="21"/>
      <c r="E290" s="22"/>
      <c r="F290" s="22"/>
      <c r="G290" s="21"/>
      <c r="H290" s="21"/>
      <c r="I290" s="9" t="str">
        <f aca="false">IF(C290="","",IFERROR(INDEX(CLIENTES!$B$6:$B$305,MATCH(C290,CLIENTES!$A$6:$A$305,0)),"⚠ ID no registrado"))</f>
        <v/>
      </c>
      <c r="J290" s="9" t="str">
        <f aca="false">IF(C290="","",IFERROR(INDEX(CLIENTES!$Z$6:$Z$305,MATCH(C290,CLIENTES!$A$6:$A$305,0)),""))</f>
        <v/>
      </c>
      <c r="K290" s="9" t="str">
        <f aca="false">IF(E290="","",IF(AB290="Siempre","Sí",IF(ISNUMBER(AC290),IF(E290&gt;=AC290,"Sí",IF(AW290&gt;=AC290,"Sí (serie 24 h)","No")),"")))</f>
        <v/>
      </c>
      <c r="L290" s="9" t="str">
        <f aca="false">IF(E290="","",AA290)</f>
        <v/>
      </c>
      <c r="M290" s="9" t="str">
        <f aca="false">IF(E290="","",IF(AA290&lt;&gt;"ACUMULA","No aplica",IF(LEFT(K290,2)="Sí","Sí","No")))</f>
        <v/>
      </c>
      <c r="N290" s="23" t="str">
        <f aca="false">IF(M290="Sí",AJ290,"")</f>
        <v/>
      </c>
      <c r="O290" s="24" t="str">
        <f aca="false">IF(M290="Sí",AK290,"")</f>
        <v/>
      </c>
      <c r="P290" s="25" t="str">
        <f aca="false">IF(AND(LEFT(D290,6)="XIV - ",LEFT(AX290,5)="AVISO"),"Pedimento (R 16): no va al SPPLD",AX290)</f>
        <v/>
      </c>
      <c r="Q290" s="23" t="str">
        <f aca="false">IF(LEFT(P290,5)="AVISO",IF(ISNUMBER(B290),DATE(YEAR(B290),MONTH(B290)+1,17),"Falta fecha"),"")</f>
        <v/>
      </c>
      <c r="R290" s="9" t="str">
        <f aca="false">IF(OR(F290="",F290=0),"",IF(ISNUMBER(AG290),IF(F290&gt;=AG290,"PROHIBIDO","Dentro del límite"),"No aplica"))</f>
        <v/>
      </c>
      <c r="S290" s="26" t="str">
        <f aca="false">IF(E290="","",MID(IF(AQ290=1," · Excede el perfil declarado","")&amp;IF(H290="Sí"," · Paga un tercero","")&amp;IF(J290="Alto"," · Cliente de riesgo alto: DDR (RCG 23 Ter 3 y 4)","")&amp;IF(AND(AS290&lt;&gt;"",AS290&lt;&gt;"No",AS290&lt;&gt;0)," · PEP","")&amp;IF(R290="PROHIBIDO"," · Efectivo prohibido: no lo recibas (Art. 32)","")&amp;IF(AR290=1," · ⚠ Fecha fuera de orden","")&amp;IF(LEFT(I290,1)="⚠"," · ⚠ Cliente no registrado","")&amp;IF(D290=""," · ⚠ Falta la actividad","")&amp;IF(AND(LEFT(P290,5)="AVISO",W290="")," · Captura la cifra total con IVA para el Aviso","")&amp;IF(AND(ISNUMBER(W290),W290&lt;E290)," · ⚠ La cifra con IVA es menor que el monto sin IVA",""),4,400))</f>
        <v/>
      </c>
      <c r="T290" s="21"/>
      <c r="U290" s="20"/>
      <c r="V290" s="9" t="str">
        <f aca="false">IF(LEFT(P290,5)&lt;&gt;"AVISO","",IF(T290="Presentado",IF(AND(ISNUMBER(U290),ISNUMBER(Q290),U290&gt;Q290),"Presentado tarde","Presentado"),IF(NOT(ISNUMBER(Q290)),"Falta fecha",IF(Q290&lt;CONFIG!$B$6,"VENCIDO","Vence en "&amp;(Q290-CONFIG!$B$6)&amp;" días"))))</f>
        <v/>
      </c>
      <c r="W290" s="22"/>
      <c r="X290" s="21"/>
      <c r="AA290" s="0" t="str">
        <f aca="false">IF(AM290="","",INDEX(CATÁLOGO!$D$5:$D$39,AM290))</f>
        <v/>
      </c>
      <c r="AB290" s="0" t="str">
        <f aca="false">IF(AM290="","",INDEX(CATÁLOGO!$E$5:$E$39,AM290))</f>
        <v/>
      </c>
      <c r="AC290" s="0" t="str">
        <f aca="false">IF(AB290="","",IF(ISNUMBER(AB290),AB290*AV290,AB290))</f>
        <v/>
      </c>
      <c r="AD290" s="0" t="str">
        <f aca="false">IF(AM290="","",INDEX(CATÁLOGO!$F$5:$F$39,AM290))</f>
        <v/>
      </c>
      <c r="AE290" s="0" t="str">
        <f aca="false">IF(AD290="","",IF(ISNUMBER(AD290),AD290*AV290,AD290))</f>
        <v/>
      </c>
      <c r="AF290" s="0" t="str">
        <f aca="false">IF(AM290="","",INDEX(CATÁLOGO!$G$5:$G$39,AM290))</f>
        <v/>
      </c>
      <c r="AG290" s="0" t="str">
        <f aca="false">IF(AF290="","",IF(ISNUMBER(AF290),AF290*AV290,AF290))</f>
        <v/>
      </c>
      <c r="AH290" s="0" t="str">
        <f aca="false">IF(E290="","",C290&amp;"|"&amp;D290)</f>
        <v/>
      </c>
      <c r="AI290" s="27" t="n">
        <f aca="false">IF(M290&lt;&gt;"Sí",0,SUMPRODUCT(MAX(($AH$5:AH289=AH290)*($M$5:M289="Sí")*ROW($AH$5:AH289))))</f>
        <v>0</v>
      </c>
      <c r="AJ290" s="0" t="str">
        <f aca="false">IF(M290&lt;&gt;"Sí","",IF(AL290=1,B290,INDEX($AJ:$AJ,AI290)))</f>
        <v/>
      </c>
      <c r="AK290" s="0" t="str">
        <f aca="false">IF(M290&lt;&gt;"Sí","",IF(AL290=1,E290,INDEX($AK:$AK,AI290)+E290))</f>
        <v/>
      </c>
      <c r="AL290" s="0" t="str">
        <f aca="false">IF(M290&lt;&gt;"Sí","",IF(AI290=0,1,IF(INDEX($AN:$AN,AI290)=0,1,IF(B290&gt;=EDATE(INDEX($AJ:$AJ,AI290),6),1,0))))</f>
        <v/>
      </c>
      <c r="AM290" s="0" t="str">
        <f aca="false">IF(D290="","",IFERROR(MATCH(D290,CATÁLOGO!$C$5:$C$39,0),""))</f>
        <v/>
      </c>
      <c r="AN290" s="0" t="str">
        <f aca="false">IF(M290&lt;&gt;"Sí","",IF(AND(ISNUMBER(AE290),AK290&gt;=AE290),0,1))</f>
        <v/>
      </c>
      <c r="AO290" s="0" t="str">
        <f aca="false">IF(OR(E290="",C290="",NOT(ISNUMBER(B290))),"",SUMIFS($E$6:$E$505,$C$6:$C$505,C290,$B$6:$B$505,"&gt;="&amp;DATE(YEAR(B290),MONTH(B290),1),$B$6:$B$505,"&lt;"&amp;DATE(YEAR(B290),MONTH(B290)+1,1)))</f>
        <v/>
      </c>
      <c r="AP290" s="0" t="str">
        <f aca="false">IF(C290="","",IFERROR(INDEX(CLIENTES!$M$6:$M$305,MATCH(C290,CLIENTES!$A$6:$A$305,0)),""))</f>
        <v/>
      </c>
      <c r="AQ290" s="27" t="n">
        <f aca="false">IF(AND(ISNUMBER(AO290),ISNUMBER(AP290)),IF(AND(AP290&gt;0,AO290&gt;AP290),1,0),0)</f>
        <v>0</v>
      </c>
      <c r="AR290" s="27" t="n">
        <f aca="false">IF(NOT(ISNUMBER(B290)),0,IF(B290&lt;MAX($B$5:B289),1,0))</f>
        <v>0</v>
      </c>
      <c r="AS290" s="0" t="str">
        <f aca="false">IF(C290="","",IFERROR(INDEX(CLIENTES!$H$6:$H$305,MATCH(C290,CLIENTES!$A$6:$A$305,0)),""))</f>
        <v/>
      </c>
      <c r="AT290" s="0" t="str">
        <f aca="false">IF(AND(LEFT(P290,5)="AVISO",T290&lt;&gt;"Presentado",ISNUMBER(Q290)),Q290,"")</f>
        <v/>
      </c>
      <c r="AU290" s="27" t="n">
        <f aca="false">IF(AND(D290="XVI - Activos virtuales (PSAV): operación de intercambio/transferencia",M290="Sí",ISNUMBER(AE290)),IF(AK290&gt;=AE290,1,0),0)</f>
        <v>0</v>
      </c>
      <c r="AV290" s="30" t="n">
        <f aca="false">IF(NOT(ISNUMBER(B290)),CONFIG!$B$4,IFERROR(INDEX(CONFIG!$I$5:$I$14,MATCH(IF(MONTH(B290)=1,YEAR(B290)-1,YEAR(B290)),CONFIG!$H$5:$H$14,0)),CONFIG!$B$4))</f>
        <v>117.31</v>
      </c>
      <c r="AW290" s="27" t="n">
        <f aca="false">IF(AND(LEFT(D290,4)="I - ",ISNUMBER(B290),C290&lt;&gt;""),SUMIFS($E$6:$E$505,$C$6:$C$505,C290,$D$6:$D$505,D290,$B$6:$B$505,"&gt;"&amp;(B290-1),$B$6:$B$505,"&lt;="&amp;B290),0)</f>
        <v>0</v>
      </c>
      <c r="AX290" s="0" t="str">
        <f aca="false">IF(E290="","",IF(AD290="Siempre","AVISO (siempre)",IF(AD290="No aplica","Sin Aviso (sólo preparas: Ley 17 XI)",IF(NOT(ISNUMBER(AE290)),"",IF(AA290&lt;&gt;"ACUMULA",IF(E290&gt;=AE290,IF(AND(D290="XVI - Activos virtuales (PSAV): cobro de contraprestación (comisión) por el servicio",COUNTIFS($C$6:$C$505,C290,$B$6:$B$505,"&gt;="&amp;INT(B290),$B$6:$B$505,"&lt;"&amp;(INT(B290)+1),$AU$6:$AU$505,1)&gt;0),"En el Aviso del inciso a) (R 31 Bis)","AVISO"),"—"),IF(M290&lt;&gt;"Sí","—",IF(AK290&gt;=AE290,IF(AK290=E290,"AVISO","AVISO (acumulado)"),"Acumulando")))))))</f>
        <v/>
      </c>
    </row>
    <row r="291" customFormat="false" ht="15" hidden="false" customHeight="false" outlineLevel="0" collapsed="false">
      <c r="A291" s="9" t="str">
        <f aca="false">IF(E291="","",ROW()-5)</f>
        <v/>
      </c>
      <c r="B291" s="20"/>
      <c r="C291" s="21"/>
      <c r="D291" s="21"/>
      <c r="E291" s="22"/>
      <c r="F291" s="22"/>
      <c r="G291" s="21"/>
      <c r="H291" s="21"/>
      <c r="I291" s="9" t="str">
        <f aca="false">IF(C291="","",IFERROR(INDEX(CLIENTES!$B$6:$B$305,MATCH(C291,CLIENTES!$A$6:$A$305,0)),"⚠ ID no registrado"))</f>
        <v/>
      </c>
      <c r="J291" s="9" t="str">
        <f aca="false">IF(C291="","",IFERROR(INDEX(CLIENTES!$Z$6:$Z$305,MATCH(C291,CLIENTES!$A$6:$A$305,0)),""))</f>
        <v/>
      </c>
      <c r="K291" s="9" t="str">
        <f aca="false">IF(E291="","",IF(AB291="Siempre","Sí",IF(ISNUMBER(AC291),IF(E291&gt;=AC291,"Sí",IF(AW291&gt;=AC291,"Sí (serie 24 h)","No")),"")))</f>
        <v/>
      </c>
      <c r="L291" s="9" t="str">
        <f aca="false">IF(E291="","",AA291)</f>
        <v/>
      </c>
      <c r="M291" s="9" t="str">
        <f aca="false">IF(E291="","",IF(AA291&lt;&gt;"ACUMULA","No aplica",IF(LEFT(K291,2)="Sí","Sí","No")))</f>
        <v/>
      </c>
      <c r="N291" s="23" t="str">
        <f aca="false">IF(M291="Sí",AJ291,"")</f>
        <v/>
      </c>
      <c r="O291" s="24" t="str">
        <f aca="false">IF(M291="Sí",AK291,"")</f>
        <v/>
      </c>
      <c r="P291" s="25" t="str">
        <f aca="false">IF(AND(LEFT(D291,6)="XIV - ",LEFT(AX291,5)="AVISO"),"Pedimento (R 16): no va al SPPLD",AX291)</f>
        <v/>
      </c>
      <c r="Q291" s="23" t="str">
        <f aca="false">IF(LEFT(P291,5)="AVISO",IF(ISNUMBER(B291),DATE(YEAR(B291),MONTH(B291)+1,17),"Falta fecha"),"")</f>
        <v/>
      </c>
      <c r="R291" s="9" t="str">
        <f aca="false">IF(OR(F291="",F291=0),"",IF(ISNUMBER(AG291),IF(F291&gt;=AG291,"PROHIBIDO","Dentro del límite"),"No aplica"))</f>
        <v/>
      </c>
      <c r="S291" s="26" t="str">
        <f aca="false">IF(E291="","",MID(IF(AQ291=1," · Excede el perfil declarado","")&amp;IF(H291="Sí"," · Paga un tercero","")&amp;IF(J291="Alto"," · Cliente de riesgo alto: DDR (RCG 23 Ter 3 y 4)","")&amp;IF(AND(AS291&lt;&gt;"",AS291&lt;&gt;"No",AS291&lt;&gt;0)," · PEP","")&amp;IF(R291="PROHIBIDO"," · Efectivo prohibido: no lo recibas (Art. 32)","")&amp;IF(AR291=1," · ⚠ Fecha fuera de orden","")&amp;IF(LEFT(I291,1)="⚠"," · ⚠ Cliente no registrado","")&amp;IF(D291=""," · ⚠ Falta la actividad","")&amp;IF(AND(LEFT(P291,5)="AVISO",W291="")," · Captura la cifra total con IVA para el Aviso","")&amp;IF(AND(ISNUMBER(W291),W291&lt;E291)," · ⚠ La cifra con IVA es menor que el monto sin IVA",""),4,400))</f>
        <v/>
      </c>
      <c r="T291" s="21"/>
      <c r="U291" s="20"/>
      <c r="V291" s="9" t="str">
        <f aca="false">IF(LEFT(P291,5)&lt;&gt;"AVISO","",IF(T291="Presentado",IF(AND(ISNUMBER(U291),ISNUMBER(Q291),U291&gt;Q291),"Presentado tarde","Presentado"),IF(NOT(ISNUMBER(Q291)),"Falta fecha",IF(Q291&lt;CONFIG!$B$6,"VENCIDO","Vence en "&amp;(Q291-CONFIG!$B$6)&amp;" días"))))</f>
        <v/>
      </c>
      <c r="W291" s="22"/>
      <c r="X291" s="21"/>
      <c r="AA291" s="0" t="str">
        <f aca="false">IF(AM291="","",INDEX(CATÁLOGO!$D$5:$D$39,AM291))</f>
        <v/>
      </c>
      <c r="AB291" s="0" t="str">
        <f aca="false">IF(AM291="","",INDEX(CATÁLOGO!$E$5:$E$39,AM291))</f>
        <v/>
      </c>
      <c r="AC291" s="0" t="str">
        <f aca="false">IF(AB291="","",IF(ISNUMBER(AB291),AB291*AV291,AB291))</f>
        <v/>
      </c>
      <c r="AD291" s="0" t="str">
        <f aca="false">IF(AM291="","",INDEX(CATÁLOGO!$F$5:$F$39,AM291))</f>
        <v/>
      </c>
      <c r="AE291" s="0" t="str">
        <f aca="false">IF(AD291="","",IF(ISNUMBER(AD291),AD291*AV291,AD291))</f>
        <v/>
      </c>
      <c r="AF291" s="0" t="str">
        <f aca="false">IF(AM291="","",INDEX(CATÁLOGO!$G$5:$G$39,AM291))</f>
        <v/>
      </c>
      <c r="AG291" s="0" t="str">
        <f aca="false">IF(AF291="","",IF(ISNUMBER(AF291),AF291*AV291,AF291))</f>
        <v/>
      </c>
      <c r="AH291" s="0" t="str">
        <f aca="false">IF(E291="","",C291&amp;"|"&amp;D291)</f>
        <v/>
      </c>
      <c r="AI291" s="27" t="n">
        <f aca="false">IF(M291&lt;&gt;"Sí",0,SUMPRODUCT(MAX(($AH$5:AH290=AH291)*($M$5:M290="Sí")*ROW($AH$5:AH290))))</f>
        <v>0</v>
      </c>
      <c r="AJ291" s="0" t="str">
        <f aca="false">IF(M291&lt;&gt;"Sí","",IF(AL291=1,B291,INDEX($AJ:$AJ,AI291)))</f>
        <v/>
      </c>
      <c r="AK291" s="0" t="str">
        <f aca="false">IF(M291&lt;&gt;"Sí","",IF(AL291=1,E291,INDEX($AK:$AK,AI291)+E291))</f>
        <v/>
      </c>
      <c r="AL291" s="0" t="str">
        <f aca="false">IF(M291&lt;&gt;"Sí","",IF(AI291=0,1,IF(INDEX($AN:$AN,AI291)=0,1,IF(B291&gt;=EDATE(INDEX($AJ:$AJ,AI291),6),1,0))))</f>
        <v/>
      </c>
      <c r="AM291" s="0" t="str">
        <f aca="false">IF(D291="","",IFERROR(MATCH(D291,CATÁLOGO!$C$5:$C$39,0),""))</f>
        <v/>
      </c>
      <c r="AN291" s="0" t="str">
        <f aca="false">IF(M291&lt;&gt;"Sí","",IF(AND(ISNUMBER(AE291),AK291&gt;=AE291),0,1))</f>
        <v/>
      </c>
      <c r="AO291" s="0" t="str">
        <f aca="false">IF(OR(E291="",C291="",NOT(ISNUMBER(B291))),"",SUMIFS($E$6:$E$505,$C$6:$C$505,C291,$B$6:$B$505,"&gt;="&amp;DATE(YEAR(B291),MONTH(B291),1),$B$6:$B$505,"&lt;"&amp;DATE(YEAR(B291),MONTH(B291)+1,1)))</f>
        <v/>
      </c>
      <c r="AP291" s="0" t="str">
        <f aca="false">IF(C291="","",IFERROR(INDEX(CLIENTES!$M$6:$M$305,MATCH(C291,CLIENTES!$A$6:$A$305,0)),""))</f>
        <v/>
      </c>
      <c r="AQ291" s="27" t="n">
        <f aca="false">IF(AND(ISNUMBER(AO291),ISNUMBER(AP291)),IF(AND(AP291&gt;0,AO291&gt;AP291),1,0),0)</f>
        <v>0</v>
      </c>
      <c r="AR291" s="27" t="n">
        <f aca="false">IF(NOT(ISNUMBER(B291)),0,IF(B291&lt;MAX($B$5:B290),1,0))</f>
        <v>0</v>
      </c>
      <c r="AS291" s="0" t="str">
        <f aca="false">IF(C291="","",IFERROR(INDEX(CLIENTES!$H$6:$H$305,MATCH(C291,CLIENTES!$A$6:$A$305,0)),""))</f>
        <v/>
      </c>
      <c r="AT291" s="0" t="str">
        <f aca="false">IF(AND(LEFT(P291,5)="AVISO",T291&lt;&gt;"Presentado",ISNUMBER(Q291)),Q291,"")</f>
        <v/>
      </c>
      <c r="AU291" s="27" t="n">
        <f aca="false">IF(AND(D291="XVI - Activos virtuales (PSAV): operación de intercambio/transferencia",M291="Sí",ISNUMBER(AE291)),IF(AK291&gt;=AE291,1,0),0)</f>
        <v>0</v>
      </c>
      <c r="AV291" s="30" t="n">
        <f aca="false">IF(NOT(ISNUMBER(B291)),CONFIG!$B$4,IFERROR(INDEX(CONFIG!$I$5:$I$14,MATCH(IF(MONTH(B291)=1,YEAR(B291)-1,YEAR(B291)),CONFIG!$H$5:$H$14,0)),CONFIG!$B$4))</f>
        <v>117.31</v>
      </c>
      <c r="AW291" s="27" t="n">
        <f aca="false">IF(AND(LEFT(D291,4)="I - ",ISNUMBER(B291),C291&lt;&gt;""),SUMIFS($E$6:$E$505,$C$6:$C$505,C291,$D$6:$D$505,D291,$B$6:$B$505,"&gt;"&amp;(B291-1),$B$6:$B$505,"&lt;="&amp;B291),0)</f>
        <v>0</v>
      </c>
      <c r="AX291" s="0" t="str">
        <f aca="false">IF(E291="","",IF(AD291="Siempre","AVISO (siempre)",IF(AD291="No aplica","Sin Aviso (sólo preparas: Ley 17 XI)",IF(NOT(ISNUMBER(AE291)),"",IF(AA291&lt;&gt;"ACUMULA",IF(E291&gt;=AE291,IF(AND(D291="XVI - Activos virtuales (PSAV): cobro de contraprestación (comisión) por el servicio",COUNTIFS($C$6:$C$505,C291,$B$6:$B$505,"&gt;="&amp;INT(B291),$B$6:$B$505,"&lt;"&amp;(INT(B291)+1),$AU$6:$AU$505,1)&gt;0),"En el Aviso del inciso a) (R 31 Bis)","AVISO"),"—"),IF(M291&lt;&gt;"Sí","—",IF(AK291&gt;=AE291,IF(AK291=E291,"AVISO","AVISO (acumulado)"),"Acumulando")))))))</f>
        <v/>
      </c>
    </row>
    <row r="292" customFormat="false" ht="15" hidden="false" customHeight="false" outlineLevel="0" collapsed="false">
      <c r="A292" s="9" t="str">
        <f aca="false">IF(E292="","",ROW()-5)</f>
        <v/>
      </c>
      <c r="B292" s="20"/>
      <c r="C292" s="21"/>
      <c r="D292" s="21"/>
      <c r="E292" s="22"/>
      <c r="F292" s="22"/>
      <c r="G292" s="21"/>
      <c r="H292" s="21"/>
      <c r="I292" s="9" t="str">
        <f aca="false">IF(C292="","",IFERROR(INDEX(CLIENTES!$B$6:$B$305,MATCH(C292,CLIENTES!$A$6:$A$305,0)),"⚠ ID no registrado"))</f>
        <v/>
      </c>
      <c r="J292" s="9" t="str">
        <f aca="false">IF(C292="","",IFERROR(INDEX(CLIENTES!$Z$6:$Z$305,MATCH(C292,CLIENTES!$A$6:$A$305,0)),""))</f>
        <v/>
      </c>
      <c r="K292" s="9" t="str">
        <f aca="false">IF(E292="","",IF(AB292="Siempre","Sí",IF(ISNUMBER(AC292),IF(E292&gt;=AC292,"Sí",IF(AW292&gt;=AC292,"Sí (serie 24 h)","No")),"")))</f>
        <v/>
      </c>
      <c r="L292" s="9" t="str">
        <f aca="false">IF(E292="","",AA292)</f>
        <v/>
      </c>
      <c r="M292" s="9" t="str">
        <f aca="false">IF(E292="","",IF(AA292&lt;&gt;"ACUMULA","No aplica",IF(LEFT(K292,2)="Sí","Sí","No")))</f>
        <v/>
      </c>
      <c r="N292" s="23" t="str">
        <f aca="false">IF(M292="Sí",AJ292,"")</f>
        <v/>
      </c>
      <c r="O292" s="24" t="str">
        <f aca="false">IF(M292="Sí",AK292,"")</f>
        <v/>
      </c>
      <c r="P292" s="25" t="str">
        <f aca="false">IF(AND(LEFT(D292,6)="XIV - ",LEFT(AX292,5)="AVISO"),"Pedimento (R 16): no va al SPPLD",AX292)</f>
        <v/>
      </c>
      <c r="Q292" s="23" t="str">
        <f aca="false">IF(LEFT(P292,5)="AVISO",IF(ISNUMBER(B292),DATE(YEAR(B292),MONTH(B292)+1,17),"Falta fecha"),"")</f>
        <v/>
      </c>
      <c r="R292" s="9" t="str">
        <f aca="false">IF(OR(F292="",F292=0),"",IF(ISNUMBER(AG292),IF(F292&gt;=AG292,"PROHIBIDO","Dentro del límite"),"No aplica"))</f>
        <v/>
      </c>
      <c r="S292" s="26" t="str">
        <f aca="false">IF(E292="","",MID(IF(AQ292=1," · Excede el perfil declarado","")&amp;IF(H292="Sí"," · Paga un tercero","")&amp;IF(J292="Alto"," · Cliente de riesgo alto: DDR (RCG 23 Ter 3 y 4)","")&amp;IF(AND(AS292&lt;&gt;"",AS292&lt;&gt;"No",AS292&lt;&gt;0)," · PEP","")&amp;IF(R292="PROHIBIDO"," · Efectivo prohibido: no lo recibas (Art. 32)","")&amp;IF(AR292=1," · ⚠ Fecha fuera de orden","")&amp;IF(LEFT(I292,1)="⚠"," · ⚠ Cliente no registrado","")&amp;IF(D292=""," · ⚠ Falta la actividad","")&amp;IF(AND(LEFT(P292,5)="AVISO",W292="")," · Captura la cifra total con IVA para el Aviso","")&amp;IF(AND(ISNUMBER(W292),W292&lt;E292)," · ⚠ La cifra con IVA es menor que el monto sin IVA",""),4,400))</f>
        <v/>
      </c>
      <c r="T292" s="21"/>
      <c r="U292" s="20"/>
      <c r="V292" s="9" t="str">
        <f aca="false">IF(LEFT(P292,5)&lt;&gt;"AVISO","",IF(T292="Presentado",IF(AND(ISNUMBER(U292),ISNUMBER(Q292),U292&gt;Q292),"Presentado tarde","Presentado"),IF(NOT(ISNUMBER(Q292)),"Falta fecha",IF(Q292&lt;CONFIG!$B$6,"VENCIDO","Vence en "&amp;(Q292-CONFIG!$B$6)&amp;" días"))))</f>
        <v/>
      </c>
      <c r="W292" s="22"/>
      <c r="X292" s="21"/>
      <c r="AA292" s="0" t="str">
        <f aca="false">IF(AM292="","",INDEX(CATÁLOGO!$D$5:$D$39,AM292))</f>
        <v/>
      </c>
      <c r="AB292" s="0" t="str">
        <f aca="false">IF(AM292="","",INDEX(CATÁLOGO!$E$5:$E$39,AM292))</f>
        <v/>
      </c>
      <c r="AC292" s="0" t="str">
        <f aca="false">IF(AB292="","",IF(ISNUMBER(AB292),AB292*AV292,AB292))</f>
        <v/>
      </c>
      <c r="AD292" s="0" t="str">
        <f aca="false">IF(AM292="","",INDEX(CATÁLOGO!$F$5:$F$39,AM292))</f>
        <v/>
      </c>
      <c r="AE292" s="0" t="str">
        <f aca="false">IF(AD292="","",IF(ISNUMBER(AD292),AD292*AV292,AD292))</f>
        <v/>
      </c>
      <c r="AF292" s="0" t="str">
        <f aca="false">IF(AM292="","",INDEX(CATÁLOGO!$G$5:$G$39,AM292))</f>
        <v/>
      </c>
      <c r="AG292" s="0" t="str">
        <f aca="false">IF(AF292="","",IF(ISNUMBER(AF292),AF292*AV292,AF292))</f>
        <v/>
      </c>
      <c r="AH292" s="0" t="str">
        <f aca="false">IF(E292="","",C292&amp;"|"&amp;D292)</f>
        <v/>
      </c>
      <c r="AI292" s="27" t="n">
        <f aca="false">IF(M292&lt;&gt;"Sí",0,SUMPRODUCT(MAX(($AH$5:AH291=AH292)*($M$5:M291="Sí")*ROW($AH$5:AH291))))</f>
        <v>0</v>
      </c>
      <c r="AJ292" s="0" t="str">
        <f aca="false">IF(M292&lt;&gt;"Sí","",IF(AL292=1,B292,INDEX($AJ:$AJ,AI292)))</f>
        <v/>
      </c>
      <c r="AK292" s="0" t="str">
        <f aca="false">IF(M292&lt;&gt;"Sí","",IF(AL292=1,E292,INDEX($AK:$AK,AI292)+E292))</f>
        <v/>
      </c>
      <c r="AL292" s="0" t="str">
        <f aca="false">IF(M292&lt;&gt;"Sí","",IF(AI292=0,1,IF(INDEX($AN:$AN,AI292)=0,1,IF(B292&gt;=EDATE(INDEX($AJ:$AJ,AI292),6),1,0))))</f>
        <v/>
      </c>
      <c r="AM292" s="0" t="str">
        <f aca="false">IF(D292="","",IFERROR(MATCH(D292,CATÁLOGO!$C$5:$C$39,0),""))</f>
        <v/>
      </c>
      <c r="AN292" s="0" t="str">
        <f aca="false">IF(M292&lt;&gt;"Sí","",IF(AND(ISNUMBER(AE292),AK292&gt;=AE292),0,1))</f>
        <v/>
      </c>
      <c r="AO292" s="0" t="str">
        <f aca="false">IF(OR(E292="",C292="",NOT(ISNUMBER(B292))),"",SUMIFS($E$6:$E$505,$C$6:$C$505,C292,$B$6:$B$505,"&gt;="&amp;DATE(YEAR(B292),MONTH(B292),1),$B$6:$B$505,"&lt;"&amp;DATE(YEAR(B292),MONTH(B292)+1,1)))</f>
        <v/>
      </c>
      <c r="AP292" s="0" t="str">
        <f aca="false">IF(C292="","",IFERROR(INDEX(CLIENTES!$M$6:$M$305,MATCH(C292,CLIENTES!$A$6:$A$305,0)),""))</f>
        <v/>
      </c>
      <c r="AQ292" s="27" t="n">
        <f aca="false">IF(AND(ISNUMBER(AO292),ISNUMBER(AP292)),IF(AND(AP292&gt;0,AO292&gt;AP292),1,0),0)</f>
        <v>0</v>
      </c>
      <c r="AR292" s="27" t="n">
        <f aca="false">IF(NOT(ISNUMBER(B292)),0,IF(B292&lt;MAX($B$5:B291),1,0))</f>
        <v>0</v>
      </c>
      <c r="AS292" s="0" t="str">
        <f aca="false">IF(C292="","",IFERROR(INDEX(CLIENTES!$H$6:$H$305,MATCH(C292,CLIENTES!$A$6:$A$305,0)),""))</f>
        <v/>
      </c>
      <c r="AT292" s="0" t="str">
        <f aca="false">IF(AND(LEFT(P292,5)="AVISO",T292&lt;&gt;"Presentado",ISNUMBER(Q292)),Q292,"")</f>
        <v/>
      </c>
      <c r="AU292" s="27" t="n">
        <f aca="false">IF(AND(D292="XVI - Activos virtuales (PSAV): operación de intercambio/transferencia",M292="Sí",ISNUMBER(AE292)),IF(AK292&gt;=AE292,1,0),0)</f>
        <v>0</v>
      </c>
      <c r="AV292" s="30" t="n">
        <f aca="false">IF(NOT(ISNUMBER(B292)),CONFIG!$B$4,IFERROR(INDEX(CONFIG!$I$5:$I$14,MATCH(IF(MONTH(B292)=1,YEAR(B292)-1,YEAR(B292)),CONFIG!$H$5:$H$14,0)),CONFIG!$B$4))</f>
        <v>117.31</v>
      </c>
      <c r="AW292" s="27" t="n">
        <f aca="false">IF(AND(LEFT(D292,4)="I - ",ISNUMBER(B292),C292&lt;&gt;""),SUMIFS($E$6:$E$505,$C$6:$C$505,C292,$D$6:$D$505,D292,$B$6:$B$505,"&gt;"&amp;(B292-1),$B$6:$B$505,"&lt;="&amp;B292),0)</f>
        <v>0</v>
      </c>
      <c r="AX292" s="0" t="str">
        <f aca="false">IF(E292="","",IF(AD292="Siempre","AVISO (siempre)",IF(AD292="No aplica","Sin Aviso (sólo preparas: Ley 17 XI)",IF(NOT(ISNUMBER(AE292)),"",IF(AA292&lt;&gt;"ACUMULA",IF(E292&gt;=AE292,IF(AND(D292="XVI - Activos virtuales (PSAV): cobro de contraprestación (comisión) por el servicio",COUNTIFS($C$6:$C$505,C292,$B$6:$B$505,"&gt;="&amp;INT(B292),$B$6:$B$505,"&lt;"&amp;(INT(B292)+1),$AU$6:$AU$505,1)&gt;0),"En el Aviso del inciso a) (R 31 Bis)","AVISO"),"—"),IF(M292&lt;&gt;"Sí","—",IF(AK292&gt;=AE292,IF(AK292=E292,"AVISO","AVISO (acumulado)"),"Acumulando")))))))</f>
        <v/>
      </c>
    </row>
    <row r="293" customFormat="false" ht="15" hidden="false" customHeight="false" outlineLevel="0" collapsed="false">
      <c r="A293" s="9" t="str">
        <f aca="false">IF(E293="","",ROW()-5)</f>
        <v/>
      </c>
      <c r="B293" s="20"/>
      <c r="C293" s="21"/>
      <c r="D293" s="21"/>
      <c r="E293" s="22"/>
      <c r="F293" s="22"/>
      <c r="G293" s="21"/>
      <c r="H293" s="21"/>
      <c r="I293" s="9" t="str">
        <f aca="false">IF(C293="","",IFERROR(INDEX(CLIENTES!$B$6:$B$305,MATCH(C293,CLIENTES!$A$6:$A$305,0)),"⚠ ID no registrado"))</f>
        <v/>
      </c>
      <c r="J293" s="9" t="str">
        <f aca="false">IF(C293="","",IFERROR(INDEX(CLIENTES!$Z$6:$Z$305,MATCH(C293,CLIENTES!$A$6:$A$305,0)),""))</f>
        <v/>
      </c>
      <c r="K293" s="9" t="str">
        <f aca="false">IF(E293="","",IF(AB293="Siempre","Sí",IF(ISNUMBER(AC293),IF(E293&gt;=AC293,"Sí",IF(AW293&gt;=AC293,"Sí (serie 24 h)","No")),"")))</f>
        <v/>
      </c>
      <c r="L293" s="9" t="str">
        <f aca="false">IF(E293="","",AA293)</f>
        <v/>
      </c>
      <c r="M293" s="9" t="str">
        <f aca="false">IF(E293="","",IF(AA293&lt;&gt;"ACUMULA","No aplica",IF(LEFT(K293,2)="Sí","Sí","No")))</f>
        <v/>
      </c>
      <c r="N293" s="23" t="str">
        <f aca="false">IF(M293="Sí",AJ293,"")</f>
        <v/>
      </c>
      <c r="O293" s="24" t="str">
        <f aca="false">IF(M293="Sí",AK293,"")</f>
        <v/>
      </c>
      <c r="P293" s="25" t="str">
        <f aca="false">IF(AND(LEFT(D293,6)="XIV - ",LEFT(AX293,5)="AVISO"),"Pedimento (R 16): no va al SPPLD",AX293)</f>
        <v/>
      </c>
      <c r="Q293" s="23" t="str">
        <f aca="false">IF(LEFT(P293,5)="AVISO",IF(ISNUMBER(B293),DATE(YEAR(B293),MONTH(B293)+1,17),"Falta fecha"),"")</f>
        <v/>
      </c>
      <c r="R293" s="9" t="str">
        <f aca="false">IF(OR(F293="",F293=0),"",IF(ISNUMBER(AG293),IF(F293&gt;=AG293,"PROHIBIDO","Dentro del límite"),"No aplica"))</f>
        <v/>
      </c>
      <c r="S293" s="26" t="str">
        <f aca="false">IF(E293="","",MID(IF(AQ293=1," · Excede el perfil declarado","")&amp;IF(H293="Sí"," · Paga un tercero","")&amp;IF(J293="Alto"," · Cliente de riesgo alto: DDR (RCG 23 Ter 3 y 4)","")&amp;IF(AND(AS293&lt;&gt;"",AS293&lt;&gt;"No",AS293&lt;&gt;0)," · PEP","")&amp;IF(R293="PROHIBIDO"," · Efectivo prohibido: no lo recibas (Art. 32)","")&amp;IF(AR293=1," · ⚠ Fecha fuera de orden","")&amp;IF(LEFT(I293,1)="⚠"," · ⚠ Cliente no registrado","")&amp;IF(D293=""," · ⚠ Falta la actividad","")&amp;IF(AND(LEFT(P293,5)="AVISO",W293="")," · Captura la cifra total con IVA para el Aviso","")&amp;IF(AND(ISNUMBER(W293),W293&lt;E293)," · ⚠ La cifra con IVA es menor que el monto sin IVA",""),4,400))</f>
        <v/>
      </c>
      <c r="T293" s="21"/>
      <c r="U293" s="20"/>
      <c r="V293" s="9" t="str">
        <f aca="false">IF(LEFT(P293,5)&lt;&gt;"AVISO","",IF(T293="Presentado",IF(AND(ISNUMBER(U293),ISNUMBER(Q293),U293&gt;Q293),"Presentado tarde","Presentado"),IF(NOT(ISNUMBER(Q293)),"Falta fecha",IF(Q293&lt;CONFIG!$B$6,"VENCIDO","Vence en "&amp;(Q293-CONFIG!$B$6)&amp;" días"))))</f>
        <v/>
      </c>
      <c r="W293" s="22"/>
      <c r="X293" s="21"/>
      <c r="AA293" s="0" t="str">
        <f aca="false">IF(AM293="","",INDEX(CATÁLOGO!$D$5:$D$39,AM293))</f>
        <v/>
      </c>
      <c r="AB293" s="0" t="str">
        <f aca="false">IF(AM293="","",INDEX(CATÁLOGO!$E$5:$E$39,AM293))</f>
        <v/>
      </c>
      <c r="AC293" s="0" t="str">
        <f aca="false">IF(AB293="","",IF(ISNUMBER(AB293),AB293*AV293,AB293))</f>
        <v/>
      </c>
      <c r="AD293" s="0" t="str">
        <f aca="false">IF(AM293="","",INDEX(CATÁLOGO!$F$5:$F$39,AM293))</f>
        <v/>
      </c>
      <c r="AE293" s="0" t="str">
        <f aca="false">IF(AD293="","",IF(ISNUMBER(AD293),AD293*AV293,AD293))</f>
        <v/>
      </c>
      <c r="AF293" s="0" t="str">
        <f aca="false">IF(AM293="","",INDEX(CATÁLOGO!$G$5:$G$39,AM293))</f>
        <v/>
      </c>
      <c r="AG293" s="0" t="str">
        <f aca="false">IF(AF293="","",IF(ISNUMBER(AF293),AF293*AV293,AF293))</f>
        <v/>
      </c>
      <c r="AH293" s="0" t="str">
        <f aca="false">IF(E293="","",C293&amp;"|"&amp;D293)</f>
        <v/>
      </c>
      <c r="AI293" s="27" t="n">
        <f aca="false">IF(M293&lt;&gt;"Sí",0,SUMPRODUCT(MAX(($AH$5:AH292=AH293)*($M$5:M292="Sí")*ROW($AH$5:AH292))))</f>
        <v>0</v>
      </c>
      <c r="AJ293" s="0" t="str">
        <f aca="false">IF(M293&lt;&gt;"Sí","",IF(AL293=1,B293,INDEX($AJ:$AJ,AI293)))</f>
        <v/>
      </c>
      <c r="AK293" s="0" t="str">
        <f aca="false">IF(M293&lt;&gt;"Sí","",IF(AL293=1,E293,INDEX($AK:$AK,AI293)+E293))</f>
        <v/>
      </c>
      <c r="AL293" s="0" t="str">
        <f aca="false">IF(M293&lt;&gt;"Sí","",IF(AI293=0,1,IF(INDEX($AN:$AN,AI293)=0,1,IF(B293&gt;=EDATE(INDEX($AJ:$AJ,AI293),6),1,0))))</f>
        <v/>
      </c>
      <c r="AM293" s="0" t="str">
        <f aca="false">IF(D293="","",IFERROR(MATCH(D293,CATÁLOGO!$C$5:$C$39,0),""))</f>
        <v/>
      </c>
      <c r="AN293" s="0" t="str">
        <f aca="false">IF(M293&lt;&gt;"Sí","",IF(AND(ISNUMBER(AE293),AK293&gt;=AE293),0,1))</f>
        <v/>
      </c>
      <c r="AO293" s="0" t="str">
        <f aca="false">IF(OR(E293="",C293="",NOT(ISNUMBER(B293))),"",SUMIFS($E$6:$E$505,$C$6:$C$505,C293,$B$6:$B$505,"&gt;="&amp;DATE(YEAR(B293),MONTH(B293),1),$B$6:$B$505,"&lt;"&amp;DATE(YEAR(B293),MONTH(B293)+1,1)))</f>
        <v/>
      </c>
      <c r="AP293" s="0" t="str">
        <f aca="false">IF(C293="","",IFERROR(INDEX(CLIENTES!$M$6:$M$305,MATCH(C293,CLIENTES!$A$6:$A$305,0)),""))</f>
        <v/>
      </c>
      <c r="AQ293" s="27" t="n">
        <f aca="false">IF(AND(ISNUMBER(AO293),ISNUMBER(AP293)),IF(AND(AP293&gt;0,AO293&gt;AP293),1,0),0)</f>
        <v>0</v>
      </c>
      <c r="AR293" s="27" t="n">
        <f aca="false">IF(NOT(ISNUMBER(B293)),0,IF(B293&lt;MAX($B$5:B292),1,0))</f>
        <v>0</v>
      </c>
      <c r="AS293" s="0" t="str">
        <f aca="false">IF(C293="","",IFERROR(INDEX(CLIENTES!$H$6:$H$305,MATCH(C293,CLIENTES!$A$6:$A$305,0)),""))</f>
        <v/>
      </c>
      <c r="AT293" s="0" t="str">
        <f aca="false">IF(AND(LEFT(P293,5)="AVISO",T293&lt;&gt;"Presentado",ISNUMBER(Q293)),Q293,"")</f>
        <v/>
      </c>
      <c r="AU293" s="27" t="n">
        <f aca="false">IF(AND(D293="XVI - Activos virtuales (PSAV): operación de intercambio/transferencia",M293="Sí",ISNUMBER(AE293)),IF(AK293&gt;=AE293,1,0),0)</f>
        <v>0</v>
      </c>
      <c r="AV293" s="30" t="n">
        <f aca="false">IF(NOT(ISNUMBER(B293)),CONFIG!$B$4,IFERROR(INDEX(CONFIG!$I$5:$I$14,MATCH(IF(MONTH(B293)=1,YEAR(B293)-1,YEAR(B293)),CONFIG!$H$5:$H$14,0)),CONFIG!$B$4))</f>
        <v>117.31</v>
      </c>
      <c r="AW293" s="27" t="n">
        <f aca="false">IF(AND(LEFT(D293,4)="I - ",ISNUMBER(B293),C293&lt;&gt;""),SUMIFS($E$6:$E$505,$C$6:$C$505,C293,$D$6:$D$505,D293,$B$6:$B$505,"&gt;"&amp;(B293-1),$B$6:$B$505,"&lt;="&amp;B293),0)</f>
        <v>0</v>
      </c>
      <c r="AX293" s="0" t="str">
        <f aca="false">IF(E293="","",IF(AD293="Siempre","AVISO (siempre)",IF(AD293="No aplica","Sin Aviso (sólo preparas: Ley 17 XI)",IF(NOT(ISNUMBER(AE293)),"",IF(AA293&lt;&gt;"ACUMULA",IF(E293&gt;=AE293,IF(AND(D293="XVI - Activos virtuales (PSAV): cobro de contraprestación (comisión) por el servicio",COUNTIFS($C$6:$C$505,C293,$B$6:$B$505,"&gt;="&amp;INT(B293),$B$6:$B$505,"&lt;"&amp;(INT(B293)+1),$AU$6:$AU$505,1)&gt;0),"En el Aviso del inciso a) (R 31 Bis)","AVISO"),"—"),IF(M293&lt;&gt;"Sí","—",IF(AK293&gt;=AE293,IF(AK293=E293,"AVISO","AVISO (acumulado)"),"Acumulando")))))))</f>
        <v/>
      </c>
    </row>
    <row r="294" customFormat="false" ht="15" hidden="false" customHeight="false" outlineLevel="0" collapsed="false">
      <c r="A294" s="9" t="str">
        <f aca="false">IF(E294="","",ROW()-5)</f>
        <v/>
      </c>
      <c r="B294" s="20"/>
      <c r="C294" s="21"/>
      <c r="D294" s="21"/>
      <c r="E294" s="22"/>
      <c r="F294" s="22"/>
      <c r="G294" s="21"/>
      <c r="H294" s="21"/>
      <c r="I294" s="9" t="str">
        <f aca="false">IF(C294="","",IFERROR(INDEX(CLIENTES!$B$6:$B$305,MATCH(C294,CLIENTES!$A$6:$A$305,0)),"⚠ ID no registrado"))</f>
        <v/>
      </c>
      <c r="J294" s="9" t="str">
        <f aca="false">IF(C294="","",IFERROR(INDEX(CLIENTES!$Z$6:$Z$305,MATCH(C294,CLIENTES!$A$6:$A$305,0)),""))</f>
        <v/>
      </c>
      <c r="K294" s="9" t="str">
        <f aca="false">IF(E294="","",IF(AB294="Siempre","Sí",IF(ISNUMBER(AC294),IF(E294&gt;=AC294,"Sí",IF(AW294&gt;=AC294,"Sí (serie 24 h)","No")),"")))</f>
        <v/>
      </c>
      <c r="L294" s="9" t="str">
        <f aca="false">IF(E294="","",AA294)</f>
        <v/>
      </c>
      <c r="M294" s="9" t="str">
        <f aca="false">IF(E294="","",IF(AA294&lt;&gt;"ACUMULA","No aplica",IF(LEFT(K294,2)="Sí","Sí","No")))</f>
        <v/>
      </c>
      <c r="N294" s="23" t="str">
        <f aca="false">IF(M294="Sí",AJ294,"")</f>
        <v/>
      </c>
      <c r="O294" s="24" t="str">
        <f aca="false">IF(M294="Sí",AK294,"")</f>
        <v/>
      </c>
      <c r="P294" s="25" t="str">
        <f aca="false">IF(AND(LEFT(D294,6)="XIV - ",LEFT(AX294,5)="AVISO"),"Pedimento (R 16): no va al SPPLD",AX294)</f>
        <v/>
      </c>
      <c r="Q294" s="23" t="str">
        <f aca="false">IF(LEFT(P294,5)="AVISO",IF(ISNUMBER(B294),DATE(YEAR(B294),MONTH(B294)+1,17),"Falta fecha"),"")</f>
        <v/>
      </c>
      <c r="R294" s="9" t="str">
        <f aca="false">IF(OR(F294="",F294=0),"",IF(ISNUMBER(AG294),IF(F294&gt;=AG294,"PROHIBIDO","Dentro del límite"),"No aplica"))</f>
        <v/>
      </c>
      <c r="S294" s="26" t="str">
        <f aca="false">IF(E294="","",MID(IF(AQ294=1," · Excede el perfil declarado","")&amp;IF(H294="Sí"," · Paga un tercero","")&amp;IF(J294="Alto"," · Cliente de riesgo alto: DDR (RCG 23 Ter 3 y 4)","")&amp;IF(AND(AS294&lt;&gt;"",AS294&lt;&gt;"No",AS294&lt;&gt;0)," · PEP","")&amp;IF(R294="PROHIBIDO"," · Efectivo prohibido: no lo recibas (Art. 32)","")&amp;IF(AR294=1," · ⚠ Fecha fuera de orden","")&amp;IF(LEFT(I294,1)="⚠"," · ⚠ Cliente no registrado","")&amp;IF(D294=""," · ⚠ Falta la actividad","")&amp;IF(AND(LEFT(P294,5)="AVISO",W294="")," · Captura la cifra total con IVA para el Aviso","")&amp;IF(AND(ISNUMBER(W294),W294&lt;E294)," · ⚠ La cifra con IVA es menor que el monto sin IVA",""),4,400))</f>
        <v/>
      </c>
      <c r="T294" s="21"/>
      <c r="U294" s="20"/>
      <c r="V294" s="9" t="str">
        <f aca="false">IF(LEFT(P294,5)&lt;&gt;"AVISO","",IF(T294="Presentado",IF(AND(ISNUMBER(U294),ISNUMBER(Q294),U294&gt;Q294),"Presentado tarde","Presentado"),IF(NOT(ISNUMBER(Q294)),"Falta fecha",IF(Q294&lt;CONFIG!$B$6,"VENCIDO","Vence en "&amp;(Q294-CONFIG!$B$6)&amp;" días"))))</f>
        <v/>
      </c>
      <c r="W294" s="22"/>
      <c r="X294" s="21"/>
      <c r="AA294" s="0" t="str">
        <f aca="false">IF(AM294="","",INDEX(CATÁLOGO!$D$5:$D$39,AM294))</f>
        <v/>
      </c>
      <c r="AB294" s="0" t="str">
        <f aca="false">IF(AM294="","",INDEX(CATÁLOGO!$E$5:$E$39,AM294))</f>
        <v/>
      </c>
      <c r="AC294" s="0" t="str">
        <f aca="false">IF(AB294="","",IF(ISNUMBER(AB294),AB294*AV294,AB294))</f>
        <v/>
      </c>
      <c r="AD294" s="0" t="str">
        <f aca="false">IF(AM294="","",INDEX(CATÁLOGO!$F$5:$F$39,AM294))</f>
        <v/>
      </c>
      <c r="AE294" s="0" t="str">
        <f aca="false">IF(AD294="","",IF(ISNUMBER(AD294),AD294*AV294,AD294))</f>
        <v/>
      </c>
      <c r="AF294" s="0" t="str">
        <f aca="false">IF(AM294="","",INDEX(CATÁLOGO!$G$5:$G$39,AM294))</f>
        <v/>
      </c>
      <c r="AG294" s="0" t="str">
        <f aca="false">IF(AF294="","",IF(ISNUMBER(AF294),AF294*AV294,AF294))</f>
        <v/>
      </c>
      <c r="AH294" s="0" t="str">
        <f aca="false">IF(E294="","",C294&amp;"|"&amp;D294)</f>
        <v/>
      </c>
      <c r="AI294" s="27" t="n">
        <f aca="false">IF(M294&lt;&gt;"Sí",0,SUMPRODUCT(MAX(($AH$5:AH293=AH294)*($M$5:M293="Sí")*ROW($AH$5:AH293))))</f>
        <v>0</v>
      </c>
      <c r="AJ294" s="0" t="str">
        <f aca="false">IF(M294&lt;&gt;"Sí","",IF(AL294=1,B294,INDEX($AJ:$AJ,AI294)))</f>
        <v/>
      </c>
      <c r="AK294" s="0" t="str">
        <f aca="false">IF(M294&lt;&gt;"Sí","",IF(AL294=1,E294,INDEX($AK:$AK,AI294)+E294))</f>
        <v/>
      </c>
      <c r="AL294" s="0" t="str">
        <f aca="false">IF(M294&lt;&gt;"Sí","",IF(AI294=0,1,IF(INDEX($AN:$AN,AI294)=0,1,IF(B294&gt;=EDATE(INDEX($AJ:$AJ,AI294),6),1,0))))</f>
        <v/>
      </c>
      <c r="AM294" s="0" t="str">
        <f aca="false">IF(D294="","",IFERROR(MATCH(D294,CATÁLOGO!$C$5:$C$39,0),""))</f>
        <v/>
      </c>
      <c r="AN294" s="0" t="str">
        <f aca="false">IF(M294&lt;&gt;"Sí","",IF(AND(ISNUMBER(AE294),AK294&gt;=AE294),0,1))</f>
        <v/>
      </c>
      <c r="AO294" s="0" t="str">
        <f aca="false">IF(OR(E294="",C294="",NOT(ISNUMBER(B294))),"",SUMIFS($E$6:$E$505,$C$6:$C$505,C294,$B$6:$B$505,"&gt;="&amp;DATE(YEAR(B294),MONTH(B294),1),$B$6:$B$505,"&lt;"&amp;DATE(YEAR(B294),MONTH(B294)+1,1)))</f>
        <v/>
      </c>
      <c r="AP294" s="0" t="str">
        <f aca="false">IF(C294="","",IFERROR(INDEX(CLIENTES!$M$6:$M$305,MATCH(C294,CLIENTES!$A$6:$A$305,0)),""))</f>
        <v/>
      </c>
      <c r="AQ294" s="27" t="n">
        <f aca="false">IF(AND(ISNUMBER(AO294),ISNUMBER(AP294)),IF(AND(AP294&gt;0,AO294&gt;AP294),1,0),0)</f>
        <v>0</v>
      </c>
      <c r="AR294" s="27" t="n">
        <f aca="false">IF(NOT(ISNUMBER(B294)),0,IF(B294&lt;MAX($B$5:B293),1,0))</f>
        <v>0</v>
      </c>
      <c r="AS294" s="0" t="str">
        <f aca="false">IF(C294="","",IFERROR(INDEX(CLIENTES!$H$6:$H$305,MATCH(C294,CLIENTES!$A$6:$A$305,0)),""))</f>
        <v/>
      </c>
      <c r="AT294" s="0" t="str">
        <f aca="false">IF(AND(LEFT(P294,5)="AVISO",T294&lt;&gt;"Presentado",ISNUMBER(Q294)),Q294,"")</f>
        <v/>
      </c>
      <c r="AU294" s="27" t="n">
        <f aca="false">IF(AND(D294="XVI - Activos virtuales (PSAV): operación de intercambio/transferencia",M294="Sí",ISNUMBER(AE294)),IF(AK294&gt;=AE294,1,0),0)</f>
        <v>0</v>
      </c>
      <c r="AV294" s="30" t="n">
        <f aca="false">IF(NOT(ISNUMBER(B294)),CONFIG!$B$4,IFERROR(INDEX(CONFIG!$I$5:$I$14,MATCH(IF(MONTH(B294)=1,YEAR(B294)-1,YEAR(B294)),CONFIG!$H$5:$H$14,0)),CONFIG!$B$4))</f>
        <v>117.31</v>
      </c>
      <c r="AW294" s="27" t="n">
        <f aca="false">IF(AND(LEFT(D294,4)="I - ",ISNUMBER(B294),C294&lt;&gt;""),SUMIFS($E$6:$E$505,$C$6:$C$505,C294,$D$6:$D$505,D294,$B$6:$B$505,"&gt;"&amp;(B294-1),$B$6:$B$505,"&lt;="&amp;B294),0)</f>
        <v>0</v>
      </c>
      <c r="AX294" s="0" t="str">
        <f aca="false">IF(E294="","",IF(AD294="Siempre","AVISO (siempre)",IF(AD294="No aplica","Sin Aviso (sólo preparas: Ley 17 XI)",IF(NOT(ISNUMBER(AE294)),"",IF(AA294&lt;&gt;"ACUMULA",IF(E294&gt;=AE294,IF(AND(D294="XVI - Activos virtuales (PSAV): cobro de contraprestación (comisión) por el servicio",COUNTIFS($C$6:$C$505,C294,$B$6:$B$505,"&gt;="&amp;INT(B294),$B$6:$B$505,"&lt;"&amp;(INT(B294)+1),$AU$6:$AU$505,1)&gt;0),"En el Aviso del inciso a) (R 31 Bis)","AVISO"),"—"),IF(M294&lt;&gt;"Sí","—",IF(AK294&gt;=AE294,IF(AK294=E294,"AVISO","AVISO (acumulado)"),"Acumulando")))))))</f>
        <v/>
      </c>
    </row>
    <row r="295" customFormat="false" ht="15" hidden="false" customHeight="false" outlineLevel="0" collapsed="false">
      <c r="A295" s="9" t="str">
        <f aca="false">IF(E295="","",ROW()-5)</f>
        <v/>
      </c>
      <c r="B295" s="20"/>
      <c r="C295" s="21"/>
      <c r="D295" s="21"/>
      <c r="E295" s="22"/>
      <c r="F295" s="22"/>
      <c r="G295" s="21"/>
      <c r="H295" s="21"/>
      <c r="I295" s="9" t="str">
        <f aca="false">IF(C295="","",IFERROR(INDEX(CLIENTES!$B$6:$B$305,MATCH(C295,CLIENTES!$A$6:$A$305,0)),"⚠ ID no registrado"))</f>
        <v/>
      </c>
      <c r="J295" s="9" t="str">
        <f aca="false">IF(C295="","",IFERROR(INDEX(CLIENTES!$Z$6:$Z$305,MATCH(C295,CLIENTES!$A$6:$A$305,0)),""))</f>
        <v/>
      </c>
      <c r="K295" s="9" t="str">
        <f aca="false">IF(E295="","",IF(AB295="Siempre","Sí",IF(ISNUMBER(AC295),IF(E295&gt;=AC295,"Sí",IF(AW295&gt;=AC295,"Sí (serie 24 h)","No")),"")))</f>
        <v/>
      </c>
      <c r="L295" s="9" t="str">
        <f aca="false">IF(E295="","",AA295)</f>
        <v/>
      </c>
      <c r="M295" s="9" t="str">
        <f aca="false">IF(E295="","",IF(AA295&lt;&gt;"ACUMULA","No aplica",IF(LEFT(K295,2)="Sí","Sí","No")))</f>
        <v/>
      </c>
      <c r="N295" s="23" t="str">
        <f aca="false">IF(M295="Sí",AJ295,"")</f>
        <v/>
      </c>
      <c r="O295" s="24" t="str">
        <f aca="false">IF(M295="Sí",AK295,"")</f>
        <v/>
      </c>
      <c r="P295" s="25" t="str">
        <f aca="false">IF(AND(LEFT(D295,6)="XIV - ",LEFT(AX295,5)="AVISO"),"Pedimento (R 16): no va al SPPLD",AX295)</f>
        <v/>
      </c>
      <c r="Q295" s="23" t="str">
        <f aca="false">IF(LEFT(P295,5)="AVISO",IF(ISNUMBER(B295),DATE(YEAR(B295),MONTH(B295)+1,17),"Falta fecha"),"")</f>
        <v/>
      </c>
      <c r="R295" s="9" t="str">
        <f aca="false">IF(OR(F295="",F295=0),"",IF(ISNUMBER(AG295),IF(F295&gt;=AG295,"PROHIBIDO","Dentro del límite"),"No aplica"))</f>
        <v/>
      </c>
      <c r="S295" s="26" t="str">
        <f aca="false">IF(E295="","",MID(IF(AQ295=1," · Excede el perfil declarado","")&amp;IF(H295="Sí"," · Paga un tercero","")&amp;IF(J295="Alto"," · Cliente de riesgo alto: DDR (RCG 23 Ter 3 y 4)","")&amp;IF(AND(AS295&lt;&gt;"",AS295&lt;&gt;"No",AS295&lt;&gt;0)," · PEP","")&amp;IF(R295="PROHIBIDO"," · Efectivo prohibido: no lo recibas (Art. 32)","")&amp;IF(AR295=1," · ⚠ Fecha fuera de orden","")&amp;IF(LEFT(I295,1)="⚠"," · ⚠ Cliente no registrado","")&amp;IF(D295=""," · ⚠ Falta la actividad","")&amp;IF(AND(LEFT(P295,5)="AVISO",W295="")," · Captura la cifra total con IVA para el Aviso","")&amp;IF(AND(ISNUMBER(W295),W295&lt;E295)," · ⚠ La cifra con IVA es menor que el monto sin IVA",""),4,400))</f>
        <v/>
      </c>
      <c r="T295" s="21"/>
      <c r="U295" s="20"/>
      <c r="V295" s="9" t="str">
        <f aca="false">IF(LEFT(P295,5)&lt;&gt;"AVISO","",IF(T295="Presentado",IF(AND(ISNUMBER(U295),ISNUMBER(Q295),U295&gt;Q295),"Presentado tarde","Presentado"),IF(NOT(ISNUMBER(Q295)),"Falta fecha",IF(Q295&lt;CONFIG!$B$6,"VENCIDO","Vence en "&amp;(Q295-CONFIG!$B$6)&amp;" días"))))</f>
        <v/>
      </c>
      <c r="W295" s="22"/>
      <c r="X295" s="21"/>
      <c r="AA295" s="0" t="str">
        <f aca="false">IF(AM295="","",INDEX(CATÁLOGO!$D$5:$D$39,AM295))</f>
        <v/>
      </c>
      <c r="AB295" s="0" t="str">
        <f aca="false">IF(AM295="","",INDEX(CATÁLOGO!$E$5:$E$39,AM295))</f>
        <v/>
      </c>
      <c r="AC295" s="0" t="str">
        <f aca="false">IF(AB295="","",IF(ISNUMBER(AB295),AB295*AV295,AB295))</f>
        <v/>
      </c>
      <c r="AD295" s="0" t="str">
        <f aca="false">IF(AM295="","",INDEX(CATÁLOGO!$F$5:$F$39,AM295))</f>
        <v/>
      </c>
      <c r="AE295" s="0" t="str">
        <f aca="false">IF(AD295="","",IF(ISNUMBER(AD295),AD295*AV295,AD295))</f>
        <v/>
      </c>
      <c r="AF295" s="0" t="str">
        <f aca="false">IF(AM295="","",INDEX(CATÁLOGO!$G$5:$G$39,AM295))</f>
        <v/>
      </c>
      <c r="AG295" s="0" t="str">
        <f aca="false">IF(AF295="","",IF(ISNUMBER(AF295),AF295*AV295,AF295))</f>
        <v/>
      </c>
      <c r="AH295" s="0" t="str">
        <f aca="false">IF(E295="","",C295&amp;"|"&amp;D295)</f>
        <v/>
      </c>
      <c r="AI295" s="27" t="n">
        <f aca="false">IF(M295&lt;&gt;"Sí",0,SUMPRODUCT(MAX(($AH$5:AH294=AH295)*($M$5:M294="Sí")*ROW($AH$5:AH294))))</f>
        <v>0</v>
      </c>
      <c r="AJ295" s="0" t="str">
        <f aca="false">IF(M295&lt;&gt;"Sí","",IF(AL295=1,B295,INDEX($AJ:$AJ,AI295)))</f>
        <v/>
      </c>
      <c r="AK295" s="0" t="str">
        <f aca="false">IF(M295&lt;&gt;"Sí","",IF(AL295=1,E295,INDEX($AK:$AK,AI295)+E295))</f>
        <v/>
      </c>
      <c r="AL295" s="0" t="str">
        <f aca="false">IF(M295&lt;&gt;"Sí","",IF(AI295=0,1,IF(INDEX($AN:$AN,AI295)=0,1,IF(B295&gt;=EDATE(INDEX($AJ:$AJ,AI295),6),1,0))))</f>
        <v/>
      </c>
      <c r="AM295" s="0" t="str">
        <f aca="false">IF(D295="","",IFERROR(MATCH(D295,CATÁLOGO!$C$5:$C$39,0),""))</f>
        <v/>
      </c>
      <c r="AN295" s="0" t="str">
        <f aca="false">IF(M295&lt;&gt;"Sí","",IF(AND(ISNUMBER(AE295),AK295&gt;=AE295),0,1))</f>
        <v/>
      </c>
      <c r="AO295" s="0" t="str">
        <f aca="false">IF(OR(E295="",C295="",NOT(ISNUMBER(B295))),"",SUMIFS($E$6:$E$505,$C$6:$C$505,C295,$B$6:$B$505,"&gt;="&amp;DATE(YEAR(B295),MONTH(B295),1),$B$6:$B$505,"&lt;"&amp;DATE(YEAR(B295),MONTH(B295)+1,1)))</f>
        <v/>
      </c>
      <c r="AP295" s="0" t="str">
        <f aca="false">IF(C295="","",IFERROR(INDEX(CLIENTES!$M$6:$M$305,MATCH(C295,CLIENTES!$A$6:$A$305,0)),""))</f>
        <v/>
      </c>
      <c r="AQ295" s="27" t="n">
        <f aca="false">IF(AND(ISNUMBER(AO295),ISNUMBER(AP295)),IF(AND(AP295&gt;0,AO295&gt;AP295),1,0),0)</f>
        <v>0</v>
      </c>
      <c r="AR295" s="27" t="n">
        <f aca="false">IF(NOT(ISNUMBER(B295)),0,IF(B295&lt;MAX($B$5:B294),1,0))</f>
        <v>0</v>
      </c>
      <c r="AS295" s="0" t="str">
        <f aca="false">IF(C295="","",IFERROR(INDEX(CLIENTES!$H$6:$H$305,MATCH(C295,CLIENTES!$A$6:$A$305,0)),""))</f>
        <v/>
      </c>
      <c r="AT295" s="0" t="str">
        <f aca="false">IF(AND(LEFT(P295,5)="AVISO",T295&lt;&gt;"Presentado",ISNUMBER(Q295)),Q295,"")</f>
        <v/>
      </c>
      <c r="AU295" s="27" t="n">
        <f aca="false">IF(AND(D295="XVI - Activos virtuales (PSAV): operación de intercambio/transferencia",M295="Sí",ISNUMBER(AE295)),IF(AK295&gt;=AE295,1,0),0)</f>
        <v>0</v>
      </c>
      <c r="AV295" s="30" t="n">
        <f aca="false">IF(NOT(ISNUMBER(B295)),CONFIG!$B$4,IFERROR(INDEX(CONFIG!$I$5:$I$14,MATCH(IF(MONTH(B295)=1,YEAR(B295)-1,YEAR(B295)),CONFIG!$H$5:$H$14,0)),CONFIG!$B$4))</f>
        <v>117.31</v>
      </c>
      <c r="AW295" s="27" t="n">
        <f aca="false">IF(AND(LEFT(D295,4)="I - ",ISNUMBER(B295),C295&lt;&gt;""),SUMIFS($E$6:$E$505,$C$6:$C$505,C295,$D$6:$D$505,D295,$B$6:$B$505,"&gt;"&amp;(B295-1),$B$6:$B$505,"&lt;="&amp;B295),0)</f>
        <v>0</v>
      </c>
      <c r="AX295" s="0" t="str">
        <f aca="false">IF(E295="","",IF(AD295="Siempre","AVISO (siempre)",IF(AD295="No aplica","Sin Aviso (sólo preparas: Ley 17 XI)",IF(NOT(ISNUMBER(AE295)),"",IF(AA295&lt;&gt;"ACUMULA",IF(E295&gt;=AE295,IF(AND(D295="XVI - Activos virtuales (PSAV): cobro de contraprestación (comisión) por el servicio",COUNTIFS($C$6:$C$505,C295,$B$6:$B$505,"&gt;="&amp;INT(B295),$B$6:$B$505,"&lt;"&amp;(INT(B295)+1),$AU$6:$AU$505,1)&gt;0),"En el Aviso del inciso a) (R 31 Bis)","AVISO"),"—"),IF(M295&lt;&gt;"Sí","—",IF(AK295&gt;=AE295,IF(AK295=E295,"AVISO","AVISO (acumulado)"),"Acumulando")))))))</f>
        <v/>
      </c>
    </row>
    <row r="296" customFormat="false" ht="15" hidden="false" customHeight="false" outlineLevel="0" collapsed="false">
      <c r="A296" s="9" t="str">
        <f aca="false">IF(E296="","",ROW()-5)</f>
        <v/>
      </c>
      <c r="B296" s="20"/>
      <c r="C296" s="21"/>
      <c r="D296" s="21"/>
      <c r="E296" s="22"/>
      <c r="F296" s="22"/>
      <c r="G296" s="21"/>
      <c r="H296" s="21"/>
      <c r="I296" s="9" t="str">
        <f aca="false">IF(C296="","",IFERROR(INDEX(CLIENTES!$B$6:$B$305,MATCH(C296,CLIENTES!$A$6:$A$305,0)),"⚠ ID no registrado"))</f>
        <v/>
      </c>
      <c r="J296" s="9" t="str">
        <f aca="false">IF(C296="","",IFERROR(INDEX(CLIENTES!$Z$6:$Z$305,MATCH(C296,CLIENTES!$A$6:$A$305,0)),""))</f>
        <v/>
      </c>
      <c r="K296" s="9" t="str">
        <f aca="false">IF(E296="","",IF(AB296="Siempre","Sí",IF(ISNUMBER(AC296),IF(E296&gt;=AC296,"Sí",IF(AW296&gt;=AC296,"Sí (serie 24 h)","No")),"")))</f>
        <v/>
      </c>
      <c r="L296" s="9" t="str">
        <f aca="false">IF(E296="","",AA296)</f>
        <v/>
      </c>
      <c r="M296" s="9" t="str">
        <f aca="false">IF(E296="","",IF(AA296&lt;&gt;"ACUMULA","No aplica",IF(LEFT(K296,2)="Sí","Sí","No")))</f>
        <v/>
      </c>
      <c r="N296" s="23" t="str">
        <f aca="false">IF(M296="Sí",AJ296,"")</f>
        <v/>
      </c>
      <c r="O296" s="24" t="str">
        <f aca="false">IF(M296="Sí",AK296,"")</f>
        <v/>
      </c>
      <c r="P296" s="25" t="str">
        <f aca="false">IF(AND(LEFT(D296,6)="XIV - ",LEFT(AX296,5)="AVISO"),"Pedimento (R 16): no va al SPPLD",AX296)</f>
        <v/>
      </c>
      <c r="Q296" s="23" t="str">
        <f aca="false">IF(LEFT(P296,5)="AVISO",IF(ISNUMBER(B296),DATE(YEAR(B296),MONTH(B296)+1,17),"Falta fecha"),"")</f>
        <v/>
      </c>
      <c r="R296" s="9" t="str">
        <f aca="false">IF(OR(F296="",F296=0),"",IF(ISNUMBER(AG296),IF(F296&gt;=AG296,"PROHIBIDO","Dentro del límite"),"No aplica"))</f>
        <v/>
      </c>
      <c r="S296" s="26" t="str">
        <f aca="false">IF(E296="","",MID(IF(AQ296=1," · Excede el perfil declarado","")&amp;IF(H296="Sí"," · Paga un tercero","")&amp;IF(J296="Alto"," · Cliente de riesgo alto: DDR (RCG 23 Ter 3 y 4)","")&amp;IF(AND(AS296&lt;&gt;"",AS296&lt;&gt;"No",AS296&lt;&gt;0)," · PEP","")&amp;IF(R296="PROHIBIDO"," · Efectivo prohibido: no lo recibas (Art. 32)","")&amp;IF(AR296=1," · ⚠ Fecha fuera de orden","")&amp;IF(LEFT(I296,1)="⚠"," · ⚠ Cliente no registrado","")&amp;IF(D296=""," · ⚠ Falta la actividad","")&amp;IF(AND(LEFT(P296,5)="AVISO",W296="")," · Captura la cifra total con IVA para el Aviso","")&amp;IF(AND(ISNUMBER(W296),W296&lt;E296)," · ⚠ La cifra con IVA es menor que el monto sin IVA",""),4,400))</f>
        <v/>
      </c>
      <c r="T296" s="21"/>
      <c r="U296" s="20"/>
      <c r="V296" s="9" t="str">
        <f aca="false">IF(LEFT(P296,5)&lt;&gt;"AVISO","",IF(T296="Presentado",IF(AND(ISNUMBER(U296),ISNUMBER(Q296),U296&gt;Q296),"Presentado tarde","Presentado"),IF(NOT(ISNUMBER(Q296)),"Falta fecha",IF(Q296&lt;CONFIG!$B$6,"VENCIDO","Vence en "&amp;(Q296-CONFIG!$B$6)&amp;" días"))))</f>
        <v/>
      </c>
      <c r="W296" s="22"/>
      <c r="X296" s="21"/>
      <c r="AA296" s="0" t="str">
        <f aca="false">IF(AM296="","",INDEX(CATÁLOGO!$D$5:$D$39,AM296))</f>
        <v/>
      </c>
      <c r="AB296" s="0" t="str">
        <f aca="false">IF(AM296="","",INDEX(CATÁLOGO!$E$5:$E$39,AM296))</f>
        <v/>
      </c>
      <c r="AC296" s="0" t="str">
        <f aca="false">IF(AB296="","",IF(ISNUMBER(AB296),AB296*AV296,AB296))</f>
        <v/>
      </c>
      <c r="AD296" s="0" t="str">
        <f aca="false">IF(AM296="","",INDEX(CATÁLOGO!$F$5:$F$39,AM296))</f>
        <v/>
      </c>
      <c r="AE296" s="0" t="str">
        <f aca="false">IF(AD296="","",IF(ISNUMBER(AD296),AD296*AV296,AD296))</f>
        <v/>
      </c>
      <c r="AF296" s="0" t="str">
        <f aca="false">IF(AM296="","",INDEX(CATÁLOGO!$G$5:$G$39,AM296))</f>
        <v/>
      </c>
      <c r="AG296" s="0" t="str">
        <f aca="false">IF(AF296="","",IF(ISNUMBER(AF296),AF296*AV296,AF296))</f>
        <v/>
      </c>
      <c r="AH296" s="0" t="str">
        <f aca="false">IF(E296="","",C296&amp;"|"&amp;D296)</f>
        <v/>
      </c>
      <c r="AI296" s="27" t="n">
        <f aca="false">IF(M296&lt;&gt;"Sí",0,SUMPRODUCT(MAX(($AH$5:AH295=AH296)*($M$5:M295="Sí")*ROW($AH$5:AH295))))</f>
        <v>0</v>
      </c>
      <c r="AJ296" s="0" t="str">
        <f aca="false">IF(M296&lt;&gt;"Sí","",IF(AL296=1,B296,INDEX($AJ:$AJ,AI296)))</f>
        <v/>
      </c>
      <c r="AK296" s="0" t="str">
        <f aca="false">IF(M296&lt;&gt;"Sí","",IF(AL296=1,E296,INDEX($AK:$AK,AI296)+E296))</f>
        <v/>
      </c>
      <c r="AL296" s="0" t="str">
        <f aca="false">IF(M296&lt;&gt;"Sí","",IF(AI296=0,1,IF(INDEX($AN:$AN,AI296)=0,1,IF(B296&gt;=EDATE(INDEX($AJ:$AJ,AI296),6),1,0))))</f>
        <v/>
      </c>
      <c r="AM296" s="0" t="str">
        <f aca="false">IF(D296="","",IFERROR(MATCH(D296,CATÁLOGO!$C$5:$C$39,0),""))</f>
        <v/>
      </c>
      <c r="AN296" s="0" t="str">
        <f aca="false">IF(M296&lt;&gt;"Sí","",IF(AND(ISNUMBER(AE296),AK296&gt;=AE296),0,1))</f>
        <v/>
      </c>
      <c r="AO296" s="0" t="str">
        <f aca="false">IF(OR(E296="",C296="",NOT(ISNUMBER(B296))),"",SUMIFS($E$6:$E$505,$C$6:$C$505,C296,$B$6:$B$505,"&gt;="&amp;DATE(YEAR(B296),MONTH(B296),1),$B$6:$B$505,"&lt;"&amp;DATE(YEAR(B296),MONTH(B296)+1,1)))</f>
        <v/>
      </c>
      <c r="AP296" s="0" t="str">
        <f aca="false">IF(C296="","",IFERROR(INDEX(CLIENTES!$M$6:$M$305,MATCH(C296,CLIENTES!$A$6:$A$305,0)),""))</f>
        <v/>
      </c>
      <c r="AQ296" s="27" t="n">
        <f aca="false">IF(AND(ISNUMBER(AO296),ISNUMBER(AP296)),IF(AND(AP296&gt;0,AO296&gt;AP296),1,0),0)</f>
        <v>0</v>
      </c>
      <c r="AR296" s="27" t="n">
        <f aca="false">IF(NOT(ISNUMBER(B296)),0,IF(B296&lt;MAX($B$5:B295),1,0))</f>
        <v>0</v>
      </c>
      <c r="AS296" s="0" t="str">
        <f aca="false">IF(C296="","",IFERROR(INDEX(CLIENTES!$H$6:$H$305,MATCH(C296,CLIENTES!$A$6:$A$305,0)),""))</f>
        <v/>
      </c>
      <c r="AT296" s="0" t="str">
        <f aca="false">IF(AND(LEFT(P296,5)="AVISO",T296&lt;&gt;"Presentado",ISNUMBER(Q296)),Q296,"")</f>
        <v/>
      </c>
      <c r="AU296" s="27" t="n">
        <f aca="false">IF(AND(D296="XVI - Activos virtuales (PSAV): operación de intercambio/transferencia",M296="Sí",ISNUMBER(AE296)),IF(AK296&gt;=AE296,1,0),0)</f>
        <v>0</v>
      </c>
      <c r="AV296" s="30" t="n">
        <f aca="false">IF(NOT(ISNUMBER(B296)),CONFIG!$B$4,IFERROR(INDEX(CONFIG!$I$5:$I$14,MATCH(IF(MONTH(B296)=1,YEAR(B296)-1,YEAR(B296)),CONFIG!$H$5:$H$14,0)),CONFIG!$B$4))</f>
        <v>117.31</v>
      </c>
      <c r="AW296" s="27" t="n">
        <f aca="false">IF(AND(LEFT(D296,4)="I - ",ISNUMBER(B296),C296&lt;&gt;""),SUMIFS($E$6:$E$505,$C$6:$C$505,C296,$D$6:$D$505,D296,$B$6:$B$505,"&gt;"&amp;(B296-1),$B$6:$B$505,"&lt;="&amp;B296),0)</f>
        <v>0</v>
      </c>
      <c r="AX296" s="0" t="str">
        <f aca="false">IF(E296="","",IF(AD296="Siempre","AVISO (siempre)",IF(AD296="No aplica","Sin Aviso (sólo preparas: Ley 17 XI)",IF(NOT(ISNUMBER(AE296)),"",IF(AA296&lt;&gt;"ACUMULA",IF(E296&gt;=AE296,IF(AND(D296="XVI - Activos virtuales (PSAV): cobro de contraprestación (comisión) por el servicio",COUNTIFS($C$6:$C$505,C296,$B$6:$B$505,"&gt;="&amp;INT(B296),$B$6:$B$505,"&lt;"&amp;(INT(B296)+1),$AU$6:$AU$505,1)&gt;0),"En el Aviso del inciso a) (R 31 Bis)","AVISO"),"—"),IF(M296&lt;&gt;"Sí","—",IF(AK296&gt;=AE296,IF(AK296=E296,"AVISO","AVISO (acumulado)"),"Acumulando")))))))</f>
        <v/>
      </c>
    </row>
    <row r="297" customFormat="false" ht="15" hidden="false" customHeight="false" outlineLevel="0" collapsed="false">
      <c r="A297" s="9" t="str">
        <f aca="false">IF(E297="","",ROW()-5)</f>
        <v/>
      </c>
      <c r="B297" s="20"/>
      <c r="C297" s="21"/>
      <c r="D297" s="21"/>
      <c r="E297" s="22"/>
      <c r="F297" s="22"/>
      <c r="G297" s="21"/>
      <c r="H297" s="21"/>
      <c r="I297" s="9" t="str">
        <f aca="false">IF(C297="","",IFERROR(INDEX(CLIENTES!$B$6:$B$305,MATCH(C297,CLIENTES!$A$6:$A$305,0)),"⚠ ID no registrado"))</f>
        <v/>
      </c>
      <c r="J297" s="9" t="str">
        <f aca="false">IF(C297="","",IFERROR(INDEX(CLIENTES!$Z$6:$Z$305,MATCH(C297,CLIENTES!$A$6:$A$305,0)),""))</f>
        <v/>
      </c>
      <c r="K297" s="9" t="str">
        <f aca="false">IF(E297="","",IF(AB297="Siempre","Sí",IF(ISNUMBER(AC297),IF(E297&gt;=AC297,"Sí",IF(AW297&gt;=AC297,"Sí (serie 24 h)","No")),"")))</f>
        <v/>
      </c>
      <c r="L297" s="9" t="str">
        <f aca="false">IF(E297="","",AA297)</f>
        <v/>
      </c>
      <c r="M297" s="9" t="str">
        <f aca="false">IF(E297="","",IF(AA297&lt;&gt;"ACUMULA","No aplica",IF(LEFT(K297,2)="Sí","Sí","No")))</f>
        <v/>
      </c>
      <c r="N297" s="23" t="str">
        <f aca="false">IF(M297="Sí",AJ297,"")</f>
        <v/>
      </c>
      <c r="O297" s="24" t="str">
        <f aca="false">IF(M297="Sí",AK297,"")</f>
        <v/>
      </c>
      <c r="P297" s="25" t="str">
        <f aca="false">IF(AND(LEFT(D297,6)="XIV - ",LEFT(AX297,5)="AVISO"),"Pedimento (R 16): no va al SPPLD",AX297)</f>
        <v/>
      </c>
      <c r="Q297" s="23" t="str">
        <f aca="false">IF(LEFT(P297,5)="AVISO",IF(ISNUMBER(B297),DATE(YEAR(B297),MONTH(B297)+1,17),"Falta fecha"),"")</f>
        <v/>
      </c>
      <c r="R297" s="9" t="str">
        <f aca="false">IF(OR(F297="",F297=0),"",IF(ISNUMBER(AG297),IF(F297&gt;=AG297,"PROHIBIDO","Dentro del límite"),"No aplica"))</f>
        <v/>
      </c>
      <c r="S297" s="26" t="str">
        <f aca="false">IF(E297="","",MID(IF(AQ297=1," · Excede el perfil declarado","")&amp;IF(H297="Sí"," · Paga un tercero","")&amp;IF(J297="Alto"," · Cliente de riesgo alto: DDR (RCG 23 Ter 3 y 4)","")&amp;IF(AND(AS297&lt;&gt;"",AS297&lt;&gt;"No",AS297&lt;&gt;0)," · PEP","")&amp;IF(R297="PROHIBIDO"," · Efectivo prohibido: no lo recibas (Art. 32)","")&amp;IF(AR297=1," · ⚠ Fecha fuera de orden","")&amp;IF(LEFT(I297,1)="⚠"," · ⚠ Cliente no registrado","")&amp;IF(D297=""," · ⚠ Falta la actividad","")&amp;IF(AND(LEFT(P297,5)="AVISO",W297="")," · Captura la cifra total con IVA para el Aviso","")&amp;IF(AND(ISNUMBER(W297),W297&lt;E297)," · ⚠ La cifra con IVA es menor que el monto sin IVA",""),4,400))</f>
        <v/>
      </c>
      <c r="T297" s="21"/>
      <c r="U297" s="20"/>
      <c r="V297" s="9" t="str">
        <f aca="false">IF(LEFT(P297,5)&lt;&gt;"AVISO","",IF(T297="Presentado",IF(AND(ISNUMBER(U297),ISNUMBER(Q297),U297&gt;Q297),"Presentado tarde","Presentado"),IF(NOT(ISNUMBER(Q297)),"Falta fecha",IF(Q297&lt;CONFIG!$B$6,"VENCIDO","Vence en "&amp;(Q297-CONFIG!$B$6)&amp;" días"))))</f>
        <v/>
      </c>
      <c r="W297" s="22"/>
      <c r="X297" s="21"/>
      <c r="AA297" s="0" t="str">
        <f aca="false">IF(AM297="","",INDEX(CATÁLOGO!$D$5:$D$39,AM297))</f>
        <v/>
      </c>
      <c r="AB297" s="0" t="str">
        <f aca="false">IF(AM297="","",INDEX(CATÁLOGO!$E$5:$E$39,AM297))</f>
        <v/>
      </c>
      <c r="AC297" s="0" t="str">
        <f aca="false">IF(AB297="","",IF(ISNUMBER(AB297),AB297*AV297,AB297))</f>
        <v/>
      </c>
      <c r="AD297" s="0" t="str">
        <f aca="false">IF(AM297="","",INDEX(CATÁLOGO!$F$5:$F$39,AM297))</f>
        <v/>
      </c>
      <c r="AE297" s="0" t="str">
        <f aca="false">IF(AD297="","",IF(ISNUMBER(AD297),AD297*AV297,AD297))</f>
        <v/>
      </c>
      <c r="AF297" s="0" t="str">
        <f aca="false">IF(AM297="","",INDEX(CATÁLOGO!$G$5:$G$39,AM297))</f>
        <v/>
      </c>
      <c r="AG297" s="0" t="str">
        <f aca="false">IF(AF297="","",IF(ISNUMBER(AF297),AF297*AV297,AF297))</f>
        <v/>
      </c>
      <c r="AH297" s="0" t="str">
        <f aca="false">IF(E297="","",C297&amp;"|"&amp;D297)</f>
        <v/>
      </c>
      <c r="AI297" s="27" t="n">
        <f aca="false">IF(M297&lt;&gt;"Sí",0,SUMPRODUCT(MAX(($AH$5:AH296=AH297)*($M$5:M296="Sí")*ROW($AH$5:AH296))))</f>
        <v>0</v>
      </c>
      <c r="AJ297" s="0" t="str">
        <f aca="false">IF(M297&lt;&gt;"Sí","",IF(AL297=1,B297,INDEX($AJ:$AJ,AI297)))</f>
        <v/>
      </c>
      <c r="AK297" s="0" t="str">
        <f aca="false">IF(M297&lt;&gt;"Sí","",IF(AL297=1,E297,INDEX($AK:$AK,AI297)+E297))</f>
        <v/>
      </c>
      <c r="AL297" s="0" t="str">
        <f aca="false">IF(M297&lt;&gt;"Sí","",IF(AI297=0,1,IF(INDEX($AN:$AN,AI297)=0,1,IF(B297&gt;=EDATE(INDEX($AJ:$AJ,AI297),6),1,0))))</f>
        <v/>
      </c>
      <c r="AM297" s="0" t="str">
        <f aca="false">IF(D297="","",IFERROR(MATCH(D297,CATÁLOGO!$C$5:$C$39,0),""))</f>
        <v/>
      </c>
      <c r="AN297" s="0" t="str">
        <f aca="false">IF(M297&lt;&gt;"Sí","",IF(AND(ISNUMBER(AE297),AK297&gt;=AE297),0,1))</f>
        <v/>
      </c>
      <c r="AO297" s="0" t="str">
        <f aca="false">IF(OR(E297="",C297="",NOT(ISNUMBER(B297))),"",SUMIFS($E$6:$E$505,$C$6:$C$505,C297,$B$6:$B$505,"&gt;="&amp;DATE(YEAR(B297),MONTH(B297),1),$B$6:$B$505,"&lt;"&amp;DATE(YEAR(B297),MONTH(B297)+1,1)))</f>
        <v/>
      </c>
      <c r="AP297" s="0" t="str">
        <f aca="false">IF(C297="","",IFERROR(INDEX(CLIENTES!$M$6:$M$305,MATCH(C297,CLIENTES!$A$6:$A$305,0)),""))</f>
        <v/>
      </c>
      <c r="AQ297" s="27" t="n">
        <f aca="false">IF(AND(ISNUMBER(AO297),ISNUMBER(AP297)),IF(AND(AP297&gt;0,AO297&gt;AP297),1,0),0)</f>
        <v>0</v>
      </c>
      <c r="AR297" s="27" t="n">
        <f aca="false">IF(NOT(ISNUMBER(B297)),0,IF(B297&lt;MAX($B$5:B296),1,0))</f>
        <v>0</v>
      </c>
      <c r="AS297" s="0" t="str">
        <f aca="false">IF(C297="","",IFERROR(INDEX(CLIENTES!$H$6:$H$305,MATCH(C297,CLIENTES!$A$6:$A$305,0)),""))</f>
        <v/>
      </c>
      <c r="AT297" s="0" t="str">
        <f aca="false">IF(AND(LEFT(P297,5)="AVISO",T297&lt;&gt;"Presentado",ISNUMBER(Q297)),Q297,"")</f>
        <v/>
      </c>
      <c r="AU297" s="27" t="n">
        <f aca="false">IF(AND(D297="XVI - Activos virtuales (PSAV): operación de intercambio/transferencia",M297="Sí",ISNUMBER(AE297)),IF(AK297&gt;=AE297,1,0),0)</f>
        <v>0</v>
      </c>
      <c r="AV297" s="30" t="n">
        <f aca="false">IF(NOT(ISNUMBER(B297)),CONFIG!$B$4,IFERROR(INDEX(CONFIG!$I$5:$I$14,MATCH(IF(MONTH(B297)=1,YEAR(B297)-1,YEAR(B297)),CONFIG!$H$5:$H$14,0)),CONFIG!$B$4))</f>
        <v>117.31</v>
      </c>
      <c r="AW297" s="27" t="n">
        <f aca="false">IF(AND(LEFT(D297,4)="I - ",ISNUMBER(B297),C297&lt;&gt;""),SUMIFS($E$6:$E$505,$C$6:$C$505,C297,$D$6:$D$505,D297,$B$6:$B$505,"&gt;"&amp;(B297-1),$B$6:$B$505,"&lt;="&amp;B297),0)</f>
        <v>0</v>
      </c>
      <c r="AX297" s="0" t="str">
        <f aca="false">IF(E297="","",IF(AD297="Siempre","AVISO (siempre)",IF(AD297="No aplica","Sin Aviso (sólo preparas: Ley 17 XI)",IF(NOT(ISNUMBER(AE297)),"",IF(AA297&lt;&gt;"ACUMULA",IF(E297&gt;=AE297,IF(AND(D297="XVI - Activos virtuales (PSAV): cobro de contraprestación (comisión) por el servicio",COUNTIFS($C$6:$C$505,C297,$B$6:$B$505,"&gt;="&amp;INT(B297),$B$6:$B$505,"&lt;"&amp;(INT(B297)+1),$AU$6:$AU$505,1)&gt;0),"En el Aviso del inciso a) (R 31 Bis)","AVISO"),"—"),IF(M297&lt;&gt;"Sí","—",IF(AK297&gt;=AE297,IF(AK297=E297,"AVISO","AVISO (acumulado)"),"Acumulando")))))))</f>
        <v/>
      </c>
    </row>
    <row r="298" customFormat="false" ht="15" hidden="false" customHeight="false" outlineLevel="0" collapsed="false">
      <c r="A298" s="9" t="str">
        <f aca="false">IF(E298="","",ROW()-5)</f>
        <v/>
      </c>
      <c r="B298" s="20"/>
      <c r="C298" s="21"/>
      <c r="D298" s="21"/>
      <c r="E298" s="22"/>
      <c r="F298" s="22"/>
      <c r="G298" s="21"/>
      <c r="H298" s="21"/>
      <c r="I298" s="9" t="str">
        <f aca="false">IF(C298="","",IFERROR(INDEX(CLIENTES!$B$6:$B$305,MATCH(C298,CLIENTES!$A$6:$A$305,0)),"⚠ ID no registrado"))</f>
        <v/>
      </c>
      <c r="J298" s="9" t="str">
        <f aca="false">IF(C298="","",IFERROR(INDEX(CLIENTES!$Z$6:$Z$305,MATCH(C298,CLIENTES!$A$6:$A$305,0)),""))</f>
        <v/>
      </c>
      <c r="K298" s="9" t="str">
        <f aca="false">IF(E298="","",IF(AB298="Siempre","Sí",IF(ISNUMBER(AC298),IF(E298&gt;=AC298,"Sí",IF(AW298&gt;=AC298,"Sí (serie 24 h)","No")),"")))</f>
        <v/>
      </c>
      <c r="L298" s="9" t="str">
        <f aca="false">IF(E298="","",AA298)</f>
        <v/>
      </c>
      <c r="M298" s="9" t="str">
        <f aca="false">IF(E298="","",IF(AA298&lt;&gt;"ACUMULA","No aplica",IF(LEFT(K298,2)="Sí","Sí","No")))</f>
        <v/>
      </c>
      <c r="N298" s="23" t="str">
        <f aca="false">IF(M298="Sí",AJ298,"")</f>
        <v/>
      </c>
      <c r="O298" s="24" t="str">
        <f aca="false">IF(M298="Sí",AK298,"")</f>
        <v/>
      </c>
      <c r="P298" s="25" t="str">
        <f aca="false">IF(AND(LEFT(D298,6)="XIV - ",LEFT(AX298,5)="AVISO"),"Pedimento (R 16): no va al SPPLD",AX298)</f>
        <v/>
      </c>
      <c r="Q298" s="23" t="str">
        <f aca="false">IF(LEFT(P298,5)="AVISO",IF(ISNUMBER(B298),DATE(YEAR(B298),MONTH(B298)+1,17),"Falta fecha"),"")</f>
        <v/>
      </c>
      <c r="R298" s="9" t="str">
        <f aca="false">IF(OR(F298="",F298=0),"",IF(ISNUMBER(AG298),IF(F298&gt;=AG298,"PROHIBIDO","Dentro del límite"),"No aplica"))</f>
        <v/>
      </c>
      <c r="S298" s="26" t="str">
        <f aca="false">IF(E298="","",MID(IF(AQ298=1," · Excede el perfil declarado","")&amp;IF(H298="Sí"," · Paga un tercero","")&amp;IF(J298="Alto"," · Cliente de riesgo alto: DDR (RCG 23 Ter 3 y 4)","")&amp;IF(AND(AS298&lt;&gt;"",AS298&lt;&gt;"No",AS298&lt;&gt;0)," · PEP","")&amp;IF(R298="PROHIBIDO"," · Efectivo prohibido: no lo recibas (Art. 32)","")&amp;IF(AR298=1," · ⚠ Fecha fuera de orden","")&amp;IF(LEFT(I298,1)="⚠"," · ⚠ Cliente no registrado","")&amp;IF(D298=""," · ⚠ Falta la actividad","")&amp;IF(AND(LEFT(P298,5)="AVISO",W298="")," · Captura la cifra total con IVA para el Aviso","")&amp;IF(AND(ISNUMBER(W298),W298&lt;E298)," · ⚠ La cifra con IVA es menor que el monto sin IVA",""),4,400))</f>
        <v/>
      </c>
      <c r="T298" s="21"/>
      <c r="U298" s="20"/>
      <c r="V298" s="9" t="str">
        <f aca="false">IF(LEFT(P298,5)&lt;&gt;"AVISO","",IF(T298="Presentado",IF(AND(ISNUMBER(U298),ISNUMBER(Q298),U298&gt;Q298),"Presentado tarde","Presentado"),IF(NOT(ISNUMBER(Q298)),"Falta fecha",IF(Q298&lt;CONFIG!$B$6,"VENCIDO","Vence en "&amp;(Q298-CONFIG!$B$6)&amp;" días"))))</f>
        <v/>
      </c>
      <c r="W298" s="22"/>
      <c r="X298" s="21"/>
      <c r="AA298" s="0" t="str">
        <f aca="false">IF(AM298="","",INDEX(CATÁLOGO!$D$5:$D$39,AM298))</f>
        <v/>
      </c>
      <c r="AB298" s="0" t="str">
        <f aca="false">IF(AM298="","",INDEX(CATÁLOGO!$E$5:$E$39,AM298))</f>
        <v/>
      </c>
      <c r="AC298" s="0" t="str">
        <f aca="false">IF(AB298="","",IF(ISNUMBER(AB298),AB298*AV298,AB298))</f>
        <v/>
      </c>
      <c r="AD298" s="0" t="str">
        <f aca="false">IF(AM298="","",INDEX(CATÁLOGO!$F$5:$F$39,AM298))</f>
        <v/>
      </c>
      <c r="AE298" s="0" t="str">
        <f aca="false">IF(AD298="","",IF(ISNUMBER(AD298),AD298*AV298,AD298))</f>
        <v/>
      </c>
      <c r="AF298" s="0" t="str">
        <f aca="false">IF(AM298="","",INDEX(CATÁLOGO!$G$5:$G$39,AM298))</f>
        <v/>
      </c>
      <c r="AG298" s="0" t="str">
        <f aca="false">IF(AF298="","",IF(ISNUMBER(AF298),AF298*AV298,AF298))</f>
        <v/>
      </c>
      <c r="AH298" s="0" t="str">
        <f aca="false">IF(E298="","",C298&amp;"|"&amp;D298)</f>
        <v/>
      </c>
      <c r="AI298" s="27" t="n">
        <f aca="false">IF(M298&lt;&gt;"Sí",0,SUMPRODUCT(MAX(($AH$5:AH297=AH298)*($M$5:M297="Sí")*ROW($AH$5:AH297))))</f>
        <v>0</v>
      </c>
      <c r="AJ298" s="0" t="str">
        <f aca="false">IF(M298&lt;&gt;"Sí","",IF(AL298=1,B298,INDEX($AJ:$AJ,AI298)))</f>
        <v/>
      </c>
      <c r="AK298" s="0" t="str">
        <f aca="false">IF(M298&lt;&gt;"Sí","",IF(AL298=1,E298,INDEX($AK:$AK,AI298)+E298))</f>
        <v/>
      </c>
      <c r="AL298" s="0" t="str">
        <f aca="false">IF(M298&lt;&gt;"Sí","",IF(AI298=0,1,IF(INDEX($AN:$AN,AI298)=0,1,IF(B298&gt;=EDATE(INDEX($AJ:$AJ,AI298),6),1,0))))</f>
        <v/>
      </c>
      <c r="AM298" s="0" t="str">
        <f aca="false">IF(D298="","",IFERROR(MATCH(D298,CATÁLOGO!$C$5:$C$39,0),""))</f>
        <v/>
      </c>
      <c r="AN298" s="0" t="str">
        <f aca="false">IF(M298&lt;&gt;"Sí","",IF(AND(ISNUMBER(AE298),AK298&gt;=AE298),0,1))</f>
        <v/>
      </c>
      <c r="AO298" s="0" t="str">
        <f aca="false">IF(OR(E298="",C298="",NOT(ISNUMBER(B298))),"",SUMIFS($E$6:$E$505,$C$6:$C$505,C298,$B$6:$B$505,"&gt;="&amp;DATE(YEAR(B298),MONTH(B298),1),$B$6:$B$505,"&lt;"&amp;DATE(YEAR(B298),MONTH(B298)+1,1)))</f>
        <v/>
      </c>
      <c r="AP298" s="0" t="str">
        <f aca="false">IF(C298="","",IFERROR(INDEX(CLIENTES!$M$6:$M$305,MATCH(C298,CLIENTES!$A$6:$A$305,0)),""))</f>
        <v/>
      </c>
      <c r="AQ298" s="27" t="n">
        <f aca="false">IF(AND(ISNUMBER(AO298),ISNUMBER(AP298)),IF(AND(AP298&gt;0,AO298&gt;AP298),1,0),0)</f>
        <v>0</v>
      </c>
      <c r="AR298" s="27" t="n">
        <f aca="false">IF(NOT(ISNUMBER(B298)),0,IF(B298&lt;MAX($B$5:B297),1,0))</f>
        <v>0</v>
      </c>
      <c r="AS298" s="0" t="str">
        <f aca="false">IF(C298="","",IFERROR(INDEX(CLIENTES!$H$6:$H$305,MATCH(C298,CLIENTES!$A$6:$A$305,0)),""))</f>
        <v/>
      </c>
      <c r="AT298" s="0" t="str">
        <f aca="false">IF(AND(LEFT(P298,5)="AVISO",T298&lt;&gt;"Presentado",ISNUMBER(Q298)),Q298,"")</f>
        <v/>
      </c>
      <c r="AU298" s="27" t="n">
        <f aca="false">IF(AND(D298="XVI - Activos virtuales (PSAV): operación de intercambio/transferencia",M298="Sí",ISNUMBER(AE298)),IF(AK298&gt;=AE298,1,0),0)</f>
        <v>0</v>
      </c>
      <c r="AV298" s="30" t="n">
        <f aca="false">IF(NOT(ISNUMBER(B298)),CONFIG!$B$4,IFERROR(INDEX(CONFIG!$I$5:$I$14,MATCH(IF(MONTH(B298)=1,YEAR(B298)-1,YEAR(B298)),CONFIG!$H$5:$H$14,0)),CONFIG!$B$4))</f>
        <v>117.31</v>
      </c>
      <c r="AW298" s="27" t="n">
        <f aca="false">IF(AND(LEFT(D298,4)="I - ",ISNUMBER(B298),C298&lt;&gt;""),SUMIFS($E$6:$E$505,$C$6:$C$505,C298,$D$6:$D$505,D298,$B$6:$B$505,"&gt;"&amp;(B298-1),$B$6:$B$505,"&lt;="&amp;B298),0)</f>
        <v>0</v>
      </c>
      <c r="AX298" s="0" t="str">
        <f aca="false">IF(E298="","",IF(AD298="Siempre","AVISO (siempre)",IF(AD298="No aplica","Sin Aviso (sólo preparas: Ley 17 XI)",IF(NOT(ISNUMBER(AE298)),"",IF(AA298&lt;&gt;"ACUMULA",IF(E298&gt;=AE298,IF(AND(D298="XVI - Activos virtuales (PSAV): cobro de contraprestación (comisión) por el servicio",COUNTIFS($C$6:$C$505,C298,$B$6:$B$505,"&gt;="&amp;INT(B298),$B$6:$B$505,"&lt;"&amp;(INT(B298)+1),$AU$6:$AU$505,1)&gt;0),"En el Aviso del inciso a) (R 31 Bis)","AVISO"),"—"),IF(M298&lt;&gt;"Sí","—",IF(AK298&gt;=AE298,IF(AK298=E298,"AVISO","AVISO (acumulado)"),"Acumulando")))))))</f>
        <v/>
      </c>
    </row>
    <row r="299" customFormat="false" ht="15" hidden="false" customHeight="false" outlineLevel="0" collapsed="false">
      <c r="A299" s="9" t="str">
        <f aca="false">IF(E299="","",ROW()-5)</f>
        <v/>
      </c>
      <c r="B299" s="20"/>
      <c r="C299" s="21"/>
      <c r="D299" s="21"/>
      <c r="E299" s="22"/>
      <c r="F299" s="22"/>
      <c r="G299" s="21"/>
      <c r="H299" s="21"/>
      <c r="I299" s="9" t="str">
        <f aca="false">IF(C299="","",IFERROR(INDEX(CLIENTES!$B$6:$B$305,MATCH(C299,CLIENTES!$A$6:$A$305,0)),"⚠ ID no registrado"))</f>
        <v/>
      </c>
      <c r="J299" s="9" t="str">
        <f aca="false">IF(C299="","",IFERROR(INDEX(CLIENTES!$Z$6:$Z$305,MATCH(C299,CLIENTES!$A$6:$A$305,0)),""))</f>
        <v/>
      </c>
      <c r="K299" s="9" t="str">
        <f aca="false">IF(E299="","",IF(AB299="Siempre","Sí",IF(ISNUMBER(AC299),IF(E299&gt;=AC299,"Sí",IF(AW299&gt;=AC299,"Sí (serie 24 h)","No")),"")))</f>
        <v/>
      </c>
      <c r="L299" s="9" t="str">
        <f aca="false">IF(E299="","",AA299)</f>
        <v/>
      </c>
      <c r="M299" s="9" t="str">
        <f aca="false">IF(E299="","",IF(AA299&lt;&gt;"ACUMULA","No aplica",IF(LEFT(K299,2)="Sí","Sí","No")))</f>
        <v/>
      </c>
      <c r="N299" s="23" t="str">
        <f aca="false">IF(M299="Sí",AJ299,"")</f>
        <v/>
      </c>
      <c r="O299" s="24" t="str">
        <f aca="false">IF(M299="Sí",AK299,"")</f>
        <v/>
      </c>
      <c r="P299" s="25" t="str">
        <f aca="false">IF(AND(LEFT(D299,6)="XIV - ",LEFT(AX299,5)="AVISO"),"Pedimento (R 16): no va al SPPLD",AX299)</f>
        <v/>
      </c>
      <c r="Q299" s="23" t="str">
        <f aca="false">IF(LEFT(P299,5)="AVISO",IF(ISNUMBER(B299),DATE(YEAR(B299),MONTH(B299)+1,17),"Falta fecha"),"")</f>
        <v/>
      </c>
      <c r="R299" s="9" t="str">
        <f aca="false">IF(OR(F299="",F299=0),"",IF(ISNUMBER(AG299),IF(F299&gt;=AG299,"PROHIBIDO","Dentro del límite"),"No aplica"))</f>
        <v/>
      </c>
      <c r="S299" s="26" t="str">
        <f aca="false">IF(E299="","",MID(IF(AQ299=1," · Excede el perfil declarado","")&amp;IF(H299="Sí"," · Paga un tercero","")&amp;IF(J299="Alto"," · Cliente de riesgo alto: DDR (RCG 23 Ter 3 y 4)","")&amp;IF(AND(AS299&lt;&gt;"",AS299&lt;&gt;"No",AS299&lt;&gt;0)," · PEP","")&amp;IF(R299="PROHIBIDO"," · Efectivo prohibido: no lo recibas (Art. 32)","")&amp;IF(AR299=1," · ⚠ Fecha fuera de orden","")&amp;IF(LEFT(I299,1)="⚠"," · ⚠ Cliente no registrado","")&amp;IF(D299=""," · ⚠ Falta la actividad","")&amp;IF(AND(LEFT(P299,5)="AVISO",W299="")," · Captura la cifra total con IVA para el Aviso","")&amp;IF(AND(ISNUMBER(W299),W299&lt;E299)," · ⚠ La cifra con IVA es menor que el monto sin IVA",""),4,400))</f>
        <v/>
      </c>
      <c r="T299" s="21"/>
      <c r="U299" s="20"/>
      <c r="V299" s="9" t="str">
        <f aca="false">IF(LEFT(P299,5)&lt;&gt;"AVISO","",IF(T299="Presentado",IF(AND(ISNUMBER(U299),ISNUMBER(Q299),U299&gt;Q299),"Presentado tarde","Presentado"),IF(NOT(ISNUMBER(Q299)),"Falta fecha",IF(Q299&lt;CONFIG!$B$6,"VENCIDO","Vence en "&amp;(Q299-CONFIG!$B$6)&amp;" días"))))</f>
        <v/>
      </c>
      <c r="W299" s="22"/>
      <c r="X299" s="21"/>
      <c r="AA299" s="0" t="str">
        <f aca="false">IF(AM299="","",INDEX(CATÁLOGO!$D$5:$D$39,AM299))</f>
        <v/>
      </c>
      <c r="AB299" s="0" t="str">
        <f aca="false">IF(AM299="","",INDEX(CATÁLOGO!$E$5:$E$39,AM299))</f>
        <v/>
      </c>
      <c r="AC299" s="0" t="str">
        <f aca="false">IF(AB299="","",IF(ISNUMBER(AB299),AB299*AV299,AB299))</f>
        <v/>
      </c>
      <c r="AD299" s="0" t="str">
        <f aca="false">IF(AM299="","",INDEX(CATÁLOGO!$F$5:$F$39,AM299))</f>
        <v/>
      </c>
      <c r="AE299" s="0" t="str">
        <f aca="false">IF(AD299="","",IF(ISNUMBER(AD299),AD299*AV299,AD299))</f>
        <v/>
      </c>
      <c r="AF299" s="0" t="str">
        <f aca="false">IF(AM299="","",INDEX(CATÁLOGO!$G$5:$G$39,AM299))</f>
        <v/>
      </c>
      <c r="AG299" s="0" t="str">
        <f aca="false">IF(AF299="","",IF(ISNUMBER(AF299),AF299*AV299,AF299))</f>
        <v/>
      </c>
      <c r="AH299" s="0" t="str">
        <f aca="false">IF(E299="","",C299&amp;"|"&amp;D299)</f>
        <v/>
      </c>
      <c r="AI299" s="27" t="n">
        <f aca="false">IF(M299&lt;&gt;"Sí",0,SUMPRODUCT(MAX(($AH$5:AH298=AH299)*($M$5:M298="Sí")*ROW($AH$5:AH298))))</f>
        <v>0</v>
      </c>
      <c r="AJ299" s="0" t="str">
        <f aca="false">IF(M299&lt;&gt;"Sí","",IF(AL299=1,B299,INDEX($AJ:$AJ,AI299)))</f>
        <v/>
      </c>
      <c r="AK299" s="0" t="str">
        <f aca="false">IF(M299&lt;&gt;"Sí","",IF(AL299=1,E299,INDEX($AK:$AK,AI299)+E299))</f>
        <v/>
      </c>
      <c r="AL299" s="0" t="str">
        <f aca="false">IF(M299&lt;&gt;"Sí","",IF(AI299=0,1,IF(INDEX($AN:$AN,AI299)=0,1,IF(B299&gt;=EDATE(INDEX($AJ:$AJ,AI299),6),1,0))))</f>
        <v/>
      </c>
      <c r="AM299" s="0" t="str">
        <f aca="false">IF(D299="","",IFERROR(MATCH(D299,CATÁLOGO!$C$5:$C$39,0),""))</f>
        <v/>
      </c>
      <c r="AN299" s="0" t="str">
        <f aca="false">IF(M299&lt;&gt;"Sí","",IF(AND(ISNUMBER(AE299),AK299&gt;=AE299),0,1))</f>
        <v/>
      </c>
      <c r="AO299" s="0" t="str">
        <f aca="false">IF(OR(E299="",C299="",NOT(ISNUMBER(B299))),"",SUMIFS($E$6:$E$505,$C$6:$C$505,C299,$B$6:$B$505,"&gt;="&amp;DATE(YEAR(B299),MONTH(B299),1),$B$6:$B$505,"&lt;"&amp;DATE(YEAR(B299),MONTH(B299)+1,1)))</f>
        <v/>
      </c>
      <c r="AP299" s="0" t="str">
        <f aca="false">IF(C299="","",IFERROR(INDEX(CLIENTES!$M$6:$M$305,MATCH(C299,CLIENTES!$A$6:$A$305,0)),""))</f>
        <v/>
      </c>
      <c r="AQ299" s="27" t="n">
        <f aca="false">IF(AND(ISNUMBER(AO299),ISNUMBER(AP299)),IF(AND(AP299&gt;0,AO299&gt;AP299),1,0),0)</f>
        <v>0</v>
      </c>
      <c r="AR299" s="27" t="n">
        <f aca="false">IF(NOT(ISNUMBER(B299)),0,IF(B299&lt;MAX($B$5:B298),1,0))</f>
        <v>0</v>
      </c>
      <c r="AS299" s="0" t="str">
        <f aca="false">IF(C299="","",IFERROR(INDEX(CLIENTES!$H$6:$H$305,MATCH(C299,CLIENTES!$A$6:$A$305,0)),""))</f>
        <v/>
      </c>
      <c r="AT299" s="0" t="str">
        <f aca="false">IF(AND(LEFT(P299,5)="AVISO",T299&lt;&gt;"Presentado",ISNUMBER(Q299)),Q299,"")</f>
        <v/>
      </c>
      <c r="AU299" s="27" t="n">
        <f aca="false">IF(AND(D299="XVI - Activos virtuales (PSAV): operación de intercambio/transferencia",M299="Sí",ISNUMBER(AE299)),IF(AK299&gt;=AE299,1,0),0)</f>
        <v>0</v>
      </c>
      <c r="AV299" s="30" t="n">
        <f aca="false">IF(NOT(ISNUMBER(B299)),CONFIG!$B$4,IFERROR(INDEX(CONFIG!$I$5:$I$14,MATCH(IF(MONTH(B299)=1,YEAR(B299)-1,YEAR(B299)),CONFIG!$H$5:$H$14,0)),CONFIG!$B$4))</f>
        <v>117.31</v>
      </c>
      <c r="AW299" s="27" t="n">
        <f aca="false">IF(AND(LEFT(D299,4)="I - ",ISNUMBER(B299),C299&lt;&gt;""),SUMIFS($E$6:$E$505,$C$6:$C$505,C299,$D$6:$D$505,D299,$B$6:$B$505,"&gt;"&amp;(B299-1),$B$6:$B$505,"&lt;="&amp;B299),0)</f>
        <v>0</v>
      </c>
      <c r="AX299" s="0" t="str">
        <f aca="false">IF(E299="","",IF(AD299="Siempre","AVISO (siempre)",IF(AD299="No aplica","Sin Aviso (sólo preparas: Ley 17 XI)",IF(NOT(ISNUMBER(AE299)),"",IF(AA299&lt;&gt;"ACUMULA",IF(E299&gt;=AE299,IF(AND(D299="XVI - Activos virtuales (PSAV): cobro de contraprestación (comisión) por el servicio",COUNTIFS($C$6:$C$505,C299,$B$6:$B$505,"&gt;="&amp;INT(B299),$B$6:$B$505,"&lt;"&amp;(INT(B299)+1),$AU$6:$AU$505,1)&gt;0),"En el Aviso del inciso a) (R 31 Bis)","AVISO"),"—"),IF(M299&lt;&gt;"Sí","—",IF(AK299&gt;=AE299,IF(AK299=E299,"AVISO","AVISO (acumulado)"),"Acumulando")))))))</f>
        <v/>
      </c>
    </row>
    <row r="300" customFormat="false" ht="15" hidden="false" customHeight="false" outlineLevel="0" collapsed="false">
      <c r="A300" s="9" t="str">
        <f aca="false">IF(E300="","",ROW()-5)</f>
        <v/>
      </c>
      <c r="B300" s="20"/>
      <c r="C300" s="21"/>
      <c r="D300" s="21"/>
      <c r="E300" s="22"/>
      <c r="F300" s="22"/>
      <c r="G300" s="21"/>
      <c r="H300" s="21"/>
      <c r="I300" s="9" t="str">
        <f aca="false">IF(C300="","",IFERROR(INDEX(CLIENTES!$B$6:$B$305,MATCH(C300,CLIENTES!$A$6:$A$305,0)),"⚠ ID no registrado"))</f>
        <v/>
      </c>
      <c r="J300" s="9" t="str">
        <f aca="false">IF(C300="","",IFERROR(INDEX(CLIENTES!$Z$6:$Z$305,MATCH(C300,CLIENTES!$A$6:$A$305,0)),""))</f>
        <v/>
      </c>
      <c r="K300" s="9" t="str">
        <f aca="false">IF(E300="","",IF(AB300="Siempre","Sí",IF(ISNUMBER(AC300),IF(E300&gt;=AC300,"Sí",IF(AW300&gt;=AC300,"Sí (serie 24 h)","No")),"")))</f>
        <v/>
      </c>
      <c r="L300" s="9" t="str">
        <f aca="false">IF(E300="","",AA300)</f>
        <v/>
      </c>
      <c r="M300" s="9" t="str">
        <f aca="false">IF(E300="","",IF(AA300&lt;&gt;"ACUMULA","No aplica",IF(LEFT(K300,2)="Sí","Sí","No")))</f>
        <v/>
      </c>
      <c r="N300" s="23" t="str">
        <f aca="false">IF(M300="Sí",AJ300,"")</f>
        <v/>
      </c>
      <c r="O300" s="24" t="str">
        <f aca="false">IF(M300="Sí",AK300,"")</f>
        <v/>
      </c>
      <c r="P300" s="25" t="str">
        <f aca="false">IF(AND(LEFT(D300,6)="XIV - ",LEFT(AX300,5)="AVISO"),"Pedimento (R 16): no va al SPPLD",AX300)</f>
        <v/>
      </c>
      <c r="Q300" s="23" t="str">
        <f aca="false">IF(LEFT(P300,5)="AVISO",IF(ISNUMBER(B300),DATE(YEAR(B300),MONTH(B300)+1,17),"Falta fecha"),"")</f>
        <v/>
      </c>
      <c r="R300" s="9" t="str">
        <f aca="false">IF(OR(F300="",F300=0),"",IF(ISNUMBER(AG300),IF(F300&gt;=AG300,"PROHIBIDO","Dentro del límite"),"No aplica"))</f>
        <v/>
      </c>
      <c r="S300" s="26" t="str">
        <f aca="false">IF(E300="","",MID(IF(AQ300=1," · Excede el perfil declarado","")&amp;IF(H300="Sí"," · Paga un tercero","")&amp;IF(J300="Alto"," · Cliente de riesgo alto: DDR (RCG 23 Ter 3 y 4)","")&amp;IF(AND(AS300&lt;&gt;"",AS300&lt;&gt;"No",AS300&lt;&gt;0)," · PEP","")&amp;IF(R300="PROHIBIDO"," · Efectivo prohibido: no lo recibas (Art. 32)","")&amp;IF(AR300=1," · ⚠ Fecha fuera de orden","")&amp;IF(LEFT(I300,1)="⚠"," · ⚠ Cliente no registrado","")&amp;IF(D300=""," · ⚠ Falta la actividad","")&amp;IF(AND(LEFT(P300,5)="AVISO",W300="")," · Captura la cifra total con IVA para el Aviso","")&amp;IF(AND(ISNUMBER(W300),W300&lt;E300)," · ⚠ La cifra con IVA es menor que el monto sin IVA",""),4,400))</f>
        <v/>
      </c>
      <c r="T300" s="21"/>
      <c r="U300" s="20"/>
      <c r="V300" s="9" t="str">
        <f aca="false">IF(LEFT(P300,5)&lt;&gt;"AVISO","",IF(T300="Presentado",IF(AND(ISNUMBER(U300),ISNUMBER(Q300),U300&gt;Q300),"Presentado tarde","Presentado"),IF(NOT(ISNUMBER(Q300)),"Falta fecha",IF(Q300&lt;CONFIG!$B$6,"VENCIDO","Vence en "&amp;(Q300-CONFIG!$B$6)&amp;" días"))))</f>
        <v/>
      </c>
      <c r="W300" s="22"/>
      <c r="X300" s="21"/>
      <c r="AA300" s="0" t="str">
        <f aca="false">IF(AM300="","",INDEX(CATÁLOGO!$D$5:$D$39,AM300))</f>
        <v/>
      </c>
      <c r="AB300" s="0" t="str">
        <f aca="false">IF(AM300="","",INDEX(CATÁLOGO!$E$5:$E$39,AM300))</f>
        <v/>
      </c>
      <c r="AC300" s="0" t="str">
        <f aca="false">IF(AB300="","",IF(ISNUMBER(AB300),AB300*AV300,AB300))</f>
        <v/>
      </c>
      <c r="AD300" s="0" t="str">
        <f aca="false">IF(AM300="","",INDEX(CATÁLOGO!$F$5:$F$39,AM300))</f>
        <v/>
      </c>
      <c r="AE300" s="0" t="str">
        <f aca="false">IF(AD300="","",IF(ISNUMBER(AD300),AD300*AV300,AD300))</f>
        <v/>
      </c>
      <c r="AF300" s="0" t="str">
        <f aca="false">IF(AM300="","",INDEX(CATÁLOGO!$G$5:$G$39,AM300))</f>
        <v/>
      </c>
      <c r="AG300" s="0" t="str">
        <f aca="false">IF(AF300="","",IF(ISNUMBER(AF300),AF300*AV300,AF300))</f>
        <v/>
      </c>
      <c r="AH300" s="0" t="str">
        <f aca="false">IF(E300="","",C300&amp;"|"&amp;D300)</f>
        <v/>
      </c>
      <c r="AI300" s="27" t="n">
        <f aca="false">IF(M300&lt;&gt;"Sí",0,SUMPRODUCT(MAX(($AH$5:AH299=AH300)*($M$5:M299="Sí")*ROW($AH$5:AH299))))</f>
        <v>0</v>
      </c>
      <c r="AJ300" s="0" t="str">
        <f aca="false">IF(M300&lt;&gt;"Sí","",IF(AL300=1,B300,INDEX($AJ:$AJ,AI300)))</f>
        <v/>
      </c>
      <c r="AK300" s="0" t="str">
        <f aca="false">IF(M300&lt;&gt;"Sí","",IF(AL300=1,E300,INDEX($AK:$AK,AI300)+E300))</f>
        <v/>
      </c>
      <c r="AL300" s="0" t="str">
        <f aca="false">IF(M300&lt;&gt;"Sí","",IF(AI300=0,1,IF(INDEX($AN:$AN,AI300)=0,1,IF(B300&gt;=EDATE(INDEX($AJ:$AJ,AI300),6),1,0))))</f>
        <v/>
      </c>
      <c r="AM300" s="0" t="str">
        <f aca="false">IF(D300="","",IFERROR(MATCH(D300,CATÁLOGO!$C$5:$C$39,0),""))</f>
        <v/>
      </c>
      <c r="AN300" s="0" t="str">
        <f aca="false">IF(M300&lt;&gt;"Sí","",IF(AND(ISNUMBER(AE300),AK300&gt;=AE300),0,1))</f>
        <v/>
      </c>
      <c r="AO300" s="0" t="str">
        <f aca="false">IF(OR(E300="",C300="",NOT(ISNUMBER(B300))),"",SUMIFS($E$6:$E$505,$C$6:$C$505,C300,$B$6:$B$505,"&gt;="&amp;DATE(YEAR(B300),MONTH(B300),1),$B$6:$B$505,"&lt;"&amp;DATE(YEAR(B300),MONTH(B300)+1,1)))</f>
        <v/>
      </c>
      <c r="AP300" s="0" t="str">
        <f aca="false">IF(C300="","",IFERROR(INDEX(CLIENTES!$M$6:$M$305,MATCH(C300,CLIENTES!$A$6:$A$305,0)),""))</f>
        <v/>
      </c>
      <c r="AQ300" s="27" t="n">
        <f aca="false">IF(AND(ISNUMBER(AO300),ISNUMBER(AP300)),IF(AND(AP300&gt;0,AO300&gt;AP300),1,0),0)</f>
        <v>0</v>
      </c>
      <c r="AR300" s="27" t="n">
        <f aca="false">IF(NOT(ISNUMBER(B300)),0,IF(B300&lt;MAX($B$5:B299),1,0))</f>
        <v>0</v>
      </c>
      <c r="AS300" s="0" t="str">
        <f aca="false">IF(C300="","",IFERROR(INDEX(CLIENTES!$H$6:$H$305,MATCH(C300,CLIENTES!$A$6:$A$305,0)),""))</f>
        <v/>
      </c>
      <c r="AT300" s="0" t="str">
        <f aca="false">IF(AND(LEFT(P300,5)="AVISO",T300&lt;&gt;"Presentado",ISNUMBER(Q300)),Q300,"")</f>
        <v/>
      </c>
      <c r="AU300" s="27" t="n">
        <f aca="false">IF(AND(D300="XVI - Activos virtuales (PSAV): operación de intercambio/transferencia",M300="Sí",ISNUMBER(AE300)),IF(AK300&gt;=AE300,1,0),0)</f>
        <v>0</v>
      </c>
      <c r="AV300" s="30" t="n">
        <f aca="false">IF(NOT(ISNUMBER(B300)),CONFIG!$B$4,IFERROR(INDEX(CONFIG!$I$5:$I$14,MATCH(IF(MONTH(B300)=1,YEAR(B300)-1,YEAR(B300)),CONFIG!$H$5:$H$14,0)),CONFIG!$B$4))</f>
        <v>117.31</v>
      </c>
      <c r="AW300" s="27" t="n">
        <f aca="false">IF(AND(LEFT(D300,4)="I - ",ISNUMBER(B300),C300&lt;&gt;""),SUMIFS($E$6:$E$505,$C$6:$C$505,C300,$D$6:$D$505,D300,$B$6:$B$505,"&gt;"&amp;(B300-1),$B$6:$B$505,"&lt;="&amp;B300),0)</f>
        <v>0</v>
      </c>
      <c r="AX300" s="0" t="str">
        <f aca="false">IF(E300="","",IF(AD300="Siempre","AVISO (siempre)",IF(AD300="No aplica","Sin Aviso (sólo preparas: Ley 17 XI)",IF(NOT(ISNUMBER(AE300)),"",IF(AA300&lt;&gt;"ACUMULA",IF(E300&gt;=AE300,IF(AND(D300="XVI - Activos virtuales (PSAV): cobro de contraprestación (comisión) por el servicio",COUNTIFS($C$6:$C$505,C300,$B$6:$B$505,"&gt;="&amp;INT(B300),$B$6:$B$505,"&lt;"&amp;(INT(B300)+1),$AU$6:$AU$505,1)&gt;0),"En el Aviso del inciso a) (R 31 Bis)","AVISO"),"—"),IF(M300&lt;&gt;"Sí","—",IF(AK300&gt;=AE300,IF(AK300=E300,"AVISO","AVISO (acumulado)"),"Acumulando")))))))</f>
        <v/>
      </c>
    </row>
    <row r="301" customFormat="false" ht="15" hidden="false" customHeight="false" outlineLevel="0" collapsed="false">
      <c r="A301" s="9" t="str">
        <f aca="false">IF(E301="","",ROW()-5)</f>
        <v/>
      </c>
      <c r="B301" s="20"/>
      <c r="C301" s="21"/>
      <c r="D301" s="21"/>
      <c r="E301" s="22"/>
      <c r="F301" s="22"/>
      <c r="G301" s="21"/>
      <c r="H301" s="21"/>
      <c r="I301" s="9" t="str">
        <f aca="false">IF(C301="","",IFERROR(INDEX(CLIENTES!$B$6:$B$305,MATCH(C301,CLIENTES!$A$6:$A$305,0)),"⚠ ID no registrado"))</f>
        <v/>
      </c>
      <c r="J301" s="9" t="str">
        <f aca="false">IF(C301="","",IFERROR(INDEX(CLIENTES!$Z$6:$Z$305,MATCH(C301,CLIENTES!$A$6:$A$305,0)),""))</f>
        <v/>
      </c>
      <c r="K301" s="9" t="str">
        <f aca="false">IF(E301="","",IF(AB301="Siempre","Sí",IF(ISNUMBER(AC301),IF(E301&gt;=AC301,"Sí",IF(AW301&gt;=AC301,"Sí (serie 24 h)","No")),"")))</f>
        <v/>
      </c>
      <c r="L301" s="9" t="str">
        <f aca="false">IF(E301="","",AA301)</f>
        <v/>
      </c>
      <c r="M301" s="9" t="str">
        <f aca="false">IF(E301="","",IF(AA301&lt;&gt;"ACUMULA","No aplica",IF(LEFT(K301,2)="Sí","Sí","No")))</f>
        <v/>
      </c>
      <c r="N301" s="23" t="str">
        <f aca="false">IF(M301="Sí",AJ301,"")</f>
        <v/>
      </c>
      <c r="O301" s="24" t="str">
        <f aca="false">IF(M301="Sí",AK301,"")</f>
        <v/>
      </c>
      <c r="P301" s="25" t="str">
        <f aca="false">IF(AND(LEFT(D301,6)="XIV - ",LEFT(AX301,5)="AVISO"),"Pedimento (R 16): no va al SPPLD",AX301)</f>
        <v/>
      </c>
      <c r="Q301" s="23" t="str">
        <f aca="false">IF(LEFT(P301,5)="AVISO",IF(ISNUMBER(B301),DATE(YEAR(B301),MONTH(B301)+1,17),"Falta fecha"),"")</f>
        <v/>
      </c>
      <c r="R301" s="9" t="str">
        <f aca="false">IF(OR(F301="",F301=0),"",IF(ISNUMBER(AG301),IF(F301&gt;=AG301,"PROHIBIDO","Dentro del límite"),"No aplica"))</f>
        <v/>
      </c>
      <c r="S301" s="26" t="str">
        <f aca="false">IF(E301="","",MID(IF(AQ301=1," · Excede el perfil declarado","")&amp;IF(H301="Sí"," · Paga un tercero","")&amp;IF(J301="Alto"," · Cliente de riesgo alto: DDR (RCG 23 Ter 3 y 4)","")&amp;IF(AND(AS301&lt;&gt;"",AS301&lt;&gt;"No",AS301&lt;&gt;0)," · PEP","")&amp;IF(R301="PROHIBIDO"," · Efectivo prohibido: no lo recibas (Art. 32)","")&amp;IF(AR301=1," · ⚠ Fecha fuera de orden","")&amp;IF(LEFT(I301,1)="⚠"," · ⚠ Cliente no registrado","")&amp;IF(D301=""," · ⚠ Falta la actividad","")&amp;IF(AND(LEFT(P301,5)="AVISO",W301="")," · Captura la cifra total con IVA para el Aviso","")&amp;IF(AND(ISNUMBER(W301),W301&lt;E301)," · ⚠ La cifra con IVA es menor que el monto sin IVA",""),4,400))</f>
        <v/>
      </c>
      <c r="T301" s="21"/>
      <c r="U301" s="20"/>
      <c r="V301" s="9" t="str">
        <f aca="false">IF(LEFT(P301,5)&lt;&gt;"AVISO","",IF(T301="Presentado",IF(AND(ISNUMBER(U301),ISNUMBER(Q301),U301&gt;Q301),"Presentado tarde","Presentado"),IF(NOT(ISNUMBER(Q301)),"Falta fecha",IF(Q301&lt;CONFIG!$B$6,"VENCIDO","Vence en "&amp;(Q301-CONFIG!$B$6)&amp;" días"))))</f>
        <v/>
      </c>
      <c r="W301" s="22"/>
      <c r="X301" s="21"/>
      <c r="AA301" s="0" t="str">
        <f aca="false">IF(AM301="","",INDEX(CATÁLOGO!$D$5:$D$39,AM301))</f>
        <v/>
      </c>
      <c r="AB301" s="0" t="str">
        <f aca="false">IF(AM301="","",INDEX(CATÁLOGO!$E$5:$E$39,AM301))</f>
        <v/>
      </c>
      <c r="AC301" s="0" t="str">
        <f aca="false">IF(AB301="","",IF(ISNUMBER(AB301),AB301*AV301,AB301))</f>
        <v/>
      </c>
      <c r="AD301" s="0" t="str">
        <f aca="false">IF(AM301="","",INDEX(CATÁLOGO!$F$5:$F$39,AM301))</f>
        <v/>
      </c>
      <c r="AE301" s="0" t="str">
        <f aca="false">IF(AD301="","",IF(ISNUMBER(AD301),AD301*AV301,AD301))</f>
        <v/>
      </c>
      <c r="AF301" s="0" t="str">
        <f aca="false">IF(AM301="","",INDEX(CATÁLOGO!$G$5:$G$39,AM301))</f>
        <v/>
      </c>
      <c r="AG301" s="0" t="str">
        <f aca="false">IF(AF301="","",IF(ISNUMBER(AF301),AF301*AV301,AF301))</f>
        <v/>
      </c>
      <c r="AH301" s="0" t="str">
        <f aca="false">IF(E301="","",C301&amp;"|"&amp;D301)</f>
        <v/>
      </c>
      <c r="AI301" s="27" t="n">
        <f aca="false">IF(M301&lt;&gt;"Sí",0,SUMPRODUCT(MAX(($AH$5:AH300=AH301)*($M$5:M300="Sí")*ROW($AH$5:AH300))))</f>
        <v>0</v>
      </c>
      <c r="AJ301" s="0" t="str">
        <f aca="false">IF(M301&lt;&gt;"Sí","",IF(AL301=1,B301,INDEX($AJ:$AJ,AI301)))</f>
        <v/>
      </c>
      <c r="AK301" s="0" t="str">
        <f aca="false">IF(M301&lt;&gt;"Sí","",IF(AL301=1,E301,INDEX($AK:$AK,AI301)+E301))</f>
        <v/>
      </c>
      <c r="AL301" s="0" t="str">
        <f aca="false">IF(M301&lt;&gt;"Sí","",IF(AI301=0,1,IF(INDEX($AN:$AN,AI301)=0,1,IF(B301&gt;=EDATE(INDEX($AJ:$AJ,AI301),6),1,0))))</f>
        <v/>
      </c>
      <c r="AM301" s="0" t="str">
        <f aca="false">IF(D301="","",IFERROR(MATCH(D301,CATÁLOGO!$C$5:$C$39,0),""))</f>
        <v/>
      </c>
      <c r="AN301" s="0" t="str">
        <f aca="false">IF(M301&lt;&gt;"Sí","",IF(AND(ISNUMBER(AE301),AK301&gt;=AE301),0,1))</f>
        <v/>
      </c>
      <c r="AO301" s="0" t="str">
        <f aca="false">IF(OR(E301="",C301="",NOT(ISNUMBER(B301))),"",SUMIFS($E$6:$E$505,$C$6:$C$505,C301,$B$6:$B$505,"&gt;="&amp;DATE(YEAR(B301),MONTH(B301),1),$B$6:$B$505,"&lt;"&amp;DATE(YEAR(B301),MONTH(B301)+1,1)))</f>
        <v/>
      </c>
      <c r="AP301" s="0" t="str">
        <f aca="false">IF(C301="","",IFERROR(INDEX(CLIENTES!$M$6:$M$305,MATCH(C301,CLIENTES!$A$6:$A$305,0)),""))</f>
        <v/>
      </c>
      <c r="AQ301" s="27" t="n">
        <f aca="false">IF(AND(ISNUMBER(AO301),ISNUMBER(AP301)),IF(AND(AP301&gt;0,AO301&gt;AP301),1,0),0)</f>
        <v>0</v>
      </c>
      <c r="AR301" s="27" t="n">
        <f aca="false">IF(NOT(ISNUMBER(B301)),0,IF(B301&lt;MAX($B$5:B300),1,0))</f>
        <v>0</v>
      </c>
      <c r="AS301" s="0" t="str">
        <f aca="false">IF(C301="","",IFERROR(INDEX(CLIENTES!$H$6:$H$305,MATCH(C301,CLIENTES!$A$6:$A$305,0)),""))</f>
        <v/>
      </c>
      <c r="AT301" s="0" t="str">
        <f aca="false">IF(AND(LEFT(P301,5)="AVISO",T301&lt;&gt;"Presentado",ISNUMBER(Q301)),Q301,"")</f>
        <v/>
      </c>
      <c r="AU301" s="27" t="n">
        <f aca="false">IF(AND(D301="XVI - Activos virtuales (PSAV): operación de intercambio/transferencia",M301="Sí",ISNUMBER(AE301)),IF(AK301&gt;=AE301,1,0),0)</f>
        <v>0</v>
      </c>
      <c r="AV301" s="30" t="n">
        <f aca="false">IF(NOT(ISNUMBER(B301)),CONFIG!$B$4,IFERROR(INDEX(CONFIG!$I$5:$I$14,MATCH(IF(MONTH(B301)=1,YEAR(B301)-1,YEAR(B301)),CONFIG!$H$5:$H$14,0)),CONFIG!$B$4))</f>
        <v>117.31</v>
      </c>
      <c r="AW301" s="27" t="n">
        <f aca="false">IF(AND(LEFT(D301,4)="I - ",ISNUMBER(B301),C301&lt;&gt;""),SUMIFS($E$6:$E$505,$C$6:$C$505,C301,$D$6:$D$505,D301,$B$6:$B$505,"&gt;"&amp;(B301-1),$B$6:$B$505,"&lt;="&amp;B301),0)</f>
        <v>0</v>
      </c>
      <c r="AX301" s="0" t="str">
        <f aca="false">IF(E301="","",IF(AD301="Siempre","AVISO (siempre)",IF(AD301="No aplica","Sin Aviso (sólo preparas: Ley 17 XI)",IF(NOT(ISNUMBER(AE301)),"",IF(AA301&lt;&gt;"ACUMULA",IF(E301&gt;=AE301,IF(AND(D301="XVI - Activos virtuales (PSAV): cobro de contraprestación (comisión) por el servicio",COUNTIFS($C$6:$C$505,C301,$B$6:$B$505,"&gt;="&amp;INT(B301),$B$6:$B$505,"&lt;"&amp;(INT(B301)+1),$AU$6:$AU$505,1)&gt;0),"En el Aviso del inciso a) (R 31 Bis)","AVISO"),"—"),IF(M301&lt;&gt;"Sí","—",IF(AK301&gt;=AE301,IF(AK301=E301,"AVISO","AVISO (acumulado)"),"Acumulando")))))))</f>
        <v/>
      </c>
    </row>
    <row r="302" customFormat="false" ht="15" hidden="false" customHeight="false" outlineLevel="0" collapsed="false">
      <c r="A302" s="9" t="str">
        <f aca="false">IF(E302="","",ROW()-5)</f>
        <v/>
      </c>
      <c r="B302" s="20"/>
      <c r="C302" s="21"/>
      <c r="D302" s="21"/>
      <c r="E302" s="22"/>
      <c r="F302" s="22"/>
      <c r="G302" s="21"/>
      <c r="H302" s="21"/>
      <c r="I302" s="9" t="str">
        <f aca="false">IF(C302="","",IFERROR(INDEX(CLIENTES!$B$6:$B$305,MATCH(C302,CLIENTES!$A$6:$A$305,0)),"⚠ ID no registrado"))</f>
        <v/>
      </c>
      <c r="J302" s="9" t="str">
        <f aca="false">IF(C302="","",IFERROR(INDEX(CLIENTES!$Z$6:$Z$305,MATCH(C302,CLIENTES!$A$6:$A$305,0)),""))</f>
        <v/>
      </c>
      <c r="K302" s="9" t="str">
        <f aca="false">IF(E302="","",IF(AB302="Siempre","Sí",IF(ISNUMBER(AC302),IF(E302&gt;=AC302,"Sí",IF(AW302&gt;=AC302,"Sí (serie 24 h)","No")),"")))</f>
        <v/>
      </c>
      <c r="L302" s="9" t="str">
        <f aca="false">IF(E302="","",AA302)</f>
        <v/>
      </c>
      <c r="M302" s="9" t="str">
        <f aca="false">IF(E302="","",IF(AA302&lt;&gt;"ACUMULA","No aplica",IF(LEFT(K302,2)="Sí","Sí","No")))</f>
        <v/>
      </c>
      <c r="N302" s="23" t="str">
        <f aca="false">IF(M302="Sí",AJ302,"")</f>
        <v/>
      </c>
      <c r="O302" s="24" t="str">
        <f aca="false">IF(M302="Sí",AK302,"")</f>
        <v/>
      </c>
      <c r="P302" s="25" t="str">
        <f aca="false">IF(AND(LEFT(D302,6)="XIV - ",LEFT(AX302,5)="AVISO"),"Pedimento (R 16): no va al SPPLD",AX302)</f>
        <v/>
      </c>
      <c r="Q302" s="23" t="str">
        <f aca="false">IF(LEFT(P302,5)="AVISO",IF(ISNUMBER(B302),DATE(YEAR(B302),MONTH(B302)+1,17),"Falta fecha"),"")</f>
        <v/>
      </c>
      <c r="R302" s="9" t="str">
        <f aca="false">IF(OR(F302="",F302=0),"",IF(ISNUMBER(AG302),IF(F302&gt;=AG302,"PROHIBIDO","Dentro del límite"),"No aplica"))</f>
        <v/>
      </c>
      <c r="S302" s="26" t="str">
        <f aca="false">IF(E302="","",MID(IF(AQ302=1," · Excede el perfil declarado","")&amp;IF(H302="Sí"," · Paga un tercero","")&amp;IF(J302="Alto"," · Cliente de riesgo alto: DDR (RCG 23 Ter 3 y 4)","")&amp;IF(AND(AS302&lt;&gt;"",AS302&lt;&gt;"No",AS302&lt;&gt;0)," · PEP","")&amp;IF(R302="PROHIBIDO"," · Efectivo prohibido: no lo recibas (Art. 32)","")&amp;IF(AR302=1," · ⚠ Fecha fuera de orden","")&amp;IF(LEFT(I302,1)="⚠"," · ⚠ Cliente no registrado","")&amp;IF(D302=""," · ⚠ Falta la actividad","")&amp;IF(AND(LEFT(P302,5)="AVISO",W302="")," · Captura la cifra total con IVA para el Aviso","")&amp;IF(AND(ISNUMBER(W302),W302&lt;E302)," · ⚠ La cifra con IVA es menor que el monto sin IVA",""),4,400))</f>
        <v/>
      </c>
      <c r="T302" s="21"/>
      <c r="U302" s="20"/>
      <c r="V302" s="9" t="str">
        <f aca="false">IF(LEFT(P302,5)&lt;&gt;"AVISO","",IF(T302="Presentado",IF(AND(ISNUMBER(U302),ISNUMBER(Q302),U302&gt;Q302),"Presentado tarde","Presentado"),IF(NOT(ISNUMBER(Q302)),"Falta fecha",IF(Q302&lt;CONFIG!$B$6,"VENCIDO","Vence en "&amp;(Q302-CONFIG!$B$6)&amp;" días"))))</f>
        <v/>
      </c>
      <c r="W302" s="22"/>
      <c r="X302" s="21"/>
      <c r="AA302" s="0" t="str">
        <f aca="false">IF(AM302="","",INDEX(CATÁLOGO!$D$5:$D$39,AM302))</f>
        <v/>
      </c>
      <c r="AB302" s="0" t="str">
        <f aca="false">IF(AM302="","",INDEX(CATÁLOGO!$E$5:$E$39,AM302))</f>
        <v/>
      </c>
      <c r="AC302" s="0" t="str">
        <f aca="false">IF(AB302="","",IF(ISNUMBER(AB302),AB302*AV302,AB302))</f>
        <v/>
      </c>
      <c r="AD302" s="0" t="str">
        <f aca="false">IF(AM302="","",INDEX(CATÁLOGO!$F$5:$F$39,AM302))</f>
        <v/>
      </c>
      <c r="AE302" s="0" t="str">
        <f aca="false">IF(AD302="","",IF(ISNUMBER(AD302),AD302*AV302,AD302))</f>
        <v/>
      </c>
      <c r="AF302" s="0" t="str">
        <f aca="false">IF(AM302="","",INDEX(CATÁLOGO!$G$5:$G$39,AM302))</f>
        <v/>
      </c>
      <c r="AG302" s="0" t="str">
        <f aca="false">IF(AF302="","",IF(ISNUMBER(AF302),AF302*AV302,AF302))</f>
        <v/>
      </c>
      <c r="AH302" s="0" t="str">
        <f aca="false">IF(E302="","",C302&amp;"|"&amp;D302)</f>
        <v/>
      </c>
      <c r="AI302" s="27" t="n">
        <f aca="false">IF(M302&lt;&gt;"Sí",0,SUMPRODUCT(MAX(($AH$5:AH301=AH302)*($M$5:M301="Sí")*ROW($AH$5:AH301))))</f>
        <v>0</v>
      </c>
      <c r="AJ302" s="0" t="str">
        <f aca="false">IF(M302&lt;&gt;"Sí","",IF(AL302=1,B302,INDEX($AJ:$AJ,AI302)))</f>
        <v/>
      </c>
      <c r="AK302" s="0" t="str">
        <f aca="false">IF(M302&lt;&gt;"Sí","",IF(AL302=1,E302,INDEX($AK:$AK,AI302)+E302))</f>
        <v/>
      </c>
      <c r="AL302" s="0" t="str">
        <f aca="false">IF(M302&lt;&gt;"Sí","",IF(AI302=0,1,IF(INDEX($AN:$AN,AI302)=0,1,IF(B302&gt;=EDATE(INDEX($AJ:$AJ,AI302),6),1,0))))</f>
        <v/>
      </c>
      <c r="AM302" s="0" t="str">
        <f aca="false">IF(D302="","",IFERROR(MATCH(D302,CATÁLOGO!$C$5:$C$39,0),""))</f>
        <v/>
      </c>
      <c r="AN302" s="0" t="str">
        <f aca="false">IF(M302&lt;&gt;"Sí","",IF(AND(ISNUMBER(AE302),AK302&gt;=AE302),0,1))</f>
        <v/>
      </c>
      <c r="AO302" s="0" t="str">
        <f aca="false">IF(OR(E302="",C302="",NOT(ISNUMBER(B302))),"",SUMIFS($E$6:$E$505,$C$6:$C$505,C302,$B$6:$B$505,"&gt;="&amp;DATE(YEAR(B302),MONTH(B302),1),$B$6:$B$505,"&lt;"&amp;DATE(YEAR(B302),MONTH(B302)+1,1)))</f>
        <v/>
      </c>
      <c r="AP302" s="0" t="str">
        <f aca="false">IF(C302="","",IFERROR(INDEX(CLIENTES!$M$6:$M$305,MATCH(C302,CLIENTES!$A$6:$A$305,0)),""))</f>
        <v/>
      </c>
      <c r="AQ302" s="27" t="n">
        <f aca="false">IF(AND(ISNUMBER(AO302),ISNUMBER(AP302)),IF(AND(AP302&gt;0,AO302&gt;AP302),1,0),0)</f>
        <v>0</v>
      </c>
      <c r="AR302" s="27" t="n">
        <f aca="false">IF(NOT(ISNUMBER(B302)),0,IF(B302&lt;MAX($B$5:B301),1,0))</f>
        <v>0</v>
      </c>
      <c r="AS302" s="0" t="str">
        <f aca="false">IF(C302="","",IFERROR(INDEX(CLIENTES!$H$6:$H$305,MATCH(C302,CLIENTES!$A$6:$A$305,0)),""))</f>
        <v/>
      </c>
      <c r="AT302" s="0" t="str">
        <f aca="false">IF(AND(LEFT(P302,5)="AVISO",T302&lt;&gt;"Presentado",ISNUMBER(Q302)),Q302,"")</f>
        <v/>
      </c>
      <c r="AU302" s="27" t="n">
        <f aca="false">IF(AND(D302="XVI - Activos virtuales (PSAV): operación de intercambio/transferencia",M302="Sí",ISNUMBER(AE302)),IF(AK302&gt;=AE302,1,0),0)</f>
        <v>0</v>
      </c>
      <c r="AV302" s="30" t="n">
        <f aca="false">IF(NOT(ISNUMBER(B302)),CONFIG!$B$4,IFERROR(INDEX(CONFIG!$I$5:$I$14,MATCH(IF(MONTH(B302)=1,YEAR(B302)-1,YEAR(B302)),CONFIG!$H$5:$H$14,0)),CONFIG!$B$4))</f>
        <v>117.31</v>
      </c>
      <c r="AW302" s="27" t="n">
        <f aca="false">IF(AND(LEFT(D302,4)="I - ",ISNUMBER(B302),C302&lt;&gt;""),SUMIFS($E$6:$E$505,$C$6:$C$505,C302,$D$6:$D$505,D302,$B$6:$B$505,"&gt;"&amp;(B302-1),$B$6:$B$505,"&lt;="&amp;B302),0)</f>
        <v>0</v>
      </c>
      <c r="AX302" s="0" t="str">
        <f aca="false">IF(E302="","",IF(AD302="Siempre","AVISO (siempre)",IF(AD302="No aplica","Sin Aviso (sólo preparas: Ley 17 XI)",IF(NOT(ISNUMBER(AE302)),"",IF(AA302&lt;&gt;"ACUMULA",IF(E302&gt;=AE302,IF(AND(D302="XVI - Activos virtuales (PSAV): cobro de contraprestación (comisión) por el servicio",COUNTIFS($C$6:$C$505,C302,$B$6:$B$505,"&gt;="&amp;INT(B302),$B$6:$B$505,"&lt;"&amp;(INT(B302)+1),$AU$6:$AU$505,1)&gt;0),"En el Aviso del inciso a) (R 31 Bis)","AVISO"),"—"),IF(M302&lt;&gt;"Sí","—",IF(AK302&gt;=AE302,IF(AK302=E302,"AVISO","AVISO (acumulado)"),"Acumulando")))))))</f>
        <v/>
      </c>
    </row>
    <row r="303" customFormat="false" ht="15" hidden="false" customHeight="false" outlineLevel="0" collapsed="false">
      <c r="A303" s="9" t="str">
        <f aca="false">IF(E303="","",ROW()-5)</f>
        <v/>
      </c>
      <c r="B303" s="20"/>
      <c r="C303" s="21"/>
      <c r="D303" s="21"/>
      <c r="E303" s="22"/>
      <c r="F303" s="22"/>
      <c r="G303" s="21"/>
      <c r="H303" s="21"/>
      <c r="I303" s="9" t="str">
        <f aca="false">IF(C303="","",IFERROR(INDEX(CLIENTES!$B$6:$B$305,MATCH(C303,CLIENTES!$A$6:$A$305,0)),"⚠ ID no registrado"))</f>
        <v/>
      </c>
      <c r="J303" s="9" t="str">
        <f aca="false">IF(C303="","",IFERROR(INDEX(CLIENTES!$Z$6:$Z$305,MATCH(C303,CLIENTES!$A$6:$A$305,0)),""))</f>
        <v/>
      </c>
      <c r="K303" s="9" t="str">
        <f aca="false">IF(E303="","",IF(AB303="Siempre","Sí",IF(ISNUMBER(AC303),IF(E303&gt;=AC303,"Sí",IF(AW303&gt;=AC303,"Sí (serie 24 h)","No")),"")))</f>
        <v/>
      </c>
      <c r="L303" s="9" t="str">
        <f aca="false">IF(E303="","",AA303)</f>
        <v/>
      </c>
      <c r="M303" s="9" t="str">
        <f aca="false">IF(E303="","",IF(AA303&lt;&gt;"ACUMULA","No aplica",IF(LEFT(K303,2)="Sí","Sí","No")))</f>
        <v/>
      </c>
      <c r="N303" s="23" t="str">
        <f aca="false">IF(M303="Sí",AJ303,"")</f>
        <v/>
      </c>
      <c r="O303" s="24" t="str">
        <f aca="false">IF(M303="Sí",AK303,"")</f>
        <v/>
      </c>
      <c r="P303" s="25" t="str">
        <f aca="false">IF(AND(LEFT(D303,6)="XIV - ",LEFT(AX303,5)="AVISO"),"Pedimento (R 16): no va al SPPLD",AX303)</f>
        <v/>
      </c>
      <c r="Q303" s="23" t="str">
        <f aca="false">IF(LEFT(P303,5)="AVISO",IF(ISNUMBER(B303),DATE(YEAR(B303),MONTH(B303)+1,17),"Falta fecha"),"")</f>
        <v/>
      </c>
      <c r="R303" s="9" t="str">
        <f aca="false">IF(OR(F303="",F303=0),"",IF(ISNUMBER(AG303),IF(F303&gt;=AG303,"PROHIBIDO","Dentro del límite"),"No aplica"))</f>
        <v/>
      </c>
      <c r="S303" s="26" t="str">
        <f aca="false">IF(E303="","",MID(IF(AQ303=1," · Excede el perfil declarado","")&amp;IF(H303="Sí"," · Paga un tercero","")&amp;IF(J303="Alto"," · Cliente de riesgo alto: DDR (RCG 23 Ter 3 y 4)","")&amp;IF(AND(AS303&lt;&gt;"",AS303&lt;&gt;"No",AS303&lt;&gt;0)," · PEP","")&amp;IF(R303="PROHIBIDO"," · Efectivo prohibido: no lo recibas (Art. 32)","")&amp;IF(AR303=1," · ⚠ Fecha fuera de orden","")&amp;IF(LEFT(I303,1)="⚠"," · ⚠ Cliente no registrado","")&amp;IF(D303=""," · ⚠ Falta la actividad","")&amp;IF(AND(LEFT(P303,5)="AVISO",W303="")," · Captura la cifra total con IVA para el Aviso","")&amp;IF(AND(ISNUMBER(W303),W303&lt;E303)," · ⚠ La cifra con IVA es menor que el monto sin IVA",""),4,400))</f>
        <v/>
      </c>
      <c r="T303" s="21"/>
      <c r="U303" s="20"/>
      <c r="V303" s="9" t="str">
        <f aca="false">IF(LEFT(P303,5)&lt;&gt;"AVISO","",IF(T303="Presentado",IF(AND(ISNUMBER(U303),ISNUMBER(Q303),U303&gt;Q303),"Presentado tarde","Presentado"),IF(NOT(ISNUMBER(Q303)),"Falta fecha",IF(Q303&lt;CONFIG!$B$6,"VENCIDO","Vence en "&amp;(Q303-CONFIG!$B$6)&amp;" días"))))</f>
        <v/>
      </c>
      <c r="W303" s="22"/>
      <c r="X303" s="21"/>
      <c r="AA303" s="0" t="str">
        <f aca="false">IF(AM303="","",INDEX(CATÁLOGO!$D$5:$D$39,AM303))</f>
        <v/>
      </c>
      <c r="AB303" s="0" t="str">
        <f aca="false">IF(AM303="","",INDEX(CATÁLOGO!$E$5:$E$39,AM303))</f>
        <v/>
      </c>
      <c r="AC303" s="0" t="str">
        <f aca="false">IF(AB303="","",IF(ISNUMBER(AB303),AB303*AV303,AB303))</f>
        <v/>
      </c>
      <c r="AD303" s="0" t="str">
        <f aca="false">IF(AM303="","",INDEX(CATÁLOGO!$F$5:$F$39,AM303))</f>
        <v/>
      </c>
      <c r="AE303" s="0" t="str">
        <f aca="false">IF(AD303="","",IF(ISNUMBER(AD303),AD303*AV303,AD303))</f>
        <v/>
      </c>
      <c r="AF303" s="0" t="str">
        <f aca="false">IF(AM303="","",INDEX(CATÁLOGO!$G$5:$G$39,AM303))</f>
        <v/>
      </c>
      <c r="AG303" s="0" t="str">
        <f aca="false">IF(AF303="","",IF(ISNUMBER(AF303),AF303*AV303,AF303))</f>
        <v/>
      </c>
      <c r="AH303" s="0" t="str">
        <f aca="false">IF(E303="","",C303&amp;"|"&amp;D303)</f>
        <v/>
      </c>
      <c r="AI303" s="27" t="n">
        <f aca="false">IF(M303&lt;&gt;"Sí",0,SUMPRODUCT(MAX(($AH$5:AH302=AH303)*($M$5:M302="Sí")*ROW($AH$5:AH302))))</f>
        <v>0</v>
      </c>
      <c r="AJ303" s="0" t="str">
        <f aca="false">IF(M303&lt;&gt;"Sí","",IF(AL303=1,B303,INDEX($AJ:$AJ,AI303)))</f>
        <v/>
      </c>
      <c r="AK303" s="0" t="str">
        <f aca="false">IF(M303&lt;&gt;"Sí","",IF(AL303=1,E303,INDEX($AK:$AK,AI303)+E303))</f>
        <v/>
      </c>
      <c r="AL303" s="0" t="str">
        <f aca="false">IF(M303&lt;&gt;"Sí","",IF(AI303=0,1,IF(INDEX($AN:$AN,AI303)=0,1,IF(B303&gt;=EDATE(INDEX($AJ:$AJ,AI303),6),1,0))))</f>
        <v/>
      </c>
      <c r="AM303" s="0" t="str">
        <f aca="false">IF(D303="","",IFERROR(MATCH(D303,CATÁLOGO!$C$5:$C$39,0),""))</f>
        <v/>
      </c>
      <c r="AN303" s="0" t="str">
        <f aca="false">IF(M303&lt;&gt;"Sí","",IF(AND(ISNUMBER(AE303),AK303&gt;=AE303),0,1))</f>
        <v/>
      </c>
      <c r="AO303" s="0" t="str">
        <f aca="false">IF(OR(E303="",C303="",NOT(ISNUMBER(B303))),"",SUMIFS($E$6:$E$505,$C$6:$C$505,C303,$B$6:$B$505,"&gt;="&amp;DATE(YEAR(B303),MONTH(B303),1),$B$6:$B$505,"&lt;"&amp;DATE(YEAR(B303),MONTH(B303)+1,1)))</f>
        <v/>
      </c>
      <c r="AP303" s="0" t="str">
        <f aca="false">IF(C303="","",IFERROR(INDEX(CLIENTES!$M$6:$M$305,MATCH(C303,CLIENTES!$A$6:$A$305,0)),""))</f>
        <v/>
      </c>
      <c r="AQ303" s="27" t="n">
        <f aca="false">IF(AND(ISNUMBER(AO303),ISNUMBER(AP303)),IF(AND(AP303&gt;0,AO303&gt;AP303),1,0),0)</f>
        <v>0</v>
      </c>
      <c r="AR303" s="27" t="n">
        <f aca="false">IF(NOT(ISNUMBER(B303)),0,IF(B303&lt;MAX($B$5:B302),1,0))</f>
        <v>0</v>
      </c>
      <c r="AS303" s="0" t="str">
        <f aca="false">IF(C303="","",IFERROR(INDEX(CLIENTES!$H$6:$H$305,MATCH(C303,CLIENTES!$A$6:$A$305,0)),""))</f>
        <v/>
      </c>
      <c r="AT303" s="0" t="str">
        <f aca="false">IF(AND(LEFT(P303,5)="AVISO",T303&lt;&gt;"Presentado",ISNUMBER(Q303)),Q303,"")</f>
        <v/>
      </c>
      <c r="AU303" s="27" t="n">
        <f aca="false">IF(AND(D303="XVI - Activos virtuales (PSAV): operación de intercambio/transferencia",M303="Sí",ISNUMBER(AE303)),IF(AK303&gt;=AE303,1,0),0)</f>
        <v>0</v>
      </c>
      <c r="AV303" s="30" t="n">
        <f aca="false">IF(NOT(ISNUMBER(B303)),CONFIG!$B$4,IFERROR(INDEX(CONFIG!$I$5:$I$14,MATCH(IF(MONTH(B303)=1,YEAR(B303)-1,YEAR(B303)),CONFIG!$H$5:$H$14,0)),CONFIG!$B$4))</f>
        <v>117.31</v>
      </c>
      <c r="AW303" s="27" t="n">
        <f aca="false">IF(AND(LEFT(D303,4)="I - ",ISNUMBER(B303),C303&lt;&gt;""),SUMIFS($E$6:$E$505,$C$6:$C$505,C303,$D$6:$D$505,D303,$B$6:$B$505,"&gt;"&amp;(B303-1),$B$6:$B$505,"&lt;="&amp;B303),0)</f>
        <v>0</v>
      </c>
      <c r="AX303" s="0" t="str">
        <f aca="false">IF(E303="","",IF(AD303="Siempre","AVISO (siempre)",IF(AD303="No aplica","Sin Aviso (sólo preparas: Ley 17 XI)",IF(NOT(ISNUMBER(AE303)),"",IF(AA303&lt;&gt;"ACUMULA",IF(E303&gt;=AE303,IF(AND(D303="XVI - Activos virtuales (PSAV): cobro de contraprestación (comisión) por el servicio",COUNTIFS($C$6:$C$505,C303,$B$6:$B$505,"&gt;="&amp;INT(B303),$B$6:$B$505,"&lt;"&amp;(INT(B303)+1),$AU$6:$AU$505,1)&gt;0),"En el Aviso del inciso a) (R 31 Bis)","AVISO"),"—"),IF(M303&lt;&gt;"Sí","—",IF(AK303&gt;=AE303,IF(AK303=E303,"AVISO","AVISO (acumulado)"),"Acumulando")))))))</f>
        <v/>
      </c>
    </row>
    <row r="304" customFormat="false" ht="15" hidden="false" customHeight="false" outlineLevel="0" collapsed="false">
      <c r="A304" s="9" t="str">
        <f aca="false">IF(E304="","",ROW()-5)</f>
        <v/>
      </c>
      <c r="B304" s="20"/>
      <c r="C304" s="21"/>
      <c r="D304" s="21"/>
      <c r="E304" s="22"/>
      <c r="F304" s="22"/>
      <c r="G304" s="21"/>
      <c r="H304" s="21"/>
      <c r="I304" s="9" t="str">
        <f aca="false">IF(C304="","",IFERROR(INDEX(CLIENTES!$B$6:$B$305,MATCH(C304,CLIENTES!$A$6:$A$305,0)),"⚠ ID no registrado"))</f>
        <v/>
      </c>
      <c r="J304" s="9" t="str">
        <f aca="false">IF(C304="","",IFERROR(INDEX(CLIENTES!$Z$6:$Z$305,MATCH(C304,CLIENTES!$A$6:$A$305,0)),""))</f>
        <v/>
      </c>
      <c r="K304" s="9" t="str">
        <f aca="false">IF(E304="","",IF(AB304="Siempre","Sí",IF(ISNUMBER(AC304),IF(E304&gt;=AC304,"Sí",IF(AW304&gt;=AC304,"Sí (serie 24 h)","No")),"")))</f>
        <v/>
      </c>
      <c r="L304" s="9" t="str">
        <f aca="false">IF(E304="","",AA304)</f>
        <v/>
      </c>
      <c r="M304" s="9" t="str">
        <f aca="false">IF(E304="","",IF(AA304&lt;&gt;"ACUMULA","No aplica",IF(LEFT(K304,2)="Sí","Sí","No")))</f>
        <v/>
      </c>
      <c r="N304" s="23" t="str">
        <f aca="false">IF(M304="Sí",AJ304,"")</f>
        <v/>
      </c>
      <c r="O304" s="24" t="str">
        <f aca="false">IF(M304="Sí",AK304,"")</f>
        <v/>
      </c>
      <c r="P304" s="25" t="str">
        <f aca="false">IF(AND(LEFT(D304,6)="XIV - ",LEFT(AX304,5)="AVISO"),"Pedimento (R 16): no va al SPPLD",AX304)</f>
        <v/>
      </c>
      <c r="Q304" s="23" t="str">
        <f aca="false">IF(LEFT(P304,5)="AVISO",IF(ISNUMBER(B304),DATE(YEAR(B304),MONTH(B304)+1,17),"Falta fecha"),"")</f>
        <v/>
      </c>
      <c r="R304" s="9" t="str">
        <f aca="false">IF(OR(F304="",F304=0),"",IF(ISNUMBER(AG304),IF(F304&gt;=AG304,"PROHIBIDO","Dentro del límite"),"No aplica"))</f>
        <v/>
      </c>
      <c r="S304" s="26" t="str">
        <f aca="false">IF(E304="","",MID(IF(AQ304=1," · Excede el perfil declarado","")&amp;IF(H304="Sí"," · Paga un tercero","")&amp;IF(J304="Alto"," · Cliente de riesgo alto: DDR (RCG 23 Ter 3 y 4)","")&amp;IF(AND(AS304&lt;&gt;"",AS304&lt;&gt;"No",AS304&lt;&gt;0)," · PEP","")&amp;IF(R304="PROHIBIDO"," · Efectivo prohibido: no lo recibas (Art. 32)","")&amp;IF(AR304=1," · ⚠ Fecha fuera de orden","")&amp;IF(LEFT(I304,1)="⚠"," · ⚠ Cliente no registrado","")&amp;IF(D304=""," · ⚠ Falta la actividad","")&amp;IF(AND(LEFT(P304,5)="AVISO",W304="")," · Captura la cifra total con IVA para el Aviso","")&amp;IF(AND(ISNUMBER(W304),W304&lt;E304)," · ⚠ La cifra con IVA es menor que el monto sin IVA",""),4,400))</f>
        <v/>
      </c>
      <c r="T304" s="21"/>
      <c r="U304" s="20"/>
      <c r="V304" s="9" t="str">
        <f aca="false">IF(LEFT(P304,5)&lt;&gt;"AVISO","",IF(T304="Presentado",IF(AND(ISNUMBER(U304),ISNUMBER(Q304),U304&gt;Q304),"Presentado tarde","Presentado"),IF(NOT(ISNUMBER(Q304)),"Falta fecha",IF(Q304&lt;CONFIG!$B$6,"VENCIDO","Vence en "&amp;(Q304-CONFIG!$B$6)&amp;" días"))))</f>
        <v/>
      </c>
      <c r="W304" s="22"/>
      <c r="X304" s="21"/>
      <c r="AA304" s="0" t="str">
        <f aca="false">IF(AM304="","",INDEX(CATÁLOGO!$D$5:$D$39,AM304))</f>
        <v/>
      </c>
      <c r="AB304" s="0" t="str">
        <f aca="false">IF(AM304="","",INDEX(CATÁLOGO!$E$5:$E$39,AM304))</f>
        <v/>
      </c>
      <c r="AC304" s="0" t="str">
        <f aca="false">IF(AB304="","",IF(ISNUMBER(AB304),AB304*AV304,AB304))</f>
        <v/>
      </c>
      <c r="AD304" s="0" t="str">
        <f aca="false">IF(AM304="","",INDEX(CATÁLOGO!$F$5:$F$39,AM304))</f>
        <v/>
      </c>
      <c r="AE304" s="0" t="str">
        <f aca="false">IF(AD304="","",IF(ISNUMBER(AD304),AD304*AV304,AD304))</f>
        <v/>
      </c>
      <c r="AF304" s="0" t="str">
        <f aca="false">IF(AM304="","",INDEX(CATÁLOGO!$G$5:$G$39,AM304))</f>
        <v/>
      </c>
      <c r="AG304" s="0" t="str">
        <f aca="false">IF(AF304="","",IF(ISNUMBER(AF304),AF304*AV304,AF304))</f>
        <v/>
      </c>
      <c r="AH304" s="0" t="str">
        <f aca="false">IF(E304="","",C304&amp;"|"&amp;D304)</f>
        <v/>
      </c>
      <c r="AI304" s="27" t="n">
        <f aca="false">IF(M304&lt;&gt;"Sí",0,SUMPRODUCT(MAX(($AH$5:AH303=AH304)*($M$5:M303="Sí")*ROW($AH$5:AH303))))</f>
        <v>0</v>
      </c>
      <c r="AJ304" s="0" t="str">
        <f aca="false">IF(M304&lt;&gt;"Sí","",IF(AL304=1,B304,INDEX($AJ:$AJ,AI304)))</f>
        <v/>
      </c>
      <c r="AK304" s="0" t="str">
        <f aca="false">IF(M304&lt;&gt;"Sí","",IF(AL304=1,E304,INDEX($AK:$AK,AI304)+E304))</f>
        <v/>
      </c>
      <c r="AL304" s="0" t="str">
        <f aca="false">IF(M304&lt;&gt;"Sí","",IF(AI304=0,1,IF(INDEX($AN:$AN,AI304)=0,1,IF(B304&gt;=EDATE(INDEX($AJ:$AJ,AI304),6),1,0))))</f>
        <v/>
      </c>
      <c r="AM304" s="0" t="str">
        <f aca="false">IF(D304="","",IFERROR(MATCH(D304,CATÁLOGO!$C$5:$C$39,0),""))</f>
        <v/>
      </c>
      <c r="AN304" s="0" t="str">
        <f aca="false">IF(M304&lt;&gt;"Sí","",IF(AND(ISNUMBER(AE304),AK304&gt;=AE304),0,1))</f>
        <v/>
      </c>
      <c r="AO304" s="0" t="str">
        <f aca="false">IF(OR(E304="",C304="",NOT(ISNUMBER(B304))),"",SUMIFS($E$6:$E$505,$C$6:$C$505,C304,$B$6:$B$505,"&gt;="&amp;DATE(YEAR(B304),MONTH(B304),1),$B$6:$B$505,"&lt;"&amp;DATE(YEAR(B304),MONTH(B304)+1,1)))</f>
        <v/>
      </c>
      <c r="AP304" s="0" t="str">
        <f aca="false">IF(C304="","",IFERROR(INDEX(CLIENTES!$M$6:$M$305,MATCH(C304,CLIENTES!$A$6:$A$305,0)),""))</f>
        <v/>
      </c>
      <c r="AQ304" s="27" t="n">
        <f aca="false">IF(AND(ISNUMBER(AO304),ISNUMBER(AP304)),IF(AND(AP304&gt;0,AO304&gt;AP304),1,0),0)</f>
        <v>0</v>
      </c>
      <c r="AR304" s="27" t="n">
        <f aca="false">IF(NOT(ISNUMBER(B304)),0,IF(B304&lt;MAX($B$5:B303),1,0))</f>
        <v>0</v>
      </c>
      <c r="AS304" s="0" t="str">
        <f aca="false">IF(C304="","",IFERROR(INDEX(CLIENTES!$H$6:$H$305,MATCH(C304,CLIENTES!$A$6:$A$305,0)),""))</f>
        <v/>
      </c>
      <c r="AT304" s="0" t="str">
        <f aca="false">IF(AND(LEFT(P304,5)="AVISO",T304&lt;&gt;"Presentado",ISNUMBER(Q304)),Q304,"")</f>
        <v/>
      </c>
      <c r="AU304" s="27" t="n">
        <f aca="false">IF(AND(D304="XVI - Activos virtuales (PSAV): operación de intercambio/transferencia",M304="Sí",ISNUMBER(AE304)),IF(AK304&gt;=AE304,1,0),0)</f>
        <v>0</v>
      </c>
      <c r="AV304" s="30" t="n">
        <f aca="false">IF(NOT(ISNUMBER(B304)),CONFIG!$B$4,IFERROR(INDEX(CONFIG!$I$5:$I$14,MATCH(IF(MONTH(B304)=1,YEAR(B304)-1,YEAR(B304)),CONFIG!$H$5:$H$14,0)),CONFIG!$B$4))</f>
        <v>117.31</v>
      </c>
      <c r="AW304" s="27" t="n">
        <f aca="false">IF(AND(LEFT(D304,4)="I - ",ISNUMBER(B304),C304&lt;&gt;""),SUMIFS($E$6:$E$505,$C$6:$C$505,C304,$D$6:$D$505,D304,$B$6:$B$505,"&gt;"&amp;(B304-1),$B$6:$B$505,"&lt;="&amp;B304),0)</f>
        <v>0</v>
      </c>
      <c r="AX304" s="0" t="str">
        <f aca="false">IF(E304="","",IF(AD304="Siempre","AVISO (siempre)",IF(AD304="No aplica","Sin Aviso (sólo preparas: Ley 17 XI)",IF(NOT(ISNUMBER(AE304)),"",IF(AA304&lt;&gt;"ACUMULA",IF(E304&gt;=AE304,IF(AND(D304="XVI - Activos virtuales (PSAV): cobro de contraprestación (comisión) por el servicio",COUNTIFS($C$6:$C$505,C304,$B$6:$B$505,"&gt;="&amp;INT(B304),$B$6:$B$505,"&lt;"&amp;(INT(B304)+1),$AU$6:$AU$505,1)&gt;0),"En el Aviso del inciso a) (R 31 Bis)","AVISO"),"—"),IF(M304&lt;&gt;"Sí","—",IF(AK304&gt;=AE304,IF(AK304=E304,"AVISO","AVISO (acumulado)"),"Acumulando")))))))</f>
        <v/>
      </c>
    </row>
    <row r="305" customFormat="false" ht="15" hidden="false" customHeight="false" outlineLevel="0" collapsed="false">
      <c r="A305" s="9" t="str">
        <f aca="false">IF(E305="","",ROW()-5)</f>
        <v/>
      </c>
      <c r="B305" s="20"/>
      <c r="C305" s="21"/>
      <c r="D305" s="21"/>
      <c r="E305" s="22"/>
      <c r="F305" s="22"/>
      <c r="G305" s="21"/>
      <c r="H305" s="21"/>
      <c r="I305" s="9" t="str">
        <f aca="false">IF(C305="","",IFERROR(INDEX(CLIENTES!$B$6:$B$305,MATCH(C305,CLIENTES!$A$6:$A$305,0)),"⚠ ID no registrado"))</f>
        <v/>
      </c>
      <c r="J305" s="9" t="str">
        <f aca="false">IF(C305="","",IFERROR(INDEX(CLIENTES!$Z$6:$Z$305,MATCH(C305,CLIENTES!$A$6:$A$305,0)),""))</f>
        <v/>
      </c>
      <c r="K305" s="9" t="str">
        <f aca="false">IF(E305="","",IF(AB305="Siempre","Sí",IF(ISNUMBER(AC305),IF(E305&gt;=AC305,"Sí",IF(AW305&gt;=AC305,"Sí (serie 24 h)","No")),"")))</f>
        <v/>
      </c>
      <c r="L305" s="9" t="str">
        <f aca="false">IF(E305="","",AA305)</f>
        <v/>
      </c>
      <c r="M305" s="9" t="str">
        <f aca="false">IF(E305="","",IF(AA305&lt;&gt;"ACUMULA","No aplica",IF(LEFT(K305,2)="Sí","Sí","No")))</f>
        <v/>
      </c>
      <c r="N305" s="23" t="str">
        <f aca="false">IF(M305="Sí",AJ305,"")</f>
        <v/>
      </c>
      <c r="O305" s="24" t="str">
        <f aca="false">IF(M305="Sí",AK305,"")</f>
        <v/>
      </c>
      <c r="P305" s="25" t="str">
        <f aca="false">IF(AND(LEFT(D305,6)="XIV - ",LEFT(AX305,5)="AVISO"),"Pedimento (R 16): no va al SPPLD",AX305)</f>
        <v/>
      </c>
      <c r="Q305" s="23" t="str">
        <f aca="false">IF(LEFT(P305,5)="AVISO",IF(ISNUMBER(B305),DATE(YEAR(B305),MONTH(B305)+1,17),"Falta fecha"),"")</f>
        <v/>
      </c>
      <c r="R305" s="9" t="str">
        <f aca="false">IF(OR(F305="",F305=0),"",IF(ISNUMBER(AG305),IF(F305&gt;=AG305,"PROHIBIDO","Dentro del límite"),"No aplica"))</f>
        <v/>
      </c>
      <c r="S305" s="26" t="str">
        <f aca="false">IF(E305="","",MID(IF(AQ305=1," · Excede el perfil declarado","")&amp;IF(H305="Sí"," · Paga un tercero","")&amp;IF(J305="Alto"," · Cliente de riesgo alto: DDR (RCG 23 Ter 3 y 4)","")&amp;IF(AND(AS305&lt;&gt;"",AS305&lt;&gt;"No",AS305&lt;&gt;0)," · PEP","")&amp;IF(R305="PROHIBIDO"," · Efectivo prohibido: no lo recibas (Art. 32)","")&amp;IF(AR305=1," · ⚠ Fecha fuera de orden","")&amp;IF(LEFT(I305,1)="⚠"," · ⚠ Cliente no registrado","")&amp;IF(D305=""," · ⚠ Falta la actividad","")&amp;IF(AND(LEFT(P305,5)="AVISO",W305="")," · Captura la cifra total con IVA para el Aviso","")&amp;IF(AND(ISNUMBER(W305),W305&lt;E305)," · ⚠ La cifra con IVA es menor que el monto sin IVA",""),4,400))</f>
        <v/>
      </c>
      <c r="T305" s="21"/>
      <c r="U305" s="20"/>
      <c r="V305" s="9" t="str">
        <f aca="false">IF(LEFT(P305,5)&lt;&gt;"AVISO","",IF(T305="Presentado",IF(AND(ISNUMBER(U305),ISNUMBER(Q305),U305&gt;Q305),"Presentado tarde","Presentado"),IF(NOT(ISNUMBER(Q305)),"Falta fecha",IF(Q305&lt;CONFIG!$B$6,"VENCIDO","Vence en "&amp;(Q305-CONFIG!$B$6)&amp;" días"))))</f>
        <v/>
      </c>
      <c r="W305" s="22"/>
      <c r="X305" s="21"/>
      <c r="AA305" s="0" t="str">
        <f aca="false">IF(AM305="","",INDEX(CATÁLOGO!$D$5:$D$39,AM305))</f>
        <v/>
      </c>
      <c r="AB305" s="0" t="str">
        <f aca="false">IF(AM305="","",INDEX(CATÁLOGO!$E$5:$E$39,AM305))</f>
        <v/>
      </c>
      <c r="AC305" s="0" t="str">
        <f aca="false">IF(AB305="","",IF(ISNUMBER(AB305),AB305*AV305,AB305))</f>
        <v/>
      </c>
      <c r="AD305" s="0" t="str">
        <f aca="false">IF(AM305="","",INDEX(CATÁLOGO!$F$5:$F$39,AM305))</f>
        <v/>
      </c>
      <c r="AE305" s="0" t="str">
        <f aca="false">IF(AD305="","",IF(ISNUMBER(AD305),AD305*AV305,AD305))</f>
        <v/>
      </c>
      <c r="AF305" s="0" t="str">
        <f aca="false">IF(AM305="","",INDEX(CATÁLOGO!$G$5:$G$39,AM305))</f>
        <v/>
      </c>
      <c r="AG305" s="0" t="str">
        <f aca="false">IF(AF305="","",IF(ISNUMBER(AF305),AF305*AV305,AF305))</f>
        <v/>
      </c>
      <c r="AH305" s="0" t="str">
        <f aca="false">IF(E305="","",C305&amp;"|"&amp;D305)</f>
        <v/>
      </c>
      <c r="AI305" s="27" t="n">
        <f aca="false">IF(M305&lt;&gt;"Sí",0,SUMPRODUCT(MAX(($AH$5:AH304=AH305)*($M$5:M304="Sí")*ROW($AH$5:AH304))))</f>
        <v>0</v>
      </c>
      <c r="AJ305" s="0" t="str">
        <f aca="false">IF(M305&lt;&gt;"Sí","",IF(AL305=1,B305,INDEX($AJ:$AJ,AI305)))</f>
        <v/>
      </c>
      <c r="AK305" s="0" t="str">
        <f aca="false">IF(M305&lt;&gt;"Sí","",IF(AL305=1,E305,INDEX($AK:$AK,AI305)+E305))</f>
        <v/>
      </c>
      <c r="AL305" s="0" t="str">
        <f aca="false">IF(M305&lt;&gt;"Sí","",IF(AI305=0,1,IF(INDEX($AN:$AN,AI305)=0,1,IF(B305&gt;=EDATE(INDEX($AJ:$AJ,AI305),6),1,0))))</f>
        <v/>
      </c>
      <c r="AM305" s="0" t="str">
        <f aca="false">IF(D305="","",IFERROR(MATCH(D305,CATÁLOGO!$C$5:$C$39,0),""))</f>
        <v/>
      </c>
      <c r="AN305" s="0" t="str">
        <f aca="false">IF(M305&lt;&gt;"Sí","",IF(AND(ISNUMBER(AE305),AK305&gt;=AE305),0,1))</f>
        <v/>
      </c>
      <c r="AO305" s="0" t="str">
        <f aca="false">IF(OR(E305="",C305="",NOT(ISNUMBER(B305))),"",SUMIFS($E$6:$E$505,$C$6:$C$505,C305,$B$6:$B$505,"&gt;="&amp;DATE(YEAR(B305),MONTH(B305),1),$B$6:$B$505,"&lt;"&amp;DATE(YEAR(B305),MONTH(B305)+1,1)))</f>
        <v/>
      </c>
      <c r="AP305" s="0" t="str">
        <f aca="false">IF(C305="","",IFERROR(INDEX(CLIENTES!$M$6:$M$305,MATCH(C305,CLIENTES!$A$6:$A$305,0)),""))</f>
        <v/>
      </c>
      <c r="AQ305" s="27" t="n">
        <f aca="false">IF(AND(ISNUMBER(AO305),ISNUMBER(AP305)),IF(AND(AP305&gt;0,AO305&gt;AP305),1,0),0)</f>
        <v>0</v>
      </c>
      <c r="AR305" s="27" t="n">
        <f aca="false">IF(NOT(ISNUMBER(B305)),0,IF(B305&lt;MAX($B$5:B304),1,0))</f>
        <v>0</v>
      </c>
      <c r="AS305" s="0" t="str">
        <f aca="false">IF(C305="","",IFERROR(INDEX(CLIENTES!$H$6:$H$305,MATCH(C305,CLIENTES!$A$6:$A$305,0)),""))</f>
        <v/>
      </c>
      <c r="AT305" s="0" t="str">
        <f aca="false">IF(AND(LEFT(P305,5)="AVISO",T305&lt;&gt;"Presentado",ISNUMBER(Q305)),Q305,"")</f>
        <v/>
      </c>
      <c r="AU305" s="27" t="n">
        <f aca="false">IF(AND(D305="XVI - Activos virtuales (PSAV): operación de intercambio/transferencia",M305="Sí",ISNUMBER(AE305)),IF(AK305&gt;=AE305,1,0),0)</f>
        <v>0</v>
      </c>
      <c r="AV305" s="30" t="n">
        <f aca="false">IF(NOT(ISNUMBER(B305)),CONFIG!$B$4,IFERROR(INDEX(CONFIG!$I$5:$I$14,MATCH(IF(MONTH(B305)=1,YEAR(B305)-1,YEAR(B305)),CONFIG!$H$5:$H$14,0)),CONFIG!$B$4))</f>
        <v>117.31</v>
      </c>
      <c r="AW305" s="27" t="n">
        <f aca="false">IF(AND(LEFT(D305,4)="I - ",ISNUMBER(B305),C305&lt;&gt;""),SUMIFS($E$6:$E$505,$C$6:$C$505,C305,$D$6:$D$505,D305,$B$6:$B$505,"&gt;"&amp;(B305-1),$B$6:$B$505,"&lt;="&amp;B305),0)</f>
        <v>0</v>
      </c>
      <c r="AX305" s="0" t="str">
        <f aca="false">IF(E305="","",IF(AD305="Siempre","AVISO (siempre)",IF(AD305="No aplica","Sin Aviso (sólo preparas: Ley 17 XI)",IF(NOT(ISNUMBER(AE305)),"",IF(AA305&lt;&gt;"ACUMULA",IF(E305&gt;=AE305,IF(AND(D305="XVI - Activos virtuales (PSAV): cobro de contraprestación (comisión) por el servicio",COUNTIFS($C$6:$C$505,C305,$B$6:$B$505,"&gt;="&amp;INT(B305),$B$6:$B$505,"&lt;"&amp;(INT(B305)+1),$AU$6:$AU$505,1)&gt;0),"En el Aviso del inciso a) (R 31 Bis)","AVISO"),"—"),IF(M305&lt;&gt;"Sí","—",IF(AK305&gt;=AE305,IF(AK305=E305,"AVISO","AVISO (acumulado)"),"Acumulando")))))))</f>
        <v/>
      </c>
    </row>
    <row r="306" customFormat="false" ht="15" hidden="false" customHeight="false" outlineLevel="0" collapsed="false">
      <c r="A306" s="9" t="str">
        <f aca="false">IF(E306="","",ROW()-5)</f>
        <v/>
      </c>
      <c r="B306" s="20"/>
      <c r="C306" s="21"/>
      <c r="D306" s="21"/>
      <c r="E306" s="22"/>
      <c r="F306" s="22"/>
      <c r="G306" s="21"/>
      <c r="H306" s="21"/>
      <c r="I306" s="9" t="str">
        <f aca="false">IF(C306="","",IFERROR(INDEX(CLIENTES!$B$6:$B$305,MATCH(C306,CLIENTES!$A$6:$A$305,0)),"⚠ ID no registrado"))</f>
        <v/>
      </c>
      <c r="J306" s="9" t="str">
        <f aca="false">IF(C306="","",IFERROR(INDEX(CLIENTES!$Z$6:$Z$305,MATCH(C306,CLIENTES!$A$6:$A$305,0)),""))</f>
        <v/>
      </c>
      <c r="K306" s="9" t="str">
        <f aca="false">IF(E306="","",IF(AB306="Siempre","Sí",IF(ISNUMBER(AC306),IF(E306&gt;=AC306,"Sí",IF(AW306&gt;=AC306,"Sí (serie 24 h)","No")),"")))</f>
        <v/>
      </c>
      <c r="L306" s="9" t="str">
        <f aca="false">IF(E306="","",AA306)</f>
        <v/>
      </c>
      <c r="M306" s="9" t="str">
        <f aca="false">IF(E306="","",IF(AA306&lt;&gt;"ACUMULA","No aplica",IF(LEFT(K306,2)="Sí","Sí","No")))</f>
        <v/>
      </c>
      <c r="N306" s="23" t="str">
        <f aca="false">IF(M306="Sí",AJ306,"")</f>
        <v/>
      </c>
      <c r="O306" s="24" t="str">
        <f aca="false">IF(M306="Sí",AK306,"")</f>
        <v/>
      </c>
      <c r="P306" s="25" t="str">
        <f aca="false">IF(AND(LEFT(D306,6)="XIV - ",LEFT(AX306,5)="AVISO"),"Pedimento (R 16): no va al SPPLD",AX306)</f>
        <v/>
      </c>
      <c r="Q306" s="23" t="str">
        <f aca="false">IF(LEFT(P306,5)="AVISO",IF(ISNUMBER(B306),DATE(YEAR(B306),MONTH(B306)+1,17),"Falta fecha"),"")</f>
        <v/>
      </c>
      <c r="R306" s="9" t="str">
        <f aca="false">IF(OR(F306="",F306=0),"",IF(ISNUMBER(AG306),IF(F306&gt;=AG306,"PROHIBIDO","Dentro del límite"),"No aplica"))</f>
        <v/>
      </c>
      <c r="S306" s="26" t="str">
        <f aca="false">IF(E306="","",MID(IF(AQ306=1," · Excede el perfil declarado","")&amp;IF(H306="Sí"," · Paga un tercero","")&amp;IF(J306="Alto"," · Cliente de riesgo alto: DDR (RCG 23 Ter 3 y 4)","")&amp;IF(AND(AS306&lt;&gt;"",AS306&lt;&gt;"No",AS306&lt;&gt;0)," · PEP","")&amp;IF(R306="PROHIBIDO"," · Efectivo prohibido: no lo recibas (Art. 32)","")&amp;IF(AR306=1," · ⚠ Fecha fuera de orden","")&amp;IF(LEFT(I306,1)="⚠"," · ⚠ Cliente no registrado","")&amp;IF(D306=""," · ⚠ Falta la actividad","")&amp;IF(AND(LEFT(P306,5)="AVISO",W306="")," · Captura la cifra total con IVA para el Aviso","")&amp;IF(AND(ISNUMBER(W306),W306&lt;E306)," · ⚠ La cifra con IVA es menor que el monto sin IVA",""),4,400))</f>
        <v/>
      </c>
      <c r="T306" s="21"/>
      <c r="U306" s="20"/>
      <c r="V306" s="9" t="str">
        <f aca="false">IF(LEFT(P306,5)&lt;&gt;"AVISO","",IF(T306="Presentado",IF(AND(ISNUMBER(U306),ISNUMBER(Q306),U306&gt;Q306),"Presentado tarde","Presentado"),IF(NOT(ISNUMBER(Q306)),"Falta fecha",IF(Q306&lt;CONFIG!$B$6,"VENCIDO","Vence en "&amp;(Q306-CONFIG!$B$6)&amp;" días"))))</f>
        <v/>
      </c>
      <c r="W306" s="22"/>
      <c r="X306" s="21"/>
      <c r="AA306" s="0" t="str">
        <f aca="false">IF(AM306="","",INDEX(CATÁLOGO!$D$5:$D$39,AM306))</f>
        <v/>
      </c>
      <c r="AB306" s="0" t="str">
        <f aca="false">IF(AM306="","",INDEX(CATÁLOGO!$E$5:$E$39,AM306))</f>
        <v/>
      </c>
      <c r="AC306" s="0" t="str">
        <f aca="false">IF(AB306="","",IF(ISNUMBER(AB306),AB306*AV306,AB306))</f>
        <v/>
      </c>
      <c r="AD306" s="0" t="str">
        <f aca="false">IF(AM306="","",INDEX(CATÁLOGO!$F$5:$F$39,AM306))</f>
        <v/>
      </c>
      <c r="AE306" s="0" t="str">
        <f aca="false">IF(AD306="","",IF(ISNUMBER(AD306),AD306*AV306,AD306))</f>
        <v/>
      </c>
      <c r="AF306" s="0" t="str">
        <f aca="false">IF(AM306="","",INDEX(CATÁLOGO!$G$5:$G$39,AM306))</f>
        <v/>
      </c>
      <c r="AG306" s="0" t="str">
        <f aca="false">IF(AF306="","",IF(ISNUMBER(AF306),AF306*AV306,AF306))</f>
        <v/>
      </c>
      <c r="AH306" s="0" t="str">
        <f aca="false">IF(E306="","",C306&amp;"|"&amp;D306)</f>
        <v/>
      </c>
      <c r="AI306" s="27" t="n">
        <f aca="false">IF(M306&lt;&gt;"Sí",0,SUMPRODUCT(MAX(($AH$5:AH305=AH306)*($M$5:M305="Sí")*ROW($AH$5:AH305))))</f>
        <v>0</v>
      </c>
      <c r="AJ306" s="0" t="str">
        <f aca="false">IF(M306&lt;&gt;"Sí","",IF(AL306=1,B306,INDEX($AJ:$AJ,AI306)))</f>
        <v/>
      </c>
      <c r="AK306" s="0" t="str">
        <f aca="false">IF(M306&lt;&gt;"Sí","",IF(AL306=1,E306,INDEX($AK:$AK,AI306)+E306))</f>
        <v/>
      </c>
      <c r="AL306" s="0" t="str">
        <f aca="false">IF(M306&lt;&gt;"Sí","",IF(AI306=0,1,IF(INDEX($AN:$AN,AI306)=0,1,IF(B306&gt;=EDATE(INDEX($AJ:$AJ,AI306),6),1,0))))</f>
        <v/>
      </c>
      <c r="AM306" s="0" t="str">
        <f aca="false">IF(D306="","",IFERROR(MATCH(D306,CATÁLOGO!$C$5:$C$39,0),""))</f>
        <v/>
      </c>
      <c r="AN306" s="0" t="str">
        <f aca="false">IF(M306&lt;&gt;"Sí","",IF(AND(ISNUMBER(AE306),AK306&gt;=AE306),0,1))</f>
        <v/>
      </c>
      <c r="AO306" s="0" t="str">
        <f aca="false">IF(OR(E306="",C306="",NOT(ISNUMBER(B306))),"",SUMIFS($E$6:$E$505,$C$6:$C$505,C306,$B$6:$B$505,"&gt;="&amp;DATE(YEAR(B306),MONTH(B306),1),$B$6:$B$505,"&lt;"&amp;DATE(YEAR(B306),MONTH(B306)+1,1)))</f>
        <v/>
      </c>
      <c r="AP306" s="0" t="str">
        <f aca="false">IF(C306="","",IFERROR(INDEX(CLIENTES!$M$6:$M$305,MATCH(C306,CLIENTES!$A$6:$A$305,0)),""))</f>
        <v/>
      </c>
      <c r="AQ306" s="27" t="n">
        <f aca="false">IF(AND(ISNUMBER(AO306),ISNUMBER(AP306)),IF(AND(AP306&gt;0,AO306&gt;AP306),1,0),0)</f>
        <v>0</v>
      </c>
      <c r="AR306" s="27" t="n">
        <f aca="false">IF(NOT(ISNUMBER(B306)),0,IF(B306&lt;MAX($B$5:B305),1,0))</f>
        <v>0</v>
      </c>
      <c r="AS306" s="0" t="str">
        <f aca="false">IF(C306="","",IFERROR(INDEX(CLIENTES!$H$6:$H$305,MATCH(C306,CLIENTES!$A$6:$A$305,0)),""))</f>
        <v/>
      </c>
      <c r="AT306" s="0" t="str">
        <f aca="false">IF(AND(LEFT(P306,5)="AVISO",T306&lt;&gt;"Presentado",ISNUMBER(Q306)),Q306,"")</f>
        <v/>
      </c>
      <c r="AU306" s="27" t="n">
        <f aca="false">IF(AND(D306="XVI - Activos virtuales (PSAV): operación de intercambio/transferencia",M306="Sí",ISNUMBER(AE306)),IF(AK306&gt;=AE306,1,0),0)</f>
        <v>0</v>
      </c>
      <c r="AV306" s="30" t="n">
        <f aca="false">IF(NOT(ISNUMBER(B306)),CONFIG!$B$4,IFERROR(INDEX(CONFIG!$I$5:$I$14,MATCH(IF(MONTH(B306)=1,YEAR(B306)-1,YEAR(B306)),CONFIG!$H$5:$H$14,0)),CONFIG!$B$4))</f>
        <v>117.31</v>
      </c>
      <c r="AW306" s="27" t="n">
        <f aca="false">IF(AND(LEFT(D306,4)="I - ",ISNUMBER(B306),C306&lt;&gt;""),SUMIFS($E$6:$E$505,$C$6:$C$505,C306,$D$6:$D$505,D306,$B$6:$B$505,"&gt;"&amp;(B306-1),$B$6:$B$505,"&lt;="&amp;B306),0)</f>
        <v>0</v>
      </c>
      <c r="AX306" s="0" t="str">
        <f aca="false">IF(E306="","",IF(AD306="Siempre","AVISO (siempre)",IF(AD306="No aplica","Sin Aviso (sólo preparas: Ley 17 XI)",IF(NOT(ISNUMBER(AE306)),"",IF(AA306&lt;&gt;"ACUMULA",IF(E306&gt;=AE306,IF(AND(D306="XVI - Activos virtuales (PSAV): cobro de contraprestación (comisión) por el servicio",COUNTIFS($C$6:$C$505,C306,$B$6:$B$505,"&gt;="&amp;INT(B306),$B$6:$B$505,"&lt;"&amp;(INT(B306)+1),$AU$6:$AU$505,1)&gt;0),"En el Aviso del inciso a) (R 31 Bis)","AVISO"),"—"),IF(M306&lt;&gt;"Sí","—",IF(AK306&gt;=AE306,IF(AK306=E306,"AVISO","AVISO (acumulado)"),"Acumulando")))))))</f>
        <v/>
      </c>
    </row>
    <row r="307" customFormat="false" ht="15" hidden="false" customHeight="false" outlineLevel="0" collapsed="false">
      <c r="A307" s="9" t="str">
        <f aca="false">IF(E307="","",ROW()-5)</f>
        <v/>
      </c>
      <c r="B307" s="20"/>
      <c r="C307" s="21"/>
      <c r="D307" s="21"/>
      <c r="E307" s="22"/>
      <c r="F307" s="22"/>
      <c r="G307" s="21"/>
      <c r="H307" s="21"/>
      <c r="I307" s="9" t="str">
        <f aca="false">IF(C307="","",IFERROR(INDEX(CLIENTES!$B$6:$B$305,MATCH(C307,CLIENTES!$A$6:$A$305,0)),"⚠ ID no registrado"))</f>
        <v/>
      </c>
      <c r="J307" s="9" t="str">
        <f aca="false">IF(C307="","",IFERROR(INDEX(CLIENTES!$Z$6:$Z$305,MATCH(C307,CLIENTES!$A$6:$A$305,0)),""))</f>
        <v/>
      </c>
      <c r="K307" s="9" t="str">
        <f aca="false">IF(E307="","",IF(AB307="Siempre","Sí",IF(ISNUMBER(AC307),IF(E307&gt;=AC307,"Sí",IF(AW307&gt;=AC307,"Sí (serie 24 h)","No")),"")))</f>
        <v/>
      </c>
      <c r="L307" s="9" t="str">
        <f aca="false">IF(E307="","",AA307)</f>
        <v/>
      </c>
      <c r="M307" s="9" t="str">
        <f aca="false">IF(E307="","",IF(AA307&lt;&gt;"ACUMULA","No aplica",IF(LEFT(K307,2)="Sí","Sí","No")))</f>
        <v/>
      </c>
      <c r="N307" s="23" t="str">
        <f aca="false">IF(M307="Sí",AJ307,"")</f>
        <v/>
      </c>
      <c r="O307" s="24" t="str">
        <f aca="false">IF(M307="Sí",AK307,"")</f>
        <v/>
      </c>
      <c r="P307" s="25" t="str">
        <f aca="false">IF(AND(LEFT(D307,6)="XIV - ",LEFT(AX307,5)="AVISO"),"Pedimento (R 16): no va al SPPLD",AX307)</f>
        <v/>
      </c>
      <c r="Q307" s="23" t="str">
        <f aca="false">IF(LEFT(P307,5)="AVISO",IF(ISNUMBER(B307),DATE(YEAR(B307),MONTH(B307)+1,17),"Falta fecha"),"")</f>
        <v/>
      </c>
      <c r="R307" s="9" t="str">
        <f aca="false">IF(OR(F307="",F307=0),"",IF(ISNUMBER(AG307),IF(F307&gt;=AG307,"PROHIBIDO","Dentro del límite"),"No aplica"))</f>
        <v/>
      </c>
      <c r="S307" s="26" t="str">
        <f aca="false">IF(E307="","",MID(IF(AQ307=1," · Excede el perfil declarado","")&amp;IF(H307="Sí"," · Paga un tercero","")&amp;IF(J307="Alto"," · Cliente de riesgo alto: DDR (RCG 23 Ter 3 y 4)","")&amp;IF(AND(AS307&lt;&gt;"",AS307&lt;&gt;"No",AS307&lt;&gt;0)," · PEP","")&amp;IF(R307="PROHIBIDO"," · Efectivo prohibido: no lo recibas (Art. 32)","")&amp;IF(AR307=1," · ⚠ Fecha fuera de orden","")&amp;IF(LEFT(I307,1)="⚠"," · ⚠ Cliente no registrado","")&amp;IF(D307=""," · ⚠ Falta la actividad","")&amp;IF(AND(LEFT(P307,5)="AVISO",W307="")," · Captura la cifra total con IVA para el Aviso","")&amp;IF(AND(ISNUMBER(W307),W307&lt;E307)," · ⚠ La cifra con IVA es menor que el monto sin IVA",""),4,400))</f>
        <v/>
      </c>
      <c r="T307" s="21"/>
      <c r="U307" s="20"/>
      <c r="V307" s="9" t="str">
        <f aca="false">IF(LEFT(P307,5)&lt;&gt;"AVISO","",IF(T307="Presentado",IF(AND(ISNUMBER(U307),ISNUMBER(Q307),U307&gt;Q307),"Presentado tarde","Presentado"),IF(NOT(ISNUMBER(Q307)),"Falta fecha",IF(Q307&lt;CONFIG!$B$6,"VENCIDO","Vence en "&amp;(Q307-CONFIG!$B$6)&amp;" días"))))</f>
        <v/>
      </c>
      <c r="W307" s="22"/>
      <c r="X307" s="21"/>
      <c r="AA307" s="0" t="str">
        <f aca="false">IF(AM307="","",INDEX(CATÁLOGO!$D$5:$D$39,AM307))</f>
        <v/>
      </c>
      <c r="AB307" s="0" t="str">
        <f aca="false">IF(AM307="","",INDEX(CATÁLOGO!$E$5:$E$39,AM307))</f>
        <v/>
      </c>
      <c r="AC307" s="0" t="str">
        <f aca="false">IF(AB307="","",IF(ISNUMBER(AB307),AB307*AV307,AB307))</f>
        <v/>
      </c>
      <c r="AD307" s="0" t="str">
        <f aca="false">IF(AM307="","",INDEX(CATÁLOGO!$F$5:$F$39,AM307))</f>
        <v/>
      </c>
      <c r="AE307" s="0" t="str">
        <f aca="false">IF(AD307="","",IF(ISNUMBER(AD307),AD307*AV307,AD307))</f>
        <v/>
      </c>
      <c r="AF307" s="0" t="str">
        <f aca="false">IF(AM307="","",INDEX(CATÁLOGO!$G$5:$G$39,AM307))</f>
        <v/>
      </c>
      <c r="AG307" s="0" t="str">
        <f aca="false">IF(AF307="","",IF(ISNUMBER(AF307),AF307*AV307,AF307))</f>
        <v/>
      </c>
      <c r="AH307" s="0" t="str">
        <f aca="false">IF(E307="","",C307&amp;"|"&amp;D307)</f>
        <v/>
      </c>
      <c r="AI307" s="27" t="n">
        <f aca="false">IF(M307&lt;&gt;"Sí",0,SUMPRODUCT(MAX(($AH$5:AH306=AH307)*($M$5:M306="Sí")*ROW($AH$5:AH306))))</f>
        <v>0</v>
      </c>
      <c r="AJ307" s="0" t="str">
        <f aca="false">IF(M307&lt;&gt;"Sí","",IF(AL307=1,B307,INDEX($AJ:$AJ,AI307)))</f>
        <v/>
      </c>
      <c r="AK307" s="0" t="str">
        <f aca="false">IF(M307&lt;&gt;"Sí","",IF(AL307=1,E307,INDEX($AK:$AK,AI307)+E307))</f>
        <v/>
      </c>
      <c r="AL307" s="0" t="str">
        <f aca="false">IF(M307&lt;&gt;"Sí","",IF(AI307=0,1,IF(INDEX($AN:$AN,AI307)=0,1,IF(B307&gt;=EDATE(INDEX($AJ:$AJ,AI307),6),1,0))))</f>
        <v/>
      </c>
      <c r="AM307" s="0" t="str">
        <f aca="false">IF(D307="","",IFERROR(MATCH(D307,CATÁLOGO!$C$5:$C$39,0),""))</f>
        <v/>
      </c>
      <c r="AN307" s="0" t="str">
        <f aca="false">IF(M307&lt;&gt;"Sí","",IF(AND(ISNUMBER(AE307),AK307&gt;=AE307),0,1))</f>
        <v/>
      </c>
      <c r="AO307" s="0" t="str">
        <f aca="false">IF(OR(E307="",C307="",NOT(ISNUMBER(B307))),"",SUMIFS($E$6:$E$505,$C$6:$C$505,C307,$B$6:$B$505,"&gt;="&amp;DATE(YEAR(B307),MONTH(B307),1),$B$6:$B$505,"&lt;"&amp;DATE(YEAR(B307),MONTH(B307)+1,1)))</f>
        <v/>
      </c>
      <c r="AP307" s="0" t="str">
        <f aca="false">IF(C307="","",IFERROR(INDEX(CLIENTES!$M$6:$M$305,MATCH(C307,CLIENTES!$A$6:$A$305,0)),""))</f>
        <v/>
      </c>
      <c r="AQ307" s="27" t="n">
        <f aca="false">IF(AND(ISNUMBER(AO307),ISNUMBER(AP307)),IF(AND(AP307&gt;0,AO307&gt;AP307),1,0),0)</f>
        <v>0</v>
      </c>
      <c r="AR307" s="27" t="n">
        <f aca="false">IF(NOT(ISNUMBER(B307)),0,IF(B307&lt;MAX($B$5:B306),1,0))</f>
        <v>0</v>
      </c>
      <c r="AS307" s="0" t="str">
        <f aca="false">IF(C307="","",IFERROR(INDEX(CLIENTES!$H$6:$H$305,MATCH(C307,CLIENTES!$A$6:$A$305,0)),""))</f>
        <v/>
      </c>
      <c r="AT307" s="0" t="str">
        <f aca="false">IF(AND(LEFT(P307,5)="AVISO",T307&lt;&gt;"Presentado",ISNUMBER(Q307)),Q307,"")</f>
        <v/>
      </c>
      <c r="AU307" s="27" t="n">
        <f aca="false">IF(AND(D307="XVI - Activos virtuales (PSAV): operación de intercambio/transferencia",M307="Sí",ISNUMBER(AE307)),IF(AK307&gt;=AE307,1,0),0)</f>
        <v>0</v>
      </c>
      <c r="AV307" s="30" t="n">
        <f aca="false">IF(NOT(ISNUMBER(B307)),CONFIG!$B$4,IFERROR(INDEX(CONFIG!$I$5:$I$14,MATCH(IF(MONTH(B307)=1,YEAR(B307)-1,YEAR(B307)),CONFIG!$H$5:$H$14,0)),CONFIG!$B$4))</f>
        <v>117.31</v>
      </c>
      <c r="AW307" s="27" t="n">
        <f aca="false">IF(AND(LEFT(D307,4)="I - ",ISNUMBER(B307),C307&lt;&gt;""),SUMIFS($E$6:$E$505,$C$6:$C$505,C307,$D$6:$D$505,D307,$B$6:$B$505,"&gt;"&amp;(B307-1),$B$6:$B$505,"&lt;="&amp;B307),0)</f>
        <v>0</v>
      </c>
      <c r="AX307" s="0" t="str">
        <f aca="false">IF(E307="","",IF(AD307="Siempre","AVISO (siempre)",IF(AD307="No aplica","Sin Aviso (sólo preparas: Ley 17 XI)",IF(NOT(ISNUMBER(AE307)),"",IF(AA307&lt;&gt;"ACUMULA",IF(E307&gt;=AE307,IF(AND(D307="XVI - Activos virtuales (PSAV): cobro de contraprestación (comisión) por el servicio",COUNTIFS($C$6:$C$505,C307,$B$6:$B$505,"&gt;="&amp;INT(B307),$B$6:$B$505,"&lt;"&amp;(INT(B307)+1),$AU$6:$AU$505,1)&gt;0),"En el Aviso del inciso a) (R 31 Bis)","AVISO"),"—"),IF(M307&lt;&gt;"Sí","—",IF(AK307&gt;=AE307,IF(AK307=E307,"AVISO","AVISO (acumulado)"),"Acumulando")))))))</f>
        <v/>
      </c>
    </row>
    <row r="308" customFormat="false" ht="15" hidden="false" customHeight="false" outlineLevel="0" collapsed="false">
      <c r="A308" s="9" t="str">
        <f aca="false">IF(E308="","",ROW()-5)</f>
        <v/>
      </c>
      <c r="B308" s="20"/>
      <c r="C308" s="21"/>
      <c r="D308" s="21"/>
      <c r="E308" s="22"/>
      <c r="F308" s="22"/>
      <c r="G308" s="21"/>
      <c r="H308" s="21"/>
      <c r="I308" s="9" t="str">
        <f aca="false">IF(C308="","",IFERROR(INDEX(CLIENTES!$B$6:$B$305,MATCH(C308,CLIENTES!$A$6:$A$305,0)),"⚠ ID no registrado"))</f>
        <v/>
      </c>
      <c r="J308" s="9" t="str">
        <f aca="false">IF(C308="","",IFERROR(INDEX(CLIENTES!$Z$6:$Z$305,MATCH(C308,CLIENTES!$A$6:$A$305,0)),""))</f>
        <v/>
      </c>
      <c r="K308" s="9" t="str">
        <f aca="false">IF(E308="","",IF(AB308="Siempre","Sí",IF(ISNUMBER(AC308),IF(E308&gt;=AC308,"Sí",IF(AW308&gt;=AC308,"Sí (serie 24 h)","No")),"")))</f>
        <v/>
      </c>
      <c r="L308" s="9" t="str">
        <f aca="false">IF(E308="","",AA308)</f>
        <v/>
      </c>
      <c r="M308" s="9" t="str">
        <f aca="false">IF(E308="","",IF(AA308&lt;&gt;"ACUMULA","No aplica",IF(LEFT(K308,2)="Sí","Sí","No")))</f>
        <v/>
      </c>
      <c r="N308" s="23" t="str">
        <f aca="false">IF(M308="Sí",AJ308,"")</f>
        <v/>
      </c>
      <c r="O308" s="24" t="str">
        <f aca="false">IF(M308="Sí",AK308,"")</f>
        <v/>
      </c>
      <c r="P308" s="25" t="str">
        <f aca="false">IF(AND(LEFT(D308,6)="XIV - ",LEFT(AX308,5)="AVISO"),"Pedimento (R 16): no va al SPPLD",AX308)</f>
        <v/>
      </c>
      <c r="Q308" s="23" t="str">
        <f aca="false">IF(LEFT(P308,5)="AVISO",IF(ISNUMBER(B308),DATE(YEAR(B308),MONTH(B308)+1,17),"Falta fecha"),"")</f>
        <v/>
      </c>
      <c r="R308" s="9" t="str">
        <f aca="false">IF(OR(F308="",F308=0),"",IF(ISNUMBER(AG308),IF(F308&gt;=AG308,"PROHIBIDO","Dentro del límite"),"No aplica"))</f>
        <v/>
      </c>
      <c r="S308" s="26" t="str">
        <f aca="false">IF(E308="","",MID(IF(AQ308=1," · Excede el perfil declarado","")&amp;IF(H308="Sí"," · Paga un tercero","")&amp;IF(J308="Alto"," · Cliente de riesgo alto: DDR (RCG 23 Ter 3 y 4)","")&amp;IF(AND(AS308&lt;&gt;"",AS308&lt;&gt;"No",AS308&lt;&gt;0)," · PEP","")&amp;IF(R308="PROHIBIDO"," · Efectivo prohibido: no lo recibas (Art. 32)","")&amp;IF(AR308=1," · ⚠ Fecha fuera de orden","")&amp;IF(LEFT(I308,1)="⚠"," · ⚠ Cliente no registrado","")&amp;IF(D308=""," · ⚠ Falta la actividad","")&amp;IF(AND(LEFT(P308,5)="AVISO",W308="")," · Captura la cifra total con IVA para el Aviso","")&amp;IF(AND(ISNUMBER(W308),W308&lt;E308)," · ⚠ La cifra con IVA es menor que el monto sin IVA",""),4,400))</f>
        <v/>
      </c>
      <c r="T308" s="21"/>
      <c r="U308" s="20"/>
      <c r="V308" s="9" t="str">
        <f aca="false">IF(LEFT(P308,5)&lt;&gt;"AVISO","",IF(T308="Presentado",IF(AND(ISNUMBER(U308),ISNUMBER(Q308),U308&gt;Q308),"Presentado tarde","Presentado"),IF(NOT(ISNUMBER(Q308)),"Falta fecha",IF(Q308&lt;CONFIG!$B$6,"VENCIDO","Vence en "&amp;(Q308-CONFIG!$B$6)&amp;" días"))))</f>
        <v/>
      </c>
      <c r="W308" s="22"/>
      <c r="X308" s="21"/>
      <c r="AA308" s="0" t="str">
        <f aca="false">IF(AM308="","",INDEX(CATÁLOGO!$D$5:$D$39,AM308))</f>
        <v/>
      </c>
      <c r="AB308" s="0" t="str">
        <f aca="false">IF(AM308="","",INDEX(CATÁLOGO!$E$5:$E$39,AM308))</f>
        <v/>
      </c>
      <c r="AC308" s="0" t="str">
        <f aca="false">IF(AB308="","",IF(ISNUMBER(AB308),AB308*AV308,AB308))</f>
        <v/>
      </c>
      <c r="AD308" s="0" t="str">
        <f aca="false">IF(AM308="","",INDEX(CATÁLOGO!$F$5:$F$39,AM308))</f>
        <v/>
      </c>
      <c r="AE308" s="0" t="str">
        <f aca="false">IF(AD308="","",IF(ISNUMBER(AD308),AD308*AV308,AD308))</f>
        <v/>
      </c>
      <c r="AF308" s="0" t="str">
        <f aca="false">IF(AM308="","",INDEX(CATÁLOGO!$G$5:$G$39,AM308))</f>
        <v/>
      </c>
      <c r="AG308" s="0" t="str">
        <f aca="false">IF(AF308="","",IF(ISNUMBER(AF308),AF308*AV308,AF308))</f>
        <v/>
      </c>
      <c r="AH308" s="0" t="str">
        <f aca="false">IF(E308="","",C308&amp;"|"&amp;D308)</f>
        <v/>
      </c>
      <c r="AI308" s="27" t="n">
        <f aca="false">IF(M308&lt;&gt;"Sí",0,SUMPRODUCT(MAX(($AH$5:AH307=AH308)*($M$5:M307="Sí")*ROW($AH$5:AH307))))</f>
        <v>0</v>
      </c>
      <c r="AJ308" s="0" t="str">
        <f aca="false">IF(M308&lt;&gt;"Sí","",IF(AL308=1,B308,INDEX($AJ:$AJ,AI308)))</f>
        <v/>
      </c>
      <c r="AK308" s="0" t="str">
        <f aca="false">IF(M308&lt;&gt;"Sí","",IF(AL308=1,E308,INDEX($AK:$AK,AI308)+E308))</f>
        <v/>
      </c>
      <c r="AL308" s="0" t="str">
        <f aca="false">IF(M308&lt;&gt;"Sí","",IF(AI308=0,1,IF(INDEX($AN:$AN,AI308)=0,1,IF(B308&gt;=EDATE(INDEX($AJ:$AJ,AI308),6),1,0))))</f>
        <v/>
      </c>
      <c r="AM308" s="0" t="str">
        <f aca="false">IF(D308="","",IFERROR(MATCH(D308,CATÁLOGO!$C$5:$C$39,0),""))</f>
        <v/>
      </c>
      <c r="AN308" s="0" t="str">
        <f aca="false">IF(M308&lt;&gt;"Sí","",IF(AND(ISNUMBER(AE308),AK308&gt;=AE308),0,1))</f>
        <v/>
      </c>
      <c r="AO308" s="0" t="str">
        <f aca="false">IF(OR(E308="",C308="",NOT(ISNUMBER(B308))),"",SUMIFS($E$6:$E$505,$C$6:$C$505,C308,$B$6:$B$505,"&gt;="&amp;DATE(YEAR(B308),MONTH(B308),1),$B$6:$B$505,"&lt;"&amp;DATE(YEAR(B308),MONTH(B308)+1,1)))</f>
        <v/>
      </c>
      <c r="AP308" s="0" t="str">
        <f aca="false">IF(C308="","",IFERROR(INDEX(CLIENTES!$M$6:$M$305,MATCH(C308,CLIENTES!$A$6:$A$305,0)),""))</f>
        <v/>
      </c>
      <c r="AQ308" s="27" t="n">
        <f aca="false">IF(AND(ISNUMBER(AO308),ISNUMBER(AP308)),IF(AND(AP308&gt;0,AO308&gt;AP308),1,0),0)</f>
        <v>0</v>
      </c>
      <c r="AR308" s="27" t="n">
        <f aca="false">IF(NOT(ISNUMBER(B308)),0,IF(B308&lt;MAX($B$5:B307),1,0))</f>
        <v>0</v>
      </c>
      <c r="AS308" s="0" t="str">
        <f aca="false">IF(C308="","",IFERROR(INDEX(CLIENTES!$H$6:$H$305,MATCH(C308,CLIENTES!$A$6:$A$305,0)),""))</f>
        <v/>
      </c>
      <c r="AT308" s="0" t="str">
        <f aca="false">IF(AND(LEFT(P308,5)="AVISO",T308&lt;&gt;"Presentado",ISNUMBER(Q308)),Q308,"")</f>
        <v/>
      </c>
      <c r="AU308" s="27" t="n">
        <f aca="false">IF(AND(D308="XVI - Activos virtuales (PSAV): operación de intercambio/transferencia",M308="Sí",ISNUMBER(AE308)),IF(AK308&gt;=AE308,1,0),0)</f>
        <v>0</v>
      </c>
      <c r="AV308" s="30" t="n">
        <f aca="false">IF(NOT(ISNUMBER(B308)),CONFIG!$B$4,IFERROR(INDEX(CONFIG!$I$5:$I$14,MATCH(IF(MONTH(B308)=1,YEAR(B308)-1,YEAR(B308)),CONFIG!$H$5:$H$14,0)),CONFIG!$B$4))</f>
        <v>117.31</v>
      </c>
      <c r="AW308" s="27" t="n">
        <f aca="false">IF(AND(LEFT(D308,4)="I - ",ISNUMBER(B308),C308&lt;&gt;""),SUMIFS($E$6:$E$505,$C$6:$C$505,C308,$D$6:$D$505,D308,$B$6:$B$505,"&gt;"&amp;(B308-1),$B$6:$B$505,"&lt;="&amp;B308),0)</f>
        <v>0</v>
      </c>
      <c r="AX308" s="0" t="str">
        <f aca="false">IF(E308="","",IF(AD308="Siempre","AVISO (siempre)",IF(AD308="No aplica","Sin Aviso (sólo preparas: Ley 17 XI)",IF(NOT(ISNUMBER(AE308)),"",IF(AA308&lt;&gt;"ACUMULA",IF(E308&gt;=AE308,IF(AND(D308="XVI - Activos virtuales (PSAV): cobro de contraprestación (comisión) por el servicio",COUNTIFS($C$6:$C$505,C308,$B$6:$B$505,"&gt;="&amp;INT(B308),$B$6:$B$505,"&lt;"&amp;(INT(B308)+1),$AU$6:$AU$505,1)&gt;0),"En el Aviso del inciso a) (R 31 Bis)","AVISO"),"—"),IF(M308&lt;&gt;"Sí","—",IF(AK308&gt;=AE308,IF(AK308=E308,"AVISO","AVISO (acumulado)"),"Acumulando")))))))</f>
        <v/>
      </c>
    </row>
    <row r="309" customFormat="false" ht="15" hidden="false" customHeight="false" outlineLevel="0" collapsed="false">
      <c r="A309" s="9" t="str">
        <f aca="false">IF(E309="","",ROW()-5)</f>
        <v/>
      </c>
      <c r="B309" s="20"/>
      <c r="C309" s="21"/>
      <c r="D309" s="21"/>
      <c r="E309" s="22"/>
      <c r="F309" s="22"/>
      <c r="G309" s="21"/>
      <c r="H309" s="21"/>
      <c r="I309" s="9" t="str">
        <f aca="false">IF(C309="","",IFERROR(INDEX(CLIENTES!$B$6:$B$305,MATCH(C309,CLIENTES!$A$6:$A$305,0)),"⚠ ID no registrado"))</f>
        <v/>
      </c>
      <c r="J309" s="9" t="str">
        <f aca="false">IF(C309="","",IFERROR(INDEX(CLIENTES!$Z$6:$Z$305,MATCH(C309,CLIENTES!$A$6:$A$305,0)),""))</f>
        <v/>
      </c>
      <c r="K309" s="9" t="str">
        <f aca="false">IF(E309="","",IF(AB309="Siempre","Sí",IF(ISNUMBER(AC309),IF(E309&gt;=AC309,"Sí",IF(AW309&gt;=AC309,"Sí (serie 24 h)","No")),"")))</f>
        <v/>
      </c>
      <c r="L309" s="9" t="str">
        <f aca="false">IF(E309="","",AA309)</f>
        <v/>
      </c>
      <c r="M309" s="9" t="str">
        <f aca="false">IF(E309="","",IF(AA309&lt;&gt;"ACUMULA","No aplica",IF(LEFT(K309,2)="Sí","Sí","No")))</f>
        <v/>
      </c>
      <c r="N309" s="23" t="str">
        <f aca="false">IF(M309="Sí",AJ309,"")</f>
        <v/>
      </c>
      <c r="O309" s="24" t="str">
        <f aca="false">IF(M309="Sí",AK309,"")</f>
        <v/>
      </c>
      <c r="P309" s="25" t="str">
        <f aca="false">IF(AND(LEFT(D309,6)="XIV - ",LEFT(AX309,5)="AVISO"),"Pedimento (R 16): no va al SPPLD",AX309)</f>
        <v/>
      </c>
      <c r="Q309" s="23" t="str">
        <f aca="false">IF(LEFT(P309,5)="AVISO",IF(ISNUMBER(B309),DATE(YEAR(B309),MONTH(B309)+1,17),"Falta fecha"),"")</f>
        <v/>
      </c>
      <c r="R309" s="9" t="str">
        <f aca="false">IF(OR(F309="",F309=0),"",IF(ISNUMBER(AG309),IF(F309&gt;=AG309,"PROHIBIDO","Dentro del límite"),"No aplica"))</f>
        <v/>
      </c>
      <c r="S309" s="26" t="str">
        <f aca="false">IF(E309="","",MID(IF(AQ309=1," · Excede el perfil declarado","")&amp;IF(H309="Sí"," · Paga un tercero","")&amp;IF(J309="Alto"," · Cliente de riesgo alto: DDR (RCG 23 Ter 3 y 4)","")&amp;IF(AND(AS309&lt;&gt;"",AS309&lt;&gt;"No",AS309&lt;&gt;0)," · PEP","")&amp;IF(R309="PROHIBIDO"," · Efectivo prohibido: no lo recibas (Art. 32)","")&amp;IF(AR309=1," · ⚠ Fecha fuera de orden","")&amp;IF(LEFT(I309,1)="⚠"," · ⚠ Cliente no registrado","")&amp;IF(D309=""," · ⚠ Falta la actividad","")&amp;IF(AND(LEFT(P309,5)="AVISO",W309="")," · Captura la cifra total con IVA para el Aviso","")&amp;IF(AND(ISNUMBER(W309),W309&lt;E309)," · ⚠ La cifra con IVA es menor que el monto sin IVA",""),4,400))</f>
        <v/>
      </c>
      <c r="T309" s="21"/>
      <c r="U309" s="20"/>
      <c r="V309" s="9" t="str">
        <f aca="false">IF(LEFT(P309,5)&lt;&gt;"AVISO","",IF(T309="Presentado",IF(AND(ISNUMBER(U309),ISNUMBER(Q309),U309&gt;Q309),"Presentado tarde","Presentado"),IF(NOT(ISNUMBER(Q309)),"Falta fecha",IF(Q309&lt;CONFIG!$B$6,"VENCIDO","Vence en "&amp;(Q309-CONFIG!$B$6)&amp;" días"))))</f>
        <v/>
      </c>
      <c r="W309" s="22"/>
      <c r="X309" s="21"/>
      <c r="AA309" s="0" t="str">
        <f aca="false">IF(AM309="","",INDEX(CATÁLOGO!$D$5:$D$39,AM309))</f>
        <v/>
      </c>
      <c r="AB309" s="0" t="str">
        <f aca="false">IF(AM309="","",INDEX(CATÁLOGO!$E$5:$E$39,AM309))</f>
        <v/>
      </c>
      <c r="AC309" s="0" t="str">
        <f aca="false">IF(AB309="","",IF(ISNUMBER(AB309),AB309*AV309,AB309))</f>
        <v/>
      </c>
      <c r="AD309" s="0" t="str">
        <f aca="false">IF(AM309="","",INDEX(CATÁLOGO!$F$5:$F$39,AM309))</f>
        <v/>
      </c>
      <c r="AE309" s="0" t="str">
        <f aca="false">IF(AD309="","",IF(ISNUMBER(AD309),AD309*AV309,AD309))</f>
        <v/>
      </c>
      <c r="AF309" s="0" t="str">
        <f aca="false">IF(AM309="","",INDEX(CATÁLOGO!$G$5:$G$39,AM309))</f>
        <v/>
      </c>
      <c r="AG309" s="0" t="str">
        <f aca="false">IF(AF309="","",IF(ISNUMBER(AF309),AF309*AV309,AF309))</f>
        <v/>
      </c>
      <c r="AH309" s="0" t="str">
        <f aca="false">IF(E309="","",C309&amp;"|"&amp;D309)</f>
        <v/>
      </c>
      <c r="AI309" s="27" t="n">
        <f aca="false">IF(M309&lt;&gt;"Sí",0,SUMPRODUCT(MAX(($AH$5:AH308=AH309)*($M$5:M308="Sí")*ROW($AH$5:AH308))))</f>
        <v>0</v>
      </c>
      <c r="AJ309" s="0" t="str">
        <f aca="false">IF(M309&lt;&gt;"Sí","",IF(AL309=1,B309,INDEX($AJ:$AJ,AI309)))</f>
        <v/>
      </c>
      <c r="AK309" s="0" t="str">
        <f aca="false">IF(M309&lt;&gt;"Sí","",IF(AL309=1,E309,INDEX($AK:$AK,AI309)+E309))</f>
        <v/>
      </c>
      <c r="AL309" s="0" t="str">
        <f aca="false">IF(M309&lt;&gt;"Sí","",IF(AI309=0,1,IF(INDEX($AN:$AN,AI309)=0,1,IF(B309&gt;=EDATE(INDEX($AJ:$AJ,AI309),6),1,0))))</f>
        <v/>
      </c>
      <c r="AM309" s="0" t="str">
        <f aca="false">IF(D309="","",IFERROR(MATCH(D309,CATÁLOGO!$C$5:$C$39,0),""))</f>
        <v/>
      </c>
      <c r="AN309" s="0" t="str">
        <f aca="false">IF(M309&lt;&gt;"Sí","",IF(AND(ISNUMBER(AE309),AK309&gt;=AE309),0,1))</f>
        <v/>
      </c>
      <c r="AO309" s="0" t="str">
        <f aca="false">IF(OR(E309="",C309="",NOT(ISNUMBER(B309))),"",SUMIFS($E$6:$E$505,$C$6:$C$505,C309,$B$6:$B$505,"&gt;="&amp;DATE(YEAR(B309),MONTH(B309),1),$B$6:$B$505,"&lt;"&amp;DATE(YEAR(B309),MONTH(B309)+1,1)))</f>
        <v/>
      </c>
      <c r="AP309" s="0" t="str">
        <f aca="false">IF(C309="","",IFERROR(INDEX(CLIENTES!$M$6:$M$305,MATCH(C309,CLIENTES!$A$6:$A$305,0)),""))</f>
        <v/>
      </c>
      <c r="AQ309" s="27" t="n">
        <f aca="false">IF(AND(ISNUMBER(AO309),ISNUMBER(AP309)),IF(AND(AP309&gt;0,AO309&gt;AP309),1,0),0)</f>
        <v>0</v>
      </c>
      <c r="AR309" s="27" t="n">
        <f aca="false">IF(NOT(ISNUMBER(B309)),0,IF(B309&lt;MAX($B$5:B308),1,0))</f>
        <v>0</v>
      </c>
      <c r="AS309" s="0" t="str">
        <f aca="false">IF(C309="","",IFERROR(INDEX(CLIENTES!$H$6:$H$305,MATCH(C309,CLIENTES!$A$6:$A$305,0)),""))</f>
        <v/>
      </c>
      <c r="AT309" s="0" t="str">
        <f aca="false">IF(AND(LEFT(P309,5)="AVISO",T309&lt;&gt;"Presentado",ISNUMBER(Q309)),Q309,"")</f>
        <v/>
      </c>
      <c r="AU309" s="27" t="n">
        <f aca="false">IF(AND(D309="XVI - Activos virtuales (PSAV): operación de intercambio/transferencia",M309="Sí",ISNUMBER(AE309)),IF(AK309&gt;=AE309,1,0),0)</f>
        <v>0</v>
      </c>
      <c r="AV309" s="30" t="n">
        <f aca="false">IF(NOT(ISNUMBER(B309)),CONFIG!$B$4,IFERROR(INDEX(CONFIG!$I$5:$I$14,MATCH(IF(MONTH(B309)=1,YEAR(B309)-1,YEAR(B309)),CONFIG!$H$5:$H$14,0)),CONFIG!$B$4))</f>
        <v>117.31</v>
      </c>
      <c r="AW309" s="27" t="n">
        <f aca="false">IF(AND(LEFT(D309,4)="I - ",ISNUMBER(B309),C309&lt;&gt;""),SUMIFS($E$6:$E$505,$C$6:$C$505,C309,$D$6:$D$505,D309,$B$6:$B$505,"&gt;"&amp;(B309-1),$B$6:$B$505,"&lt;="&amp;B309),0)</f>
        <v>0</v>
      </c>
      <c r="AX309" s="0" t="str">
        <f aca="false">IF(E309="","",IF(AD309="Siempre","AVISO (siempre)",IF(AD309="No aplica","Sin Aviso (sólo preparas: Ley 17 XI)",IF(NOT(ISNUMBER(AE309)),"",IF(AA309&lt;&gt;"ACUMULA",IF(E309&gt;=AE309,IF(AND(D309="XVI - Activos virtuales (PSAV): cobro de contraprestación (comisión) por el servicio",COUNTIFS($C$6:$C$505,C309,$B$6:$B$505,"&gt;="&amp;INT(B309),$B$6:$B$505,"&lt;"&amp;(INT(B309)+1),$AU$6:$AU$505,1)&gt;0),"En el Aviso del inciso a) (R 31 Bis)","AVISO"),"—"),IF(M309&lt;&gt;"Sí","—",IF(AK309&gt;=AE309,IF(AK309=E309,"AVISO","AVISO (acumulado)"),"Acumulando")))))))</f>
        <v/>
      </c>
    </row>
    <row r="310" customFormat="false" ht="15" hidden="false" customHeight="false" outlineLevel="0" collapsed="false">
      <c r="A310" s="9" t="str">
        <f aca="false">IF(E310="","",ROW()-5)</f>
        <v/>
      </c>
      <c r="B310" s="20"/>
      <c r="C310" s="21"/>
      <c r="D310" s="21"/>
      <c r="E310" s="22"/>
      <c r="F310" s="22"/>
      <c r="G310" s="21"/>
      <c r="H310" s="21"/>
      <c r="I310" s="9" t="str">
        <f aca="false">IF(C310="","",IFERROR(INDEX(CLIENTES!$B$6:$B$305,MATCH(C310,CLIENTES!$A$6:$A$305,0)),"⚠ ID no registrado"))</f>
        <v/>
      </c>
      <c r="J310" s="9" t="str">
        <f aca="false">IF(C310="","",IFERROR(INDEX(CLIENTES!$Z$6:$Z$305,MATCH(C310,CLIENTES!$A$6:$A$305,0)),""))</f>
        <v/>
      </c>
      <c r="K310" s="9" t="str">
        <f aca="false">IF(E310="","",IF(AB310="Siempre","Sí",IF(ISNUMBER(AC310),IF(E310&gt;=AC310,"Sí",IF(AW310&gt;=AC310,"Sí (serie 24 h)","No")),"")))</f>
        <v/>
      </c>
      <c r="L310" s="9" t="str">
        <f aca="false">IF(E310="","",AA310)</f>
        <v/>
      </c>
      <c r="M310" s="9" t="str">
        <f aca="false">IF(E310="","",IF(AA310&lt;&gt;"ACUMULA","No aplica",IF(LEFT(K310,2)="Sí","Sí","No")))</f>
        <v/>
      </c>
      <c r="N310" s="23" t="str">
        <f aca="false">IF(M310="Sí",AJ310,"")</f>
        <v/>
      </c>
      <c r="O310" s="24" t="str">
        <f aca="false">IF(M310="Sí",AK310,"")</f>
        <v/>
      </c>
      <c r="P310" s="25" t="str">
        <f aca="false">IF(AND(LEFT(D310,6)="XIV - ",LEFT(AX310,5)="AVISO"),"Pedimento (R 16): no va al SPPLD",AX310)</f>
        <v/>
      </c>
      <c r="Q310" s="23" t="str">
        <f aca="false">IF(LEFT(P310,5)="AVISO",IF(ISNUMBER(B310),DATE(YEAR(B310),MONTH(B310)+1,17),"Falta fecha"),"")</f>
        <v/>
      </c>
      <c r="R310" s="9" t="str">
        <f aca="false">IF(OR(F310="",F310=0),"",IF(ISNUMBER(AG310),IF(F310&gt;=AG310,"PROHIBIDO","Dentro del límite"),"No aplica"))</f>
        <v/>
      </c>
      <c r="S310" s="26" t="str">
        <f aca="false">IF(E310="","",MID(IF(AQ310=1," · Excede el perfil declarado","")&amp;IF(H310="Sí"," · Paga un tercero","")&amp;IF(J310="Alto"," · Cliente de riesgo alto: DDR (RCG 23 Ter 3 y 4)","")&amp;IF(AND(AS310&lt;&gt;"",AS310&lt;&gt;"No",AS310&lt;&gt;0)," · PEP","")&amp;IF(R310="PROHIBIDO"," · Efectivo prohibido: no lo recibas (Art. 32)","")&amp;IF(AR310=1," · ⚠ Fecha fuera de orden","")&amp;IF(LEFT(I310,1)="⚠"," · ⚠ Cliente no registrado","")&amp;IF(D310=""," · ⚠ Falta la actividad","")&amp;IF(AND(LEFT(P310,5)="AVISO",W310="")," · Captura la cifra total con IVA para el Aviso","")&amp;IF(AND(ISNUMBER(W310),W310&lt;E310)," · ⚠ La cifra con IVA es menor que el monto sin IVA",""),4,400))</f>
        <v/>
      </c>
      <c r="T310" s="21"/>
      <c r="U310" s="20"/>
      <c r="V310" s="9" t="str">
        <f aca="false">IF(LEFT(P310,5)&lt;&gt;"AVISO","",IF(T310="Presentado",IF(AND(ISNUMBER(U310),ISNUMBER(Q310),U310&gt;Q310),"Presentado tarde","Presentado"),IF(NOT(ISNUMBER(Q310)),"Falta fecha",IF(Q310&lt;CONFIG!$B$6,"VENCIDO","Vence en "&amp;(Q310-CONFIG!$B$6)&amp;" días"))))</f>
        <v/>
      </c>
      <c r="W310" s="22"/>
      <c r="X310" s="21"/>
      <c r="AA310" s="0" t="str">
        <f aca="false">IF(AM310="","",INDEX(CATÁLOGO!$D$5:$D$39,AM310))</f>
        <v/>
      </c>
      <c r="AB310" s="0" t="str">
        <f aca="false">IF(AM310="","",INDEX(CATÁLOGO!$E$5:$E$39,AM310))</f>
        <v/>
      </c>
      <c r="AC310" s="0" t="str">
        <f aca="false">IF(AB310="","",IF(ISNUMBER(AB310),AB310*AV310,AB310))</f>
        <v/>
      </c>
      <c r="AD310" s="0" t="str">
        <f aca="false">IF(AM310="","",INDEX(CATÁLOGO!$F$5:$F$39,AM310))</f>
        <v/>
      </c>
      <c r="AE310" s="0" t="str">
        <f aca="false">IF(AD310="","",IF(ISNUMBER(AD310),AD310*AV310,AD310))</f>
        <v/>
      </c>
      <c r="AF310" s="0" t="str">
        <f aca="false">IF(AM310="","",INDEX(CATÁLOGO!$G$5:$G$39,AM310))</f>
        <v/>
      </c>
      <c r="AG310" s="0" t="str">
        <f aca="false">IF(AF310="","",IF(ISNUMBER(AF310),AF310*AV310,AF310))</f>
        <v/>
      </c>
      <c r="AH310" s="0" t="str">
        <f aca="false">IF(E310="","",C310&amp;"|"&amp;D310)</f>
        <v/>
      </c>
      <c r="AI310" s="27" t="n">
        <f aca="false">IF(M310&lt;&gt;"Sí",0,SUMPRODUCT(MAX(($AH$5:AH309=AH310)*($M$5:M309="Sí")*ROW($AH$5:AH309))))</f>
        <v>0</v>
      </c>
      <c r="AJ310" s="0" t="str">
        <f aca="false">IF(M310&lt;&gt;"Sí","",IF(AL310=1,B310,INDEX($AJ:$AJ,AI310)))</f>
        <v/>
      </c>
      <c r="AK310" s="0" t="str">
        <f aca="false">IF(M310&lt;&gt;"Sí","",IF(AL310=1,E310,INDEX($AK:$AK,AI310)+E310))</f>
        <v/>
      </c>
      <c r="AL310" s="0" t="str">
        <f aca="false">IF(M310&lt;&gt;"Sí","",IF(AI310=0,1,IF(INDEX($AN:$AN,AI310)=0,1,IF(B310&gt;=EDATE(INDEX($AJ:$AJ,AI310),6),1,0))))</f>
        <v/>
      </c>
      <c r="AM310" s="0" t="str">
        <f aca="false">IF(D310="","",IFERROR(MATCH(D310,CATÁLOGO!$C$5:$C$39,0),""))</f>
        <v/>
      </c>
      <c r="AN310" s="0" t="str">
        <f aca="false">IF(M310&lt;&gt;"Sí","",IF(AND(ISNUMBER(AE310),AK310&gt;=AE310),0,1))</f>
        <v/>
      </c>
      <c r="AO310" s="0" t="str">
        <f aca="false">IF(OR(E310="",C310="",NOT(ISNUMBER(B310))),"",SUMIFS($E$6:$E$505,$C$6:$C$505,C310,$B$6:$B$505,"&gt;="&amp;DATE(YEAR(B310),MONTH(B310),1),$B$6:$B$505,"&lt;"&amp;DATE(YEAR(B310),MONTH(B310)+1,1)))</f>
        <v/>
      </c>
      <c r="AP310" s="0" t="str">
        <f aca="false">IF(C310="","",IFERROR(INDEX(CLIENTES!$M$6:$M$305,MATCH(C310,CLIENTES!$A$6:$A$305,0)),""))</f>
        <v/>
      </c>
      <c r="AQ310" s="27" t="n">
        <f aca="false">IF(AND(ISNUMBER(AO310),ISNUMBER(AP310)),IF(AND(AP310&gt;0,AO310&gt;AP310),1,0),0)</f>
        <v>0</v>
      </c>
      <c r="AR310" s="27" t="n">
        <f aca="false">IF(NOT(ISNUMBER(B310)),0,IF(B310&lt;MAX($B$5:B309),1,0))</f>
        <v>0</v>
      </c>
      <c r="AS310" s="0" t="str">
        <f aca="false">IF(C310="","",IFERROR(INDEX(CLIENTES!$H$6:$H$305,MATCH(C310,CLIENTES!$A$6:$A$305,0)),""))</f>
        <v/>
      </c>
      <c r="AT310" s="0" t="str">
        <f aca="false">IF(AND(LEFT(P310,5)="AVISO",T310&lt;&gt;"Presentado",ISNUMBER(Q310)),Q310,"")</f>
        <v/>
      </c>
      <c r="AU310" s="27" t="n">
        <f aca="false">IF(AND(D310="XVI - Activos virtuales (PSAV): operación de intercambio/transferencia",M310="Sí",ISNUMBER(AE310)),IF(AK310&gt;=AE310,1,0),0)</f>
        <v>0</v>
      </c>
      <c r="AV310" s="30" t="n">
        <f aca="false">IF(NOT(ISNUMBER(B310)),CONFIG!$B$4,IFERROR(INDEX(CONFIG!$I$5:$I$14,MATCH(IF(MONTH(B310)=1,YEAR(B310)-1,YEAR(B310)),CONFIG!$H$5:$H$14,0)),CONFIG!$B$4))</f>
        <v>117.31</v>
      </c>
      <c r="AW310" s="27" t="n">
        <f aca="false">IF(AND(LEFT(D310,4)="I - ",ISNUMBER(B310),C310&lt;&gt;""),SUMIFS($E$6:$E$505,$C$6:$C$505,C310,$D$6:$D$505,D310,$B$6:$B$505,"&gt;"&amp;(B310-1),$B$6:$B$505,"&lt;="&amp;B310),0)</f>
        <v>0</v>
      </c>
      <c r="AX310" s="0" t="str">
        <f aca="false">IF(E310="","",IF(AD310="Siempre","AVISO (siempre)",IF(AD310="No aplica","Sin Aviso (sólo preparas: Ley 17 XI)",IF(NOT(ISNUMBER(AE310)),"",IF(AA310&lt;&gt;"ACUMULA",IF(E310&gt;=AE310,IF(AND(D310="XVI - Activos virtuales (PSAV): cobro de contraprestación (comisión) por el servicio",COUNTIFS($C$6:$C$505,C310,$B$6:$B$505,"&gt;="&amp;INT(B310),$B$6:$B$505,"&lt;"&amp;(INT(B310)+1),$AU$6:$AU$505,1)&gt;0),"En el Aviso del inciso a) (R 31 Bis)","AVISO"),"—"),IF(M310&lt;&gt;"Sí","—",IF(AK310&gt;=AE310,IF(AK310=E310,"AVISO","AVISO (acumulado)"),"Acumulando")))))))</f>
        <v/>
      </c>
    </row>
    <row r="311" customFormat="false" ht="15" hidden="false" customHeight="false" outlineLevel="0" collapsed="false">
      <c r="A311" s="9" t="str">
        <f aca="false">IF(E311="","",ROW()-5)</f>
        <v/>
      </c>
      <c r="B311" s="20"/>
      <c r="C311" s="21"/>
      <c r="D311" s="21"/>
      <c r="E311" s="22"/>
      <c r="F311" s="22"/>
      <c r="G311" s="21"/>
      <c r="H311" s="21"/>
      <c r="I311" s="9" t="str">
        <f aca="false">IF(C311="","",IFERROR(INDEX(CLIENTES!$B$6:$B$305,MATCH(C311,CLIENTES!$A$6:$A$305,0)),"⚠ ID no registrado"))</f>
        <v/>
      </c>
      <c r="J311" s="9" t="str">
        <f aca="false">IF(C311="","",IFERROR(INDEX(CLIENTES!$Z$6:$Z$305,MATCH(C311,CLIENTES!$A$6:$A$305,0)),""))</f>
        <v/>
      </c>
      <c r="K311" s="9" t="str">
        <f aca="false">IF(E311="","",IF(AB311="Siempre","Sí",IF(ISNUMBER(AC311),IF(E311&gt;=AC311,"Sí",IF(AW311&gt;=AC311,"Sí (serie 24 h)","No")),"")))</f>
        <v/>
      </c>
      <c r="L311" s="9" t="str">
        <f aca="false">IF(E311="","",AA311)</f>
        <v/>
      </c>
      <c r="M311" s="9" t="str">
        <f aca="false">IF(E311="","",IF(AA311&lt;&gt;"ACUMULA","No aplica",IF(LEFT(K311,2)="Sí","Sí","No")))</f>
        <v/>
      </c>
      <c r="N311" s="23" t="str">
        <f aca="false">IF(M311="Sí",AJ311,"")</f>
        <v/>
      </c>
      <c r="O311" s="24" t="str">
        <f aca="false">IF(M311="Sí",AK311,"")</f>
        <v/>
      </c>
      <c r="P311" s="25" t="str">
        <f aca="false">IF(AND(LEFT(D311,6)="XIV - ",LEFT(AX311,5)="AVISO"),"Pedimento (R 16): no va al SPPLD",AX311)</f>
        <v/>
      </c>
      <c r="Q311" s="23" t="str">
        <f aca="false">IF(LEFT(P311,5)="AVISO",IF(ISNUMBER(B311),DATE(YEAR(B311),MONTH(B311)+1,17),"Falta fecha"),"")</f>
        <v/>
      </c>
      <c r="R311" s="9" t="str">
        <f aca="false">IF(OR(F311="",F311=0),"",IF(ISNUMBER(AG311),IF(F311&gt;=AG311,"PROHIBIDO","Dentro del límite"),"No aplica"))</f>
        <v/>
      </c>
      <c r="S311" s="26" t="str">
        <f aca="false">IF(E311="","",MID(IF(AQ311=1," · Excede el perfil declarado","")&amp;IF(H311="Sí"," · Paga un tercero","")&amp;IF(J311="Alto"," · Cliente de riesgo alto: DDR (RCG 23 Ter 3 y 4)","")&amp;IF(AND(AS311&lt;&gt;"",AS311&lt;&gt;"No",AS311&lt;&gt;0)," · PEP","")&amp;IF(R311="PROHIBIDO"," · Efectivo prohibido: no lo recibas (Art. 32)","")&amp;IF(AR311=1," · ⚠ Fecha fuera de orden","")&amp;IF(LEFT(I311,1)="⚠"," · ⚠ Cliente no registrado","")&amp;IF(D311=""," · ⚠ Falta la actividad","")&amp;IF(AND(LEFT(P311,5)="AVISO",W311="")," · Captura la cifra total con IVA para el Aviso","")&amp;IF(AND(ISNUMBER(W311),W311&lt;E311)," · ⚠ La cifra con IVA es menor que el monto sin IVA",""),4,400))</f>
        <v/>
      </c>
      <c r="T311" s="21"/>
      <c r="U311" s="20"/>
      <c r="V311" s="9" t="str">
        <f aca="false">IF(LEFT(P311,5)&lt;&gt;"AVISO","",IF(T311="Presentado",IF(AND(ISNUMBER(U311),ISNUMBER(Q311),U311&gt;Q311),"Presentado tarde","Presentado"),IF(NOT(ISNUMBER(Q311)),"Falta fecha",IF(Q311&lt;CONFIG!$B$6,"VENCIDO","Vence en "&amp;(Q311-CONFIG!$B$6)&amp;" días"))))</f>
        <v/>
      </c>
      <c r="W311" s="22"/>
      <c r="X311" s="21"/>
      <c r="AA311" s="0" t="str">
        <f aca="false">IF(AM311="","",INDEX(CATÁLOGO!$D$5:$D$39,AM311))</f>
        <v/>
      </c>
      <c r="AB311" s="0" t="str">
        <f aca="false">IF(AM311="","",INDEX(CATÁLOGO!$E$5:$E$39,AM311))</f>
        <v/>
      </c>
      <c r="AC311" s="0" t="str">
        <f aca="false">IF(AB311="","",IF(ISNUMBER(AB311),AB311*AV311,AB311))</f>
        <v/>
      </c>
      <c r="AD311" s="0" t="str">
        <f aca="false">IF(AM311="","",INDEX(CATÁLOGO!$F$5:$F$39,AM311))</f>
        <v/>
      </c>
      <c r="AE311" s="0" t="str">
        <f aca="false">IF(AD311="","",IF(ISNUMBER(AD311),AD311*AV311,AD311))</f>
        <v/>
      </c>
      <c r="AF311" s="0" t="str">
        <f aca="false">IF(AM311="","",INDEX(CATÁLOGO!$G$5:$G$39,AM311))</f>
        <v/>
      </c>
      <c r="AG311" s="0" t="str">
        <f aca="false">IF(AF311="","",IF(ISNUMBER(AF311),AF311*AV311,AF311))</f>
        <v/>
      </c>
      <c r="AH311" s="0" t="str">
        <f aca="false">IF(E311="","",C311&amp;"|"&amp;D311)</f>
        <v/>
      </c>
      <c r="AI311" s="27" t="n">
        <f aca="false">IF(M311&lt;&gt;"Sí",0,SUMPRODUCT(MAX(($AH$5:AH310=AH311)*($M$5:M310="Sí")*ROW($AH$5:AH310))))</f>
        <v>0</v>
      </c>
      <c r="AJ311" s="0" t="str">
        <f aca="false">IF(M311&lt;&gt;"Sí","",IF(AL311=1,B311,INDEX($AJ:$AJ,AI311)))</f>
        <v/>
      </c>
      <c r="AK311" s="0" t="str">
        <f aca="false">IF(M311&lt;&gt;"Sí","",IF(AL311=1,E311,INDEX($AK:$AK,AI311)+E311))</f>
        <v/>
      </c>
      <c r="AL311" s="0" t="str">
        <f aca="false">IF(M311&lt;&gt;"Sí","",IF(AI311=0,1,IF(INDEX($AN:$AN,AI311)=0,1,IF(B311&gt;=EDATE(INDEX($AJ:$AJ,AI311),6),1,0))))</f>
        <v/>
      </c>
      <c r="AM311" s="0" t="str">
        <f aca="false">IF(D311="","",IFERROR(MATCH(D311,CATÁLOGO!$C$5:$C$39,0),""))</f>
        <v/>
      </c>
      <c r="AN311" s="0" t="str">
        <f aca="false">IF(M311&lt;&gt;"Sí","",IF(AND(ISNUMBER(AE311),AK311&gt;=AE311),0,1))</f>
        <v/>
      </c>
      <c r="AO311" s="0" t="str">
        <f aca="false">IF(OR(E311="",C311="",NOT(ISNUMBER(B311))),"",SUMIFS($E$6:$E$505,$C$6:$C$505,C311,$B$6:$B$505,"&gt;="&amp;DATE(YEAR(B311),MONTH(B311),1),$B$6:$B$505,"&lt;"&amp;DATE(YEAR(B311),MONTH(B311)+1,1)))</f>
        <v/>
      </c>
      <c r="AP311" s="0" t="str">
        <f aca="false">IF(C311="","",IFERROR(INDEX(CLIENTES!$M$6:$M$305,MATCH(C311,CLIENTES!$A$6:$A$305,0)),""))</f>
        <v/>
      </c>
      <c r="AQ311" s="27" t="n">
        <f aca="false">IF(AND(ISNUMBER(AO311),ISNUMBER(AP311)),IF(AND(AP311&gt;0,AO311&gt;AP311),1,0),0)</f>
        <v>0</v>
      </c>
      <c r="AR311" s="27" t="n">
        <f aca="false">IF(NOT(ISNUMBER(B311)),0,IF(B311&lt;MAX($B$5:B310),1,0))</f>
        <v>0</v>
      </c>
      <c r="AS311" s="0" t="str">
        <f aca="false">IF(C311="","",IFERROR(INDEX(CLIENTES!$H$6:$H$305,MATCH(C311,CLIENTES!$A$6:$A$305,0)),""))</f>
        <v/>
      </c>
      <c r="AT311" s="0" t="str">
        <f aca="false">IF(AND(LEFT(P311,5)="AVISO",T311&lt;&gt;"Presentado",ISNUMBER(Q311)),Q311,"")</f>
        <v/>
      </c>
      <c r="AU311" s="27" t="n">
        <f aca="false">IF(AND(D311="XVI - Activos virtuales (PSAV): operación de intercambio/transferencia",M311="Sí",ISNUMBER(AE311)),IF(AK311&gt;=AE311,1,0),0)</f>
        <v>0</v>
      </c>
      <c r="AV311" s="30" t="n">
        <f aca="false">IF(NOT(ISNUMBER(B311)),CONFIG!$B$4,IFERROR(INDEX(CONFIG!$I$5:$I$14,MATCH(IF(MONTH(B311)=1,YEAR(B311)-1,YEAR(B311)),CONFIG!$H$5:$H$14,0)),CONFIG!$B$4))</f>
        <v>117.31</v>
      </c>
      <c r="AW311" s="27" t="n">
        <f aca="false">IF(AND(LEFT(D311,4)="I - ",ISNUMBER(B311),C311&lt;&gt;""),SUMIFS($E$6:$E$505,$C$6:$C$505,C311,$D$6:$D$505,D311,$B$6:$B$505,"&gt;"&amp;(B311-1),$B$6:$B$505,"&lt;="&amp;B311),0)</f>
        <v>0</v>
      </c>
      <c r="AX311" s="0" t="str">
        <f aca="false">IF(E311="","",IF(AD311="Siempre","AVISO (siempre)",IF(AD311="No aplica","Sin Aviso (sólo preparas: Ley 17 XI)",IF(NOT(ISNUMBER(AE311)),"",IF(AA311&lt;&gt;"ACUMULA",IF(E311&gt;=AE311,IF(AND(D311="XVI - Activos virtuales (PSAV): cobro de contraprestación (comisión) por el servicio",COUNTIFS($C$6:$C$505,C311,$B$6:$B$505,"&gt;="&amp;INT(B311),$B$6:$B$505,"&lt;"&amp;(INT(B311)+1),$AU$6:$AU$505,1)&gt;0),"En el Aviso del inciso a) (R 31 Bis)","AVISO"),"—"),IF(M311&lt;&gt;"Sí","—",IF(AK311&gt;=AE311,IF(AK311=E311,"AVISO","AVISO (acumulado)"),"Acumulando")))))))</f>
        <v/>
      </c>
    </row>
    <row r="312" customFormat="false" ht="15" hidden="false" customHeight="false" outlineLevel="0" collapsed="false">
      <c r="A312" s="9" t="str">
        <f aca="false">IF(E312="","",ROW()-5)</f>
        <v/>
      </c>
      <c r="B312" s="20"/>
      <c r="C312" s="21"/>
      <c r="D312" s="21"/>
      <c r="E312" s="22"/>
      <c r="F312" s="22"/>
      <c r="G312" s="21"/>
      <c r="H312" s="21"/>
      <c r="I312" s="9" t="str">
        <f aca="false">IF(C312="","",IFERROR(INDEX(CLIENTES!$B$6:$B$305,MATCH(C312,CLIENTES!$A$6:$A$305,0)),"⚠ ID no registrado"))</f>
        <v/>
      </c>
      <c r="J312" s="9" t="str">
        <f aca="false">IF(C312="","",IFERROR(INDEX(CLIENTES!$Z$6:$Z$305,MATCH(C312,CLIENTES!$A$6:$A$305,0)),""))</f>
        <v/>
      </c>
      <c r="K312" s="9" t="str">
        <f aca="false">IF(E312="","",IF(AB312="Siempre","Sí",IF(ISNUMBER(AC312),IF(E312&gt;=AC312,"Sí",IF(AW312&gt;=AC312,"Sí (serie 24 h)","No")),"")))</f>
        <v/>
      </c>
      <c r="L312" s="9" t="str">
        <f aca="false">IF(E312="","",AA312)</f>
        <v/>
      </c>
      <c r="M312" s="9" t="str">
        <f aca="false">IF(E312="","",IF(AA312&lt;&gt;"ACUMULA","No aplica",IF(LEFT(K312,2)="Sí","Sí","No")))</f>
        <v/>
      </c>
      <c r="N312" s="23" t="str">
        <f aca="false">IF(M312="Sí",AJ312,"")</f>
        <v/>
      </c>
      <c r="O312" s="24" t="str">
        <f aca="false">IF(M312="Sí",AK312,"")</f>
        <v/>
      </c>
      <c r="P312" s="25" t="str">
        <f aca="false">IF(AND(LEFT(D312,6)="XIV - ",LEFT(AX312,5)="AVISO"),"Pedimento (R 16): no va al SPPLD",AX312)</f>
        <v/>
      </c>
      <c r="Q312" s="23" t="str">
        <f aca="false">IF(LEFT(P312,5)="AVISO",IF(ISNUMBER(B312),DATE(YEAR(B312),MONTH(B312)+1,17),"Falta fecha"),"")</f>
        <v/>
      </c>
      <c r="R312" s="9" t="str">
        <f aca="false">IF(OR(F312="",F312=0),"",IF(ISNUMBER(AG312),IF(F312&gt;=AG312,"PROHIBIDO","Dentro del límite"),"No aplica"))</f>
        <v/>
      </c>
      <c r="S312" s="26" t="str">
        <f aca="false">IF(E312="","",MID(IF(AQ312=1," · Excede el perfil declarado","")&amp;IF(H312="Sí"," · Paga un tercero","")&amp;IF(J312="Alto"," · Cliente de riesgo alto: DDR (RCG 23 Ter 3 y 4)","")&amp;IF(AND(AS312&lt;&gt;"",AS312&lt;&gt;"No",AS312&lt;&gt;0)," · PEP","")&amp;IF(R312="PROHIBIDO"," · Efectivo prohibido: no lo recibas (Art. 32)","")&amp;IF(AR312=1," · ⚠ Fecha fuera de orden","")&amp;IF(LEFT(I312,1)="⚠"," · ⚠ Cliente no registrado","")&amp;IF(D312=""," · ⚠ Falta la actividad","")&amp;IF(AND(LEFT(P312,5)="AVISO",W312="")," · Captura la cifra total con IVA para el Aviso","")&amp;IF(AND(ISNUMBER(W312),W312&lt;E312)," · ⚠ La cifra con IVA es menor que el monto sin IVA",""),4,400))</f>
        <v/>
      </c>
      <c r="T312" s="21"/>
      <c r="U312" s="20"/>
      <c r="V312" s="9" t="str">
        <f aca="false">IF(LEFT(P312,5)&lt;&gt;"AVISO","",IF(T312="Presentado",IF(AND(ISNUMBER(U312),ISNUMBER(Q312),U312&gt;Q312),"Presentado tarde","Presentado"),IF(NOT(ISNUMBER(Q312)),"Falta fecha",IF(Q312&lt;CONFIG!$B$6,"VENCIDO","Vence en "&amp;(Q312-CONFIG!$B$6)&amp;" días"))))</f>
        <v/>
      </c>
      <c r="W312" s="22"/>
      <c r="X312" s="21"/>
      <c r="AA312" s="0" t="str">
        <f aca="false">IF(AM312="","",INDEX(CATÁLOGO!$D$5:$D$39,AM312))</f>
        <v/>
      </c>
      <c r="AB312" s="0" t="str">
        <f aca="false">IF(AM312="","",INDEX(CATÁLOGO!$E$5:$E$39,AM312))</f>
        <v/>
      </c>
      <c r="AC312" s="0" t="str">
        <f aca="false">IF(AB312="","",IF(ISNUMBER(AB312),AB312*AV312,AB312))</f>
        <v/>
      </c>
      <c r="AD312" s="0" t="str">
        <f aca="false">IF(AM312="","",INDEX(CATÁLOGO!$F$5:$F$39,AM312))</f>
        <v/>
      </c>
      <c r="AE312" s="0" t="str">
        <f aca="false">IF(AD312="","",IF(ISNUMBER(AD312),AD312*AV312,AD312))</f>
        <v/>
      </c>
      <c r="AF312" s="0" t="str">
        <f aca="false">IF(AM312="","",INDEX(CATÁLOGO!$G$5:$G$39,AM312))</f>
        <v/>
      </c>
      <c r="AG312" s="0" t="str">
        <f aca="false">IF(AF312="","",IF(ISNUMBER(AF312),AF312*AV312,AF312))</f>
        <v/>
      </c>
      <c r="AH312" s="0" t="str">
        <f aca="false">IF(E312="","",C312&amp;"|"&amp;D312)</f>
        <v/>
      </c>
      <c r="AI312" s="27" t="n">
        <f aca="false">IF(M312&lt;&gt;"Sí",0,SUMPRODUCT(MAX(($AH$5:AH311=AH312)*($M$5:M311="Sí")*ROW($AH$5:AH311))))</f>
        <v>0</v>
      </c>
      <c r="AJ312" s="0" t="str">
        <f aca="false">IF(M312&lt;&gt;"Sí","",IF(AL312=1,B312,INDEX($AJ:$AJ,AI312)))</f>
        <v/>
      </c>
      <c r="AK312" s="0" t="str">
        <f aca="false">IF(M312&lt;&gt;"Sí","",IF(AL312=1,E312,INDEX($AK:$AK,AI312)+E312))</f>
        <v/>
      </c>
      <c r="AL312" s="0" t="str">
        <f aca="false">IF(M312&lt;&gt;"Sí","",IF(AI312=0,1,IF(INDEX($AN:$AN,AI312)=0,1,IF(B312&gt;=EDATE(INDEX($AJ:$AJ,AI312),6),1,0))))</f>
        <v/>
      </c>
      <c r="AM312" s="0" t="str">
        <f aca="false">IF(D312="","",IFERROR(MATCH(D312,CATÁLOGO!$C$5:$C$39,0),""))</f>
        <v/>
      </c>
      <c r="AN312" s="0" t="str">
        <f aca="false">IF(M312&lt;&gt;"Sí","",IF(AND(ISNUMBER(AE312),AK312&gt;=AE312),0,1))</f>
        <v/>
      </c>
      <c r="AO312" s="0" t="str">
        <f aca="false">IF(OR(E312="",C312="",NOT(ISNUMBER(B312))),"",SUMIFS($E$6:$E$505,$C$6:$C$505,C312,$B$6:$B$505,"&gt;="&amp;DATE(YEAR(B312),MONTH(B312),1),$B$6:$B$505,"&lt;"&amp;DATE(YEAR(B312),MONTH(B312)+1,1)))</f>
        <v/>
      </c>
      <c r="AP312" s="0" t="str">
        <f aca="false">IF(C312="","",IFERROR(INDEX(CLIENTES!$M$6:$M$305,MATCH(C312,CLIENTES!$A$6:$A$305,0)),""))</f>
        <v/>
      </c>
      <c r="AQ312" s="27" t="n">
        <f aca="false">IF(AND(ISNUMBER(AO312),ISNUMBER(AP312)),IF(AND(AP312&gt;0,AO312&gt;AP312),1,0),0)</f>
        <v>0</v>
      </c>
      <c r="AR312" s="27" t="n">
        <f aca="false">IF(NOT(ISNUMBER(B312)),0,IF(B312&lt;MAX($B$5:B311),1,0))</f>
        <v>0</v>
      </c>
      <c r="AS312" s="0" t="str">
        <f aca="false">IF(C312="","",IFERROR(INDEX(CLIENTES!$H$6:$H$305,MATCH(C312,CLIENTES!$A$6:$A$305,0)),""))</f>
        <v/>
      </c>
      <c r="AT312" s="0" t="str">
        <f aca="false">IF(AND(LEFT(P312,5)="AVISO",T312&lt;&gt;"Presentado",ISNUMBER(Q312)),Q312,"")</f>
        <v/>
      </c>
      <c r="AU312" s="27" t="n">
        <f aca="false">IF(AND(D312="XVI - Activos virtuales (PSAV): operación de intercambio/transferencia",M312="Sí",ISNUMBER(AE312)),IF(AK312&gt;=AE312,1,0),0)</f>
        <v>0</v>
      </c>
      <c r="AV312" s="30" t="n">
        <f aca="false">IF(NOT(ISNUMBER(B312)),CONFIG!$B$4,IFERROR(INDEX(CONFIG!$I$5:$I$14,MATCH(IF(MONTH(B312)=1,YEAR(B312)-1,YEAR(B312)),CONFIG!$H$5:$H$14,0)),CONFIG!$B$4))</f>
        <v>117.31</v>
      </c>
      <c r="AW312" s="27" t="n">
        <f aca="false">IF(AND(LEFT(D312,4)="I - ",ISNUMBER(B312),C312&lt;&gt;""),SUMIFS($E$6:$E$505,$C$6:$C$505,C312,$D$6:$D$505,D312,$B$6:$B$505,"&gt;"&amp;(B312-1),$B$6:$B$505,"&lt;="&amp;B312),0)</f>
        <v>0</v>
      </c>
      <c r="AX312" s="0" t="str">
        <f aca="false">IF(E312="","",IF(AD312="Siempre","AVISO (siempre)",IF(AD312="No aplica","Sin Aviso (sólo preparas: Ley 17 XI)",IF(NOT(ISNUMBER(AE312)),"",IF(AA312&lt;&gt;"ACUMULA",IF(E312&gt;=AE312,IF(AND(D312="XVI - Activos virtuales (PSAV): cobro de contraprestación (comisión) por el servicio",COUNTIFS($C$6:$C$505,C312,$B$6:$B$505,"&gt;="&amp;INT(B312),$B$6:$B$505,"&lt;"&amp;(INT(B312)+1),$AU$6:$AU$505,1)&gt;0),"En el Aviso del inciso a) (R 31 Bis)","AVISO"),"—"),IF(M312&lt;&gt;"Sí","—",IF(AK312&gt;=AE312,IF(AK312=E312,"AVISO","AVISO (acumulado)"),"Acumulando")))))))</f>
        <v/>
      </c>
    </row>
    <row r="313" customFormat="false" ht="15" hidden="false" customHeight="false" outlineLevel="0" collapsed="false">
      <c r="A313" s="9" t="str">
        <f aca="false">IF(E313="","",ROW()-5)</f>
        <v/>
      </c>
      <c r="B313" s="20"/>
      <c r="C313" s="21"/>
      <c r="D313" s="21"/>
      <c r="E313" s="22"/>
      <c r="F313" s="22"/>
      <c r="G313" s="21"/>
      <c r="H313" s="21"/>
      <c r="I313" s="9" t="str">
        <f aca="false">IF(C313="","",IFERROR(INDEX(CLIENTES!$B$6:$B$305,MATCH(C313,CLIENTES!$A$6:$A$305,0)),"⚠ ID no registrado"))</f>
        <v/>
      </c>
      <c r="J313" s="9" t="str">
        <f aca="false">IF(C313="","",IFERROR(INDEX(CLIENTES!$Z$6:$Z$305,MATCH(C313,CLIENTES!$A$6:$A$305,0)),""))</f>
        <v/>
      </c>
      <c r="K313" s="9" t="str">
        <f aca="false">IF(E313="","",IF(AB313="Siempre","Sí",IF(ISNUMBER(AC313),IF(E313&gt;=AC313,"Sí",IF(AW313&gt;=AC313,"Sí (serie 24 h)","No")),"")))</f>
        <v/>
      </c>
      <c r="L313" s="9" t="str">
        <f aca="false">IF(E313="","",AA313)</f>
        <v/>
      </c>
      <c r="M313" s="9" t="str">
        <f aca="false">IF(E313="","",IF(AA313&lt;&gt;"ACUMULA","No aplica",IF(LEFT(K313,2)="Sí","Sí","No")))</f>
        <v/>
      </c>
      <c r="N313" s="23" t="str">
        <f aca="false">IF(M313="Sí",AJ313,"")</f>
        <v/>
      </c>
      <c r="O313" s="24" t="str">
        <f aca="false">IF(M313="Sí",AK313,"")</f>
        <v/>
      </c>
      <c r="P313" s="25" t="str">
        <f aca="false">IF(AND(LEFT(D313,6)="XIV - ",LEFT(AX313,5)="AVISO"),"Pedimento (R 16): no va al SPPLD",AX313)</f>
        <v/>
      </c>
      <c r="Q313" s="23" t="str">
        <f aca="false">IF(LEFT(P313,5)="AVISO",IF(ISNUMBER(B313),DATE(YEAR(B313),MONTH(B313)+1,17),"Falta fecha"),"")</f>
        <v/>
      </c>
      <c r="R313" s="9" t="str">
        <f aca="false">IF(OR(F313="",F313=0),"",IF(ISNUMBER(AG313),IF(F313&gt;=AG313,"PROHIBIDO","Dentro del límite"),"No aplica"))</f>
        <v/>
      </c>
      <c r="S313" s="26" t="str">
        <f aca="false">IF(E313="","",MID(IF(AQ313=1," · Excede el perfil declarado","")&amp;IF(H313="Sí"," · Paga un tercero","")&amp;IF(J313="Alto"," · Cliente de riesgo alto: DDR (RCG 23 Ter 3 y 4)","")&amp;IF(AND(AS313&lt;&gt;"",AS313&lt;&gt;"No",AS313&lt;&gt;0)," · PEP","")&amp;IF(R313="PROHIBIDO"," · Efectivo prohibido: no lo recibas (Art. 32)","")&amp;IF(AR313=1," · ⚠ Fecha fuera de orden","")&amp;IF(LEFT(I313,1)="⚠"," · ⚠ Cliente no registrado","")&amp;IF(D313=""," · ⚠ Falta la actividad","")&amp;IF(AND(LEFT(P313,5)="AVISO",W313="")," · Captura la cifra total con IVA para el Aviso","")&amp;IF(AND(ISNUMBER(W313),W313&lt;E313)," · ⚠ La cifra con IVA es menor que el monto sin IVA",""),4,400))</f>
        <v/>
      </c>
      <c r="T313" s="21"/>
      <c r="U313" s="20"/>
      <c r="V313" s="9" t="str">
        <f aca="false">IF(LEFT(P313,5)&lt;&gt;"AVISO","",IF(T313="Presentado",IF(AND(ISNUMBER(U313),ISNUMBER(Q313),U313&gt;Q313),"Presentado tarde","Presentado"),IF(NOT(ISNUMBER(Q313)),"Falta fecha",IF(Q313&lt;CONFIG!$B$6,"VENCIDO","Vence en "&amp;(Q313-CONFIG!$B$6)&amp;" días"))))</f>
        <v/>
      </c>
      <c r="W313" s="22"/>
      <c r="X313" s="21"/>
      <c r="AA313" s="0" t="str">
        <f aca="false">IF(AM313="","",INDEX(CATÁLOGO!$D$5:$D$39,AM313))</f>
        <v/>
      </c>
      <c r="AB313" s="0" t="str">
        <f aca="false">IF(AM313="","",INDEX(CATÁLOGO!$E$5:$E$39,AM313))</f>
        <v/>
      </c>
      <c r="AC313" s="0" t="str">
        <f aca="false">IF(AB313="","",IF(ISNUMBER(AB313),AB313*AV313,AB313))</f>
        <v/>
      </c>
      <c r="AD313" s="0" t="str">
        <f aca="false">IF(AM313="","",INDEX(CATÁLOGO!$F$5:$F$39,AM313))</f>
        <v/>
      </c>
      <c r="AE313" s="0" t="str">
        <f aca="false">IF(AD313="","",IF(ISNUMBER(AD313),AD313*AV313,AD313))</f>
        <v/>
      </c>
      <c r="AF313" s="0" t="str">
        <f aca="false">IF(AM313="","",INDEX(CATÁLOGO!$G$5:$G$39,AM313))</f>
        <v/>
      </c>
      <c r="AG313" s="0" t="str">
        <f aca="false">IF(AF313="","",IF(ISNUMBER(AF313),AF313*AV313,AF313))</f>
        <v/>
      </c>
      <c r="AH313" s="0" t="str">
        <f aca="false">IF(E313="","",C313&amp;"|"&amp;D313)</f>
        <v/>
      </c>
      <c r="AI313" s="27" t="n">
        <f aca="false">IF(M313&lt;&gt;"Sí",0,SUMPRODUCT(MAX(($AH$5:AH312=AH313)*($M$5:M312="Sí")*ROW($AH$5:AH312))))</f>
        <v>0</v>
      </c>
      <c r="AJ313" s="0" t="str">
        <f aca="false">IF(M313&lt;&gt;"Sí","",IF(AL313=1,B313,INDEX($AJ:$AJ,AI313)))</f>
        <v/>
      </c>
      <c r="AK313" s="0" t="str">
        <f aca="false">IF(M313&lt;&gt;"Sí","",IF(AL313=1,E313,INDEX($AK:$AK,AI313)+E313))</f>
        <v/>
      </c>
      <c r="AL313" s="0" t="str">
        <f aca="false">IF(M313&lt;&gt;"Sí","",IF(AI313=0,1,IF(INDEX($AN:$AN,AI313)=0,1,IF(B313&gt;=EDATE(INDEX($AJ:$AJ,AI313),6),1,0))))</f>
        <v/>
      </c>
      <c r="AM313" s="0" t="str">
        <f aca="false">IF(D313="","",IFERROR(MATCH(D313,CATÁLOGO!$C$5:$C$39,0),""))</f>
        <v/>
      </c>
      <c r="AN313" s="0" t="str">
        <f aca="false">IF(M313&lt;&gt;"Sí","",IF(AND(ISNUMBER(AE313),AK313&gt;=AE313),0,1))</f>
        <v/>
      </c>
      <c r="AO313" s="0" t="str">
        <f aca="false">IF(OR(E313="",C313="",NOT(ISNUMBER(B313))),"",SUMIFS($E$6:$E$505,$C$6:$C$505,C313,$B$6:$B$505,"&gt;="&amp;DATE(YEAR(B313),MONTH(B313),1),$B$6:$B$505,"&lt;"&amp;DATE(YEAR(B313),MONTH(B313)+1,1)))</f>
        <v/>
      </c>
      <c r="AP313" s="0" t="str">
        <f aca="false">IF(C313="","",IFERROR(INDEX(CLIENTES!$M$6:$M$305,MATCH(C313,CLIENTES!$A$6:$A$305,0)),""))</f>
        <v/>
      </c>
      <c r="AQ313" s="27" t="n">
        <f aca="false">IF(AND(ISNUMBER(AO313),ISNUMBER(AP313)),IF(AND(AP313&gt;0,AO313&gt;AP313),1,0),0)</f>
        <v>0</v>
      </c>
      <c r="AR313" s="27" t="n">
        <f aca="false">IF(NOT(ISNUMBER(B313)),0,IF(B313&lt;MAX($B$5:B312),1,0))</f>
        <v>0</v>
      </c>
      <c r="AS313" s="0" t="str">
        <f aca="false">IF(C313="","",IFERROR(INDEX(CLIENTES!$H$6:$H$305,MATCH(C313,CLIENTES!$A$6:$A$305,0)),""))</f>
        <v/>
      </c>
      <c r="AT313" s="0" t="str">
        <f aca="false">IF(AND(LEFT(P313,5)="AVISO",T313&lt;&gt;"Presentado",ISNUMBER(Q313)),Q313,"")</f>
        <v/>
      </c>
      <c r="AU313" s="27" t="n">
        <f aca="false">IF(AND(D313="XVI - Activos virtuales (PSAV): operación de intercambio/transferencia",M313="Sí",ISNUMBER(AE313)),IF(AK313&gt;=AE313,1,0),0)</f>
        <v>0</v>
      </c>
      <c r="AV313" s="30" t="n">
        <f aca="false">IF(NOT(ISNUMBER(B313)),CONFIG!$B$4,IFERROR(INDEX(CONFIG!$I$5:$I$14,MATCH(IF(MONTH(B313)=1,YEAR(B313)-1,YEAR(B313)),CONFIG!$H$5:$H$14,0)),CONFIG!$B$4))</f>
        <v>117.31</v>
      </c>
      <c r="AW313" s="27" t="n">
        <f aca="false">IF(AND(LEFT(D313,4)="I - ",ISNUMBER(B313),C313&lt;&gt;""),SUMIFS($E$6:$E$505,$C$6:$C$505,C313,$D$6:$D$505,D313,$B$6:$B$505,"&gt;"&amp;(B313-1),$B$6:$B$505,"&lt;="&amp;B313),0)</f>
        <v>0</v>
      </c>
      <c r="AX313" s="0" t="str">
        <f aca="false">IF(E313="","",IF(AD313="Siempre","AVISO (siempre)",IF(AD313="No aplica","Sin Aviso (sólo preparas: Ley 17 XI)",IF(NOT(ISNUMBER(AE313)),"",IF(AA313&lt;&gt;"ACUMULA",IF(E313&gt;=AE313,IF(AND(D313="XVI - Activos virtuales (PSAV): cobro de contraprestación (comisión) por el servicio",COUNTIFS($C$6:$C$505,C313,$B$6:$B$505,"&gt;="&amp;INT(B313),$B$6:$B$505,"&lt;"&amp;(INT(B313)+1),$AU$6:$AU$505,1)&gt;0),"En el Aviso del inciso a) (R 31 Bis)","AVISO"),"—"),IF(M313&lt;&gt;"Sí","—",IF(AK313&gt;=AE313,IF(AK313=E313,"AVISO","AVISO (acumulado)"),"Acumulando")))))))</f>
        <v/>
      </c>
    </row>
    <row r="314" customFormat="false" ht="15" hidden="false" customHeight="false" outlineLevel="0" collapsed="false">
      <c r="A314" s="9" t="str">
        <f aca="false">IF(E314="","",ROW()-5)</f>
        <v/>
      </c>
      <c r="B314" s="20"/>
      <c r="C314" s="21"/>
      <c r="D314" s="21"/>
      <c r="E314" s="22"/>
      <c r="F314" s="22"/>
      <c r="G314" s="21"/>
      <c r="H314" s="21"/>
      <c r="I314" s="9" t="str">
        <f aca="false">IF(C314="","",IFERROR(INDEX(CLIENTES!$B$6:$B$305,MATCH(C314,CLIENTES!$A$6:$A$305,0)),"⚠ ID no registrado"))</f>
        <v/>
      </c>
      <c r="J314" s="9" t="str">
        <f aca="false">IF(C314="","",IFERROR(INDEX(CLIENTES!$Z$6:$Z$305,MATCH(C314,CLIENTES!$A$6:$A$305,0)),""))</f>
        <v/>
      </c>
      <c r="K314" s="9" t="str">
        <f aca="false">IF(E314="","",IF(AB314="Siempre","Sí",IF(ISNUMBER(AC314),IF(E314&gt;=AC314,"Sí",IF(AW314&gt;=AC314,"Sí (serie 24 h)","No")),"")))</f>
        <v/>
      </c>
      <c r="L314" s="9" t="str">
        <f aca="false">IF(E314="","",AA314)</f>
        <v/>
      </c>
      <c r="M314" s="9" t="str">
        <f aca="false">IF(E314="","",IF(AA314&lt;&gt;"ACUMULA","No aplica",IF(LEFT(K314,2)="Sí","Sí","No")))</f>
        <v/>
      </c>
      <c r="N314" s="23" t="str">
        <f aca="false">IF(M314="Sí",AJ314,"")</f>
        <v/>
      </c>
      <c r="O314" s="24" t="str">
        <f aca="false">IF(M314="Sí",AK314,"")</f>
        <v/>
      </c>
      <c r="P314" s="25" t="str">
        <f aca="false">IF(AND(LEFT(D314,6)="XIV - ",LEFT(AX314,5)="AVISO"),"Pedimento (R 16): no va al SPPLD",AX314)</f>
        <v/>
      </c>
      <c r="Q314" s="23" t="str">
        <f aca="false">IF(LEFT(P314,5)="AVISO",IF(ISNUMBER(B314),DATE(YEAR(B314),MONTH(B314)+1,17),"Falta fecha"),"")</f>
        <v/>
      </c>
      <c r="R314" s="9" t="str">
        <f aca="false">IF(OR(F314="",F314=0),"",IF(ISNUMBER(AG314),IF(F314&gt;=AG314,"PROHIBIDO","Dentro del límite"),"No aplica"))</f>
        <v/>
      </c>
      <c r="S314" s="26" t="str">
        <f aca="false">IF(E314="","",MID(IF(AQ314=1," · Excede el perfil declarado","")&amp;IF(H314="Sí"," · Paga un tercero","")&amp;IF(J314="Alto"," · Cliente de riesgo alto: DDR (RCG 23 Ter 3 y 4)","")&amp;IF(AND(AS314&lt;&gt;"",AS314&lt;&gt;"No",AS314&lt;&gt;0)," · PEP","")&amp;IF(R314="PROHIBIDO"," · Efectivo prohibido: no lo recibas (Art. 32)","")&amp;IF(AR314=1," · ⚠ Fecha fuera de orden","")&amp;IF(LEFT(I314,1)="⚠"," · ⚠ Cliente no registrado","")&amp;IF(D314=""," · ⚠ Falta la actividad","")&amp;IF(AND(LEFT(P314,5)="AVISO",W314="")," · Captura la cifra total con IVA para el Aviso","")&amp;IF(AND(ISNUMBER(W314),W314&lt;E314)," · ⚠ La cifra con IVA es menor que el monto sin IVA",""),4,400))</f>
        <v/>
      </c>
      <c r="T314" s="21"/>
      <c r="U314" s="20"/>
      <c r="V314" s="9" t="str">
        <f aca="false">IF(LEFT(P314,5)&lt;&gt;"AVISO","",IF(T314="Presentado",IF(AND(ISNUMBER(U314),ISNUMBER(Q314),U314&gt;Q314),"Presentado tarde","Presentado"),IF(NOT(ISNUMBER(Q314)),"Falta fecha",IF(Q314&lt;CONFIG!$B$6,"VENCIDO","Vence en "&amp;(Q314-CONFIG!$B$6)&amp;" días"))))</f>
        <v/>
      </c>
      <c r="W314" s="22"/>
      <c r="X314" s="21"/>
      <c r="AA314" s="0" t="str">
        <f aca="false">IF(AM314="","",INDEX(CATÁLOGO!$D$5:$D$39,AM314))</f>
        <v/>
      </c>
      <c r="AB314" s="0" t="str">
        <f aca="false">IF(AM314="","",INDEX(CATÁLOGO!$E$5:$E$39,AM314))</f>
        <v/>
      </c>
      <c r="AC314" s="0" t="str">
        <f aca="false">IF(AB314="","",IF(ISNUMBER(AB314),AB314*AV314,AB314))</f>
        <v/>
      </c>
      <c r="AD314" s="0" t="str">
        <f aca="false">IF(AM314="","",INDEX(CATÁLOGO!$F$5:$F$39,AM314))</f>
        <v/>
      </c>
      <c r="AE314" s="0" t="str">
        <f aca="false">IF(AD314="","",IF(ISNUMBER(AD314),AD314*AV314,AD314))</f>
        <v/>
      </c>
      <c r="AF314" s="0" t="str">
        <f aca="false">IF(AM314="","",INDEX(CATÁLOGO!$G$5:$G$39,AM314))</f>
        <v/>
      </c>
      <c r="AG314" s="0" t="str">
        <f aca="false">IF(AF314="","",IF(ISNUMBER(AF314),AF314*AV314,AF314))</f>
        <v/>
      </c>
      <c r="AH314" s="0" t="str">
        <f aca="false">IF(E314="","",C314&amp;"|"&amp;D314)</f>
        <v/>
      </c>
      <c r="AI314" s="27" t="n">
        <f aca="false">IF(M314&lt;&gt;"Sí",0,SUMPRODUCT(MAX(($AH$5:AH313=AH314)*($M$5:M313="Sí")*ROW($AH$5:AH313))))</f>
        <v>0</v>
      </c>
      <c r="AJ314" s="0" t="str">
        <f aca="false">IF(M314&lt;&gt;"Sí","",IF(AL314=1,B314,INDEX($AJ:$AJ,AI314)))</f>
        <v/>
      </c>
      <c r="AK314" s="0" t="str">
        <f aca="false">IF(M314&lt;&gt;"Sí","",IF(AL314=1,E314,INDEX($AK:$AK,AI314)+E314))</f>
        <v/>
      </c>
      <c r="AL314" s="0" t="str">
        <f aca="false">IF(M314&lt;&gt;"Sí","",IF(AI314=0,1,IF(INDEX($AN:$AN,AI314)=0,1,IF(B314&gt;=EDATE(INDEX($AJ:$AJ,AI314),6),1,0))))</f>
        <v/>
      </c>
      <c r="AM314" s="0" t="str">
        <f aca="false">IF(D314="","",IFERROR(MATCH(D314,CATÁLOGO!$C$5:$C$39,0),""))</f>
        <v/>
      </c>
      <c r="AN314" s="0" t="str">
        <f aca="false">IF(M314&lt;&gt;"Sí","",IF(AND(ISNUMBER(AE314),AK314&gt;=AE314),0,1))</f>
        <v/>
      </c>
      <c r="AO314" s="0" t="str">
        <f aca="false">IF(OR(E314="",C314="",NOT(ISNUMBER(B314))),"",SUMIFS($E$6:$E$505,$C$6:$C$505,C314,$B$6:$B$505,"&gt;="&amp;DATE(YEAR(B314),MONTH(B314),1),$B$6:$B$505,"&lt;"&amp;DATE(YEAR(B314),MONTH(B314)+1,1)))</f>
        <v/>
      </c>
      <c r="AP314" s="0" t="str">
        <f aca="false">IF(C314="","",IFERROR(INDEX(CLIENTES!$M$6:$M$305,MATCH(C314,CLIENTES!$A$6:$A$305,0)),""))</f>
        <v/>
      </c>
      <c r="AQ314" s="27" t="n">
        <f aca="false">IF(AND(ISNUMBER(AO314),ISNUMBER(AP314)),IF(AND(AP314&gt;0,AO314&gt;AP314),1,0),0)</f>
        <v>0</v>
      </c>
      <c r="AR314" s="27" t="n">
        <f aca="false">IF(NOT(ISNUMBER(B314)),0,IF(B314&lt;MAX($B$5:B313),1,0))</f>
        <v>0</v>
      </c>
      <c r="AS314" s="0" t="str">
        <f aca="false">IF(C314="","",IFERROR(INDEX(CLIENTES!$H$6:$H$305,MATCH(C314,CLIENTES!$A$6:$A$305,0)),""))</f>
        <v/>
      </c>
      <c r="AT314" s="0" t="str">
        <f aca="false">IF(AND(LEFT(P314,5)="AVISO",T314&lt;&gt;"Presentado",ISNUMBER(Q314)),Q314,"")</f>
        <v/>
      </c>
      <c r="AU314" s="27" t="n">
        <f aca="false">IF(AND(D314="XVI - Activos virtuales (PSAV): operación de intercambio/transferencia",M314="Sí",ISNUMBER(AE314)),IF(AK314&gt;=AE314,1,0),0)</f>
        <v>0</v>
      </c>
      <c r="AV314" s="30" t="n">
        <f aca="false">IF(NOT(ISNUMBER(B314)),CONFIG!$B$4,IFERROR(INDEX(CONFIG!$I$5:$I$14,MATCH(IF(MONTH(B314)=1,YEAR(B314)-1,YEAR(B314)),CONFIG!$H$5:$H$14,0)),CONFIG!$B$4))</f>
        <v>117.31</v>
      </c>
      <c r="AW314" s="27" t="n">
        <f aca="false">IF(AND(LEFT(D314,4)="I - ",ISNUMBER(B314),C314&lt;&gt;""),SUMIFS($E$6:$E$505,$C$6:$C$505,C314,$D$6:$D$505,D314,$B$6:$B$505,"&gt;"&amp;(B314-1),$B$6:$B$505,"&lt;="&amp;B314),0)</f>
        <v>0</v>
      </c>
      <c r="AX314" s="0" t="str">
        <f aca="false">IF(E314="","",IF(AD314="Siempre","AVISO (siempre)",IF(AD314="No aplica","Sin Aviso (sólo preparas: Ley 17 XI)",IF(NOT(ISNUMBER(AE314)),"",IF(AA314&lt;&gt;"ACUMULA",IF(E314&gt;=AE314,IF(AND(D314="XVI - Activos virtuales (PSAV): cobro de contraprestación (comisión) por el servicio",COUNTIFS($C$6:$C$505,C314,$B$6:$B$505,"&gt;="&amp;INT(B314),$B$6:$B$505,"&lt;"&amp;(INT(B314)+1),$AU$6:$AU$505,1)&gt;0),"En el Aviso del inciso a) (R 31 Bis)","AVISO"),"—"),IF(M314&lt;&gt;"Sí","—",IF(AK314&gt;=AE314,IF(AK314=E314,"AVISO","AVISO (acumulado)"),"Acumulando")))))))</f>
        <v/>
      </c>
    </row>
    <row r="315" customFormat="false" ht="15" hidden="false" customHeight="false" outlineLevel="0" collapsed="false">
      <c r="A315" s="9" t="str">
        <f aca="false">IF(E315="","",ROW()-5)</f>
        <v/>
      </c>
      <c r="B315" s="20"/>
      <c r="C315" s="21"/>
      <c r="D315" s="21"/>
      <c r="E315" s="22"/>
      <c r="F315" s="22"/>
      <c r="G315" s="21"/>
      <c r="H315" s="21"/>
      <c r="I315" s="9" t="str">
        <f aca="false">IF(C315="","",IFERROR(INDEX(CLIENTES!$B$6:$B$305,MATCH(C315,CLIENTES!$A$6:$A$305,0)),"⚠ ID no registrado"))</f>
        <v/>
      </c>
      <c r="J315" s="9" t="str">
        <f aca="false">IF(C315="","",IFERROR(INDEX(CLIENTES!$Z$6:$Z$305,MATCH(C315,CLIENTES!$A$6:$A$305,0)),""))</f>
        <v/>
      </c>
      <c r="K315" s="9" t="str">
        <f aca="false">IF(E315="","",IF(AB315="Siempre","Sí",IF(ISNUMBER(AC315),IF(E315&gt;=AC315,"Sí",IF(AW315&gt;=AC315,"Sí (serie 24 h)","No")),"")))</f>
        <v/>
      </c>
      <c r="L315" s="9" t="str">
        <f aca="false">IF(E315="","",AA315)</f>
        <v/>
      </c>
      <c r="M315" s="9" t="str">
        <f aca="false">IF(E315="","",IF(AA315&lt;&gt;"ACUMULA","No aplica",IF(LEFT(K315,2)="Sí","Sí","No")))</f>
        <v/>
      </c>
      <c r="N315" s="23" t="str">
        <f aca="false">IF(M315="Sí",AJ315,"")</f>
        <v/>
      </c>
      <c r="O315" s="24" t="str">
        <f aca="false">IF(M315="Sí",AK315,"")</f>
        <v/>
      </c>
      <c r="P315" s="25" t="str">
        <f aca="false">IF(AND(LEFT(D315,6)="XIV - ",LEFT(AX315,5)="AVISO"),"Pedimento (R 16): no va al SPPLD",AX315)</f>
        <v/>
      </c>
      <c r="Q315" s="23" t="str">
        <f aca="false">IF(LEFT(P315,5)="AVISO",IF(ISNUMBER(B315),DATE(YEAR(B315),MONTH(B315)+1,17),"Falta fecha"),"")</f>
        <v/>
      </c>
      <c r="R315" s="9" t="str">
        <f aca="false">IF(OR(F315="",F315=0),"",IF(ISNUMBER(AG315),IF(F315&gt;=AG315,"PROHIBIDO","Dentro del límite"),"No aplica"))</f>
        <v/>
      </c>
      <c r="S315" s="26" t="str">
        <f aca="false">IF(E315="","",MID(IF(AQ315=1," · Excede el perfil declarado","")&amp;IF(H315="Sí"," · Paga un tercero","")&amp;IF(J315="Alto"," · Cliente de riesgo alto: DDR (RCG 23 Ter 3 y 4)","")&amp;IF(AND(AS315&lt;&gt;"",AS315&lt;&gt;"No",AS315&lt;&gt;0)," · PEP","")&amp;IF(R315="PROHIBIDO"," · Efectivo prohibido: no lo recibas (Art. 32)","")&amp;IF(AR315=1," · ⚠ Fecha fuera de orden","")&amp;IF(LEFT(I315,1)="⚠"," · ⚠ Cliente no registrado","")&amp;IF(D315=""," · ⚠ Falta la actividad","")&amp;IF(AND(LEFT(P315,5)="AVISO",W315="")," · Captura la cifra total con IVA para el Aviso","")&amp;IF(AND(ISNUMBER(W315),W315&lt;E315)," · ⚠ La cifra con IVA es menor que el monto sin IVA",""),4,400))</f>
        <v/>
      </c>
      <c r="T315" s="21"/>
      <c r="U315" s="20"/>
      <c r="V315" s="9" t="str">
        <f aca="false">IF(LEFT(P315,5)&lt;&gt;"AVISO","",IF(T315="Presentado",IF(AND(ISNUMBER(U315),ISNUMBER(Q315),U315&gt;Q315),"Presentado tarde","Presentado"),IF(NOT(ISNUMBER(Q315)),"Falta fecha",IF(Q315&lt;CONFIG!$B$6,"VENCIDO","Vence en "&amp;(Q315-CONFIG!$B$6)&amp;" días"))))</f>
        <v/>
      </c>
      <c r="W315" s="22"/>
      <c r="X315" s="21"/>
      <c r="AA315" s="0" t="str">
        <f aca="false">IF(AM315="","",INDEX(CATÁLOGO!$D$5:$D$39,AM315))</f>
        <v/>
      </c>
      <c r="AB315" s="0" t="str">
        <f aca="false">IF(AM315="","",INDEX(CATÁLOGO!$E$5:$E$39,AM315))</f>
        <v/>
      </c>
      <c r="AC315" s="0" t="str">
        <f aca="false">IF(AB315="","",IF(ISNUMBER(AB315),AB315*AV315,AB315))</f>
        <v/>
      </c>
      <c r="AD315" s="0" t="str">
        <f aca="false">IF(AM315="","",INDEX(CATÁLOGO!$F$5:$F$39,AM315))</f>
        <v/>
      </c>
      <c r="AE315" s="0" t="str">
        <f aca="false">IF(AD315="","",IF(ISNUMBER(AD315),AD315*AV315,AD315))</f>
        <v/>
      </c>
      <c r="AF315" s="0" t="str">
        <f aca="false">IF(AM315="","",INDEX(CATÁLOGO!$G$5:$G$39,AM315))</f>
        <v/>
      </c>
      <c r="AG315" s="0" t="str">
        <f aca="false">IF(AF315="","",IF(ISNUMBER(AF315),AF315*AV315,AF315))</f>
        <v/>
      </c>
      <c r="AH315" s="0" t="str">
        <f aca="false">IF(E315="","",C315&amp;"|"&amp;D315)</f>
        <v/>
      </c>
      <c r="AI315" s="27" t="n">
        <f aca="false">IF(M315&lt;&gt;"Sí",0,SUMPRODUCT(MAX(($AH$5:AH314=AH315)*($M$5:M314="Sí")*ROW($AH$5:AH314))))</f>
        <v>0</v>
      </c>
      <c r="AJ315" s="0" t="str">
        <f aca="false">IF(M315&lt;&gt;"Sí","",IF(AL315=1,B315,INDEX($AJ:$AJ,AI315)))</f>
        <v/>
      </c>
      <c r="AK315" s="0" t="str">
        <f aca="false">IF(M315&lt;&gt;"Sí","",IF(AL315=1,E315,INDEX($AK:$AK,AI315)+E315))</f>
        <v/>
      </c>
      <c r="AL315" s="0" t="str">
        <f aca="false">IF(M315&lt;&gt;"Sí","",IF(AI315=0,1,IF(INDEX($AN:$AN,AI315)=0,1,IF(B315&gt;=EDATE(INDEX($AJ:$AJ,AI315),6),1,0))))</f>
        <v/>
      </c>
      <c r="AM315" s="0" t="str">
        <f aca="false">IF(D315="","",IFERROR(MATCH(D315,CATÁLOGO!$C$5:$C$39,0),""))</f>
        <v/>
      </c>
      <c r="AN315" s="0" t="str">
        <f aca="false">IF(M315&lt;&gt;"Sí","",IF(AND(ISNUMBER(AE315),AK315&gt;=AE315),0,1))</f>
        <v/>
      </c>
      <c r="AO315" s="0" t="str">
        <f aca="false">IF(OR(E315="",C315="",NOT(ISNUMBER(B315))),"",SUMIFS($E$6:$E$505,$C$6:$C$505,C315,$B$6:$B$505,"&gt;="&amp;DATE(YEAR(B315),MONTH(B315),1),$B$6:$B$505,"&lt;"&amp;DATE(YEAR(B315),MONTH(B315)+1,1)))</f>
        <v/>
      </c>
      <c r="AP315" s="0" t="str">
        <f aca="false">IF(C315="","",IFERROR(INDEX(CLIENTES!$M$6:$M$305,MATCH(C315,CLIENTES!$A$6:$A$305,0)),""))</f>
        <v/>
      </c>
      <c r="AQ315" s="27" t="n">
        <f aca="false">IF(AND(ISNUMBER(AO315),ISNUMBER(AP315)),IF(AND(AP315&gt;0,AO315&gt;AP315),1,0),0)</f>
        <v>0</v>
      </c>
      <c r="AR315" s="27" t="n">
        <f aca="false">IF(NOT(ISNUMBER(B315)),0,IF(B315&lt;MAX($B$5:B314),1,0))</f>
        <v>0</v>
      </c>
      <c r="AS315" s="0" t="str">
        <f aca="false">IF(C315="","",IFERROR(INDEX(CLIENTES!$H$6:$H$305,MATCH(C315,CLIENTES!$A$6:$A$305,0)),""))</f>
        <v/>
      </c>
      <c r="AT315" s="0" t="str">
        <f aca="false">IF(AND(LEFT(P315,5)="AVISO",T315&lt;&gt;"Presentado",ISNUMBER(Q315)),Q315,"")</f>
        <v/>
      </c>
      <c r="AU315" s="27" t="n">
        <f aca="false">IF(AND(D315="XVI - Activos virtuales (PSAV): operación de intercambio/transferencia",M315="Sí",ISNUMBER(AE315)),IF(AK315&gt;=AE315,1,0),0)</f>
        <v>0</v>
      </c>
      <c r="AV315" s="30" t="n">
        <f aca="false">IF(NOT(ISNUMBER(B315)),CONFIG!$B$4,IFERROR(INDEX(CONFIG!$I$5:$I$14,MATCH(IF(MONTH(B315)=1,YEAR(B315)-1,YEAR(B315)),CONFIG!$H$5:$H$14,0)),CONFIG!$B$4))</f>
        <v>117.31</v>
      </c>
      <c r="AW315" s="27" t="n">
        <f aca="false">IF(AND(LEFT(D315,4)="I - ",ISNUMBER(B315),C315&lt;&gt;""),SUMIFS($E$6:$E$505,$C$6:$C$505,C315,$D$6:$D$505,D315,$B$6:$B$505,"&gt;"&amp;(B315-1),$B$6:$B$505,"&lt;="&amp;B315),0)</f>
        <v>0</v>
      </c>
      <c r="AX315" s="0" t="str">
        <f aca="false">IF(E315="","",IF(AD315="Siempre","AVISO (siempre)",IF(AD315="No aplica","Sin Aviso (sólo preparas: Ley 17 XI)",IF(NOT(ISNUMBER(AE315)),"",IF(AA315&lt;&gt;"ACUMULA",IF(E315&gt;=AE315,IF(AND(D315="XVI - Activos virtuales (PSAV): cobro de contraprestación (comisión) por el servicio",COUNTIFS($C$6:$C$505,C315,$B$6:$B$505,"&gt;="&amp;INT(B315),$B$6:$B$505,"&lt;"&amp;(INT(B315)+1),$AU$6:$AU$505,1)&gt;0),"En el Aviso del inciso a) (R 31 Bis)","AVISO"),"—"),IF(M315&lt;&gt;"Sí","—",IF(AK315&gt;=AE315,IF(AK315=E315,"AVISO","AVISO (acumulado)"),"Acumulando")))))))</f>
        <v/>
      </c>
    </row>
    <row r="316" customFormat="false" ht="15" hidden="false" customHeight="false" outlineLevel="0" collapsed="false">
      <c r="A316" s="9" t="str">
        <f aca="false">IF(E316="","",ROW()-5)</f>
        <v/>
      </c>
      <c r="B316" s="20"/>
      <c r="C316" s="21"/>
      <c r="D316" s="21"/>
      <c r="E316" s="22"/>
      <c r="F316" s="22"/>
      <c r="G316" s="21"/>
      <c r="H316" s="21"/>
      <c r="I316" s="9" t="str">
        <f aca="false">IF(C316="","",IFERROR(INDEX(CLIENTES!$B$6:$B$305,MATCH(C316,CLIENTES!$A$6:$A$305,0)),"⚠ ID no registrado"))</f>
        <v/>
      </c>
      <c r="J316" s="9" t="str">
        <f aca="false">IF(C316="","",IFERROR(INDEX(CLIENTES!$Z$6:$Z$305,MATCH(C316,CLIENTES!$A$6:$A$305,0)),""))</f>
        <v/>
      </c>
      <c r="K316" s="9" t="str">
        <f aca="false">IF(E316="","",IF(AB316="Siempre","Sí",IF(ISNUMBER(AC316),IF(E316&gt;=AC316,"Sí",IF(AW316&gt;=AC316,"Sí (serie 24 h)","No")),"")))</f>
        <v/>
      </c>
      <c r="L316" s="9" t="str">
        <f aca="false">IF(E316="","",AA316)</f>
        <v/>
      </c>
      <c r="M316" s="9" t="str">
        <f aca="false">IF(E316="","",IF(AA316&lt;&gt;"ACUMULA","No aplica",IF(LEFT(K316,2)="Sí","Sí","No")))</f>
        <v/>
      </c>
      <c r="N316" s="23" t="str">
        <f aca="false">IF(M316="Sí",AJ316,"")</f>
        <v/>
      </c>
      <c r="O316" s="24" t="str">
        <f aca="false">IF(M316="Sí",AK316,"")</f>
        <v/>
      </c>
      <c r="P316" s="25" t="str">
        <f aca="false">IF(AND(LEFT(D316,6)="XIV - ",LEFT(AX316,5)="AVISO"),"Pedimento (R 16): no va al SPPLD",AX316)</f>
        <v/>
      </c>
      <c r="Q316" s="23" t="str">
        <f aca="false">IF(LEFT(P316,5)="AVISO",IF(ISNUMBER(B316),DATE(YEAR(B316),MONTH(B316)+1,17),"Falta fecha"),"")</f>
        <v/>
      </c>
      <c r="R316" s="9" t="str">
        <f aca="false">IF(OR(F316="",F316=0),"",IF(ISNUMBER(AG316),IF(F316&gt;=AG316,"PROHIBIDO","Dentro del límite"),"No aplica"))</f>
        <v/>
      </c>
      <c r="S316" s="26" t="str">
        <f aca="false">IF(E316="","",MID(IF(AQ316=1," · Excede el perfil declarado","")&amp;IF(H316="Sí"," · Paga un tercero","")&amp;IF(J316="Alto"," · Cliente de riesgo alto: DDR (RCG 23 Ter 3 y 4)","")&amp;IF(AND(AS316&lt;&gt;"",AS316&lt;&gt;"No",AS316&lt;&gt;0)," · PEP","")&amp;IF(R316="PROHIBIDO"," · Efectivo prohibido: no lo recibas (Art. 32)","")&amp;IF(AR316=1," · ⚠ Fecha fuera de orden","")&amp;IF(LEFT(I316,1)="⚠"," · ⚠ Cliente no registrado","")&amp;IF(D316=""," · ⚠ Falta la actividad","")&amp;IF(AND(LEFT(P316,5)="AVISO",W316="")," · Captura la cifra total con IVA para el Aviso","")&amp;IF(AND(ISNUMBER(W316),W316&lt;E316)," · ⚠ La cifra con IVA es menor que el monto sin IVA",""),4,400))</f>
        <v/>
      </c>
      <c r="T316" s="21"/>
      <c r="U316" s="20"/>
      <c r="V316" s="9" t="str">
        <f aca="false">IF(LEFT(P316,5)&lt;&gt;"AVISO","",IF(T316="Presentado",IF(AND(ISNUMBER(U316),ISNUMBER(Q316),U316&gt;Q316),"Presentado tarde","Presentado"),IF(NOT(ISNUMBER(Q316)),"Falta fecha",IF(Q316&lt;CONFIG!$B$6,"VENCIDO","Vence en "&amp;(Q316-CONFIG!$B$6)&amp;" días"))))</f>
        <v/>
      </c>
      <c r="W316" s="22"/>
      <c r="X316" s="21"/>
      <c r="AA316" s="0" t="str">
        <f aca="false">IF(AM316="","",INDEX(CATÁLOGO!$D$5:$D$39,AM316))</f>
        <v/>
      </c>
      <c r="AB316" s="0" t="str">
        <f aca="false">IF(AM316="","",INDEX(CATÁLOGO!$E$5:$E$39,AM316))</f>
        <v/>
      </c>
      <c r="AC316" s="0" t="str">
        <f aca="false">IF(AB316="","",IF(ISNUMBER(AB316),AB316*AV316,AB316))</f>
        <v/>
      </c>
      <c r="AD316" s="0" t="str">
        <f aca="false">IF(AM316="","",INDEX(CATÁLOGO!$F$5:$F$39,AM316))</f>
        <v/>
      </c>
      <c r="AE316" s="0" t="str">
        <f aca="false">IF(AD316="","",IF(ISNUMBER(AD316),AD316*AV316,AD316))</f>
        <v/>
      </c>
      <c r="AF316" s="0" t="str">
        <f aca="false">IF(AM316="","",INDEX(CATÁLOGO!$G$5:$G$39,AM316))</f>
        <v/>
      </c>
      <c r="AG316" s="0" t="str">
        <f aca="false">IF(AF316="","",IF(ISNUMBER(AF316),AF316*AV316,AF316))</f>
        <v/>
      </c>
      <c r="AH316" s="0" t="str">
        <f aca="false">IF(E316="","",C316&amp;"|"&amp;D316)</f>
        <v/>
      </c>
      <c r="AI316" s="27" t="n">
        <f aca="false">IF(M316&lt;&gt;"Sí",0,SUMPRODUCT(MAX(($AH$5:AH315=AH316)*($M$5:M315="Sí")*ROW($AH$5:AH315))))</f>
        <v>0</v>
      </c>
      <c r="AJ316" s="0" t="str">
        <f aca="false">IF(M316&lt;&gt;"Sí","",IF(AL316=1,B316,INDEX($AJ:$AJ,AI316)))</f>
        <v/>
      </c>
      <c r="AK316" s="0" t="str">
        <f aca="false">IF(M316&lt;&gt;"Sí","",IF(AL316=1,E316,INDEX($AK:$AK,AI316)+E316))</f>
        <v/>
      </c>
      <c r="AL316" s="0" t="str">
        <f aca="false">IF(M316&lt;&gt;"Sí","",IF(AI316=0,1,IF(INDEX($AN:$AN,AI316)=0,1,IF(B316&gt;=EDATE(INDEX($AJ:$AJ,AI316),6),1,0))))</f>
        <v/>
      </c>
      <c r="AM316" s="0" t="str">
        <f aca="false">IF(D316="","",IFERROR(MATCH(D316,CATÁLOGO!$C$5:$C$39,0),""))</f>
        <v/>
      </c>
      <c r="AN316" s="0" t="str">
        <f aca="false">IF(M316&lt;&gt;"Sí","",IF(AND(ISNUMBER(AE316),AK316&gt;=AE316),0,1))</f>
        <v/>
      </c>
      <c r="AO316" s="0" t="str">
        <f aca="false">IF(OR(E316="",C316="",NOT(ISNUMBER(B316))),"",SUMIFS($E$6:$E$505,$C$6:$C$505,C316,$B$6:$B$505,"&gt;="&amp;DATE(YEAR(B316),MONTH(B316),1),$B$6:$B$505,"&lt;"&amp;DATE(YEAR(B316),MONTH(B316)+1,1)))</f>
        <v/>
      </c>
      <c r="AP316" s="0" t="str">
        <f aca="false">IF(C316="","",IFERROR(INDEX(CLIENTES!$M$6:$M$305,MATCH(C316,CLIENTES!$A$6:$A$305,0)),""))</f>
        <v/>
      </c>
      <c r="AQ316" s="27" t="n">
        <f aca="false">IF(AND(ISNUMBER(AO316),ISNUMBER(AP316)),IF(AND(AP316&gt;0,AO316&gt;AP316),1,0),0)</f>
        <v>0</v>
      </c>
      <c r="AR316" s="27" t="n">
        <f aca="false">IF(NOT(ISNUMBER(B316)),0,IF(B316&lt;MAX($B$5:B315),1,0))</f>
        <v>0</v>
      </c>
      <c r="AS316" s="0" t="str">
        <f aca="false">IF(C316="","",IFERROR(INDEX(CLIENTES!$H$6:$H$305,MATCH(C316,CLIENTES!$A$6:$A$305,0)),""))</f>
        <v/>
      </c>
      <c r="AT316" s="0" t="str">
        <f aca="false">IF(AND(LEFT(P316,5)="AVISO",T316&lt;&gt;"Presentado",ISNUMBER(Q316)),Q316,"")</f>
        <v/>
      </c>
      <c r="AU316" s="27" t="n">
        <f aca="false">IF(AND(D316="XVI - Activos virtuales (PSAV): operación de intercambio/transferencia",M316="Sí",ISNUMBER(AE316)),IF(AK316&gt;=AE316,1,0),0)</f>
        <v>0</v>
      </c>
      <c r="AV316" s="30" t="n">
        <f aca="false">IF(NOT(ISNUMBER(B316)),CONFIG!$B$4,IFERROR(INDEX(CONFIG!$I$5:$I$14,MATCH(IF(MONTH(B316)=1,YEAR(B316)-1,YEAR(B316)),CONFIG!$H$5:$H$14,0)),CONFIG!$B$4))</f>
        <v>117.31</v>
      </c>
      <c r="AW316" s="27" t="n">
        <f aca="false">IF(AND(LEFT(D316,4)="I - ",ISNUMBER(B316),C316&lt;&gt;""),SUMIFS($E$6:$E$505,$C$6:$C$505,C316,$D$6:$D$505,D316,$B$6:$B$505,"&gt;"&amp;(B316-1),$B$6:$B$505,"&lt;="&amp;B316),0)</f>
        <v>0</v>
      </c>
      <c r="AX316" s="0" t="str">
        <f aca="false">IF(E316="","",IF(AD316="Siempre","AVISO (siempre)",IF(AD316="No aplica","Sin Aviso (sólo preparas: Ley 17 XI)",IF(NOT(ISNUMBER(AE316)),"",IF(AA316&lt;&gt;"ACUMULA",IF(E316&gt;=AE316,IF(AND(D316="XVI - Activos virtuales (PSAV): cobro de contraprestación (comisión) por el servicio",COUNTIFS($C$6:$C$505,C316,$B$6:$B$505,"&gt;="&amp;INT(B316),$B$6:$B$505,"&lt;"&amp;(INT(B316)+1),$AU$6:$AU$505,1)&gt;0),"En el Aviso del inciso a) (R 31 Bis)","AVISO"),"—"),IF(M316&lt;&gt;"Sí","—",IF(AK316&gt;=AE316,IF(AK316=E316,"AVISO","AVISO (acumulado)"),"Acumulando")))))))</f>
        <v/>
      </c>
    </row>
    <row r="317" customFormat="false" ht="15" hidden="false" customHeight="false" outlineLevel="0" collapsed="false">
      <c r="A317" s="9" t="str">
        <f aca="false">IF(E317="","",ROW()-5)</f>
        <v/>
      </c>
      <c r="B317" s="20"/>
      <c r="C317" s="21"/>
      <c r="D317" s="21"/>
      <c r="E317" s="22"/>
      <c r="F317" s="22"/>
      <c r="G317" s="21"/>
      <c r="H317" s="21"/>
      <c r="I317" s="9" t="str">
        <f aca="false">IF(C317="","",IFERROR(INDEX(CLIENTES!$B$6:$B$305,MATCH(C317,CLIENTES!$A$6:$A$305,0)),"⚠ ID no registrado"))</f>
        <v/>
      </c>
      <c r="J317" s="9" t="str">
        <f aca="false">IF(C317="","",IFERROR(INDEX(CLIENTES!$Z$6:$Z$305,MATCH(C317,CLIENTES!$A$6:$A$305,0)),""))</f>
        <v/>
      </c>
      <c r="K317" s="9" t="str">
        <f aca="false">IF(E317="","",IF(AB317="Siempre","Sí",IF(ISNUMBER(AC317),IF(E317&gt;=AC317,"Sí",IF(AW317&gt;=AC317,"Sí (serie 24 h)","No")),"")))</f>
        <v/>
      </c>
      <c r="L317" s="9" t="str">
        <f aca="false">IF(E317="","",AA317)</f>
        <v/>
      </c>
      <c r="M317" s="9" t="str">
        <f aca="false">IF(E317="","",IF(AA317&lt;&gt;"ACUMULA","No aplica",IF(LEFT(K317,2)="Sí","Sí","No")))</f>
        <v/>
      </c>
      <c r="N317" s="23" t="str">
        <f aca="false">IF(M317="Sí",AJ317,"")</f>
        <v/>
      </c>
      <c r="O317" s="24" t="str">
        <f aca="false">IF(M317="Sí",AK317,"")</f>
        <v/>
      </c>
      <c r="P317" s="25" t="str">
        <f aca="false">IF(AND(LEFT(D317,6)="XIV - ",LEFT(AX317,5)="AVISO"),"Pedimento (R 16): no va al SPPLD",AX317)</f>
        <v/>
      </c>
      <c r="Q317" s="23" t="str">
        <f aca="false">IF(LEFT(P317,5)="AVISO",IF(ISNUMBER(B317),DATE(YEAR(B317),MONTH(B317)+1,17),"Falta fecha"),"")</f>
        <v/>
      </c>
      <c r="R317" s="9" t="str">
        <f aca="false">IF(OR(F317="",F317=0),"",IF(ISNUMBER(AG317),IF(F317&gt;=AG317,"PROHIBIDO","Dentro del límite"),"No aplica"))</f>
        <v/>
      </c>
      <c r="S317" s="26" t="str">
        <f aca="false">IF(E317="","",MID(IF(AQ317=1," · Excede el perfil declarado","")&amp;IF(H317="Sí"," · Paga un tercero","")&amp;IF(J317="Alto"," · Cliente de riesgo alto: DDR (RCG 23 Ter 3 y 4)","")&amp;IF(AND(AS317&lt;&gt;"",AS317&lt;&gt;"No",AS317&lt;&gt;0)," · PEP","")&amp;IF(R317="PROHIBIDO"," · Efectivo prohibido: no lo recibas (Art. 32)","")&amp;IF(AR317=1," · ⚠ Fecha fuera de orden","")&amp;IF(LEFT(I317,1)="⚠"," · ⚠ Cliente no registrado","")&amp;IF(D317=""," · ⚠ Falta la actividad","")&amp;IF(AND(LEFT(P317,5)="AVISO",W317="")," · Captura la cifra total con IVA para el Aviso","")&amp;IF(AND(ISNUMBER(W317),W317&lt;E317)," · ⚠ La cifra con IVA es menor que el monto sin IVA",""),4,400))</f>
        <v/>
      </c>
      <c r="T317" s="21"/>
      <c r="U317" s="20"/>
      <c r="V317" s="9" t="str">
        <f aca="false">IF(LEFT(P317,5)&lt;&gt;"AVISO","",IF(T317="Presentado",IF(AND(ISNUMBER(U317),ISNUMBER(Q317),U317&gt;Q317),"Presentado tarde","Presentado"),IF(NOT(ISNUMBER(Q317)),"Falta fecha",IF(Q317&lt;CONFIG!$B$6,"VENCIDO","Vence en "&amp;(Q317-CONFIG!$B$6)&amp;" días"))))</f>
        <v/>
      </c>
      <c r="W317" s="22"/>
      <c r="X317" s="21"/>
      <c r="AA317" s="0" t="str">
        <f aca="false">IF(AM317="","",INDEX(CATÁLOGO!$D$5:$D$39,AM317))</f>
        <v/>
      </c>
      <c r="AB317" s="0" t="str">
        <f aca="false">IF(AM317="","",INDEX(CATÁLOGO!$E$5:$E$39,AM317))</f>
        <v/>
      </c>
      <c r="AC317" s="0" t="str">
        <f aca="false">IF(AB317="","",IF(ISNUMBER(AB317),AB317*AV317,AB317))</f>
        <v/>
      </c>
      <c r="AD317" s="0" t="str">
        <f aca="false">IF(AM317="","",INDEX(CATÁLOGO!$F$5:$F$39,AM317))</f>
        <v/>
      </c>
      <c r="AE317" s="0" t="str">
        <f aca="false">IF(AD317="","",IF(ISNUMBER(AD317),AD317*AV317,AD317))</f>
        <v/>
      </c>
      <c r="AF317" s="0" t="str">
        <f aca="false">IF(AM317="","",INDEX(CATÁLOGO!$G$5:$G$39,AM317))</f>
        <v/>
      </c>
      <c r="AG317" s="0" t="str">
        <f aca="false">IF(AF317="","",IF(ISNUMBER(AF317),AF317*AV317,AF317))</f>
        <v/>
      </c>
      <c r="AH317" s="0" t="str">
        <f aca="false">IF(E317="","",C317&amp;"|"&amp;D317)</f>
        <v/>
      </c>
      <c r="AI317" s="27" t="n">
        <f aca="false">IF(M317&lt;&gt;"Sí",0,SUMPRODUCT(MAX(($AH$5:AH316=AH317)*($M$5:M316="Sí")*ROW($AH$5:AH316))))</f>
        <v>0</v>
      </c>
      <c r="AJ317" s="0" t="str">
        <f aca="false">IF(M317&lt;&gt;"Sí","",IF(AL317=1,B317,INDEX($AJ:$AJ,AI317)))</f>
        <v/>
      </c>
      <c r="AK317" s="0" t="str">
        <f aca="false">IF(M317&lt;&gt;"Sí","",IF(AL317=1,E317,INDEX($AK:$AK,AI317)+E317))</f>
        <v/>
      </c>
      <c r="AL317" s="0" t="str">
        <f aca="false">IF(M317&lt;&gt;"Sí","",IF(AI317=0,1,IF(INDEX($AN:$AN,AI317)=0,1,IF(B317&gt;=EDATE(INDEX($AJ:$AJ,AI317),6),1,0))))</f>
        <v/>
      </c>
      <c r="AM317" s="0" t="str">
        <f aca="false">IF(D317="","",IFERROR(MATCH(D317,CATÁLOGO!$C$5:$C$39,0),""))</f>
        <v/>
      </c>
      <c r="AN317" s="0" t="str">
        <f aca="false">IF(M317&lt;&gt;"Sí","",IF(AND(ISNUMBER(AE317),AK317&gt;=AE317),0,1))</f>
        <v/>
      </c>
      <c r="AO317" s="0" t="str">
        <f aca="false">IF(OR(E317="",C317="",NOT(ISNUMBER(B317))),"",SUMIFS($E$6:$E$505,$C$6:$C$505,C317,$B$6:$B$505,"&gt;="&amp;DATE(YEAR(B317),MONTH(B317),1),$B$6:$B$505,"&lt;"&amp;DATE(YEAR(B317),MONTH(B317)+1,1)))</f>
        <v/>
      </c>
      <c r="AP317" s="0" t="str">
        <f aca="false">IF(C317="","",IFERROR(INDEX(CLIENTES!$M$6:$M$305,MATCH(C317,CLIENTES!$A$6:$A$305,0)),""))</f>
        <v/>
      </c>
      <c r="AQ317" s="27" t="n">
        <f aca="false">IF(AND(ISNUMBER(AO317),ISNUMBER(AP317)),IF(AND(AP317&gt;0,AO317&gt;AP317),1,0),0)</f>
        <v>0</v>
      </c>
      <c r="AR317" s="27" t="n">
        <f aca="false">IF(NOT(ISNUMBER(B317)),0,IF(B317&lt;MAX($B$5:B316),1,0))</f>
        <v>0</v>
      </c>
      <c r="AS317" s="0" t="str">
        <f aca="false">IF(C317="","",IFERROR(INDEX(CLIENTES!$H$6:$H$305,MATCH(C317,CLIENTES!$A$6:$A$305,0)),""))</f>
        <v/>
      </c>
      <c r="AT317" s="0" t="str">
        <f aca="false">IF(AND(LEFT(P317,5)="AVISO",T317&lt;&gt;"Presentado",ISNUMBER(Q317)),Q317,"")</f>
        <v/>
      </c>
      <c r="AU317" s="27" t="n">
        <f aca="false">IF(AND(D317="XVI - Activos virtuales (PSAV): operación de intercambio/transferencia",M317="Sí",ISNUMBER(AE317)),IF(AK317&gt;=AE317,1,0),0)</f>
        <v>0</v>
      </c>
      <c r="AV317" s="30" t="n">
        <f aca="false">IF(NOT(ISNUMBER(B317)),CONFIG!$B$4,IFERROR(INDEX(CONFIG!$I$5:$I$14,MATCH(IF(MONTH(B317)=1,YEAR(B317)-1,YEAR(B317)),CONFIG!$H$5:$H$14,0)),CONFIG!$B$4))</f>
        <v>117.31</v>
      </c>
      <c r="AW317" s="27" t="n">
        <f aca="false">IF(AND(LEFT(D317,4)="I - ",ISNUMBER(B317),C317&lt;&gt;""),SUMIFS($E$6:$E$505,$C$6:$C$505,C317,$D$6:$D$505,D317,$B$6:$B$505,"&gt;"&amp;(B317-1),$B$6:$B$505,"&lt;="&amp;B317),0)</f>
        <v>0</v>
      </c>
      <c r="AX317" s="0" t="str">
        <f aca="false">IF(E317="","",IF(AD317="Siempre","AVISO (siempre)",IF(AD317="No aplica","Sin Aviso (sólo preparas: Ley 17 XI)",IF(NOT(ISNUMBER(AE317)),"",IF(AA317&lt;&gt;"ACUMULA",IF(E317&gt;=AE317,IF(AND(D317="XVI - Activos virtuales (PSAV): cobro de contraprestación (comisión) por el servicio",COUNTIFS($C$6:$C$505,C317,$B$6:$B$505,"&gt;="&amp;INT(B317),$B$6:$B$505,"&lt;"&amp;(INT(B317)+1),$AU$6:$AU$505,1)&gt;0),"En el Aviso del inciso a) (R 31 Bis)","AVISO"),"—"),IF(M317&lt;&gt;"Sí","—",IF(AK317&gt;=AE317,IF(AK317=E317,"AVISO","AVISO (acumulado)"),"Acumulando")))))))</f>
        <v/>
      </c>
    </row>
    <row r="318" customFormat="false" ht="15" hidden="false" customHeight="false" outlineLevel="0" collapsed="false">
      <c r="A318" s="9" t="str">
        <f aca="false">IF(E318="","",ROW()-5)</f>
        <v/>
      </c>
      <c r="B318" s="20"/>
      <c r="C318" s="21"/>
      <c r="D318" s="21"/>
      <c r="E318" s="22"/>
      <c r="F318" s="22"/>
      <c r="G318" s="21"/>
      <c r="H318" s="21"/>
      <c r="I318" s="9" t="str">
        <f aca="false">IF(C318="","",IFERROR(INDEX(CLIENTES!$B$6:$B$305,MATCH(C318,CLIENTES!$A$6:$A$305,0)),"⚠ ID no registrado"))</f>
        <v/>
      </c>
      <c r="J318" s="9" t="str">
        <f aca="false">IF(C318="","",IFERROR(INDEX(CLIENTES!$Z$6:$Z$305,MATCH(C318,CLIENTES!$A$6:$A$305,0)),""))</f>
        <v/>
      </c>
      <c r="K318" s="9" t="str">
        <f aca="false">IF(E318="","",IF(AB318="Siempre","Sí",IF(ISNUMBER(AC318),IF(E318&gt;=AC318,"Sí",IF(AW318&gt;=AC318,"Sí (serie 24 h)","No")),"")))</f>
        <v/>
      </c>
      <c r="L318" s="9" t="str">
        <f aca="false">IF(E318="","",AA318)</f>
        <v/>
      </c>
      <c r="M318" s="9" t="str">
        <f aca="false">IF(E318="","",IF(AA318&lt;&gt;"ACUMULA","No aplica",IF(LEFT(K318,2)="Sí","Sí","No")))</f>
        <v/>
      </c>
      <c r="N318" s="23" t="str">
        <f aca="false">IF(M318="Sí",AJ318,"")</f>
        <v/>
      </c>
      <c r="O318" s="24" t="str">
        <f aca="false">IF(M318="Sí",AK318,"")</f>
        <v/>
      </c>
      <c r="P318" s="25" t="str">
        <f aca="false">IF(AND(LEFT(D318,6)="XIV - ",LEFT(AX318,5)="AVISO"),"Pedimento (R 16): no va al SPPLD",AX318)</f>
        <v/>
      </c>
      <c r="Q318" s="23" t="str">
        <f aca="false">IF(LEFT(P318,5)="AVISO",IF(ISNUMBER(B318),DATE(YEAR(B318),MONTH(B318)+1,17),"Falta fecha"),"")</f>
        <v/>
      </c>
      <c r="R318" s="9" t="str">
        <f aca="false">IF(OR(F318="",F318=0),"",IF(ISNUMBER(AG318),IF(F318&gt;=AG318,"PROHIBIDO","Dentro del límite"),"No aplica"))</f>
        <v/>
      </c>
      <c r="S318" s="26" t="str">
        <f aca="false">IF(E318="","",MID(IF(AQ318=1," · Excede el perfil declarado","")&amp;IF(H318="Sí"," · Paga un tercero","")&amp;IF(J318="Alto"," · Cliente de riesgo alto: DDR (RCG 23 Ter 3 y 4)","")&amp;IF(AND(AS318&lt;&gt;"",AS318&lt;&gt;"No",AS318&lt;&gt;0)," · PEP","")&amp;IF(R318="PROHIBIDO"," · Efectivo prohibido: no lo recibas (Art. 32)","")&amp;IF(AR318=1," · ⚠ Fecha fuera de orden","")&amp;IF(LEFT(I318,1)="⚠"," · ⚠ Cliente no registrado","")&amp;IF(D318=""," · ⚠ Falta la actividad","")&amp;IF(AND(LEFT(P318,5)="AVISO",W318="")," · Captura la cifra total con IVA para el Aviso","")&amp;IF(AND(ISNUMBER(W318),W318&lt;E318)," · ⚠ La cifra con IVA es menor que el monto sin IVA",""),4,400))</f>
        <v/>
      </c>
      <c r="T318" s="21"/>
      <c r="U318" s="20"/>
      <c r="V318" s="9" t="str">
        <f aca="false">IF(LEFT(P318,5)&lt;&gt;"AVISO","",IF(T318="Presentado",IF(AND(ISNUMBER(U318),ISNUMBER(Q318),U318&gt;Q318),"Presentado tarde","Presentado"),IF(NOT(ISNUMBER(Q318)),"Falta fecha",IF(Q318&lt;CONFIG!$B$6,"VENCIDO","Vence en "&amp;(Q318-CONFIG!$B$6)&amp;" días"))))</f>
        <v/>
      </c>
      <c r="W318" s="22"/>
      <c r="X318" s="21"/>
      <c r="AA318" s="0" t="str">
        <f aca="false">IF(AM318="","",INDEX(CATÁLOGO!$D$5:$D$39,AM318))</f>
        <v/>
      </c>
      <c r="AB318" s="0" t="str">
        <f aca="false">IF(AM318="","",INDEX(CATÁLOGO!$E$5:$E$39,AM318))</f>
        <v/>
      </c>
      <c r="AC318" s="0" t="str">
        <f aca="false">IF(AB318="","",IF(ISNUMBER(AB318),AB318*AV318,AB318))</f>
        <v/>
      </c>
      <c r="AD318" s="0" t="str">
        <f aca="false">IF(AM318="","",INDEX(CATÁLOGO!$F$5:$F$39,AM318))</f>
        <v/>
      </c>
      <c r="AE318" s="0" t="str">
        <f aca="false">IF(AD318="","",IF(ISNUMBER(AD318),AD318*AV318,AD318))</f>
        <v/>
      </c>
      <c r="AF318" s="0" t="str">
        <f aca="false">IF(AM318="","",INDEX(CATÁLOGO!$G$5:$G$39,AM318))</f>
        <v/>
      </c>
      <c r="AG318" s="0" t="str">
        <f aca="false">IF(AF318="","",IF(ISNUMBER(AF318),AF318*AV318,AF318))</f>
        <v/>
      </c>
      <c r="AH318" s="0" t="str">
        <f aca="false">IF(E318="","",C318&amp;"|"&amp;D318)</f>
        <v/>
      </c>
      <c r="AI318" s="27" t="n">
        <f aca="false">IF(M318&lt;&gt;"Sí",0,SUMPRODUCT(MAX(($AH$5:AH317=AH318)*($M$5:M317="Sí")*ROW($AH$5:AH317))))</f>
        <v>0</v>
      </c>
      <c r="AJ318" s="0" t="str">
        <f aca="false">IF(M318&lt;&gt;"Sí","",IF(AL318=1,B318,INDEX($AJ:$AJ,AI318)))</f>
        <v/>
      </c>
      <c r="AK318" s="0" t="str">
        <f aca="false">IF(M318&lt;&gt;"Sí","",IF(AL318=1,E318,INDEX($AK:$AK,AI318)+E318))</f>
        <v/>
      </c>
      <c r="AL318" s="0" t="str">
        <f aca="false">IF(M318&lt;&gt;"Sí","",IF(AI318=0,1,IF(INDEX($AN:$AN,AI318)=0,1,IF(B318&gt;=EDATE(INDEX($AJ:$AJ,AI318),6),1,0))))</f>
        <v/>
      </c>
      <c r="AM318" s="0" t="str">
        <f aca="false">IF(D318="","",IFERROR(MATCH(D318,CATÁLOGO!$C$5:$C$39,0),""))</f>
        <v/>
      </c>
      <c r="AN318" s="0" t="str">
        <f aca="false">IF(M318&lt;&gt;"Sí","",IF(AND(ISNUMBER(AE318),AK318&gt;=AE318),0,1))</f>
        <v/>
      </c>
      <c r="AO318" s="0" t="str">
        <f aca="false">IF(OR(E318="",C318="",NOT(ISNUMBER(B318))),"",SUMIFS($E$6:$E$505,$C$6:$C$505,C318,$B$6:$B$505,"&gt;="&amp;DATE(YEAR(B318),MONTH(B318),1),$B$6:$B$505,"&lt;"&amp;DATE(YEAR(B318),MONTH(B318)+1,1)))</f>
        <v/>
      </c>
      <c r="AP318" s="0" t="str">
        <f aca="false">IF(C318="","",IFERROR(INDEX(CLIENTES!$M$6:$M$305,MATCH(C318,CLIENTES!$A$6:$A$305,0)),""))</f>
        <v/>
      </c>
      <c r="AQ318" s="27" t="n">
        <f aca="false">IF(AND(ISNUMBER(AO318),ISNUMBER(AP318)),IF(AND(AP318&gt;0,AO318&gt;AP318),1,0),0)</f>
        <v>0</v>
      </c>
      <c r="AR318" s="27" t="n">
        <f aca="false">IF(NOT(ISNUMBER(B318)),0,IF(B318&lt;MAX($B$5:B317),1,0))</f>
        <v>0</v>
      </c>
      <c r="AS318" s="0" t="str">
        <f aca="false">IF(C318="","",IFERROR(INDEX(CLIENTES!$H$6:$H$305,MATCH(C318,CLIENTES!$A$6:$A$305,0)),""))</f>
        <v/>
      </c>
      <c r="AT318" s="0" t="str">
        <f aca="false">IF(AND(LEFT(P318,5)="AVISO",T318&lt;&gt;"Presentado",ISNUMBER(Q318)),Q318,"")</f>
        <v/>
      </c>
      <c r="AU318" s="27" t="n">
        <f aca="false">IF(AND(D318="XVI - Activos virtuales (PSAV): operación de intercambio/transferencia",M318="Sí",ISNUMBER(AE318)),IF(AK318&gt;=AE318,1,0),0)</f>
        <v>0</v>
      </c>
      <c r="AV318" s="30" t="n">
        <f aca="false">IF(NOT(ISNUMBER(B318)),CONFIG!$B$4,IFERROR(INDEX(CONFIG!$I$5:$I$14,MATCH(IF(MONTH(B318)=1,YEAR(B318)-1,YEAR(B318)),CONFIG!$H$5:$H$14,0)),CONFIG!$B$4))</f>
        <v>117.31</v>
      </c>
      <c r="AW318" s="27" t="n">
        <f aca="false">IF(AND(LEFT(D318,4)="I - ",ISNUMBER(B318),C318&lt;&gt;""),SUMIFS($E$6:$E$505,$C$6:$C$505,C318,$D$6:$D$505,D318,$B$6:$B$505,"&gt;"&amp;(B318-1),$B$6:$B$505,"&lt;="&amp;B318),0)</f>
        <v>0</v>
      </c>
      <c r="AX318" s="0" t="str">
        <f aca="false">IF(E318="","",IF(AD318="Siempre","AVISO (siempre)",IF(AD318="No aplica","Sin Aviso (sólo preparas: Ley 17 XI)",IF(NOT(ISNUMBER(AE318)),"",IF(AA318&lt;&gt;"ACUMULA",IF(E318&gt;=AE318,IF(AND(D318="XVI - Activos virtuales (PSAV): cobro de contraprestación (comisión) por el servicio",COUNTIFS($C$6:$C$505,C318,$B$6:$B$505,"&gt;="&amp;INT(B318),$B$6:$B$505,"&lt;"&amp;(INT(B318)+1),$AU$6:$AU$505,1)&gt;0),"En el Aviso del inciso a) (R 31 Bis)","AVISO"),"—"),IF(M318&lt;&gt;"Sí","—",IF(AK318&gt;=AE318,IF(AK318=E318,"AVISO","AVISO (acumulado)"),"Acumulando")))))))</f>
        <v/>
      </c>
    </row>
    <row r="319" customFormat="false" ht="15" hidden="false" customHeight="false" outlineLevel="0" collapsed="false">
      <c r="A319" s="9" t="str">
        <f aca="false">IF(E319="","",ROW()-5)</f>
        <v/>
      </c>
      <c r="B319" s="20"/>
      <c r="C319" s="21"/>
      <c r="D319" s="21"/>
      <c r="E319" s="22"/>
      <c r="F319" s="22"/>
      <c r="G319" s="21"/>
      <c r="H319" s="21"/>
      <c r="I319" s="9" t="str">
        <f aca="false">IF(C319="","",IFERROR(INDEX(CLIENTES!$B$6:$B$305,MATCH(C319,CLIENTES!$A$6:$A$305,0)),"⚠ ID no registrado"))</f>
        <v/>
      </c>
      <c r="J319" s="9" t="str">
        <f aca="false">IF(C319="","",IFERROR(INDEX(CLIENTES!$Z$6:$Z$305,MATCH(C319,CLIENTES!$A$6:$A$305,0)),""))</f>
        <v/>
      </c>
      <c r="K319" s="9" t="str">
        <f aca="false">IF(E319="","",IF(AB319="Siempre","Sí",IF(ISNUMBER(AC319),IF(E319&gt;=AC319,"Sí",IF(AW319&gt;=AC319,"Sí (serie 24 h)","No")),"")))</f>
        <v/>
      </c>
      <c r="L319" s="9" t="str">
        <f aca="false">IF(E319="","",AA319)</f>
        <v/>
      </c>
      <c r="M319" s="9" t="str">
        <f aca="false">IF(E319="","",IF(AA319&lt;&gt;"ACUMULA","No aplica",IF(LEFT(K319,2)="Sí","Sí","No")))</f>
        <v/>
      </c>
      <c r="N319" s="23" t="str">
        <f aca="false">IF(M319="Sí",AJ319,"")</f>
        <v/>
      </c>
      <c r="O319" s="24" t="str">
        <f aca="false">IF(M319="Sí",AK319,"")</f>
        <v/>
      </c>
      <c r="P319" s="25" t="str">
        <f aca="false">IF(AND(LEFT(D319,6)="XIV - ",LEFT(AX319,5)="AVISO"),"Pedimento (R 16): no va al SPPLD",AX319)</f>
        <v/>
      </c>
      <c r="Q319" s="23" t="str">
        <f aca="false">IF(LEFT(P319,5)="AVISO",IF(ISNUMBER(B319),DATE(YEAR(B319),MONTH(B319)+1,17),"Falta fecha"),"")</f>
        <v/>
      </c>
      <c r="R319" s="9" t="str">
        <f aca="false">IF(OR(F319="",F319=0),"",IF(ISNUMBER(AG319),IF(F319&gt;=AG319,"PROHIBIDO","Dentro del límite"),"No aplica"))</f>
        <v/>
      </c>
      <c r="S319" s="26" t="str">
        <f aca="false">IF(E319="","",MID(IF(AQ319=1," · Excede el perfil declarado","")&amp;IF(H319="Sí"," · Paga un tercero","")&amp;IF(J319="Alto"," · Cliente de riesgo alto: DDR (RCG 23 Ter 3 y 4)","")&amp;IF(AND(AS319&lt;&gt;"",AS319&lt;&gt;"No",AS319&lt;&gt;0)," · PEP","")&amp;IF(R319="PROHIBIDO"," · Efectivo prohibido: no lo recibas (Art. 32)","")&amp;IF(AR319=1," · ⚠ Fecha fuera de orden","")&amp;IF(LEFT(I319,1)="⚠"," · ⚠ Cliente no registrado","")&amp;IF(D319=""," · ⚠ Falta la actividad","")&amp;IF(AND(LEFT(P319,5)="AVISO",W319="")," · Captura la cifra total con IVA para el Aviso","")&amp;IF(AND(ISNUMBER(W319),W319&lt;E319)," · ⚠ La cifra con IVA es menor que el monto sin IVA",""),4,400))</f>
        <v/>
      </c>
      <c r="T319" s="21"/>
      <c r="U319" s="20"/>
      <c r="V319" s="9" t="str">
        <f aca="false">IF(LEFT(P319,5)&lt;&gt;"AVISO","",IF(T319="Presentado",IF(AND(ISNUMBER(U319),ISNUMBER(Q319),U319&gt;Q319),"Presentado tarde","Presentado"),IF(NOT(ISNUMBER(Q319)),"Falta fecha",IF(Q319&lt;CONFIG!$B$6,"VENCIDO","Vence en "&amp;(Q319-CONFIG!$B$6)&amp;" días"))))</f>
        <v/>
      </c>
      <c r="W319" s="22"/>
      <c r="X319" s="21"/>
      <c r="AA319" s="0" t="str">
        <f aca="false">IF(AM319="","",INDEX(CATÁLOGO!$D$5:$D$39,AM319))</f>
        <v/>
      </c>
      <c r="AB319" s="0" t="str">
        <f aca="false">IF(AM319="","",INDEX(CATÁLOGO!$E$5:$E$39,AM319))</f>
        <v/>
      </c>
      <c r="AC319" s="0" t="str">
        <f aca="false">IF(AB319="","",IF(ISNUMBER(AB319),AB319*AV319,AB319))</f>
        <v/>
      </c>
      <c r="AD319" s="0" t="str">
        <f aca="false">IF(AM319="","",INDEX(CATÁLOGO!$F$5:$F$39,AM319))</f>
        <v/>
      </c>
      <c r="AE319" s="0" t="str">
        <f aca="false">IF(AD319="","",IF(ISNUMBER(AD319),AD319*AV319,AD319))</f>
        <v/>
      </c>
      <c r="AF319" s="0" t="str">
        <f aca="false">IF(AM319="","",INDEX(CATÁLOGO!$G$5:$G$39,AM319))</f>
        <v/>
      </c>
      <c r="AG319" s="0" t="str">
        <f aca="false">IF(AF319="","",IF(ISNUMBER(AF319),AF319*AV319,AF319))</f>
        <v/>
      </c>
      <c r="AH319" s="0" t="str">
        <f aca="false">IF(E319="","",C319&amp;"|"&amp;D319)</f>
        <v/>
      </c>
      <c r="AI319" s="27" t="n">
        <f aca="false">IF(M319&lt;&gt;"Sí",0,SUMPRODUCT(MAX(($AH$5:AH318=AH319)*($M$5:M318="Sí")*ROW($AH$5:AH318))))</f>
        <v>0</v>
      </c>
      <c r="AJ319" s="0" t="str">
        <f aca="false">IF(M319&lt;&gt;"Sí","",IF(AL319=1,B319,INDEX($AJ:$AJ,AI319)))</f>
        <v/>
      </c>
      <c r="AK319" s="0" t="str">
        <f aca="false">IF(M319&lt;&gt;"Sí","",IF(AL319=1,E319,INDEX($AK:$AK,AI319)+E319))</f>
        <v/>
      </c>
      <c r="AL319" s="0" t="str">
        <f aca="false">IF(M319&lt;&gt;"Sí","",IF(AI319=0,1,IF(INDEX($AN:$AN,AI319)=0,1,IF(B319&gt;=EDATE(INDEX($AJ:$AJ,AI319),6),1,0))))</f>
        <v/>
      </c>
      <c r="AM319" s="0" t="str">
        <f aca="false">IF(D319="","",IFERROR(MATCH(D319,CATÁLOGO!$C$5:$C$39,0),""))</f>
        <v/>
      </c>
      <c r="AN319" s="0" t="str">
        <f aca="false">IF(M319&lt;&gt;"Sí","",IF(AND(ISNUMBER(AE319),AK319&gt;=AE319),0,1))</f>
        <v/>
      </c>
      <c r="AO319" s="0" t="str">
        <f aca="false">IF(OR(E319="",C319="",NOT(ISNUMBER(B319))),"",SUMIFS($E$6:$E$505,$C$6:$C$505,C319,$B$6:$B$505,"&gt;="&amp;DATE(YEAR(B319),MONTH(B319),1),$B$6:$B$505,"&lt;"&amp;DATE(YEAR(B319),MONTH(B319)+1,1)))</f>
        <v/>
      </c>
      <c r="AP319" s="0" t="str">
        <f aca="false">IF(C319="","",IFERROR(INDEX(CLIENTES!$M$6:$M$305,MATCH(C319,CLIENTES!$A$6:$A$305,0)),""))</f>
        <v/>
      </c>
      <c r="AQ319" s="27" t="n">
        <f aca="false">IF(AND(ISNUMBER(AO319),ISNUMBER(AP319)),IF(AND(AP319&gt;0,AO319&gt;AP319),1,0),0)</f>
        <v>0</v>
      </c>
      <c r="AR319" s="27" t="n">
        <f aca="false">IF(NOT(ISNUMBER(B319)),0,IF(B319&lt;MAX($B$5:B318),1,0))</f>
        <v>0</v>
      </c>
      <c r="AS319" s="0" t="str">
        <f aca="false">IF(C319="","",IFERROR(INDEX(CLIENTES!$H$6:$H$305,MATCH(C319,CLIENTES!$A$6:$A$305,0)),""))</f>
        <v/>
      </c>
      <c r="AT319" s="0" t="str">
        <f aca="false">IF(AND(LEFT(P319,5)="AVISO",T319&lt;&gt;"Presentado",ISNUMBER(Q319)),Q319,"")</f>
        <v/>
      </c>
      <c r="AU319" s="27" t="n">
        <f aca="false">IF(AND(D319="XVI - Activos virtuales (PSAV): operación de intercambio/transferencia",M319="Sí",ISNUMBER(AE319)),IF(AK319&gt;=AE319,1,0),0)</f>
        <v>0</v>
      </c>
      <c r="AV319" s="30" t="n">
        <f aca="false">IF(NOT(ISNUMBER(B319)),CONFIG!$B$4,IFERROR(INDEX(CONFIG!$I$5:$I$14,MATCH(IF(MONTH(B319)=1,YEAR(B319)-1,YEAR(B319)),CONFIG!$H$5:$H$14,0)),CONFIG!$B$4))</f>
        <v>117.31</v>
      </c>
      <c r="AW319" s="27" t="n">
        <f aca="false">IF(AND(LEFT(D319,4)="I - ",ISNUMBER(B319),C319&lt;&gt;""),SUMIFS($E$6:$E$505,$C$6:$C$505,C319,$D$6:$D$505,D319,$B$6:$B$505,"&gt;"&amp;(B319-1),$B$6:$B$505,"&lt;="&amp;B319),0)</f>
        <v>0</v>
      </c>
      <c r="AX319" s="0" t="str">
        <f aca="false">IF(E319="","",IF(AD319="Siempre","AVISO (siempre)",IF(AD319="No aplica","Sin Aviso (sólo preparas: Ley 17 XI)",IF(NOT(ISNUMBER(AE319)),"",IF(AA319&lt;&gt;"ACUMULA",IF(E319&gt;=AE319,IF(AND(D319="XVI - Activos virtuales (PSAV): cobro de contraprestación (comisión) por el servicio",COUNTIFS($C$6:$C$505,C319,$B$6:$B$505,"&gt;="&amp;INT(B319),$B$6:$B$505,"&lt;"&amp;(INT(B319)+1),$AU$6:$AU$505,1)&gt;0),"En el Aviso del inciso a) (R 31 Bis)","AVISO"),"—"),IF(M319&lt;&gt;"Sí","—",IF(AK319&gt;=AE319,IF(AK319=E319,"AVISO","AVISO (acumulado)"),"Acumulando")))))))</f>
        <v/>
      </c>
    </row>
    <row r="320" customFormat="false" ht="15" hidden="false" customHeight="false" outlineLevel="0" collapsed="false">
      <c r="A320" s="9" t="str">
        <f aca="false">IF(E320="","",ROW()-5)</f>
        <v/>
      </c>
      <c r="B320" s="20"/>
      <c r="C320" s="21"/>
      <c r="D320" s="21"/>
      <c r="E320" s="22"/>
      <c r="F320" s="22"/>
      <c r="G320" s="21"/>
      <c r="H320" s="21"/>
      <c r="I320" s="9" t="str">
        <f aca="false">IF(C320="","",IFERROR(INDEX(CLIENTES!$B$6:$B$305,MATCH(C320,CLIENTES!$A$6:$A$305,0)),"⚠ ID no registrado"))</f>
        <v/>
      </c>
      <c r="J320" s="9" t="str">
        <f aca="false">IF(C320="","",IFERROR(INDEX(CLIENTES!$Z$6:$Z$305,MATCH(C320,CLIENTES!$A$6:$A$305,0)),""))</f>
        <v/>
      </c>
      <c r="K320" s="9" t="str">
        <f aca="false">IF(E320="","",IF(AB320="Siempre","Sí",IF(ISNUMBER(AC320),IF(E320&gt;=AC320,"Sí",IF(AW320&gt;=AC320,"Sí (serie 24 h)","No")),"")))</f>
        <v/>
      </c>
      <c r="L320" s="9" t="str">
        <f aca="false">IF(E320="","",AA320)</f>
        <v/>
      </c>
      <c r="M320" s="9" t="str">
        <f aca="false">IF(E320="","",IF(AA320&lt;&gt;"ACUMULA","No aplica",IF(LEFT(K320,2)="Sí","Sí","No")))</f>
        <v/>
      </c>
      <c r="N320" s="23" t="str">
        <f aca="false">IF(M320="Sí",AJ320,"")</f>
        <v/>
      </c>
      <c r="O320" s="24" t="str">
        <f aca="false">IF(M320="Sí",AK320,"")</f>
        <v/>
      </c>
      <c r="P320" s="25" t="str">
        <f aca="false">IF(AND(LEFT(D320,6)="XIV - ",LEFT(AX320,5)="AVISO"),"Pedimento (R 16): no va al SPPLD",AX320)</f>
        <v/>
      </c>
      <c r="Q320" s="23" t="str">
        <f aca="false">IF(LEFT(P320,5)="AVISO",IF(ISNUMBER(B320),DATE(YEAR(B320),MONTH(B320)+1,17),"Falta fecha"),"")</f>
        <v/>
      </c>
      <c r="R320" s="9" t="str">
        <f aca="false">IF(OR(F320="",F320=0),"",IF(ISNUMBER(AG320),IF(F320&gt;=AG320,"PROHIBIDO","Dentro del límite"),"No aplica"))</f>
        <v/>
      </c>
      <c r="S320" s="26" t="str">
        <f aca="false">IF(E320="","",MID(IF(AQ320=1," · Excede el perfil declarado","")&amp;IF(H320="Sí"," · Paga un tercero","")&amp;IF(J320="Alto"," · Cliente de riesgo alto: DDR (RCG 23 Ter 3 y 4)","")&amp;IF(AND(AS320&lt;&gt;"",AS320&lt;&gt;"No",AS320&lt;&gt;0)," · PEP","")&amp;IF(R320="PROHIBIDO"," · Efectivo prohibido: no lo recibas (Art. 32)","")&amp;IF(AR320=1," · ⚠ Fecha fuera de orden","")&amp;IF(LEFT(I320,1)="⚠"," · ⚠ Cliente no registrado","")&amp;IF(D320=""," · ⚠ Falta la actividad","")&amp;IF(AND(LEFT(P320,5)="AVISO",W320="")," · Captura la cifra total con IVA para el Aviso","")&amp;IF(AND(ISNUMBER(W320),W320&lt;E320)," · ⚠ La cifra con IVA es menor que el monto sin IVA",""),4,400))</f>
        <v/>
      </c>
      <c r="T320" s="21"/>
      <c r="U320" s="20"/>
      <c r="V320" s="9" t="str">
        <f aca="false">IF(LEFT(P320,5)&lt;&gt;"AVISO","",IF(T320="Presentado",IF(AND(ISNUMBER(U320),ISNUMBER(Q320),U320&gt;Q320),"Presentado tarde","Presentado"),IF(NOT(ISNUMBER(Q320)),"Falta fecha",IF(Q320&lt;CONFIG!$B$6,"VENCIDO","Vence en "&amp;(Q320-CONFIG!$B$6)&amp;" días"))))</f>
        <v/>
      </c>
      <c r="W320" s="22"/>
      <c r="X320" s="21"/>
      <c r="AA320" s="0" t="str">
        <f aca="false">IF(AM320="","",INDEX(CATÁLOGO!$D$5:$D$39,AM320))</f>
        <v/>
      </c>
      <c r="AB320" s="0" t="str">
        <f aca="false">IF(AM320="","",INDEX(CATÁLOGO!$E$5:$E$39,AM320))</f>
        <v/>
      </c>
      <c r="AC320" s="0" t="str">
        <f aca="false">IF(AB320="","",IF(ISNUMBER(AB320),AB320*AV320,AB320))</f>
        <v/>
      </c>
      <c r="AD320" s="0" t="str">
        <f aca="false">IF(AM320="","",INDEX(CATÁLOGO!$F$5:$F$39,AM320))</f>
        <v/>
      </c>
      <c r="AE320" s="0" t="str">
        <f aca="false">IF(AD320="","",IF(ISNUMBER(AD320),AD320*AV320,AD320))</f>
        <v/>
      </c>
      <c r="AF320" s="0" t="str">
        <f aca="false">IF(AM320="","",INDEX(CATÁLOGO!$G$5:$G$39,AM320))</f>
        <v/>
      </c>
      <c r="AG320" s="0" t="str">
        <f aca="false">IF(AF320="","",IF(ISNUMBER(AF320),AF320*AV320,AF320))</f>
        <v/>
      </c>
      <c r="AH320" s="0" t="str">
        <f aca="false">IF(E320="","",C320&amp;"|"&amp;D320)</f>
        <v/>
      </c>
      <c r="AI320" s="27" t="n">
        <f aca="false">IF(M320&lt;&gt;"Sí",0,SUMPRODUCT(MAX(($AH$5:AH319=AH320)*($M$5:M319="Sí")*ROW($AH$5:AH319))))</f>
        <v>0</v>
      </c>
      <c r="AJ320" s="0" t="str">
        <f aca="false">IF(M320&lt;&gt;"Sí","",IF(AL320=1,B320,INDEX($AJ:$AJ,AI320)))</f>
        <v/>
      </c>
      <c r="AK320" s="0" t="str">
        <f aca="false">IF(M320&lt;&gt;"Sí","",IF(AL320=1,E320,INDEX($AK:$AK,AI320)+E320))</f>
        <v/>
      </c>
      <c r="AL320" s="0" t="str">
        <f aca="false">IF(M320&lt;&gt;"Sí","",IF(AI320=0,1,IF(INDEX($AN:$AN,AI320)=0,1,IF(B320&gt;=EDATE(INDEX($AJ:$AJ,AI320),6),1,0))))</f>
        <v/>
      </c>
      <c r="AM320" s="0" t="str">
        <f aca="false">IF(D320="","",IFERROR(MATCH(D320,CATÁLOGO!$C$5:$C$39,0),""))</f>
        <v/>
      </c>
      <c r="AN320" s="0" t="str">
        <f aca="false">IF(M320&lt;&gt;"Sí","",IF(AND(ISNUMBER(AE320),AK320&gt;=AE320),0,1))</f>
        <v/>
      </c>
      <c r="AO320" s="0" t="str">
        <f aca="false">IF(OR(E320="",C320="",NOT(ISNUMBER(B320))),"",SUMIFS($E$6:$E$505,$C$6:$C$505,C320,$B$6:$B$505,"&gt;="&amp;DATE(YEAR(B320),MONTH(B320),1),$B$6:$B$505,"&lt;"&amp;DATE(YEAR(B320),MONTH(B320)+1,1)))</f>
        <v/>
      </c>
      <c r="AP320" s="0" t="str">
        <f aca="false">IF(C320="","",IFERROR(INDEX(CLIENTES!$M$6:$M$305,MATCH(C320,CLIENTES!$A$6:$A$305,0)),""))</f>
        <v/>
      </c>
      <c r="AQ320" s="27" t="n">
        <f aca="false">IF(AND(ISNUMBER(AO320),ISNUMBER(AP320)),IF(AND(AP320&gt;0,AO320&gt;AP320),1,0),0)</f>
        <v>0</v>
      </c>
      <c r="AR320" s="27" t="n">
        <f aca="false">IF(NOT(ISNUMBER(B320)),0,IF(B320&lt;MAX($B$5:B319),1,0))</f>
        <v>0</v>
      </c>
      <c r="AS320" s="0" t="str">
        <f aca="false">IF(C320="","",IFERROR(INDEX(CLIENTES!$H$6:$H$305,MATCH(C320,CLIENTES!$A$6:$A$305,0)),""))</f>
        <v/>
      </c>
      <c r="AT320" s="0" t="str">
        <f aca="false">IF(AND(LEFT(P320,5)="AVISO",T320&lt;&gt;"Presentado",ISNUMBER(Q320)),Q320,"")</f>
        <v/>
      </c>
      <c r="AU320" s="27" t="n">
        <f aca="false">IF(AND(D320="XVI - Activos virtuales (PSAV): operación de intercambio/transferencia",M320="Sí",ISNUMBER(AE320)),IF(AK320&gt;=AE320,1,0),0)</f>
        <v>0</v>
      </c>
      <c r="AV320" s="30" t="n">
        <f aca="false">IF(NOT(ISNUMBER(B320)),CONFIG!$B$4,IFERROR(INDEX(CONFIG!$I$5:$I$14,MATCH(IF(MONTH(B320)=1,YEAR(B320)-1,YEAR(B320)),CONFIG!$H$5:$H$14,0)),CONFIG!$B$4))</f>
        <v>117.31</v>
      </c>
      <c r="AW320" s="27" t="n">
        <f aca="false">IF(AND(LEFT(D320,4)="I - ",ISNUMBER(B320),C320&lt;&gt;""),SUMIFS($E$6:$E$505,$C$6:$C$505,C320,$D$6:$D$505,D320,$B$6:$B$505,"&gt;"&amp;(B320-1),$B$6:$B$505,"&lt;="&amp;B320),0)</f>
        <v>0</v>
      </c>
      <c r="AX320" s="0" t="str">
        <f aca="false">IF(E320="","",IF(AD320="Siempre","AVISO (siempre)",IF(AD320="No aplica","Sin Aviso (sólo preparas: Ley 17 XI)",IF(NOT(ISNUMBER(AE320)),"",IF(AA320&lt;&gt;"ACUMULA",IF(E320&gt;=AE320,IF(AND(D320="XVI - Activos virtuales (PSAV): cobro de contraprestación (comisión) por el servicio",COUNTIFS($C$6:$C$505,C320,$B$6:$B$505,"&gt;="&amp;INT(B320),$B$6:$B$505,"&lt;"&amp;(INT(B320)+1),$AU$6:$AU$505,1)&gt;0),"En el Aviso del inciso a) (R 31 Bis)","AVISO"),"—"),IF(M320&lt;&gt;"Sí","—",IF(AK320&gt;=AE320,IF(AK320=E320,"AVISO","AVISO (acumulado)"),"Acumulando")))))))</f>
        <v/>
      </c>
    </row>
    <row r="321" customFormat="false" ht="15" hidden="false" customHeight="false" outlineLevel="0" collapsed="false">
      <c r="A321" s="9" t="str">
        <f aca="false">IF(E321="","",ROW()-5)</f>
        <v/>
      </c>
      <c r="B321" s="20"/>
      <c r="C321" s="21"/>
      <c r="D321" s="21"/>
      <c r="E321" s="22"/>
      <c r="F321" s="22"/>
      <c r="G321" s="21"/>
      <c r="H321" s="21"/>
      <c r="I321" s="9" t="str">
        <f aca="false">IF(C321="","",IFERROR(INDEX(CLIENTES!$B$6:$B$305,MATCH(C321,CLIENTES!$A$6:$A$305,0)),"⚠ ID no registrado"))</f>
        <v/>
      </c>
      <c r="J321" s="9" t="str">
        <f aca="false">IF(C321="","",IFERROR(INDEX(CLIENTES!$Z$6:$Z$305,MATCH(C321,CLIENTES!$A$6:$A$305,0)),""))</f>
        <v/>
      </c>
      <c r="K321" s="9" t="str">
        <f aca="false">IF(E321="","",IF(AB321="Siempre","Sí",IF(ISNUMBER(AC321),IF(E321&gt;=AC321,"Sí",IF(AW321&gt;=AC321,"Sí (serie 24 h)","No")),"")))</f>
        <v/>
      </c>
      <c r="L321" s="9" t="str">
        <f aca="false">IF(E321="","",AA321)</f>
        <v/>
      </c>
      <c r="M321" s="9" t="str">
        <f aca="false">IF(E321="","",IF(AA321&lt;&gt;"ACUMULA","No aplica",IF(LEFT(K321,2)="Sí","Sí","No")))</f>
        <v/>
      </c>
      <c r="N321" s="23" t="str">
        <f aca="false">IF(M321="Sí",AJ321,"")</f>
        <v/>
      </c>
      <c r="O321" s="24" t="str">
        <f aca="false">IF(M321="Sí",AK321,"")</f>
        <v/>
      </c>
      <c r="P321" s="25" t="str">
        <f aca="false">IF(AND(LEFT(D321,6)="XIV - ",LEFT(AX321,5)="AVISO"),"Pedimento (R 16): no va al SPPLD",AX321)</f>
        <v/>
      </c>
      <c r="Q321" s="23" t="str">
        <f aca="false">IF(LEFT(P321,5)="AVISO",IF(ISNUMBER(B321),DATE(YEAR(B321),MONTH(B321)+1,17),"Falta fecha"),"")</f>
        <v/>
      </c>
      <c r="R321" s="9" t="str">
        <f aca="false">IF(OR(F321="",F321=0),"",IF(ISNUMBER(AG321),IF(F321&gt;=AG321,"PROHIBIDO","Dentro del límite"),"No aplica"))</f>
        <v/>
      </c>
      <c r="S321" s="26" t="str">
        <f aca="false">IF(E321="","",MID(IF(AQ321=1," · Excede el perfil declarado","")&amp;IF(H321="Sí"," · Paga un tercero","")&amp;IF(J321="Alto"," · Cliente de riesgo alto: DDR (RCG 23 Ter 3 y 4)","")&amp;IF(AND(AS321&lt;&gt;"",AS321&lt;&gt;"No",AS321&lt;&gt;0)," · PEP","")&amp;IF(R321="PROHIBIDO"," · Efectivo prohibido: no lo recibas (Art. 32)","")&amp;IF(AR321=1," · ⚠ Fecha fuera de orden","")&amp;IF(LEFT(I321,1)="⚠"," · ⚠ Cliente no registrado","")&amp;IF(D321=""," · ⚠ Falta la actividad","")&amp;IF(AND(LEFT(P321,5)="AVISO",W321="")," · Captura la cifra total con IVA para el Aviso","")&amp;IF(AND(ISNUMBER(W321),W321&lt;E321)," · ⚠ La cifra con IVA es menor que el monto sin IVA",""),4,400))</f>
        <v/>
      </c>
      <c r="T321" s="21"/>
      <c r="U321" s="20"/>
      <c r="V321" s="9" t="str">
        <f aca="false">IF(LEFT(P321,5)&lt;&gt;"AVISO","",IF(T321="Presentado",IF(AND(ISNUMBER(U321),ISNUMBER(Q321),U321&gt;Q321),"Presentado tarde","Presentado"),IF(NOT(ISNUMBER(Q321)),"Falta fecha",IF(Q321&lt;CONFIG!$B$6,"VENCIDO","Vence en "&amp;(Q321-CONFIG!$B$6)&amp;" días"))))</f>
        <v/>
      </c>
      <c r="W321" s="22"/>
      <c r="X321" s="21"/>
      <c r="AA321" s="0" t="str">
        <f aca="false">IF(AM321="","",INDEX(CATÁLOGO!$D$5:$D$39,AM321))</f>
        <v/>
      </c>
      <c r="AB321" s="0" t="str">
        <f aca="false">IF(AM321="","",INDEX(CATÁLOGO!$E$5:$E$39,AM321))</f>
        <v/>
      </c>
      <c r="AC321" s="0" t="str">
        <f aca="false">IF(AB321="","",IF(ISNUMBER(AB321),AB321*AV321,AB321))</f>
        <v/>
      </c>
      <c r="AD321" s="0" t="str">
        <f aca="false">IF(AM321="","",INDEX(CATÁLOGO!$F$5:$F$39,AM321))</f>
        <v/>
      </c>
      <c r="AE321" s="0" t="str">
        <f aca="false">IF(AD321="","",IF(ISNUMBER(AD321),AD321*AV321,AD321))</f>
        <v/>
      </c>
      <c r="AF321" s="0" t="str">
        <f aca="false">IF(AM321="","",INDEX(CATÁLOGO!$G$5:$G$39,AM321))</f>
        <v/>
      </c>
      <c r="AG321" s="0" t="str">
        <f aca="false">IF(AF321="","",IF(ISNUMBER(AF321),AF321*AV321,AF321))</f>
        <v/>
      </c>
      <c r="AH321" s="0" t="str">
        <f aca="false">IF(E321="","",C321&amp;"|"&amp;D321)</f>
        <v/>
      </c>
      <c r="AI321" s="27" t="n">
        <f aca="false">IF(M321&lt;&gt;"Sí",0,SUMPRODUCT(MAX(($AH$5:AH320=AH321)*($M$5:M320="Sí")*ROW($AH$5:AH320))))</f>
        <v>0</v>
      </c>
      <c r="AJ321" s="0" t="str">
        <f aca="false">IF(M321&lt;&gt;"Sí","",IF(AL321=1,B321,INDEX($AJ:$AJ,AI321)))</f>
        <v/>
      </c>
      <c r="AK321" s="0" t="str">
        <f aca="false">IF(M321&lt;&gt;"Sí","",IF(AL321=1,E321,INDEX($AK:$AK,AI321)+E321))</f>
        <v/>
      </c>
      <c r="AL321" s="0" t="str">
        <f aca="false">IF(M321&lt;&gt;"Sí","",IF(AI321=0,1,IF(INDEX($AN:$AN,AI321)=0,1,IF(B321&gt;=EDATE(INDEX($AJ:$AJ,AI321),6),1,0))))</f>
        <v/>
      </c>
      <c r="AM321" s="0" t="str">
        <f aca="false">IF(D321="","",IFERROR(MATCH(D321,CATÁLOGO!$C$5:$C$39,0),""))</f>
        <v/>
      </c>
      <c r="AN321" s="0" t="str">
        <f aca="false">IF(M321&lt;&gt;"Sí","",IF(AND(ISNUMBER(AE321),AK321&gt;=AE321),0,1))</f>
        <v/>
      </c>
      <c r="AO321" s="0" t="str">
        <f aca="false">IF(OR(E321="",C321="",NOT(ISNUMBER(B321))),"",SUMIFS($E$6:$E$505,$C$6:$C$505,C321,$B$6:$B$505,"&gt;="&amp;DATE(YEAR(B321),MONTH(B321),1),$B$6:$B$505,"&lt;"&amp;DATE(YEAR(B321),MONTH(B321)+1,1)))</f>
        <v/>
      </c>
      <c r="AP321" s="0" t="str">
        <f aca="false">IF(C321="","",IFERROR(INDEX(CLIENTES!$M$6:$M$305,MATCH(C321,CLIENTES!$A$6:$A$305,0)),""))</f>
        <v/>
      </c>
      <c r="AQ321" s="27" t="n">
        <f aca="false">IF(AND(ISNUMBER(AO321),ISNUMBER(AP321)),IF(AND(AP321&gt;0,AO321&gt;AP321),1,0),0)</f>
        <v>0</v>
      </c>
      <c r="AR321" s="27" t="n">
        <f aca="false">IF(NOT(ISNUMBER(B321)),0,IF(B321&lt;MAX($B$5:B320),1,0))</f>
        <v>0</v>
      </c>
      <c r="AS321" s="0" t="str">
        <f aca="false">IF(C321="","",IFERROR(INDEX(CLIENTES!$H$6:$H$305,MATCH(C321,CLIENTES!$A$6:$A$305,0)),""))</f>
        <v/>
      </c>
      <c r="AT321" s="0" t="str">
        <f aca="false">IF(AND(LEFT(P321,5)="AVISO",T321&lt;&gt;"Presentado",ISNUMBER(Q321)),Q321,"")</f>
        <v/>
      </c>
      <c r="AU321" s="27" t="n">
        <f aca="false">IF(AND(D321="XVI - Activos virtuales (PSAV): operación de intercambio/transferencia",M321="Sí",ISNUMBER(AE321)),IF(AK321&gt;=AE321,1,0),0)</f>
        <v>0</v>
      </c>
      <c r="AV321" s="30" t="n">
        <f aca="false">IF(NOT(ISNUMBER(B321)),CONFIG!$B$4,IFERROR(INDEX(CONFIG!$I$5:$I$14,MATCH(IF(MONTH(B321)=1,YEAR(B321)-1,YEAR(B321)),CONFIG!$H$5:$H$14,0)),CONFIG!$B$4))</f>
        <v>117.31</v>
      </c>
      <c r="AW321" s="27" t="n">
        <f aca="false">IF(AND(LEFT(D321,4)="I - ",ISNUMBER(B321),C321&lt;&gt;""),SUMIFS($E$6:$E$505,$C$6:$C$505,C321,$D$6:$D$505,D321,$B$6:$B$505,"&gt;"&amp;(B321-1),$B$6:$B$505,"&lt;="&amp;B321),0)</f>
        <v>0</v>
      </c>
      <c r="AX321" s="0" t="str">
        <f aca="false">IF(E321="","",IF(AD321="Siempre","AVISO (siempre)",IF(AD321="No aplica","Sin Aviso (sólo preparas: Ley 17 XI)",IF(NOT(ISNUMBER(AE321)),"",IF(AA321&lt;&gt;"ACUMULA",IF(E321&gt;=AE321,IF(AND(D321="XVI - Activos virtuales (PSAV): cobro de contraprestación (comisión) por el servicio",COUNTIFS($C$6:$C$505,C321,$B$6:$B$505,"&gt;="&amp;INT(B321),$B$6:$B$505,"&lt;"&amp;(INT(B321)+1),$AU$6:$AU$505,1)&gt;0),"En el Aviso del inciso a) (R 31 Bis)","AVISO"),"—"),IF(M321&lt;&gt;"Sí","—",IF(AK321&gt;=AE321,IF(AK321=E321,"AVISO","AVISO (acumulado)"),"Acumulando")))))))</f>
        <v/>
      </c>
    </row>
    <row r="322" customFormat="false" ht="15" hidden="false" customHeight="false" outlineLevel="0" collapsed="false">
      <c r="A322" s="9" t="str">
        <f aca="false">IF(E322="","",ROW()-5)</f>
        <v/>
      </c>
      <c r="B322" s="20"/>
      <c r="C322" s="21"/>
      <c r="D322" s="21"/>
      <c r="E322" s="22"/>
      <c r="F322" s="22"/>
      <c r="G322" s="21"/>
      <c r="H322" s="21"/>
      <c r="I322" s="9" t="str">
        <f aca="false">IF(C322="","",IFERROR(INDEX(CLIENTES!$B$6:$B$305,MATCH(C322,CLIENTES!$A$6:$A$305,0)),"⚠ ID no registrado"))</f>
        <v/>
      </c>
      <c r="J322" s="9" t="str">
        <f aca="false">IF(C322="","",IFERROR(INDEX(CLIENTES!$Z$6:$Z$305,MATCH(C322,CLIENTES!$A$6:$A$305,0)),""))</f>
        <v/>
      </c>
      <c r="K322" s="9" t="str">
        <f aca="false">IF(E322="","",IF(AB322="Siempre","Sí",IF(ISNUMBER(AC322),IF(E322&gt;=AC322,"Sí",IF(AW322&gt;=AC322,"Sí (serie 24 h)","No")),"")))</f>
        <v/>
      </c>
      <c r="L322" s="9" t="str">
        <f aca="false">IF(E322="","",AA322)</f>
        <v/>
      </c>
      <c r="M322" s="9" t="str">
        <f aca="false">IF(E322="","",IF(AA322&lt;&gt;"ACUMULA","No aplica",IF(LEFT(K322,2)="Sí","Sí","No")))</f>
        <v/>
      </c>
      <c r="N322" s="23" t="str">
        <f aca="false">IF(M322="Sí",AJ322,"")</f>
        <v/>
      </c>
      <c r="O322" s="24" t="str">
        <f aca="false">IF(M322="Sí",AK322,"")</f>
        <v/>
      </c>
      <c r="P322" s="25" t="str">
        <f aca="false">IF(AND(LEFT(D322,6)="XIV - ",LEFT(AX322,5)="AVISO"),"Pedimento (R 16): no va al SPPLD",AX322)</f>
        <v/>
      </c>
      <c r="Q322" s="23" t="str">
        <f aca="false">IF(LEFT(P322,5)="AVISO",IF(ISNUMBER(B322),DATE(YEAR(B322),MONTH(B322)+1,17),"Falta fecha"),"")</f>
        <v/>
      </c>
      <c r="R322" s="9" t="str">
        <f aca="false">IF(OR(F322="",F322=0),"",IF(ISNUMBER(AG322),IF(F322&gt;=AG322,"PROHIBIDO","Dentro del límite"),"No aplica"))</f>
        <v/>
      </c>
      <c r="S322" s="26" t="str">
        <f aca="false">IF(E322="","",MID(IF(AQ322=1," · Excede el perfil declarado","")&amp;IF(H322="Sí"," · Paga un tercero","")&amp;IF(J322="Alto"," · Cliente de riesgo alto: DDR (RCG 23 Ter 3 y 4)","")&amp;IF(AND(AS322&lt;&gt;"",AS322&lt;&gt;"No",AS322&lt;&gt;0)," · PEP","")&amp;IF(R322="PROHIBIDO"," · Efectivo prohibido: no lo recibas (Art. 32)","")&amp;IF(AR322=1," · ⚠ Fecha fuera de orden","")&amp;IF(LEFT(I322,1)="⚠"," · ⚠ Cliente no registrado","")&amp;IF(D322=""," · ⚠ Falta la actividad","")&amp;IF(AND(LEFT(P322,5)="AVISO",W322="")," · Captura la cifra total con IVA para el Aviso","")&amp;IF(AND(ISNUMBER(W322),W322&lt;E322)," · ⚠ La cifra con IVA es menor que el monto sin IVA",""),4,400))</f>
        <v/>
      </c>
      <c r="T322" s="21"/>
      <c r="U322" s="20"/>
      <c r="V322" s="9" t="str">
        <f aca="false">IF(LEFT(P322,5)&lt;&gt;"AVISO","",IF(T322="Presentado",IF(AND(ISNUMBER(U322),ISNUMBER(Q322),U322&gt;Q322),"Presentado tarde","Presentado"),IF(NOT(ISNUMBER(Q322)),"Falta fecha",IF(Q322&lt;CONFIG!$B$6,"VENCIDO","Vence en "&amp;(Q322-CONFIG!$B$6)&amp;" días"))))</f>
        <v/>
      </c>
      <c r="W322" s="22"/>
      <c r="X322" s="21"/>
      <c r="AA322" s="0" t="str">
        <f aca="false">IF(AM322="","",INDEX(CATÁLOGO!$D$5:$D$39,AM322))</f>
        <v/>
      </c>
      <c r="AB322" s="0" t="str">
        <f aca="false">IF(AM322="","",INDEX(CATÁLOGO!$E$5:$E$39,AM322))</f>
        <v/>
      </c>
      <c r="AC322" s="0" t="str">
        <f aca="false">IF(AB322="","",IF(ISNUMBER(AB322),AB322*AV322,AB322))</f>
        <v/>
      </c>
      <c r="AD322" s="0" t="str">
        <f aca="false">IF(AM322="","",INDEX(CATÁLOGO!$F$5:$F$39,AM322))</f>
        <v/>
      </c>
      <c r="AE322" s="0" t="str">
        <f aca="false">IF(AD322="","",IF(ISNUMBER(AD322),AD322*AV322,AD322))</f>
        <v/>
      </c>
      <c r="AF322" s="0" t="str">
        <f aca="false">IF(AM322="","",INDEX(CATÁLOGO!$G$5:$G$39,AM322))</f>
        <v/>
      </c>
      <c r="AG322" s="0" t="str">
        <f aca="false">IF(AF322="","",IF(ISNUMBER(AF322),AF322*AV322,AF322))</f>
        <v/>
      </c>
      <c r="AH322" s="0" t="str">
        <f aca="false">IF(E322="","",C322&amp;"|"&amp;D322)</f>
        <v/>
      </c>
      <c r="AI322" s="27" t="n">
        <f aca="false">IF(M322&lt;&gt;"Sí",0,SUMPRODUCT(MAX(($AH$5:AH321=AH322)*($M$5:M321="Sí")*ROW($AH$5:AH321))))</f>
        <v>0</v>
      </c>
      <c r="AJ322" s="0" t="str">
        <f aca="false">IF(M322&lt;&gt;"Sí","",IF(AL322=1,B322,INDEX($AJ:$AJ,AI322)))</f>
        <v/>
      </c>
      <c r="AK322" s="0" t="str">
        <f aca="false">IF(M322&lt;&gt;"Sí","",IF(AL322=1,E322,INDEX($AK:$AK,AI322)+E322))</f>
        <v/>
      </c>
      <c r="AL322" s="0" t="str">
        <f aca="false">IF(M322&lt;&gt;"Sí","",IF(AI322=0,1,IF(INDEX($AN:$AN,AI322)=0,1,IF(B322&gt;=EDATE(INDEX($AJ:$AJ,AI322),6),1,0))))</f>
        <v/>
      </c>
      <c r="AM322" s="0" t="str">
        <f aca="false">IF(D322="","",IFERROR(MATCH(D322,CATÁLOGO!$C$5:$C$39,0),""))</f>
        <v/>
      </c>
      <c r="AN322" s="0" t="str">
        <f aca="false">IF(M322&lt;&gt;"Sí","",IF(AND(ISNUMBER(AE322),AK322&gt;=AE322),0,1))</f>
        <v/>
      </c>
      <c r="AO322" s="0" t="str">
        <f aca="false">IF(OR(E322="",C322="",NOT(ISNUMBER(B322))),"",SUMIFS($E$6:$E$505,$C$6:$C$505,C322,$B$6:$B$505,"&gt;="&amp;DATE(YEAR(B322),MONTH(B322),1),$B$6:$B$505,"&lt;"&amp;DATE(YEAR(B322),MONTH(B322)+1,1)))</f>
        <v/>
      </c>
      <c r="AP322" s="0" t="str">
        <f aca="false">IF(C322="","",IFERROR(INDEX(CLIENTES!$M$6:$M$305,MATCH(C322,CLIENTES!$A$6:$A$305,0)),""))</f>
        <v/>
      </c>
      <c r="AQ322" s="27" t="n">
        <f aca="false">IF(AND(ISNUMBER(AO322),ISNUMBER(AP322)),IF(AND(AP322&gt;0,AO322&gt;AP322),1,0),0)</f>
        <v>0</v>
      </c>
      <c r="AR322" s="27" t="n">
        <f aca="false">IF(NOT(ISNUMBER(B322)),0,IF(B322&lt;MAX($B$5:B321),1,0))</f>
        <v>0</v>
      </c>
      <c r="AS322" s="0" t="str">
        <f aca="false">IF(C322="","",IFERROR(INDEX(CLIENTES!$H$6:$H$305,MATCH(C322,CLIENTES!$A$6:$A$305,0)),""))</f>
        <v/>
      </c>
      <c r="AT322" s="0" t="str">
        <f aca="false">IF(AND(LEFT(P322,5)="AVISO",T322&lt;&gt;"Presentado",ISNUMBER(Q322)),Q322,"")</f>
        <v/>
      </c>
      <c r="AU322" s="27" t="n">
        <f aca="false">IF(AND(D322="XVI - Activos virtuales (PSAV): operación de intercambio/transferencia",M322="Sí",ISNUMBER(AE322)),IF(AK322&gt;=AE322,1,0),0)</f>
        <v>0</v>
      </c>
      <c r="AV322" s="30" t="n">
        <f aca="false">IF(NOT(ISNUMBER(B322)),CONFIG!$B$4,IFERROR(INDEX(CONFIG!$I$5:$I$14,MATCH(IF(MONTH(B322)=1,YEAR(B322)-1,YEAR(B322)),CONFIG!$H$5:$H$14,0)),CONFIG!$B$4))</f>
        <v>117.31</v>
      </c>
      <c r="AW322" s="27" t="n">
        <f aca="false">IF(AND(LEFT(D322,4)="I - ",ISNUMBER(B322),C322&lt;&gt;""),SUMIFS($E$6:$E$505,$C$6:$C$505,C322,$D$6:$D$505,D322,$B$6:$B$505,"&gt;"&amp;(B322-1),$B$6:$B$505,"&lt;="&amp;B322),0)</f>
        <v>0</v>
      </c>
      <c r="AX322" s="0" t="str">
        <f aca="false">IF(E322="","",IF(AD322="Siempre","AVISO (siempre)",IF(AD322="No aplica","Sin Aviso (sólo preparas: Ley 17 XI)",IF(NOT(ISNUMBER(AE322)),"",IF(AA322&lt;&gt;"ACUMULA",IF(E322&gt;=AE322,IF(AND(D322="XVI - Activos virtuales (PSAV): cobro de contraprestación (comisión) por el servicio",COUNTIFS($C$6:$C$505,C322,$B$6:$B$505,"&gt;="&amp;INT(B322),$B$6:$B$505,"&lt;"&amp;(INT(B322)+1),$AU$6:$AU$505,1)&gt;0),"En el Aviso del inciso a) (R 31 Bis)","AVISO"),"—"),IF(M322&lt;&gt;"Sí","—",IF(AK322&gt;=AE322,IF(AK322=E322,"AVISO","AVISO (acumulado)"),"Acumulando")))))))</f>
        <v/>
      </c>
    </row>
    <row r="323" customFormat="false" ht="15" hidden="false" customHeight="false" outlineLevel="0" collapsed="false">
      <c r="A323" s="9" t="str">
        <f aca="false">IF(E323="","",ROW()-5)</f>
        <v/>
      </c>
      <c r="B323" s="20"/>
      <c r="C323" s="21"/>
      <c r="D323" s="21"/>
      <c r="E323" s="22"/>
      <c r="F323" s="22"/>
      <c r="G323" s="21"/>
      <c r="H323" s="21"/>
      <c r="I323" s="9" t="str">
        <f aca="false">IF(C323="","",IFERROR(INDEX(CLIENTES!$B$6:$B$305,MATCH(C323,CLIENTES!$A$6:$A$305,0)),"⚠ ID no registrado"))</f>
        <v/>
      </c>
      <c r="J323" s="9" t="str">
        <f aca="false">IF(C323="","",IFERROR(INDEX(CLIENTES!$Z$6:$Z$305,MATCH(C323,CLIENTES!$A$6:$A$305,0)),""))</f>
        <v/>
      </c>
      <c r="K323" s="9" t="str">
        <f aca="false">IF(E323="","",IF(AB323="Siempre","Sí",IF(ISNUMBER(AC323),IF(E323&gt;=AC323,"Sí",IF(AW323&gt;=AC323,"Sí (serie 24 h)","No")),"")))</f>
        <v/>
      </c>
      <c r="L323" s="9" t="str">
        <f aca="false">IF(E323="","",AA323)</f>
        <v/>
      </c>
      <c r="M323" s="9" t="str">
        <f aca="false">IF(E323="","",IF(AA323&lt;&gt;"ACUMULA","No aplica",IF(LEFT(K323,2)="Sí","Sí","No")))</f>
        <v/>
      </c>
      <c r="N323" s="23" t="str">
        <f aca="false">IF(M323="Sí",AJ323,"")</f>
        <v/>
      </c>
      <c r="O323" s="24" t="str">
        <f aca="false">IF(M323="Sí",AK323,"")</f>
        <v/>
      </c>
      <c r="P323" s="25" t="str">
        <f aca="false">IF(AND(LEFT(D323,6)="XIV - ",LEFT(AX323,5)="AVISO"),"Pedimento (R 16): no va al SPPLD",AX323)</f>
        <v/>
      </c>
      <c r="Q323" s="23" t="str">
        <f aca="false">IF(LEFT(P323,5)="AVISO",IF(ISNUMBER(B323),DATE(YEAR(B323),MONTH(B323)+1,17),"Falta fecha"),"")</f>
        <v/>
      </c>
      <c r="R323" s="9" t="str">
        <f aca="false">IF(OR(F323="",F323=0),"",IF(ISNUMBER(AG323),IF(F323&gt;=AG323,"PROHIBIDO","Dentro del límite"),"No aplica"))</f>
        <v/>
      </c>
      <c r="S323" s="26" t="str">
        <f aca="false">IF(E323="","",MID(IF(AQ323=1," · Excede el perfil declarado","")&amp;IF(H323="Sí"," · Paga un tercero","")&amp;IF(J323="Alto"," · Cliente de riesgo alto: DDR (RCG 23 Ter 3 y 4)","")&amp;IF(AND(AS323&lt;&gt;"",AS323&lt;&gt;"No",AS323&lt;&gt;0)," · PEP","")&amp;IF(R323="PROHIBIDO"," · Efectivo prohibido: no lo recibas (Art. 32)","")&amp;IF(AR323=1," · ⚠ Fecha fuera de orden","")&amp;IF(LEFT(I323,1)="⚠"," · ⚠ Cliente no registrado","")&amp;IF(D323=""," · ⚠ Falta la actividad","")&amp;IF(AND(LEFT(P323,5)="AVISO",W323="")," · Captura la cifra total con IVA para el Aviso","")&amp;IF(AND(ISNUMBER(W323),W323&lt;E323)," · ⚠ La cifra con IVA es menor que el monto sin IVA",""),4,400))</f>
        <v/>
      </c>
      <c r="T323" s="21"/>
      <c r="U323" s="20"/>
      <c r="V323" s="9" t="str">
        <f aca="false">IF(LEFT(P323,5)&lt;&gt;"AVISO","",IF(T323="Presentado",IF(AND(ISNUMBER(U323),ISNUMBER(Q323),U323&gt;Q323),"Presentado tarde","Presentado"),IF(NOT(ISNUMBER(Q323)),"Falta fecha",IF(Q323&lt;CONFIG!$B$6,"VENCIDO","Vence en "&amp;(Q323-CONFIG!$B$6)&amp;" días"))))</f>
        <v/>
      </c>
      <c r="W323" s="22"/>
      <c r="X323" s="21"/>
      <c r="AA323" s="0" t="str">
        <f aca="false">IF(AM323="","",INDEX(CATÁLOGO!$D$5:$D$39,AM323))</f>
        <v/>
      </c>
      <c r="AB323" s="0" t="str">
        <f aca="false">IF(AM323="","",INDEX(CATÁLOGO!$E$5:$E$39,AM323))</f>
        <v/>
      </c>
      <c r="AC323" s="0" t="str">
        <f aca="false">IF(AB323="","",IF(ISNUMBER(AB323),AB323*AV323,AB323))</f>
        <v/>
      </c>
      <c r="AD323" s="0" t="str">
        <f aca="false">IF(AM323="","",INDEX(CATÁLOGO!$F$5:$F$39,AM323))</f>
        <v/>
      </c>
      <c r="AE323" s="0" t="str">
        <f aca="false">IF(AD323="","",IF(ISNUMBER(AD323),AD323*AV323,AD323))</f>
        <v/>
      </c>
      <c r="AF323" s="0" t="str">
        <f aca="false">IF(AM323="","",INDEX(CATÁLOGO!$G$5:$G$39,AM323))</f>
        <v/>
      </c>
      <c r="AG323" s="0" t="str">
        <f aca="false">IF(AF323="","",IF(ISNUMBER(AF323),AF323*AV323,AF323))</f>
        <v/>
      </c>
      <c r="AH323" s="0" t="str">
        <f aca="false">IF(E323="","",C323&amp;"|"&amp;D323)</f>
        <v/>
      </c>
      <c r="AI323" s="27" t="n">
        <f aca="false">IF(M323&lt;&gt;"Sí",0,SUMPRODUCT(MAX(($AH$5:AH322=AH323)*($M$5:M322="Sí")*ROW($AH$5:AH322))))</f>
        <v>0</v>
      </c>
      <c r="AJ323" s="0" t="str">
        <f aca="false">IF(M323&lt;&gt;"Sí","",IF(AL323=1,B323,INDEX($AJ:$AJ,AI323)))</f>
        <v/>
      </c>
      <c r="AK323" s="0" t="str">
        <f aca="false">IF(M323&lt;&gt;"Sí","",IF(AL323=1,E323,INDEX($AK:$AK,AI323)+E323))</f>
        <v/>
      </c>
      <c r="AL323" s="0" t="str">
        <f aca="false">IF(M323&lt;&gt;"Sí","",IF(AI323=0,1,IF(INDEX($AN:$AN,AI323)=0,1,IF(B323&gt;=EDATE(INDEX($AJ:$AJ,AI323),6),1,0))))</f>
        <v/>
      </c>
      <c r="AM323" s="0" t="str">
        <f aca="false">IF(D323="","",IFERROR(MATCH(D323,CATÁLOGO!$C$5:$C$39,0),""))</f>
        <v/>
      </c>
      <c r="AN323" s="0" t="str">
        <f aca="false">IF(M323&lt;&gt;"Sí","",IF(AND(ISNUMBER(AE323),AK323&gt;=AE323),0,1))</f>
        <v/>
      </c>
      <c r="AO323" s="0" t="str">
        <f aca="false">IF(OR(E323="",C323="",NOT(ISNUMBER(B323))),"",SUMIFS($E$6:$E$505,$C$6:$C$505,C323,$B$6:$B$505,"&gt;="&amp;DATE(YEAR(B323),MONTH(B323),1),$B$6:$B$505,"&lt;"&amp;DATE(YEAR(B323),MONTH(B323)+1,1)))</f>
        <v/>
      </c>
      <c r="AP323" s="0" t="str">
        <f aca="false">IF(C323="","",IFERROR(INDEX(CLIENTES!$M$6:$M$305,MATCH(C323,CLIENTES!$A$6:$A$305,0)),""))</f>
        <v/>
      </c>
      <c r="AQ323" s="27" t="n">
        <f aca="false">IF(AND(ISNUMBER(AO323),ISNUMBER(AP323)),IF(AND(AP323&gt;0,AO323&gt;AP323),1,0),0)</f>
        <v>0</v>
      </c>
      <c r="AR323" s="27" t="n">
        <f aca="false">IF(NOT(ISNUMBER(B323)),0,IF(B323&lt;MAX($B$5:B322),1,0))</f>
        <v>0</v>
      </c>
      <c r="AS323" s="0" t="str">
        <f aca="false">IF(C323="","",IFERROR(INDEX(CLIENTES!$H$6:$H$305,MATCH(C323,CLIENTES!$A$6:$A$305,0)),""))</f>
        <v/>
      </c>
      <c r="AT323" s="0" t="str">
        <f aca="false">IF(AND(LEFT(P323,5)="AVISO",T323&lt;&gt;"Presentado",ISNUMBER(Q323)),Q323,"")</f>
        <v/>
      </c>
      <c r="AU323" s="27" t="n">
        <f aca="false">IF(AND(D323="XVI - Activos virtuales (PSAV): operación de intercambio/transferencia",M323="Sí",ISNUMBER(AE323)),IF(AK323&gt;=AE323,1,0),0)</f>
        <v>0</v>
      </c>
      <c r="AV323" s="30" t="n">
        <f aca="false">IF(NOT(ISNUMBER(B323)),CONFIG!$B$4,IFERROR(INDEX(CONFIG!$I$5:$I$14,MATCH(IF(MONTH(B323)=1,YEAR(B323)-1,YEAR(B323)),CONFIG!$H$5:$H$14,0)),CONFIG!$B$4))</f>
        <v>117.31</v>
      </c>
      <c r="AW323" s="27" t="n">
        <f aca="false">IF(AND(LEFT(D323,4)="I - ",ISNUMBER(B323),C323&lt;&gt;""),SUMIFS($E$6:$E$505,$C$6:$C$505,C323,$D$6:$D$505,D323,$B$6:$B$505,"&gt;"&amp;(B323-1),$B$6:$B$505,"&lt;="&amp;B323),0)</f>
        <v>0</v>
      </c>
      <c r="AX323" s="0" t="str">
        <f aca="false">IF(E323="","",IF(AD323="Siempre","AVISO (siempre)",IF(AD323="No aplica","Sin Aviso (sólo preparas: Ley 17 XI)",IF(NOT(ISNUMBER(AE323)),"",IF(AA323&lt;&gt;"ACUMULA",IF(E323&gt;=AE323,IF(AND(D323="XVI - Activos virtuales (PSAV): cobro de contraprestación (comisión) por el servicio",COUNTIFS($C$6:$C$505,C323,$B$6:$B$505,"&gt;="&amp;INT(B323),$B$6:$B$505,"&lt;"&amp;(INT(B323)+1),$AU$6:$AU$505,1)&gt;0),"En el Aviso del inciso a) (R 31 Bis)","AVISO"),"—"),IF(M323&lt;&gt;"Sí","—",IF(AK323&gt;=AE323,IF(AK323=E323,"AVISO","AVISO (acumulado)"),"Acumulando")))))))</f>
        <v/>
      </c>
    </row>
    <row r="324" customFormat="false" ht="15" hidden="false" customHeight="false" outlineLevel="0" collapsed="false">
      <c r="A324" s="9" t="str">
        <f aca="false">IF(E324="","",ROW()-5)</f>
        <v/>
      </c>
      <c r="B324" s="20"/>
      <c r="C324" s="21"/>
      <c r="D324" s="21"/>
      <c r="E324" s="22"/>
      <c r="F324" s="22"/>
      <c r="G324" s="21"/>
      <c r="H324" s="21"/>
      <c r="I324" s="9" t="str">
        <f aca="false">IF(C324="","",IFERROR(INDEX(CLIENTES!$B$6:$B$305,MATCH(C324,CLIENTES!$A$6:$A$305,0)),"⚠ ID no registrado"))</f>
        <v/>
      </c>
      <c r="J324" s="9" t="str">
        <f aca="false">IF(C324="","",IFERROR(INDEX(CLIENTES!$Z$6:$Z$305,MATCH(C324,CLIENTES!$A$6:$A$305,0)),""))</f>
        <v/>
      </c>
      <c r="K324" s="9" t="str">
        <f aca="false">IF(E324="","",IF(AB324="Siempre","Sí",IF(ISNUMBER(AC324),IF(E324&gt;=AC324,"Sí",IF(AW324&gt;=AC324,"Sí (serie 24 h)","No")),"")))</f>
        <v/>
      </c>
      <c r="L324" s="9" t="str">
        <f aca="false">IF(E324="","",AA324)</f>
        <v/>
      </c>
      <c r="M324" s="9" t="str">
        <f aca="false">IF(E324="","",IF(AA324&lt;&gt;"ACUMULA","No aplica",IF(LEFT(K324,2)="Sí","Sí","No")))</f>
        <v/>
      </c>
      <c r="N324" s="23" t="str">
        <f aca="false">IF(M324="Sí",AJ324,"")</f>
        <v/>
      </c>
      <c r="O324" s="24" t="str">
        <f aca="false">IF(M324="Sí",AK324,"")</f>
        <v/>
      </c>
      <c r="P324" s="25" t="str">
        <f aca="false">IF(AND(LEFT(D324,6)="XIV - ",LEFT(AX324,5)="AVISO"),"Pedimento (R 16): no va al SPPLD",AX324)</f>
        <v/>
      </c>
      <c r="Q324" s="23" t="str">
        <f aca="false">IF(LEFT(P324,5)="AVISO",IF(ISNUMBER(B324),DATE(YEAR(B324),MONTH(B324)+1,17),"Falta fecha"),"")</f>
        <v/>
      </c>
      <c r="R324" s="9" t="str">
        <f aca="false">IF(OR(F324="",F324=0),"",IF(ISNUMBER(AG324),IF(F324&gt;=AG324,"PROHIBIDO","Dentro del límite"),"No aplica"))</f>
        <v/>
      </c>
      <c r="S324" s="26" t="str">
        <f aca="false">IF(E324="","",MID(IF(AQ324=1," · Excede el perfil declarado","")&amp;IF(H324="Sí"," · Paga un tercero","")&amp;IF(J324="Alto"," · Cliente de riesgo alto: DDR (RCG 23 Ter 3 y 4)","")&amp;IF(AND(AS324&lt;&gt;"",AS324&lt;&gt;"No",AS324&lt;&gt;0)," · PEP","")&amp;IF(R324="PROHIBIDO"," · Efectivo prohibido: no lo recibas (Art. 32)","")&amp;IF(AR324=1," · ⚠ Fecha fuera de orden","")&amp;IF(LEFT(I324,1)="⚠"," · ⚠ Cliente no registrado","")&amp;IF(D324=""," · ⚠ Falta la actividad","")&amp;IF(AND(LEFT(P324,5)="AVISO",W324="")," · Captura la cifra total con IVA para el Aviso","")&amp;IF(AND(ISNUMBER(W324),W324&lt;E324)," · ⚠ La cifra con IVA es menor que el monto sin IVA",""),4,400))</f>
        <v/>
      </c>
      <c r="T324" s="21"/>
      <c r="U324" s="20"/>
      <c r="V324" s="9" t="str">
        <f aca="false">IF(LEFT(P324,5)&lt;&gt;"AVISO","",IF(T324="Presentado",IF(AND(ISNUMBER(U324),ISNUMBER(Q324),U324&gt;Q324),"Presentado tarde","Presentado"),IF(NOT(ISNUMBER(Q324)),"Falta fecha",IF(Q324&lt;CONFIG!$B$6,"VENCIDO","Vence en "&amp;(Q324-CONFIG!$B$6)&amp;" días"))))</f>
        <v/>
      </c>
      <c r="W324" s="22"/>
      <c r="X324" s="21"/>
      <c r="AA324" s="0" t="str">
        <f aca="false">IF(AM324="","",INDEX(CATÁLOGO!$D$5:$D$39,AM324))</f>
        <v/>
      </c>
      <c r="AB324" s="0" t="str">
        <f aca="false">IF(AM324="","",INDEX(CATÁLOGO!$E$5:$E$39,AM324))</f>
        <v/>
      </c>
      <c r="AC324" s="0" t="str">
        <f aca="false">IF(AB324="","",IF(ISNUMBER(AB324),AB324*AV324,AB324))</f>
        <v/>
      </c>
      <c r="AD324" s="0" t="str">
        <f aca="false">IF(AM324="","",INDEX(CATÁLOGO!$F$5:$F$39,AM324))</f>
        <v/>
      </c>
      <c r="AE324" s="0" t="str">
        <f aca="false">IF(AD324="","",IF(ISNUMBER(AD324),AD324*AV324,AD324))</f>
        <v/>
      </c>
      <c r="AF324" s="0" t="str">
        <f aca="false">IF(AM324="","",INDEX(CATÁLOGO!$G$5:$G$39,AM324))</f>
        <v/>
      </c>
      <c r="AG324" s="0" t="str">
        <f aca="false">IF(AF324="","",IF(ISNUMBER(AF324),AF324*AV324,AF324))</f>
        <v/>
      </c>
      <c r="AH324" s="0" t="str">
        <f aca="false">IF(E324="","",C324&amp;"|"&amp;D324)</f>
        <v/>
      </c>
      <c r="AI324" s="27" t="n">
        <f aca="false">IF(M324&lt;&gt;"Sí",0,SUMPRODUCT(MAX(($AH$5:AH323=AH324)*($M$5:M323="Sí")*ROW($AH$5:AH323))))</f>
        <v>0</v>
      </c>
      <c r="AJ324" s="0" t="str">
        <f aca="false">IF(M324&lt;&gt;"Sí","",IF(AL324=1,B324,INDEX($AJ:$AJ,AI324)))</f>
        <v/>
      </c>
      <c r="AK324" s="0" t="str">
        <f aca="false">IF(M324&lt;&gt;"Sí","",IF(AL324=1,E324,INDEX($AK:$AK,AI324)+E324))</f>
        <v/>
      </c>
      <c r="AL324" s="0" t="str">
        <f aca="false">IF(M324&lt;&gt;"Sí","",IF(AI324=0,1,IF(INDEX($AN:$AN,AI324)=0,1,IF(B324&gt;=EDATE(INDEX($AJ:$AJ,AI324),6),1,0))))</f>
        <v/>
      </c>
      <c r="AM324" s="0" t="str">
        <f aca="false">IF(D324="","",IFERROR(MATCH(D324,CATÁLOGO!$C$5:$C$39,0),""))</f>
        <v/>
      </c>
      <c r="AN324" s="0" t="str">
        <f aca="false">IF(M324&lt;&gt;"Sí","",IF(AND(ISNUMBER(AE324),AK324&gt;=AE324),0,1))</f>
        <v/>
      </c>
      <c r="AO324" s="0" t="str">
        <f aca="false">IF(OR(E324="",C324="",NOT(ISNUMBER(B324))),"",SUMIFS($E$6:$E$505,$C$6:$C$505,C324,$B$6:$B$505,"&gt;="&amp;DATE(YEAR(B324),MONTH(B324),1),$B$6:$B$505,"&lt;"&amp;DATE(YEAR(B324),MONTH(B324)+1,1)))</f>
        <v/>
      </c>
      <c r="AP324" s="0" t="str">
        <f aca="false">IF(C324="","",IFERROR(INDEX(CLIENTES!$M$6:$M$305,MATCH(C324,CLIENTES!$A$6:$A$305,0)),""))</f>
        <v/>
      </c>
      <c r="AQ324" s="27" t="n">
        <f aca="false">IF(AND(ISNUMBER(AO324),ISNUMBER(AP324)),IF(AND(AP324&gt;0,AO324&gt;AP324),1,0),0)</f>
        <v>0</v>
      </c>
      <c r="AR324" s="27" t="n">
        <f aca="false">IF(NOT(ISNUMBER(B324)),0,IF(B324&lt;MAX($B$5:B323),1,0))</f>
        <v>0</v>
      </c>
      <c r="AS324" s="0" t="str">
        <f aca="false">IF(C324="","",IFERROR(INDEX(CLIENTES!$H$6:$H$305,MATCH(C324,CLIENTES!$A$6:$A$305,0)),""))</f>
        <v/>
      </c>
      <c r="AT324" s="0" t="str">
        <f aca="false">IF(AND(LEFT(P324,5)="AVISO",T324&lt;&gt;"Presentado",ISNUMBER(Q324)),Q324,"")</f>
        <v/>
      </c>
      <c r="AU324" s="27" t="n">
        <f aca="false">IF(AND(D324="XVI - Activos virtuales (PSAV): operación de intercambio/transferencia",M324="Sí",ISNUMBER(AE324)),IF(AK324&gt;=AE324,1,0),0)</f>
        <v>0</v>
      </c>
      <c r="AV324" s="30" t="n">
        <f aca="false">IF(NOT(ISNUMBER(B324)),CONFIG!$B$4,IFERROR(INDEX(CONFIG!$I$5:$I$14,MATCH(IF(MONTH(B324)=1,YEAR(B324)-1,YEAR(B324)),CONFIG!$H$5:$H$14,0)),CONFIG!$B$4))</f>
        <v>117.31</v>
      </c>
      <c r="AW324" s="27" t="n">
        <f aca="false">IF(AND(LEFT(D324,4)="I - ",ISNUMBER(B324),C324&lt;&gt;""),SUMIFS($E$6:$E$505,$C$6:$C$505,C324,$D$6:$D$505,D324,$B$6:$B$505,"&gt;"&amp;(B324-1),$B$6:$B$505,"&lt;="&amp;B324),0)</f>
        <v>0</v>
      </c>
      <c r="AX324" s="0" t="str">
        <f aca="false">IF(E324="","",IF(AD324="Siempre","AVISO (siempre)",IF(AD324="No aplica","Sin Aviso (sólo preparas: Ley 17 XI)",IF(NOT(ISNUMBER(AE324)),"",IF(AA324&lt;&gt;"ACUMULA",IF(E324&gt;=AE324,IF(AND(D324="XVI - Activos virtuales (PSAV): cobro de contraprestación (comisión) por el servicio",COUNTIFS($C$6:$C$505,C324,$B$6:$B$505,"&gt;="&amp;INT(B324),$B$6:$B$505,"&lt;"&amp;(INT(B324)+1),$AU$6:$AU$505,1)&gt;0),"En el Aviso del inciso a) (R 31 Bis)","AVISO"),"—"),IF(M324&lt;&gt;"Sí","—",IF(AK324&gt;=AE324,IF(AK324=E324,"AVISO","AVISO (acumulado)"),"Acumulando")))))))</f>
        <v/>
      </c>
    </row>
    <row r="325" customFormat="false" ht="15" hidden="false" customHeight="false" outlineLevel="0" collapsed="false">
      <c r="A325" s="9" t="str">
        <f aca="false">IF(E325="","",ROW()-5)</f>
        <v/>
      </c>
      <c r="B325" s="20"/>
      <c r="C325" s="21"/>
      <c r="D325" s="21"/>
      <c r="E325" s="22"/>
      <c r="F325" s="22"/>
      <c r="G325" s="21"/>
      <c r="H325" s="21"/>
      <c r="I325" s="9" t="str">
        <f aca="false">IF(C325="","",IFERROR(INDEX(CLIENTES!$B$6:$B$305,MATCH(C325,CLIENTES!$A$6:$A$305,0)),"⚠ ID no registrado"))</f>
        <v/>
      </c>
      <c r="J325" s="9" t="str">
        <f aca="false">IF(C325="","",IFERROR(INDEX(CLIENTES!$Z$6:$Z$305,MATCH(C325,CLIENTES!$A$6:$A$305,0)),""))</f>
        <v/>
      </c>
      <c r="K325" s="9" t="str">
        <f aca="false">IF(E325="","",IF(AB325="Siempre","Sí",IF(ISNUMBER(AC325),IF(E325&gt;=AC325,"Sí",IF(AW325&gt;=AC325,"Sí (serie 24 h)","No")),"")))</f>
        <v/>
      </c>
      <c r="L325" s="9" t="str">
        <f aca="false">IF(E325="","",AA325)</f>
        <v/>
      </c>
      <c r="M325" s="9" t="str">
        <f aca="false">IF(E325="","",IF(AA325&lt;&gt;"ACUMULA","No aplica",IF(LEFT(K325,2)="Sí","Sí","No")))</f>
        <v/>
      </c>
      <c r="N325" s="23" t="str">
        <f aca="false">IF(M325="Sí",AJ325,"")</f>
        <v/>
      </c>
      <c r="O325" s="24" t="str">
        <f aca="false">IF(M325="Sí",AK325,"")</f>
        <v/>
      </c>
      <c r="P325" s="25" t="str">
        <f aca="false">IF(AND(LEFT(D325,6)="XIV - ",LEFT(AX325,5)="AVISO"),"Pedimento (R 16): no va al SPPLD",AX325)</f>
        <v/>
      </c>
      <c r="Q325" s="23" t="str">
        <f aca="false">IF(LEFT(P325,5)="AVISO",IF(ISNUMBER(B325),DATE(YEAR(B325),MONTH(B325)+1,17),"Falta fecha"),"")</f>
        <v/>
      </c>
      <c r="R325" s="9" t="str">
        <f aca="false">IF(OR(F325="",F325=0),"",IF(ISNUMBER(AG325),IF(F325&gt;=AG325,"PROHIBIDO","Dentro del límite"),"No aplica"))</f>
        <v/>
      </c>
      <c r="S325" s="26" t="str">
        <f aca="false">IF(E325="","",MID(IF(AQ325=1," · Excede el perfil declarado","")&amp;IF(H325="Sí"," · Paga un tercero","")&amp;IF(J325="Alto"," · Cliente de riesgo alto: DDR (RCG 23 Ter 3 y 4)","")&amp;IF(AND(AS325&lt;&gt;"",AS325&lt;&gt;"No",AS325&lt;&gt;0)," · PEP","")&amp;IF(R325="PROHIBIDO"," · Efectivo prohibido: no lo recibas (Art. 32)","")&amp;IF(AR325=1," · ⚠ Fecha fuera de orden","")&amp;IF(LEFT(I325,1)="⚠"," · ⚠ Cliente no registrado","")&amp;IF(D325=""," · ⚠ Falta la actividad","")&amp;IF(AND(LEFT(P325,5)="AVISO",W325="")," · Captura la cifra total con IVA para el Aviso","")&amp;IF(AND(ISNUMBER(W325),W325&lt;E325)," · ⚠ La cifra con IVA es menor que el monto sin IVA",""),4,400))</f>
        <v/>
      </c>
      <c r="T325" s="21"/>
      <c r="U325" s="20"/>
      <c r="V325" s="9" t="str">
        <f aca="false">IF(LEFT(P325,5)&lt;&gt;"AVISO","",IF(T325="Presentado",IF(AND(ISNUMBER(U325),ISNUMBER(Q325),U325&gt;Q325),"Presentado tarde","Presentado"),IF(NOT(ISNUMBER(Q325)),"Falta fecha",IF(Q325&lt;CONFIG!$B$6,"VENCIDO","Vence en "&amp;(Q325-CONFIG!$B$6)&amp;" días"))))</f>
        <v/>
      </c>
      <c r="W325" s="22"/>
      <c r="X325" s="21"/>
      <c r="AA325" s="0" t="str">
        <f aca="false">IF(AM325="","",INDEX(CATÁLOGO!$D$5:$D$39,AM325))</f>
        <v/>
      </c>
      <c r="AB325" s="0" t="str">
        <f aca="false">IF(AM325="","",INDEX(CATÁLOGO!$E$5:$E$39,AM325))</f>
        <v/>
      </c>
      <c r="AC325" s="0" t="str">
        <f aca="false">IF(AB325="","",IF(ISNUMBER(AB325),AB325*AV325,AB325))</f>
        <v/>
      </c>
      <c r="AD325" s="0" t="str">
        <f aca="false">IF(AM325="","",INDEX(CATÁLOGO!$F$5:$F$39,AM325))</f>
        <v/>
      </c>
      <c r="AE325" s="0" t="str">
        <f aca="false">IF(AD325="","",IF(ISNUMBER(AD325),AD325*AV325,AD325))</f>
        <v/>
      </c>
      <c r="AF325" s="0" t="str">
        <f aca="false">IF(AM325="","",INDEX(CATÁLOGO!$G$5:$G$39,AM325))</f>
        <v/>
      </c>
      <c r="AG325" s="0" t="str">
        <f aca="false">IF(AF325="","",IF(ISNUMBER(AF325),AF325*AV325,AF325))</f>
        <v/>
      </c>
      <c r="AH325" s="0" t="str">
        <f aca="false">IF(E325="","",C325&amp;"|"&amp;D325)</f>
        <v/>
      </c>
      <c r="AI325" s="27" t="n">
        <f aca="false">IF(M325&lt;&gt;"Sí",0,SUMPRODUCT(MAX(($AH$5:AH324=AH325)*($M$5:M324="Sí")*ROW($AH$5:AH324))))</f>
        <v>0</v>
      </c>
      <c r="AJ325" s="0" t="str">
        <f aca="false">IF(M325&lt;&gt;"Sí","",IF(AL325=1,B325,INDEX($AJ:$AJ,AI325)))</f>
        <v/>
      </c>
      <c r="AK325" s="0" t="str">
        <f aca="false">IF(M325&lt;&gt;"Sí","",IF(AL325=1,E325,INDEX($AK:$AK,AI325)+E325))</f>
        <v/>
      </c>
      <c r="AL325" s="0" t="str">
        <f aca="false">IF(M325&lt;&gt;"Sí","",IF(AI325=0,1,IF(INDEX($AN:$AN,AI325)=0,1,IF(B325&gt;=EDATE(INDEX($AJ:$AJ,AI325),6),1,0))))</f>
        <v/>
      </c>
      <c r="AM325" s="0" t="str">
        <f aca="false">IF(D325="","",IFERROR(MATCH(D325,CATÁLOGO!$C$5:$C$39,0),""))</f>
        <v/>
      </c>
      <c r="AN325" s="0" t="str">
        <f aca="false">IF(M325&lt;&gt;"Sí","",IF(AND(ISNUMBER(AE325),AK325&gt;=AE325),0,1))</f>
        <v/>
      </c>
      <c r="AO325" s="0" t="str">
        <f aca="false">IF(OR(E325="",C325="",NOT(ISNUMBER(B325))),"",SUMIFS($E$6:$E$505,$C$6:$C$505,C325,$B$6:$B$505,"&gt;="&amp;DATE(YEAR(B325),MONTH(B325),1),$B$6:$B$505,"&lt;"&amp;DATE(YEAR(B325),MONTH(B325)+1,1)))</f>
        <v/>
      </c>
      <c r="AP325" s="0" t="str">
        <f aca="false">IF(C325="","",IFERROR(INDEX(CLIENTES!$M$6:$M$305,MATCH(C325,CLIENTES!$A$6:$A$305,0)),""))</f>
        <v/>
      </c>
      <c r="AQ325" s="27" t="n">
        <f aca="false">IF(AND(ISNUMBER(AO325),ISNUMBER(AP325)),IF(AND(AP325&gt;0,AO325&gt;AP325),1,0),0)</f>
        <v>0</v>
      </c>
      <c r="AR325" s="27" t="n">
        <f aca="false">IF(NOT(ISNUMBER(B325)),0,IF(B325&lt;MAX($B$5:B324),1,0))</f>
        <v>0</v>
      </c>
      <c r="AS325" s="0" t="str">
        <f aca="false">IF(C325="","",IFERROR(INDEX(CLIENTES!$H$6:$H$305,MATCH(C325,CLIENTES!$A$6:$A$305,0)),""))</f>
        <v/>
      </c>
      <c r="AT325" s="0" t="str">
        <f aca="false">IF(AND(LEFT(P325,5)="AVISO",T325&lt;&gt;"Presentado",ISNUMBER(Q325)),Q325,"")</f>
        <v/>
      </c>
      <c r="AU325" s="27" t="n">
        <f aca="false">IF(AND(D325="XVI - Activos virtuales (PSAV): operación de intercambio/transferencia",M325="Sí",ISNUMBER(AE325)),IF(AK325&gt;=AE325,1,0),0)</f>
        <v>0</v>
      </c>
      <c r="AV325" s="30" t="n">
        <f aca="false">IF(NOT(ISNUMBER(B325)),CONFIG!$B$4,IFERROR(INDEX(CONFIG!$I$5:$I$14,MATCH(IF(MONTH(B325)=1,YEAR(B325)-1,YEAR(B325)),CONFIG!$H$5:$H$14,0)),CONFIG!$B$4))</f>
        <v>117.31</v>
      </c>
      <c r="AW325" s="27" t="n">
        <f aca="false">IF(AND(LEFT(D325,4)="I - ",ISNUMBER(B325),C325&lt;&gt;""),SUMIFS($E$6:$E$505,$C$6:$C$505,C325,$D$6:$D$505,D325,$B$6:$B$505,"&gt;"&amp;(B325-1),$B$6:$B$505,"&lt;="&amp;B325),0)</f>
        <v>0</v>
      </c>
      <c r="AX325" s="0" t="str">
        <f aca="false">IF(E325="","",IF(AD325="Siempre","AVISO (siempre)",IF(AD325="No aplica","Sin Aviso (sólo preparas: Ley 17 XI)",IF(NOT(ISNUMBER(AE325)),"",IF(AA325&lt;&gt;"ACUMULA",IF(E325&gt;=AE325,IF(AND(D325="XVI - Activos virtuales (PSAV): cobro de contraprestación (comisión) por el servicio",COUNTIFS($C$6:$C$505,C325,$B$6:$B$505,"&gt;="&amp;INT(B325),$B$6:$B$505,"&lt;"&amp;(INT(B325)+1),$AU$6:$AU$505,1)&gt;0),"En el Aviso del inciso a) (R 31 Bis)","AVISO"),"—"),IF(M325&lt;&gt;"Sí","—",IF(AK325&gt;=AE325,IF(AK325=E325,"AVISO","AVISO (acumulado)"),"Acumulando")))))))</f>
        <v/>
      </c>
    </row>
    <row r="326" customFormat="false" ht="15" hidden="false" customHeight="false" outlineLevel="0" collapsed="false">
      <c r="A326" s="9" t="str">
        <f aca="false">IF(E326="","",ROW()-5)</f>
        <v/>
      </c>
      <c r="B326" s="20"/>
      <c r="C326" s="21"/>
      <c r="D326" s="21"/>
      <c r="E326" s="22"/>
      <c r="F326" s="22"/>
      <c r="G326" s="21"/>
      <c r="H326" s="21"/>
      <c r="I326" s="9" t="str">
        <f aca="false">IF(C326="","",IFERROR(INDEX(CLIENTES!$B$6:$B$305,MATCH(C326,CLIENTES!$A$6:$A$305,0)),"⚠ ID no registrado"))</f>
        <v/>
      </c>
      <c r="J326" s="9" t="str">
        <f aca="false">IF(C326="","",IFERROR(INDEX(CLIENTES!$Z$6:$Z$305,MATCH(C326,CLIENTES!$A$6:$A$305,0)),""))</f>
        <v/>
      </c>
      <c r="K326" s="9" t="str">
        <f aca="false">IF(E326="","",IF(AB326="Siempre","Sí",IF(ISNUMBER(AC326),IF(E326&gt;=AC326,"Sí",IF(AW326&gt;=AC326,"Sí (serie 24 h)","No")),"")))</f>
        <v/>
      </c>
      <c r="L326" s="9" t="str">
        <f aca="false">IF(E326="","",AA326)</f>
        <v/>
      </c>
      <c r="M326" s="9" t="str">
        <f aca="false">IF(E326="","",IF(AA326&lt;&gt;"ACUMULA","No aplica",IF(LEFT(K326,2)="Sí","Sí","No")))</f>
        <v/>
      </c>
      <c r="N326" s="23" t="str">
        <f aca="false">IF(M326="Sí",AJ326,"")</f>
        <v/>
      </c>
      <c r="O326" s="24" t="str">
        <f aca="false">IF(M326="Sí",AK326,"")</f>
        <v/>
      </c>
      <c r="P326" s="25" t="str">
        <f aca="false">IF(AND(LEFT(D326,6)="XIV - ",LEFT(AX326,5)="AVISO"),"Pedimento (R 16): no va al SPPLD",AX326)</f>
        <v/>
      </c>
      <c r="Q326" s="23" t="str">
        <f aca="false">IF(LEFT(P326,5)="AVISO",IF(ISNUMBER(B326),DATE(YEAR(B326),MONTH(B326)+1,17),"Falta fecha"),"")</f>
        <v/>
      </c>
      <c r="R326" s="9" t="str">
        <f aca="false">IF(OR(F326="",F326=0),"",IF(ISNUMBER(AG326),IF(F326&gt;=AG326,"PROHIBIDO","Dentro del límite"),"No aplica"))</f>
        <v/>
      </c>
      <c r="S326" s="26" t="str">
        <f aca="false">IF(E326="","",MID(IF(AQ326=1," · Excede el perfil declarado","")&amp;IF(H326="Sí"," · Paga un tercero","")&amp;IF(J326="Alto"," · Cliente de riesgo alto: DDR (RCG 23 Ter 3 y 4)","")&amp;IF(AND(AS326&lt;&gt;"",AS326&lt;&gt;"No",AS326&lt;&gt;0)," · PEP","")&amp;IF(R326="PROHIBIDO"," · Efectivo prohibido: no lo recibas (Art. 32)","")&amp;IF(AR326=1," · ⚠ Fecha fuera de orden","")&amp;IF(LEFT(I326,1)="⚠"," · ⚠ Cliente no registrado","")&amp;IF(D326=""," · ⚠ Falta la actividad","")&amp;IF(AND(LEFT(P326,5)="AVISO",W326="")," · Captura la cifra total con IVA para el Aviso","")&amp;IF(AND(ISNUMBER(W326),W326&lt;E326)," · ⚠ La cifra con IVA es menor que el monto sin IVA",""),4,400))</f>
        <v/>
      </c>
      <c r="T326" s="21"/>
      <c r="U326" s="20"/>
      <c r="V326" s="9" t="str">
        <f aca="false">IF(LEFT(P326,5)&lt;&gt;"AVISO","",IF(T326="Presentado",IF(AND(ISNUMBER(U326),ISNUMBER(Q326),U326&gt;Q326),"Presentado tarde","Presentado"),IF(NOT(ISNUMBER(Q326)),"Falta fecha",IF(Q326&lt;CONFIG!$B$6,"VENCIDO","Vence en "&amp;(Q326-CONFIG!$B$6)&amp;" días"))))</f>
        <v/>
      </c>
      <c r="W326" s="22"/>
      <c r="X326" s="21"/>
      <c r="AA326" s="0" t="str">
        <f aca="false">IF(AM326="","",INDEX(CATÁLOGO!$D$5:$D$39,AM326))</f>
        <v/>
      </c>
      <c r="AB326" s="0" t="str">
        <f aca="false">IF(AM326="","",INDEX(CATÁLOGO!$E$5:$E$39,AM326))</f>
        <v/>
      </c>
      <c r="AC326" s="0" t="str">
        <f aca="false">IF(AB326="","",IF(ISNUMBER(AB326),AB326*AV326,AB326))</f>
        <v/>
      </c>
      <c r="AD326" s="0" t="str">
        <f aca="false">IF(AM326="","",INDEX(CATÁLOGO!$F$5:$F$39,AM326))</f>
        <v/>
      </c>
      <c r="AE326" s="0" t="str">
        <f aca="false">IF(AD326="","",IF(ISNUMBER(AD326),AD326*AV326,AD326))</f>
        <v/>
      </c>
      <c r="AF326" s="0" t="str">
        <f aca="false">IF(AM326="","",INDEX(CATÁLOGO!$G$5:$G$39,AM326))</f>
        <v/>
      </c>
      <c r="AG326" s="0" t="str">
        <f aca="false">IF(AF326="","",IF(ISNUMBER(AF326),AF326*AV326,AF326))</f>
        <v/>
      </c>
      <c r="AH326" s="0" t="str">
        <f aca="false">IF(E326="","",C326&amp;"|"&amp;D326)</f>
        <v/>
      </c>
      <c r="AI326" s="27" t="n">
        <f aca="false">IF(M326&lt;&gt;"Sí",0,SUMPRODUCT(MAX(($AH$5:AH325=AH326)*($M$5:M325="Sí")*ROW($AH$5:AH325))))</f>
        <v>0</v>
      </c>
      <c r="AJ326" s="0" t="str">
        <f aca="false">IF(M326&lt;&gt;"Sí","",IF(AL326=1,B326,INDEX($AJ:$AJ,AI326)))</f>
        <v/>
      </c>
      <c r="AK326" s="0" t="str">
        <f aca="false">IF(M326&lt;&gt;"Sí","",IF(AL326=1,E326,INDEX($AK:$AK,AI326)+E326))</f>
        <v/>
      </c>
      <c r="AL326" s="0" t="str">
        <f aca="false">IF(M326&lt;&gt;"Sí","",IF(AI326=0,1,IF(INDEX($AN:$AN,AI326)=0,1,IF(B326&gt;=EDATE(INDEX($AJ:$AJ,AI326),6),1,0))))</f>
        <v/>
      </c>
      <c r="AM326" s="0" t="str">
        <f aca="false">IF(D326="","",IFERROR(MATCH(D326,CATÁLOGO!$C$5:$C$39,0),""))</f>
        <v/>
      </c>
      <c r="AN326" s="0" t="str">
        <f aca="false">IF(M326&lt;&gt;"Sí","",IF(AND(ISNUMBER(AE326),AK326&gt;=AE326),0,1))</f>
        <v/>
      </c>
      <c r="AO326" s="0" t="str">
        <f aca="false">IF(OR(E326="",C326="",NOT(ISNUMBER(B326))),"",SUMIFS($E$6:$E$505,$C$6:$C$505,C326,$B$6:$B$505,"&gt;="&amp;DATE(YEAR(B326),MONTH(B326),1),$B$6:$B$505,"&lt;"&amp;DATE(YEAR(B326),MONTH(B326)+1,1)))</f>
        <v/>
      </c>
      <c r="AP326" s="0" t="str">
        <f aca="false">IF(C326="","",IFERROR(INDEX(CLIENTES!$M$6:$M$305,MATCH(C326,CLIENTES!$A$6:$A$305,0)),""))</f>
        <v/>
      </c>
      <c r="AQ326" s="27" t="n">
        <f aca="false">IF(AND(ISNUMBER(AO326),ISNUMBER(AP326)),IF(AND(AP326&gt;0,AO326&gt;AP326),1,0),0)</f>
        <v>0</v>
      </c>
      <c r="AR326" s="27" t="n">
        <f aca="false">IF(NOT(ISNUMBER(B326)),0,IF(B326&lt;MAX($B$5:B325),1,0))</f>
        <v>0</v>
      </c>
      <c r="AS326" s="0" t="str">
        <f aca="false">IF(C326="","",IFERROR(INDEX(CLIENTES!$H$6:$H$305,MATCH(C326,CLIENTES!$A$6:$A$305,0)),""))</f>
        <v/>
      </c>
      <c r="AT326" s="0" t="str">
        <f aca="false">IF(AND(LEFT(P326,5)="AVISO",T326&lt;&gt;"Presentado",ISNUMBER(Q326)),Q326,"")</f>
        <v/>
      </c>
      <c r="AU326" s="27" t="n">
        <f aca="false">IF(AND(D326="XVI - Activos virtuales (PSAV): operación de intercambio/transferencia",M326="Sí",ISNUMBER(AE326)),IF(AK326&gt;=AE326,1,0),0)</f>
        <v>0</v>
      </c>
      <c r="AV326" s="30" t="n">
        <f aca="false">IF(NOT(ISNUMBER(B326)),CONFIG!$B$4,IFERROR(INDEX(CONFIG!$I$5:$I$14,MATCH(IF(MONTH(B326)=1,YEAR(B326)-1,YEAR(B326)),CONFIG!$H$5:$H$14,0)),CONFIG!$B$4))</f>
        <v>117.31</v>
      </c>
      <c r="AW326" s="27" t="n">
        <f aca="false">IF(AND(LEFT(D326,4)="I - ",ISNUMBER(B326),C326&lt;&gt;""),SUMIFS($E$6:$E$505,$C$6:$C$505,C326,$D$6:$D$505,D326,$B$6:$B$505,"&gt;"&amp;(B326-1),$B$6:$B$505,"&lt;="&amp;B326),0)</f>
        <v>0</v>
      </c>
      <c r="AX326" s="0" t="str">
        <f aca="false">IF(E326="","",IF(AD326="Siempre","AVISO (siempre)",IF(AD326="No aplica","Sin Aviso (sólo preparas: Ley 17 XI)",IF(NOT(ISNUMBER(AE326)),"",IF(AA326&lt;&gt;"ACUMULA",IF(E326&gt;=AE326,IF(AND(D326="XVI - Activos virtuales (PSAV): cobro de contraprestación (comisión) por el servicio",COUNTIFS($C$6:$C$505,C326,$B$6:$B$505,"&gt;="&amp;INT(B326),$B$6:$B$505,"&lt;"&amp;(INT(B326)+1),$AU$6:$AU$505,1)&gt;0),"En el Aviso del inciso a) (R 31 Bis)","AVISO"),"—"),IF(M326&lt;&gt;"Sí","—",IF(AK326&gt;=AE326,IF(AK326=E326,"AVISO","AVISO (acumulado)"),"Acumulando")))))))</f>
        <v/>
      </c>
    </row>
    <row r="327" customFormat="false" ht="15" hidden="false" customHeight="false" outlineLevel="0" collapsed="false">
      <c r="A327" s="9" t="str">
        <f aca="false">IF(E327="","",ROW()-5)</f>
        <v/>
      </c>
      <c r="B327" s="20"/>
      <c r="C327" s="21"/>
      <c r="D327" s="21"/>
      <c r="E327" s="22"/>
      <c r="F327" s="22"/>
      <c r="G327" s="21"/>
      <c r="H327" s="21"/>
      <c r="I327" s="9" t="str">
        <f aca="false">IF(C327="","",IFERROR(INDEX(CLIENTES!$B$6:$B$305,MATCH(C327,CLIENTES!$A$6:$A$305,0)),"⚠ ID no registrado"))</f>
        <v/>
      </c>
      <c r="J327" s="9" t="str">
        <f aca="false">IF(C327="","",IFERROR(INDEX(CLIENTES!$Z$6:$Z$305,MATCH(C327,CLIENTES!$A$6:$A$305,0)),""))</f>
        <v/>
      </c>
      <c r="K327" s="9" t="str">
        <f aca="false">IF(E327="","",IF(AB327="Siempre","Sí",IF(ISNUMBER(AC327),IF(E327&gt;=AC327,"Sí",IF(AW327&gt;=AC327,"Sí (serie 24 h)","No")),"")))</f>
        <v/>
      </c>
      <c r="L327" s="9" t="str">
        <f aca="false">IF(E327="","",AA327)</f>
        <v/>
      </c>
      <c r="M327" s="9" t="str">
        <f aca="false">IF(E327="","",IF(AA327&lt;&gt;"ACUMULA","No aplica",IF(LEFT(K327,2)="Sí","Sí","No")))</f>
        <v/>
      </c>
      <c r="N327" s="23" t="str">
        <f aca="false">IF(M327="Sí",AJ327,"")</f>
        <v/>
      </c>
      <c r="O327" s="24" t="str">
        <f aca="false">IF(M327="Sí",AK327,"")</f>
        <v/>
      </c>
      <c r="P327" s="25" t="str">
        <f aca="false">IF(AND(LEFT(D327,6)="XIV - ",LEFT(AX327,5)="AVISO"),"Pedimento (R 16): no va al SPPLD",AX327)</f>
        <v/>
      </c>
      <c r="Q327" s="23" t="str">
        <f aca="false">IF(LEFT(P327,5)="AVISO",IF(ISNUMBER(B327),DATE(YEAR(B327),MONTH(B327)+1,17),"Falta fecha"),"")</f>
        <v/>
      </c>
      <c r="R327" s="9" t="str">
        <f aca="false">IF(OR(F327="",F327=0),"",IF(ISNUMBER(AG327),IF(F327&gt;=AG327,"PROHIBIDO","Dentro del límite"),"No aplica"))</f>
        <v/>
      </c>
      <c r="S327" s="26" t="str">
        <f aca="false">IF(E327="","",MID(IF(AQ327=1," · Excede el perfil declarado","")&amp;IF(H327="Sí"," · Paga un tercero","")&amp;IF(J327="Alto"," · Cliente de riesgo alto: DDR (RCG 23 Ter 3 y 4)","")&amp;IF(AND(AS327&lt;&gt;"",AS327&lt;&gt;"No",AS327&lt;&gt;0)," · PEP","")&amp;IF(R327="PROHIBIDO"," · Efectivo prohibido: no lo recibas (Art. 32)","")&amp;IF(AR327=1," · ⚠ Fecha fuera de orden","")&amp;IF(LEFT(I327,1)="⚠"," · ⚠ Cliente no registrado","")&amp;IF(D327=""," · ⚠ Falta la actividad","")&amp;IF(AND(LEFT(P327,5)="AVISO",W327="")," · Captura la cifra total con IVA para el Aviso","")&amp;IF(AND(ISNUMBER(W327),W327&lt;E327)," · ⚠ La cifra con IVA es menor que el monto sin IVA",""),4,400))</f>
        <v/>
      </c>
      <c r="T327" s="21"/>
      <c r="U327" s="20"/>
      <c r="V327" s="9" t="str">
        <f aca="false">IF(LEFT(P327,5)&lt;&gt;"AVISO","",IF(T327="Presentado",IF(AND(ISNUMBER(U327),ISNUMBER(Q327),U327&gt;Q327),"Presentado tarde","Presentado"),IF(NOT(ISNUMBER(Q327)),"Falta fecha",IF(Q327&lt;CONFIG!$B$6,"VENCIDO","Vence en "&amp;(Q327-CONFIG!$B$6)&amp;" días"))))</f>
        <v/>
      </c>
      <c r="W327" s="22"/>
      <c r="X327" s="21"/>
      <c r="AA327" s="0" t="str">
        <f aca="false">IF(AM327="","",INDEX(CATÁLOGO!$D$5:$D$39,AM327))</f>
        <v/>
      </c>
      <c r="AB327" s="0" t="str">
        <f aca="false">IF(AM327="","",INDEX(CATÁLOGO!$E$5:$E$39,AM327))</f>
        <v/>
      </c>
      <c r="AC327" s="0" t="str">
        <f aca="false">IF(AB327="","",IF(ISNUMBER(AB327),AB327*AV327,AB327))</f>
        <v/>
      </c>
      <c r="AD327" s="0" t="str">
        <f aca="false">IF(AM327="","",INDEX(CATÁLOGO!$F$5:$F$39,AM327))</f>
        <v/>
      </c>
      <c r="AE327" s="0" t="str">
        <f aca="false">IF(AD327="","",IF(ISNUMBER(AD327),AD327*AV327,AD327))</f>
        <v/>
      </c>
      <c r="AF327" s="0" t="str">
        <f aca="false">IF(AM327="","",INDEX(CATÁLOGO!$G$5:$G$39,AM327))</f>
        <v/>
      </c>
      <c r="AG327" s="0" t="str">
        <f aca="false">IF(AF327="","",IF(ISNUMBER(AF327),AF327*AV327,AF327))</f>
        <v/>
      </c>
      <c r="AH327" s="0" t="str">
        <f aca="false">IF(E327="","",C327&amp;"|"&amp;D327)</f>
        <v/>
      </c>
      <c r="AI327" s="27" t="n">
        <f aca="false">IF(M327&lt;&gt;"Sí",0,SUMPRODUCT(MAX(($AH$5:AH326=AH327)*($M$5:M326="Sí")*ROW($AH$5:AH326))))</f>
        <v>0</v>
      </c>
      <c r="AJ327" s="0" t="str">
        <f aca="false">IF(M327&lt;&gt;"Sí","",IF(AL327=1,B327,INDEX($AJ:$AJ,AI327)))</f>
        <v/>
      </c>
      <c r="AK327" s="0" t="str">
        <f aca="false">IF(M327&lt;&gt;"Sí","",IF(AL327=1,E327,INDEX($AK:$AK,AI327)+E327))</f>
        <v/>
      </c>
      <c r="AL327" s="0" t="str">
        <f aca="false">IF(M327&lt;&gt;"Sí","",IF(AI327=0,1,IF(INDEX($AN:$AN,AI327)=0,1,IF(B327&gt;=EDATE(INDEX($AJ:$AJ,AI327),6),1,0))))</f>
        <v/>
      </c>
      <c r="AM327" s="0" t="str">
        <f aca="false">IF(D327="","",IFERROR(MATCH(D327,CATÁLOGO!$C$5:$C$39,0),""))</f>
        <v/>
      </c>
      <c r="AN327" s="0" t="str">
        <f aca="false">IF(M327&lt;&gt;"Sí","",IF(AND(ISNUMBER(AE327),AK327&gt;=AE327),0,1))</f>
        <v/>
      </c>
      <c r="AO327" s="0" t="str">
        <f aca="false">IF(OR(E327="",C327="",NOT(ISNUMBER(B327))),"",SUMIFS($E$6:$E$505,$C$6:$C$505,C327,$B$6:$B$505,"&gt;="&amp;DATE(YEAR(B327),MONTH(B327),1),$B$6:$B$505,"&lt;"&amp;DATE(YEAR(B327),MONTH(B327)+1,1)))</f>
        <v/>
      </c>
      <c r="AP327" s="0" t="str">
        <f aca="false">IF(C327="","",IFERROR(INDEX(CLIENTES!$M$6:$M$305,MATCH(C327,CLIENTES!$A$6:$A$305,0)),""))</f>
        <v/>
      </c>
      <c r="AQ327" s="27" t="n">
        <f aca="false">IF(AND(ISNUMBER(AO327),ISNUMBER(AP327)),IF(AND(AP327&gt;0,AO327&gt;AP327),1,0),0)</f>
        <v>0</v>
      </c>
      <c r="AR327" s="27" t="n">
        <f aca="false">IF(NOT(ISNUMBER(B327)),0,IF(B327&lt;MAX($B$5:B326),1,0))</f>
        <v>0</v>
      </c>
      <c r="AS327" s="0" t="str">
        <f aca="false">IF(C327="","",IFERROR(INDEX(CLIENTES!$H$6:$H$305,MATCH(C327,CLIENTES!$A$6:$A$305,0)),""))</f>
        <v/>
      </c>
      <c r="AT327" s="0" t="str">
        <f aca="false">IF(AND(LEFT(P327,5)="AVISO",T327&lt;&gt;"Presentado",ISNUMBER(Q327)),Q327,"")</f>
        <v/>
      </c>
      <c r="AU327" s="27" t="n">
        <f aca="false">IF(AND(D327="XVI - Activos virtuales (PSAV): operación de intercambio/transferencia",M327="Sí",ISNUMBER(AE327)),IF(AK327&gt;=AE327,1,0),0)</f>
        <v>0</v>
      </c>
      <c r="AV327" s="30" t="n">
        <f aca="false">IF(NOT(ISNUMBER(B327)),CONFIG!$B$4,IFERROR(INDEX(CONFIG!$I$5:$I$14,MATCH(IF(MONTH(B327)=1,YEAR(B327)-1,YEAR(B327)),CONFIG!$H$5:$H$14,0)),CONFIG!$B$4))</f>
        <v>117.31</v>
      </c>
      <c r="AW327" s="27" t="n">
        <f aca="false">IF(AND(LEFT(D327,4)="I - ",ISNUMBER(B327),C327&lt;&gt;""),SUMIFS($E$6:$E$505,$C$6:$C$505,C327,$D$6:$D$505,D327,$B$6:$B$505,"&gt;"&amp;(B327-1),$B$6:$B$505,"&lt;="&amp;B327),0)</f>
        <v>0</v>
      </c>
      <c r="AX327" s="0" t="str">
        <f aca="false">IF(E327="","",IF(AD327="Siempre","AVISO (siempre)",IF(AD327="No aplica","Sin Aviso (sólo preparas: Ley 17 XI)",IF(NOT(ISNUMBER(AE327)),"",IF(AA327&lt;&gt;"ACUMULA",IF(E327&gt;=AE327,IF(AND(D327="XVI - Activos virtuales (PSAV): cobro de contraprestación (comisión) por el servicio",COUNTIFS($C$6:$C$505,C327,$B$6:$B$505,"&gt;="&amp;INT(B327),$B$6:$B$505,"&lt;"&amp;(INT(B327)+1),$AU$6:$AU$505,1)&gt;0),"En el Aviso del inciso a) (R 31 Bis)","AVISO"),"—"),IF(M327&lt;&gt;"Sí","—",IF(AK327&gt;=AE327,IF(AK327=E327,"AVISO","AVISO (acumulado)"),"Acumulando")))))))</f>
        <v/>
      </c>
    </row>
    <row r="328" customFormat="false" ht="15" hidden="false" customHeight="false" outlineLevel="0" collapsed="false">
      <c r="A328" s="9" t="str">
        <f aca="false">IF(E328="","",ROW()-5)</f>
        <v/>
      </c>
      <c r="B328" s="20"/>
      <c r="C328" s="21"/>
      <c r="D328" s="21"/>
      <c r="E328" s="22"/>
      <c r="F328" s="22"/>
      <c r="G328" s="21"/>
      <c r="H328" s="21"/>
      <c r="I328" s="9" t="str">
        <f aca="false">IF(C328="","",IFERROR(INDEX(CLIENTES!$B$6:$B$305,MATCH(C328,CLIENTES!$A$6:$A$305,0)),"⚠ ID no registrado"))</f>
        <v/>
      </c>
      <c r="J328" s="9" t="str">
        <f aca="false">IF(C328="","",IFERROR(INDEX(CLIENTES!$Z$6:$Z$305,MATCH(C328,CLIENTES!$A$6:$A$305,0)),""))</f>
        <v/>
      </c>
      <c r="K328" s="9" t="str">
        <f aca="false">IF(E328="","",IF(AB328="Siempre","Sí",IF(ISNUMBER(AC328),IF(E328&gt;=AC328,"Sí",IF(AW328&gt;=AC328,"Sí (serie 24 h)","No")),"")))</f>
        <v/>
      </c>
      <c r="L328" s="9" t="str">
        <f aca="false">IF(E328="","",AA328)</f>
        <v/>
      </c>
      <c r="M328" s="9" t="str">
        <f aca="false">IF(E328="","",IF(AA328&lt;&gt;"ACUMULA","No aplica",IF(LEFT(K328,2)="Sí","Sí","No")))</f>
        <v/>
      </c>
      <c r="N328" s="23" t="str">
        <f aca="false">IF(M328="Sí",AJ328,"")</f>
        <v/>
      </c>
      <c r="O328" s="24" t="str">
        <f aca="false">IF(M328="Sí",AK328,"")</f>
        <v/>
      </c>
      <c r="P328" s="25" t="str">
        <f aca="false">IF(AND(LEFT(D328,6)="XIV - ",LEFT(AX328,5)="AVISO"),"Pedimento (R 16): no va al SPPLD",AX328)</f>
        <v/>
      </c>
      <c r="Q328" s="23" t="str">
        <f aca="false">IF(LEFT(P328,5)="AVISO",IF(ISNUMBER(B328),DATE(YEAR(B328),MONTH(B328)+1,17),"Falta fecha"),"")</f>
        <v/>
      </c>
      <c r="R328" s="9" t="str">
        <f aca="false">IF(OR(F328="",F328=0),"",IF(ISNUMBER(AG328),IF(F328&gt;=AG328,"PROHIBIDO","Dentro del límite"),"No aplica"))</f>
        <v/>
      </c>
      <c r="S328" s="26" t="str">
        <f aca="false">IF(E328="","",MID(IF(AQ328=1," · Excede el perfil declarado","")&amp;IF(H328="Sí"," · Paga un tercero","")&amp;IF(J328="Alto"," · Cliente de riesgo alto: DDR (RCG 23 Ter 3 y 4)","")&amp;IF(AND(AS328&lt;&gt;"",AS328&lt;&gt;"No",AS328&lt;&gt;0)," · PEP","")&amp;IF(R328="PROHIBIDO"," · Efectivo prohibido: no lo recibas (Art. 32)","")&amp;IF(AR328=1," · ⚠ Fecha fuera de orden","")&amp;IF(LEFT(I328,1)="⚠"," · ⚠ Cliente no registrado","")&amp;IF(D328=""," · ⚠ Falta la actividad","")&amp;IF(AND(LEFT(P328,5)="AVISO",W328="")," · Captura la cifra total con IVA para el Aviso","")&amp;IF(AND(ISNUMBER(W328),W328&lt;E328)," · ⚠ La cifra con IVA es menor que el monto sin IVA",""),4,400))</f>
        <v/>
      </c>
      <c r="T328" s="21"/>
      <c r="U328" s="20"/>
      <c r="V328" s="9" t="str">
        <f aca="false">IF(LEFT(P328,5)&lt;&gt;"AVISO","",IF(T328="Presentado",IF(AND(ISNUMBER(U328),ISNUMBER(Q328),U328&gt;Q328),"Presentado tarde","Presentado"),IF(NOT(ISNUMBER(Q328)),"Falta fecha",IF(Q328&lt;CONFIG!$B$6,"VENCIDO","Vence en "&amp;(Q328-CONFIG!$B$6)&amp;" días"))))</f>
        <v/>
      </c>
      <c r="W328" s="22"/>
      <c r="X328" s="21"/>
      <c r="AA328" s="0" t="str">
        <f aca="false">IF(AM328="","",INDEX(CATÁLOGO!$D$5:$D$39,AM328))</f>
        <v/>
      </c>
      <c r="AB328" s="0" t="str">
        <f aca="false">IF(AM328="","",INDEX(CATÁLOGO!$E$5:$E$39,AM328))</f>
        <v/>
      </c>
      <c r="AC328" s="0" t="str">
        <f aca="false">IF(AB328="","",IF(ISNUMBER(AB328),AB328*AV328,AB328))</f>
        <v/>
      </c>
      <c r="AD328" s="0" t="str">
        <f aca="false">IF(AM328="","",INDEX(CATÁLOGO!$F$5:$F$39,AM328))</f>
        <v/>
      </c>
      <c r="AE328" s="0" t="str">
        <f aca="false">IF(AD328="","",IF(ISNUMBER(AD328),AD328*AV328,AD328))</f>
        <v/>
      </c>
      <c r="AF328" s="0" t="str">
        <f aca="false">IF(AM328="","",INDEX(CATÁLOGO!$G$5:$G$39,AM328))</f>
        <v/>
      </c>
      <c r="AG328" s="0" t="str">
        <f aca="false">IF(AF328="","",IF(ISNUMBER(AF328),AF328*AV328,AF328))</f>
        <v/>
      </c>
      <c r="AH328" s="0" t="str">
        <f aca="false">IF(E328="","",C328&amp;"|"&amp;D328)</f>
        <v/>
      </c>
      <c r="AI328" s="27" t="n">
        <f aca="false">IF(M328&lt;&gt;"Sí",0,SUMPRODUCT(MAX(($AH$5:AH327=AH328)*($M$5:M327="Sí")*ROW($AH$5:AH327))))</f>
        <v>0</v>
      </c>
      <c r="AJ328" s="0" t="str">
        <f aca="false">IF(M328&lt;&gt;"Sí","",IF(AL328=1,B328,INDEX($AJ:$AJ,AI328)))</f>
        <v/>
      </c>
      <c r="AK328" s="0" t="str">
        <f aca="false">IF(M328&lt;&gt;"Sí","",IF(AL328=1,E328,INDEX($AK:$AK,AI328)+E328))</f>
        <v/>
      </c>
      <c r="AL328" s="0" t="str">
        <f aca="false">IF(M328&lt;&gt;"Sí","",IF(AI328=0,1,IF(INDEX($AN:$AN,AI328)=0,1,IF(B328&gt;=EDATE(INDEX($AJ:$AJ,AI328),6),1,0))))</f>
        <v/>
      </c>
      <c r="AM328" s="0" t="str">
        <f aca="false">IF(D328="","",IFERROR(MATCH(D328,CATÁLOGO!$C$5:$C$39,0),""))</f>
        <v/>
      </c>
      <c r="AN328" s="0" t="str">
        <f aca="false">IF(M328&lt;&gt;"Sí","",IF(AND(ISNUMBER(AE328),AK328&gt;=AE328),0,1))</f>
        <v/>
      </c>
      <c r="AO328" s="0" t="str">
        <f aca="false">IF(OR(E328="",C328="",NOT(ISNUMBER(B328))),"",SUMIFS($E$6:$E$505,$C$6:$C$505,C328,$B$6:$B$505,"&gt;="&amp;DATE(YEAR(B328),MONTH(B328),1),$B$6:$B$505,"&lt;"&amp;DATE(YEAR(B328),MONTH(B328)+1,1)))</f>
        <v/>
      </c>
      <c r="AP328" s="0" t="str">
        <f aca="false">IF(C328="","",IFERROR(INDEX(CLIENTES!$M$6:$M$305,MATCH(C328,CLIENTES!$A$6:$A$305,0)),""))</f>
        <v/>
      </c>
      <c r="AQ328" s="27" t="n">
        <f aca="false">IF(AND(ISNUMBER(AO328),ISNUMBER(AP328)),IF(AND(AP328&gt;0,AO328&gt;AP328),1,0),0)</f>
        <v>0</v>
      </c>
      <c r="AR328" s="27" t="n">
        <f aca="false">IF(NOT(ISNUMBER(B328)),0,IF(B328&lt;MAX($B$5:B327),1,0))</f>
        <v>0</v>
      </c>
      <c r="AS328" s="0" t="str">
        <f aca="false">IF(C328="","",IFERROR(INDEX(CLIENTES!$H$6:$H$305,MATCH(C328,CLIENTES!$A$6:$A$305,0)),""))</f>
        <v/>
      </c>
      <c r="AT328" s="0" t="str">
        <f aca="false">IF(AND(LEFT(P328,5)="AVISO",T328&lt;&gt;"Presentado",ISNUMBER(Q328)),Q328,"")</f>
        <v/>
      </c>
      <c r="AU328" s="27" t="n">
        <f aca="false">IF(AND(D328="XVI - Activos virtuales (PSAV): operación de intercambio/transferencia",M328="Sí",ISNUMBER(AE328)),IF(AK328&gt;=AE328,1,0),0)</f>
        <v>0</v>
      </c>
      <c r="AV328" s="30" t="n">
        <f aca="false">IF(NOT(ISNUMBER(B328)),CONFIG!$B$4,IFERROR(INDEX(CONFIG!$I$5:$I$14,MATCH(IF(MONTH(B328)=1,YEAR(B328)-1,YEAR(B328)),CONFIG!$H$5:$H$14,0)),CONFIG!$B$4))</f>
        <v>117.31</v>
      </c>
      <c r="AW328" s="27" t="n">
        <f aca="false">IF(AND(LEFT(D328,4)="I - ",ISNUMBER(B328),C328&lt;&gt;""),SUMIFS($E$6:$E$505,$C$6:$C$505,C328,$D$6:$D$505,D328,$B$6:$B$505,"&gt;"&amp;(B328-1),$B$6:$B$505,"&lt;="&amp;B328),0)</f>
        <v>0</v>
      </c>
      <c r="AX328" s="0" t="str">
        <f aca="false">IF(E328="","",IF(AD328="Siempre","AVISO (siempre)",IF(AD328="No aplica","Sin Aviso (sólo preparas: Ley 17 XI)",IF(NOT(ISNUMBER(AE328)),"",IF(AA328&lt;&gt;"ACUMULA",IF(E328&gt;=AE328,IF(AND(D328="XVI - Activos virtuales (PSAV): cobro de contraprestación (comisión) por el servicio",COUNTIFS($C$6:$C$505,C328,$B$6:$B$505,"&gt;="&amp;INT(B328),$B$6:$B$505,"&lt;"&amp;(INT(B328)+1),$AU$6:$AU$505,1)&gt;0),"En el Aviso del inciso a) (R 31 Bis)","AVISO"),"—"),IF(M328&lt;&gt;"Sí","—",IF(AK328&gt;=AE328,IF(AK328=E328,"AVISO","AVISO (acumulado)"),"Acumulando")))))))</f>
        <v/>
      </c>
    </row>
    <row r="329" customFormat="false" ht="15" hidden="false" customHeight="false" outlineLevel="0" collapsed="false">
      <c r="A329" s="9" t="str">
        <f aca="false">IF(E329="","",ROW()-5)</f>
        <v/>
      </c>
      <c r="B329" s="20"/>
      <c r="C329" s="21"/>
      <c r="D329" s="21"/>
      <c r="E329" s="22"/>
      <c r="F329" s="22"/>
      <c r="G329" s="21"/>
      <c r="H329" s="21"/>
      <c r="I329" s="9" t="str">
        <f aca="false">IF(C329="","",IFERROR(INDEX(CLIENTES!$B$6:$B$305,MATCH(C329,CLIENTES!$A$6:$A$305,0)),"⚠ ID no registrado"))</f>
        <v/>
      </c>
      <c r="J329" s="9" t="str">
        <f aca="false">IF(C329="","",IFERROR(INDEX(CLIENTES!$Z$6:$Z$305,MATCH(C329,CLIENTES!$A$6:$A$305,0)),""))</f>
        <v/>
      </c>
      <c r="K329" s="9" t="str">
        <f aca="false">IF(E329="","",IF(AB329="Siempre","Sí",IF(ISNUMBER(AC329),IF(E329&gt;=AC329,"Sí",IF(AW329&gt;=AC329,"Sí (serie 24 h)","No")),"")))</f>
        <v/>
      </c>
      <c r="L329" s="9" t="str">
        <f aca="false">IF(E329="","",AA329)</f>
        <v/>
      </c>
      <c r="M329" s="9" t="str">
        <f aca="false">IF(E329="","",IF(AA329&lt;&gt;"ACUMULA","No aplica",IF(LEFT(K329,2)="Sí","Sí","No")))</f>
        <v/>
      </c>
      <c r="N329" s="23" t="str">
        <f aca="false">IF(M329="Sí",AJ329,"")</f>
        <v/>
      </c>
      <c r="O329" s="24" t="str">
        <f aca="false">IF(M329="Sí",AK329,"")</f>
        <v/>
      </c>
      <c r="P329" s="25" t="str">
        <f aca="false">IF(AND(LEFT(D329,6)="XIV - ",LEFT(AX329,5)="AVISO"),"Pedimento (R 16): no va al SPPLD",AX329)</f>
        <v/>
      </c>
      <c r="Q329" s="23" t="str">
        <f aca="false">IF(LEFT(P329,5)="AVISO",IF(ISNUMBER(B329),DATE(YEAR(B329),MONTH(B329)+1,17),"Falta fecha"),"")</f>
        <v/>
      </c>
      <c r="R329" s="9" t="str">
        <f aca="false">IF(OR(F329="",F329=0),"",IF(ISNUMBER(AG329),IF(F329&gt;=AG329,"PROHIBIDO","Dentro del límite"),"No aplica"))</f>
        <v/>
      </c>
      <c r="S329" s="26" t="str">
        <f aca="false">IF(E329="","",MID(IF(AQ329=1," · Excede el perfil declarado","")&amp;IF(H329="Sí"," · Paga un tercero","")&amp;IF(J329="Alto"," · Cliente de riesgo alto: DDR (RCG 23 Ter 3 y 4)","")&amp;IF(AND(AS329&lt;&gt;"",AS329&lt;&gt;"No",AS329&lt;&gt;0)," · PEP","")&amp;IF(R329="PROHIBIDO"," · Efectivo prohibido: no lo recibas (Art. 32)","")&amp;IF(AR329=1," · ⚠ Fecha fuera de orden","")&amp;IF(LEFT(I329,1)="⚠"," · ⚠ Cliente no registrado","")&amp;IF(D329=""," · ⚠ Falta la actividad","")&amp;IF(AND(LEFT(P329,5)="AVISO",W329="")," · Captura la cifra total con IVA para el Aviso","")&amp;IF(AND(ISNUMBER(W329),W329&lt;E329)," · ⚠ La cifra con IVA es menor que el monto sin IVA",""),4,400))</f>
        <v/>
      </c>
      <c r="T329" s="21"/>
      <c r="U329" s="20"/>
      <c r="V329" s="9" t="str">
        <f aca="false">IF(LEFT(P329,5)&lt;&gt;"AVISO","",IF(T329="Presentado",IF(AND(ISNUMBER(U329),ISNUMBER(Q329),U329&gt;Q329),"Presentado tarde","Presentado"),IF(NOT(ISNUMBER(Q329)),"Falta fecha",IF(Q329&lt;CONFIG!$B$6,"VENCIDO","Vence en "&amp;(Q329-CONFIG!$B$6)&amp;" días"))))</f>
        <v/>
      </c>
      <c r="W329" s="22"/>
      <c r="X329" s="21"/>
      <c r="AA329" s="0" t="str">
        <f aca="false">IF(AM329="","",INDEX(CATÁLOGO!$D$5:$D$39,AM329))</f>
        <v/>
      </c>
      <c r="AB329" s="0" t="str">
        <f aca="false">IF(AM329="","",INDEX(CATÁLOGO!$E$5:$E$39,AM329))</f>
        <v/>
      </c>
      <c r="AC329" s="0" t="str">
        <f aca="false">IF(AB329="","",IF(ISNUMBER(AB329),AB329*AV329,AB329))</f>
        <v/>
      </c>
      <c r="AD329" s="0" t="str">
        <f aca="false">IF(AM329="","",INDEX(CATÁLOGO!$F$5:$F$39,AM329))</f>
        <v/>
      </c>
      <c r="AE329" s="0" t="str">
        <f aca="false">IF(AD329="","",IF(ISNUMBER(AD329),AD329*AV329,AD329))</f>
        <v/>
      </c>
      <c r="AF329" s="0" t="str">
        <f aca="false">IF(AM329="","",INDEX(CATÁLOGO!$G$5:$G$39,AM329))</f>
        <v/>
      </c>
      <c r="AG329" s="0" t="str">
        <f aca="false">IF(AF329="","",IF(ISNUMBER(AF329),AF329*AV329,AF329))</f>
        <v/>
      </c>
      <c r="AH329" s="0" t="str">
        <f aca="false">IF(E329="","",C329&amp;"|"&amp;D329)</f>
        <v/>
      </c>
      <c r="AI329" s="27" t="n">
        <f aca="false">IF(M329&lt;&gt;"Sí",0,SUMPRODUCT(MAX(($AH$5:AH328=AH329)*($M$5:M328="Sí")*ROW($AH$5:AH328))))</f>
        <v>0</v>
      </c>
      <c r="AJ329" s="0" t="str">
        <f aca="false">IF(M329&lt;&gt;"Sí","",IF(AL329=1,B329,INDEX($AJ:$AJ,AI329)))</f>
        <v/>
      </c>
      <c r="AK329" s="0" t="str">
        <f aca="false">IF(M329&lt;&gt;"Sí","",IF(AL329=1,E329,INDEX($AK:$AK,AI329)+E329))</f>
        <v/>
      </c>
      <c r="AL329" s="0" t="str">
        <f aca="false">IF(M329&lt;&gt;"Sí","",IF(AI329=0,1,IF(INDEX($AN:$AN,AI329)=0,1,IF(B329&gt;=EDATE(INDEX($AJ:$AJ,AI329),6),1,0))))</f>
        <v/>
      </c>
      <c r="AM329" s="0" t="str">
        <f aca="false">IF(D329="","",IFERROR(MATCH(D329,CATÁLOGO!$C$5:$C$39,0),""))</f>
        <v/>
      </c>
      <c r="AN329" s="0" t="str">
        <f aca="false">IF(M329&lt;&gt;"Sí","",IF(AND(ISNUMBER(AE329),AK329&gt;=AE329),0,1))</f>
        <v/>
      </c>
      <c r="AO329" s="0" t="str">
        <f aca="false">IF(OR(E329="",C329="",NOT(ISNUMBER(B329))),"",SUMIFS($E$6:$E$505,$C$6:$C$505,C329,$B$6:$B$505,"&gt;="&amp;DATE(YEAR(B329),MONTH(B329),1),$B$6:$B$505,"&lt;"&amp;DATE(YEAR(B329),MONTH(B329)+1,1)))</f>
        <v/>
      </c>
      <c r="AP329" s="0" t="str">
        <f aca="false">IF(C329="","",IFERROR(INDEX(CLIENTES!$M$6:$M$305,MATCH(C329,CLIENTES!$A$6:$A$305,0)),""))</f>
        <v/>
      </c>
      <c r="AQ329" s="27" t="n">
        <f aca="false">IF(AND(ISNUMBER(AO329),ISNUMBER(AP329)),IF(AND(AP329&gt;0,AO329&gt;AP329),1,0),0)</f>
        <v>0</v>
      </c>
      <c r="AR329" s="27" t="n">
        <f aca="false">IF(NOT(ISNUMBER(B329)),0,IF(B329&lt;MAX($B$5:B328),1,0))</f>
        <v>0</v>
      </c>
      <c r="AS329" s="0" t="str">
        <f aca="false">IF(C329="","",IFERROR(INDEX(CLIENTES!$H$6:$H$305,MATCH(C329,CLIENTES!$A$6:$A$305,0)),""))</f>
        <v/>
      </c>
      <c r="AT329" s="0" t="str">
        <f aca="false">IF(AND(LEFT(P329,5)="AVISO",T329&lt;&gt;"Presentado",ISNUMBER(Q329)),Q329,"")</f>
        <v/>
      </c>
      <c r="AU329" s="27" t="n">
        <f aca="false">IF(AND(D329="XVI - Activos virtuales (PSAV): operación de intercambio/transferencia",M329="Sí",ISNUMBER(AE329)),IF(AK329&gt;=AE329,1,0),0)</f>
        <v>0</v>
      </c>
      <c r="AV329" s="30" t="n">
        <f aca="false">IF(NOT(ISNUMBER(B329)),CONFIG!$B$4,IFERROR(INDEX(CONFIG!$I$5:$I$14,MATCH(IF(MONTH(B329)=1,YEAR(B329)-1,YEAR(B329)),CONFIG!$H$5:$H$14,0)),CONFIG!$B$4))</f>
        <v>117.31</v>
      </c>
      <c r="AW329" s="27" t="n">
        <f aca="false">IF(AND(LEFT(D329,4)="I - ",ISNUMBER(B329),C329&lt;&gt;""),SUMIFS($E$6:$E$505,$C$6:$C$505,C329,$D$6:$D$505,D329,$B$6:$B$505,"&gt;"&amp;(B329-1),$B$6:$B$505,"&lt;="&amp;B329),0)</f>
        <v>0</v>
      </c>
      <c r="AX329" s="0" t="str">
        <f aca="false">IF(E329="","",IF(AD329="Siempre","AVISO (siempre)",IF(AD329="No aplica","Sin Aviso (sólo preparas: Ley 17 XI)",IF(NOT(ISNUMBER(AE329)),"",IF(AA329&lt;&gt;"ACUMULA",IF(E329&gt;=AE329,IF(AND(D329="XVI - Activos virtuales (PSAV): cobro de contraprestación (comisión) por el servicio",COUNTIFS($C$6:$C$505,C329,$B$6:$B$505,"&gt;="&amp;INT(B329),$B$6:$B$505,"&lt;"&amp;(INT(B329)+1),$AU$6:$AU$505,1)&gt;0),"En el Aviso del inciso a) (R 31 Bis)","AVISO"),"—"),IF(M329&lt;&gt;"Sí","—",IF(AK329&gt;=AE329,IF(AK329=E329,"AVISO","AVISO (acumulado)"),"Acumulando")))))))</f>
        <v/>
      </c>
    </row>
    <row r="330" customFormat="false" ht="15" hidden="false" customHeight="false" outlineLevel="0" collapsed="false">
      <c r="A330" s="9" t="str">
        <f aca="false">IF(E330="","",ROW()-5)</f>
        <v/>
      </c>
      <c r="B330" s="20"/>
      <c r="C330" s="21"/>
      <c r="D330" s="21"/>
      <c r="E330" s="22"/>
      <c r="F330" s="22"/>
      <c r="G330" s="21"/>
      <c r="H330" s="21"/>
      <c r="I330" s="9" t="str">
        <f aca="false">IF(C330="","",IFERROR(INDEX(CLIENTES!$B$6:$B$305,MATCH(C330,CLIENTES!$A$6:$A$305,0)),"⚠ ID no registrado"))</f>
        <v/>
      </c>
      <c r="J330" s="9" t="str">
        <f aca="false">IF(C330="","",IFERROR(INDEX(CLIENTES!$Z$6:$Z$305,MATCH(C330,CLIENTES!$A$6:$A$305,0)),""))</f>
        <v/>
      </c>
      <c r="K330" s="9" t="str">
        <f aca="false">IF(E330="","",IF(AB330="Siempre","Sí",IF(ISNUMBER(AC330),IF(E330&gt;=AC330,"Sí",IF(AW330&gt;=AC330,"Sí (serie 24 h)","No")),"")))</f>
        <v/>
      </c>
      <c r="L330" s="9" t="str">
        <f aca="false">IF(E330="","",AA330)</f>
        <v/>
      </c>
      <c r="M330" s="9" t="str">
        <f aca="false">IF(E330="","",IF(AA330&lt;&gt;"ACUMULA","No aplica",IF(LEFT(K330,2)="Sí","Sí","No")))</f>
        <v/>
      </c>
      <c r="N330" s="23" t="str">
        <f aca="false">IF(M330="Sí",AJ330,"")</f>
        <v/>
      </c>
      <c r="O330" s="24" t="str">
        <f aca="false">IF(M330="Sí",AK330,"")</f>
        <v/>
      </c>
      <c r="P330" s="25" t="str">
        <f aca="false">IF(AND(LEFT(D330,6)="XIV - ",LEFT(AX330,5)="AVISO"),"Pedimento (R 16): no va al SPPLD",AX330)</f>
        <v/>
      </c>
      <c r="Q330" s="23" t="str">
        <f aca="false">IF(LEFT(P330,5)="AVISO",IF(ISNUMBER(B330),DATE(YEAR(B330),MONTH(B330)+1,17),"Falta fecha"),"")</f>
        <v/>
      </c>
      <c r="R330" s="9" t="str">
        <f aca="false">IF(OR(F330="",F330=0),"",IF(ISNUMBER(AG330),IF(F330&gt;=AG330,"PROHIBIDO","Dentro del límite"),"No aplica"))</f>
        <v/>
      </c>
      <c r="S330" s="26" t="str">
        <f aca="false">IF(E330="","",MID(IF(AQ330=1," · Excede el perfil declarado","")&amp;IF(H330="Sí"," · Paga un tercero","")&amp;IF(J330="Alto"," · Cliente de riesgo alto: DDR (RCG 23 Ter 3 y 4)","")&amp;IF(AND(AS330&lt;&gt;"",AS330&lt;&gt;"No",AS330&lt;&gt;0)," · PEP","")&amp;IF(R330="PROHIBIDO"," · Efectivo prohibido: no lo recibas (Art. 32)","")&amp;IF(AR330=1," · ⚠ Fecha fuera de orden","")&amp;IF(LEFT(I330,1)="⚠"," · ⚠ Cliente no registrado","")&amp;IF(D330=""," · ⚠ Falta la actividad","")&amp;IF(AND(LEFT(P330,5)="AVISO",W330="")," · Captura la cifra total con IVA para el Aviso","")&amp;IF(AND(ISNUMBER(W330),W330&lt;E330)," · ⚠ La cifra con IVA es menor que el monto sin IVA",""),4,400))</f>
        <v/>
      </c>
      <c r="T330" s="21"/>
      <c r="U330" s="20"/>
      <c r="V330" s="9" t="str">
        <f aca="false">IF(LEFT(P330,5)&lt;&gt;"AVISO","",IF(T330="Presentado",IF(AND(ISNUMBER(U330),ISNUMBER(Q330),U330&gt;Q330),"Presentado tarde","Presentado"),IF(NOT(ISNUMBER(Q330)),"Falta fecha",IF(Q330&lt;CONFIG!$B$6,"VENCIDO","Vence en "&amp;(Q330-CONFIG!$B$6)&amp;" días"))))</f>
        <v/>
      </c>
      <c r="W330" s="22"/>
      <c r="X330" s="21"/>
      <c r="AA330" s="0" t="str">
        <f aca="false">IF(AM330="","",INDEX(CATÁLOGO!$D$5:$D$39,AM330))</f>
        <v/>
      </c>
      <c r="AB330" s="0" t="str">
        <f aca="false">IF(AM330="","",INDEX(CATÁLOGO!$E$5:$E$39,AM330))</f>
        <v/>
      </c>
      <c r="AC330" s="0" t="str">
        <f aca="false">IF(AB330="","",IF(ISNUMBER(AB330),AB330*AV330,AB330))</f>
        <v/>
      </c>
      <c r="AD330" s="0" t="str">
        <f aca="false">IF(AM330="","",INDEX(CATÁLOGO!$F$5:$F$39,AM330))</f>
        <v/>
      </c>
      <c r="AE330" s="0" t="str">
        <f aca="false">IF(AD330="","",IF(ISNUMBER(AD330),AD330*AV330,AD330))</f>
        <v/>
      </c>
      <c r="AF330" s="0" t="str">
        <f aca="false">IF(AM330="","",INDEX(CATÁLOGO!$G$5:$G$39,AM330))</f>
        <v/>
      </c>
      <c r="AG330" s="0" t="str">
        <f aca="false">IF(AF330="","",IF(ISNUMBER(AF330),AF330*AV330,AF330))</f>
        <v/>
      </c>
      <c r="AH330" s="0" t="str">
        <f aca="false">IF(E330="","",C330&amp;"|"&amp;D330)</f>
        <v/>
      </c>
      <c r="AI330" s="27" t="n">
        <f aca="false">IF(M330&lt;&gt;"Sí",0,SUMPRODUCT(MAX(($AH$5:AH329=AH330)*($M$5:M329="Sí")*ROW($AH$5:AH329))))</f>
        <v>0</v>
      </c>
      <c r="AJ330" s="0" t="str">
        <f aca="false">IF(M330&lt;&gt;"Sí","",IF(AL330=1,B330,INDEX($AJ:$AJ,AI330)))</f>
        <v/>
      </c>
      <c r="AK330" s="0" t="str">
        <f aca="false">IF(M330&lt;&gt;"Sí","",IF(AL330=1,E330,INDEX($AK:$AK,AI330)+E330))</f>
        <v/>
      </c>
      <c r="AL330" s="0" t="str">
        <f aca="false">IF(M330&lt;&gt;"Sí","",IF(AI330=0,1,IF(INDEX($AN:$AN,AI330)=0,1,IF(B330&gt;=EDATE(INDEX($AJ:$AJ,AI330),6),1,0))))</f>
        <v/>
      </c>
      <c r="AM330" s="0" t="str">
        <f aca="false">IF(D330="","",IFERROR(MATCH(D330,CATÁLOGO!$C$5:$C$39,0),""))</f>
        <v/>
      </c>
      <c r="AN330" s="0" t="str">
        <f aca="false">IF(M330&lt;&gt;"Sí","",IF(AND(ISNUMBER(AE330),AK330&gt;=AE330),0,1))</f>
        <v/>
      </c>
      <c r="AO330" s="0" t="str">
        <f aca="false">IF(OR(E330="",C330="",NOT(ISNUMBER(B330))),"",SUMIFS($E$6:$E$505,$C$6:$C$505,C330,$B$6:$B$505,"&gt;="&amp;DATE(YEAR(B330),MONTH(B330),1),$B$6:$B$505,"&lt;"&amp;DATE(YEAR(B330),MONTH(B330)+1,1)))</f>
        <v/>
      </c>
      <c r="AP330" s="0" t="str">
        <f aca="false">IF(C330="","",IFERROR(INDEX(CLIENTES!$M$6:$M$305,MATCH(C330,CLIENTES!$A$6:$A$305,0)),""))</f>
        <v/>
      </c>
      <c r="AQ330" s="27" t="n">
        <f aca="false">IF(AND(ISNUMBER(AO330),ISNUMBER(AP330)),IF(AND(AP330&gt;0,AO330&gt;AP330),1,0),0)</f>
        <v>0</v>
      </c>
      <c r="AR330" s="27" t="n">
        <f aca="false">IF(NOT(ISNUMBER(B330)),0,IF(B330&lt;MAX($B$5:B329),1,0))</f>
        <v>0</v>
      </c>
      <c r="AS330" s="0" t="str">
        <f aca="false">IF(C330="","",IFERROR(INDEX(CLIENTES!$H$6:$H$305,MATCH(C330,CLIENTES!$A$6:$A$305,0)),""))</f>
        <v/>
      </c>
      <c r="AT330" s="0" t="str">
        <f aca="false">IF(AND(LEFT(P330,5)="AVISO",T330&lt;&gt;"Presentado",ISNUMBER(Q330)),Q330,"")</f>
        <v/>
      </c>
      <c r="AU330" s="27" t="n">
        <f aca="false">IF(AND(D330="XVI - Activos virtuales (PSAV): operación de intercambio/transferencia",M330="Sí",ISNUMBER(AE330)),IF(AK330&gt;=AE330,1,0),0)</f>
        <v>0</v>
      </c>
      <c r="AV330" s="30" t="n">
        <f aca="false">IF(NOT(ISNUMBER(B330)),CONFIG!$B$4,IFERROR(INDEX(CONFIG!$I$5:$I$14,MATCH(IF(MONTH(B330)=1,YEAR(B330)-1,YEAR(B330)),CONFIG!$H$5:$H$14,0)),CONFIG!$B$4))</f>
        <v>117.31</v>
      </c>
      <c r="AW330" s="27" t="n">
        <f aca="false">IF(AND(LEFT(D330,4)="I - ",ISNUMBER(B330),C330&lt;&gt;""),SUMIFS($E$6:$E$505,$C$6:$C$505,C330,$D$6:$D$505,D330,$B$6:$B$505,"&gt;"&amp;(B330-1),$B$6:$B$505,"&lt;="&amp;B330),0)</f>
        <v>0</v>
      </c>
      <c r="AX330" s="0" t="str">
        <f aca="false">IF(E330="","",IF(AD330="Siempre","AVISO (siempre)",IF(AD330="No aplica","Sin Aviso (sólo preparas: Ley 17 XI)",IF(NOT(ISNUMBER(AE330)),"",IF(AA330&lt;&gt;"ACUMULA",IF(E330&gt;=AE330,IF(AND(D330="XVI - Activos virtuales (PSAV): cobro de contraprestación (comisión) por el servicio",COUNTIFS($C$6:$C$505,C330,$B$6:$B$505,"&gt;="&amp;INT(B330),$B$6:$B$505,"&lt;"&amp;(INT(B330)+1),$AU$6:$AU$505,1)&gt;0),"En el Aviso del inciso a) (R 31 Bis)","AVISO"),"—"),IF(M330&lt;&gt;"Sí","—",IF(AK330&gt;=AE330,IF(AK330=E330,"AVISO","AVISO (acumulado)"),"Acumulando")))))))</f>
        <v/>
      </c>
    </row>
    <row r="331" customFormat="false" ht="15" hidden="false" customHeight="false" outlineLevel="0" collapsed="false">
      <c r="A331" s="9" t="str">
        <f aca="false">IF(E331="","",ROW()-5)</f>
        <v/>
      </c>
      <c r="B331" s="20"/>
      <c r="C331" s="21"/>
      <c r="D331" s="21"/>
      <c r="E331" s="22"/>
      <c r="F331" s="22"/>
      <c r="G331" s="21"/>
      <c r="H331" s="21"/>
      <c r="I331" s="9" t="str">
        <f aca="false">IF(C331="","",IFERROR(INDEX(CLIENTES!$B$6:$B$305,MATCH(C331,CLIENTES!$A$6:$A$305,0)),"⚠ ID no registrado"))</f>
        <v/>
      </c>
      <c r="J331" s="9" t="str">
        <f aca="false">IF(C331="","",IFERROR(INDEX(CLIENTES!$Z$6:$Z$305,MATCH(C331,CLIENTES!$A$6:$A$305,0)),""))</f>
        <v/>
      </c>
      <c r="K331" s="9" t="str">
        <f aca="false">IF(E331="","",IF(AB331="Siempre","Sí",IF(ISNUMBER(AC331),IF(E331&gt;=AC331,"Sí",IF(AW331&gt;=AC331,"Sí (serie 24 h)","No")),"")))</f>
        <v/>
      </c>
      <c r="L331" s="9" t="str">
        <f aca="false">IF(E331="","",AA331)</f>
        <v/>
      </c>
      <c r="M331" s="9" t="str">
        <f aca="false">IF(E331="","",IF(AA331&lt;&gt;"ACUMULA","No aplica",IF(LEFT(K331,2)="Sí","Sí","No")))</f>
        <v/>
      </c>
      <c r="N331" s="23" t="str">
        <f aca="false">IF(M331="Sí",AJ331,"")</f>
        <v/>
      </c>
      <c r="O331" s="24" t="str">
        <f aca="false">IF(M331="Sí",AK331,"")</f>
        <v/>
      </c>
      <c r="P331" s="25" t="str">
        <f aca="false">IF(AND(LEFT(D331,6)="XIV - ",LEFT(AX331,5)="AVISO"),"Pedimento (R 16): no va al SPPLD",AX331)</f>
        <v/>
      </c>
      <c r="Q331" s="23" t="str">
        <f aca="false">IF(LEFT(P331,5)="AVISO",IF(ISNUMBER(B331),DATE(YEAR(B331),MONTH(B331)+1,17),"Falta fecha"),"")</f>
        <v/>
      </c>
      <c r="R331" s="9" t="str">
        <f aca="false">IF(OR(F331="",F331=0),"",IF(ISNUMBER(AG331),IF(F331&gt;=AG331,"PROHIBIDO","Dentro del límite"),"No aplica"))</f>
        <v/>
      </c>
      <c r="S331" s="26" t="str">
        <f aca="false">IF(E331="","",MID(IF(AQ331=1," · Excede el perfil declarado","")&amp;IF(H331="Sí"," · Paga un tercero","")&amp;IF(J331="Alto"," · Cliente de riesgo alto: DDR (RCG 23 Ter 3 y 4)","")&amp;IF(AND(AS331&lt;&gt;"",AS331&lt;&gt;"No",AS331&lt;&gt;0)," · PEP","")&amp;IF(R331="PROHIBIDO"," · Efectivo prohibido: no lo recibas (Art. 32)","")&amp;IF(AR331=1," · ⚠ Fecha fuera de orden","")&amp;IF(LEFT(I331,1)="⚠"," · ⚠ Cliente no registrado","")&amp;IF(D331=""," · ⚠ Falta la actividad","")&amp;IF(AND(LEFT(P331,5)="AVISO",W331="")," · Captura la cifra total con IVA para el Aviso","")&amp;IF(AND(ISNUMBER(W331),W331&lt;E331)," · ⚠ La cifra con IVA es menor que el monto sin IVA",""),4,400))</f>
        <v/>
      </c>
      <c r="T331" s="21"/>
      <c r="U331" s="20"/>
      <c r="V331" s="9" t="str">
        <f aca="false">IF(LEFT(P331,5)&lt;&gt;"AVISO","",IF(T331="Presentado",IF(AND(ISNUMBER(U331),ISNUMBER(Q331),U331&gt;Q331),"Presentado tarde","Presentado"),IF(NOT(ISNUMBER(Q331)),"Falta fecha",IF(Q331&lt;CONFIG!$B$6,"VENCIDO","Vence en "&amp;(Q331-CONFIG!$B$6)&amp;" días"))))</f>
        <v/>
      </c>
      <c r="W331" s="22"/>
      <c r="X331" s="21"/>
      <c r="AA331" s="0" t="str">
        <f aca="false">IF(AM331="","",INDEX(CATÁLOGO!$D$5:$D$39,AM331))</f>
        <v/>
      </c>
      <c r="AB331" s="0" t="str">
        <f aca="false">IF(AM331="","",INDEX(CATÁLOGO!$E$5:$E$39,AM331))</f>
        <v/>
      </c>
      <c r="AC331" s="0" t="str">
        <f aca="false">IF(AB331="","",IF(ISNUMBER(AB331),AB331*AV331,AB331))</f>
        <v/>
      </c>
      <c r="AD331" s="0" t="str">
        <f aca="false">IF(AM331="","",INDEX(CATÁLOGO!$F$5:$F$39,AM331))</f>
        <v/>
      </c>
      <c r="AE331" s="0" t="str">
        <f aca="false">IF(AD331="","",IF(ISNUMBER(AD331),AD331*AV331,AD331))</f>
        <v/>
      </c>
      <c r="AF331" s="0" t="str">
        <f aca="false">IF(AM331="","",INDEX(CATÁLOGO!$G$5:$G$39,AM331))</f>
        <v/>
      </c>
      <c r="AG331" s="0" t="str">
        <f aca="false">IF(AF331="","",IF(ISNUMBER(AF331),AF331*AV331,AF331))</f>
        <v/>
      </c>
      <c r="AH331" s="0" t="str">
        <f aca="false">IF(E331="","",C331&amp;"|"&amp;D331)</f>
        <v/>
      </c>
      <c r="AI331" s="27" t="n">
        <f aca="false">IF(M331&lt;&gt;"Sí",0,SUMPRODUCT(MAX(($AH$5:AH330=AH331)*($M$5:M330="Sí")*ROW($AH$5:AH330))))</f>
        <v>0</v>
      </c>
      <c r="AJ331" s="0" t="str">
        <f aca="false">IF(M331&lt;&gt;"Sí","",IF(AL331=1,B331,INDEX($AJ:$AJ,AI331)))</f>
        <v/>
      </c>
      <c r="AK331" s="0" t="str">
        <f aca="false">IF(M331&lt;&gt;"Sí","",IF(AL331=1,E331,INDEX($AK:$AK,AI331)+E331))</f>
        <v/>
      </c>
      <c r="AL331" s="0" t="str">
        <f aca="false">IF(M331&lt;&gt;"Sí","",IF(AI331=0,1,IF(INDEX($AN:$AN,AI331)=0,1,IF(B331&gt;=EDATE(INDEX($AJ:$AJ,AI331),6),1,0))))</f>
        <v/>
      </c>
      <c r="AM331" s="0" t="str">
        <f aca="false">IF(D331="","",IFERROR(MATCH(D331,CATÁLOGO!$C$5:$C$39,0),""))</f>
        <v/>
      </c>
      <c r="AN331" s="0" t="str">
        <f aca="false">IF(M331&lt;&gt;"Sí","",IF(AND(ISNUMBER(AE331),AK331&gt;=AE331),0,1))</f>
        <v/>
      </c>
      <c r="AO331" s="0" t="str">
        <f aca="false">IF(OR(E331="",C331="",NOT(ISNUMBER(B331))),"",SUMIFS($E$6:$E$505,$C$6:$C$505,C331,$B$6:$B$505,"&gt;="&amp;DATE(YEAR(B331),MONTH(B331),1),$B$6:$B$505,"&lt;"&amp;DATE(YEAR(B331),MONTH(B331)+1,1)))</f>
        <v/>
      </c>
      <c r="AP331" s="0" t="str">
        <f aca="false">IF(C331="","",IFERROR(INDEX(CLIENTES!$M$6:$M$305,MATCH(C331,CLIENTES!$A$6:$A$305,0)),""))</f>
        <v/>
      </c>
      <c r="AQ331" s="27" t="n">
        <f aca="false">IF(AND(ISNUMBER(AO331),ISNUMBER(AP331)),IF(AND(AP331&gt;0,AO331&gt;AP331),1,0),0)</f>
        <v>0</v>
      </c>
      <c r="AR331" s="27" t="n">
        <f aca="false">IF(NOT(ISNUMBER(B331)),0,IF(B331&lt;MAX($B$5:B330),1,0))</f>
        <v>0</v>
      </c>
      <c r="AS331" s="0" t="str">
        <f aca="false">IF(C331="","",IFERROR(INDEX(CLIENTES!$H$6:$H$305,MATCH(C331,CLIENTES!$A$6:$A$305,0)),""))</f>
        <v/>
      </c>
      <c r="AT331" s="0" t="str">
        <f aca="false">IF(AND(LEFT(P331,5)="AVISO",T331&lt;&gt;"Presentado",ISNUMBER(Q331)),Q331,"")</f>
        <v/>
      </c>
      <c r="AU331" s="27" t="n">
        <f aca="false">IF(AND(D331="XVI - Activos virtuales (PSAV): operación de intercambio/transferencia",M331="Sí",ISNUMBER(AE331)),IF(AK331&gt;=AE331,1,0),0)</f>
        <v>0</v>
      </c>
      <c r="AV331" s="30" t="n">
        <f aca="false">IF(NOT(ISNUMBER(B331)),CONFIG!$B$4,IFERROR(INDEX(CONFIG!$I$5:$I$14,MATCH(IF(MONTH(B331)=1,YEAR(B331)-1,YEAR(B331)),CONFIG!$H$5:$H$14,0)),CONFIG!$B$4))</f>
        <v>117.31</v>
      </c>
      <c r="AW331" s="27" t="n">
        <f aca="false">IF(AND(LEFT(D331,4)="I - ",ISNUMBER(B331),C331&lt;&gt;""),SUMIFS($E$6:$E$505,$C$6:$C$505,C331,$D$6:$D$505,D331,$B$6:$B$505,"&gt;"&amp;(B331-1),$B$6:$B$505,"&lt;="&amp;B331),0)</f>
        <v>0</v>
      </c>
      <c r="AX331" s="0" t="str">
        <f aca="false">IF(E331="","",IF(AD331="Siempre","AVISO (siempre)",IF(AD331="No aplica","Sin Aviso (sólo preparas: Ley 17 XI)",IF(NOT(ISNUMBER(AE331)),"",IF(AA331&lt;&gt;"ACUMULA",IF(E331&gt;=AE331,IF(AND(D331="XVI - Activos virtuales (PSAV): cobro de contraprestación (comisión) por el servicio",COUNTIFS($C$6:$C$505,C331,$B$6:$B$505,"&gt;="&amp;INT(B331),$B$6:$B$505,"&lt;"&amp;(INT(B331)+1),$AU$6:$AU$505,1)&gt;0),"En el Aviso del inciso a) (R 31 Bis)","AVISO"),"—"),IF(M331&lt;&gt;"Sí","—",IF(AK331&gt;=AE331,IF(AK331=E331,"AVISO","AVISO (acumulado)"),"Acumulando")))))))</f>
        <v/>
      </c>
    </row>
    <row r="332" customFormat="false" ht="15" hidden="false" customHeight="false" outlineLevel="0" collapsed="false">
      <c r="A332" s="9" t="str">
        <f aca="false">IF(E332="","",ROW()-5)</f>
        <v/>
      </c>
      <c r="B332" s="20"/>
      <c r="C332" s="21"/>
      <c r="D332" s="21"/>
      <c r="E332" s="22"/>
      <c r="F332" s="22"/>
      <c r="G332" s="21"/>
      <c r="H332" s="21"/>
      <c r="I332" s="9" t="str">
        <f aca="false">IF(C332="","",IFERROR(INDEX(CLIENTES!$B$6:$B$305,MATCH(C332,CLIENTES!$A$6:$A$305,0)),"⚠ ID no registrado"))</f>
        <v/>
      </c>
      <c r="J332" s="9" t="str">
        <f aca="false">IF(C332="","",IFERROR(INDEX(CLIENTES!$Z$6:$Z$305,MATCH(C332,CLIENTES!$A$6:$A$305,0)),""))</f>
        <v/>
      </c>
      <c r="K332" s="9" t="str">
        <f aca="false">IF(E332="","",IF(AB332="Siempre","Sí",IF(ISNUMBER(AC332),IF(E332&gt;=AC332,"Sí",IF(AW332&gt;=AC332,"Sí (serie 24 h)","No")),"")))</f>
        <v/>
      </c>
      <c r="L332" s="9" t="str">
        <f aca="false">IF(E332="","",AA332)</f>
        <v/>
      </c>
      <c r="M332" s="9" t="str">
        <f aca="false">IF(E332="","",IF(AA332&lt;&gt;"ACUMULA","No aplica",IF(LEFT(K332,2)="Sí","Sí","No")))</f>
        <v/>
      </c>
      <c r="N332" s="23" t="str">
        <f aca="false">IF(M332="Sí",AJ332,"")</f>
        <v/>
      </c>
      <c r="O332" s="24" t="str">
        <f aca="false">IF(M332="Sí",AK332,"")</f>
        <v/>
      </c>
      <c r="P332" s="25" t="str">
        <f aca="false">IF(AND(LEFT(D332,6)="XIV - ",LEFT(AX332,5)="AVISO"),"Pedimento (R 16): no va al SPPLD",AX332)</f>
        <v/>
      </c>
      <c r="Q332" s="23" t="str">
        <f aca="false">IF(LEFT(P332,5)="AVISO",IF(ISNUMBER(B332),DATE(YEAR(B332),MONTH(B332)+1,17),"Falta fecha"),"")</f>
        <v/>
      </c>
      <c r="R332" s="9" t="str">
        <f aca="false">IF(OR(F332="",F332=0),"",IF(ISNUMBER(AG332),IF(F332&gt;=AG332,"PROHIBIDO","Dentro del límite"),"No aplica"))</f>
        <v/>
      </c>
      <c r="S332" s="26" t="str">
        <f aca="false">IF(E332="","",MID(IF(AQ332=1," · Excede el perfil declarado","")&amp;IF(H332="Sí"," · Paga un tercero","")&amp;IF(J332="Alto"," · Cliente de riesgo alto: DDR (RCG 23 Ter 3 y 4)","")&amp;IF(AND(AS332&lt;&gt;"",AS332&lt;&gt;"No",AS332&lt;&gt;0)," · PEP","")&amp;IF(R332="PROHIBIDO"," · Efectivo prohibido: no lo recibas (Art. 32)","")&amp;IF(AR332=1," · ⚠ Fecha fuera de orden","")&amp;IF(LEFT(I332,1)="⚠"," · ⚠ Cliente no registrado","")&amp;IF(D332=""," · ⚠ Falta la actividad","")&amp;IF(AND(LEFT(P332,5)="AVISO",W332="")," · Captura la cifra total con IVA para el Aviso","")&amp;IF(AND(ISNUMBER(W332),W332&lt;E332)," · ⚠ La cifra con IVA es menor que el monto sin IVA",""),4,400))</f>
        <v/>
      </c>
      <c r="T332" s="21"/>
      <c r="U332" s="20"/>
      <c r="V332" s="9" t="str">
        <f aca="false">IF(LEFT(P332,5)&lt;&gt;"AVISO","",IF(T332="Presentado",IF(AND(ISNUMBER(U332),ISNUMBER(Q332),U332&gt;Q332),"Presentado tarde","Presentado"),IF(NOT(ISNUMBER(Q332)),"Falta fecha",IF(Q332&lt;CONFIG!$B$6,"VENCIDO","Vence en "&amp;(Q332-CONFIG!$B$6)&amp;" días"))))</f>
        <v/>
      </c>
      <c r="W332" s="22"/>
      <c r="X332" s="21"/>
      <c r="AA332" s="0" t="str">
        <f aca="false">IF(AM332="","",INDEX(CATÁLOGO!$D$5:$D$39,AM332))</f>
        <v/>
      </c>
      <c r="AB332" s="0" t="str">
        <f aca="false">IF(AM332="","",INDEX(CATÁLOGO!$E$5:$E$39,AM332))</f>
        <v/>
      </c>
      <c r="AC332" s="0" t="str">
        <f aca="false">IF(AB332="","",IF(ISNUMBER(AB332),AB332*AV332,AB332))</f>
        <v/>
      </c>
      <c r="AD332" s="0" t="str">
        <f aca="false">IF(AM332="","",INDEX(CATÁLOGO!$F$5:$F$39,AM332))</f>
        <v/>
      </c>
      <c r="AE332" s="0" t="str">
        <f aca="false">IF(AD332="","",IF(ISNUMBER(AD332),AD332*AV332,AD332))</f>
        <v/>
      </c>
      <c r="AF332" s="0" t="str">
        <f aca="false">IF(AM332="","",INDEX(CATÁLOGO!$G$5:$G$39,AM332))</f>
        <v/>
      </c>
      <c r="AG332" s="0" t="str">
        <f aca="false">IF(AF332="","",IF(ISNUMBER(AF332),AF332*AV332,AF332))</f>
        <v/>
      </c>
      <c r="AH332" s="0" t="str">
        <f aca="false">IF(E332="","",C332&amp;"|"&amp;D332)</f>
        <v/>
      </c>
      <c r="AI332" s="27" t="n">
        <f aca="false">IF(M332&lt;&gt;"Sí",0,SUMPRODUCT(MAX(($AH$5:AH331=AH332)*($M$5:M331="Sí")*ROW($AH$5:AH331))))</f>
        <v>0</v>
      </c>
      <c r="AJ332" s="0" t="str">
        <f aca="false">IF(M332&lt;&gt;"Sí","",IF(AL332=1,B332,INDEX($AJ:$AJ,AI332)))</f>
        <v/>
      </c>
      <c r="AK332" s="0" t="str">
        <f aca="false">IF(M332&lt;&gt;"Sí","",IF(AL332=1,E332,INDEX($AK:$AK,AI332)+E332))</f>
        <v/>
      </c>
      <c r="AL332" s="0" t="str">
        <f aca="false">IF(M332&lt;&gt;"Sí","",IF(AI332=0,1,IF(INDEX($AN:$AN,AI332)=0,1,IF(B332&gt;=EDATE(INDEX($AJ:$AJ,AI332),6),1,0))))</f>
        <v/>
      </c>
      <c r="AM332" s="0" t="str">
        <f aca="false">IF(D332="","",IFERROR(MATCH(D332,CATÁLOGO!$C$5:$C$39,0),""))</f>
        <v/>
      </c>
      <c r="AN332" s="0" t="str">
        <f aca="false">IF(M332&lt;&gt;"Sí","",IF(AND(ISNUMBER(AE332),AK332&gt;=AE332),0,1))</f>
        <v/>
      </c>
      <c r="AO332" s="0" t="str">
        <f aca="false">IF(OR(E332="",C332="",NOT(ISNUMBER(B332))),"",SUMIFS($E$6:$E$505,$C$6:$C$505,C332,$B$6:$B$505,"&gt;="&amp;DATE(YEAR(B332),MONTH(B332),1),$B$6:$B$505,"&lt;"&amp;DATE(YEAR(B332),MONTH(B332)+1,1)))</f>
        <v/>
      </c>
      <c r="AP332" s="0" t="str">
        <f aca="false">IF(C332="","",IFERROR(INDEX(CLIENTES!$M$6:$M$305,MATCH(C332,CLIENTES!$A$6:$A$305,0)),""))</f>
        <v/>
      </c>
      <c r="AQ332" s="27" t="n">
        <f aca="false">IF(AND(ISNUMBER(AO332),ISNUMBER(AP332)),IF(AND(AP332&gt;0,AO332&gt;AP332),1,0),0)</f>
        <v>0</v>
      </c>
      <c r="AR332" s="27" t="n">
        <f aca="false">IF(NOT(ISNUMBER(B332)),0,IF(B332&lt;MAX($B$5:B331),1,0))</f>
        <v>0</v>
      </c>
      <c r="AS332" s="0" t="str">
        <f aca="false">IF(C332="","",IFERROR(INDEX(CLIENTES!$H$6:$H$305,MATCH(C332,CLIENTES!$A$6:$A$305,0)),""))</f>
        <v/>
      </c>
      <c r="AT332" s="0" t="str">
        <f aca="false">IF(AND(LEFT(P332,5)="AVISO",T332&lt;&gt;"Presentado",ISNUMBER(Q332)),Q332,"")</f>
        <v/>
      </c>
      <c r="AU332" s="27" t="n">
        <f aca="false">IF(AND(D332="XVI - Activos virtuales (PSAV): operación de intercambio/transferencia",M332="Sí",ISNUMBER(AE332)),IF(AK332&gt;=AE332,1,0),0)</f>
        <v>0</v>
      </c>
      <c r="AV332" s="30" t="n">
        <f aca="false">IF(NOT(ISNUMBER(B332)),CONFIG!$B$4,IFERROR(INDEX(CONFIG!$I$5:$I$14,MATCH(IF(MONTH(B332)=1,YEAR(B332)-1,YEAR(B332)),CONFIG!$H$5:$H$14,0)),CONFIG!$B$4))</f>
        <v>117.31</v>
      </c>
      <c r="AW332" s="27" t="n">
        <f aca="false">IF(AND(LEFT(D332,4)="I - ",ISNUMBER(B332),C332&lt;&gt;""),SUMIFS($E$6:$E$505,$C$6:$C$505,C332,$D$6:$D$505,D332,$B$6:$B$505,"&gt;"&amp;(B332-1),$B$6:$B$505,"&lt;="&amp;B332),0)</f>
        <v>0</v>
      </c>
      <c r="AX332" s="0" t="str">
        <f aca="false">IF(E332="","",IF(AD332="Siempre","AVISO (siempre)",IF(AD332="No aplica","Sin Aviso (sólo preparas: Ley 17 XI)",IF(NOT(ISNUMBER(AE332)),"",IF(AA332&lt;&gt;"ACUMULA",IF(E332&gt;=AE332,IF(AND(D332="XVI - Activos virtuales (PSAV): cobro de contraprestación (comisión) por el servicio",COUNTIFS($C$6:$C$505,C332,$B$6:$B$505,"&gt;="&amp;INT(B332),$B$6:$B$505,"&lt;"&amp;(INT(B332)+1),$AU$6:$AU$505,1)&gt;0),"En el Aviso del inciso a) (R 31 Bis)","AVISO"),"—"),IF(M332&lt;&gt;"Sí","—",IF(AK332&gt;=AE332,IF(AK332=E332,"AVISO","AVISO (acumulado)"),"Acumulando")))))))</f>
        <v/>
      </c>
    </row>
    <row r="333" customFormat="false" ht="15" hidden="false" customHeight="false" outlineLevel="0" collapsed="false">
      <c r="A333" s="9" t="str">
        <f aca="false">IF(E333="","",ROW()-5)</f>
        <v/>
      </c>
      <c r="B333" s="20"/>
      <c r="C333" s="21"/>
      <c r="D333" s="21"/>
      <c r="E333" s="22"/>
      <c r="F333" s="22"/>
      <c r="G333" s="21"/>
      <c r="H333" s="21"/>
      <c r="I333" s="9" t="str">
        <f aca="false">IF(C333="","",IFERROR(INDEX(CLIENTES!$B$6:$B$305,MATCH(C333,CLIENTES!$A$6:$A$305,0)),"⚠ ID no registrado"))</f>
        <v/>
      </c>
      <c r="J333" s="9" t="str">
        <f aca="false">IF(C333="","",IFERROR(INDEX(CLIENTES!$Z$6:$Z$305,MATCH(C333,CLIENTES!$A$6:$A$305,0)),""))</f>
        <v/>
      </c>
      <c r="K333" s="9" t="str">
        <f aca="false">IF(E333="","",IF(AB333="Siempre","Sí",IF(ISNUMBER(AC333),IF(E333&gt;=AC333,"Sí",IF(AW333&gt;=AC333,"Sí (serie 24 h)","No")),"")))</f>
        <v/>
      </c>
      <c r="L333" s="9" t="str">
        <f aca="false">IF(E333="","",AA333)</f>
        <v/>
      </c>
      <c r="M333" s="9" t="str">
        <f aca="false">IF(E333="","",IF(AA333&lt;&gt;"ACUMULA","No aplica",IF(LEFT(K333,2)="Sí","Sí","No")))</f>
        <v/>
      </c>
      <c r="N333" s="23" t="str">
        <f aca="false">IF(M333="Sí",AJ333,"")</f>
        <v/>
      </c>
      <c r="O333" s="24" t="str">
        <f aca="false">IF(M333="Sí",AK333,"")</f>
        <v/>
      </c>
      <c r="P333" s="25" t="str">
        <f aca="false">IF(AND(LEFT(D333,6)="XIV - ",LEFT(AX333,5)="AVISO"),"Pedimento (R 16): no va al SPPLD",AX333)</f>
        <v/>
      </c>
      <c r="Q333" s="23" t="str">
        <f aca="false">IF(LEFT(P333,5)="AVISO",IF(ISNUMBER(B333),DATE(YEAR(B333),MONTH(B333)+1,17),"Falta fecha"),"")</f>
        <v/>
      </c>
      <c r="R333" s="9" t="str">
        <f aca="false">IF(OR(F333="",F333=0),"",IF(ISNUMBER(AG333),IF(F333&gt;=AG333,"PROHIBIDO","Dentro del límite"),"No aplica"))</f>
        <v/>
      </c>
      <c r="S333" s="26" t="str">
        <f aca="false">IF(E333="","",MID(IF(AQ333=1," · Excede el perfil declarado","")&amp;IF(H333="Sí"," · Paga un tercero","")&amp;IF(J333="Alto"," · Cliente de riesgo alto: DDR (RCG 23 Ter 3 y 4)","")&amp;IF(AND(AS333&lt;&gt;"",AS333&lt;&gt;"No",AS333&lt;&gt;0)," · PEP","")&amp;IF(R333="PROHIBIDO"," · Efectivo prohibido: no lo recibas (Art. 32)","")&amp;IF(AR333=1," · ⚠ Fecha fuera de orden","")&amp;IF(LEFT(I333,1)="⚠"," · ⚠ Cliente no registrado","")&amp;IF(D333=""," · ⚠ Falta la actividad","")&amp;IF(AND(LEFT(P333,5)="AVISO",W333="")," · Captura la cifra total con IVA para el Aviso","")&amp;IF(AND(ISNUMBER(W333),W333&lt;E333)," · ⚠ La cifra con IVA es menor que el monto sin IVA",""),4,400))</f>
        <v/>
      </c>
      <c r="T333" s="21"/>
      <c r="U333" s="20"/>
      <c r="V333" s="9" t="str">
        <f aca="false">IF(LEFT(P333,5)&lt;&gt;"AVISO","",IF(T333="Presentado",IF(AND(ISNUMBER(U333),ISNUMBER(Q333),U333&gt;Q333),"Presentado tarde","Presentado"),IF(NOT(ISNUMBER(Q333)),"Falta fecha",IF(Q333&lt;CONFIG!$B$6,"VENCIDO","Vence en "&amp;(Q333-CONFIG!$B$6)&amp;" días"))))</f>
        <v/>
      </c>
      <c r="W333" s="22"/>
      <c r="X333" s="21"/>
      <c r="AA333" s="0" t="str">
        <f aca="false">IF(AM333="","",INDEX(CATÁLOGO!$D$5:$D$39,AM333))</f>
        <v/>
      </c>
      <c r="AB333" s="0" t="str">
        <f aca="false">IF(AM333="","",INDEX(CATÁLOGO!$E$5:$E$39,AM333))</f>
        <v/>
      </c>
      <c r="AC333" s="0" t="str">
        <f aca="false">IF(AB333="","",IF(ISNUMBER(AB333),AB333*AV333,AB333))</f>
        <v/>
      </c>
      <c r="AD333" s="0" t="str">
        <f aca="false">IF(AM333="","",INDEX(CATÁLOGO!$F$5:$F$39,AM333))</f>
        <v/>
      </c>
      <c r="AE333" s="0" t="str">
        <f aca="false">IF(AD333="","",IF(ISNUMBER(AD333),AD333*AV333,AD333))</f>
        <v/>
      </c>
      <c r="AF333" s="0" t="str">
        <f aca="false">IF(AM333="","",INDEX(CATÁLOGO!$G$5:$G$39,AM333))</f>
        <v/>
      </c>
      <c r="AG333" s="0" t="str">
        <f aca="false">IF(AF333="","",IF(ISNUMBER(AF333),AF333*AV333,AF333))</f>
        <v/>
      </c>
      <c r="AH333" s="0" t="str">
        <f aca="false">IF(E333="","",C333&amp;"|"&amp;D333)</f>
        <v/>
      </c>
      <c r="AI333" s="27" t="n">
        <f aca="false">IF(M333&lt;&gt;"Sí",0,SUMPRODUCT(MAX(($AH$5:AH332=AH333)*($M$5:M332="Sí")*ROW($AH$5:AH332))))</f>
        <v>0</v>
      </c>
      <c r="AJ333" s="0" t="str">
        <f aca="false">IF(M333&lt;&gt;"Sí","",IF(AL333=1,B333,INDEX($AJ:$AJ,AI333)))</f>
        <v/>
      </c>
      <c r="AK333" s="0" t="str">
        <f aca="false">IF(M333&lt;&gt;"Sí","",IF(AL333=1,E333,INDEX($AK:$AK,AI333)+E333))</f>
        <v/>
      </c>
      <c r="AL333" s="0" t="str">
        <f aca="false">IF(M333&lt;&gt;"Sí","",IF(AI333=0,1,IF(INDEX($AN:$AN,AI333)=0,1,IF(B333&gt;=EDATE(INDEX($AJ:$AJ,AI333),6),1,0))))</f>
        <v/>
      </c>
      <c r="AM333" s="0" t="str">
        <f aca="false">IF(D333="","",IFERROR(MATCH(D333,CATÁLOGO!$C$5:$C$39,0),""))</f>
        <v/>
      </c>
      <c r="AN333" s="0" t="str">
        <f aca="false">IF(M333&lt;&gt;"Sí","",IF(AND(ISNUMBER(AE333),AK333&gt;=AE333),0,1))</f>
        <v/>
      </c>
      <c r="AO333" s="0" t="str">
        <f aca="false">IF(OR(E333="",C333="",NOT(ISNUMBER(B333))),"",SUMIFS($E$6:$E$505,$C$6:$C$505,C333,$B$6:$B$505,"&gt;="&amp;DATE(YEAR(B333),MONTH(B333),1),$B$6:$B$505,"&lt;"&amp;DATE(YEAR(B333),MONTH(B333)+1,1)))</f>
        <v/>
      </c>
      <c r="AP333" s="0" t="str">
        <f aca="false">IF(C333="","",IFERROR(INDEX(CLIENTES!$M$6:$M$305,MATCH(C333,CLIENTES!$A$6:$A$305,0)),""))</f>
        <v/>
      </c>
      <c r="AQ333" s="27" t="n">
        <f aca="false">IF(AND(ISNUMBER(AO333),ISNUMBER(AP333)),IF(AND(AP333&gt;0,AO333&gt;AP333),1,0),0)</f>
        <v>0</v>
      </c>
      <c r="AR333" s="27" t="n">
        <f aca="false">IF(NOT(ISNUMBER(B333)),0,IF(B333&lt;MAX($B$5:B332),1,0))</f>
        <v>0</v>
      </c>
      <c r="AS333" s="0" t="str">
        <f aca="false">IF(C333="","",IFERROR(INDEX(CLIENTES!$H$6:$H$305,MATCH(C333,CLIENTES!$A$6:$A$305,0)),""))</f>
        <v/>
      </c>
      <c r="AT333" s="0" t="str">
        <f aca="false">IF(AND(LEFT(P333,5)="AVISO",T333&lt;&gt;"Presentado",ISNUMBER(Q333)),Q333,"")</f>
        <v/>
      </c>
      <c r="AU333" s="27" t="n">
        <f aca="false">IF(AND(D333="XVI - Activos virtuales (PSAV): operación de intercambio/transferencia",M333="Sí",ISNUMBER(AE333)),IF(AK333&gt;=AE333,1,0),0)</f>
        <v>0</v>
      </c>
      <c r="AV333" s="30" t="n">
        <f aca="false">IF(NOT(ISNUMBER(B333)),CONFIG!$B$4,IFERROR(INDEX(CONFIG!$I$5:$I$14,MATCH(IF(MONTH(B333)=1,YEAR(B333)-1,YEAR(B333)),CONFIG!$H$5:$H$14,0)),CONFIG!$B$4))</f>
        <v>117.31</v>
      </c>
      <c r="AW333" s="27" t="n">
        <f aca="false">IF(AND(LEFT(D333,4)="I - ",ISNUMBER(B333),C333&lt;&gt;""),SUMIFS($E$6:$E$505,$C$6:$C$505,C333,$D$6:$D$505,D333,$B$6:$B$505,"&gt;"&amp;(B333-1),$B$6:$B$505,"&lt;="&amp;B333),0)</f>
        <v>0</v>
      </c>
      <c r="AX333" s="0" t="str">
        <f aca="false">IF(E333="","",IF(AD333="Siempre","AVISO (siempre)",IF(AD333="No aplica","Sin Aviso (sólo preparas: Ley 17 XI)",IF(NOT(ISNUMBER(AE333)),"",IF(AA333&lt;&gt;"ACUMULA",IF(E333&gt;=AE333,IF(AND(D333="XVI - Activos virtuales (PSAV): cobro de contraprestación (comisión) por el servicio",COUNTIFS($C$6:$C$505,C333,$B$6:$B$505,"&gt;="&amp;INT(B333),$B$6:$B$505,"&lt;"&amp;(INT(B333)+1),$AU$6:$AU$505,1)&gt;0),"En el Aviso del inciso a) (R 31 Bis)","AVISO"),"—"),IF(M333&lt;&gt;"Sí","—",IF(AK333&gt;=AE333,IF(AK333=E333,"AVISO","AVISO (acumulado)"),"Acumulando")))))))</f>
        <v/>
      </c>
    </row>
    <row r="334" customFormat="false" ht="15" hidden="false" customHeight="false" outlineLevel="0" collapsed="false">
      <c r="A334" s="9" t="str">
        <f aca="false">IF(E334="","",ROW()-5)</f>
        <v/>
      </c>
      <c r="B334" s="20"/>
      <c r="C334" s="21"/>
      <c r="D334" s="21"/>
      <c r="E334" s="22"/>
      <c r="F334" s="22"/>
      <c r="G334" s="21"/>
      <c r="H334" s="21"/>
      <c r="I334" s="9" t="str">
        <f aca="false">IF(C334="","",IFERROR(INDEX(CLIENTES!$B$6:$B$305,MATCH(C334,CLIENTES!$A$6:$A$305,0)),"⚠ ID no registrado"))</f>
        <v/>
      </c>
      <c r="J334" s="9" t="str">
        <f aca="false">IF(C334="","",IFERROR(INDEX(CLIENTES!$Z$6:$Z$305,MATCH(C334,CLIENTES!$A$6:$A$305,0)),""))</f>
        <v/>
      </c>
      <c r="K334" s="9" t="str">
        <f aca="false">IF(E334="","",IF(AB334="Siempre","Sí",IF(ISNUMBER(AC334),IF(E334&gt;=AC334,"Sí",IF(AW334&gt;=AC334,"Sí (serie 24 h)","No")),"")))</f>
        <v/>
      </c>
      <c r="L334" s="9" t="str">
        <f aca="false">IF(E334="","",AA334)</f>
        <v/>
      </c>
      <c r="M334" s="9" t="str">
        <f aca="false">IF(E334="","",IF(AA334&lt;&gt;"ACUMULA","No aplica",IF(LEFT(K334,2)="Sí","Sí","No")))</f>
        <v/>
      </c>
      <c r="N334" s="23" t="str">
        <f aca="false">IF(M334="Sí",AJ334,"")</f>
        <v/>
      </c>
      <c r="O334" s="24" t="str">
        <f aca="false">IF(M334="Sí",AK334,"")</f>
        <v/>
      </c>
      <c r="P334" s="25" t="str">
        <f aca="false">IF(AND(LEFT(D334,6)="XIV - ",LEFT(AX334,5)="AVISO"),"Pedimento (R 16): no va al SPPLD",AX334)</f>
        <v/>
      </c>
      <c r="Q334" s="23" t="str">
        <f aca="false">IF(LEFT(P334,5)="AVISO",IF(ISNUMBER(B334),DATE(YEAR(B334),MONTH(B334)+1,17),"Falta fecha"),"")</f>
        <v/>
      </c>
      <c r="R334" s="9" t="str">
        <f aca="false">IF(OR(F334="",F334=0),"",IF(ISNUMBER(AG334),IF(F334&gt;=AG334,"PROHIBIDO","Dentro del límite"),"No aplica"))</f>
        <v/>
      </c>
      <c r="S334" s="26" t="str">
        <f aca="false">IF(E334="","",MID(IF(AQ334=1," · Excede el perfil declarado","")&amp;IF(H334="Sí"," · Paga un tercero","")&amp;IF(J334="Alto"," · Cliente de riesgo alto: DDR (RCG 23 Ter 3 y 4)","")&amp;IF(AND(AS334&lt;&gt;"",AS334&lt;&gt;"No",AS334&lt;&gt;0)," · PEP","")&amp;IF(R334="PROHIBIDO"," · Efectivo prohibido: no lo recibas (Art. 32)","")&amp;IF(AR334=1," · ⚠ Fecha fuera de orden","")&amp;IF(LEFT(I334,1)="⚠"," · ⚠ Cliente no registrado","")&amp;IF(D334=""," · ⚠ Falta la actividad","")&amp;IF(AND(LEFT(P334,5)="AVISO",W334="")," · Captura la cifra total con IVA para el Aviso","")&amp;IF(AND(ISNUMBER(W334),W334&lt;E334)," · ⚠ La cifra con IVA es menor que el monto sin IVA",""),4,400))</f>
        <v/>
      </c>
      <c r="T334" s="21"/>
      <c r="U334" s="20"/>
      <c r="V334" s="9" t="str">
        <f aca="false">IF(LEFT(P334,5)&lt;&gt;"AVISO","",IF(T334="Presentado",IF(AND(ISNUMBER(U334),ISNUMBER(Q334),U334&gt;Q334),"Presentado tarde","Presentado"),IF(NOT(ISNUMBER(Q334)),"Falta fecha",IF(Q334&lt;CONFIG!$B$6,"VENCIDO","Vence en "&amp;(Q334-CONFIG!$B$6)&amp;" días"))))</f>
        <v/>
      </c>
      <c r="W334" s="22"/>
      <c r="X334" s="21"/>
      <c r="AA334" s="0" t="str">
        <f aca="false">IF(AM334="","",INDEX(CATÁLOGO!$D$5:$D$39,AM334))</f>
        <v/>
      </c>
      <c r="AB334" s="0" t="str">
        <f aca="false">IF(AM334="","",INDEX(CATÁLOGO!$E$5:$E$39,AM334))</f>
        <v/>
      </c>
      <c r="AC334" s="0" t="str">
        <f aca="false">IF(AB334="","",IF(ISNUMBER(AB334),AB334*AV334,AB334))</f>
        <v/>
      </c>
      <c r="AD334" s="0" t="str">
        <f aca="false">IF(AM334="","",INDEX(CATÁLOGO!$F$5:$F$39,AM334))</f>
        <v/>
      </c>
      <c r="AE334" s="0" t="str">
        <f aca="false">IF(AD334="","",IF(ISNUMBER(AD334),AD334*AV334,AD334))</f>
        <v/>
      </c>
      <c r="AF334" s="0" t="str">
        <f aca="false">IF(AM334="","",INDEX(CATÁLOGO!$G$5:$G$39,AM334))</f>
        <v/>
      </c>
      <c r="AG334" s="0" t="str">
        <f aca="false">IF(AF334="","",IF(ISNUMBER(AF334),AF334*AV334,AF334))</f>
        <v/>
      </c>
      <c r="AH334" s="0" t="str">
        <f aca="false">IF(E334="","",C334&amp;"|"&amp;D334)</f>
        <v/>
      </c>
      <c r="AI334" s="27" t="n">
        <f aca="false">IF(M334&lt;&gt;"Sí",0,SUMPRODUCT(MAX(($AH$5:AH333=AH334)*($M$5:M333="Sí")*ROW($AH$5:AH333))))</f>
        <v>0</v>
      </c>
      <c r="AJ334" s="0" t="str">
        <f aca="false">IF(M334&lt;&gt;"Sí","",IF(AL334=1,B334,INDEX($AJ:$AJ,AI334)))</f>
        <v/>
      </c>
      <c r="AK334" s="0" t="str">
        <f aca="false">IF(M334&lt;&gt;"Sí","",IF(AL334=1,E334,INDEX($AK:$AK,AI334)+E334))</f>
        <v/>
      </c>
      <c r="AL334" s="0" t="str">
        <f aca="false">IF(M334&lt;&gt;"Sí","",IF(AI334=0,1,IF(INDEX($AN:$AN,AI334)=0,1,IF(B334&gt;=EDATE(INDEX($AJ:$AJ,AI334),6),1,0))))</f>
        <v/>
      </c>
      <c r="AM334" s="0" t="str">
        <f aca="false">IF(D334="","",IFERROR(MATCH(D334,CATÁLOGO!$C$5:$C$39,0),""))</f>
        <v/>
      </c>
      <c r="AN334" s="0" t="str">
        <f aca="false">IF(M334&lt;&gt;"Sí","",IF(AND(ISNUMBER(AE334),AK334&gt;=AE334),0,1))</f>
        <v/>
      </c>
      <c r="AO334" s="0" t="str">
        <f aca="false">IF(OR(E334="",C334="",NOT(ISNUMBER(B334))),"",SUMIFS($E$6:$E$505,$C$6:$C$505,C334,$B$6:$B$505,"&gt;="&amp;DATE(YEAR(B334),MONTH(B334),1),$B$6:$B$505,"&lt;"&amp;DATE(YEAR(B334),MONTH(B334)+1,1)))</f>
        <v/>
      </c>
      <c r="AP334" s="0" t="str">
        <f aca="false">IF(C334="","",IFERROR(INDEX(CLIENTES!$M$6:$M$305,MATCH(C334,CLIENTES!$A$6:$A$305,0)),""))</f>
        <v/>
      </c>
      <c r="AQ334" s="27" t="n">
        <f aca="false">IF(AND(ISNUMBER(AO334),ISNUMBER(AP334)),IF(AND(AP334&gt;0,AO334&gt;AP334),1,0),0)</f>
        <v>0</v>
      </c>
      <c r="AR334" s="27" t="n">
        <f aca="false">IF(NOT(ISNUMBER(B334)),0,IF(B334&lt;MAX($B$5:B333),1,0))</f>
        <v>0</v>
      </c>
      <c r="AS334" s="0" t="str">
        <f aca="false">IF(C334="","",IFERROR(INDEX(CLIENTES!$H$6:$H$305,MATCH(C334,CLIENTES!$A$6:$A$305,0)),""))</f>
        <v/>
      </c>
      <c r="AT334" s="0" t="str">
        <f aca="false">IF(AND(LEFT(P334,5)="AVISO",T334&lt;&gt;"Presentado",ISNUMBER(Q334)),Q334,"")</f>
        <v/>
      </c>
      <c r="AU334" s="27" t="n">
        <f aca="false">IF(AND(D334="XVI - Activos virtuales (PSAV): operación de intercambio/transferencia",M334="Sí",ISNUMBER(AE334)),IF(AK334&gt;=AE334,1,0),0)</f>
        <v>0</v>
      </c>
      <c r="AV334" s="30" t="n">
        <f aca="false">IF(NOT(ISNUMBER(B334)),CONFIG!$B$4,IFERROR(INDEX(CONFIG!$I$5:$I$14,MATCH(IF(MONTH(B334)=1,YEAR(B334)-1,YEAR(B334)),CONFIG!$H$5:$H$14,0)),CONFIG!$B$4))</f>
        <v>117.31</v>
      </c>
      <c r="AW334" s="27" t="n">
        <f aca="false">IF(AND(LEFT(D334,4)="I - ",ISNUMBER(B334),C334&lt;&gt;""),SUMIFS($E$6:$E$505,$C$6:$C$505,C334,$D$6:$D$505,D334,$B$6:$B$505,"&gt;"&amp;(B334-1),$B$6:$B$505,"&lt;="&amp;B334),0)</f>
        <v>0</v>
      </c>
      <c r="AX334" s="0" t="str">
        <f aca="false">IF(E334="","",IF(AD334="Siempre","AVISO (siempre)",IF(AD334="No aplica","Sin Aviso (sólo preparas: Ley 17 XI)",IF(NOT(ISNUMBER(AE334)),"",IF(AA334&lt;&gt;"ACUMULA",IF(E334&gt;=AE334,IF(AND(D334="XVI - Activos virtuales (PSAV): cobro de contraprestación (comisión) por el servicio",COUNTIFS($C$6:$C$505,C334,$B$6:$B$505,"&gt;="&amp;INT(B334),$B$6:$B$505,"&lt;"&amp;(INT(B334)+1),$AU$6:$AU$505,1)&gt;0),"En el Aviso del inciso a) (R 31 Bis)","AVISO"),"—"),IF(M334&lt;&gt;"Sí","—",IF(AK334&gt;=AE334,IF(AK334=E334,"AVISO","AVISO (acumulado)"),"Acumulando")))))))</f>
        <v/>
      </c>
    </row>
    <row r="335" customFormat="false" ht="15" hidden="false" customHeight="false" outlineLevel="0" collapsed="false">
      <c r="A335" s="9" t="str">
        <f aca="false">IF(E335="","",ROW()-5)</f>
        <v/>
      </c>
      <c r="B335" s="20"/>
      <c r="C335" s="21"/>
      <c r="D335" s="21"/>
      <c r="E335" s="22"/>
      <c r="F335" s="22"/>
      <c r="G335" s="21"/>
      <c r="H335" s="21"/>
      <c r="I335" s="9" t="str">
        <f aca="false">IF(C335="","",IFERROR(INDEX(CLIENTES!$B$6:$B$305,MATCH(C335,CLIENTES!$A$6:$A$305,0)),"⚠ ID no registrado"))</f>
        <v/>
      </c>
      <c r="J335" s="9" t="str">
        <f aca="false">IF(C335="","",IFERROR(INDEX(CLIENTES!$Z$6:$Z$305,MATCH(C335,CLIENTES!$A$6:$A$305,0)),""))</f>
        <v/>
      </c>
      <c r="K335" s="9" t="str">
        <f aca="false">IF(E335="","",IF(AB335="Siempre","Sí",IF(ISNUMBER(AC335),IF(E335&gt;=AC335,"Sí",IF(AW335&gt;=AC335,"Sí (serie 24 h)","No")),"")))</f>
        <v/>
      </c>
      <c r="L335" s="9" t="str">
        <f aca="false">IF(E335="","",AA335)</f>
        <v/>
      </c>
      <c r="M335" s="9" t="str">
        <f aca="false">IF(E335="","",IF(AA335&lt;&gt;"ACUMULA","No aplica",IF(LEFT(K335,2)="Sí","Sí","No")))</f>
        <v/>
      </c>
      <c r="N335" s="23" t="str">
        <f aca="false">IF(M335="Sí",AJ335,"")</f>
        <v/>
      </c>
      <c r="O335" s="24" t="str">
        <f aca="false">IF(M335="Sí",AK335,"")</f>
        <v/>
      </c>
      <c r="P335" s="25" t="str">
        <f aca="false">IF(AND(LEFT(D335,6)="XIV - ",LEFT(AX335,5)="AVISO"),"Pedimento (R 16): no va al SPPLD",AX335)</f>
        <v/>
      </c>
      <c r="Q335" s="23" t="str">
        <f aca="false">IF(LEFT(P335,5)="AVISO",IF(ISNUMBER(B335),DATE(YEAR(B335),MONTH(B335)+1,17),"Falta fecha"),"")</f>
        <v/>
      </c>
      <c r="R335" s="9" t="str">
        <f aca="false">IF(OR(F335="",F335=0),"",IF(ISNUMBER(AG335),IF(F335&gt;=AG335,"PROHIBIDO","Dentro del límite"),"No aplica"))</f>
        <v/>
      </c>
      <c r="S335" s="26" t="str">
        <f aca="false">IF(E335="","",MID(IF(AQ335=1," · Excede el perfil declarado","")&amp;IF(H335="Sí"," · Paga un tercero","")&amp;IF(J335="Alto"," · Cliente de riesgo alto: DDR (RCG 23 Ter 3 y 4)","")&amp;IF(AND(AS335&lt;&gt;"",AS335&lt;&gt;"No",AS335&lt;&gt;0)," · PEP","")&amp;IF(R335="PROHIBIDO"," · Efectivo prohibido: no lo recibas (Art. 32)","")&amp;IF(AR335=1," · ⚠ Fecha fuera de orden","")&amp;IF(LEFT(I335,1)="⚠"," · ⚠ Cliente no registrado","")&amp;IF(D335=""," · ⚠ Falta la actividad","")&amp;IF(AND(LEFT(P335,5)="AVISO",W335="")," · Captura la cifra total con IVA para el Aviso","")&amp;IF(AND(ISNUMBER(W335),W335&lt;E335)," · ⚠ La cifra con IVA es menor que el monto sin IVA",""),4,400))</f>
        <v/>
      </c>
      <c r="T335" s="21"/>
      <c r="U335" s="20"/>
      <c r="V335" s="9" t="str">
        <f aca="false">IF(LEFT(P335,5)&lt;&gt;"AVISO","",IF(T335="Presentado",IF(AND(ISNUMBER(U335),ISNUMBER(Q335),U335&gt;Q335),"Presentado tarde","Presentado"),IF(NOT(ISNUMBER(Q335)),"Falta fecha",IF(Q335&lt;CONFIG!$B$6,"VENCIDO","Vence en "&amp;(Q335-CONFIG!$B$6)&amp;" días"))))</f>
        <v/>
      </c>
      <c r="W335" s="22"/>
      <c r="X335" s="21"/>
      <c r="AA335" s="0" t="str">
        <f aca="false">IF(AM335="","",INDEX(CATÁLOGO!$D$5:$D$39,AM335))</f>
        <v/>
      </c>
      <c r="AB335" s="0" t="str">
        <f aca="false">IF(AM335="","",INDEX(CATÁLOGO!$E$5:$E$39,AM335))</f>
        <v/>
      </c>
      <c r="AC335" s="0" t="str">
        <f aca="false">IF(AB335="","",IF(ISNUMBER(AB335),AB335*AV335,AB335))</f>
        <v/>
      </c>
      <c r="AD335" s="0" t="str">
        <f aca="false">IF(AM335="","",INDEX(CATÁLOGO!$F$5:$F$39,AM335))</f>
        <v/>
      </c>
      <c r="AE335" s="0" t="str">
        <f aca="false">IF(AD335="","",IF(ISNUMBER(AD335),AD335*AV335,AD335))</f>
        <v/>
      </c>
      <c r="AF335" s="0" t="str">
        <f aca="false">IF(AM335="","",INDEX(CATÁLOGO!$G$5:$G$39,AM335))</f>
        <v/>
      </c>
      <c r="AG335" s="0" t="str">
        <f aca="false">IF(AF335="","",IF(ISNUMBER(AF335),AF335*AV335,AF335))</f>
        <v/>
      </c>
      <c r="AH335" s="0" t="str">
        <f aca="false">IF(E335="","",C335&amp;"|"&amp;D335)</f>
        <v/>
      </c>
      <c r="AI335" s="27" t="n">
        <f aca="false">IF(M335&lt;&gt;"Sí",0,SUMPRODUCT(MAX(($AH$5:AH334=AH335)*($M$5:M334="Sí")*ROW($AH$5:AH334))))</f>
        <v>0</v>
      </c>
      <c r="AJ335" s="0" t="str">
        <f aca="false">IF(M335&lt;&gt;"Sí","",IF(AL335=1,B335,INDEX($AJ:$AJ,AI335)))</f>
        <v/>
      </c>
      <c r="AK335" s="0" t="str">
        <f aca="false">IF(M335&lt;&gt;"Sí","",IF(AL335=1,E335,INDEX($AK:$AK,AI335)+E335))</f>
        <v/>
      </c>
      <c r="AL335" s="0" t="str">
        <f aca="false">IF(M335&lt;&gt;"Sí","",IF(AI335=0,1,IF(INDEX($AN:$AN,AI335)=0,1,IF(B335&gt;=EDATE(INDEX($AJ:$AJ,AI335),6),1,0))))</f>
        <v/>
      </c>
      <c r="AM335" s="0" t="str">
        <f aca="false">IF(D335="","",IFERROR(MATCH(D335,CATÁLOGO!$C$5:$C$39,0),""))</f>
        <v/>
      </c>
      <c r="AN335" s="0" t="str">
        <f aca="false">IF(M335&lt;&gt;"Sí","",IF(AND(ISNUMBER(AE335),AK335&gt;=AE335),0,1))</f>
        <v/>
      </c>
      <c r="AO335" s="0" t="str">
        <f aca="false">IF(OR(E335="",C335="",NOT(ISNUMBER(B335))),"",SUMIFS($E$6:$E$505,$C$6:$C$505,C335,$B$6:$B$505,"&gt;="&amp;DATE(YEAR(B335),MONTH(B335),1),$B$6:$B$505,"&lt;"&amp;DATE(YEAR(B335),MONTH(B335)+1,1)))</f>
        <v/>
      </c>
      <c r="AP335" s="0" t="str">
        <f aca="false">IF(C335="","",IFERROR(INDEX(CLIENTES!$M$6:$M$305,MATCH(C335,CLIENTES!$A$6:$A$305,0)),""))</f>
        <v/>
      </c>
      <c r="AQ335" s="27" t="n">
        <f aca="false">IF(AND(ISNUMBER(AO335),ISNUMBER(AP335)),IF(AND(AP335&gt;0,AO335&gt;AP335),1,0),0)</f>
        <v>0</v>
      </c>
      <c r="AR335" s="27" t="n">
        <f aca="false">IF(NOT(ISNUMBER(B335)),0,IF(B335&lt;MAX($B$5:B334),1,0))</f>
        <v>0</v>
      </c>
      <c r="AS335" s="0" t="str">
        <f aca="false">IF(C335="","",IFERROR(INDEX(CLIENTES!$H$6:$H$305,MATCH(C335,CLIENTES!$A$6:$A$305,0)),""))</f>
        <v/>
      </c>
      <c r="AT335" s="0" t="str">
        <f aca="false">IF(AND(LEFT(P335,5)="AVISO",T335&lt;&gt;"Presentado",ISNUMBER(Q335)),Q335,"")</f>
        <v/>
      </c>
      <c r="AU335" s="27" t="n">
        <f aca="false">IF(AND(D335="XVI - Activos virtuales (PSAV): operación de intercambio/transferencia",M335="Sí",ISNUMBER(AE335)),IF(AK335&gt;=AE335,1,0),0)</f>
        <v>0</v>
      </c>
      <c r="AV335" s="30" t="n">
        <f aca="false">IF(NOT(ISNUMBER(B335)),CONFIG!$B$4,IFERROR(INDEX(CONFIG!$I$5:$I$14,MATCH(IF(MONTH(B335)=1,YEAR(B335)-1,YEAR(B335)),CONFIG!$H$5:$H$14,0)),CONFIG!$B$4))</f>
        <v>117.31</v>
      </c>
      <c r="AW335" s="27" t="n">
        <f aca="false">IF(AND(LEFT(D335,4)="I - ",ISNUMBER(B335),C335&lt;&gt;""),SUMIFS($E$6:$E$505,$C$6:$C$505,C335,$D$6:$D$505,D335,$B$6:$B$505,"&gt;"&amp;(B335-1),$B$6:$B$505,"&lt;="&amp;B335),0)</f>
        <v>0</v>
      </c>
      <c r="AX335" s="0" t="str">
        <f aca="false">IF(E335="","",IF(AD335="Siempre","AVISO (siempre)",IF(AD335="No aplica","Sin Aviso (sólo preparas: Ley 17 XI)",IF(NOT(ISNUMBER(AE335)),"",IF(AA335&lt;&gt;"ACUMULA",IF(E335&gt;=AE335,IF(AND(D335="XVI - Activos virtuales (PSAV): cobro de contraprestación (comisión) por el servicio",COUNTIFS($C$6:$C$505,C335,$B$6:$B$505,"&gt;="&amp;INT(B335),$B$6:$B$505,"&lt;"&amp;(INT(B335)+1),$AU$6:$AU$505,1)&gt;0),"En el Aviso del inciso a) (R 31 Bis)","AVISO"),"—"),IF(M335&lt;&gt;"Sí","—",IF(AK335&gt;=AE335,IF(AK335=E335,"AVISO","AVISO (acumulado)"),"Acumulando")))))))</f>
        <v/>
      </c>
    </row>
    <row r="336" customFormat="false" ht="15" hidden="false" customHeight="false" outlineLevel="0" collapsed="false">
      <c r="A336" s="9" t="str">
        <f aca="false">IF(E336="","",ROW()-5)</f>
        <v/>
      </c>
      <c r="B336" s="20"/>
      <c r="C336" s="21"/>
      <c r="D336" s="21"/>
      <c r="E336" s="22"/>
      <c r="F336" s="22"/>
      <c r="G336" s="21"/>
      <c r="H336" s="21"/>
      <c r="I336" s="9" t="str">
        <f aca="false">IF(C336="","",IFERROR(INDEX(CLIENTES!$B$6:$B$305,MATCH(C336,CLIENTES!$A$6:$A$305,0)),"⚠ ID no registrado"))</f>
        <v/>
      </c>
      <c r="J336" s="9" t="str">
        <f aca="false">IF(C336="","",IFERROR(INDEX(CLIENTES!$Z$6:$Z$305,MATCH(C336,CLIENTES!$A$6:$A$305,0)),""))</f>
        <v/>
      </c>
      <c r="K336" s="9" t="str">
        <f aca="false">IF(E336="","",IF(AB336="Siempre","Sí",IF(ISNUMBER(AC336),IF(E336&gt;=AC336,"Sí",IF(AW336&gt;=AC336,"Sí (serie 24 h)","No")),"")))</f>
        <v/>
      </c>
      <c r="L336" s="9" t="str">
        <f aca="false">IF(E336="","",AA336)</f>
        <v/>
      </c>
      <c r="M336" s="9" t="str">
        <f aca="false">IF(E336="","",IF(AA336&lt;&gt;"ACUMULA","No aplica",IF(LEFT(K336,2)="Sí","Sí","No")))</f>
        <v/>
      </c>
      <c r="N336" s="23" t="str">
        <f aca="false">IF(M336="Sí",AJ336,"")</f>
        <v/>
      </c>
      <c r="O336" s="24" t="str">
        <f aca="false">IF(M336="Sí",AK336,"")</f>
        <v/>
      </c>
      <c r="P336" s="25" t="str">
        <f aca="false">IF(AND(LEFT(D336,6)="XIV - ",LEFT(AX336,5)="AVISO"),"Pedimento (R 16): no va al SPPLD",AX336)</f>
        <v/>
      </c>
      <c r="Q336" s="23" t="str">
        <f aca="false">IF(LEFT(P336,5)="AVISO",IF(ISNUMBER(B336),DATE(YEAR(B336),MONTH(B336)+1,17),"Falta fecha"),"")</f>
        <v/>
      </c>
      <c r="R336" s="9" t="str">
        <f aca="false">IF(OR(F336="",F336=0),"",IF(ISNUMBER(AG336),IF(F336&gt;=AG336,"PROHIBIDO","Dentro del límite"),"No aplica"))</f>
        <v/>
      </c>
      <c r="S336" s="26" t="str">
        <f aca="false">IF(E336="","",MID(IF(AQ336=1," · Excede el perfil declarado","")&amp;IF(H336="Sí"," · Paga un tercero","")&amp;IF(J336="Alto"," · Cliente de riesgo alto: DDR (RCG 23 Ter 3 y 4)","")&amp;IF(AND(AS336&lt;&gt;"",AS336&lt;&gt;"No",AS336&lt;&gt;0)," · PEP","")&amp;IF(R336="PROHIBIDO"," · Efectivo prohibido: no lo recibas (Art. 32)","")&amp;IF(AR336=1," · ⚠ Fecha fuera de orden","")&amp;IF(LEFT(I336,1)="⚠"," · ⚠ Cliente no registrado","")&amp;IF(D336=""," · ⚠ Falta la actividad","")&amp;IF(AND(LEFT(P336,5)="AVISO",W336="")," · Captura la cifra total con IVA para el Aviso","")&amp;IF(AND(ISNUMBER(W336),W336&lt;E336)," · ⚠ La cifra con IVA es menor que el monto sin IVA",""),4,400))</f>
        <v/>
      </c>
      <c r="T336" s="21"/>
      <c r="U336" s="20"/>
      <c r="V336" s="9" t="str">
        <f aca="false">IF(LEFT(P336,5)&lt;&gt;"AVISO","",IF(T336="Presentado",IF(AND(ISNUMBER(U336),ISNUMBER(Q336),U336&gt;Q336),"Presentado tarde","Presentado"),IF(NOT(ISNUMBER(Q336)),"Falta fecha",IF(Q336&lt;CONFIG!$B$6,"VENCIDO","Vence en "&amp;(Q336-CONFIG!$B$6)&amp;" días"))))</f>
        <v/>
      </c>
      <c r="W336" s="22"/>
      <c r="X336" s="21"/>
      <c r="AA336" s="0" t="str">
        <f aca="false">IF(AM336="","",INDEX(CATÁLOGO!$D$5:$D$39,AM336))</f>
        <v/>
      </c>
      <c r="AB336" s="0" t="str">
        <f aca="false">IF(AM336="","",INDEX(CATÁLOGO!$E$5:$E$39,AM336))</f>
        <v/>
      </c>
      <c r="AC336" s="0" t="str">
        <f aca="false">IF(AB336="","",IF(ISNUMBER(AB336),AB336*AV336,AB336))</f>
        <v/>
      </c>
      <c r="AD336" s="0" t="str">
        <f aca="false">IF(AM336="","",INDEX(CATÁLOGO!$F$5:$F$39,AM336))</f>
        <v/>
      </c>
      <c r="AE336" s="0" t="str">
        <f aca="false">IF(AD336="","",IF(ISNUMBER(AD336),AD336*AV336,AD336))</f>
        <v/>
      </c>
      <c r="AF336" s="0" t="str">
        <f aca="false">IF(AM336="","",INDEX(CATÁLOGO!$G$5:$G$39,AM336))</f>
        <v/>
      </c>
      <c r="AG336" s="0" t="str">
        <f aca="false">IF(AF336="","",IF(ISNUMBER(AF336),AF336*AV336,AF336))</f>
        <v/>
      </c>
      <c r="AH336" s="0" t="str">
        <f aca="false">IF(E336="","",C336&amp;"|"&amp;D336)</f>
        <v/>
      </c>
      <c r="AI336" s="27" t="n">
        <f aca="false">IF(M336&lt;&gt;"Sí",0,SUMPRODUCT(MAX(($AH$5:AH335=AH336)*($M$5:M335="Sí")*ROW($AH$5:AH335))))</f>
        <v>0</v>
      </c>
      <c r="AJ336" s="0" t="str">
        <f aca="false">IF(M336&lt;&gt;"Sí","",IF(AL336=1,B336,INDEX($AJ:$AJ,AI336)))</f>
        <v/>
      </c>
      <c r="AK336" s="0" t="str">
        <f aca="false">IF(M336&lt;&gt;"Sí","",IF(AL336=1,E336,INDEX($AK:$AK,AI336)+E336))</f>
        <v/>
      </c>
      <c r="AL336" s="0" t="str">
        <f aca="false">IF(M336&lt;&gt;"Sí","",IF(AI336=0,1,IF(INDEX($AN:$AN,AI336)=0,1,IF(B336&gt;=EDATE(INDEX($AJ:$AJ,AI336),6),1,0))))</f>
        <v/>
      </c>
      <c r="AM336" s="0" t="str">
        <f aca="false">IF(D336="","",IFERROR(MATCH(D336,CATÁLOGO!$C$5:$C$39,0),""))</f>
        <v/>
      </c>
      <c r="AN336" s="0" t="str">
        <f aca="false">IF(M336&lt;&gt;"Sí","",IF(AND(ISNUMBER(AE336),AK336&gt;=AE336),0,1))</f>
        <v/>
      </c>
      <c r="AO336" s="0" t="str">
        <f aca="false">IF(OR(E336="",C336="",NOT(ISNUMBER(B336))),"",SUMIFS($E$6:$E$505,$C$6:$C$505,C336,$B$6:$B$505,"&gt;="&amp;DATE(YEAR(B336),MONTH(B336),1),$B$6:$B$505,"&lt;"&amp;DATE(YEAR(B336),MONTH(B336)+1,1)))</f>
        <v/>
      </c>
      <c r="AP336" s="0" t="str">
        <f aca="false">IF(C336="","",IFERROR(INDEX(CLIENTES!$M$6:$M$305,MATCH(C336,CLIENTES!$A$6:$A$305,0)),""))</f>
        <v/>
      </c>
      <c r="AQ336" s="27" t="n">
        <f aca="false">IF(AND(ISNUMBER(AO336),ISNUMBER(AP336)),IF(AND(AP336&gt;0,AO336&gt;AP336),1,0),0)</f>
        <v>0</v>
      </c>
      <c r="AR336" s="27" t="n">
        <f aca="false">IF(NOT(ISNUMBER(B336)),0,IF(B336&lt;MAX($B$5:B335),1,0))</f>
        <v>0</v>
      </c>
      <c r="AS336" s="0" t="str">
        <f aca="false">IF(C336="","",IFERROR(INDEX(CLIENTES!$H$6:$H$305,MATCH(C336,CLIENTES!$A$6:$A$305,0)),""))</f>
        <v/>
      </c>
      <c r="AT336" s="0" t="str">
        <f aca="false">IF(AND(LEFT(P336,5)="AVISO",T336&lt;&gt;"Presentado",ISNUMBER(Q336)),Q336,"")</f>
        <v/>
      </c>
      <c r="AU336" s="27" t="n">
        <f aca="false">IF(AND(D336="XVI - Activos virtuales (PSAV): operación de intercambio/transferencia",M336="Sí",ISNUMBER(AE336)),IF(AK336&gt;=AE336,1,0),0)</f>
        <v>0</v>
      </c>
      <c r="AV336" s="30" t="n">
        <f aca="false">IF(NOT(ISNUMBER(B336)),CONFIG!$B$4,IFERROR(INDEX(CONFIG!$I$5:$I$14,MATCH(IF(MONTH(B336)=1,YEAR(B336)-1,YEAR(B336)),CONFIG!$H$5:$H$14,0)),CONFIG!$B$4))</f>
        <v>117.31</v>
      </c>
      <c r="AW336" s="27" t="n">
        <f aca="false">IF(AND(LEFT(D336,4)="I - ",ISNUMBER(B336),C336&lt;&gt;""),SUMIFS($E$6:$E$505,$C$6:$C$505,C336,$D$6:$D$505,D336,$B$6:$B$505,"&gt;"&amp;(B336-1),$B$6:$B$505,"&lt;="&amp;B336),0)</f>
        <v>0</v>
      </c>
      <c r="AX336" s="0" t="str">
        <f aca="false">IF(E336="","",IF(AD336="Siempre","AVISO (siempre)",IF(AD336="No aplica","Sin Aviso (sólo preparas: Ley 17 XI)",IF(NOT(ISNUMBER(AE336)),"",IF(AA336&lt;&gt;"ACUMULA",IF(E336&gt;=AE336,IF(AND(D336="XVI - Activos virtuales (PSAV): cobro de contraprestación (comisión) por el servicio",COUNTIFS($C$6:$C$505,C336,$B$6:$B$505,"&gt;="&amp;INT(B336),$B$6:$B$505,"&lt;"&amp;(INT(B336)+1),$AU$6:$AU$505,1)&gt;0),"En el Aviso del inciso a) (R 31 Bis)","AVISO"),"—"),IF(M336&lt;&gt;"Sí","—",IF(AK336&gt;=AE336,IF(AK336=E336,"AVISO","AVISO (acumulado)"),"Acumulando")))))))</f>
        <v/>
      </c>
    </row>
    <row r="337" customFormat="false" ht="15" hidden="false" customHeight="false" outlineLevel="0" collapsed="false">
      <c r="A337" s="9" t="str">
        <f aca="false">IF(E337="","",ROW()-5)</f>
        <v/>
      </c>
      <c r="B337" s="20"/>
      <c r="C337" s="21"/>
      <c r="D337" s="21"/>
      <c r="E337" s="22"/>
      <c r="F337" s="22"/>
      <c r="G337" s="21"/>
      <c r="H337" s="21"/>
      <c r="I337" s="9" t="str">
        <f aca="false">IF(C337="","",IFERROR(INDEX(CLIENTES!$B$6:$B$305,MATCH(C337,CLIENTES!$A$6:$A$305,0)),"⚠ ID no registrado"))</f>
        <v/>
      </c>
      <c r="J337" s="9" t="str">
        <f aca="false">IF(C337="","",IFERROR(INDEX(CLIENTES!$Z$6:$Z$305,MATCH(C337,CLIENTES!$A$6:$A$305,0)),""))</f>
        <v/>
      </c>
      <c r="K337" s="9" t="str">
        <f aca="false">IF(E337="","",IF(AB337="Siempre","Sí",IF(ISNUMBER(AC337),IF(E337&gt;=AC337,"Sí",IF(AW337&gt;=AC337,"Sí (serie 24 h)","No")),"")))</f>
        <v/>
      </c>
      <c r="L337" s="9" t="str">
        <f aca="false">IF(E337="","",AA337)</f>
        <v/>
      </c>
      <c r="M337" s="9" t="str">
        <f aca="false">IF(E337="","",IF(AA337&lt;&gt;"ACUMULA","No aplica",IF(LEFT(K337,2)="Sí","Sí","No")))</f>
        <v/>
      </c>
      <c r="N337" s="23" t="str">
        <f aca="false">IF(M337="Sí",AJ337,"")</f>
        <v/>
      </c>
      <c r="O337" s="24" t="str">
        <f aca="false">IF(M337="Sí",AK337,"")</f>
        <v/>
      </c>
      <c r="P337" s="25" t="str">
        <f aca="false">IF(AND(LEFT(D337,6)="XIV - ",LEFT(AX337,5)="AVISO"),"Pedimento (R 16): no va al SPPLD",AX337)</f>
        <v/>
      </c>
      <c r="Q337" s="23" t="str">
        <f aca="false">IF(LEFT(P337,5)="AVISO",IF(ISNUMBER(B337),DATE(YEAR(B337),MONTH(B337)+1,17),"Falta fecha"),"")</f>
        <v/>
      </c>
      <c r="R337" s="9" t="str">
        <f aca="false">IF(OR(F337="",F337=0),"",IF(ISNUMBER(AG337),IF(F337&gt;=AG337,"PROHIBIDO","Dentro del límite"),"No aplica"))</f>
        <v/>
      </c>
      <c r="S337" s="26" t="str">
        <f aca="false">IF(E337="","",MID(IF(AQ337=1," · Excede el perfil declarado","")&amp;IF(H337="Sí"," · Paga un tercero","")&amp;IF(J337="Alto"," · Cliente de riesgo alto: DDR (RCG 23 Ter 3 y 4)","")&amp;IF(AND(AS337&lt;&gt;"",AS337&lt;&gt;"No",AS337&lt;&gt;0)," · PEP","")&amp;IF(R337="PROHIBIDO"," · Efectivo prohibido: no lo recibas (Art. 32)","")&amp;IF(AR337=1," · ⚠ Fecha fuera de orden","")&amp;IF(LEFT(I337,1)="⚠"," · ⚠ Cliente no registrado","")&amp;IF(D337=""," · ⚠ Falta la actividad","")&amp;IF(AND(LEFT(P337,5)="AVISO",W337="")," · Captura la cifra total con IVA para el Aviso","")&amp;IF(AND(ISNUMBER(W337),W337&lt;E337)," · ⚠ La cifra con IVA es menor que el monto sin IVA",""),4,400))</f>
        <v/>
      </c>
      <c r="T337" s="21"/>
      <c r="U337" s="20"/>
      <c r="V337" s="9" t="str">
        <f aca="false">IF(LEFT(P337,5)&lt;&gt;"AVISO","",IF(T337="Presentado",IF(AND(ISNUMBER(U337),ISNUMBER(Q337),U337&gt;Q337),"Presentado tarde","Presentado"),IF(NOT(ISNUMBER(Q337)),"Falta fecha",IF(Q337&lt;CONFIG!$B$6,"VENCIDO","Vence en "&amp;(Q337-CONFIG!$B$6)&amp;" días"))))</f>
        <v/>
      </c>
      <c r="W337" s="22"/>
      <c r="X337" s="21"/>
      <c r="AA337" s="0" t="str">
        <f aca="false">IF(AM337="","",INDEX(CATÁLOGO!$D$5:$D$39,AM337))</f>
        <v/>
      </c>
      <c r="AB337" s="0" t="str">
        <f aca="false">IF(AM337="","",INDEX(CATÁLOGO!$E$5:$E$39,AM337))</f>
        <v/>
      </c>
      <c r="AC337" s="0" t="str">
        <f aca="false">IF(AB337="","",IF(ISNUMBER(AB337),AB337*AV337,AB337))</f>
        <v/>
      </c>
      <c r="AD337" s="0" t="str">
        <f aca="false">IF(AM337="","",INDEX(CATÁLOGO!$F$5:$F$39,AM337))</f>
        <v/>
      </c>
      <c r="AE337" s="0" t="str">
        <f aca="false">IF(AD337="","",IF(ISNUMBER(AD337),AD337*AV337,AD337))</f>
        <v/>
      </c>
      <c r="AF337" s="0" t="str">
        <f aca="false">IF(AM337="","",INDEX(CATÁLOGO!$G$5:$G$39,AM337))</f>
        <v/>
      </c>
      <c r="AG337" s="0" t="str">
        <f aca="false">IF(AF337="","",IF(ISNUMBER(AF337),AF337*AV337,AF337))</f>
        <v/>
      </c>
      <c r="AH337" s="0" t="str">
        <f aca="false">IF(E337="","",C337&amp;"|"&amp;D337)</f>
        <v/>
      </c>
      <c r="AI337" s="27" t="n">
        <f aca="false">IF(M337&lt;&gt;"Sí",0,SUMPRODUCT(MAX(($AH$5:AH336=AH337)*($M$5:M336="Sí")*ROW($AH$5:AH336))))</f>
        <v>0</v>
      </c>
      <c r="AJ337" s="0" t="str">
        <f aca="false">IF(M337&lt;&gt;"Sí","",IF(AL337=1,B337,INDEX($AJ:$AJ,AI337)))</f>
        <v/>
      </c>
      <c r="AK337" s="0" t="str">
        <f aca="false">IF(M337&lt;&gt;"Sí","",IF(AL337=1,E337,INDEX($AK:$AK,AI337)+E337))</f>
        <v/>
      </c>
      <c r="AL337" s="0" t="str">
        <f aca="false">IF(M337&lt;&gt;"Sí","",IF(AI337=0,1,IF(INDEX($AN:$AN,AI337)=0,1,IF(B337&gt;=EDATE(INDEX($AJ:$AJ,AI337),6),1,0))))</f>
        <v/>
      </c>
      <c r="AM337" s="0" t="str">
        <f aca="false">IF(D337="","",IFERROR(MATCH(D337,CATÁLOGO!$C$5:$C$39,0),""))</f>
        <v/>
      </c>
      <c r="AN337" s="0" t="str">
        <f aca="false">IF(M337&lt;&gt;"Sí","",IF(AND(ISNUMBER(AE337),AK337&gt;=AE337),0,1))</f>
        <v/>
      </c>
      <c r="AO337" s="0" t="str">
        <f aca="false">IF(OR(E337="",C337="",NOT(ISNUMBER(B337))),"",SUMIFS($E$6:$E$505,$C$6:$C$505,C337,$B$6:$B$505,"&gt;="&amp;DATE(YEAR(B337),MONTH(B337),1),$B$6:$B$505,"&lt;"&amp;DATE(YEAR(B337),MONTH(B337)+1,1)))</f>
        <v/>
      </c>
      <c r="AP337" s="0" t="str">
        <f aca="false">IF(C337="","",IFERROR(INDEX(CLIENTES!$M$6:$M$305,MATCH(C337,CLIENTES!$A$6:$A$305,0)),""))</f>
        <v/>
      </c>
      <c r="AQ337" s="27" t="n">
        <f aca="false">IF(AND(ISNUMBER(AO337),ISNUMBER(AP337)),IF(AND(AP337&gt;0,AO337&gt;AP337),1,0),0)</f>
        <v>0</v>
      </c>
      <c r="AR337" s="27" t="n">
        <f aca="false">IF(NOT(ISNUMBER(B337)),0,IF(B337&lt;MAX($B$5:B336),1,0))</f>
        <v>0</v>
      </c>
      <c r="AS337" s="0" t="str">
        <f aca="false">IF(C337="","",IFERROR(INDEX(CLIENTES!$H$6:$H$305,MATCH(C337,CLIENTES!$A$6:$A$305,0)),""))</f>
        <v/>
      </c>
      <c r="AT337" s="0" t="str">
        <f aca="false">IF(AND(LEFT(P337,5)="AVISO",T337&lt;&gt;"Presentado",ISNUMBER(Q337)),Q337,"")</f>
        <v/>
      </c>
      <c r="AU337" s="27" t="n">
        <f aca="false">IF(AND(D337="XVI - Activos virtuales (PSAV): operación de intercambio/transferencia",M337="Sí",ISNUMBER(AE337)),IF(AK337&gt;=AE337,1,0),0)</f>
        <v>0</v>
      </c>
      <c r="AV337" s="30" t="n">
        <f aca="false">IF(NOT(ISNUMBER(B337)),CONFIG!$B$4,IFERROR(INDEX(CONFIG!$I$5:$I$14,MATCH(IF(MONTH(B337)=1,YEAR(B337)-1,YEAR(B337)),CONFIG!$H$5:$H$14,0)),CONFIG!$B$4))</f>
        <v>117.31</v>
      </c>
      <c r="AW337" s="27" t="n">
        <f aca="false">IF(AND(LEFT(D337,4)="I - ",ISNUMBER(B337),C337&lt;&gt;""),SUMIFS($E$6:$E$505,$C$6:$C$505,C337,$D$6:$D$505,D337,$B$6:$B$505,"&gt;"&amp;(B337-1),$B$6:$B$505,"&lt;="&amp;B337),0)</f>
        <v>0</v>
      </c>
      <c r="AX337" s="0" t="str">
        <f aca="false">IF(E337="","",IF(AD337="Siempre","AVISO (siempre)",IF(AD337="No aplica","Sin Aviso (sólo preparas: Ley 17 XI)",IF(NOT(ISNUMBER(AE337)),"",IF(AA337&lt;&gt;"ACUMULA",IF(E337&gt;=AE337,IF(AND(D337="XVI - Activos virtuales (PSAV): cobro de contraprestación (comisión) por el servicio",COUNTIFS($C$6:$C$505,C337,$B$6:$B$505,"&gt;="&amp;INT(B337),$B$6:$B$505,"&lt;"&amp;(INT(B337)+1),$AU$6:$AU$505,1)&gt;0),"En el Aviso del inciso a) (R 31 Bis)","AVISO"),"—"),IF(M337&lt;&gt;"Sí","—",IF(AK337&gt;=AE337,IF(AK337=E337,"AVISO","AVISO (acumulado)"),"Acumulando")))))))</f>
        <v/>
      </c>
    </row>
    <row r="338" customFormat="false" ht="15" hidden="false" customHeight="false" outlineLevel="0" collapsed="false">
      <c r="A338" s="9" t="str">
        <f aca="false">IF(E338="","",ROW()-5)</f>
        <v/>
      </c>
      <c r="B338" s="20"/>
      <c r="C338" s="21"/>
      <c r="D338" s="21"/>
      <c r="E338" s="22"/>
      <c r="F338" s="22"/>
      <c r="G338" s="21"/>
      <c r="H338" s="21"/>
      <c r="I338" s="9" t="str">
        <f aca="false">IF(C338="","",IFERROR(INDEX(CLIENTES!$B$6:$B$305,MATCH(C338,CLIENTES!$A$6:$A$305,0)),"⚠ ID no registrado"))</f>
        <v/>
      </c>
      <c r="J338" s="9" t="str">
        <f aca="false">IF(C338="","",IFERROR(INDEX(CLIENTES!$Z$6:$Z$305,MATCH(C338,CLIENTES!$A$6:$A$305,0)),""))</f>
        <v/>
      </c>
      <c r="K338" s="9" t="str">
        <f aca="false">IF(E338="","",IF(AB338="Siempre","Sí",IF(ISNUMBER(AC338),IF(E338&gt;=AC338,"Sí",IF(AW338&gt;=AC338,"Sí (serie 24 h)","No")),"")))</f>
        <v/>
      </c>
      <c r="L338" s="9" t="str">
        <f aca="false">IF(E338="","",AA338)</f>
        <v/>
      </c>
      <c r="M338" s="9" t="str">
        <f aca="false">IF(E338="","",IF(AA338&lt;&gt;"ACUMULA","No aplica",IF(LEFT(K338,2)="Sí","Sí","No")))</f>
        <v/>
      </c>
      <c r="N338" s="23" t="str">
        <f aca="false">IF(M338="Sí",AJ338,"")</f>
        <v/>
      </c>
      <c r="O338" s="24" t="str">
        <f aca="false">IF(M338="Sí",AK338,"")</f>
        <v/>
      </c>
      <c r="P338" s="25" t="str">
        <f aca="false">IF(AND(LEFT(D338,6)="XIV - ",LEFT(AX338,5)="AVISO"),"Pedimento (R 16): no va al SPPLD",AX338)</f>
        <v/>
      </c>
      <c r="Q338" s="23" t="str">
        <f aca="false">IF(LEFT(P338,5)="AVISO",IF(ISNUMBER(B338),DATE(YEAR(B338),MONTH(B338)+1,17),"Falta fecha"),"")</f>
        <v/>
      </c>
      <c r="R338" s="9" t="str">
        <f aca="false">IF(OR(F338="",F338=0),"",IF(ISNUMBER(AG338),IF(F338&gt;=AG338,"PROHIBIDO","Dentro del límite"),"No aplica"))</f>
        <v/>
      </c>
      <c r="S338" s="26" t="str">
        <f aca="false">IF(E338="","",MID(IF(AQ338=1," · Excede el perfil declarado","")&amp;IF(H338="Sí"," · Paga un tercero","")&amp;IF(J338="Alto"," · Cliente de riesgo alto: DDR (RCG 23 Ter 3 y 4)","")&amp;IF(AND(AS338&lt;&gt;"",AS338&lt;&gt;"No",AS338&lt;&gt;0)," · PEP","")&amp;IF(R338="PROHIBIDO"," · Efectivo prohibido: no lo recibas (Art. 32)","")&amp;IF(AR338=1," · ⚠ Fecha fuera de orden","")&amp;IF(LEFT(I338,1)="⚠"," · ⚠ Cliente no registrado","")&amp;IF(D338=""," · ⚠ Falta la actividad","")&amp;IF(AND(LEFT(P338,5)="AVISO",W338="")," · Captura la cifra total con IVA para el Aviso","")&amp;IF(AND(ISNUMBER(W338),W338&lt;E338)," · ⚠ La cifra con IVA es menor que el monto sin IVA",""),4,400))</f>
        <v/>
      </c>
      <c r="T338" s="21"/>
      <c r="U338" s="20"/>
      <c r="V338" s="9" t="str">
        <f aca="false">IF(LEFT(P338,5)&lt;&gt;"AVISO","",IF(T338="Presentado",IF(AND(ISNUMBER(U338),ISNUMBER(Q338),U338&gt;Q338),"Presentado tarde","Presentado"),IF(NOT(ISNUMBER(Q338)),"Falta fecha",IF(Q338&lt;CONFIG!$B$6,"VENCIDO","Vence en "&amp;(Q338-CONFIG!$B$6)&amp;" días"))))</f>
        <v/>
      </c>
      <c r="W338" s="22"/>
      <c r="X338" s="21"/>
      <c r="AA338" s="0" t="str">
        <f aca="false">IF(AM338="","",INDEX(CATÁLOGO!$D$5:$D$39,AM338))</f>
        <v/>
      </c>
      <c r="AB338" s="0" t="str">
        <f aca="false">IF(AM338="","",INDEX(CATÁLOGO!$E$5:$E$39,AM338))</f>
        <v/>
      </c>
      <c r="AC338" s="0" t="str">
        <f aca="false">IF(AB338="","",IF(ISNUMBER(AB338),AB338*AV338,AB338))</f>
        <v/>
      </c>
      <c r="AD338" s="0" t="str">
        <f aca="false">IF(AM338="","",INDEX(CATÁLOGO!$F$5:$F$39,AM338))</f>
        <v/>
      </c>
      <c r="AE338" s="0" t="str">
        <f aca="false">IF(AD338="","",IF(ISNUMBER(AD338),AD338*AV338,AD338))</f>
        <v/>
      </c>
      <c r="AF338" s="0" t="str">
        <f aca="false">IF(AM338="","",INDEX(CATÁLOGO!$G$5:$G$39,AM338))</f>
        <v/>
      </c>
      <c r="AG338" s="0" t="str">
        <f aca="false">IF(AF338="","",IF(ISNUMBER(AF338),AF338*AV338,AF338))</f>
        <v/>
      </c>
      <c r="AH338" s="0" t="str">
        <f aca="false">IF(E338="","",C338&amp;"|"&amp;D338)</f>
        <v/>
      </c>
      <c r="AI338" s="27" t="n">
        <f aca="false">IF(M338&lt;&gt;"Sí",0,SUMPRODUCT(MAX(($AH$5:AH337=AH338)*($M$5:M337="Sí")*ROW($AH$5:AH337))))</f>
        <v>0</v>
      </c>
      <c r="AJ338" s="0" t="str">
        <f aca="false">IF(M338&lt;&gt;"Sí","",IF(AL338=1,B338,INDEX($AJ:$AJ,AI338)))</f>
        <v/>
      </c>
      <c r="AK338" s="0" t="str">
        <f aca="false">IF(M338&lt;&gt;"Sí","",IF(AL338=1,E338,INDEX($AK:$AK,AI338)+E338))</f>
        <v/>
      </c>
      <c r="AL338" s="0" t="str">
        <f aca="false">IF(M338&lt;&gt;"Sí","",IF(AI338=0,1,IF(INDEX($AN:$AN,AI338)=0,1,IF(B338&gt;=EDATE(INDEX($AJ:$AJ,AI338),6),1,0))))</f>
        <v/>
      </c>
      <c r="AM338" s="0" t="str">
        <f aca="false">IF(D338="","",IFERROR(MATCH(D338,CATÁLOGO!$C$5:$C$39,0),""))</f>
        <v/>
      </c>
      <c r="AN338" s="0" t="str">
        <f aca="false">IF(M338&lt;&gt;"Sí","",IF(AND(ISNUMBER(AE338),AK338&gt;=AE338),0,1))</f>
        <v/>
      </c>
      <c r="AO338" s="0" t="str">
        <f aca="false">IF(OR(E338="",C338="",NOT(ISNUMBER(B338))),"",SUMIFS($E$6:$E$505,$C$6:$C$505,C338,$B$6:$B$505,"&gt;="&amp;DATE(YEAR(B338),MONTH(B338),1),$B$6:$B$505,"&lt;"&amp;DATE(YEAR(B338),MONTH(B338)+1,1)))</f>
        <v/>
      </c>
      <c r="AP338" s="0" t="str">
        <f aca="false">IF(C338="","",IFERROR(INDEX(CLIENTES!$M$6:$M$305,MATCH(C338,CLIENTES!$A$6:$A$305,0)),""))</f>
        <v/>
      </c>
      <c r="AQ338" s="27" t="n">
        <f aca="false">IF(AND(ISNUMBER(AO338),ISNUMBER(AP338)),IF(AND(AP338&gt;0,AO338&gt;AP338),1,0),0)</f>
        <v>0</v>
      </c>
      <c r="AR338" s="27" t="n">
        <f aca="false">IF(NOT(ISNUMBER(B338)),0,IF(B338&lt;MAX($B$5:B337),1,0))</f>
        <v>0</v>
      </c>
      <c r="AS338" s="0" t="str">
        <f aca="false">IF(C338="","",IFERROR(INDEX(CLIENTES!$H$6:$H$305,MATCH(C338,CLIENTES!$A$6:$A$305,0)),""))</f>
        <v/>
      </c>
      <c r="AT338" s="0" t="str">
        <f aca="false">IF(AND(LEFT(P338,5)="AVISO",T338&lt;&gt;"Presentado",ISNUMBER(Q338)),Q338,"")</f>
        <v/>
      </c>
      <c r="AU338" s="27" t="n">
        <f aca="false">IF(AND(D338="XVI - Activos virtuales (PSAV): operación de intercambio/transferencia",M338="Sí",ISNUMBER(AE338)),IF(AK338&gt;=AE338,1,0),0)</f>
        <v>0</v>
      </c>
      <c r="AV338" s="30" t="n">
        <f aca="false">IF(NOT(ISNUMBER(B338)),CONFIG!$B$4,IFERROR(INDEX(CONFIG!$I$5:$I$14,MATCH(IF(MONTH(B338)=1,YEAR(B338)-1,YEAR(B338)),CONFIG!$H$5:$H$14,0)),CONFIG!$B$4))</f>
        <v>117.31</v>
      </c>
      <c r="AW338" s="27" t="n">
        <f aca="false">IF(AND(LEFT(D338,4)="I - ",ISNUMBER(B338),C338&lt;&gt;""),SUMIFS($E$6:$E$505,$C$6:$C$505,C338,$D$6:$D$505,D338,$B$6:$B$505,"&gt;"&amp;(B338-1),$B$6:$B$505,"&lt;="&amp;B338),0)</f>
        <v>0</v>
      </c>
      <c r="AX338" s="0" t="str">
        <f aca="false">IF(E338="","",IF(AD338="Siempre","AVISO (siempre)",IF(AD338="No aplica","Sin Aviso (sólo preparas: Ley 17 XI)",IF(NOT(ISNUMBER(AE338)),"",IF(AA338&lt;&gt;"ACUMULA",IF(E338&gt;=AE338,IF(AND(D338="XVI - Activos virtuales (PSAV): cobro de contraprestación (comisión) por el servicio",COUNTIFS($C$6:$C$505,C338,$B$6:$B$505,"&gt;="&amp;INT(B338),$B$6:$B$505,"&lt;"&amp;(INT(B338)+1),$AU$6:$AU$505,1)&gt;0),"En el Aviso del inciso a) (R 31 Bis)","AVISO"),"—"),IF(M338&lt;&gt;"Sí","—",IF(AK338&gt;=AE338,IF(AK338=E338,"AVISO","AVISO (acumulado)"),"Acumulando")))))))</f>
        <v/>
      </c>
    </row>
    <row r="339" customFormat="false" ht="15" hidden="false" customHeight="false" outlineLevel="0" collapsed="false">
      <c r="A339" s="9" t="str">
        <f aca="false">IF(E339="","",ROW()-5)</f>
        <v/>
      </c>
      <c r="B339" s="20"/>
      <c r="C339" s="21"/>
      <c r="D339" s="21"/>
      <c r="E339" s="22"/>
      <c r="F339" s="22"/>
      <c r="G339" s="21"/>
      <c r="H339" s="21"/>
      <c r="I339" s="9" t="str">
        <f aca="false">IF(C339="","",IFERROR(INDEX(CLIENTES!$B$6:$B$305,MATCH(C339,CLIENTES!$A$6:$A$305,0)),"⚠ ID no registrado"))</f>
        <v/>
      </c>
      <c r="J339" s="9" t="str">
        <f aca="false">IF(C339="","",IFERROR(INDEX(CLIENTES!$Z$6:$Z$305,MATCH(C339,CLIENTES!$A$6:$A$305,0)),""))</f>
        <v/>
      </c>
      <c r="K339" s="9" t="str">
        <f aca="false">IF(E339="","",IF(AB339="Siempre","Sí",IF(ISNUMBER(AC339),IF(E339&gt;=AC339,"Sí",IF(AW339&gt;=AC339,"Sí (serie 24 h)","No")),"")))</f>
        <v/>
      </c>
      <c r="L339" s="9" t="str">
        <f aca="false">IF(E339="","",AA339)</f>
        <v/>
      </c>
      <c r="M339" s="9" t="str">
        <f aca="false">IF(E339="","",IF(AA339&lt;&gt;"ACUMULA","No aplica",IF(LEFT(K339,2)="Sí","Sí","No")))</f>
        <v/>
      </c>
      <c r="N339" s="23" t="str">
        <f aca="false">IF(M339="Sí",AJ339,"")</f>
        <v/>
      </c>
      <c r="O339" s="24" t="str">
        <f aca="false">IF(M339="Sí",AK339,"")</f>
        <v/>
      </c>
      <c r="P339" s="25" t="str">
        <f aca="false">IF(AND(LEFT(D339,6)="XIV - ",LEFT(AX339,5)="AVISO"),"Pedimento (R 16): no va al SPPLD",AX339)</f>
        <v/>
      </c>
      <c r="Q339" s="23" t="str">
        <f aca="false">IF(LEFT(P339,5)="AVISO",IF(ISNUMBER(B339),DATE(YEAR(B339),MONTH(B339)+1,17),"Falta fecha"),"")</f>
        <v/>
      </c>
      <c r="R339" s="9" t="str">
        <f aca="false">IF(OR(F339="",F339=0),"",IF(ISNUMBER(AG339),IF(F339&gt;=AG339,"PROHIBIDO","Dentro del límite"),"No aplica"))</f>
        <v/>
      </c>
      <c r="S339" s="26" t="str">
        <f aca="false">IF(E339="","",MID(IF(AQ339=1," · Excede el perfil declarado","")&amp;IF(H339="Sí"," · Paga un tercero","")&amp;IF(J339="Alto"," · Cliente de riesgo alto: DDR (RCG 23 Ter 3 y 4)","")&amp;IF(AND(AS339&lt;&gt;"",AS339&lt;&gt;"No",AS339&lt;&gt;0)," · PEP","")&amp;IF(R339="PROHIBIDO"," · Efectivo prohibido: no lo recibas (Art. 32)","")&amp;IF(AR339=1," · ⚠ Fecha fuera de orden","")&amp;IF(LEFT(I339,1)="⚠"," · ⚠ Cliente no registrado","")&amp;IF(D339=""," · ⚠ Falta la actividad","")&amp;IF(AND(LEFT(P339,5)="AVISO",W339="")," · Captura la cifra total con IVA para el Aviso","")&amp;IF(AND(ISNUMBER(W339),W339&lt;E339)," · ⚠ La cifra con IVA es menor que el monto sin IVA",""),4,400))</f>
        <v/>
      </c>
      <c r="T339" s="21"/>
      <c r="U339" s="20"/>
      <c r="V339" s="9" t="str">
        <f aca="false">IF(LEFT(P339,5)&lt;&gt;"AVISO","",IF(T339="Presentado",IF(AND(ISNUMBER(U339),ISNUMBER(Q339),U339&gt;Q339),"Presentado tarde","Presentado"),IF(NOT(ISNUMBER(Q339)),"Falta fecha",IF(Q339&lt;CONFIG!$B$6,"VENCIDO","Vence en "&amp;(Q339-CONFIG!$B$6)&amp;" días"))))</f>
        <v/>
      </c>
      <c r="W339" s="22"/>
      <c r="X339" s="21"/>
      <c r="AA339" s="0" t="str">
        <f aca="false">IF(AM339="","",INDEX(CATÁLOGO!$D$5:$D$39,AM339))</f>
        <v/>
      </c>
      <c r="AB339" s="0" t="str">
        <f aca="false">IF(AM339="","",INDEX(CATÁLOGO!$E$5:$E$39,AM339))</f>
        <v/>
      </c>
      <c r="AC339" s="0" t="str">
        <f aca="false">IF(AB339="","",IF(ISNUMBER(AB339),AB339*AV339,AB339))</f>
        <v/>
      </c>
      <c r="AD339" s="0" t="str">
        <f aca="false">IF(AM339="","",INDEX(CATÁLOGO!$F$5:$F$39,AM339))</f>
        <v/>
      </c>
      <c r="AE339" s="0" t="str">
        <f aca="false">IF(AD339="","",IF(ISNUMBER(AD339),AD339*AV339,AD339))</f>
        <v/>
      </c>
      <c r="AF339" s="0" t="str">
        <f aca="false">IF(AM339="","",INDEX(CATÁLOGO!$G$5:$G$39,AM339))</f>
        <v/>
      </c>
      <c r="AG339" s="0" t="str">
        <f aca="false">IF(AF339="","",IF(ISNUMBER(AF339),AF339*AV339,AF339))</f>
        <v/>
      </c>
      <c r="AH339" s="0" t="str">
        <f aca="false">IF(E339="","",C339&amp;"|"&amp;D339)</f>
        <v/>
      </c>
      <c r="AI339" s="27" t="n">
        <f aca="false">IF(M339&lt;&gt;"Sí",0,SUMPRODUCT(MAX(($AH$5:AH338=AH339)*($M$5:M338="Sí")*ROW($AH$5:AH338))))</f>
        <v>0</v>
      </c>
      <c r="AJ339" s="0" t="str">
        <f aca="false">IF(M339&lt;&gt;"Sí","",IF(AL339=1,B339,INDEX($AJ:$AJ,AI339)))</f>
        <v/>
      </c>
      <c r="AK339" s="0" t="str">
        <f aca="false">IF(M339&lt;&gt;"Sí","",IF(AL339=1,E339,INDEX($AK:$AK,AI339)+E339))</f>
        <v/>
      </c>
      <c r="AL339" s="0" t="str">
        <f aca="false">IF(M339&lt;&gt;"Sí","",IF(AI339=0,1,IF(INDEX($AN:$AN,AI339)=0,1,IF(B339&gt;=EDATE(INDEX($AJ:$AJ,AI339),6),1,0))))</f>
        <v/>
      </c>
      <c r="AM339" s="0" t="str">
        <f aca="false">IF(D339="","",IFERROR(MATCH(D339,CATÁLOGO!$C$5:$C$39,0),""))</f>
        <v/>
      </c>
      <c r="AN339" s="0" t="str">
        <f aca="false">IF(M339&lt;&gt;"Sí","",IF(AND(ISNUMBER(AE339),AK339&gt;=AE339),0,1))</f>
        <v/>
      </c>
      <c r="AO339" s="0" t="str">
        <f aca="false">IF(OR(E339="",C339="",NOT(ISNUMBER(B339))),"",SUMIFS($E$6:$E$505,$C$6:$C$505,C339,$B$6:$B$505,"&gt;="&amp;DATE(YEAR(B339),MONTH(B339),1),$B$6:$B$505,"&lt;"&amp;DATE(YEAR(B339),MONTH(B339)+1,1)))</f>
        <v/>
      </c>
      <c r="AP339" s="0" t="str">
        <f aca="false">IF(C339="","",IFERROR(INDEX(CLIENTES!$M$6:$M$305,MATCH(C339,CLIENTES!$A$6:$A$305,0)),""))</f>
        <v/>
      </c>
      <c r="AQ339" s="27" t="n">
        <f aca="false">IF(AND(ISNUMBER(AO339),ISNUMBER(AP339)),IF(AND(AP339&gt;0,AO339&gt;AP339),1,0),0)</f>
        <v>0</v>
      </c>
      <c r="AR339" s="27" t="n">
        <f aca="false">IF(NOT(ISNUMBER(B339)),0,IF(B339&lt;MAX($B$5:B338),1,0))</f>
        <v>0</v>
      </c>
      <c r="AS339" s="0" t="str">
        <f aca="false">IF(C339="","",IFERROR(INDEX(CLIENTES!$H$6:$H$305,MATCH(C339,CLIENTES!$A$6:$A$305,0)),""))</f>
        <v/>
      </c>
      <c r="AT339" s="0" t="str">
        <f aca="false">IF(AND(LEFT(P339,5)="AVISO",T339&lt;&gt;"Presentado",ISNUMBER(Q339)),Q339,"")</f>
        <v/>
      </c>
      <c r="AU339" s="27" t="n">
        <f aca="false">IF(AND(D339="XVI - Activos virtuales (PSAV): operación de intercambio/transferencia",M339="Sí",ISNUMBER(AE339)),IF(AK339&gt;=AE339,1,0),0)</f>
        <v>0</v>
      </c>
      <c r="AV339" s="30" t="n">
        <f aca="false">IF(NOT(ISNUMBER(B339)),CONFIG!$B$4,IFERROR(INDEX(CONFIG!$I$5:$I$14,MATCH(IF(MONTH(B339)=1,YEAR(B339)-1,YEAR(B339)),CONFIG!$H$5:$H$14,0)),CONFIG!$B$4))</f>
        <v>117.31</v>
      </c>
      <c r="AW339" s="27" t="n">
        <f aca="false">IF(AND(LEFT(D339,4)="I - ",ISNUMBER(B339),C339&lt;&gt;""),SUMIFS($E$6:$E$505,$C$6:$C$505,C339,$D$6:$D$505,D339,$B$6:$B$505,"&gt;"&amp;(B339-1),$B$6:$B$505,"&lt;="&amp;B339),0)</f>
        <v>0</v>
      </c>
      <c r="AX339" s="0" t="str">
        <f aca="false">IF(E339="","",IF(AD339="Siempre","AVISO (siempre)",IF(AD339="No aplica","Sin Aviso (sólo preparas: Ley 17 XI)",IF(NOT(ISNUMBER(AE339)),"",IF(AA339&lt;&gt;"ACUMULA",IF(E339&gt;=AE339,IF(AND(D339="XVI - Activos virtuales (PSAV): cobro de contraprestación (comisión) por el servicio",COUNTIFS($C$6:$C$505,C339,$B$6:$B$505,"&gt;="&amp;INT(B339),$B$6:$B$505,"&lt;"&amp;(INT(B339)+1),$AU$6:$AU$505,1)&gt;0),"En el Aviso del inciso a) (R 31 Bis)","AVISO"),"—"),IF(M339&lt;&gt;"Sí","—",IF(AK339&gt;=AE339,IF(AK339=E339,"AVISO","AVISO (acumulado)"),"Acumulando")))))))</f>
        <v/>
      </c>
    </row>
    <row r="340" customFormat="false" ht="15" hidden="false" customHeight="false" outlineLevel="0" collapsed="false">
      <c r="A340" s="9" t="str">
        <f aca="false">IF(E340="","",ROW()-5)</f>
        <v/>
      </c>
      <c r="B340" s="20"/>
      <c r="C340" s="21"/>
      <c r="D340" s="21"/>
      <c r="E340" s="22"/>
      <c r="F340" s="22"/>
      <c r="G340" s="21"/>
      <c r="H340" s="21"/>
      <c r="I340" s="9" t="str">
        <f aca="false">IF(C340="","",IFERROR(INDEX(CLIENTES!$B$6:$B$305,MATCH(C340,CLIENTES!$A$6:$A$305,0)),"⚠ ID no registrado"))</f>
        <v/>
      </c>
      <c r="J340" s="9" t="str">
        <f aca="false">IF(C340="","",IFERROR(INDEX(CLIENTES!$Z$6:$Z$305,MATCH(C340,CLIENTES!$A$6:$A$305,0)),""))</f>
        <v/>
      </c>
      <c r="K340" s="9" t="str">
        <f aca="false">IF(E340="","",IF(AB340="Siempre","Sí",IF(ISNUMBER(AC340),IF(E340&gt;=AC340,"Sí",IF(AW340&gt;=AC340,"Sí (serie 24 h)","No")),"")))</f>
        <v/>
      </c>
      <c r="L340" s="9" t="str">
        <f aca="false">IF(E340="","",AA340)</f>
        <v/>
      </c>
      <c r="M340" s="9" t="str">
        <f aca="false">IF(E340="","",IF(AA340&lt;&gt;"ACUMULA","No aplica",IF(LEFT(K340,2)="Sí","Sí","No")))</f>
        <v/>
      </c>
      <c r="N340" s="23" t="str">
        <f aca="false">IF(M340="Sí",AJ340,"")</f>
        <v/>
      </c>
      <c r="O340" s="24" t="str">
        <f aca="false">IF(M340="Sí",AK340,"")</f>
        <v/>
      </c>
      <c r="P340" s="25" t="str">
        <f aca="false">IF(AND(LEFT(D340,6)="XIV - ",LEFT(AX340,5)="AVISO"),"Pedimento (R 16): no va al SPPLD",AX340)</f>
        <v/>
      </c>
      <c r="Q340" s="23" t="str">
        <f aca="false">IF(LEFT(P340,5)="AVISO",IF(ISNUMBER(B340),DATE(YEAR(B340),MONTH(B340)+1,17),"Falta fecha"),"")</f>
        <v/>
      </c>
      <c r="R340" s="9" t="str">
        <f aca="false">IF(OR(F340="",F340=0),"",IF(ISNUMBER(AG340),IF(F340&gt;=AG340,"PROHIBIDO","Dentro del límite"),"No aplica"))</f>
        <v/>
      </c>
      <c r="S340" s="26" t="str">
        <f aca="false">IF(E340="","",MID(IF(AQ340=1," · Excede el perfil declarado","")&amp;IF(H340="Sí"," · Paga un tercero","")&amp;IF(J340="Alto"," · Cliente de riesgo alto: DDR (RCG 23 Ter 3 y 4)","")&amp;IF(AND(AS340&lt;&gt;"",AS340&lt;&gt;"No",AS340&lt;&gt;0)," · PEP","")&amp;IF(R340="PROHIBIDO"," · Efectivo prohibido: no lo recibas (Art. 32)","")&amp;IF(AR340=1," · ⚠ Fecha fuera de orden","")&amp;IF(LEFT(I340,1)="⚠"," · ⚠ Cliente no registrado","")&amp;IF(D340=""," · ⚠ Falta la actividad","")&amp;IF(AND(LEFT(P340,5)="AVISO",W340="")," · Captura la cifra total con IVA para el Aviso","")&amp;IF(AND(ISNUMBER(W340),W340&lt;E340)," · ⚠ La cifra con IVA es menor que el monto sin IVA",""),4,400))</f>
        <v/>
      </c>
      <c r="T340" s="21"/>
      <c r="U340" s="20"/>
      <c r="V340" s="9" t="str">
        <f aca="false">IF(LEFT(P340,5)&lt;&gt;"AVISO","",IF(T340="Presentado",IF(AND(ISNUMBER(U340),ISNUMBER(Q340),U340&gt;Q340),"Presentado tarde","Presentado"),IF(NOT(ISNUMBER(Q340)),"Falta fecha",IF(Q340&lt;CONFIG!$B$6,"VENCIDO","Vence en "&amp;(Q340-CONFIG!$B$6)&amp;" días"))))</f>
        <v/>
      </c>
      <c r="W340" s="22"/>
      <c r="X340" s="21"/>
      <c r="AA340" s="0" t="str">
        <f aca="false">IF(AM340="","",INDEX(CATÁLOGO!$D$5:$D$39,AM340))</f>
        <v/>
      </c>
      <c r="AB340" s="0" t="str">
        <f aca="false">IF(AM340="","",INDEX(CATÁLOGO!$E$5:$E$39,AM340))</f>
        <v/>
      </c>
      <c r="AC340" s="0" t="str">
        <f aca="false">IF(AB340="","",IF(ISNUMBER(AB340),AB340*AV340,AB340))</f>
        <v/>
      </c>
      <c r="AD340" s="0" t="str">
        <f aca="false">IF(AM340="","",INDEX(CATÁLOGO!$F$5:$F$39,AM340))</f>
        <v/>
      </c>
      <c r="AE340" s="0" t="str">
        <f aca="false">IF(AD340="","",IF(ISNUMBER(AD340),AD340*AV340,AD340))</f>
        <v/>
      </c>
      <c r="AF340" s="0" t="str">
        <f aca="false">IF(AM340="","",INDEX(CATÁLOGO!$G$5:$G$39,AM340))</f>
        <v/>
      </c>
      <c r="AG340" s="0" t="str">
        <f aca="false">IF(AF340="","",IF(ISNUMBER(AF340),AF340*AV340,AF340))</f>
        <v/>
      </c>
      <c r="AH340" s="0" t="str">
        <f aca="false">IF(E340="","",C340&amp;"|"&amp;D340)</f>
        <v/>
      </c>
      <c r="AI340" s="27" t="n">
        <f aca="false">IF(M340&lt;&gt;"Sí",0,SUMPRODUCT(MAX(($AH$5:AH339=AH340)*($M$5:M339="Sí")*ROW($AH$5:AH339))))</f>
        <v>0</v>
      </c>
      <c r="AJ340" s="0" t="str">
        <f aca="false">IF(M340&lt;&gt;"Sí","",IF(AL340=1,B340,INDEX($AJ:$AJ,AI340)))</f>
        <v/>
      </c>
      <c r="AK340" s="0" t="str">
        <f aca="false">IF(M340&lt;&gt;"Sí","",IF(AL340=1,E340,INDEX($AK:$AK,AI340)+E340))</f>
        <v/>
      </c>
      <c r="AL340" s="0" t="str">
        <f aca="false">IF(M340&lt;&gt;"Sí","",IF(AI340=0,1,IF(INDEX($AN:$AN,AI340)=0,1,IF(B340&gt;=EDATE(INDEX($AJ:$AJ,AI340),6),1,0))))</f>
        <v/>
      </c>
      <c r="AM340" s="0" t="str">
        <f aca="false">IF(D340="","",IFERROR(MATCH(D340,CATÁLOGO!$C$5:$C$39,0),""))</f>
        <v/>
      </c>
      <c r="AN340" s="0" t="str">
        <f aca="false">IF(M340&lt;&gt;"Sí","",IF(AND(ISNUMBER(AE340),AK340&gt;=AE340),0,1))</f>
        <v/>
      </c>
      <c r="AO340" s="0" t="str">
        <f aca="false">IF(OR(E340="",C340="",NOT(ISNUMBER(B340))),"",SUMIFS($E$6:$E$505,$C$6:$C$505,C340,$B$6:$B$505,"&gt;="&amp;DATE(YEAR(B340),MONTH(B340),1),$B$6:$B$505,"&lt;"&amp;DATE(YEAR(B340),MONTH(B340)+1,1)))</f>
        <v/>
      </c>
      <c r="AP340" s="0" t="str">
        <f aca="false">IF(C340="","",IFERROR(INDEX(CLIENTES!$M$6:$M$305,MATCH(C340,CLIENTES!$A$6:$A$305,0)),""))</f>
        <v/>
      </c>
      <c r="AQ340" s="27" t="n">
        <f aca="false">IF(AND(ISNUMBER(AO340),ISNUMBER(AP340)),IF(AND(AP340&gt;0,AO340&gt;AP340),1,0),0)</f>
        <v>0</v>
      </c>
      <c r="AR340" s="27" t="n">
        <f aca="false">IF(NOT(ISNUMBER(B340)),0,IF(B340&lt;MAX($B$5:B339),1,0))</f>
        <v>0</v>
      </c>
      <c r="AS340" s="0" t="str">
        <f aca="false">IF(C340="","",IFERROR(INDEX(CLIENTES!$H$6:$H$305,MATCH(C340,CLIENTES!$A$6:$A$305,0)),""))</f>
        <v/>
      </c>
      <c r="AT340" s="0" t="str">
        <f aca="false">IF(AND(LEFT(P340,5)="AVISO",T340&lt;&gt;"Presentado",ISNUMBER(Q340)),Q340,"")</f>
        <v/>
      </c>
      <c r="AU340" s="27" t="n">
        <f aca="false">IF(AND(D340="XVI - Activos virtuales (PSAV): operación de intercambio/transferencia",M340="Sí",ISNUMBER(AE340)),IF(AK340&gt;=AE340,1,0),0)</f>
        <v>0</v>
      </c>
      <c r="AV340" s="30" t="n">
        <f aca="false">IF(NOT(ISNUMBER(B340)),CONFIG!$B$4,IFERROR(INDEX(CONFIG!$I$5:$I$14,MATCH(IF(MONTH(B340)=1,YEAR(B340)-1,YEAR(B340)),CONFIG!$H$5:$H$14,0)),CONFIG!$B$4))</f>
        <v>117.31</v>
      </c>
      <c r="AW340" s="27" t="n">
        <f aca="false">IF(AND(LEFT(D340,4)="I - ",ISNUMBER(B340),C340&lt;&gt;""),SUMIFS($E$6:$E$505,$C$6:$C$505,C340,$D$6:$D$505,D340,$B$6:$B$505,"&gt;"&amp;(B340-1),$B$6:$B$505,"&lt;="&amp;B340),0)</f>
        <v>0</v>
      </c>
      <c r="AX340" s="0" t="str">
        <f aca="false">IF(E340="","",IF(AD340="Siempre","AVISO (siempre)",IF(AD340="No aplica","Sin Aviso (sólo preparas: Ley 17 XI)",IF(NOT(ISNUMBER(AE340)),"",IF(AA340&lt;&gt;"ACUMULA",IF(E340&gt;=AE340,IF(AND(D340="XVI - Activos virtuales (PSAV): cobro de contraprestación (comisión) por el servicio",COUNTIFS($C$6:$C$505,C340,$B$6:$B$505,"&gt;="&amp;INT(B340),$B$6:$B$505,"&lt;"&amp;(INT(B340)+1),$AU$6:$AU$505,1)&gt;0),"En el Aviso del inciso a) (R 31 Bis)","AVISO"),"—"),IF(M340&lt;&gt;"Sí","—",IF(AK340&gt;=AE340,IF(AK340=E340,"AVISO","AVISO (acumulado)"),"Acumulando")))))))</f>
        <v/>
      </c>
    </row>
    <row r="341" customFormat="false" ht="15" hidden="false" customHeight="false" outlineLevel="0" collapsed="false">
      <c r="A341" s="9" t="str">
        <f aca="false">IF(E341="","",ROW()-5)</f>
        <v/>
      </c>
      <c r="B341" s="20"/>
      <c r="C341" s="21"/>
      <c r="D341" s="21"/>
      <c r="E341" s="22"/>
      <c r="F341" s="22"/>
      <c r="G341" s="21"/>
      <c r="H341" s="21"/>
      <c r="I341" s="9" t="str">
        <f aca="false">IF(C341="","",IFERROR(INDEX(CLIENTES!$B$6:$B$305,MATCH(C341,CLIENTES!$A$6:$A$305,0)),"⚠ ID no registrado"))</f>
        <v/>
      </c>
      <c r="J341" s="9" t="str">
        <f aca="false">IF(C341="","",IFERROR(INDEX(CLIENTES!$Z$6:$Z$305,MATCH(C341,CLIENTES!$A$6:$A$305,0)),""))</f>
        <v/>
      </c>
      <c r="K341" s="9" t="str">
        <f aca="false">IF(E341="","",IF(AB341="Siempre","Sí",IF(ISNUMBER(AC341),IF(E341&gt;=AC341,"Sí",IF(AW341&gt;=AC341,"Sí (serie 24 h)","No")),"")))</f>
        <v/>
      </c>
      <c r="L341" s="9" t="str">
        <f aca="false">IF(E341="","",AA341)</f>
        <v/>
      </c>
      <c r="M341" s="9" t="str">
        <f aca="false">IF(E341="","",IF(AA341&lt;&gt;"ACUMULA","No aplica",IF(LEFT(K341,2)="Sí","Sí","No")))</f>
        <v/>
      </c>
      <c r="N341" s="23" t="str">
        <f aca="false">IF(M341="Sí",AJ341,"")</f>
        <v/>
      </c>
      <c r="O341" s="24" t="str">
        <f aca="false">IF(M341="Sí",AK341,"")</f>
        <v/>
      </c>
      <c r="P341" s="25" t="str">
        <f aca="false">IF(AND(LEFT(D341,6)="XIV - ",LEFT(AX341,5)="AVISO"),"Pedimento (R 16): no va al SPPLD",AX341)</f>
        <v/>
      </c>
      <c r="Q341" s="23" t="str">
        <f aca="false">IF(LEFT(P341,5)="AVISO",IF(ISNUMBER(B341),DATE(YEAR(B341),MONTH(B341)+1,17),"Falta fecha"),"")</f>
        <v/>
      </c>
      <c r="R341" s="9" t="str">
        <f aca="false">IF(OR(F341="",F341=0),"",IF(ISNUMBER(AG341),IF(F341&gt;=AG341,"PROHIBIDO","Dentro del límite"),"No aplica"))</f>
        <v/>
      </c>
      <c r="S341" s="26" t="str">
        <f aca="false">IF(E341="","",MID(IF(AQ341=1," · Excede el perfil declarado","")&amp;IF(H341="Sí"," · Paga un tercero","")&amp;IF(J341="Alto"," · Cliente de riesgo alto: DDR (RCG 23 Ter 3 y 4)","")&amp;IF(AND(AS341&lt;&gt;"",AS341&lt;&gt;"No",AS341&lt;&gt;0)," · PEP","")&amp;IF(R341="PROHIBIDO"," · Efectivo prohibido: no lo recibas (Art. 32)","")&amp;IF(AR341=1," · ⚠ Fecha fuera de orden","")&amp;IF(LEFT(I341,1)="⚠"," · ⚠ Cliente no registrado","")&amp;IF(D341=""," · ⚠ Falta la actividad","")&amp;IF(AND(LEFT(P341,5)="AVISO",W341="")," · Captura la cifra total con IVA para el Aviso","")&amp;IF(AND(ISNUMBER(W341),W341&lt;E341)," · ⚠ La cifra con IVA es menor que el monto sin IVA",""),4,400))</f>
        <v/>
      </c>
      <c r="T341" s="21"/>
      <c r="U341" s="20"/>
      <c r="V341" s="9" t="str">
        <f aca="false">IF(LEFT(P341,5)&lt;&gt;"AVISO","",IF(T341="Presentado",IF(AND(ISNUMBER(U341),ISNUMBER(Q341),U341&gt;Q341),"Presentado tarde","Presentado"),IF(NOT(ISNUMBER(Q341)),"Falta fecha",IF(Q341&lt;CONFIG!$B$6,"VENCIDO","Vence en "&amp;(Q341-CONFIG!$B$6)&amp;" días"))))</f>
        <v/>
      </c>
      <c r="W341" s="22"/>
      <c r="X341" s="21"/>
      <c r="AA341" s="0" t="str">
        <f aca="false">IF(AM341="","",INDEX(CATÁLOGO!$D$5:$D$39,AM341))</f>
        <v/>
      </c>
      <c r="AB341" s="0" t="str">
        <f aca="false">IF(AM341="","",INDEX(CATÁLOGO!$E$5:$E$39,AM341))</f>
        <v/>
      </c>
      <c r="AC341" s="0" t="str">
        <f aca="false">IF(AB341="","",IF(ISNUMBER(AB341),AB341*AV341,AB341))</f>
        <v/>
      </c>
      <c r="AD341" s="0" t="str">
        <f aca="false">IF(AM341="","",INDEX(CATÁLOGO!$F$5:$F$39,AM341))</f>
        <v/>
      </c>
      <c r="AE341" s="0" t="str">
        <f aca="false">IF(AD341="","",IF(ISNUMBER(AD341),AD341*AV341,AD341))</f>
        <v/>
      </c>
      <c r="AF341" s="0" t="str">
        <f aca="false">IF(AM341="","",INDEX(CATÁLOGO!$G$5:$G$39,AM341))</f>
        <v/>
      </c>
      <c r="AG341" s="0" t="str">
        <f aca="false">IF(AF341="","",IF(ISNUMBER(AF341),AF341*AV341,AF341))</f>
        <v/>
      </c>
      <c r="AH341" s="0" t="str">
        <f aca="false">IF(E341="","",C341&amp;"|"&amp;D341)</f>
        <v/>
      </c>
      <c r="AI341" s="27" t="n">
        <f aca="false">IF(M341&lt;&gt;"Sí",0,SUMPRODUCT(MAX(($AH$5:AH340=AH341)*($M$5:M340="Sí")*ROW($AH$5:AH340))))</f>
        <v>0</v>
      </c>
      <c r="AJ341" s="0" t="str">
        <f aca="false">IF(M341&lt;&gt;"Sí","",IF(AL341=1,B341,INDEX($AJ:$AJ,AI341)))</f>
        <v/>
      </c>
      <c r="AK341" s="0" t="str">
        <f aca="false">IF(M341&lt;&gt;"Sí","",IF(AL341=1,E341,INDEX($AK:$AK,AI341)+E341))</f>
        <v/>
      </c>
      <c r="AL341" s="0" t="str">
        <f aca="false">IF(M341&lt;&gt;"Sí","",IF(AI341=0,1,IF(INDEX($AN:$AN,AI341)=0,1,IF(B341&gt;=EDATE(INDEX($AJ:$AJ,AI341),6),1,0))))</f>
        <v/>
      </c>
      <c r="AM341" s="0" t="str">
        <f aca="false">IF(D341="","",IFERROR(MATCH(D341,CATÁLOGO!$C$5:$C$39,0),""))</f>
        <v/>
      </c>
      <c r="AN341" s="0" t="str">
        <f aca="false">IF(M341&lt;&gt;"Sí","",IF(AND(ISNUMBER(AE341),AK341&gt;=AE341),0,1))</f>
        <v/>
      </c>
      <c r="AO341" s="0" t="str">
        <f aca="false">IF(OR(E341="",C341="",NOT(ISNUMBER(B341))),"",SUMIFS($E$6:$E$505,$C$6:$C$505,C341,$B$6:$B$505,"&gt;="&amp;DATE(YEAR(B341),MONTH(B341),1),$B$6:$B$505,"&lt;"&amp;DATE(YEAR(B341),MONTH(B341)+1,1)))</f>
        <v/>
      </c>
      <c r="AP341" s="0" t="str">
        <f aca="false">IF(C341="","",IFERROR(INDEX(CLIENTES!$M$6:$M$305,MATCH(C341,CLIENTES!$A$6:$A$305,0)),""))</f>
        <v/>
      </c>
      <c r="AQ341" s="27" t="n">
        <f aca="false">IF(AND(ISNUMBER(AO341),ISNUMBER(AP341)),IF(AND(AP341&gt;0,AO341&gt;AP341),1,0),0)</f>
        <v>0</v>
      </c>
      <c r="AR341" s="27" t="n">
        <f aca="false">IF(NOT(ISNUMBER(B341)),0,IF(B341&lt;MAX($B$5:B340),1,0))</f>
        <v>0</v>
      </c>
      <c r="AS341" s="0" t="str">
        <f aca="false">IF(C341="","",IFERROR(INDEX(CLIENTES!$H$6:$H$305,MATCH(C341,CLIENTES!$A$6:$A$305,0)),""))</f>
        <v/>
      </c>
      <c r="AT341" s="0" t="str">
        <f aca="false">IF(AND(LEFT(P341,5)="AVISO",T341&lt;&gt;"Presentado",ISNUMBER(Q341)),Q341,"")</f>
        <v/>
      </c>
      <c r="AU341" s="27" t="n">
        <f aca="false">IF(AND(D341="XVI - Activos virtuales (PSAV): operación de intercambio/transferencia",M341="Sí",ISNUMBER(AE341)),IF(AK341&gt;=AE341,1,0),0)</f>
        <v>0</v>
      </c>
      <c r="AV341" s="30" t="n">
        <f aca="false">IF(NOT(ISNUMBER(B341)),CONFIG!$B$4,IFERROR(INDEX(CONFIG!$I$5:$I$14,MATCH(IF(MONTH(B341)=1,YEAR(B341)-1,YEAR(B341)),CONFIG!$H$5:$H$14,0)),CONFIG!$B$4))</f>
        <v>117.31</v>
      </c>
      <c r="AW341" s="27" t="n">
        <f aca="false">IF(AND(LEFT(D341,4)="I - ",ISNUMBER(B341),C341&lt;&gt;""),SUMIFS($E$6:$E$505,$C$6:$C$505,C341,$D$6:$D$505,D341,$B$6:$B$505,"&gt;"&amp;(B341-1),$B$6:$B$505,"&lt;="&amp;B341),0)</f>
        <v>0</v>
      </c>
      <c r="AX341" s="0" t="str">
        <f aca="false">IF(E341="","",IF(AD341="Siempre","AVISO (siempre)",IF(AD341="No aplica","Sin Aviso (sólo preparas: Ley 17 XI)",IF(NOT(ISNUMBER(AE341)),"",IF(AA341&lt;&gt;"ACUMULA",IF(E341&gt;=AE341,IF(AND(D341="XVI - Activos virtuales (PSAV): cobro de contraprestación (comisión) por el servicio",COUNTIFS($C$6:$C$505,C341,$B$6:$B$505,"&gt;="&amp;INT(B341),$B$6:$B$505,"&lt;"&amp;(INT(B341)+1),$AU$6:$AU$505,1)&gt;0),"En el Aviso del inciso a) (R 31 Bis)","AVISO"),"—"),IF(M341&lt;&gt;"Sí","—",IF(AK341&gt;=AE341,IF(AK341=E341,"AVISO","AVISO (acumulado)"),"Acumulando")))))))</f>
        <v/>
      </c>
    </row>
    <row r="342" customFormat="false" ht="15" hidden="false" customHeight="false" outlineLevel="0" collapsed="false">
      <c r="A342" s="9" t="str">
        <f aca="false">IF(E342="","",ROW()-5)</f>
        <v/>
      </c>
      <c r="B342" s="20"/>
      <c r="C342" s="21"/>
      <c r="D342" s="21"/>
      <c r="E342" s="22"/>
      <c r="F342" s="22"/>
      <c r="G342" s="21"/>
      <c r="H342" s="21"/>
      <c r="I342" s="9" t="str">
        <f aca="false">IF(C342="","",IFERROR(INDEX(CLIENTES!$B$6:$B$305,MATCH(C342,CLIENTES!$A$6:$A$305,0)),"⚠ ID no registrado"))</f>
        <v/>
      </c>
      <c r="J342" s="9" t="str">
        <f aca="false">IF(C342="","",IFERROR(INDEX(CLIENTES!$Z$6:$Z$305,MATCH(C342,CLIENTES!$A$6:$A$305,0)),""))</f>
        <v/>
      </c>
      <c r="K342" s="9" t="str">
        <f aca="false">IF(E342="","",IF(AB342="Siempre","Sí",IF(ISNUMBER(AC342),IF(E342&gt;=AC342,"Sí",IF(AW342&gt;=AC342,"Sí (serie 24 h)","No")),"")))</f>
        <v/>
      </c>
      <c r="L342" s="9" t="str">
        <f aca="false">IF(E342="","",AA342)</f>
        <v/>
      </c>
      <c r="M342" s="9" t="str">
        <f aca="false">IF(E342="","",IF(AA342&lt;&gt;"ACUMULA","No aplica",IF(LEFT(K342,2)="Sí","Sí","No")))</f>
        <v/>
      </c>
      <c r="N342" s="23" t="str">
        <f aca="false">IF(M342="Sí",AJ342,"")</f>
        <v/>
      </c>
      <c r="O342" s="24" t="str">
        <f aca="false">IF(M342="Sí",AK342,"")</f>
        <v/>
      </c>
      <c r="P342" s="25" t="str">
        <f aca="false">IF(AND(LEFT(D342,6)="XIV - ",LEFT(AX342,5)="AVISO"),"Pedimento (R 16): no va al SPPLD",AX342)</f>
        <v/>
      </c>
      <c r="Q342" s="23" t="str">
        <f aca="false">IF(LEFT(P342,5)="AVISO",IF(ISNUMBER(B342),DATE(YEAR(B342),MONTH(B342)+1,17),"Falta fecha"),"")</f>
        <v/>
      </c>
      <c r="R342" s="9" t="str">
        <f aca="false">IF(OR(F342="",F342=0),"",IF(ISNUMBER(AG342),IF(F342&gt;=AG342,"PROHIBIDO","Dentro del límite"),"No aplica"))</f>
        <v/>
      </c>
      <c r="S342" s="26" t="str">
        <f aca="false">IF(E342="","",MID(IF(AQ342=1," · Excede el perfil declarado","")&amp;IF(H342="Sí"," · Paga un tercero","")&amp;IF(J342="Alto"," · Cliente de riesgo alto: DDR (RCG 23 Ter 3 y 4)","")&amp;IF(AND(AS342&lt;&gt;"",AS342&lt;&gt;"No",AS342&lt;&gt;0)," · PEP","")&amp;IF(R342="PROHIBIDO"," · Efectivo prohibido: no lo recibas (Art. 32)","")&amp;IF(AR342=1," · ⚠ Fecha fuera de orden","")&amp;IF(LEFT(I342,1)="⚠"," · ⚠ Cliente no registrado","")&amp;IF(D342=""," · ⚠ Falta la actividad","")&amp;IF(AND(LEFT(P342,5)="AVISO",W342="")," · Captura la cifra total con IVA para el Aviso","")&amp;IF(AND(ISNUMBER(W342),W342&lt;E342)," · ⚠ La cifra con IVA es menor que el monto sin IVA",""),4,400))</f>
        <v/>
      </c>
      <c r="T342" s="21"/>
      <c r="U342" s="20"/>
      <c r="V342" s="9" t="str">
        <f aca="false">IF(LEFT(P342,5)&lt;&gt;"AVISO","",IF(T342="Presentado",IF(AND(ISNUMBER(U342),ISNUMBER(Q342),U342&gt;Q342),"Presentado tarde","Presentado"),IF(NOT(ISNUMBER(Q342)),"Falta fecha",IF(Q342&lt;CONFIG!$B$6,"VENCIDO","Vence en "&amp;(Q342-CONFIG!$B$6)&amp;" días"))))</f>
        <v/>
      </c>
      <c r="W342" s="22"/>
      <c r="X342" s="21"/>
      <c r="AA342" s="0" t="str">
        <f aca="false">IF(AM342="","",INDEX(CATÁLOGO!$D$5:$D$39,AM342))</f>
        <v/>
      </c>
      <c r="AB342" s="0" t="str">
        <f aca="false">IF(AM342="","",INDEX(CATÁLOGO!$E$5:$E$39,AM342))</f>
        <v/>
      </c>
      <c r="AC342" s="0" t="str">
        <f aca="false">IF(AB342="","",IF(ISNUMBER(AB342),AB342*AV342,AB342))</f>
        <v/>
      </c>
      <c r="AD342" s="0" t="str">
        <f aca="false">IF(AM342="","",INDEX(CATÁLOGO!$F$5:$F$39,AM342))</f>
        <v/>
      </c>
      <c r="AE342" s="0" t="str">
        <f aca="false">IF(AD342="","",IF(ISNUMBER(AD342),AD342*AV342,AD342))</f>
        <v/>
      </c>
      <c r="AF342" s="0" t="str">
        <f aca="false">IF(AM342="","",INDEX(CATÁLOGO!$G$5:$G$39,AM342))</f>
        <v/>
      </c>
      <c r="AG342" s="0" t="str">
        <f aca="false">IF(AF342="","",IF(ISNUMBER(AF342),AF342*AV342,AF342))</f>
        <v/>
      </c>
      <c r="AH342" s="0" t="str">
        <f aca="false">IF(E342="","",C342&amp;"|"&amp;D342)</f>
        <v/>
      </c>
      <c r="AI342" s="27" t="n">
        <f aca="false">IF(M342&lt;&gt;"Sí",0,SUMPRODUCT(MAX(($AH$5:AH341=AH342)*($M$5:M341="Sí")*ROW($AH$5:AH341))))</f>
        <v>0</v>
      </c>
      <c r="AJ342" s="0" t="str">
        <f aca="false">IF(M342&lt;&gt;"Sí","",IF(AL342=1,B342,INDEX($AJ:$AJ,AI342)))</f>
        <v/>
      </c>
      <c r="AK342" s="0" t="str">
        <f aca="false">IF(M342&lt;&gt;"Sí","",IF(AL342=1,E342,INDEX($AK:$AK,AI342)+E342))</f>
        <v/>
      </c>
      <c r="AL342" s="0" t="str">
        <f aca="false">IF(M342&lt;&gt;"Sí","",IF(AI342=0,1,IF(INDEX($AN:$AN,AI342)=0,1,IF(B342&gt;=EDATE(INDEX($AJ:$AJ,AI342),6),1,0))))</f>
        <v/>
      </c>
      <c r="AM342" s="0" t="str">
        <f aca="false">IF(D342="","",IFERROR(MATCH(D342,CATÁLOGO!$C$5:$C$39,0),""))</f>
        <v/>
      </c>
      <c r="AN342" s="0" t="str">
        <f aca="false">IF(M342&lt;&gt;"Sí","",IF(AND(ISNUMBER(AE342),AK342&gt;=AE342),0,1))</f>
        <v/>
      </c>
      <c r="AO342" s="0" t="str">
        <f aca="false">IF(OR(E342="",C342="",NOT(ISNUMBER(B342))),"",SUMIFS($E$6:$E$505,$C$6:$C$505,C342,$B$6:$B$505,"&gt;="&amp;DATE(YEAR(B342),MONTH(B342),1),$B$6:$B$505,"&lt;"&amp;DATE(YEAR(B342),MONTH(B342)+1,1)))</f>
        <v/>
      </c>
      <c r="AP342" s="0" t="str">
        <f aca="false">IF(C342="","",IFERROR(INDEX(CLIENTES!$M$6:$M$305,MATCH(C342,CLIENTES!$A$6:$A$305,0)),""))</f>
        <v/>
      </c>
      <c r="AQ342" s="27" t="n">
        <f aca="false">IF(AND(ISNUMBER(AO342),ISNUMBER(AP342)),IF(AND(AP342&gt;0,AO342&gt;AP342),1,0),0)</f>
        <v>0</v>
      </c>
      <c r="AR342" s="27" t="n">
        <f aca="false">IF(NOT(ISNUMBER(B342)),0,IF(B342&lt;MAX($B$5:B341),1,0))</f>
        <v>0</v>
      </c>
      <c r="AS342" s="0" t="str">
        <f aca="false">IF(C342="","",IFERROR(INDEX(CLIENTES!$H$6:$H$305,MATCH(C342,CLIENTES!$A$6:$A$305,0)),""))</f>
        <v/>
      </c>
      <c r="AT342" s="0" t="str">
        <f aca="false">IF(AND(LEFT(P342,5)="AVISO",T342&lt;&gt;"Presentado",ISNUMBER(Q342)),Q342,"")</f>
        <v/>
      </c>
      <c r="AU342" s="27" t="n">
        <f aca="false">IF(AND(D342="XVI - Activos virtuales (PSAV): operación de intercambio/transferencia",M342="Sí",ISNUMBER(AE342)),IF(AK342&gt;=AE342,1,0),0)</f>
        <v>0</v>
      </c>
      <c r="AV342" s="30" t="n">
        <f aca="false">IF(NOT(ISNUMBER(B342)),CONFIG!$B$4,IFERROR(INDEX(CONFIG!$I$5:$I$14,MATCH(IF(MONTH(B342)=1,YEAR(B342)-1,YEAR(B342)),CONFIG!$H$5:$H$14,0)),CONFIG!$B$4))</f>
        <v>117.31</v>
      </c>
      <c r="AW342" s="27" t="n">
        <f aca="false">IF(AND(LEFT(D342,4)="I - ",ISNUMBER(B342),C342&lt;&gt;""),SUMIFS($E$6:$E$505,$C$6:$C$505,C342,$D$6:$D$505,D342,$B$6:$B$505,"&gt;"&amp;(B342-1),$B$6:$B$505,"&lt;="&amp;B342),0)</f>
        <v>0</v>
      </c>
      <c r="AX342" s="0" t="str">
        <f aca="false">IF(E342="","",IF(AD342="Siempre","AVISO (siempre)",IF(AD342="No aplica","Sin Aviso (sólo preparas: Ley 17 XI)",IF(NOT(ISNUMBER(AE342)),"",IF(AA342&lt;&gt;"ACUMULA",IF(E342&gt;=AE342,IF(AND(D342="XVI - Activos virtuales (PSAV): cobro de contraprestación (comisión) por el servicio",COUNTIFS($C$6:$C$505,C342,$B$6:$B$505,"&gt;="&amp;INT(B342),$B$6:$B$505,"&lt;"&amp;(INT(B342)+1),$AU$6:$AU$505,1)&gt;0),"En el Aviso del inciso a) (R 31 Bis)","AVISO"),"—"),IF(M342&lt;&gt;"Sí","—",IF(AK342&gt;=AE342,IF(AK342=E342,"AVISO","AVISO (acumulado)"),"Acumulando")))))))</f>
        <v/>
      </c>
    </row>
    <row r="343" customFormat="false" ht="15" hidden="false" customHeight="false" outlineLevel="0" collapsed="false">
      <c r="A343" s="9" t="str">
        <f aca="false">IF(E343="","",ROW()-5)</f>
        <v/>
      </c>
      <c r="B343" s="20"/>
      <c r="C343" s="21"/>
      <c r="D343" s="21"/>
      <c r="E343" s="22"/>
      <c r="F343" s="22"/>
      <c r="G343" s="21"/>
      <c r="H343" s="21"/>
      <c r="I343" s="9" t="str">
        <f aca="false">IF(C343="","",IFERROR(INDEX(CLIENTES!$B$6:$B$305,MATCH(C343,CLIENTES!$A$6:$A$305,0)),"⚠ ID no registrado"))</f>
        <v/>
      </c>
      <c r="J343" s="9" t="str">
        <f aca="false">IF(C343="","",IFERROR(INDEX(CLIENTES!$Z$6:$Z$305,MATCH(C343,CLIENTES!$A$6:$A$305,0)),""))</f>
        <v/>
      </c>
      <c r="K343" s="9" t="str">
        <f aca="false">IF(E343="","",IF(AB343="Siempre","Sí",IF(ISNUMBER(AC343),IF(E343&gt;=AC343,"Sí",IF(AW343&gt;=AC343,"Sí (serie 24 h)","No")),"")))</f>
        <v/>
      </c>
      <c r="L343" s="9" t="str">
        <f aca="false">IF(E343="","",AA343)</f>
        <v/>
      </c>
      <c r="M343" s="9" t="str">
        <f aca="false">IF(E343="","",IF(AA343&lt;&gt;"ACUMULA","No aplica",IF(LEFT(K343,2)="Sí","Sí","No")))</f>
        <v/>
      </c>
      <c r="N343" s="23" t="str">
        <f aca="false">IF(M343="Sí",AJ343,"")</f>
        <v/>
      </c>
      <c r="O343" s="24" t="str">
        <f aca="false">IF(M343="Sí",AK343,"")</f>
        <v/>
      </c>
      <c r="P343" s="25" t="str">
        <f aca="false">IF(AND(LEFT(D343,6)="XIV - ",LEFT(AX343,5)="AVISO"),"Pedimento (R 16): no va al SPPLD",AX343)</f>
        <v/>
      </c>
      <c r="Q343" s="23" t="str">
        <f aca="false">IF(LEFT(P343,5)="AVISO",IF(ISNUMBER(B343),DATE(YEAR(B343),MONTH(B343)+1,17),"Falta fecha"),"")</f>
        <v/>
      </c>
      <c r="R343" s="9" t="str">
        <f aca="false">IF(OR(F343="",F343=0),"",IF(ISNUMBER(AG343),IF(F343&gt;=AG343,"PROHIBIDO","Dentro del límite"),"No aplica"))</f>
        <v/>
      </c>
      <c r="S343" s="26" t="str">
        <f aca="false">IF(E343="","",MID(IF(AQ343=1," · Excede el perfil declarado","")&amp;IF(H343="Sí"," · Paga un tercero","")&amp;IF(J343="Alto"," · Cliente de riesgo alto: DDR (RCG 23 Ter 3 y 4)","")&amp;IF(AND(AS343&lt;&gt;"",AS343&lt;&gt;"No",AS343&lt;&gt;0)," · PEP","")&amp;IF(R343="PROHIBIDO"," · Efectivo prohibido: no lo recibas (Art. 32)","")&amp;IF(AR343=1," · ⚠ Fecha fuera de orden","")&amp;IF(LEFT(I343,1)="⚠"," · ⚠ Cliente no registrado","")&amp;IF(D343=""," · ⚠ Falta la actividad","")&amp;IF(AND(LEFT(P343,5)="AVISO",W343="")," · Captura la cifra total con IVA para el Aviso","")&amp;IF(AND(ISNUMBER(W343),W343&lt;E343)," · ⚠ La cifra con IVA es menor que el monto sin IVA",""),4,400))</f>
        <v/>
      </c>
      <c r="T343" s="21"/>
      <c r="U343" s="20"/>
      <c r="V343" s="9" t="str">
        <f aca="false">IF(LEFT(P343,5)&lt;&gt;"AVISO","",IF(T343="Presentado",IF(AND(ISNUMBER(U343),ISNUMBER(Q343),U343&gt;Q343),"Presentado tarde","Presentado"),IF(NOT(ISNUMBER(Q343)),"Falta fecha",IF(Q343&lt;CONFIG!$B$6,"VENCIDO","Vence en "&amp;(Q343-CONFIG!$B$6)&amp;" días"))))</f>
        <v/>
      </c>
      <c r="W343" s="22"/>
      <c r="X343" s="21"/>
      <c r="AA343" s="0" t="str">
        <f aca="false">IF(AM343="","",INDEX(CATÁLOGO!$D$5:$D$39,AM343))</f>
        <v/>
      </c>
      <c r="AB343" s="0" t="str">
        <f aca="false">IF(AM343="","",INDEX(CATÁLOGO!$E$5:$E$39,AM343))</f>
        <v/>
      </c>
      <c r="AC343" s="0" t="str">
        <f aca="false">IF(AB343="","",IF(ISNUMBER(AB343),AB343*AV343,AB343))</f>
        <v/>
      </c>
      <c r="AD343" s="0" t="str">
        <f aca="false">IF(AM343="","",INDEX(CATÁLOGO!$F$5:$F$39,AM343))</f>
        <v/>
      </c>
      <c r="AE343" s="0" t="str">
        <f aca="false">IF(AD343="","",IF(ISNUMBER(AD343),AD343*AV343,AD343))</f>
        <v/>
      </c>
      <c r="AF343" s="0" t="str">
        <f aca="false">IF(AM343="","",INDEX(CATÁLOGO!$G$5:$G$39,AM343))</f>
        <v/>
      </c>
      <c r="AG343" s="0" t="str">
        <f aca="false">IF(AF343="","",IF(ISNUMBER(AF343),AF343*AV343,AF343))</f>
        <v/>
      </c>
      <c r="AH343" s="0" t="str">
        <f aca="false">IF(E343="","",C343&amp;"|"&amp;D343)</f>
        <v/>
      </c>
      <c r="AI343" s="27" t="n">
        <f aca="false">IF(M343&lt;&gt;"Sí",0,SUMPRODUCT(MAX(($AH$5:AH342=AH343)*($M$5:M342="Sí")*ROW($AH$5:AH342))))</f>
        <v>0</v>
      </c>
      <c r="AJ343" s="0" t="str">
        <f aca="false">IF(M343&lt;&gt;"Sí","",IF(AL343=1,B343,INDEX($AJ:$AJ,AI343)))</f>
        <v/>
      </c>
      <c r="AK343" s="0" t="str">
        <f aca="false">IF(M343&lt;&gt;"Sí","",IF(AL343=1,E343,INDEX($AK:$AK,AI343)+E343))</f>
        <v/>
      </c>
      <c r="AL343" s="0" t="str">
        <f aca="false">IF(M343&lt;&gt;"Sí","",IF(AI343=0,1,IF(INDEX($AN:$AN,AI343)=0,1,IF(B343&gt;=EDATE(INDEX($AJ:$AJ,AI343),6),1,0))))</f>
        <v/>
      </c>
      <c r="AM343" s="0" t="str">
        <f aca="false">IF(D343="","",IFERROR(MATCH(D343,CATÁLOGO!$C$5:$C$39,0),""))</f>
        <v/>
      </c>
      <c r="AN343" s="0" t="str">
        <f aca="false">IF(M343&lt;&gt;"Sí","",IF(AND(ISNUMBER(AE343),AK343&gt;=AE343),0,1))</f>
        <v/>
      </c>
      <c r="AO343" s="0" t="str">
        <f aca="false">IF(OR(E343="",C343="",NOT(ISNUMBER(B343))),"",SUMIFS($E$6:$E$505,$C$6:$C$505,C343,$B$6:$B$505,"&gt;="&amp;DATE(YEAR(B343),MONTH(B343),1),$B$6:$B$505,"&lt;"&amp;DATE(YEAR(B343),MONTH(B343)+1,1)))</f>
        <v/>
      </c>
      <c r="AP343" s="0" t="str">
        <f aca="false">IF(C343="","",IFERROR(INDEX(CLIENTES!$M$6:$M$305,MATCH(C343,CLIENTES!$A$6:$A$305,0)),""))</f>
        <v/>
      </c>
      <c r="AQ343" s="27" t="n">
        <f aca="false">IF(AND(ISNUMBER(AO343),ISNUMBER(AP343)),IF(AND(AP343&gt;0,AO343&gt;AP343),1,0),0)</f>
        <v>0</v>
      </c>
      <c r="AR343" s="27" t="n">
        <f aca="false">IF(NOT(ISNUMBER(B343)),0,IF(B343&lt;MAX($B$5:B342),1,0))</f>
        <v>0</v>
      </c>
      <c r="AS343" s="0" t="str">
        <f aca="false">IF(C343="","",IFERROR(INDEX(CLIENTES!$H$6:$H$305,MATCH(C343,CLIENTES!$A$6:$A$305,0)),""))</f>
        <v/>
      </c>
      <c r="AT343" s="0" t="str">
        <f aca="false">IF(AND(LEFT(P343,5)="AVISO",T343&lt;&gt;"Presentado",ISNUMBER(Q343)),Q343,"")</f>
        <v/>
      </c>
      <c r="AU343" s="27" t="n">
        <f aca="false">IF(AND(D343="XVI - Activos virtuales (PSAV): operación de intercambio/transferencia",M343="Sí",ISNUMBER(AE343)),IF(AK343&gt;=AE343,1,0),0)</f>
        <v>0</v>
      </c>
      <c r="AV343" s="30" t="n">
        <f aca="false">IF(NOT(ISNUMBER(B343)),CONFIG!$B$4,IFERROR(INDEX(CONFIG!$I$5:$I$14,MATCH(IF(MONTH(B343)=1,YEAR(B343)-1,YEAR(B343)),CONFIG!$H$5:$H$14,0)),CONFIG!$B$4))</f>
        <v>117.31</v>
      </c>
      <c r="AW343" s="27" t="n">
        <f aca="false">IF(AND(LEFT(D343,4)="I - ",ISNUMBER(B343),C343&lt;&gt;""),SUMIFS($E$6:$E$505,$C$6:$C$505,C343,$D$6:$D$505,D343,$B$6:$B$505,"&gt;"&amp;(B343-1),$B$6:$B$505,"&lt;="&amp;B343),0)</f>
        <v>0</v>
      </c>
      <c r="AX343" s="0" t="str">
        <f aca="false">IF(E343="","",IF(AD343="Siempre","AVISO (siempre)",IF(AD343="No aplica","Sin Aviso (sólo preparas: Ley 17 XI)",IF(NOT(ISNUMBER(AE343)),"",IF(AA343&lt;&gt;"ACUMULA",IF(E343&gt;=AE343,IF(AND(D343="XVI - Activos virtuales (PSAV): cobro de contraprestación (comisión) por el servicio",COUNTIFS($C$6:$C$505,C343,$B$6:$B$505,"&gt;="&amp;INT(B343),$B$6:$B$505,"&lt;"&amp;(INT(B343)+1),$AU$6:$AU$505,1)&gt;0),"En el Aviso del inciso a) (R 31 Bis)","AVISO"),"—"),IF(M343&lt;&gt;"Sí","—",IF(AK343&gt;=AE343,IF(AK343=E343,"AVISO","AVISO (acumulado)"),"Acumulando")))))))</f>
        <v/>
      </c>
    </row>
    <row r="344" customFormat="false" ht="15" hidden="false" customHeight="false" outlineLevel="0" collapsed="false">
      <c r="A344" s="9" t="str">
        <f aca="false">IF(E344="","",ROW()-5)</f>
        <v/>
      </c>
      <c r="B344" s="20"/>
      <c r="C344" s="21"/>
      <c r="D344" s="21"/>
      <c r="E344" s="22"/>
      <c r="F344" s="22"/>
      <c r="G344" s="21"/>
      <c r="H344" s="21"/>
      <c r="I344" s="9" t="str">
        <f aca="false">IF(C344="","",IFERROR(INDEX(CLIENTES!$B$6:$B$305,MATCH(C344,CLIENTES!$A$6:$A$305,0)),"⚠ ID no registrado"))</f>
        <v/>
      </c>
      <c r="J344" s="9" t="str">
        <f aca="false">IF(C344="","",IFERROR(INDEX(CLIENTES!$Z$6:$Z$305,MATCH(C344,CLIENTES!$A$6:$A$305,0)),""))</f>
        <v/>
      </c>
      <c r="K344" s="9" t="str">
        <f aca="false">IF(E344="","",IF(AB344="Siempre","Sí",IF(ISNUMBER(AC344),IF(E344&gt;=AC344,"Sí",IF(AW344&gt;=AC344,"Sí (serie 24 h)","No")),"")))</f>
        <v/>
      </c>
      <c r="L344" s="9" t="str">
        <f aca="false">IF(E344="","",AA344)</f>
        <v/>
      </c>
      <c r="M344" s="9" t="str">
        <f aca="false">IF(E344="","",IF(AA344&lt;&gt;"ACUMULA","No aplica",IF(LEFT(K344,2)="Sí","Sí","No")))</f>
        <v/>
      </c>
      <c r="N344" s="23" t="str">
        <f aca="false">IF(M344="Sí",AJ344,"")</f>
        <v/>
      </c>
      <c r="O344" s="24" t="str">
        <f aca="false">IF(M344="Sí",AK344,"")</f>
        <v/>
      </c>
      <c r="P344" s="25" t="str">
        <f aca="false">IF(AND(LEFT(D344,6)="XIV - ",LEFT(AX344,5)="AVISO"),"Pedimento (R 16): no va al SPPLD",AX344)</f>
        <v/>
      </c>
      <c r="Q344" s="23" t="str">
        <f aca="false">IF(LEFT(P344,5)="AVISO",IF(ISNUMBER(B344),DATE(YEAR(B344),MONTH(B344)+1,17),"Falta fecha"),"")</f>
        <v/>
      </c>
      <c r="R344" s="9" t="str">
        <f aca="false">IF(OR(F344="",F344=0),"",IF(ISNUMBER(AG344),IF(F344&gt;=AG344,"PROHIBIDO","Dentro del límite"),"No aplica"))</f>
        <v/>
      </c>
      <c r="S344" s="26" t="str">
        <f aca="false">IF(E344="","",MID(IF(AQ344=1," · Excede el perfil declarado","")&amp;IF(H344="Sí"," · Paga un tercero","")&amp;IF(J344="Alto"," · Cliente de riesgo alto: DDR (RCG 23 Ter 3 y 4)","")&amp;IF(AND(AS344&lt;&gt;"",AS344&lt;&gt;"No",AS344&lt;&gt;0)," · PEP","")&amp;IF(R344="PROHIBIDO"," · Efectivo prohibido: no lo recibas (Art. 32)","")&amp;IF(AR344=1," · ⚠ Fecha fuera de orden","")&amp;IF(LEFT(I344,1)="⚠"," · ⚠ Cliente no registrado","")&amp;IF(D344=""," · ⚠ Falta la actividad","")&amp;IF(AND(LEFT(P344,5)="AVISO",W344="")," · Captura la cifra total con IVA para el Aviso","")&amp;IF(AND(ISNUMBER(W344),W344&lt;E344)," · ⚠ La cifra con IVA es menor que el monto sin IVA",""),4,400))</f>
        <v/>
      </c>
      <c r="T344" s="21"/>
      <c r="U344" s="20"/>
      <c r="V344" s="9" t="str">
        <f aca="false">IF(LEFT(P344,5)&lt;&gt;"AVISO","",IF(T344="Presentado",IF(AND(ISNUMBER(U344),ISNUMBER(Q344),U344&gt;Q344),"Presentado tarde","Presentado"),IF(NOT(ISNUMBER(Q344)),"Falta fecha",IF(Q344&lt;CONFIG!$B$6,"VENCIDO","Vence en "&amp;(Q344-CONFIG!$B$6)&amp;" días"))))</f>
        <v/>
      </c>
      <c r="W344" s="22"/>
      <c r="X344" s="21"/>
      <c r="AA344" s="0" t="str">
        <f aca="false">IF(AM344="","",INDEX(CATÁLOGO!$D$5:$D$39,AM344))</f>
        <v/>
      </c>
      <c r="AB344" s="0" t="str">
        <f aca="false">IF(AM344="","",INDEX(CATÁLOGO!$E$5:$E$39,AM344))</f>
        <v/>
      </c>
      <c r="AC344" s="0" t="str">
        <f aca="false">IF(AB344="","",IF(ISNUMBER(AB344),AB344*AV344,AB344))</f>
        <v/>
      </c>
      <c r="AD344" s="0" t="str">
        <f aca="false">IF(AM344="","",INDEX(CATÁLOGO!$F$5:$F$39,AM344))</f>
        <v/>
      </c>
      <c r="AE344" s="0" t="str">
        <f aca="false">IF(AD344="","",IF(ISNUMBER(AD344),AD344*AV344,AD344))</f>
        <v/>
      </c>
      <c r="AF344" s="0" t="str">
        <f aca="false">IF(AM344="","",INDEX(CATÁLOGO!$G$5:$G$39,AM344))</f>
        <v/>
      </c>
      <c r="AG344" s="0" t="str">
        <f aca="false">IF(AF344="","",IF(ISNUMBER(AF344),AF344*AV344,AF344))</f>
        <v/>
      </c>
      <c r="AH344" s="0" t="str">
        <f aca="false">IF(E344="","",C344&amp;"|"&amp;D344)</f>
        <v/>
      </c>
      <c r="AI344" s="27" t="n">
        <f aca="false">IF(M344&lt;&gt;"Sí",0,SUMPRODUCT(MAX(($AH$5:AH343=AH344)*($M$5:M343="Sí")*ROW($AH$5:AH343))))</f>
        <v>0</v>
      </c>
      <c r="AJ344" s="0" t="str">
        <f aca="false">IF(M344&lt;&gt;"Sí","",IF(AL344=1,B344,INDEX($AJ:$AJ,AI344)))</f>
        <v/>
      </c>
      <c r="AK344" s="0" t="str">
        <f aca="false">IF(M344&lt;&gt;"Sí","",IF(AL344=1,E344,INDEX($AK:$AK,AI344)+E344))</f>
        <v/>
      </c>
      <c r="AL344" s="0" t="str">
        <f aca="false">IF(M344&lt;&gt;"Sí","",IF(AI344=0,1,IF(INDEX($AN:$AN,AI344)=0,1,IF(B344&gt;=EDATE(INDEX($AJ:$AJ,AI344),6),1,0))))</f>
        <v/>
      </c>
      <c r="AM344" s="0" t="str">
        <f aca="false">IF(D344="","",IFERROR(MATCH(D344,CATÁLOGO!$C$5:$C$39,0),""))</f>
        <v/>
      </c>
      <c r="AN344" s="0" t="str">
        <f aca="false">IF(M344&lt;&gt;"Sí","",IF(AND(ISNUMBER(AE344),AK344&gt;=AE344),0,1))</f>
        <v/>
      </c>
      <c r="AO344" s="0" t="str">
        <f aca="false">IF(OR(E344="",C344="",NOT(ISNUMBER(B344))),"",SUMIFS($E$6:$E$505,$C$6:$C$505,C344,$B$6:$B$505,"&gt;="&amp;DATE(YEAR(B344),MONTH(B344),1),$B$6:$B$505,"&lt;"&amp;DATE(YEAR(B344),MONTH(B344)+1,1)))</f>
        <v/>
      </c>
      <c r="AP344" s="0" t="str">
        <f aca="false">IF(C344="","",IFERROR(INDEX(CLIENTES!$M$6:$M$305,MATCH(C344,CLIENTES!$A$6:$A$305,0)),""))</f>
        <v/>
      </c>
      <c r="AQ344" s="27" t="n">
        <f aca="false">IF(AND(ISNUMBER(AO344),ISNUMBER(AP344)),IF(AND(AP344&gt;0,AO344&gt;AP344),1,0),0)</f>
        <v>0</v>
      </c>
      <c r="AR344" s="27" t="n">
        <f aca="false">IF(NOT(ISNUMBER(B344)),0,IF(B344&lt;MAX($B$5:B343),1,0))</f>
        <v>0</v>
      </c>
      <c r="AS344" s="0" t="str">
        <f aca="false">IF(C344="","",IFERROR(INDEX(CLIENTES!$H$6:$H$305,MATCH(C344,CLIENTES!$A$6:$A$305,0)),""))</f>
        <v/>
      </c>
      <c r="AT344" s="0" t="str">
        <f aca="false">IF(AND(LEFT(P344,5)="AVISO",T344&lt;&gt;"Presentado",ISNUMBER(Q344)),Q344,"")</f>
        <v/>
      </c>
      <c r="AU344" s="27" t="n">
        <f aca="false">IF(AND(D344="XVI - Activos virtuales (PSAV): operación de intercambio/transferencia",M344="Sí",ISNUMBER(AE344)),IF(AK344&gt;=AE344,1,0),0)</f>
        <v>0</v>
      </c>
      <c r="AV344" s="30" t="n">
        <f aca="false">IF(NOT(ISNUMBER(B344)),CONFIG!$B$4,IFERROR(INDEX(CONFIG!$I$5:$I$14,MATCH(IF(MONTH(B344)=1,YEAR(B344)-1,YEAR(B344)),CONFIG!$H$5:$H$14,0)),CONFIG!$B$4))</f>
        <v>117.31</v>
      </c>
      <c r="AW344" s="27" t="n">
        <f aca="false">IF(AND(LEFT(D344,4)="I - ",ISNUMBER(B344),C344&lt;&gt;""),SUMIFS($E$6:$E$505,$C$6:$C$505,C344,$D$6:$D$505,D344,$B$6:$B$505,"&gt;"&amp;(B344-1),$B$6:$B$505,"&lt;="&amp;B344),0)</f>
        <v>0</v>
      </c>
      <c r="AX344" s="0" t="str">
        <f aca="false">IF(E344="","",IF(AD344="Siempre","AVISO (siempre)",IF(AD344="No aplica","Sin Aviso (sólo preparas: Ley 17 XI)",IF(NOT(ISNUMBER(AE344)),"",IF(AA344&lt;&gt;"ACUMULA",IF(E344&gt;=AE344,IF(AND(D344="XVI - Activos virtuales (PSAV): cobro de contraprestación (comisión) por el servicio",COUNTIFS($C$6:$C$505,C344,$B$6:$B$505,"&gt;="&amp;INT(B344),$B$6:$B$505,"&lt;"&amp;(INT(B344)+1),$AU$6:$AU$505,1)&gt;0),"En el Aviso del inciso a) (R 31 Bis)","AVISO"),"—"),IF(M344&lt;&gt;"Sí","—",IF(AK344&gt;=AE344,IF(AK344=E344,"AVISO","AVISO (acumulado)"),"Acumulando")))))))</f>
        <v/>
      </c>
    </row>
    <row r="345" customFormat="false" ht="15" hidden="false" customHeight="false" outlineLevel="0" collapsed="false">
      <c r="A345" s="9" t="str">
        <f aca="false">IF(E345="","",ROW()-5)</f>
        <v/>
      </c>
      <c r="B345" s="20"/>
      <c r="C345" s="21"/>
      <c r="D345" s="21"/>
      <c r="E345" s="22"/>
      <c r="F345" s="22"/>
      <c r="G345" s="21"/>
      <c r="H345" s="21"/>
      <c r="I345" s="9" t="str">
        <f aca="false">IF(C345="","",IFERROR(INDEX(CLIENTES!$B$6:$B$305,MATCH(C345,CLIENTES!$A$6:$A$305,0)),"⚠ ID no registrado"))</f>
        <v/>
      </c>
      <c r="J345" s="9" t="str">
        <f aca="false">IF(C345="","",IFERROR(INDEX(CLIENTES!$Z$6:$Z$305,MATCH(C345,CLIENTES!$A$6:$A$305,0)),""))</f>
        <v/>
      </c>
      <c r="K345" s="9" t="str">
        <f aca="false">IF(E345="","",IF(AB345="Siempre","Sí",IF(ISNUMBER(AC345),IF(E345&gt;=AC345,"Sí",IF(AW345&gt;=AC345,"Sí (serie 24 h)","No")),"")))</f>
        <v/>
      </c>
      <c r="L345" s="9" t="str">
        <f aca="false">IF(E345="","",AA345)</f>
        <v/>
      </c>
      <c r="M345" s="9" t="str">
        <f aca="false">IF(E345="","",IF(AA345&lt;&gt;"ACUMULA","No aplica",IF(LEFT(K345,2)="Sí","Sí","No")))</f>
        <v/>
      </c>
      <c r="N345" s="23" t="str">
        <f aca="false">IF(M345="Sí",AJ345,"")</f>
        <v/>
      </c>
      <c r="O345" s="24" t="str">
        <f aca="false">IF(M345="Sí",AK345,"")</f>
        <v/>
      </c>
      <c r="P345" s="25" t="str">
        <f aca="false">IF(AND(LEFT(D345,6)="XIV - ",LEFT(AX345,5)="AVISO"),"Pedimento (R 16): no va al SPPLD",AX345)</f>
        <v/>
      </c>
      <c r="Q345" s="23" t="str">
        <f aca="false">IF(LEFT(P345,5)="AVISO",IF(ISNUMBER(B345),DATE(YEAR(B345),MONTH(B345)+1,17),"Falta fecha"),"")</f>
        <v/>
      </c>
      <c r="R345" s="9" t="str">
        <f aca="false">IF(OR(F345="",F345=0),"",IF(ISNUMBER(AG345),IF(F345&gt;=AG345,"PROHIBIDO","Dentro del límite"),"No aplica"))</f>
        <v/>
      </c>
      <c r="S345" s="26" t="str">
        <f aca="false">IF(E345="","",MID(IF(AQ345=1," · Excede el perfil declarado","")&amp;IF(H345="Sí"," · Paga un tercero","")&amp;IF(J345="Alto"," · Cliente de riesgo alto: DDR (RCG 23 Ter 3 y 4)","")&amp;IF(AND(AS345&lt;&gt;"",AS345&lt;&gt;"No",AS345&lt;&gt;0)," · PEP","")&amp;IF(R345="PROHIBIDO"," · Efectivo prohibido: no lo recibas (Art. 32)","")&amp;IF(AR345=1," · ⚠ Fecha fuera de orden","")&amp;IF(LEFT(I345,1)="⚠"," · ⚠ Cliente no registrado","")&amp;IF(D345=""," · ⚠ Falta la actividad","")&amp;IF(AND(LEFT(P345,5)="AVISO",W345="")," · Captura la cifra total con IVA para el Aviso","")&amp;IF(AND(ISNUMBER(W345),W345&lt;E345)," · ⚠ La cifra con IVA es menor que el monto sin IVA",""),4,400))</f>
        <v/>
      </c>
      <c r="T345" s="21"/>
      <c r="U345" s="20"/>
      <c r="V345" s="9" t="str">
        <f aca="false">IF(LEFT(P345,5)&lt;&gt;"AVISO","",IF(T345="Presentado",IF(AND(ISNUMBER(U345),ISNUMBER(Q345),U345&gt;Q345),"Presentado tarde","Presentado"),IF(NOT(ISNUMBER(Q345)),"Falta fecha",IF(Q345&lt;CONFIG!$B$6,"VENCIDO","Vence en "&amp;(Q345-CONFIG!$B$6)&amp;" días"))))</f>
        <v/>
      </c>
      <c r="W345" s="22"/>
      <c r="X345" s="21"/>
      <c r="AA345" s="0" t="str">
        <f aca="false">IF(AM345="","",INDEX(CATÁLOGO!$D$5:$D$39,AM345))</f>
        <v/>
      </c>
      <c r="AB345" s="0" t="str">
        <f aca="false">IF(AM345="","",INDEX(CATÁLOGO!$E$5:$E$39,AM345))</f>
        <v/>
      </c>
      <c r="AC345" s="0" t="str">
        <f aca="false">IF(AB345="","",IF(ISNUMBER(AB345),AB345*AV345,AB345))</f>
        <v/>
      </c>
      <c r="AD345" s="0" t="str">
        <f aca="false">IF(AM345="","",INDEX(CATÁLOGO!$F$5:$F$39,AM345))</f>
        <v/>
      </c>
      <c r="AE345" s="0" t="str">
        <f aca="false">IF(AD345="","",IF(ISNUMBER(AD345),AD345*AV345,AD345))</f>
        <v/>
      </c>
      <c r="AF345" s="0" t="str">
        <f aca="false">IF(AM345="","",INDEX(CATÁLOGO!$G$5:$G$39,AM345))</f>
        <v/>
      </c>
      <c r="AG345" s="0" t="str">
        <f aca="false">IF(AF345="","",IF(ISNUMBER(AF345),AF345*AV345,AF345))</f>
        <v/>
      </c>
      <c r="AH345" s="0" t="str">
        <f aca="false">IF(E345="","",C345&amp;"|"&amp;D345)</f>
        <v/>
      </c>
      <c r="AI345" s="27" t="n">
        <f aca="false">IF(M345&lt;&gt;"Sí",0,SUMPRODUCT(MAX(($AH$5:AH344=AH345)*($M$5:M344="Sí")*ROW($AH$5:AH344))))</f>
        <v>0</v>
      </c>
      <c r="AJ345" s="0" t="str">
        <f aca="false">IF(M345&lt;&gt;"Sí","",IF(AL345=1,B345,INDEX($AJ:$AJ,AI345)))</f>
        <v/>
      </c>
      <c r="AK345" s="0" t="str">
        <f aca="false">IF(M345&lt;&gt;"Sí","",IF(AL345=1,E345,INDEX($AK:$AK,AI345)+E345))</f>
        <v/>
      </c>
      <c r="AL345" s="0" t="str">
        <f aca="false">IF(M345&lt;&gt;"Sí","",IF(AI345=0,1,IF(INDEX($AN:$AN,AI345)=0,1,IF(B345&gt;=EDATE(INDEX($AJ:$AJ,AI345),6),1,0))))</f>
        <v/>
      </c>
      <c r="AM345" s="0" t="str">
        <f aca="false">IF(D345="","",IFERROR(MATCH(D345,CATÁLOGO!$C$5:$C$39,0),""))</f>
        <v/>
      </c>
      <c r="AN345" s="0" t="str">
        <f aca="false">IF(M345&lt;&gt;"Sí","",IF(AND(ISNUMBER(AE345),AK345&gt;=AE345),0,1))</f>
        <v/>
      </c>
      <c r="AO345" s="0" t="str">
        <f aca="false">IF(OR(E345="",C345="",NOT(ISNUMBER(B345))),"",SUMIFS($E$6:$E$505,$C$6:$C$505,C345,$B$6:$B$505,"&gt;="&amp;DATE(YEAR(B345),MONTH(B345),1),$B$6:$B$505,"&lt;"&amp;DATE(YEAR(B345),MONTH(B345)+1,1)))</f>
        <v/>
      </c>
      <c r="AP345" s="0" t="str">
        <f aca="false">IF(C345="","",IFERROR(INDEX(CLIENTES!$M$6:$M$305,MATCH(C345,CLIENTES!$A$6:$A$305,0)),""))</f>
        <v/>
      </c>
      <c r="AQ345" s="27" t="n">
        <f aca="false">IF(AND(ISNUMBER(AO345),ISNUMBER(AP345)),IF(AND(AP345&gt;0,AO345&gt;AP345),1,0),0)</f>
        <v>0</v>
      </c>
      <c r="AR345" s="27" t="n">
        <f aca="false">IF(NOT(ISNUMBER(B345)),0,IF(B345&lt;MAX($B$5:B344),1,0))</f>
        <v>0</v>
      </c>
      <c r="AS345" s="0" t="str">
        <f aca="false">IF(C345="","",IFERROR(INDEX(CLIENTES!$H$6:$H$305,MATCH(C345,CLIENTES!$A$6:$A$305,0)),""))</f>
        <v/>
      </c>
      <c r="AT345" s="0" t="str">
        <f aca="false">IF(AND(LEFT(P345,5)="AVISO",T345&lt;&gt;"Presentado",ISNUMBER(Q345)),Q345,"")</f>
        <v/>
      </c>
      <c r="AU345" s="27" t="n">
        <f aca="false">IF(AND(D345="XVI - Activos virtuales (PSAV): operación de intercambio/transferencia",M345="Sí",ISNUMBER(AE345)),IF(AK345&gt;=AE345,1,0),0)</f>
        <v>0</v>
      </c>
      <c r="AV345" s="30" t="n">
        <f aca="false">IF(NOT(ISNUMBER(B345)),CONFIG!$B$4,IFERROR(INDEX(CONFIG!$I$5:$I$14,MATCH(IF(MONTH(B345)=1,YEAR(B345)-1,YEAR(B345)),CONFIG!$H$5:$H$14,0)),CONFIG!$B$4))</f>
        <v>117.31</v>
      </c>
      <c r="AW345" s="27" t="n">
        <f aca="false">IF(AND(LEFT(D345,4)="I - ",ISNUMBER(B345),C345&lt;&gt;""),SUMIFS($E$6:$E$505,$C$6:$C$505,C345,$D$6:$D$505,D345,$B$6:$B$505,"&gt;"&amp;(B345-1),$B$6:$B$505,"&lt;="&amp;B345),0)</f>
        <v>0</v>
      </c>
      <c r="AX345" s="0" t="str">
        <f aca="false">IF(E345="","",IF(AD345="Siempre","AVISO (siempre)",IF(AD345="No aplica","Sin Aviso (sólo preparas: Ley 17 XI)",IF(NOT(ISNUMBER(AE345)),"",IF(AA345&lt;&gt;"ACUMULA",IF(E345&gt;=AE345,IF(AND(D345="XVI - Activos virtuales (PSAV): cobro de contraprestación (comisión) por el servicio",COUNTIFS($C$6:$C$505,C345,$B$6:$B$505,"&gt;="&amp;INT(B345),$B$6:$B$505,"&lt;"&amp;(INT(B345)+1),$AU$6:$AU$505,1)&gt;0),"En el Aviso del inciso a) (R 31 Bis)","AVISO"),"—"),IF(M345&lt;&gt;"Sí","—",IF(AK345&gt;=AE345,IF(AK345=E345,"AVISO","AVISO (acumulado)"),"Acumulando")))))))</f>
        <v/>
      </c>
    </row>
    <row r="346" customFormat="false" ht="15" hidden="false" customHeight="false" outlineLevel="0" collapsed="false">
      <c r="A346" s="9" t="str">
        <f aca="false">IF(E346="","",ROW()-5)</f>
        <v/>
      </c>
      <c r="B346" s="20"/>
      <c r="C346" s="21"/>
      <c r="D346" s="21"/>
      <c r="E346" s="22"/>
      <c r="F346" s="22"/>
      <c r="G346" s="21"/>
      <c r="H346" s="21"/>
      <c r="I346" s="9" t="str">
        <f aca="false">IF(C346="","",IFERROR(INDEX(CLIENTES!$B$6:$B$305,MATCH(C346,CLIENTES!$A$6:$A$305,0)),"⚠ ID no registrado"))</f>
        <v/>
      </c>
      <c r="J346" s="9" t="str">
        <f aca="false">IF(C346="","",IFERROR(INDEX(CLIENTES!$Z$6:$Z$305,MATCH(C346,CLIENTES!$A$6:$A$305,0)),""))</f>
        <v/>
      </c>
      <c r="K346" s="9" t="str">
        <f aca="false">IF(E346="","",IF(AB346="Siempre","Sí",IF(ISNUMBER(AC346),IF(E346&gt;=AC346,"Sí",IF(AW346&gt;=AC346,"Sí (serie 24 h)","No")),"")))</f>
        <v/>
      </c>
      <c r="L346" s="9" t="str">
        <f aca="false">IF(E346="","",AA346)</f>
        <v/>
      </c>
      <c r="M346" s="9" t="str">
        <f aca="false">IF(E346="","",IF(AA346&lt;&gt;"ACUMULA","No aplica",IF(LEFT(K346,2)="Sí","Sí","No")))</f>
        <v/>
      </c>
      <c r="N346" s="23" t="str">
        <f aca="false">IF(M346="Sí",AJ346,"")</f>
        <v/>
      </c>
      <c r="O346" s="24" t="str">
        <f aca="false">IF(M346="Sí",AK346,"")</f>
        <v/>
      </c>
      <c r="P346" s="25" t="str">
        <f aca="false">IF(AND(LEFT(D346,6)="XIV - ",LEFT(AX346,5)="AVISO"),"Pedimento (R 16): no va al SPPLD",AX346)</f>
        <v/>
      </c>
      <c r="Q346" s="23" t="str">
        <f aca="false">IF(LEFT(P346,5)="AVISO",IF(ISNUMBER(B346),DATE(YEAR(B346),MONTH(B346)+1,17),"Falta fecha"),"")</f>
        <v/>
      </c>
      <c r="R346" s="9" t="str">
        <f aca="false">IF(OR(F346="",F346=0),"",IF(ISNUMBER(AG346),IF(F346&gt;=AG346,"PROHIBIDO","Dentro del límite"),"No aplica"))</f>
        <v/>
      </c>
      <c r="S346" s="26" t="str">
        <f aca="false">IF(E346="","",MID(IF(AQ346=1," · Excede el perfil declarado","")&amp;IF(H346="Sí"," · Paga un tercero","")&amp;IF(J346="Alto"," · Cliente de riesgo alto: DDR (RCG 23 Ter 3 y 4)","")&amp;IF(AND(AS346&lt;&gt;"",AS346&lt;&gt;"No",AS346&lt;&gt;0)," · PEP","")&amp;IF(R346="PROHIBIDO"," · Efectivo prohibido: no lo recibas (Art. 32)","")&amp;IF(AR346=1," · ⚠ Fecha fuera de orden","")&amp;IF(LEFT(I346,1)="⚠"," · ⚠ Cliente no registrado","")&amp;IF(D346=""," · ⚠ Falta la actividad","")&amp;IF(AND(LEFT(P346,5)="AVISO",W346="")," · Captura la cifra total con IVA para el Aviso","")&amp;IF(AND(ISNUMBER(W346),W346&lt;E346)," · ⚠ La cifra con IVA es menor que el monto sin IVA",""),4,400))</f>
        <v/>
      </c>
      <c r="T346" s="21"/>
      <c r="U346" s="20"/>
      <c r="V346" s="9" t="str">
        <f aca="false">IF(LEFT(P346,5)&lt;&gt;"AVISO","",IF(T346="Presentado",IF(AND(ISNUMBER(U346),ISNUMBER(Q346),U346&gt;Q346),"Presentado tarde","Presentado"),IF(NOT(ISNUMBER(Q346)),"Falta fecha",IF(Q346&lt;CONFIG!$B$6,"VENCIDO","Vence en "&amp;(Q346-CONFIG!$B$6)&amp;" días"))))</f>
        <v/>
      </c>
      <c r="W346" s="22"/>
      <c r="X346" s="21"/>
      <c r="AA346" s="0" t="str">
        <f aca="false">IF(AM346="","",INDEX(CATÁLOGO!$D$5:$D$39,AM346))</f>
        <v/>
      </c>
      <c r="AB346" s="0" t="str">
        <f aca="false">IF(AM346="","",INDEX(CATÁLOGO!$E$5:$E$39,AM346))</f>
        <v/>
      </c>
      <c r="AC346" s="0" t="str">
        <f aca="false">IF(AB346="","",IF(ISNUMBER(AB346),AB346*AV346,AB346))</f>
        <v/>
      </c>
      <c r="AD346" s="0" t="str">
        <f aca="false">IF(AM346="","",INDEX(CATÁLOGO!$F$5:$F$39,AM346))</f>
        <v/>
      </c>
      <c r="AE346" s="0" t="str">
        <f aca="false">IF(AD346="","",IF(ISNUMBER(AD346),AD346*AV346,AD346))</f>
        <v/>
      </c>
      <c r="AF346" s="0" t="str">
        <f aca="false">IF(AM346="","",INDEX(CATÁLOGO!$G$5:$G$39,AM346))</f>
        <v/>
      </c>
      <c r="AG346" s="0" t="str">
        <f aca="false">IF(AF346="","",IF(ISNUMBER(AF346),AF346*AV346,AF346))</f>
        <v/>
      </c>
      <c r="AH346" s="0" t="str">
        <f aca="false">IF(E346="","",C346&amp;"|"&amp;D346)</f>
        <v/>
      </c>
      <c r="AI346" s="27" t="n">
        <f aca="false">IF(M346&lt;&gt;"Sí",0,SUMPRODUCT(MAX(($AH$5:AH345=AH346)*($M$5:M345="Sí")*ROW($AH$5:AH345))))</f>
        <v>0</v>
      </c>
      <c r="AJ346" s="0" t="str">
        <f aca="false">IF(M346&lt;&gt;"Sí","",IF(AL346=1,B346,INDEX($AJ:$AJ,AI346)))</f>
        <v/>
      </c>
      <c r="AK346" s="0" t="str">
        <f aca="false">IF(M346&lt;&gt;"Sí","",IF(AL346=1,E346,INDEX($AK:$AK,AI346)+E346))</f>
        <v/>
      </c>
      <c r="AL346" s="0" t="str">
        <f aca="false">IF(M346&lt;&gt;"Sí","",IF(AI346=0,1,IF(INDEX($AN:$AN,AI346)=0,1,IF(B346&gt;=EDATE(INDEX($AJ:$AJ,AI346),6),1,0))))</f>
        <v/>
      </c>
      <c r="AM346" s="0" t="str">
        <f aca="false">IF(D346="","",IFERROR(MATCH(D346,CATÁLOGO!$C$5:$C$39,0),""))</f>
        <v/>
      </c>
      <c r="AN346" s="0" t="str">
        <f aca="false">IF(M346&lt;&gt;"Sí","",IF(AND(ISNUMBER(AE346),AK346&gt;=AE346),0,1))</f>
        <v/>
      </c>
      <c r="AO346" s="0" t="str">
        <f aca="false">IF(OR(E346="",C346="",NOT(ISNUMBER(B346))),"",SUMIFS($E$6:$E$505,$C$6:$C$505,C346,$B$6:$B$505,"&gt;="&amp;DATE(YEAR(B346),MONTH(B346),1),$B$6:$B$505,"&lt;"&amp;DATE(YEAR(B346),MONTH(B346)+1,1)))</f>
        <v/>
      </c>
      <c r="AP346" s="0" t="str">
        <f aca="false">IF(C346="","",IFERROR(INDEX(CLIENTES!$M$6:$M$305,MATCH(C346,CLIENTES!$A$6:$A$305,0)),""))</f>
        <v/>
      </c>
      <c r="AQ346" s="27" t="n">
        <f aca="false">IF(AND(ISNUMBER(AO346),ISNUMBER(AP346)),IF(AND(AP346&gt;0,AO346&gt;AP346),1,0),0)</f>
        <v>0</v>
      </c>
      <c r="AR346" s="27" t="n">
        <f aca="false">IF(NOT(ISNUMBER(B346)),0,IF(B346&lt;MAX($B$5:B345),1,0))</f>
        <v>0</v>
      </c>
      <c r="AS346" s="0" t="str">
        <f aca="false">IF(C346="","",IFERROR(INDEX(CLIENTES!$H$6:$H$305,MATCH(C346,CLIENTES!$A$6:$A$305,0)),""))</f>
        <v/>
      </c>
      <c r="AT346" s="0" t="str">
        <f aca="false">IF(AND(LEFT(P346,5)="AVISO",T346&lt;&gt;"Presentado",ISNUMBER(Q346)),Q346,"")</f>
        <v/>
      </c>
      <c r="AU346" s="27" t="n">
        <f aca="false">IF(AND(D346="XVI - Activos virtuales (PSAV): operación de intercambio/transferencia",M346="Sí",ISNUMBER(AE346)),IF(AK346&gt;=AE346,1,0),0)</f>
        <v>0</v>
      </c>
      <c r="AV346" s="30" t="n">
        <f aca="false">IF(NOT(ISNUMBER(B346)),CONFIG!$B$4,IFERROR(INDEX(CONFIG!$I$5:$I$14,MATCH(IF(MONTH(B346)=1,YEAR(B346)-1,YEAR(B346)),CONFIG!$H$5:$H$14,0)),CONFIG!$B$4))</f>
        <v>117.31</v>
      </c>
      <c r="AW346" s="27" t="n">
        <f aca="false">IF(AND(LEFT(D346,4)="I - ",ISNUMBER(B346),C346&lt;&gt;""),SUMIFS($E$6:$E$505,$C$6:$C$505,C346,$D$6:$D$505,D346,$B$6:$B$505,"&gt;"&amp;(B346-1),$B$6:$B$505,"&lt;="&amp;B346),0)</f>
        <v>0</v>
      </c>
      <c r="AX346" s="0" t="str">
        <f aca="false">IF(E346="","",IF(AD346="Siempre","AVISO (siempre)",IF(AD346="No aplica","Sin Aviso (sólo preparas: Ley 17 XI)",IF(NOT(ISNUMBER(AE346)),"",IF(AA346&lt;&gt;"ACUMULA",IF(E346&gt;=AE346,IF(AND(D346="XVI - Activos virtuales (PSAV): cobro de contraprestación (comisión) por el servicio",COUNTIFS($C$6:$C$505,C346,$B$6:$B$505,"&gt;="&amp;INT(B346),$B$6:$B$505,"&lt;"&amp;(INT(B346)+1),$AU$6:$AU$505,1)&gt;0),"En el Aviso del inciso a) (R 31 Bis)","AVISO"),"—"),IF(M346&lt;&gt;"Sí","—",IF(AK346&gt;=AE346,IF(AK346=E346,"AVISO","AVISO (acumulado)"),"Acumulando")))))))</f>
        <v/>
      </c>
    </row>
    <row r="347" customFormat="false" ht="15" hidden="false" customHeight="false" outlineLevel="0" collapsed="false">
      <c r="A347" s="9" t="str">
        <f aca="false">IF(E347="","",ROW()-5)</f>
        <v/>
      </c>
      <c r="B347" s="20"/>
      <c r="C347" s="21"/>
      <c r="D347" s="21"/>
      <c r="E347" s="22"/>
      <c r="F347" s="22"/>
      <c r="G347" s="21"/>
      <c r="H347" s="21"/>
      <c r="I347" s="9" t="str">
        <f aca="false">IF(C347="","",IFERROR(INDEX(CLIENTES!$B$6:$B$305,MATCH(C347,CLIENTES!$A$6:$A$305,0)),"⚠ ID no registrado"))</f>
        <v/>
      </c>
      <c r="J347" s="9" t="str">
        <f aca="false">IF(C347="","",IFERROR(INDEX(CLIENTES!$Z$6:$Z$305,MATCH(C347,CLIENTES!$A$6:$A$305,0)),""))</f>
        <v/>
      </c>
      <c r="K347" s="9" t="str">
        <f aca="false">IF(E347="","",IF(AB347="Siempre","Sí",IF(ISNUMBER(AC347),IF(E347&gt;=AC347,"Sí",IF(AW347&gt;=AC347,"Sí (serie 24 h)","No")),"")))</f>
        <v/>
      </c>
      <c r="L347" s="9" t="str">
        <f aca="false">IF(E347="","",AA347)</f>
        <v/>
      </c>
      <c r="M347" s="9" t="str">
        <f aca="false">IF(E347="","",IF(AA347&lt;&gt;"ACUMULA","No aplica",IF(LEFT(K347,2)="Sí","Sí","No")))</f>
        <v/>
      </c>
      <c r="N347" s="23" t="str">
        <f aca="false">IF(M347="Sí",AJ347,"")</f>
        <v/>
      </c>
      <c r="O347" s="24" t="str">
        <f aca="false">IF(M347="Sí",AK347,"")</f>
        <v/>
      </c>
      <c r="P347" s="25" t="str">
        <f aca="false">IF(AND(LEFT(D347,6)="XIV - ",LEFT(AX347,5)="AVISO"),"Pedimento (R 16): no va al SPPLD",AX347)</f>
        <v/>
      </c>
      <c r="Q347" s="23" t="str">
        <f aca="false">IF(LEFT(P347,5)="AVISO",IF(ISNUMBER(B347),DATE(YEAR(B347),MONTH(B347)+1,17),"Falta fecha"),"")</f>
        <v/>
      </c>
      <c r="R347" s="9" t="str">
        <f aca="false">IF(OR(F347="",F347=0),"",IF(ISNUMBER(AG347),IF(F347&gt;=AG347,"PROHIBIDO","Dentro del límite"),"No aplica"))</f>
        <v/>
      </c>
      <c r="S347" s="26" t="str">
        <f aca="false">IF(E347="","",MID(IF(AQ347=1," · Excede el perfil declarado","")&amp;IF(H347="Sí"," · Paga un tercero","")&amp;IF(J347="Alto"," · Cliente de riesgo alto: DDR (RCG 23 Ter 3 y 4)","")&amp;IF(AND(AS347&lt;&gt;"",AS347&lt;&gt;"No",AS347&lt;&gt;0)," · PEP","")&amp;IF(R347="PROHIBIDO"," · Efectivo prohibido: no lo recibas (Art. 32)","")&amp;IF(AR347=1," · ⚠ Fecha fuera de orden","")&amp;IF(LEFT(I347,1)="⚠"," · ⚠ Cliente no registrado","")&amp;IF(D347=""," · ⚠ Falta la actividad","")&amp;IF(AND(LEFT(P347,5)="AVISO",W347="")," · Captura la cifra total con IVA para el Aviso","")&amp;IF(AND(ISNUMBER(W347),W347&lt;E347)," · ⚠ La cifra con IVA es menor que el monto sin IVA",""),4,400))</f>
        <v/>
      </c>
      <c r="T347" s="21"/>
      <c r="U347" s="20"/>
      <c r="V347" s="9" t="str">
        <f aca="false">IF(LEFT(P347,5)&lt;&gt;"AVISO","",IF(T347="Presentado",IF(AND(ISNUMBER(U347),ISNUMBER(Q347),U347&gt;Q347),"Presentado tarde","Presentado"),IF(NOT(ISNUMBER(Q347)),"Falta fecha",IF(Q347&lt;CONFIG!$B$6,"VENCIDO","Vence en "&amp;(Q347-CONFIG!$B$6)&amp;" días"))))</f>
        <v/>
      </c>
      <c r="W347" s="22"/>
      <c r="X347" s="21"/>
      <c r="AA347" s="0" t="str">
        <f aca="false">IF(AM347="","",INDEX(CATÁLOGO!$D$5:$D$39,AM347))</f>
        <v/>
      </c>
      <c r="AB347" s="0" t="str">
        <f aca="false">IF(AM347="","",INDEX(CATÁLOGO!$E$5:$E$39,AM347))</f>
        <v/>
      </c>
      <c r="AC347" s="0" t="str">
        <f aca="false">IF(AB347="","",IF(ISNUMBER(AB347),AB347*AV347,AB347))</f>
        <v/>
      </c>
      <c r="AD347" s="0" t="str">
        <f aca="false">IF(AM347="","",INDEX(CATÁLOGO!$F$5:$F$39,AM347))</f>
        <v/>
      </c>
      <c r="AE347" s="0" t="str">
        <f aca="false">IF(AD347="","",IF(ISNUMBER(AD347),AD347*AV347,AD347))</f>
        <v/>
      </c>
      <c r="AF347" s="0" t="str">
        <f aca="false">IF(AM347="","",INDEX(CATÁLOGO!$G$5:$G$39,AM347))</f>
        <v/>
      </c>
      <c r="AG347" s="0" t="str">
        <f aca="false">IF(AF347="","",IF(ISNUMBER(AF347),AF347*AV347,AF347))</f>
        <v/>
      </c>
      <c r="AH347" s="0" t="str">
        <f aca="false">IF(E347="","",C347&amp;"|"&amp;D347)</f>
        <v/>
      </c>
      <c r="AI347" s="27" t="n">
        <f aca="false">IF(M347&lt;&gt;"Sí",0,SUMPRODUCT(MAX(($AH$5:AH346=AH347)*($M$5:M346="Sí")*ROW($AH$5:AH346))))</f>
        <v>0</v>
      </c>
      <c r="AJ347" s="0" t="str">
        <f aca="false">IF(M347&lt;&gt;"Sí","",IF(AL347=1,B347,INDEX($AJ:$AJ,AI347)))</f>
        <v/>
      </c>
      <c r="AK347" s="0" t="str">
        <f aca="false">IF(M347&lt;&gt;"Sí","",IF(AL347=1,E347,INDEX($AK:$AK,AI347)+E347))</f>
        <v/>
      </c>
      <c r="AL347" s="0" t="str">
        <f aca="false">IF(M347&lt;&gt;"Sí","",IF(AI347=0,1,IF(INDEX($AN:$AN,AI347)=0,1,IF(B347&gt;=EDATE(INDEX($AJ:$AJ,AI347),6),1,0))))</f>
        <v/>
      </c>
      <c r="AM347" s="0" t="str">
        <f aca="false">IF(D347="","",IFERROR(MATCH(D347,CATÁLOGO!$C$5:$C$39,0),""))</f>
        <v/>
      </c>
      <c r="AN347" s="0" t="str">
        <f aca="false">IF(M347&lt;&gt;"Sí","",IF(AND(ISNUMBER(AE347),AK347&gt;=AE347),0,1))</f>
        <v/>
      </c>
      <c r="AO347" s="0" t="str">
        <f aca="false">IF(OR(E347="",C347="",NOT(ISNUMBER(B347))),"",SUMIFS($E$6:$E$505,$C$6:$C$505,C347,$B$6:$B$505,"&gt;="&amp;DATE(YEAR(B347),MONTH(B347),1),$B$6:$B$505,"&lt;"&amp;DATE(YEAR(B347),MONTH(B347)+1,1)))</f>
        <v/>
      </c>
      <c r="AP347" s="0" t="str">
        <f aca="false">IF(C347="","",IFERROR(INDEX(CLIENTES!$M$6:$M$305,MATCH(C347,CLIENTES!$A$6:$A$305,0)),""))</f>
        <v/>
      </c>
      <c r="AQ347" s="27" t="n">
        <f aca="false">IF(AND(ISNUMBER(AO347),ISNUMBER(AP347)),IF(AND(AP347&gt;0,AO347&gt;AP347),1,0),0)</f>
        <v>0</v>
      </c>
      <c r="AR347" s="27" t="n">
        <f aca="false">IF(NOT(ISNUMBER(B347)),0,IF(B347&lt;MAX($B$5:B346),1,0))</f>
        <v>0</v>
      </c>
      <c r="AS347" s="0" t="str">
        <f aca="false">IF(C347="","",IFERROR(INDEX(CLIENTES!$H$6:$H$305,MATCH(C347,CLIENTES!$A$6:$A$305,0)),""))</f>
        <v/>
      </c>
      <c r="AT347" s="0" t="str">
        <f aca="false">IF(AND(LEFT(P347,5)="AVISO",T347&lt;&gt;"Presentado",ISNUMBER(Q347)),Q347,"")</f>
        <v/>
      </c>
      <c r="AU347" s="27" t="n">
        <f aca="false">IF(AND(D347="XVI - Activos virtuales (PSAV): operación de intercambio/transferencia",M347="Sí",ISNUMBER(AE347)),IF(AK347&gt;=AE347,1,0),0)</f>
        <v>0</v>
      </c>
      <c r="AV347" s="30" t="n">
        <f aca="false">IF(NOT(ISNUMBER(B347)),CONFIG!$B$4,IFERROR(INDEX(CONFIG!$I$5:$I$14,MATCH(IF(MONTH(B347)=1,YEAR(B347)-1,YEAR(B347)),CONFIG!$H$5:$H$14,0)),CONFIG!$B$4))</f>
        <v>117.31</v>
      </c>
      <c r="AW347" s="27" t="n">
        <f aca="false">IF(AND(LEFT(D347,4)="I - ",ISNUMBER(B347),C347&lt;&gt;""),SUMIFS($E$6:$E$505,$C$6:$C$505,C347,$D$6:$D$505,D347,$B$6:$B$505,"&gt;"&amp;(B347-1),$B$6:$B$505,"&lt;="&amp;B347),0)</f>
        <v>0</v>
      </c>
      <c r="AX347" s="0" t="str">
        <f aca="false">IF(E347="","",IF(AD347="Siempre","AVISO (siempre)",IF(AD347="No aplica","Sin Aviso (sólo preparas: Ley 17 XI)",IF(NOT(ISNUMBER(AE347)),"",IF(AA347&lt;&gt;"ACUMULA",IF(E347&gt;=AE347,IF(AND(D347="XVI - Activos virtuales (PSAV): cobro de contraprestación (comisión) por el servicio",COUNTIFS($C$6:$C$505,C347,$B$6:$B$505,"&gt;="&amp;INT(B347),$B$6:$B$505,"&lt;"&amp;(INT(B347)+1),$AU$6:$AU$505,1)&gt;0),"En el Aviso del inciso a) (R 31 Bis)","AVISO"),"—"),IF(M347&lt;&gt;"Sí","—",IF(AK347&gt;=AE347,IF(AK347=E347,"AVISO","AVISO (acumulado)"),"Acumulando")))))))</f>
        <v/>
      </c>
    </row>
    <row r="348" customFormat="false" ht="15" hidden="false" customHeight="false" outlineLevel="0" collapsed="false">
      <c r="A348" s="9" t="str">
        <f aca="false">IF(E348="","",ROW()-5)</f>
        <v/>
      </c>
      <c r="B348" s="20"/>
      <c r="C348" s="21"/>
      <c r="D348" s="21"/>
      <c r="E348" s="22"/>
      <c r="F348" s="22"/>
      <c r="G348" s="21"/>
      <c r="H348" s="21"/>
      <c r="I348" s="9" t="str">
        <f aca="false">IF(C348="","",IFERROR(INDEX(CLIENTES!$B$6:$B$305,MATCH(C348,CLIENTES!$A$6:$A$305,0)),"⚠ ID no registrado"))</f>
        <v/>
      </c>
      <c r="J348" s="9" t="str">
        <f aca="false">IF(C348="","",IFERROR(INDEX(CLIENTES!$Z$6:$Z$305,MATCH(C348,CLIENTES!$A$6:$A$305,0)),""))</f>
        <v/>
      </c>
      <c r="K348" s="9" t="str">
        <f aca="false">IF(E348="","",IF(AB348="Siempre","Sí",IF(ISNUMBER(AC348),IF(E348&gt;=AC348,"Sí",IF(AW348&gt;=AC348,"Sí (serie 24 h)","No")),"")))</f>
        <v/>
      </c>
      <c r="L348" s="9" t="str">
        <f aca="false">IF(E348="","",AA348)</f>
        <v/>
      </c>
      <c r="M348" s="9" t="str">
        <f aca="false">IF(E348="","",IF(AA348&lt;&gt;"ACUMULA","No aplica",IF(LEFT(K348,2)="Sí","Sí","No")))</f>
        <v/>
      </c>
      <c r="N348" s="23" t="str">
        <f aca="false">IF(M348="Sí",AJ348,"")</f>
        <v/>
      </c>
      <c r="O348" s="24" t="str">
        <f aca="false">IF(M348="Sí",AK348,"")</f>
        <v/>
      </c>
      <c r="P348" s="25" t="str">
        <f aca="false">IF(AND(LEFT(D348,6)="XIV - ",LEFT(AX348,5)="AVISO"),"Pedimento (R 16): no va al SPPLD",AX348)</f>
        <v/>
      </c>
      <c r="Q348" s="23" t="str">
        <f aca="false">IF(LEFT(P348,5)="AVISO",IF(ISNUMBER(B348),DATE(YEAR(B348),MONTH(B348)+1,17),"Falta fecha"),"")</f>
        <v/>
      </c>
      <c r="R348" s="9" t="str">
        <f aca="false">IF(OR(F348="",F348=0),"",IF(ISNUMBER(AG348),IF(F348&gt;=AG348,"PROHIBIDO","Dentro del límite"),"No aplica"))</f>
        <v/>
      </c>
      <c r="S348" s="26" t="str">
        <f aca="false">IF(E348="","",MID(IF(AQ348=1," · Excede el perfil declarado","")&amp;IF(H348="Sí"," · Paga un tercero","")&amp;IF(J348="Alto"," · Cliente de riesgo alto: DDR (RCG 23 Ter 3 y 4)","")&amp;IF(AND(AS348&lt;&gt;"",AS348&lt;&gt;"No",AS348&lt;&gt;0)," · PEP","")&amp;IF(R348="PROHIBIDO"," · Efectivo prohibido: no lo recibas (Art. 32)","")&amp;IF(AR348=1," · ⚠ Fecha fuera de orden","")&amp;IF(LEFT(I348,1)="⚠"," · ⚠ Cliente no registrado","")&amp;IF(D348=""," · ⚠ Falta la actividad","")&amp;IF(AND(LEFT(P348,5)="AVISO",W348="")," · Captura la cifra total con IVA para el Aviso","")&amp;IF(AND(ISNUMBER(W348),W348&lt;E348)," · ⚠ La cifra con IVA es menor que el monto sin IVA",""),4,400))</f>
        <v/>
      </c>
      <c r="T348" s="21"/>
      <c r="U348" s="20"/>
      <c r="V348" s="9" t="str">
        <f aca="false">IF(LEFT(P348,5)&lt;&gt;"AVISO","",IF(T348="Presentado",IF(AND(ISNUMBER(U348),ISNUMBER(Q348),U348&gt;Q348),"Presentado tarde","Presentado"),IF(NOT(ISNUMBER(Q348)),"Falta fecha",IF(Q348&lt;CONFIG!$B$6,"VENCIDO","Vence en "&amp;(Q348-CONFIG!$B$6)&amp;" días"))))</f>
        <v/>
      </c>
      <c r="W348" s="22"/>
      <c r="X348" s="21"/>
      <c r="AA348" s="0" t="str">
        <f aca="false">IF(AM348="","",INDEX(CATÁLOGO!$D$5:$D$39,AM348))</f>
        <v/>
      </c>
      <c r="AB348" s="0" t="str">
        <f aca="false">IF(AM348="","",INDEX(CATÁLOGO!$E$5:$E$39,AM348))</f>
        <v/>
      </c>
      <c r="AC348" s="0" t="str">
        <f aca="false">IF(AB348="","",IF(ISNUMBER(AB348),AB348*AV348,AB348))</f>
        <v/>
      </c>
      <c r="AD348" s="0" t="str">
        <f aca="false">IF(AM348="","",INDEX(CATÁLOGO!$F$5:$F$39,AM348))</f>
        <v/>
      </c>
      <c r="AE348" s="0" t="str">
        <f aca="false">IF(AD348="","",IF(ISNUMBER(AD348),AD348*AV348,AD348))</f>
        <v/>
      </c>
      <c r="AF348" s="0" t="str">
        <f aca="false">IF(AM348="","",INDEX(CATÁLOGO!$G$5:$G$39,AM348))</f>
        <v/>
      </c>
      <c r="AG348" s="0" t="str">
        <f aca="false">IF(AF348="","",IF(ISNUMBER(AF348),AF348*AV348,AF348))</f>
        <v/>
      </c>
      <c r="AH348" s="0" t="str">
        <f aca="false">IF(E348="","",C348&amp;"|"&amp;D348)</f>
        <v/>
      </c>
      <c r="AI348" s="27" t="n">
        <f aca="false">IF(M348&lt;&gt;"Sí",0,SUMPRODUCT(MAX(($AH$5:AH347=AH348)*($M$5:M347="Sí")*ROW($AH$5:AH347))))</f>
        <v>0</v>
      </c>
      <c r="AJ348" s="0" t="str">
        <f aca="false">IF(M348&lt;&gt;"Sí","",IF(AL348=1,B348,INDEX($AJ:$AJ,AI348)))</f>
        <v/>
      </c>
      <c r="AK348" s="0" t="str">
        <f aca="false">IF(M348&lt;&gt;"Sí","",IF(AL348=1,E348,INDEX($AK:$AK,AI348)+E348))</f>
        <v/>
      </c>
      <c r="AL348" s="0" t="str">
        <f aca="false">IF(M348&lt;&gt;"Sí","",IF(AI348=0,1,IF(INDEX($AN:$AN,AI348)=0,1,IF(B348&gt;=EDATE(INDEX($AJ:$AJ,AI348),6),1,0))))</f>
        <v/>
      </c>
      <c r="AM348" s="0" t="str">
        <f aca="false">IF(D348="","",IFERROR(MATCH(D348,CATÁLOGO!$C$5:$C$39,0),""))</f>
        <v/>
      </c>
      <c r="AN348" s="0" t="str">
        <f aca="false">IF(M348&lt;&gt;"Sí","",IF(AND(ISNUMBER(AE348),AK348&gt;=AE348),0,1))</f>
        <v/>
      </c>
      <c r="AO348" s="0" t="str">
        <f aca="false">IF(OR(E348="",C348="",NOT(ISNUMBER(B348))),"",SUMIFS($E$6:$E$505,$C$6:$C$505,C348,$B$6:$B$505,"&gt;="&amp;DATE(YEAR(B348),MONTH(B348),1),$B$6:$B$505,"&lt;"&amp;DATE(YEAR(B348),MONTH(B348)+1,1)))</f>
        <v/>
      </c>
      <c r="AP348" s="0" t="str">
        <f aca="false">IF(C348="","",IFERROR(INDEX(CLIENTES!$M$6:$M$305,MATCH(C348,CLIENTES!$A$6:$A$305,0)),""))</f>
        <v/>
      </c>
      <c r="AQ348" s="27" t="n">
        <f aca="false">IF(AND(ISNUMBER(AO348),ISNUMBER(AP348)),IF(AND(AP348&gt;0,AO348&gt;AP348),1,0),0)</f>
        <v>0</v>
      </c>
      <c r="AR348" s="27" t="n">
        <f aca="false">IF(NOT(ISNUMBER(B348)),0,IF(B348&lt;MAX($B$5:B347),1,0))</f>
        <v>0</v>
      </c>
      <c r="AS348" s="0" t="str">
        <f aca="false">IF(C348="","",IFERROR(INDEX(CLIENTES!$H$6:$H$305,MATCH(C348,CLIENTES!$A$6:$A$305,0)),""))</f>
        <v/>
      </c>
      <c r="AT348" s="0" t="str">
        <f aca="false">IF(AND(LEFT(P348,5)="AVISO",T348&lt;&gt;"Presentado",ISNUMBER(Q348)),Q348,"")</f>
        <v/>
      </c>
      <c r="AU348" s="27" t="n">
        <f aca="false">IF(AND(D348="XVI - Activos virtuales (PSAV): operación de intercambio/transferencia",M348="Sí",ISNUMBER(AE348)),IF(AK348&gt;=AE348,1,0),0)</f>
        <v>0</v>
      </c>
      <c r="AV348" s="30" t="n">
        <f aca="false">IF(NOT(ISNUMBER(B348)),CONFIG!$B$4,IFERROR(INDEX(CONFIG!$I$5:$I$14,MATCH(IF(MONTH(B348)=1,YEAR(B348)-1,YEAR(B348)),CONFIG!$H$5:$H$14,0)),CONFIG!$B$4))</f>
        <v>117.31</v>
      </c>
      <c r="AW348" s="27" t="n">
        <f aca="false">IF(AND(LEFT(D348,4)="I - ",ISNUMBER(B348),C348&lt;&gt;""),SUMIFS($E$6:$E$505,$C$6:$C$505,C348,$D$6:$D$505,D348,$B$6:$B$505,"&gt;"&amp;(B348-1),$B$6:$B$505,"&lt;="&amp;B348),0)</f>
        <v>0</v>
      </c>
      <c r="AX348" s="0" t="str">
        <f aca="false">IF(E348="","",IF(AD348="Siempre","AVISO (siempre)",IF(AD348="No aplica","Sin Aviso (sólo preparas: Ley 17 XI)",IF(NOT(ISNUMBER(AE348)),"",IF(AA348&lt;&gt;"ACUMULA",IF(E348&gt;=AE348,IF(AND(D348="XVI - Activos virtuales (PSAV): cobro de contraprestación (comisión) por el servicio",COUNTIFS($C$6:$C$505,C348,$B$6:$B$505,"&gt;="&amp;INT(B348),$B$6:$B$505,"&lt;"&amp;(INT(B348)+1),$AU$6:$AU$505,1)&gt;0),"En el Aviso del inciso a) (R 31 Bis)","AVISO"),"—"),IF(M348&lt;&gt;"Sí","—",IF(AK348&gt;=AE348,IF(AK348=E348,"AVISO","AVISO (acumulado)"),"Acumulando")))))))</f>
        <v/>
      </c>
    </row>
    <row r="349" customFormat="false" ht="15" hidden="false" customHeight="false" outlineLevel="0" collapsed="false">
      <c r="A349" s="9" t="str">
        <f aca="false">IF(E349="","",ROW()-5)</f>
        <v/>
      </c>
      <c r="B349" s="20"/>
      <c r="C349" s="21"/>
      <c r="D349" s="21"/>
      <c r="E349" s="22"/>
      <c r="F349" s="22"/>
      <c r="G349" s="21"/>
      <c r="H349" s="21"/>
      <c r="I349" s="9" t="str">
        <f aca="false">IF(C349="","",IFERROR(INDEX(CLIENTES!$B$6:$B$305,MATCH(C349,CLIENTES!$A$6:$A$305,0)),"⚠ ID no registrado"))</f>
        <v/>
      </c>
      <c r="J349" s="9" t="str">
        <f aca="false">IF(C349="","",IFERROR(INDEX(CLIENTES!$Z$6:$Z$305,MATCH(C349,CLIENTES!$A$6:$A$305,0)),""))</f>
        <v/>
      </c>
      <c r="K349" s="9" t="str">
        <f aca="false">IF(E349="","",IF(AB349="Siempre","Sí",IF(ISNUMBER(AC349),IF(E349&gt;=AC349,"Sí",IF(AW349&gt;=AC349,"Sí (serie 24 h)","No")),"")))</f>
        <v/>
      </c>
      <c r="L349" s="9" t="str">
        <f aca="false">IF(E349="","",AA349)</f>
        <v/>
      </c>
      <c r="M349" s="9" t="str">
        <f aca="false">IF(E349="","",IF(AA349&lt;&gt;"ACUMULA","No aplica",IF(LEFT(K349,2)="Sí","Sí","No")))</f>
        <v/>
      </c>
      <c r="N349" s="23" t="str">
        <f aca="false">IF(M349="Sí",AJ349,"")</f>
        <v/>
      </c>
      <c r="O349" s="24" t="str">
        <f aca="false">IF(M349="Sí",AK349,"")</f>
        <v/>
      </c>
      <c r="P349" s="25" t="str">
        <f aca="false">IF(AND(LEFT(D349,6)="XIV - ",LEFT(AX349,5)="AVISO"),"Pedimento (R 16): no va al SPPLD",AX349)</f>
        <v/>
      </c>
      <c r="Q349" s="23" t="str">
        <f aca="false">IF(LEFT(P349,5)="AVISO",IF(ISNUMBER(B349),DATE(YEAR(B349),MONTH(B349)+1,17),"Falta fecha"),"")</f>
        <v/>
      </c>
      <c r="R349" s="9" t="str">
        <f aca="false">IF(OR(F349="",F349=0),"",IF(ISNUMBER(AG349),IF(F349&gt;=AG349,"PROHIBIDO","Dentro del límite"),"No aplica"))</f>
        <v/>
      </c>
      <c r="S349" s="26" t="str">
        <f aca="false">IF(E349="","",MID(IF(AQ349=1," · Excede el perfil declarado","")&amp;IF(H349="Sí"," · Paga un tercero","")&amp;IF(J349="Alto"," · Cliente de riesgo alto: DDR (RCG 23 Ter 3 y 4)","")&amp;IF(AND(AS349&lt;&gt;"",AS349&lt;&gt;"No",AS349&lt;&gt;0)," · PEP","")&amp;IF(R349="PROHIBIDO"," · Efectivo prohibido: no lo recibas (Art. 32)","")&amp;IF(AR349=1," · ⚠ Fecha fuera de orden","")&amp;IF(LEFT(I349,1)="⚠"," · ⚠ Cliente no registrado","")&amp;IF(D349=""," · ⚠ Falta la actividad","")&amp;IF(AND(LEFT(P349,5)="AVISO",W349="")," · Captura la cifra total con IVA para el Aviso","")&amp;IF(AND(ISNUMBER(W349),W349&lt;E349)," · ⚠ La cifra con IVA es menor que el monto sin IVA",""),4,400))</f>
        <v/>
      </c>
      <c r="T349" s="21"/>
      <c r="U349" s="20"/>
      <c r="V349" s="9" t="str">
        <f aca="false">IF(LEFT(P349,5)&lt;&gt;"AVISO","",IF(T349="Presentado",IF(AND(ISNUMBER(U349),ISNUMBER(Q349),U349&gt;Q349),"Presentado tarde","Presentado"),IF(NOT(ISNUMBER(Q349)),"Falta fecha",IF(Q349&lt;CONFIG!$B$6,"VENCIDO","Vence en "&amp;(Q349-CONFIG!$B$6)&amp;" días"))))</f>
        <v/>
      </c>
      <c r="W349" s="22"/>
      <c r="X349" s="21"/>
      <c r="AA349" s="0" t="str">
        <f aca="false">IF(AM349="","",INDEX(CATÁLOGO!$D$5:$D$39,AM349))</f>
        <v/>
      </c>
      <c r="AB349" s="0" t="str">
        <f aca="false">IF(AM349="","",INDEX(CATÁLOGO!$E$5:$E$39,AM349))</f>
        <v/>
      </c>
      <c r="AC349" s="0" t="str">
        <f aca="false">IF(AB349="","",IF(ISNUMBER(AB349),AB349*AV349,AB349))</f>
        <v/>
      </c>
      <c r="AD349" s="0" t="str">
        <f aca="false">IF(AM349="","",INDEX(CATÁLOGO!$F$5:$F$39,AM349))</f>
        <v/>
      </c>
      <c r="AE349" s="0" t="str">
        <f aca="false">IF(AD349="","",IF(ISNUMBER(AD349),AD349*AV349,AD349))</f>
        <v/>
      </c>
      <c r="AF349" s="0" t="str">
        <f aca="false">IF(AM349="","",INDEX(CATÁLOGO!$G$5:$G$39,AM349))</f>
        <v/>
      </c>
      <c r="AG349" s="0" t="str">
        <f aca="false">IF(AF349="","",IF(ISNUMBER(AF349),AF349*AV349,AF349))</f>
        <v/>
      </c>
      <c r="AH349" s="0" t="str">
        <f aca="false">IF(E349="","",C349&amp;"|"&amp;D349)</f>
        <v/>
      </c>
      <c r="AI349" s="27" t="n">
        <f aca="false">IF(M349&lt;&gt;"Sí",0,SUMPRODUCT(MAX(($AH$5:AH348=AH349)*($M$5:M348="Sí")*ROW($AH$5:AH348))))</f>
        <v>0</v>
      </c>
      <c r="AJ349" s="0" t="str">
        <f aca="false">IF(M349&lt;&gt;"Sí","",IF(AL349=1,B349,INDEX($AJ:$AJ,AI349)))</f>
        <v/>
      </c>
      <c r="AK349" s="0" t="str">
        <f aca="false">IF(M349&lt;&gt;"Sí","",IF(AL349=1,E349,INDEX($AK:$AK,AI349)+E349))</f>
        <v/>
      </c>
      <c r="AL349" s="0" t="str">
        <f aca="false">IF(M349&lt;&gt;"Sí","",IF(AI349=0,1,IF(INDEX($AN:$AN,AI349)=0,1,IF(B349&gt;=EDATE(INDEX($AJ:$AJ,AI349),6),1,0))))</f>
        <v/>
      </c>
      <c r="AM349" s="0" t="str">
        <f aca="false">IF(D349="","",IFERROR(MATCH(D349,CATÁLOGO!$C$5:$C$39,0),""))</f>
        <v/>
      </c>
      <c r="AN349" s="0" t="str">
        <f aca="false">IF(M349&lt;&gt;"Sí","",IF(AND(ISNUMBER(AE349),AK349&gt;=AE349),0,1))</f>
        <v/>
      </c>
      <c r="AO349" s="0" t="str">
        <f aca="false">IF(OR(E349="",C349="",NOT(ISNUMBER(B349))),"",SUMIFS($E$6:$E$505,$C$6:$C$505,C349,$B$6:$B$505,"&gt;="&amp;DATE(YEAR(B349),MONTH(B349),1),$B$6:$B$505,"&lt;"&amp;DATE(YEAR(B349),MONTH(B349)+1,1)))</f>
        <v/>
      </c>
      <c r="AP349" s="0" t="str">
        <f aca="false">IF(C349="","",IFERROR(INDEX(CLIENTES!$M$6:$M$305,MATCH(C349,CLIENTES!$A$6:$A$305,0)),""))</f>
        <v/>
      </c>
      <c r="AQ349" s="27" t="n">
        <f aca="false">IF(AND(ISNUMBER(AO349),ISNUMBER(AP349)),IF(AND(AP349&gt;0,AO349&gt;AP349),1,0),0)</f>
        <v>0</v>
      </c>
      <c r="AR349" s="27" t="n">
        <f aca="false">IF(NOT(ISNUMBER(B349)),0,IF(B349&lt;MAX($B$5:B348),1,0))</f>
        <v>0</v>
      </c>
      <c r="AS349" s="0" t="str">
        <f aca="false">IF(C349="","",IFERROR(INDEX(CLIENTES!$H$6:$H$305,MATCH(C349,CLIENTES!$A$6:$A$305,0)),""))</f>
        <v/>
      </c>
      <c r="AT349" s="0" t="str">
        <f aca="false">IF(AND(LEFT(P349,5)="AVISO",T349&lt;&gt;"Presentado",ISNUMBER(Q349)),Q349,"")</f>
        <v/>
      </c>
      <c r="AU349" s="27" t="n">
        <f aca="false">IF(AND(D349="XVI - Activos virtuales (PSAV): operación de intercambio/transferencia",M349="Sí",ISNUMBER(AE349)),IF(AK349&gt;=AE349,1,0),0)</f>
        <v>0</v>
      </c>
      <c r="AV349" s="30" t="n">
        <f aca="false">IF(NOT(ISNUMBER(B349)),CONFIG!$B$4,IFERROR(INDEX(CONFIG!$I$5:$I$14,MATCH(IF(MONTH(B349)=1,YEAR(B349)-1,YEAR(B349)),CONFIG!$H$5:$H$14,0)),CONFIG!$B$4))</f>
        <v>117.31</v>
      </c>
      <c r="AW349" s="27" t="n">
        <f aca="false">IF(AND(LEFT(D349,4)="I - ",ISNUMBER(B349),C349&lt;&gt;""),SUMIFS($E$6:$E$505,$C$6:$C$505,C349,$D$6:$D$505,D349,$B$6:$B$505,"&gt;"&amp;(B349-1),$B$6:$B$505,"&lt;="&amp;B349),0)</f>
        <v>0</v>
      </c>
      <c r="AX349" s="0" t="str">
        <f aca="false">IF(E349="","",IF(AD349="Siempre","AVISO (siempre)",IF(AD349="No aplica","Sin Aviso (sólo preparas: Ley 17 XI)",IF(NOT(ISNUMBER(AE349)),"",IF(AA349&lt;&gt;"ACUMULA",IF(E349&gt;=AE349,IF(AND(D349="XVI - Activos virtuales (PSAV): cobro de contraprestación (comisión) por el servicio",COUNTIFS($C$6:$C$505,C349,$B$6:$B$505,"&gt;="&amp;INT(B349),$B$6:$B$505,"&lt;"&amp;(INT(B349)+1),$AU$6:$AU$505,1)&gt;0),"En el Aviso del inciso a) (R 31 Bis)","AVISO"),"—"),IF(M349&lt;&gt;"Sí","—",IF(AK349&gt;=AE349,IF(AK349=E349,"AVISO","AVISO (acumulado)"),"Acumulando")))))))</f>
        <v/>
      </c>
    </row>
    <row r="350" customFormat="false" ht="15" hidden="false" customHeight="false" outlineLevel="0" collapsed="false">
      <c r="A350" s="9" t="str">
        <f aca="false">IF(E350="","",ROW()-5)</f>
        <v/>
      </c>
      <c r="B350" s="20"/>
      <c r="C350" s="21"/>
      <c r="D350" s="21"/>
      <c r="E350" s="22"/>
      <c r="F350" s="22"/>
      <c r="G350" s="21"/>
      <c r="H350" s="21"/>
      <c r="I350" s="9" t="str">
        <f aca="false">IF(C350="","",IFERROR(INDEX(CLIENTES!$B$6:$B$305,MATCH(C350,CLIENTES!$A$6:$A$305,0)),"⚠ ID no registrado"))</f>
        <v/>
      </c>
      <c r="J350" s="9" t="str">
        <f aca="false">IF(C350="","",IFERROR(INDEX(CLIENTES!$Z$6:$Z$305,MATCH(C350,CLIENTES!$A$6:$A$305,0)),""))</f>
        <v/>
      </c>
      <c r="K350" s="9" t="str">
        <f aca="false">IF(E350="","",IF(AB350="Siempre","Sí",IF(ISNUMBER(AC350),IF(E350&gt;=AC350,"Sí",IF(AW350&gt;=AC350,"Sí (serie 24 h)","No")),"")))</f>
        <v/>
      </c>
      <c r="L350" s="9" t="str">
        <f aca="false">IF(E350="","",AA350)</f>
        <v/>
      </c>
      <c r="M350" s="9" t="str">
        <f aca="false">IF(E350="","",IF(AA350&lt;&gt;"ACUMULA","No aplica",IF(LEFT(K350,2)="Sí","Sí","No")))</f>
        <v/>
      </c>
      <c r="N350" s="23" t="str">
        <f aca="false">IF(M350="Sí",AJ350,"")</f>
        <v/>
      </c>
      <c r="O350" s="24" t="str">
        <f aca="false">IF(M350="Sí",AK350,"")</f>
        <v/>
      </c>
      <c r="P350" s="25" t="str">
        <f aca="false">IF(AND(LEFT(D350,6)="XIV - ",LEFT(AX350,5)="AVISO"),"Pedimento (R 16): no va al SPPLD",AX350)</f>
        <v/>
      </c>
      <c r="Q350" s="23" t="str">
        <f aca="false">IF(LEFT(P350,5)="AVISO",IF(ISNUMBER(B350),DATE(YEAR(B350),MONTH(B350)+1,17),"Falta fecha"),"")</f>
        <v/>
      </c>
      <c r="R350" s="9" t="str">
        <f aca="false">IF(OR(F350="",F350=0),"",IF(ISNUMBER(AG350),IF(F350&gt;=AG350,"PROHIBIDO","Dentro del límite"),"No aplica"))</f>
        <v/>
      </c>
      <c r="S350" s="26" t="str">
        <f aca="false">IF(E350="","",MID(IF(AQ350=1," · Excede el perfil declarado","")&amp;IF(H350="Sí"," · Paga un tercero","")&amp;IF(J350="Alto"," · Cliente de riesgo alto: DDR (RCG 23 Ter 3 y 4)","")&amp;IF(AND(AS350&lt;&gt;"",AS350&lt;&gt;"No",AS350&lt;&gt;0)," · PEP","")&amp;IF(R350="PROHIBIDO"," · Efectivo prohibido: no lo recibas (Art. 32)","")&amp;IF(AR350=1," · ⚠ Fecha fuera de orden","")&amp;IF(LEFT(I350,1)="⚠"," · ⚠ Cliente no registrado","")&amp;IF(D350=""," · ⚠ Falta la actividad","")&amp;IF(AND(LEFT(P350,5)="AVISO",W350="")," · Captura la cifra total con IVA para el Aviso","")&amp;IF(AND(ISNUMBER(W350),W350&lt;E350)," · ⚠ La cifra con IVA es menor que el monto sin IVA",""),4,400))</f>
        <v/>
      </c>
      <c r="T350" s="21"/>
      <c r="U350" s="20"/>
      <c r="V350" s="9" t="str">
        <f aca="false">IF(LEFT(P350,5)&lt;&gt;"AVISO","",IF(T350="Presentado",IF(AND(ISNUMBER(U350),ISNUMBER(Q350),U350&gt;Q350),"Presentado tarde","Presentado"),IF(NOT(ISNUMBER(Q350)),"Falta fecha",IF(Q350&lt;CONFIG!$B$6,"VENCIDO","Vence en "&amp;(Q350-CONFIG!$B$6)&amp;" días"))))</f>
        <v/>
      </c>
      <c r="W350" s="22"/>
      <c r="X350" s="21"/>
      <c r="AA350" s="0" t="str">
        <f aca="false">IF(AM350="","",INDEX(CATÁLOGO!$D$5:$D$39,AM350))</f>
        <v/>
      </c>
      <c r="AB350" s="0" t="str">
        <f aca="false">IF(AM350="","",INDEX(CATÁLOGO!$E$5:$E$39,AM350))</f>
        <v/>
      </c>
      <c r="AC350" s="0" t="str">
        <f aca="false">IF(AB350="","",IF(ISNUMBER(AB350),AB350*AV350,AB350))</f>
        <v/>
      </c>
      <c r="AD350" s="0" t="str">
        <f aca="false">IF(AM350="","",INDEX(CATÁLOGO!$F$5:$F$39,AM350))</f>
        <v/>
      </c>
      <c r="AE350" s="0" t="str">
        <f aca="false">IF(AD350="","",IF(ISNUMBER(AD350),AD350*AV350,AD350))</f>
        <v/>
      </c>
      <c r="AF350" s="0" t="str">
        <f aca="false">IF(AM350="","",INDEX(CATÁLOGO!$G$5:$G$39,AM350))</f>
        <v/>
      </c>
      <c r="AG350" s="0" t="str">
        <f aca="false">IF(AF350="","",IF(ISNUMBER(AF350),AF350*AV350,AF350))</f>
        <v/>
      </c>
      <c r="AH350" s="0" t="str">
        <f aca="false">IF(E350="","",C350&amp;"|"&amp;D350)</f>
        <v/>
      </c>
      <c r="AI350" s="27" t="n">
        <f aca="false">IF(M350&lt;&gt;"Sí",0,SUMPRODUCT(MAX(($AH$5:AH349=AH350)*($M$5:M349="Sí")*ROW($AH$5:AH349))))</f>
        <v>0</v>
      </c>
      <c r="AJ350" s="0" t="str">
        <f aca="false">IF(M350&lt;&gt;"Sí","",IF(AL350=1,B350,INDEX($AJ:$AJ,AI350)))</f>
        <v/>
      </c>
      <c r="AK350" s="0" t="str">
        <f aca="false">IF(M350&lt;&gt;"Sí","",IF(AL350=1,E350,INDEX($AK:$AK,AI350)+E350))</f>
        <v/>
      </c>
      <c r="AL350" s="0" t="str">
        <f aca="false">IF(M350&lt;&gt;"Sí","",IF(AI350=0,1,IF(INDEX($AN:$AN,AI350)=0,1,IF(B350&gt;=EDATE(INDEX($AJ:$AJ,AI350),6),1,0))))</f>
        <v/>
      </c>
      <c r="AM350" s="0" t="str">
        <f aca="false">IF(D350="","",IFERROR(MATCH(D350,CATÁLOGO!$C$5:$C$39,0),""))</f>
        <v/>
      </c>
      <c r="AN350" s="0" t="str">
        <f aca="false">IF(M350&lt;&gt;"Sí","",IF(AND(ISNUMBER(AE350),AK350&gt;=AE350),0,1))</f>
        <v/>
      </c>
      <c r="AO350" s="0" t="str">
        <f aca="false">IF(OR(E350="",C350="",NOT(ISNUMBER(B350))),"",SUMIFS($E$6:$E$505,$C$6:$C$505,C350,$B$6:$B$505,"&gt;="&amp;DATE(YEAR(B350),MONTH(B350),1),$B$6:$B$505,"&lt;"&amp;DATE(YEAR(B350),MONTH(B350)+1,1)))</f>
        <v/>
      </c>
      <c r="AP350" s="0" t="str">
        <f aca="false">IF(C350="","",IFERROR(INDEX(CLIENTES!$M$6:$M$305,MATCH(C350,CLIENTES!$A$6:$A$305,0)),""))</f>
        <v/>
      </c>
      <c r="AQ350" s="27" t="n">
        <f aca="false">IF(AND(ISNUMBER(AO350),ISNUMBER(AP350)),IF(AND(AP350&gt;0,AO350&gt;AP350),1,0),0)</f>
        <v>0</v>
      </c>
      <c r="AR350" s="27" t="n">
        <f aca="false">IF(NOT(ISNUMBER(B350)),0,IF(B350&lt;MAX($B$5:B349),1,0))</f>
        <v>0</v>
      </c>
      <c r="AS350" s="0" t="str">
        <f aca="false">IF(C350="","",IFERROR(INDEX(CLIENTES!$H$6:$H$305,MATCH(C350,CLIENTES!$A$6:$A$305,0)),""))</f>
        <v/>
      </c>
      <c r="AT350" s="0" t="str">
        <f aca="false">IF(AND(LEFT(P350,5)="AVISO",T350&lt;&gt;"Presentado",ISNUMBER(Q350)),Q350,"")</f>
        <v/>
      </c>
      <c r="AU350" s="27" t="n">
        <f aca="false">IF(AND(D350="XVI - Activos virtuales (PSAV): operación de intercambio/transferencia",M350="Sí",ISNUMBER(AE350)),IF(AK350&gt;=AE350,1,0),0)</f>
        <v>0</v>
      </c>
      <c r="AV350" s="30" t="n">
        <f aca="false">IF(NOT(ISNUMBER(B350)),CONFIG!$B$4,IFERROR(INDEX(CONFIG!$I$5:$I$14,MATCH(IF(MONTH(B350)=1,YEAR(B350)-1,YEAR(B350)),CONFIG!$H$5:$H$14,0)),CONFIG!$B$4))</f>
        <v>117.31</v>
      </c>
      <c r="AW350" s="27" t="n">
        <f aca="false">IF(AND(LEFT(D350,4)="I - ",ISNUMBER(B350),C350&lt;&gt;""),SUMIFS($E$6:$E$505,$C$6:$C$505,C350,$D$6:$D$505,D350,$B$6:$B$505,"&gt;"&amp;(B350-1),$B$6:$B$505,"&lt;="&amp;B350),0)</f>
        <v>0</v>
      </c>
      <c r="AX350" s="0" t="str">
        <f aca="false">IF(E350="","",IF(AD350="Siempre","AVISO (siempre)",IF(AD350="No aplica","Sin Aviso (sólo preparas: Ley 17 XI)",IF(NOT(ISNUMBER(AE350)),"",IF(AA350&lt;&gt;"ACUMULA",IF(E350&gt;=AE350,IF(AND(D350="XVI - Activos virtuales (PSAV): cobro de contraprestación (comisión) por el servicio",COUNTIFS($C$6:$C$505,C350,$B$6:$B$505,"&gt;="&amp;INT(B350),$B$6:$B$505,"&lt;"&amp;(INT(B350)+1),$AU$6:$AU$505,1)&gt;0),"En el Aviso del inciso a) (R 31 Bis)","AVISO"),"—"),IF(M350&lt;&gt;"Sí","—",IF(AK350&gt;=AE350,IF(AK350=E350,"AVISO","AVISO (acumulado)"),"Acumulando")))))))</f>
        <v/>
      </c>
    </row>
    <row r="351" customFormat="false" ht="15" hidden="false" customHeight="false" outlineLevel="0" collapsed="false">
      <c r="A351" s="9" t="str">
        <f aca="false">IF(E351="","",ROW()-5)</f>
        <v/>
      </c>
      <c r="B351" s="20"/>
      <c r="C351" s="21"/>
      <c r="D351" s="21"/>
      <c r="E351" s="22"/>
      <c r="F351" s="22"/>
      <c r="G351" s="21"/>
      <c r="H351" s="21"/>
      <c r="I351" s="9" t="str">
        <f aca="false">IF(C351="","",IFERROR(INDEX(CLIENTES!$B$6:$B$305,MATCH(C351,CLIENTES!$A$6:$A$305,0)),"⚠ ID no registrado"))</f>
        <v/>
      </c>
      <c r="J351" s="9" t="str">
        <f aca="false">IF(C351="","",IFERROR(INDEX(CLIENTES!$Z$6:$Z$305,MATCH(C351,CLIENTES!$A$6:$A$305,0)),""))</f>
        <v/>
      </c>
      <c r="K351" s="9" t="str">
        <f aca="false">IF(E351="","",IF(AB351="Siempre","Sí",IF(ISNUMBER(AC351),IF(E351&gt;=AC351,"Sí",IF(AW351&gt;=AC351,"Sí (serie 24 h)","No")),"")))</f>
        <v/>
      </c>
      <c r="L351" s="9" t="str">
        <f aca="false">IF(E351="","",AA351)</f>
        <v/>
      </c>
      <c r="M351" s="9" t="str">
        <f aca="false">IF(E351="","",IF(AA351&lt;&gt;"ACUMULA","No aplica",IF(LEFT(K351,2)="Sí","Sí","No")))</f>
        <v/>
      </c>
      <c r="N351" s="23" t="str">
        <f aca="false">IF(M351="Sí",AJ351,"")</f>
        <v/>
      </c>
      <c r="O351" s="24" t="str">
        <f aca="false">IF(M351="Sí",AK351,"")</f>
        <v/>
      </c>
      <c r="P351" s="25" t="str">
        <f aca="false">IF(AND(LEFT(D351,6)="XIV - ",LEFT(AX351,5)="AVISO"),"Pedimento (R 16): no va al SPPLD",AX351)</f>
        <v/>
      </c>
      <c r="Q351" s="23" t="str">
        <f aca="false">IF(LEFT(P351,5)="AVISO",IF(ISNUMBER(B351),DATE(YEAR(B351),MONTH(B351)+1,17),"Falta fecha"),"")</f>
        <v/>
      </c>
      <c r="R351" s="9" t="str">
        <f aca="false">IF(OR(F351="",F351=0),"",IF(ISNUMBER(AG351),IF(F351&gt;=AG351,"PROHIBIDO","Dentro del límite"),"No aplica"))</f>
        <v/>
      </c>
      <c r="S351" s="26" t="str">
        <f aca="false">IF(E351="","",MID(IF(AQ351=1," · Excede el perfil declarado","")&amp;IF(H351="Sí"," · Paga un tercero","")&amp;IF(J351="Alto"," · Cliente de riesgo alto: DDR (RCG 23 Ter 3 y 4)","")&amp;IF(AND(AS351&lt;&gt;"",AS351&lt;&gt;"No",AS351&lt;&gt;0)," · PEP","")&amp;IF(R351="PROHIBIDO"," · Efectivo prohibido: no lo recibas (Art. 32)","")&amp;IF(AR351=1," · ⚠ Fecha fuera de orden","")&amp;IF(LEFT(I351,1)="⚠"," · ⚠ Cliente no registrado","")&amp;IF(D351=""," · ⚠ Falta la actividad","")&amp;IF(AND(LEFT(P351,5)="AVISO",W351="")," · Captura la cifra total con IVA para el Aviso","")&amp;IF(AND(ISNUMBER(W351),W351&lt;E351)," · ⚠ La cifra con IVA es menor que el monto sin IVA",""),4,400))</f>
        <v/>
      </c>
      <c r="T351" s="21"/>
      <c r="U351" s="20"/>
      <c r="V351" s="9" t="str">
        <f aca="false">IF(LEFT(P351,5)&lt;&gt;"AVISO","",IF(T351="Presentado",IF(AND(ISNUMBER(U351),ISNUMBER(Q351),U351&gt;Q351),"Presentado tarde","Presentado"),IF(NOT(ISNUMBER(Q351)),"Falta fecha",IF(Q351&lt;CONFIG!$B$6,"VENCIDO","Vence en "&amp;(Q351-CONFIG!$B$6)&amp;" días"))))</f>
        <v/>
      </c>
      <c r="W351" s="22"/>
      <c r="X351" s="21"/>
      <c r="AA351" s="0" t="str">
        <f aca="false">IF(AM351="","",INDEX(CATÁLOGO!$D$5:$D$39,AM351))</f>
        <v/>
      </c>
      <c r="AB351" s="0" t="str">
        <f aca="false">IF(AM351="","",INDEX(CATÁLOGO!$E$5:$E$39,AM351))</f>
        <v/>
      </c>
      <c r="AC351" s="0" t="str">
        <f aca="false">IF(AB351="","",IF(ISNUMBER(AB351),AB351*AV351,AB351))</f>
        <v/>
      </c>
      <c r="AD351" s="0" t="str">
        <f aca="false">IF(AM351="","",INDEX(CATÁLOGO!$F$5:$F$39,AM351))</f>
        <v/>
      </c>
      <c r="AE351" s="0" t="str">
        <f aca="false">IF(AD351="","",IF(ISNUMBER(AD351),AD351*AV351,AD351))</f>
        <v/>
      </c>
      <c r="AF351" s="0" t="str">
        <f aca="false">IF(AM351="","",INDEX(CATÁLOGO!$G$5:$G$39,AM351))</f>
        <v/>
      </c>
      <c r="AG351" s="0" t="str">
        <f aca="false">IF(AF351="","",IF(ISNUMBER(AF351),AF351*AV351,AF351))</f>
        <v/>
      </c>
      <c r="AH351" s="0" t="str">
        <f aca="false">IF(E351="","",C351&amp;"|"&amp;D351)</f>
        <v/>
      </c>
      <c r="AI351" s="27" t="n">
        <f aca="false">IF(M351&lt;&gt;"Sí",0,SUMPRODUCT(MAX(($AH$5:AH350=AH351)*($M$5:M350="Sí")*ROW($AH$5:AH350))))</f>
        <v>0</v>
      </c>
      <c r="AJ351" s="0" t="str">
        <f aca="false">IF(M351&lt;&gt;"Sí","",IF(AL351=1,B351,INDEX($AJ:$AJ,AI351)))</f>
        <v/>
      </c>
      <c r="AK351" s="0" t="str">
        <f aca="false">IF(M351&lt;&gt;"Sí","",IF(AL351=1,E351,INDEX($AK:$AK,AI351)+E351))</f>
        <v/>
      </c>
      <c r="AL351" s="0" t="str">
        <f aca="false">IF(M351&lt;&gt;"Sí","",IF(AI351=0,1,IF(INDEX($AN:$AN,AI351)=0,1,IF(B351&gt;=EDATE(INDEX($AJ:$AJ,AI351),6),1,0))))</f>
        <v/>
      </c>
      <c r="AM351" s="0" t="str">
        <f aca="false">IF(D351="","",IFERROR(MATCH(D351,CATÁLOGO!$C$5:$C$39,0),""))</f>
        <v/>
      </c>
      <c r="AN351" s="0" t="str">
        <f aca="false">IF(M351&lt;&gt;"Sí","",IF(AND(ISNUMBER(AE351),AK351&gt;=AE351),0,1))</f>
        <v/>
      </c>
      <c r="AO351" s="0" t="str">
        <f aca="false">IF(OR(E351="",C351="",NOT(ISNUMBER(B351))),"",SUMIFS($E$6:$E$505,$C$6:$C$505,C351,$B$6:$B$505,"&gt;="&amp;DATE(YEAR(B351),MONTH(B351),1),$B$6:$B$505,"&lt;"&amp;DATE(YEAR(B351),MONTH(B351)+1,1)))</f>
        <v/>
      </c>
      <c r="AP351" s="0" t="str">
        <f aca="false">IF(C351="","",IFERROR(INDEX(CLIENTES!$M$6:$M$305,MATCH(C351,CLIENTES!$A$6:$A$305,0)),""))</f>
        <v/>
      </c>
      <c r="AQ351" s="27" t="n">
        <f aca="false">IF(AND(ISNUMBER(AO351),ISNUMBER(AP351)),IF(AND(AP351&gt;0,AO351&gt;AP351),1,0),0)</f>
        <v>0</v>
      </c>
      <c r="AR351" s="27" t="n">
        <f aca="false">IF(NOT(ISNUMBER(B351)),0,IF(B351&lt;MAX($B$5:B350),1,0))</f>
        <v>0</v>
      </c>
      <c r="AS351" s="0" t="str">
        <f aca="false">IF(C351="","",IFERROR(INDEX(CLIENTES!$H$6:$H$305,MATCH(C351,CLIENTES!$A$6:$A$305,0)),""))</f>
        <v/>
      </c>
      <c r="AT351" s="0" t="str">
        <f aca="false">IF(AND(LEFT(P351,5)="AVISO",T351&lt;&gt;"Presentado",ISNUMBER(Q351)),Q351,"")</f>
        <v/>
      </c>
      <c r="AU351" s="27" t="n">
        <f aca="false">IF(AND(D351="XVI - Activos virtuales (PSAV): operación de intercambio/transferencia",M351="Sí",ISNUMBER(AE351)),IF(AK351&gt;=AE351,1,0),0)</f>
        <v>0</v>
      </c>
      <c r="AV351" s="30" t="n">
        <f aca="false">IF(NOT(ISNUMBER(B351)),CONFIG!$B$4,IFERROR(INDEX(CONFIG!$I$5:$I$14,MATCH(IF(MONTH(B351)=1,YEAR(B351)-1,YEAR(B351)),CONFIG!$H$5:$H$14,0)),CONFIG!$B$4))</f>
        <v>117.31</v>
      </c>
      <c r="AW351" s="27" t="n">
        <f aca="false">IF(AND(LEFT(D351,4)="I - ",ISNUMBER(B351),C351&lt;&gt;""),SUMIFS($E$6:$E$505,$C$6:$C$505,C351,$D$6:$D$505,D351,$B$6:$B$505,"&gt;"&amp;(B351-1),$B$6:$B$505,"&lt;="&amp;B351),0)</f>
        <v>0</v>
      </c>
      <c r="AX351" s="0" t="str">
        <f aca="false">IF(E351="","",IF(AD351="Siempre","AVISO (siempre)",IF(AD351="No aplica","Sin Aviso (sólo preparas: Ley 17 XI)",IF(NOT(ISNUMBER(AE351)),"",IF(AA351&lt;&gt;"ACUMULA",IF(E351&gt;=AE351,IF(AND(D351="XVI - Activos virtuales (PSAV): cobro de contraprestación (comisión) por el servicio",COUNTIFS($C$6:$C$505,C351,$B$6:$B$505,"&gt;="&amp;INT(B351),$B$6:$B$505,"&lt;"&amp;(INT(B351)+1),$AU$6:$AU$505,1)&gt;0),"En el Aviso del inciso a) (R 31 Bis)","AVISO"),"—"),IF(M351&lt;&gt;"Sí","—",IF(AK351&gt;=AE351,IF(AK351=E351,"AVISO","AVISO (acumulado)"),"Acumulando")))))))</f>
        <v/>
      </c>
    </row>
    <row r="352" customFormat="false" ht="15" hidden="false" customHeight="false" outlineLevel="0" collapsed="false">
      <c r="A352" s="9" t="str">
        <f aca="false">IF(E352="","",ROW()-5)</f>
        <v/>
      </c>
      <c r="B352" s="20"/>
      <c r="C352" s="21"/>
      <c r="D352" s="21"/>
      <c r="E352" s="22"/>
      <c r="F352" s="22"/>
      <c r="G352" s="21"/>
      <c r="H352" s="21"/>
      <c r="I352" s="9" t="str">
        <f aca="false">IF(C352="","",IFERROR(INDEX(CLIENTES!$B$6:$B$305,MATCH(C352,CLIENTES!$A$6:$A$305,0)),"⚠ ID no registrado"))</f>
        <v/>
      </c>
      <c r="J352" s="9" t="str">
        <f aca="false">IF(C352="","",IFERROR(INDEX(CLIENTES!$Z$6:$Z$305,MATCH(C352,CLIENTES!$A$6:$A$305,0)),""))</f>
        <v/>
      </c>
      <c r="K352" s="9" t="str">
        <f aca="false">IF(E352="","",IF(AB352="Siempre","Sí",IF(ISNUMBER(AC352),IF(E352&gt;=AC352,"Sí",IF(AW352&gt;=AC352,"Sí (serie 24 h)","No")),"")))</f>
        <v/>
      </c>
      <c r="L352" s="9" t="str">
        <f aca="false">IF(E352="","",AA352)</f>
        <v/>
      </c>
      <c r="M352" s="9" t="str">
        <f aca="false">IF(E352="","",IF(AA352&lt;&gt;"ACUMULA","No aplica",IF(LEFT(K352,2)="Sí","Sí","No")))</f>
        <v/>
      </c>
      <c r="N352" s="23" t="str">
        <f aca="false">IF(M352="Sí",AJ352,"")</f>
        <v/>
      </c>
      <c r="O352" s="24" t="str">
        <f aca="false">IF(M352="Sí",AK352,"")</f>
        <v/>
      </c>
      <c r="P352" s="25" t="str">
        <f aca="false">IF(AND(LEFT(D352,6)="XIV - ",LEFT(AX352,5)="AVISO"),"Pedimento (R 16): no va al SPPLD",AX352)</f>
        <v/>
      </c>
      <c r="Q352" s="23" t="str">
        <f aca="false">IF(LEFT(P352,5)="AVISO",IF(ISNUMBER(B352),DATE(YEAR(B352),MONTH(B352)+1,17),"Falta fecha"),"")</f>
        <v/>
      </c>
      <c r="R352" s="9" t="str">
        <f aca="false">IF(OR(F352="",F352=0),"",IF(ISNUMBER(AG352),IF(F352&gt;=AG352,"PROHIBIDO","Dentro del límite"),"No aplica"))</f>
        <v/>
      </c>
      <c r="S352" s="26" t="str">
        <f aca="false">IF(E352="","",MID(IF(AQ352=1," · Excede el perfil declarado","")&amp;IF(H352="Sí"," · Paga un tercero","")&amp;IF(J352="Alto"," · Cliente de riesgo alto: DDR (RCG 23 Ter 3 y 4)","")&amp;IF(AND(AS352&lt;&gt;"",AS352&lt;&gt;"No",AS352&lt;&gt;0)," · PEP","")&amp;IF(R352="PROHIBIDO"," · Efectivo prohibido: no lo recibas (Art. 32)","")&amp;IF(AR352=1," · ⚠ Fecha fuera de orden","")&amp;IF(LEFT(I352,1)="⚠"," · ⚠ Cliente no registrado","")&amp;IF(D352=""," · ⚠ Falta la actividad","")&amp;IF(AND(LEFT(P352,5)="AVISO",W352="")," · Captura la cifra total con IVA para el Aviso","")&amp;IF(AND(ISNUMBER(W352),W352&lt;E352)," · ⚠ La cifra con IVA es menor que el monto sin IVA",""),4,400))</f>
        <v/>
      </c>
      <c r="T352" s="21"/>
      <c r="U352" s="20"/>
      <c r="V352" s="9" t="str">
        <f aca="false">IF(LEFT(P352,5)&lt;&gt;"AVISO","",IF(T352="Presentado",IF(AND(ISNUMBER(U352),ISNUMBER(Q352),U352&gt;Q352),"Presentado tarde","Presentado"),IF(NOT(ISNUMBER(Q352)),"Falta fecha",IF(Q352&lt;CONFIG!$B$6,"VENCIDO","Vence en "&amp;(Q352-CONFIG!$B$6)&amp;" días"))))</f>
        <v/>
      </c>
      <c r="W352" s="22"/>
      <c r="X352" s="21"/>
      <c r="AA352" s="0" t="str">
        <f aca="false">IF(AM352="","",INDEX(CATÁLOGO!$D$5:$D$39,AM352))</f>
        <v/>
      </c>
      <c r="AB352" s="0" t="str">
        <f aca="false">IF(AM352="","",INDEX(CATÁLOGO!$E$5:$E$39,AM352))</f>
        <v/>
      </c>
      <c r="AC352" s="0" t="str">
        <f aca="false">IF(AB352="","",IF(ISNUMBER(AB352),AB352*AV352,AB352))</f>
        <v/>
      </c>
      <c r="AD352" s="0" t="str">
        <f aca="false">IF(AM352="","",INDEX(CATÁLOGO!$F$5:$F$39,AM352))</f>
        <v/>
      </c>
      <c r="AE352" s="0" t="str">
        <f aca="false">IF(AD352="","",IF(ISNUMBER(AD352),AD352*AV352,AD352))</f>
        <v/>
      </c>
      <c r="AF352" s="0" t="str">
        <f aca="false">IF(AM352="","",INDEX(CATÁLOGO!$G$5:$G$39,AM352))</f>
        <v/>
      </c>
      <c r="AG352" s="0" t="str">
        <f aca="false">IF(AF352="","",IF(ISNUMBER(AF352),AF352*AV352,AF352))</f>
        <v/>
      </c>
      <c r="AH352" s="0" t="str">
        <f aca="false">IF(E352="","",C352&amp;"|"&amp;D352)</f>
        <v/>
      </c>
      <c r="AI352" s="27" t="n">
        <f aca="false">IF(M352&lt;&gt;"Sí",0,SUMPRODUCT(MAX(($AH$5:AH351=AH352)*($M$5:M351="Sí")*ROW($AH$5:AH351))))</f>
        <v>0</v>
      </c>
      <c r="AJ352" s="0" t="str">
        <f aca="false">IF(M352&lt;&gt;"Sí","",IF(AL352=1,B352,INDEX($AJ:$AJ,AI352)))</f>
        <v/>
      </c>
      <c r="AK352" s="0" t="str">
        <f aca="false">IF(M352&lt;&gt;"Sí","",IF(AL352=1,E352,INDEX($AK:$AK,AI352)+E352))</f>
        <v/>
      </c>
      <c r="AL352" s="0" t="str">
        <f aca="false">IF(M352&lt;&gt;"Sí","",IF(AI352=0,1,IF(INDEX($AN:$AN,AI352)=0,1,IF(B352&gt;=EDATE(INDEX($AJ:$AJ,AI352),6),1,0))))</f>
        <v/>
      </c>
      <c r="AM352" s="0" t="str">
        <f aca="false">IF(D352="","",IFERROR(MATCH(D352,CATÁLOGO!$C$5:$C$39,0),""))</f>
        <v/>
      </c>
      <c r="AN352" s="0" t="str">
        <f aca="false">IF(M352&lt;&gt;"Sí","",IF(AND(ISNUMBER(AE352),AK352&gt;=AE352),0,1))</f>
        <v/>
      </c>
      <c r="AO352" s="0" t="str">
        <f aca="false">IF(OR(E352="",C352="",NOT(ISNUMBER(B352))),"",SUMIFS($E$6:$E$505,$C$6:$C$505,C352,$B$6:$B$505,"&gt;="&amp;DATE(YEAR(B352),MONTH(B352),1),$B$6:$B$505,"&lt;"&amp;DATE(YEAR(B352),MONTH(B352)+1,1)))</f>
        <v/>
      </c>
      <c r="AP352" s="0" t="str">
        <f aca="false">IF(C352="","",IFERROR(INDEX(CLIENTES!$M$6:$M$305,MATCH(C352,CLIENTES!$A$6:$A$305,0)),""))</f>
        <v/>
      </c>
      <c r="AQ352" s="27" t="n">
        <f aca="false">IF(AND(ISNUMBER(AO352),ISNUMBER(AP352)),IF(AND(AP352&gt;0,AO352&gt;AP352),1,0),0)</f>
        <v>0</v>
      </c>
      <c r="AR352" s="27" t="n">
        <f aca="false">IF(NOT(ISNUMBER(B352)),0,IF(B352&lt;MAX($B$5:B351),1,0))</f>
        <v>0</v>
      </c>
      <c r="AS352" s="0" t="str">
        <f aca="false">IF(C352="","",IFERROR(INDEX(CLIENTES!$H$6:$H$305,MATCH(C352,CLIENTES!$A$6:$A$305,0)),""))</f>
        <v/>
      </c>
      <c r="AT352" s="0" t="str">
        <f aca="false">IF(AND(LEFT(P352,5)="AVISO",T352&lt;&gt;"Presentado",ISNUMBER(Q352)),Q352,"")</f>
        <v/>
      </c>
      <c r="AU352" s="27" t="n">
        <f aca="false">IF(AND(D352="XVI - Activos virtuales (PSAV): operación de intercambio/transferencia",M352="Sí",ISNUMBER(AE352)),IF(AK352&gt;=AE352,1,0),0)</f>
        <v>0</v>
      </c>
      <c r="AV352" s="30" t="n">
        <f aca="false">IF(NOT(ISNUMBER(B352)),CONFIG!$B$4,IFERROR(INDEX(CONFIG!$I$5:$I$14,MATCH(IF(MONTH(B352)=1,YEAR(B352)-1,YEAR(B352)),CONFIG!$H$5:$H$14,0)),CONFIG!$B$4))</f>
        <v>117.31</v>
      </c>
      <c r="AW352" s="27" t="n">
        <f aca="false">IF(AND(LEFT(D352,4)="I - ",ISNUMBER(B352),C352&lt;&gt;""),SUMIFS($E$6:$E$505,$C$6:$C$505,C352,$D$6:$D$505,D352,$B$6:$B$505,"&gt;"&amp;(B352-1),$B$6:$B$505,"&lt;="&amp;B352),0)</f>
        <v>0</v>
      </c>
      <c r="AX352" s="0" t="str">
        <f aca="false">IF(E352="","",IF(AD352="Siempre","AVISO (siempre)",IF(AD352="No aplica","Sin Aviso (sólo preparas: Ley 17 XI)",IF(NOT(ISNUMBER(AE352)),"",IF(AA352&lt;&gt;"ACUMULA",IF(E352&gt;=AE352,IF(AND(D352="XVI - Activos virtuales (PSAV): cobro de contraprestación (comisión) por el servicio",COUNTIFS($C$6:$C$505,C352,$B$6:$B$505,"&gt;="&amp;INT(B352),$B$6:$B$505,"&lt;"&amp;(INT(B352)+1),$AU$6:$AU$505,1)&gt;0),"En el Aviso del inciso a) (R 31 Bis)","AVISO"),"—"),IF(M352&lt;&gt;"Sí","—",IF(AK352&gt;=AE352,IF(AK352=E352,"AVISO","AVISO (acumulado)"),"Acumulando")))))))</f>
        <v/>
      </c>
    </row>
    <row r="353" customFormat="false" ht="15" hidden="false" customHeight="false" outlineLevel="0" collapsed="false">
      <c r="A353" s="9" t="str">
        <f aca="false">IF(E353="","",ROW()-5)</f>
        <v/>
      </c>
      <c r="B353" s="20"/>
      <c r="C353" s="21"/>
      <c r="D353" s="21"/>
      <c r="E353" s="22"/>
      <c r="F353" s="22"/>
      <c r="G353" s="21"/>
      <c r="H353" s="21"/>
      <c r="I353" s="9" t="str">
        <f aca="false">IF(C353="","",IFERROR(INDEX(CLIENTES!$B$6:$B$305,MATCH(C353,CLIENTES!$A$6:$A$305,0)),"⚠ ID no registrado"))</f>
        <v/>
      </c>
      <c r="J353" s="9" t="str">
        <f aca="false">IF(C353="","",IFERROR(INDEX(CLIENTES!$Z$6:$Z$305,MATCH(C353,CLIENTES!$A$6:$A$305,0)),""))</f>
        <v/>
      </c>
      <c r="K353" s="9" t="str">
        <f aca="false">IF(E353="","",IF(AB353="Siempre","Sí",IF(ISNUMBER(AC353),IF(E353&gt;=AC353,"Sí",IF(AW353&gt;=AC353,"Sí (serie 24 h)","No")),"")))</f>
        <v/>
      </c>
      <c r="L353" s="9" t="str">
        <f aca="false">IF(E353="","",AA353)</f>
        <v/>
      </c>
      <c r="M353" s="9" t="str">
        <f aca="false">IF(E353="","",IF(AA353&lt;&gt;"ACUMULA","No aplica",IF(LEFT(K353,2)="Sí","Sí","No")))</f>
        <v/>
      </c>
      <c r="N353" s="23" t="str">
        <f aca="false">IF(M353="Sí",AJ353,"")</f>
        <v/>
      </c>
      <c r="O353" s="24" t="str">
        <f aca="false">IF(M353="Sí",AK353,"")</f>
        <v/>
      </c>
      <c r="P353" s="25" t="str">
        <f aca="false">IF(AND(LEFT(D353,6)="XIV - ",LEFT(AX353,5)="AVISO"),"Pedimento (R 16): no va al SPPLD",AX353)</f>
        <v/>
      </c>
      <c r="Q353" s="23" t="str">
        <f aca="false">IF(LEFT(P353,5)="AVISO",IF(ISNUMBER(B353),DATE(YEAR(B353),MONTH(B353)+1,17),"Falta fecha"),"")</f>
        <v/>
      </c>
      <c r="R353" s="9" t="str">
        <f aca="false">IF(OR(F353="",F353=0),"",IF(ISNUMBER(AG353),IF(F353&gt;=AG353,"PROHIBIDO","Dentro del límite"),"No aplica"))</f>
        <v/>
      </c>
      <c r="S353" s="26" t="str">
        <f aca="false">IF(E353="","",MID(IF(AQ353=1," · Excede el perfil declarado","")&amp;IF(H353="Sí"," · Paga un tercero","")&amp;IF(J353="Alto"," · Cliente de riesgo alto: DDR (RCG 23 Ter 3 y 4)","")&amp;IF(AND(AS353&lt;&gt;"",AS353&lt;&gt;"No",AS353&lt;&gt;0)," · PEP","")&amp;IF(R353="PROHIBIDO"," · Efectivo prohibido: no lo recibas (Art. 32)","")&amp;IF(AR353=1," · ⚠ Fecha fuera de orden","")&amp;IF(LEFT(I353,1)="⚠"," · ⚠ Cliente no registrado","")&amp;IF(D353=""," · ⚠ Falta la actividad","")&amp;IF(AND(LEFT(P353,5)="AVISO",W353="")," · Captura la cifra total con IVA para el Aviso","")&amp;IF(AND(ISNUMBER(W353),W353&lt;E353)," · ⚠ La cifra con IVA es menor que el monto sin IVA",""),4,400))</f>
        <v/>
      </c>
      <c r="T353" s="21"/>
      <c r="U353" s="20"/>
      <c r="V353" s="9" t="str">
        <f aca="false">IF(LEFT(P353,5)&lt;&gt;"AVISO","",IF(T353="Presentado",IF(AND(ISNUMBER(U353),ISNUMBER(Q353),U353&gt;Q353),"Presentado tarde","Presentado"),IF(NOT(ISNUMBER(Q353)),"Falta fecha",IF(Q353&lt;CONFIG!$B$6,"VENCIDO","Vence en "&amp;(Q353-CONFIG!$B$6)&amp;" días"))))</f>
        <v/>
      </c>
      <c r="W353" s="22"/>
      <c r="X353" s="21"/>
      <c r="AA353" s="0" t="str">
        <f aca="false">IF(AM353="","",INDEX(CATÁLOGO!$D$5:$D$39,AM353))</f>
        <v/>
      </c>
      <c r="AB353" s="0" t="str">
        <f aca="false">IF(AM353="","",INDEX(CATÁLOGO!$E$5:$E$39,AM353))</f>
        <v/>
      </c>
      <c r="AC353" s="0" t="str">
        <f aca="false">IF(AB353="","",IF(ISNUMBER(AB353),AB353*AV353,AB353))</f>
        <v/>
      </c>
      <c r="AD353" s="0" t="str">
        <f aca="false">IF(AM353="","",INDEX(CATÁLOGO!$F$5:$F$39,AM353))</f>
        <v/>
      </c>
      <c r="AE353" s="0" t="str">
        <f aca="false">IF(AD353="","",IF(ISNUMBER(AD353),AD353*AV353,AD353))</f>
        <v/>
      </c>
      <c r="AF353" s="0" t="str">
        <f aca="false">IF(AM353="","",INDEX(CATÁLOGO!$G$5:$G$39,AM353))</f>
        <v/>
      </c>
      <c r="AG353" s="0" t="str">
        <f aca="false">IF(AF353="","",IF(ISNUMBER(AF353),AF353*AV353,AF353))</f>
        <v/>
      </c>
      <c r="AH353" s="0" t="str">
        <f aca="false">IF(E353="","",C353&amp;"|"&amp;D353)</f>
        <v/>
      </c>
      <c r="AI353" s="27" t="n">
        <f aca="false">IF(M353&lt;&gt;"Sí",0,SUMPRODUCT(MAX(($AH$5:AH352=AH353)*($M$5:M352="Sí")*ROW($AH$5:AH352))))</f>
        <v>0</v>
      </c>
      <c r="AJ353" s="0" t="str">
        <f aca="false">IF(M353&lt;&gt;"Sí","",IF(AL353=1,B353,INDEX($AJ:$AJ,AI353)))</f>
        <v/>
      </c>
      <c r="AK353" s="0" t="str">
        <f aca="false">IF(M353&lt;&gt;"Sí","",IF(AL353=1,E353,INDEX($AK:$AK,AI353)+E353))</f>
        <v/>
      </c>
      <c r="AL353" s="0" t="str">
        <f aca="false">IF(M353&lt;&gt;"Sí","",IF(AI353=0,1,IF(INDEX($AN:$AN,AI353)=0,1,IF(B353&gt;=EDATE(INDEX($AJ:$AJ,AI353),6),1,0))))</f>
        <v/>
      </c>
      <c r="AM353" s="0" t="str">
        <f aca="false">IF(D353="","",IFERROR(MATCH(D353,CATÁLOGO!$C$5:$C$39,0),""))</f>
        <v/>
      </c>
      <c r="AN353" s="0" t="str">
        <f aca="false">IF(M353&lt;&gt;"Sí","",IF(AND(ISNUMBER(AE353),AK353&gt;=AE353),0,1))</f>
        <v/>
      </c>
      <c r="AO353" s="0" t="str">
        <f aca="false">IF(OR(E353="",C353="",NOT(ISNUMBER(B353))),"",SUMIFS($E$6:$E$505,$C$6:$C$505,C353,$B$6:$B$505,"&gt;="&amp;DATE(YEAR(B353),MONTH(B353),1),$B$6:$B$505,"&lt;"&amp;DATE(YEAR(B353),MONTH(B353)+1,1)))</f>
        <v/>
      </c>
      <c r="AP353" s="0" t="str">
        <f aca="false">IF(C353="","",IFERROR(INDEX(CLIENTES!$M$6:$M$305,MATCH(C353,CLIENTES!$A$6:$A$305,0)),""))</f>
        <v/>
      </c>
      <c r="AQ353" s="27" t="n">
        <f aca="false">IF(AND(ISNUMBER(AO353),ISNUMBER(AP353)),IF(AND(AP353&gt;0,AO353&gt;AP353),1,0),0)</f>
        <v>0</v>
      </c>
      <c r="AR353" s="27" t="n">
        <f aca="false">IF(NOT(ISNUMBER(B353)),0,IF(B353&lt;MAX($B$5:B352),1,0))</f>
        <v>0</v>
      </c>
      <c r="AS353" s="0" t="str">
        <f aca="false">IF(C353="","",IFERROR(INDEX(CLIENTES!$H$6:$H$305,MATCH(C353,CLIENTES!$A$6:$A$305,0)),""))</f>
        <v/>
      </c>
      <c r="AT353" s="0" t="str">
        <f aca="false">IF(AND(LEFT(P353,5)="AVISO",T353&lt;&gt;"Presentado",ISNUMBER(Q353)),Q353,"")</f>
        <v/>
      </c>
      <c r="AU353" s="27" t="n">
        <f aca="false">IF(AND(D353="XVI - Activos virtuales (PSAV): operación de intercambio/transferencia",M353="Sí",ISNUMBER(AE353)),IF(AK353&gt;=AE353,1,0),0)</f>
        <v>0</v>
      </c>
      <c r="AV353" s="30" t="n">
        <f aca="false">IF(NOT(ISNUMBER(B353)),CONFIG!$B$4,IFERROR(INDEX(CONFIG!$I$5:$I$14,MATCH(IF(MONTH(B353)=1,YEAR(B353)-1,YEAR(B353)),CONFIG!$H$5:$H$14,0)),CONFIG!$B$4))</f>
        <v>117.31</v>
      </c>
      <c r="AW353" s="27" t="n">
        <f aca="false">IF(AND(LEFT(D353,4)="I - ",ISNUMBER(B353),C353&lt;&gt;""),SUMIFS($E$6:$E$505,$C$6:$C$505,C353,$D$6:$D$505,D353,$B$6:$B$505,"&gt;"&amp;(B353-1),$B$6:$B$505,"&lt;="&amp;B353),0)</f>
        <v>0</v>
      </c>
      <c r="AX353" s="0" t="str">
        <f aca="false">IF(E353="","",IF(AD353="Siempre","AVISO (siempre)",IF(AD353="No aplica","Sin Aviso (sólo preparas: Ley 17 XI)",IF(NOT(ISNUMBER(AE353)),"",IF(AA353&lt;&gt;"ACUMULA",IF(E353&gt;=AE353,IF(AND(D353="XVI - Activos virtuales (PSAV): cobro de contraprestación (comisión) por el servicio",COUNTIFS($C$6:$C$505,C353,$B$6:$B$505,"&gt;="&amp;INT(B353),$B$6:$B$505,"&lt;"&amp;(INT(B353)+1),$AU$6:$AU$505,1)&gt;0),"En el Aviso del inciso a) (R 31 Bis)","AVISO"),"—"),IF(M353&lt;&gt;"Sí","—",IF(AK353&gt;=AE353,IF(AK353=E353,"AVISO","AVISO (acumulado)"),"Acumulando")))))))</f>
        <v/>
      </c>
    </row>
    <row r="354" customFormat="false" ht="15" hidden="false" customHeight="false" outlineLevel="0" collapsed="false">
      <c r="A354" s="9" t="str">
        <f aca="false">IF(E354="","",ROW()-5)</f>
        <v/>
      </c>
      <c r="B354" s="20"/>
      <c r="C354" s="21"/>
      <c r="D354" s="21"/>
      <c r="E354" s="22"/>
      <c r="F354" s="22"/>
      <c r="G354" s="21"/>
      <c r="H354" s="21"/>
      <c r="I354" s="9" t="str">
        <f aca="false">IF(C354="","",IFERROR(INDEX(CLIENTES!$B$6:$B$305,MATCH(C354,CLIENTES!$A$6:$A$305,0)),"⚠ ID no registrado"))</f>
        <v/>
      </c>
      <c r="J354" s="9" t="str">
        <f aca="false">IF(C354="","",IFERROR(INDEX(CLIENTES!$Z$6:$Z$305,MATCH(C354,CLIENTES!$A$6:$A$305,0)),""))</f>
        <v/>
      </c>
      <c r="K354" s="9" t="str">
        <f aca="false">IF(E354="","",IF(AB354="Siempre","Sí",IF(ISNUMBER(AC354),IF(E354&gt;=AC354,"Sí",IF(AW354&gt;=AC354,"Sí (serie 24 h)","No")),"")))</f>
        <v/>
      </c>
      <c r="L354" s="9" t="str">
        <f aca="false">IF(E354="","",AA354)</f>
        <v/>
      </c>
      <c r="M354" s="9" t="str">
        <f aca="false">IF(E354="","",IF(AA354&lt;&gt;"ACUMULA","No aplica",IF(LEFT(K354,2)="Sí","Sí","No")))</f>
        <v/>
      </c>
      <c r="N354" s="23" t="str">
        <f aca="false">IF(M354="Sí",AJ354,"")</f>
        <v/>
      </c>
      <c r="O354" s="24" t="str">
        <f aca="false">IF(M354="Sí",AK354,"")</f>
        <v/>
      </c>
      <c r="P354" s="25" t="str">
        <f aca="false">IF(AND(LEFT(D354,6)="XIV - ",LEFT(AX354,5)="AVISO"),"Pedimento (R 16): no va al SPPLD",AX354)</f>
        <v/>
      </c>
      <c r="Q354" s="23" t="str">
        <f aca="false">IF(LEFT(P354,5)="AVISO",IF(ISNUMBER(B354),DATE(YEAR(B354),MONTH(B354)+1,17),"Falta fecha"),"")</f>
        <v/>
      </c>
      <c r="R354" s="9" t="str">
        <f aca="false">IF(OR(F354="",F354=0),"",IF(ISNUMBER(AG354),IF(F354&gt;=AG354,"PROHIBIDO","Dentro del límite"),"No aplica"))</f>
        <v/>
      </c>
      <c r="S354" s="26" t="str">
        <f aca="false">IF(E354="","",MID(IF(AQ354=1," · Excede el perfil declarado","")&amp;IF(H354="Sí"," · Paga un tercero","")&amp;IF(J354="Alto"," · Cliente de riesgo alto: DDR (RCG 23 Ter 3 y 4)","")&amp;IF(AND(AS354&lt;&gt;"",AS354&lt;&gt;"No",AS354&lt;&gt;0)," · PEP","")&amp;IF(R354="PROHIBIDO"," · Efectivo prohibido: no lo recibas (Art. 32)","")&amp;IF(AR354=1," · ⚠ Fecha fuera de orden","")&amp;IF(LEFT(I354,1)="⚠"," · ⚠ Cliente no registrado","")&amp;IF(D354=""," · ⚠ Falta la actividad","")&amp;IF(AND(LEFT(P354,5)="AVISO",W354="")," · Captura la cifra total con IVA para el Aviso","")&amp;IF(AND(ISNUMBER(W354),W354&lt;E354)," · ⚠ La cifra con IVA es menor que el monto sin IVA",""),4,400))</f>
        <v/>
      </c>
      <c r="T354" s="21"/>
      <c r="U354" s="20"/>
      <c r="V354" s="9" t="str">
        <f aca="false">IF(LEFT(P354,5)&lt;&gt;"AVISO","",IF(T354="Presentado",IF(AND(ISNUMBER(U354),ISNUMBER(Q354),U354&gt;Q354),"Presentado tarde","Presentado"),IF(NOT(ISNUMBER(Q354)),"Falta fecha",IF(Q354&lt;CONFIG!$B$6,"VENCIDO","Vence en "&amp;(Q354-CONFIG!$B$6)&amp;" días"))))</f>
        <v/>
      </c>
      <c r="W354" s="22"/>
      <c r="X354" s="21"/>
      <c r="AA354" s="0" t="str">
        <f aca="false">IF(AM354="","",INDEX(CATÁLOGO!$D$5:$D$39,AM354))</f>
        <v/>
      </c>
      <c r="AB354" s="0" t="str">
        <f aca="false">IF(AM354="","",INDEX(CATÁLOGO!$E$5:$E$39,AM354))</f>
        <v/>
      </c>
      <c r="AC354" s="0" t="str">
        <f aca="false">IF(AB354="","",IF(ISNUMBER(AB354),AB354*AV354,AB354))</f>
        <v/>
      </c>
      <c r="AD354" s="0" t="str">
        <f aca="false">IF(AM354="","",INDEX(CATÁLOGO!$F$5:$F$39,AM354))</f>
        <v/>
      </c>
      <c r="AE354" s="0" t="str">
        <f aca="false">IF(AD354="","",IF(ISNUMBER(AD354),AD354*AV354,AD354))</f>
        <v/>
      </c>
      <c r="AF354" s="0" t="str">
        <f aca="false">IF(AM354="","",INDEX(CATÁLOGO!$G$5:$G$39,AM354))</f>
        <v/>
      </c>
      <c r="AG354" s="0" t="str">
        <f aca="false">IF(AF354="","",IF(ISNUMBER(AF354),AF354*AV354,AF354))</f>
        <v/>
      </c>
      <c r="AH354" s="0" t="str">
        <f aca="false">IF(E354="","",C354&amp;"|"&amp;D354)</f>
        <v/>
      </c>
      <c r="AI354" s="27" t="n">
        <f aca="false">IF(M354&lt;&gt;"Sí",0,SUMPRODUCT(MAX(($AH$5:AH353=AH354)*($M$5:M353="Sí")*ROW($AH$5:AH353))))</f>
        <v>0</v>
      </c>
      <c r="AJ354" s="0" t="str">
        <f aca="false">IF(M354&lt;&gt;"Sí","",IF(AL354=1,B354,INDEX($AJ:$AJ,AI354)))</f>
        <v/>
      </c>
      <c r="AK354" s="0" t="str">
        <f aca="false">IF(M354&lt;&gt;"Sí","",IF(AL354=1,E354,INDEX($AK:$AK,AI354)+E354))</f>
        <v/>
      </c>
      <c r="AL354" s="0" t="str">
        <f aca="false">IF(M354&lt;&gt;"Sí","",IF(AI354=0,1,IF(INDEX($AN:$AN,AI354)=0,1,IF(B354&gt;=EDATE(INDEX($AJ:$AJ,AI354),6),1,0))))</f>
        <v/>
      </c>
      <c r="AM354" s="0" t="str">
        <f aca="false">IF(D354="","",IFERROR(MATCH(D354,CATÁLOGO!$C$5:$C$39,0),""))</f>
        <v/>
      </c>
      <c r="AN354" s="0" t="str">
        <f aca="false">IF(M354&lt;&gt;"Sí","",IF(AND(ISNUMBER(AE354),AK354&gt;=AE354),0,1))</f>
        <v/>
      </c>
      <c r="AO354" s="0" t="str">
        <f aca="false">IF(OR(E354="",C354="",NOT(ISNUMBER(B354))),"",SUMIFS($E$6:$E$505,$C$6:$C$505,C354,$B$6:$B$505,"&gt;="&amp;DATE(YEAR(B354),MONTH(B354),1),$B$6:$B$505,"&lt;"&amp;DATE(YEAR(B354),MONTH(B354)+1,1)))</f>
        <v/>
      </c>
      <c r="AP354" s="0" t="str">
        <f aca="false">IF(C354="","",IFERROR(INDEX(CLIENTES!$M$6:$M$305,MATCH(C354,CLIENTES!$A$6:$A$305,0)),""))</f>
        <v/>
      </c>
      <c r="AQ354" s="27" t="n">
        <f aca="false">IF(AND(ISNUMBER(AO354),ISNUMBER(AP354)),IF(AND(AP354&gt;0,AO354&gt;AP354),1,0),0)</f>
        <v>0</v>
      </c>
      <c r="AR354" s="27" t="n">
        <f aca="false">IF(NOT(ISNUMBER(B354)),0,IF(B354&lt;MAX($B$5:B353),1,0))</f>
        <v>0</v>
      </c>
      <c r="AS354" s="0" t="str">
        <f aca="false">IF(C354="","",IFERROR(INDEX(CLIENTES!$H$6:$H$305,MATCH(C354,CLIENTES!$A$6:$A$305,0)),""))</f>
        <v/>
      </c>
      <c r="AT354" s="0" t="str">
        <f aca="false">IF(AND(LEFT(P354,5)="AVISO",T354&lt;&gt;"Presentado",ISNUMBER(Q354)),Q354,"")</f>
        <v/>
      </c>
      <c r="AU354" s="27" t="n">
        <f aca="false">IF(AND(D354="XVI - Activos virtuales (PSAV): operación de intercambio/transferencia",M354="Sí",ISNUMBER(AE354)),IF(AK354&gt;=AE354,1,0),0)</f>
        <v>0</v>
      </c>
      <c r="AV354" s="30" t="n">
        <f aca="false">IF(NOT(ISNUMBER(B354)),CONFIG!$B$4,IFERROR(INDEX(CONFIG!$I$5:$I$14,MATCH(IF(MONTH(B354)=1,YEAR(B354)-1,YEAR(B354)),CONFIG!$H$5:$H$14,0)),CONFIG!$B$4))</f>
        <v>117.31</v>
      </c>
      <c r="AW354" s="27" t="n">
        <f aca="false">IF(AND(LEFT(D354,4)="I - ",ISNUMBER(B354),C354&lt;&gt;""),SUMIFS($E$6:$E$505,$C$6:$C$505,C354,$D$6:$D$505,D354,$B$6:$B$505,"&gt;"&amp;(B354-1),$B$6:$B$505,"&lt;="&amp;B354),0)</f>
        <v>0</v>
      </c>
      <c r="AX354" s="0" t="str">
        <f aca="false">IF(E354="","",IF(AD354="Siempre","AVISO (siempre)",IF(AD354="No aplica","Sin Aviso (sólo preparas: Ley 17 XI)",IF(NOT(ISNUMBER(AE354)),"",IF(AA354&lt;&gt;"ACUMULA",IF(E354&gt;=AE354,IF(AND(D354="XVI - Activos virtuales (PSAV): cobro de contraprestación (comisión) por el servicio",COUNTIFS($C$6:$C$505,C354,$B$6:$B$505,"&gt;="&amp;INT(B354),$B$6:$B$505,"&lt;"&amp;(INT(B354)+1),$AU$6:$AU$505,1)&gt;0),"En el Aviso del inciso a) (R 31 Bis)","AVISO"),"—"),IF(M354&lt;&gt;"Sí","—",IF(AK354&gt;=AE354,IF(AK354=E354,"AVISO","AVISO (acumulado)"),"Acumulando")))))))</f>
        <v/>
      </c>
    </row>
    <row r="355" customFormat="false" ht="15" hidden="false" customHeight="false" outlineLevel="0" collapsed="false">
      <c r="A355" s="9" t="str">
        <f aca="false">IF(E355="","",ROW()-5)</f>
        <v/>
      </c>
      <c r="B355" s="20"/>
      <c r="C355" s="21"/>
      <c r="D355" s="21"/>
      <c r="E355" s="22"/>
      <c r="F355" s="22"/>
      <c r="G355" s="21"/>
      <c r="H355" s="21"/>
      <c r="I355" s="9" t="str">
        <f aca="false">IF(C355="","",IFERROR(INDEX(CLIENTES!$B$6:$B$305,MATCH(C355,CLIENTES!$A$6:$A$305,0)),"⚠ ID no registrado"))</f>
        <v/>
      </c>
      <c r="J355" s="9" t="str">
        <f aca="false">IF(C355="","",IFERROR(INDEX(CLIENTES!$Z$6:$Z$305,MATCH(C355,CLIENTES!$A$6:$A$305,0)),""))</f>
        <v/>
      </c>
      <c r="K355" s="9" t="str">
        <f aca="false">IF(E355="","",IF(AB355="Siempre","Sí",IF(ISNUMBER(AC355),IF(E355&gt;=AC355,"Sí",IF(AW355&gt;=AC355,"Sí (serie 24 h)","No")),"")))</f>
        <v/>
      </c>
      <c r="L355" s="9" t="str">
        <f aca="false">IF(E355="","",AA355)</f>
        <v/>
      </c>
      <c r="M355" s="9" t="str">
        <f aca="false">IF(E355="","",IF(AA355&lt;&gt;"ACUMULA","No aplica",IF(LEFT(K355,2)="Sí","Sí","No")))</f>
        <v/>
      </c>
      <c r="N355" s="23" t="str">
        <f aca="false">IF(M355="Sí",AJ355,"")</f>
        <v/>
      </c>
      <c r="O355" s="24" t="str">
        <f aca="false">IF(M355="Sí",AK355,"")</f>
        <v/>
      </c>
      <c r="P355" s="25" t="str">
        <f aca="false">IF(AND(LEFT(D355,6)="XIV - ",LEFT(AX355,5)="AVISO"),"Pedimento (R 16): no va al SPPLD",AX355)</f>
        <v/>
      </c>
      <c r="Q355" s="23" t="str">
        <f aca="false">IF(LEFT(P355,5)="AVISO",IF(ISNUMBER(B355),DATE(YEAR(B355),MONTH(B355)+1,17),"Falta fecha"),"")</f>
        <v/>
      </c>
      <c r="R355" s="9" t="str">
        <f aca="false">IF(OR(F355="",F355=0),"",IF(ISNUMBER(AG355),IF(F355&gt;=AG355,"PROHIBIDO","Dentro del límite"),"No aplica"))</f>
        <v/>
      </c>
      <c r="S355" s="26" t="str">
        <f aca="false">IF(E355="","",MID(IF(AQ355=1," · Excede el perfil declarado","")&amp;IF(H355="Sí"," · Paga un tercero","")&amp;IF(J355="Alto"," · Cliente de riesgo alto: DDR (RCG 23 Ter 3 y 4)","")&amp;IF(AND(AS355&lt;&gt;"",AS355&lt;&gt;"No",AS355&lt;&gt;0)," · PEP","")&amp;IF(R355="PROHIBIDO"," · Efectivo prohibido: no lo recibas (Art. 32)","")&amp;IF(AR355=1," · ⚠ Fecha fuera de orden","")&amp;IF(LEFT(I355,1)="⚠"," · ⚠ Cliente no registrado","")&amp;IF(D355=""," · ⚠ Falta la actividad","")&amp;IF(AND(LEFT(P355,5)="AVISO",W355="")," · Captura la cifra total con IVA para el Aviso","")&amp;IF(AND(ISNUMBER(W355),W355&lt;E355)," · ⚠ La cifra con IVA es menor que el monto sin IVA",""),4,400))</f>
        <v/>
      </c>
      <c r="T355" s="21"/>
      <c r="U355" s="20"/>
      <c r="V355" s="9" t="str">
        <f aca="false">IF(LEFT(P355,5)&lt;&gt;"AVISO","",IF(T355="Presentado",IF(AND(ISNUMBER(U355),ISNUMBER(Q355),U355&gt;Q355),"Presentado tarde","Presentado"),IF(NOT(ISNUMBER(Q355)),"Falta fecha",IF(Q355&lt;CONFIG!$B$6,"VENCIDO","Vence en "&amp;(Q355-CONFIG!$B$6)&amp;" días"))))</f>
        <v/>
      </c>
      <c r="W355" s="22"/>
      <c r="X355" s="21"/>
      <c r="AA355" s="0" t="str">
        <f aca="false">IF(AM355="","",INDEX(CATÁLOGO!$D$5:$D$39,AM355))</f>
        <v/>
      </c>
      <c r="AB355" s="0" t="str">
        <f aca="false">IF(AM355="","",INDEX(CATÁLOGO!$E$5:$E$39,AM355))</f>
        <v/>
      </c>
      <c r="AC355" s="0" t="str">
        <f aca="false">IF(AB355="","",IF(ISNUMBER(AB355),AB355*AV355,AB355))</f>
        <v/>
      </c>
      <c r="AD355" s="0" t="str">
        <f aca="false">IF(AM355="","",INDEX(CATÁLOGO!$F$5:$F$39,AM355))</f>
        <v/>
      </c>
      <c r="AE355" s="0" t="str">
        <f aca="false">IF(AD355="","",IF(ISNUMBER(AD355),AD355*AV355,AD355))</f>
        <v/>
      </c>
      <c r="AF355" s="0" t="str">
        <f aca="false">IF(AM355="","",INDEX(CATÁLOGO!$G$5:$G$39,AM355))</f>
        <v/>
      </c>
      <c r="AG355" s="0" t="str">
        <f aca="false">IF(AF355="","",IF(ISNUMBER(AF355),AF355*AV355,AF355))</f>
        <v/>
      </c>
      <c r="AH355" s="0" t="str">
        <f aca="false">IF(E355="","",C355&amp;"|"&amp;D355)</f>
        <v/>
      </c>
      <c r="AI355" s="27" t="n">
        <f aca="false">IF(M355&lt;&gt;"Sí",0,SUMPRODUCT(MAX(($AH$5:AH354=AH355)*($M$5:M354="Sí")*ROW($AH$5:AH354))))</f>
        <v>0</v>
      </c>
      <c r="AJ355" s="0" t="str">
        <f aca="false">IF(M355&lt;&gt;"Sí","",IF(AL355=1,B355,INDEX($AJ:$AJ,AI355)))</f>
        <v/>
      </c>
      <c r="AK355" s="0" t="str">
        <f aca="false">IF(M355&lt;&gt;"Sí","",IF(AL355=1,E355,INDEX($AK:$AK,AI355)+E355))</f>
        <v/>
      </c>
      <c r="AL355" s="0" t="str">
        <f aca="false">IF(M355&lt;&gt;"Sí","",IF(AI355=0,1,IF(INDEX($AN:$AN,AI355)=0,1,IF(B355&gt;=EDATE(INDEX($AJ:$AJ,AI355),6),1,0))))</f>
        <v/>
      </c>
      <c r="AM355" s="0" t="str">
        <f aca="false">IF(D355="","",IFERROR(MATCH(D355,CATÁLOGO!$C$5:$C$39,0),""))</f>
        <v/>
      </c>
      <c r="AN355" s="0" t="str">
        <f aca="false">IF(M355&lt;&gt;"Sí","",IF(AND(ISNUMBER(AE355),AK355&gt;=AE355),0,1))</f>
        <v/>
      </c>
      <c r="AO355" s="0" t="str">
        <f aca="false">IF(OR(E355="",C355="",NOT(ISNUMBER(B355))),"",SUMIFS($E$6:$E$505,$C$6:$C$505,C355,$B$6:$B$505,"&gt;="&amp;DATE(YEAR(B355),MONTH(B355),1),$B$6:$B$505,"&lt;"&amp;DATE(YEAR(B355),MONTH(B355)+1,1)))</f>
        <v/>
      </c>
      <c r="AP355" s="0" t="str">
        <f aca="false">IF(C355="","",IFERROR(INDEX(CLIENTES!$M$6:$M$305,MATCH(C355,CLIENTES!$A$6:$A$305,0)),""))</f>
        <v/>
      </c>
      <c r="AQ355" s="27" t="n">
        <f aca="false">IF(AND(ISNUMBER(AO355),ISNUMBER(AP355)),IF(AND(AP355&gt;0,AO355&gt;AP355),1,0),0)</f>
        <v>0</v>
      </c>
      <c r="AR355" s="27" t="n">
        <f aca="false">IF(NOT(ISNUMBER(B355)),0,IF(B355&lt;MAX($B$5:B354),1,0))</f>
        <v>0</v>
      </c>
      <c r="AS355" s="0" t="str">
        <f aca="false">IF(C355="","",IFERROR(INDEX(CLIENTES!$H$6:$H$305,MATCH(C355,CLIENTES!$A$6:$A$305,0)),""))</f>
        <v/>
      </c>
      <c r="AT355" s="0" t="str">
        <f aca="false">IF(AND(LEFT(P355,5)="AVISO",T355&lt;&gt;"Presentado",ISNUMBER(Q355)),Q355,"")</f>
        <v/>
      </c>
      <c r="AU355" s="27" t="n">
        <f aca="false">IF(AND(D355="XVI - Activos virtuales (PSAV): operación de intercambio/transferencia",M355="Sí",ISNUMBER(AE355)),IF(AK355&gt;=AE355,1,0),0)</f>
        <v>0</v>
      </c>
      <c r="AV355" s="30" t="n">
        <f aca="false">IF(NOT(ISNUMBER(B355)),CONFIG!$B$4,IFERROR(INDEX(CONFIG!$I$5:$I$14,MATCH(IF(MONTH(B355)=1,YEAR(B355)-1,YEAR(B355)),CONFIG!$H$5:$H$14,0)),CONFIG!$B$4))</f>
        <v>117.31</v>
      </c>
      <c r="AW355" s="27" t="n">
        <f aca="false">IF(AND(LEFT(D355,4)="I - ",ISNUMBER(B355),C355&lt;&gt;""),SUMIFS($E$6:$E$505,$C$6:$C$505,C355,$D$6:$D$505,D355,$B$6:$B$505,"&gt;"&amp;(B355-1),$B$6:$B$505,"&lt;="&amp;B355),0)</f>
        <v>0</v>
      </c>
      <c r="AX355" s="0" t="str">
        <f aca="false">IF(E355="","",IF(AD355="Siempre","AVISO (siempre)",IF(AD355="No aplica","Sin Aviso (sólo preparas: Ley 17 XI)",IF(NOT(ISNUMBER(AE355)),"",IF(AA355&lt;&gt;"ACUMULA",IF(E355&gt;=AE355,IF(AND(D355="XVI - Activos virtuales (PSAV): cobro de contraprestación (comisión) por el servicio",COUNTIFS($C$6:$C$505,C355,$B$6:$B$505,"&gt;="&amp;INT(B355),$B$6:$B$505,"&lt;"&amp;(INT(B355)+1),$AU$6:$AU$505,1)&gt;0),"En el Aviso del inciso a) (R 31 Bis)","AVISO"),"—"),IF(M355&lt;&gt;"Sí","—",IF(AK355&gt;=AE355,IF(AK355=E355,"AVISO","AVISO (acumulado)"),"Acumulando")))))))</f>
        <v/>
      </c>
    </row>
    <row r="356" customFormat="false" ht="15" hidden="false" customHeight="false" outlineLevel="0" collapsed="false">
      <c r="A356" s="9" t="str">
        <f aca="false">IF(E356="","",ROW()-5)</f>
        <v/>
      </c>
      <c r="B356" s="20"/>
      <c r="C356" s="21"/>
      <c r="D356" s="21"/>
      <c r="E356" s="22"/>
      <c r="F356" s="22"/>
      <c r="G356" s="21"/>
      <c r="H356" s="21"/>
      <c r="I356" s="9" t="str">
        <f aca="false">IF(C356="","",IFERROR(INDEX(CLIENTES!$B$6:$B$305,MATCH(C356,CLIENTES!$A$6:$A$305,0)),"⚠ ID no registrado"))</f>
        <v/>
      </c>
      <c r="J356" s="9" t="str">
        <f aca="false">IF(C356="","",IFERROR(INDEX(CLIENTES!$Z$6:$Z$305,MATCH(C356,CLIENTES!$A$6:$A$305,0)),""))</f>
        <v/>
      </c>
      <c r="K356" s="9" t="str">
        <f aca="false">IF(E356="","",IF(AB356="Siempre","Sí",IF(ISNUMBER(AC356),IF(E356&gt;=AC356,"Sí",IF(AW356&gt;=AC356,"Sí (serie 24 h)","No")),"")))</f>
        <v/>
      </c>
      <c r="L356" s="9" t="str">
        <f aca="false">IF(E356="","",AA356)</f>
        <v/>
      </c>
      <c r="M356" s="9" t="str">
        <f aca="false">IF(E356="","",IF(AA356&lt;&gt;"ACUMULA","No aplica",IF(LEFT(K356,2)="Sí","Sí","No")))</f>
        <v/>
      </c>
      <c r="N356" s="23" t="str">
        <f aca="false">IF(M356="Sí",AJ356,"")</f>
        <v/>
      </c>
      <c r="O356" s="24" t="str">
        <f aca="false">IF(M356="Sí",AK356,"")</f>
        <v/>
      </c>
      <c r="P356" s="25" t="str">
        <f aca="false">IF(AND(LEFT(D356,6)="XIV - ",LEFT(AX356,5)="AVISO"),"Pedimento (R 16): no va al SPPLD",AX356)</f>
        <v/>
      </c>
      <c r="Q356" s="23" t="str">
        <f aca="false">IF(LEFT(P356,5)="AVISO",IF(ISNUMBER(B356),DATE(YEAR(B356),MONTH(B356)+1,17),"Falta fecha"),"")</f>
        <v/>
      </c>
      <c r="R356" s="9" t="str">
        <f aca="false">IF(OR(F356="",F356=0),"",IF(ISNUMBER(AG356),IF(F356&gt;=AG356,"PROHIBIDO","Dentro del límite"),"No aplica"))</f>
        <v/>
      </c>
      <c r="S356" s="26" t="str">
        <f aca="false">IF(E356="","",MID(IF(AQ356=1," · Excede el perfil declarado","")&amp;IF(H356="Sí"," · Paga un tercero","")&amp;IF(J356="Alto"," · Cliente de riesgo alto: DDR (RCG 23 Ter 3 y 4)","")&amp;IF(AND(AS356&lt;&gt;"",AS356&lt;&gt;"No",AS356&lt;&gt;0)," · PEP","")&amp;IF(R356="PROHIBIDO"," · Efectivo prohibido: no lo recibas (Art. 32)","")&amp;IF(AR356=1," · ⚠ Fecha fuera de orden","")&amp;IF(LEFT(I356,1)="⚠"," · ⚠ Cliente no registrado","")&amp;IF(D356=""," · ⚠ Falta la actividad","")&amp;IF(AND(LEFT(P356,5)="AVISO",W356="")," · Captura la cifra total con IVA para el Aviso","")&amp;IF(AND(ISNUMBER(W356),W356&lt;E356)," · ⚠ La cifra con IVA es menor que el monto sin IVA",""),4,400))</f>
        <v/>
      </c>
      <c r="T356" s="21"/>
      <c r="U356" s="20"/>
      <c r="V356" s="9" t="str">
        <f aca="false">IF(LEFT(P356,5)&lt;&gt;"AVISO","",IF(T356="Presentado",IF(AND(ISNUMBER(U356),ISNUMBER(Q356),U356&gt;Q356),"Presentado tarde","Presentado"),IF(NOT(ISNUMBER(Q356)),"Falta fecha",IF(Q356&lt;CONFIG!$B$6,"VENCIDO","Vence en "&amp;(Q356-CONFIG!$B$6)&amp;" días"))))</f>
        <v/>
      </c>
      <c r="W356" s="22"/>
      <c r="X356" s="21"/>
      <c r="AA356" s="0" t="str">
        <f aca="false">IF(AM356="","",INDEX(CATÁLOGO!$D$5:$D$39,AM356))</f>
        <v/>
      </c>
      <c r="AB356" s="0" t="str">
        <f aca="false">IF(AM356="","",INDEX(CATÁLOGO!$E$5:$E$39,AM356))</f>
        <v/>
      </c>
      <c r="AC356" s="0" t="str">
        <f aca="false">IF(AB356="","",IF(ISNUMBER(AB356),AB356*AV356,AB356))</f>
        <v/>
      </c>
      <c r="AD356" s="0" t="str">
        <f aca="false">IF(AM356="","",INDEX(CATÁLOGO!$F$5:$F$39,AM356))</f>
        <v/>
      </c>
      <c r="AE356" s="0" t="str">
        <f aca="false">IF(AD356="","",IF(ISNUMBER(AD356),AD356*AV356,AD356))</f>
        <v/>
      </c>
      <c r="AF356" s="0" t="str">
        <f aca="false">IF(AM356="","",INDEX(CATÁLOGO!$G$5:$G$39,AM356))</f>
        <v/>
      </c>
      <c r="AG356" s="0" t="str">
        <f aca="false">IF(AF356="","",IF(ISNUMBER(AF356),AF356*AV356,AF356))</f>
        <v/>
      </c>
      <c r="AH356" s="0" t="str">
        <f aca="false">IF(E356="","",C356&amp;"|"&amp;D356)</f>
        <v/>
      </c>
      <c r="AI356" s="27" t="n">
        <f aca="false">IF(M356&lt;&gt;"Sí",0,SUMPRODUCT(MAX(($AH$5:AH355=AH356)*($M$5:M355="Sí")*ROW($AH$5:AH355))))</f>
        <v>0</v>
      </c>
      <c r="AJ356" s="0" t="str">
        <f aca="false">IF(M356&lt;&gt;"Sí","",IF(AL356=1,B356,INDEX($AJ:$AJ,AI356)))</f>
        <v/>
      </c>
      <c r="AK356" s="0" t="str">
        <f aca="false">IF(M356&lt;&gt;"Sí","",IF(AL356=1,E356,INDEX($AK:$AK,AI356)+E356))</f>
        <v/>
      </c>
      <c r="AL356" s="0" t="str">
        <f aca="false">IF(M356&lt;&gt;"Sí","",IF(AI356=0,1,IF(INDEX($AN:$AN,AI356)=0,1,IF(B356&gt;=EDATE(INDEX($AJ:$AJ,AI356),6),1,0))))</f>
        <v/>
      </c>
      <c r="AM356" s="0" t="str">
        <f aca="false">IF(D356="","",IFERROR(MATCH(D356,CATÁLOGO!$C$5:$C$39,0),""))</f>
        <v/>
      </c>
      <c r="AN356" s="0" t="str">
        <f aca="false">IF(M356&lt;&gt;"Sí","",IF(AND(ISNUMBER(AE356),AK356&gt;=AE356),0,1))</f>
        <v/>
      </c>
      <c r="AO356" s="0" t="str">
        <f aca="false">IF(OR(E356="",C356="",NOT(ISNUMBER(B356))),"",SUMIFS($E$6:$E$505,$C$6:$C$505,C356,$B$6:$B$505,"&gt;="&amp;DATE(YEAR(B356),MONTH(B356),1),$B$6:$B$505,"&lt;"&amp;DATE(YEAR(B356),MONTH(B356)+1,1)))</f>
        <v/>
      </c>
      <c r="AP356" s="0" t="str">
        <f aca="false">IF(C356="","",IFERROR(INDEX(CLIENTES!$M$6:$M$305,MATCH(C356,CLIENTES!$A$6:$A$305,0)),""))</f>
        <v/>
      </c>
      <c r="AQ356" s="27" t="n">
        <f aca="false">IF(AND(ISNUMBER(AO356),ISNUMBER(AP356)),IF(AND(AP356&gt;0,AO356&gt;AP356),1,0),0)</f>
        <v>0</v>
      </c>
      <c r="AR356" s="27" t="n">
        <f aca="false">IF(NOT(ISNUMBER(B356)),0,IF(B356&lt;MAX($B$5:B355),1,0))</f>
        <v>0</v>
      </c>
      <c r="AS356" s="0" t="str">
        <f aca="false">IF(C356="","",IFERROR(INDEX(CLIENTES!$H$6:$H$305,MATCH(C356,CLIENTES!$A$6:$A$305,0)),""))</f>
        <v/>
      </c>
      <c r="AT356" s="0" t="str">
        <f aca="false">IF(AND(LEFT(P356,5)="AVISO",T356&lt;&gt;"Presentado",ISNUMBER(Q356)),Q356,"")</f>
        <v/>
      </c>
      <c r="AU356" s="27" t="n">
        <f aca="false">IF(AND(D356="XVI - Activos virtuales (PSAV): operación de intercambio/transferencia",M356="Sí",ISNUMBER(AE356)),IF(AK356&gt;=AE356,1,0),0)</f>
        <v>0</v>
      </c>
      <c r="AV356" s="30" t="n">
        <f aca="false">IF(NOT(ISNUMBER(B356)),CONFIG!$B$4,IFERROR(INDEX(CONFIG!$I$5:$I$14,MATCH(IF(MONTH(B356)=1,YEAR(B356)-1,YEAR(B356)),CONFIG!$H$5:$H$14,0)),CONFIG!$B$4))</f>
        <v>117.31</v>
      </c>
      <c r="AW356" s="27" t="n">
        <f aca="false">IF(AND(LEFT(D356,4)="I - ",ISNUMBER(B356),C356&lt;&gt;""),SUMIFS($E$6:$E$505,$C$6:$C$505,C356,$D$6:$D$505,D356,$B$6:$B$505,"&gt;"&amp;(B356-1),$B$6:$B$505,"&lt;="&amp;B356),0)</f>
        <v>0</v>
      </c>
      <c r="AX356" s="0" t="str">
        <f aca="false">IF(E356="","",IF(AD356="Siempre","AVISO (siempre)",IF(AD356="No aplica","Sin Aviso (sólo preparas: Ley 17 XI)",IF(NOT(ISNUMBER(AE356)),"",IF(AA356&lt;&gt;"ACUMULA",IF(E356&gt;=AE356,IF(AND(D356="XVI - Activos virtuales (PSAV): cobro de contraprestación (comisión) por el servicio",COUNTIFS($C$6:$C$505,C356,$B$6:$B$505,"&gt;="&amp;INT(B356),$B$6:$B$505,"&lt;"&amp;(INT(B356)+1),$AU$6:$AU$505,1)&gt;0),"En el Aviso del inciso a) (R 31 Bis)","AVISO"),"—"),IF(M356&lt;&gt;"Sí","—",IF(AK356&gt;=AE356,IF(AK356=E356,"AVISO","AVISO (acumulado)"),"Acumulando")))))))</f>
        <v/>
      </c>
    </row>
    <row r="357" customFormat="false" ht="15" hidden="false" customHeight="false" outlineLevel="0" collapsed="false">
      <c r="A357" s="9" t="str">
        <f aca="false">IF(E357="","",ROW()-5)</f>
        <v/>
      </c>
      <c r="B357" s="20"/>
      <c r="C357" s="21"/>
      <c r="D357" s="21"/>
      <c r="E357" s="22"/>
      <c r="F357" s="22"/>
      <c r="G357" s="21"/>
      <c r="H357" s="21"/>
      <c r="I357" s="9" t="str">
        <f aca="false">IF(C357="","",IFERROR(INDEX(CLIENTES!$B$6:$B$305,MATCH(C357,CLIENTES!$A$6:$A$305,0)),"⚠ ID no registrado"))</f>
        <v/>
      </c>
      <c r="J357" s="9" t="str">
        <f aca="false">IF(C357="","",IFERROR(INDEX(CLIENTES!$Z$6:$Z$305,MATCH(C357,CLIENTES!$A$6:$A$305,0)),""))</f>
        <v/>
      </c>
      <c r="K357" s="9" t="str">
        <f aca="false">IF(E357="","",IF(AB357="Siempre","Sí",IF(ISNUMBER(AC357),IF(E357&gt;=AC357,"Sí",IF(AW357&gt;=AC357,"Sí (serie 24 h)","No")),"")))</f>
        <v/>
      </c>
      <c r="L357" s="9" t="str">
        <f aca="false">IF(E357="","",AA357)</f>
        <v/>
      </c>
      <c r="M357" s="9" t="str">
        <f aca="false">IF(E357="","",IF(AA357&lt;&gt;"ACUMULA","No aplica",IF(LEFT(K357,2)="Sí","Sí","No")))</f>
        <v/>
      </c>
      <c r="N357" s="23" t="str">
        <f aca="false">IF(M357="Sí",AJ357,"")</f>
        <v/>
      </c>
      <c r="O357" s="24" t="str">
        <f aca="false">IF(M357="Sí",AK357,"")</f>
        <v/>
      </c>
      <c r="P357" s="25" t="str">
        <f aca="false">IF(AND(LEFT(D357,6)="XIV - ",LEFT(AX357,5)="AVISO"),"Pedimento (R 16): no va al SPPLD",AX357)</f>
        <v/>
      </c>
      <c r="Q357" s="23" t="str">
        <f aca="false">IF(LEFT(P357,5)="AVISO",IF(ISNUMBER(B357),DATE(YEAR(B357),MONTH(B357)+1,17),"Falta fecha"),"")</f>
        <v/>
      </c>
      <c r="R357" s="9" t="str">
        <f aca="false">IF(OR(F357="",F357=0),"",IF(ISNUMBER(AG357),IF(F357&gt;=AG357,"PROHIBIDO","Dentro del límite"),"No aplica"))</f>
        <v/>
      </c>
      <c r="S357" s="26" t="str">
        <f aca="false">IF(E357="","",MID(IF(AQ357=1," · Excede el perfil declarado","")&amp;IF(H357="Sí"," · Paga un tercero","")&amp;IF(J357="Alto"," · Cliente de riesgo alto: DDR (RCG 23 Ter 3 y 4)","")&amp;IF(AND(AS357&lt;&gt;"",AS357&lt;&gt;"No",AS357&lt;&gt;0)," · PEP","")&amp;IF(R357="PROHIBIDO"," · Efectivo prohibido: no lo recibas (Art. 32)","")&amp;IF(AR357=1," · ⚠ Fecha fuera de orden","")&amp;IF(LEFT(I357,1)="⚠"," · ⚠ Cliente no registrado","")&amp;IF(D357=""," · ⚠ Falta la actividad","")&amp;IF(AND(LEFT(P357,5)="AVISO",W357="")," · Captura la cifra total con IVA para el Aviso","")&amp;IF(AND(ISNUMBER(W357),W357&lt;E357)," · ⚠ La cifra con IVA es menor que el monto sin IVA",""),4,400))</f>
        <v/>
      </c>
      <c r="T357" s="21"/>
      <c r="U357" s="20"/>
      <c r="V357" s="9" t="str">
        <f aca="false">IF(LEFT(P357,5)&lt;&gt;"AVISO","",IF(T357="Presentado",IF(AND(ISNUMBER(U357),ISNUMBER(Q357),U357&gt;Q357),"Presentado tarde","Presentado"),IF(NOT(ISNUMBER(Q357)),"Falta fecha",IF(Q357&lt;CONFIG!$B$6,"VENCIDO","Vence en "&amp;(Q357-CONFIG!$B$6)&amp;" días"))))</f>
        <v/>
      </c>
      <c r="W357" s="22"/>
      <c r="X357" s="21"/>
      <c r="AA357" s="0" t="str">
        <f aca="false">IF(AM357="","",INDEX(CATÁLOGO!$D$5:$D$39,AM357))</f>
        <v/>
      </c>
      <c r="AB357" s="0" t="str">
        <f aca="false">IF(AM357="","",INDEX(CATÁLOGO!$E$5:$E$39,AM357))</f>
        <v/>
      </c>
      <c r="AC357" s="0" t="str">
        <f aca="false">IF(AB357="","",IF(ISNUMBER(AB357),AB357*AV357,AB357))</f>
        <v/>
      </c>
      <c r="AD357" s="0" t="str">
        <f aca="false">IF(AM357="","",INDEX(CATÁLOGO!$F$5:$F$39,AM357))</f>
        <v/>
      </c>
      <c r="AE357" s="0" t="str">
        <f aca="false">IF(AD357="","",IF(ISNUMBER(AD357),AD357*AV357,AD357))</f>
        <v/>
      </c>
      <c r="AF357" s="0" t="str">
        <f aca="false">IF(AM357="","",INDEX(CATÁLOGO!$G$5:$G$39,AM357))</f>
        <v/>
      </c>
      <c r="AG357" s="0" t="str">
        <f aca="false">IF(AF357="","",IF(ISNUMBER(AF357),AF357*AV357,AF357))</f>
        <v/>
      </c>
      <c r="AH357" s="0" t="str">
        <f aca="false">IF(E357="","",C357&amp;"|"&amp;D357)</f>
        <v/>
      </c>
      <c r="AI357" s="27" t="n">
        <f aca="false">IF(M357&lt;&gt;"Sí",0,SUMPRODUCT(MAX(($AH$5:AH356=AH357)*($M$5:M356="Sí")*ROW($AH$5:AH356))))</f>
        <v>0</v>
      </c>
      <c r="AJ357" s="0" t="str">
        <f aca="false">IF(M357&lt;&gt;"Sí","",IF(AL357=1,B357,INDEX($AJ:$AJ,AI357)))</f>
        <v/>
      </c>
      <c r="AK357" s="0" t="str">
        <f aca="false">IF(M357&lt;&gt;"Sí","",IF(AL357=1,E357,INDEX($AK:$AK,AI357)+E357))</f>
        <v/>
      </c>
      <c r="AL357" s="0" t="str">
        <f aca="false">IF(M357&lt;&gt;"Sí","",IF(AI357=0,1,IF(INDEX($AN:$AN,AI357)=0,1,IF(B357&gt;=EDATE(INDEX($AJ:$AJ,AI357),6),1,0))))</f>
        <v/>
      </c>
      <c r="AM357" s="0" t="str">
        <f aca="false">IF(D357="","",IFERROR(MATCH(D357,CATÁLOGO!$C$5:$C$39,0),""))</f>
        <v/>
      </c>
      <c r="AN357" s="0" t="str">
        <f aca="false">IF(M357&lt;&gt;"Sí","",IF(AND(ISNUMBER(AE357),AK357&gt;=AE357),0,1))</f>
        <v/>
      </c>
      <c r="AO357" s="0" t="str">
        <f aca="false">IF(OR(E357="",C357="",NOT(ISNUMBER(B357))),"",SUMIFS($E$6:$E$505,$C$6:$C$505,C357,$B$6:$B$505,"&gt;="&amp;DATE(YEAR(B357),MONTH(B357),1),$B$6:$B$505,"&lt;"&amp;DATE(YEAR(B357),MONTH(B357)+1,1)))</f>
        <v/>
      </c>
      <c r="AP357" s="0" t="str">
        <f aca="false">IF(C357="","",IFERROR(INDEX(CLIENTES!$M$6:$M$305,MATCH(C357,CLIENTES!$A$6:$A$305,0)),""))</f>
        <v/>
      </c>
      <c r="AQ357" s="27" t="n">
        <f aca="false">IF(AND(ISNUMBER(AO357),ISNUMBER(AP357)),IF(AND(AP357&gt;0,AO357&gt;AP357),1,0),0)</f>
        <v>0</v>
      </c>
      <c r="AR357" s="27" t="n">
        <f aca="false">IF(NOT(ISNUMBER(B357)),0,IF(B357&lt;MAX($B$5:B356),1,0))</f>
        <v>0</v>
      </c>
      <c r="AS357" s="0" t="str">
        <f aca="false">IF(C357="","",IFERROR(INDEX(CLIENTES!$H$6:$H$305,MATCH(C357,CLIENTES!$A$6:$A$305,0)),""))</f>
        <v/>
      </c>
      <c r="AT357" s="0" t="str">
        <f aca="false">IF(AND(LEFT(P357,5)="AVISO",T357&lt;&gt;"Presentado",ISNUMBER(Q357)),Q357,"")</f>
        <v/>
      </c>
      <c r="AU357" s="27" t="n">
        <f aca="false">IF(AND(D357="XVI - Activos virtuales (PSAV): operación de intercambio/transferencia",M357="Sí",ISNUMBER(AE357)),IF(AK357&gt;=AE357,1,0),0)</f>
        <v>0</v>
      </c>
      <c r="AV357" s="30" t="n">
        <f aca="false">IF(NOT(ISNUMBER(B357)),CONFIG!$B$4,IFERROR(INDEX(CONFIG!$I$5:$I$14,MATCH(IF(MONTH(B357)=1,YEAR(B357)-1,YEAR(B357)),CONFIG!$H$5:$H$14,0)),CONFIG!$B$4))</f>
        <v>117.31</v>
      </c>
      <c r="AW357" s="27" t="n">
        <f aca="false">IF(AND(LEFT(D357,4)="I - ",ISNUMBER(B357),C357&lt;&gt;""),SUMIFS($E$6:$E$505,$C$6:$C$505,C357,$D$6:$D$505,D357,$B$6:$B$505,"&gt;"&amp;(B357-1),$B$6:$B$505,"&lt;="&amp;B357),0)</f>
        <v>0</v>
      </c>
      <c r="AX357" s="0" t="str">
        <f aca="false">IF(E357="","",IF(AD357="Siempre","AVISO (siempre)",IF(AD357="No aplica","Sin Aviso (sólo preparas: Ley 17 XI)",IF(NOT(ISNUMBER(AE357)),"",IF(AA357&lt;&gt;"ACUMULA",IF(E357&gt;=AE357,IF(AND(D357="XVI - Activos virtuales (PSAV): cobro de contraprestación (comisión) por el servicio",COUNTIFS($C$6:$C$505,C357,$B$6:$B$505,"&gt;="&amp;INT(B357),$B$6:$B$505,"&lt;"&amp;(INT(B357)+1),$AU$6:$AU$505,1)&gt;0),"En el Aviso del inciso a) (R 31 Bis)","AVISO"),"—"),IF(M357&lt;&gt;"Sí","—",IF(AK357&gt;=AE357,IF(AK357=E357,"AVISO","AVISO (acumulado)"),"Acumulando")))))))</f>
        <v/>
      </c>
    </row>
    <row r="358" customFormat="false" ht="15" hidden="false" customHeight="false" outlineLevel="0" collapsed="false">
      <c r="A358" s="9" t="str">
        <f aca="false">IF(E358="","",ROW()-5)</f>
        <v/>
      </c>
      <c r="B358" s="20"/>
      <c r="C358" s="21"/>
      <c r="D358" s="21"/>
      <c r="E358" s="22"/>
      <c r="F358" s="22"/>
      <c r="G358" s="21"/>
      <c r="H358" s="21"/>
      <c r="I358" s="9" t="str">
        <f aca="false">IF(C358="","",IFERROR(INDEX(CLIENTES!$B$6:$B$305,MATCH(C358,CLIENTES!$A$6:$A$305,0)),"⚠ ID no registrado"))</f>
        <v/>
      </c>
      <c r="J358" s="9" t="str">
        <f aca="false">IF(C358="","",IFERROR(INDEX(CLIENTES!$Z$6:$Z$305,MATCH(C358,CLIENTES!$A$6:$A$305,0)),""))</f>
        <v/>
      </c>
      <c r="K358" s="9" t="str">
        <f aca="false">IF(E358="","",IF(AB358="Siempre","Sí",IF(ISNUMBER(AC358),IF(E358&gt;=AC358,"Sí",IF(AW358&gt;=AC358,"Sí (serie 24 h)","No")),"")))</f>
        <v/>
      </c>
      <c r="L358" s="9" t="str">
        <f aca="false">IF(E358="","",AA358)</f>
        <v/>
      </c>
      <c r="M358" s="9" t="str">
        <f aca="false">IF(E358="","",IF(AA358&lt;&gt;"ACUMULA","No aplica",IF(LEFT(K358,2)="Sí","Sí","No")))</f>
        <v/>
      </c>
      <c r="N358" s="23" t="str">
        <f aca="false">IF(M358="Sí",AJ358,"")</f>
        <v/>
      </c>
      <c r="O358" s="24" t="str">
        <f aca="false">IF(M358="Sí",AK358,"")</f>
        <v/>
      </c>
      <c r="P358" s="25" t="str">
        <f aca="false">IF(AND(LEFT(D358,6)="XIV - ",LEFT(AX358,5)="AVISO"),"Pedimento (R 16): no va al SPPLD",AX358)</f>
        <v/>
      </c>
      <c r="Q358" s="23" t="str">
        <f aca="false">IF(LEFT(P358,5)="AVISO",IF(ISNUMBER(B358),DATE(YEAR(B358),MONTH(B358)+1,17),"Falta fecha"),"")</f>
        <v/>
      </c>
      <c r="R358" s="9" t="str">
        <f aca="false">IF(OR(F358="",F358=0),"",IF(ISNUMBER(AG358),IF(F358&gt;=AG358,"PROHIBIDO","Dentro del límite"),"No aplica"))</f>
        <v/>
      </c>
      <c r="S358" s="26" t="str">
        <f aca="false">IF(E358="","",MID(IF(AQ358=1," · Excede el perfil declarado","")&amp;IF(H358="Sí"," · Paga un tercero","")&amp;IF(J358="Alto"," · Cliente de riesgo alto: DDR (RCG 23 Ter 3 y 4)","")&amp;IF(AND(AS358&lt;&gt;"",AS358&lt;&gt;"No",AS358&lt;&gt;0)," · PEP","")&amp;IF(R358="PROHIBIDO"," · Efectivo prohibido: no lo recibas (Art. 32)","")&amp;IF(AR358=1," · ⚠ Fecha fuera de orden","")&amp;IF(LEFT(I358,1)="⚠"," · ⚠ Cliente no registrado","")&amp;IF(D358=""," · ⚠ Falta la actividad","")&amp;IF(AND(LEFT(P358,5)="AVISO",W358="")," · Captura la cifra total con IVA para el Aviso","")&amp;IF(AND(ISNUMBER(W358),W358&lt;E358)," · ⚠ La cifra con IVA es menor que el monto sin IVA",""),4,400))</f>
        <v/>
      </c>
      <c r="T358" s="21"/>
      <c r="U358" s="20"/>
      <c r="V358" s="9" t="str">
        <f aca="false">IF(LEFT(P358,5)&lt;&gt;"AVISO","",IF(T358="Presentado",IF(AND(ISNUMBER(U358),ISNUMBER(Q358),U358&gt;Q358),"Presentado tarde","Presentado"),IF(NOT(ISNUMBER(Q358)),"Falta fecha",IF(Q358&lt;CONFIG!$B$6,"VENCIDO","Vence en "&amp;(Q358-CONFIG!$B$6)&amp;" días"))))</f>
        <v/>
      </c>
      <c r="W358" s="22"/>
      <c r="X358" s="21"/>
      <c r="AA358" s="0" t="str">
        <f aca="false">IF(AM358="","",INDEX(CATÁLOGO!$D$5:$D$39,AM358))</f>
        <v/>
      </c>
      <c r="AB358" s="0" t="str">
        <f aca="false">IF(AM358="","",INDEX(CATÁLOGO!$E$5:$E$39,AM358))</f>
        <v/>
      </c>
      <c r="AC358" s="0" t="str">
        <f aca="false">IF(AB358="","",IF(ISNUMBER(AB358),AB358*AV358,AB358))</f>
        <v/>
      </c>
      <c r="AD358" s="0" t="str">
        <f aca="false">IF(AM358="","",INDEX(CATÁLOGO!$F$5:$F$39,AM358))</f>
        <v/>
      </c>
      <c r="AE358" s="0" t="str">
        <f aca="false">IF(AD358="","",IF(ISNUMBER(AD358),AD358*AV358,AD358))</f>
        <v/>
      </c>
      <c r="AF358" s="0" t="str">
        <f aca="false">IF(AM358="","",INDEX(CATÁLOGO!$G$5:$G$39,AM358))</f>
        <v/>
      </c>
      <c r="AG358" s="0" t="str">
        <f aca="false">IF(AF358="","",IF(ISNUMBER(AF358),AF358*AV358,AF358))</f>
        <v/>
      </c>
      <c r="AH358" s="0" t="str">
        <f aca="false">IF(E358="","",C358&amp;"|"&amp;D358)</f>
        <v/>
      </c>
      <c r="AI358" s="27" t="n">
        <f aca="false">IF(M358&lt;&gt;"Sí",0,SUMPRODUCT(MAX(($AH$5:AH357=AH358)*($M$5:M357="Sí")*ROW($AH$5:AH357))))</f>
        <v>0</v>
      </c>
      <c r="AJ358" s="0" t="str">
        <f aca="false">IF(M358&lt;&gt;"Sí","",IF(AL358=1,B358,INDEX($AJ:$AJ,AI358)))</f>
        <v/>
      </c>
      <c r="AK358" s="0" t="str">
        <f aca="false">IF(M358&lt;&gt;"Sí","",IF(AL358=1,E358,INDEX($AK:$AK,AI358)+E358))</f>
        <v/>
      </c>
      <c r="AL358" s="0" t="str">
        <f aca="false">IF(M358&lt;&gt;"Sí","",IF(AI358=0,1,IF(INDEX($AN:$AN,AI358)=0,1,IF(B358&gt;=EDATE(INDEX($AJ:$AJ,AI358),6),1,0))))</f>
        <v/>
      </c>
      <c r="AM358" s="0" t="str">
        <f aca="false">IF(D358="","",IFERROR(MATCH(D358,CATÁLOGO!$C$5:$C$39,0),""))</f>
        <v/>
      </c>
      <c r="AN358" s="0" t="str">
        <f aca="false">IF(M358&lt;&gt;"Sí","",IF(AND(ISNUMBER(AE358),AK358&gt;=AE358),0,1))</f>
        <v/>
      </c>
      <c r="AO358" s="0" t="str">
        <f aca="false">IF(OR(E358="",C358="",NOT(ISNUMBER(B358))),"",SUMIFS($E$6:$E$505,$C$6:$C$505,C358,$B$6:$B$505,"&gt;="&amp;DATE(YEAR(B358),MONTH(B358),1),$B$6:$B$505,"&lt;"&amp;DATE(YEAR(B358),MONTH(B358)+1,1)))</f>
        <v/>
      </c>
      <c r="AP358" s="0" t="str">
        <f aca="false">IF(C358="","",IFERROR(INDEX(CLIENTES!$M$6:$M$305,MATCH(C358,CLIENTES!$A$6:$A$305,0)),""))</f>
        <v/>
      </c>
      <c r="AQ358" s="27" t="n">
        <f aca="false">IF(AND(ISNUMBER(AO358),ISNUMBER(AP358)),IF(AND(AP358&gt;0,AO358&gt;AP358),1,0),0)</f>
        <v>0</v>
      </c>
      <c r="AR358" s="27" t="n">
        <f aca="false">IF(NOT(ISNUMBER(B358)),0,IF(B358&lt;MAX($B$5:B357),1,0))</f>
        <v>0</v>
      </c>
      <c r="AS358" s="0" t="str">
        <f aca="false">IF(C358="","",IFERROR(INDEX(CLIENTES!$H$6:$H$305,MATCH(C358,CLIENTES!$A$6:$A$305,0)),""))</f>
        <v/>
      </c>
      <c r="AT358" s="0" t="str">
        <f aca="false">IF(AND(LEFT(P358,5)="AVISO",T358&lt;&gt;"Presentado",ISNUMBER(Q358)),Q358,"")</f>
        <v/>
      </c>
      <c r="AU358" s="27" t="n">
        <f aca="false">IF(AND(D358="XVI - Activos virtuales (PSAV): operación de intercambio/transferencia",M358="Sí",ISNUMBER(AE358)),IF(AK358&gt;=AE358,1,0),0)</f>
        <v>0</v>
      </c>
      <c r="AV358" s="30" t="n">
        <f aca="false">IF(NOT(ISNUMBER(B358)),CONFIG!$B$4,IFERROR(INDEX(CONFIG!$I$5:$I$14,MATCH(IF(MONTH(B358)=1,YEAR(B358)-1,YEAR(B358)),CONFIG!$H$5:$H$14,0)),CONFIG!$B$4))</f>
        <v>117.31</v>
      </c>
      <c r="AW358" s="27" t="n">
        <f aca="false">IF(AND(LEFT(D358,4)="I - ",ISNUMBER(B358),C358&lt;&gt;""),SUMIFS($E$6:$E$505,$C$6:$C$505,C358,$D$6:$D$505,D358,$B$6:$B$505,"&gt;"&amp;(B358-1),$B$6:$B$505,"&lt;="&amp;B358),0)</f>
        <v>0</v>
      </c>
      <c r="AX358" s="0" t="str">
        <f aca="false">IF(E358="","",IF(AD358="Siempre","AVISO (siempre)",IF(AD358="No aplica","Sin Aviso (sólo preparas: Ley 17 XI)",IF(NOT(ISNUMBER(AE358)),"",IF(AA358&lt;&gt;"ACUMULA",IF(E358&gt;=AE358,IF(AND(D358="XVI - Activos virtuales (PSAV): cobro de contraprestación (comisión) por el servicio",COUNTIFS($C$6:$C$505,C358,$B$6:$B$505,"&gt;="&amp;INT(B358),$B$6:$B$505,"&lt;"&amp;(INT(B358)+1),$AU$6:$AU$505,1)&gt;0),"En el Aviso del inciso a) (R 31 Bis)","AVISO"),"—"),IF(M358&lt;&gt;"Sí","—",IF(AK358&gt;=AE358,IF(AK358=E358,"AVISO","AVISO (acumulado)"),"Acumulando")))))))</f>
        <v/>
      </c>
    </row>
    <row r="359" customFormat="false" ht="15" hidden="false" customHeight="false" outlineLevel="0" collapsed="false">
      <c r="A359" s="9" t="str">
        <f aca="false">IF(E359="","",ROW()-5)</f>
        <v/>
      </c>
      <c r="B359" s="20"/>
      <c r="C359" s="21"/>
      <c r="D359" s="21"/>
      <c r="E359" s="22"/>
      <c r="F359" s="22"/>
      <c r="G359" s="21"/>
      <c r="H359" s="21"/>
      <c r="I359" s="9" t="str">
        <f aca="false">IF(C359="","",IFERROR(INDEX(CLIENTES!$B$6:$B$305,MATCH(C359,CLIENTES!$A$6:$A$305,0)),"⚠ ID no registrado"))</f>
        <v/>
      </c>
      <c r="J359" s="9" t="str">
        <f aca="false">IF(C359="","",IFERROR(INDEX(CLIENTES!$Z$6:$Z$305,MATCH(C359,CLIENTES!$A$6:$A$305,0)),""))</f>
        <v/>
      </c>
      <c r="K359" s="9" t="str">
        <f aca="false">IF(E359="","",IF(AB359="Siempre","Sí",IF(ISNUMBER(AC359),IF(E359&gt;=AC359,"Sí",IF(AW359&gt;=AC359,"Sí (serie 24 h)","No")),"")))</f>
        <v/>
      </c>
      <c r="L359" s="9" t="str">
        <f aca="false">IF(E359="","",AA359)</f>
        <v/>
      </c>
      <c r="M359" s="9" t="str">
        <f aca="false">IF(E359="","",IF(AA359&lt;&gt;"ACUMULA","No aplica",IF(LEFT(K359,2)="Sí","Sí","No")))</f>
        <v/>
      </c>
      <c r="N359" s="23" t="str">
        <f aca="false">IF(M359="Sí",AJ359,"")</f>
        <v/>
      </c>
      <c r="O359" s="24" t="str">
        <f aca="false">IF(M359="Sí",AK359,"")</f>
        <v/>
      </c>
      <c r="P359" s="25" t="str">
        <f aca="false">IF(AND(LEFT(D359,6)="XIV - ",LEFT(AX359,5)="AVISO"),"Pedimento (R 16): no va al SPPLD",AX359)</f>
        <v/>
      </c>
      <c r="Q359" s="23" t="str">
        <f aca="false">IF(LEFT(P359,5)="AVISO",IF(ISNUMBER(B359),DATE(YEAR(B359),MONTH(B359)+1,17),"Falta fecha"),"")</f>
        <v/>
      </c>
      <c r="R359" s="9" t="str">
        <f aca="false">IF(OR(F359="",F359=0),"",IF(ISNUMBER(AG359),IF(F359&gt;=AG359,"PROHIBIDO","Dentro del límite"),"No aplica"))</f>
        <v/>
      </c>
      <c r="S359" s="26" t="str">
        <f aca="false">IF(E359="","",MID(IF(AQ359=1," · Excede el perfil declarado","")&amp;IF(H359="Sí"," · Paga un tercero","")&amp;IF(J359="Alto"," · Cliente de riesgo alto: DDR (RCG 23 Ter 3 y 4)","")&amp;IF(AND(AS359&lt;&gt;"",AS359&lt;&gt;"No",AS359&lt;&gt;0)," · PEP","")&amp;IF(R359="PROHIBIDO"," · Efectivo prohibido: no lo recibas (Art. 32)","")&amp;IF(AR359=1," · ⚠ Fecha fuera de orden","")&amp;IF(LEFT(I359,1)="⚠"," · ⚠ Cliente no registrado","")&amp;IF(D359=""," · ⚠ Falta la actividad","")&amp;IF(AND(LEFT(P359,5)="AVISO",W359="")," · Captura la cifra total con IVA para el Aviso","")&amp;IF(AND(ISNUMBER(W359),W359&lt;E359)," · ⚠ La cifra con IVA es menor que el monto sin IVA",""),4,400))</f>
        <v/>
      </c>
      <c r="T359" s="21"/>
      <c r="U359" s="20"/>
      <c r="V359" s="9" t="str">
        <f aca="false">IF(LEFT(P359,5)&lt;&gt;"AVISO","",IF(T359="Presentado",IF(AND(ISNUMBER(U359),ISNUMBER(Q359),U359&gt;Q359),"Presentado tarde","Presentado"),IF(NOT(ISNUMBER(Q359)),"Falta fecha",IF(Q359&lt;CONFIG!$B$6,"VENCIDO","Vence en "&amp;(Q359-CONFIG!$B$6)&amp;" días"))))</f>
        <v/>
      </c>
      <c r="W359" s="22"/>
      <c r="X359" s="21"/>
      <c r="AA359" s="0" t="str">
        <f aca="false">IF(AM359="","",INDEX(CATÁLOGO!$D$5:$D$39,AM359))</f>
        <v/>
      </c>
      <c r="AB359" s="0" t="str">
        <f aca="false">IF(AM359="","",INDEX(CATÁLOGO!$E$5:$E$39,AM359))</f>
        <v/>
      </c>
      <c r="AC359" s="0" t="str">
        <f aca="false">IF(AB359="","",IF(ISNUMBER(AB359),AB359*AV359,AB359))</f>
        <v/>
      </c>
      <c r="AD359" s="0" t="str">
        <f aca="false">IF(AM359="","",INDEX(CATÁLOGO!$F$5:$F$39,AM359))</f>
        <v/>
      </c>
      <c r="AE359" s="0" t="str">
        <f aca="false">IF(AD359="","",IF(ISNUMBER(AD359),AD359*AV359,AD359))</f>
        <v/>
      </c>
      <c r="AF359" s="0" t="str">
        <f aca="false">IF(AM359="","",INDEX(CATÁLOGO!$G$5:$G$39,AM359))</f>
        <v/>
      </c>
      <c r="AG359" s="0" t="str">
        <f aca="false">IF(AF359="","",IF(ISNUMBER(AF359),AF359*AV359,AF359))</f>
        <v/>
      </c>
      <c r="AH359" s="0" t="str">
        <f aca="false">IF(E359="","",C359&amp;"|"&amp;D359)</f>
        <v/>
      </c>
      <c r="AI359" s="27" t="n">
        <f aca="false">IF(M359&lt;&gt;"Sí",0,SUMPRODUCT(MAX(($AH$5:AH358=AH359)*($M$5:M358="Sí")*ROW($AH$5:AH358))))</f>
        <v>0</v>
      </c>
      <c r="AJ359" s="0" t="str">
        <f aca="false">IF(M359&lt;&gt;"Sí","",IF(AL359=1,B359,INDEX($AJ:$AJ,AI359)))</f>
        <v/>
      </c>
      <c r="AK359" s="0" t="str">
        <f aca="false">IF(M359&lt;&gt;"Sí","",IF(AL359=1,E359,INDEX($AK:$AK,AI359)+E359))</f>
        <v/>
      </c>
      <c r="AL359" s="0" t="str">
        <f aca="false">IF(M359&lt;&gt;"Sí","",IF(AI359=0,1,IF(INDEX($AN:$AN,AI359)=0,1,IF(B359&gt;=EDATE(INDEX($AJ:$AJ,AI359),6),1,0))))</f>
        <v/>
      </c>
      <c r="AM359" s="0" t="str">
        <f aca="false">IF(D359="","",IFERROR(MATCH(D359,CATÁLOGO!$C$5:$C$39,0),""))</f>
        <v/>
      </c>
      <c r="AN359" s="0" t="str">
        <f aca="false">IF(M359&lt;&gt;"Sí","",IF(AND(ISNUMBER(AE359),AK359&gt;=AE359),0,1))</f>
        <v/>
      </c>
      <c r="AO359" s="0" t="str">
        <f aca="false">IF(OR(E359="",C359="",NOT(ISNUMBER(B359))),"",SUMIFS($E$6:$E$505,$C$6:$C$505,C359,$B$6:$B$505,"&gt;="&amp;DATE(YEAR(B359),MONTH(B359),1),$B$6:$B$505,"&lt;"&amp;DATE(YEAR(B359),MONTH(B359)+1,1)))</f>
        <v/>
      </c>
      <c r="AP359" s="0" t="str">
        <f aca="false">IF(C359="","",IFERROR(INDEX(CLIENTES!$M$6:$M$305,MATCH(C359,CLIENTES!$A$6:$A$305,0)),""))</f>
        <v/>
      </c>
      <c r="AQ359" s="27" t="n">
        <f aca="false">IF(AND(ISNUMBER(AO359),ISNUMBER(AP359)),IF(AND(AP359&gt;0,AO359&gt;AP359),1,0),0)</f>
        <v>0</v>
      </c>
      <c r="AR359" s="27" t="n">
        <f aca="false">IF(NOT(ISNUMBER(B359)),0,IF(B359&lt;MAX($B$5:B358),1,0))</f>
        <v>0</v>
      </c>
      <c r="AS359" s="0" t="str">
        <f aca="false">IF(C359="","",IFERROR(INDEX(CLIENTES!$H$6:$H$305,MATCH(C359,CLIENTES!$A$6:$A$305,0)),""))</f>
        <v/>
      </c>
      <c r="AT359" s="0" t="str">
        <f aca="false">IF(AND(LEFT(P359,5)="AVISO",T359&lt;&gt;"Presentado",ISNUMBER(Q359)),Q359,"")</f>
        <v/>
      </c>
      <c r="AU359" s="27" t="n">
        <f aca="false">IF(AND(D359="XVI - Activos virtuales (PSAV): operación de intercambio/transferencia",M359="Sí",ISNUMBER(AE359)),IF(AK359&gt;=AE359,1,0),0)</f>
        <v>0</v>
      </c>
      <c r="AV359" s="30" t="n">
        <f aca="false">IF(NOT(ISNUMBER(B359)),CONFIG!$B$4,IFERROR(INDEX(CONFIG!$I$5:$I$14,MATCH(IF(MONTH(B359)=1,YEAR(B359)-1,YEAR(B359)),CONFIG!$H$5:$H$14,0)),CONFIG!$B$4))</f>
        <v>117.31</v>
      </c>
      <c r="AW359" s="27" t="n">
        <f aca="false">IF(AND(LEFT(D359,4)="I - ",ISNUMBER(B359),C359&lt;&gt;""),SUMIFS($E$6:$E$505,$C$6:$C$505,C359,$D$6:$D$505,D359,$B$6:$B$505,"&gt;"&amp;(B359-1),$B$6:$B$505,"&lt;="&amp;B359),0)</f>
        <v>0</v>
      </c>
      <c r="AX359" s="0" t="str">
        <f aca="false">IF(E359="","",IF(AD359="Siempre","AVISO (siempre)",IF(AD359="No aplica","Sin Aviso (sólo preparas: Ley 17 XI)",IF(NOT(ISNUMBER(AE359)),"",IF(AA359&lt;&gt;"ACUMULA",IF(E359&gt;=AE359,IF(AND(D359="XVI - Activos virtuales (PSAV): cobro de contraprestación (comisión) por el servicio",COUNTIFS($C$6:$C$505,C359,$B$6:$B$505,"&gt;="&amp;INT(B359),$B$6:$B$505,"&lt;"&amp;(INT(B359)+1),$AU$6:$AU$505,1)&gt;0),"En el Aviso del inciso a) (R 31 Bis)","AVISO"),"—"),IF(M359&lt;&gt;"Sí","—",IF(AK359&gt;=AE359,IF(AK359=E359,"AVISO","AVISO (acumulado)"),"Acumulando")))))))</f>
        <v/>
      </c>
    </row>
    <row r="360" customFormat="false" ht="15" hidden="false" customHeight="false" outlineLevel="0" collapsed="false">
      <c r="A360" s="9" t="str">
        <f aca="false">IF(E360="","",ROW()-5)</f>
        <v/>
      </c>
      <c r="B360" s="20"/>
      <c r="C360" s="21"/>
      <c r="D360" s="21"/>
      <c r="E360" s="22"/>
      <c r="F360" s="22"/>
      <c r="G360" s="21"/>
      <c r="H360" s="21"/>
      <c r="I360" s="9" t="str">
        <f aca="false">IF(C360="","",IFERROR(INDEX(CLIENTES!$B$6:$B$305,MATCH(C360,CLIENTES!$A$6:$A$305,0)),"⚠ ID no registrado"))</f>
        <v/>
      </c>
      <c r="J360" s="9" t="str">
        <f aca="false">IF(C360="","",IFERROR(INDEX(CLIENTES!$Z$6:$Z$305,MATCH(C360,CLIENTES!$A$6:$A$305,0)),""))</f>
        <v/>
      </c>
      <c r="K360" s="9" t="str">
        <f aca="false">IF(E360="","",IF(AB360="Siempre","Sí",IF(ISNUMBER(AC360),IF(E360&gt;=AC360,"Sí",IF(AW360&gt;=AC360,"Sí (serie 24 h)","No")),"")))</f>
        <v/>
      </c>
      <c r="L360" s="9" t="str">
        <f aca="false">IF(E360="","",AA360)</f>
        <v/>
      </c>
      <c r="M360" s="9" t="str">
        <f aca="false">IF(E360="","",IF(AA360&lt;&gt;"ACUMULA","No aplica",IF(LEFT(K360,2)="Sí","Sí","No")))</f>
        <v/>
      </c>
      <c r="N360" s="23" t="str">
        <f aca="false">IF(M360="Sí",AJ360,"")</f>
        <v/>
      </c>
      <c r="O360" s="24" t="str">
        <f aca="false">IF(M360="Sí",AK360,"")</f>
        <v/>
      </c>
      <c r="P360" s="25" t="str">
        <f aca="false">IF(AND(LEFT(D360,6)="XIV - ",LEFT(AX360,5)="AVISO"),"Pedimento (R 16): no va al SPPLD",AX360)</f>
        <v/>
      </c>
      <c r="Q360" s="23" t="str">
        <f aca="false">IF(LEFT(P360,5)="AVISO",IF(ISNUMBER(B360),DATE(YEAR(B360),MONTH(B360)+1,17),"Falta fecha"),"")</f>
        <v/>
      </c>
      <c r="R360" s="9" t="str">
        <f aca="false">IF(OR(F360="",F360=0),"",IF(ISNUMBER(AG360),IF(F360&gt;=AG360,"PROHIBIDO","Dentro del límite"),"No aplica"))</f>
        <v/>
      </c>
      <c r="S360" s="26" t="str">
        <f aca="false">IF(E360="","",MID(IF(AQ360=1," · Excede el perfil declarado","")&amp;IF(H360="Sí"," · Paga un tercero","")&amp;IF(J360="Alto"," · Cliente de riesgo alto: DDR (RCG 23 Ter 3 y 4)","")&amp;IF(AND(AS360&lt;&gt;"",AS360&lt;&gt;"No",AS360&lt;&gt;0)," · PEP","")&amp;IF(R360="PROHIBIDO"," · Efectivo prohibido: no lo recibas (Art. 32)","")&amp;IF(AR360=1," · ⚠ Fecha fuera de orden","")&amp;IF(LEFT(I360,1)="⚠"," · ⚠ Cliente no registrado","")&amp;IF(D360=""," · ⚠ Falta la actividad","")&amp;IF(AND(LEFT(P360,5)="AVISO",W360="")," · Captura la cifra total con IVA para el Aviso","")&amp;IF(AND(ISNUMBER(W360),W360&lt;E360)," · ⚠ La cifra con IVA es menor que el monto sin IVA",""),4,400))</f>
        <v/>
      </c>
      <c r="T360" s="21"/>
      <c r="U360" s="20"/>
      <c r="V360" s="9" t="str">
        <f aca="false">IF(LEFT(P360,5)&lt;&gt;"AVISO","",IF(T360="Presentado",IF(AND(ISNUMBER(U360),ISNUMBER(Q360),U360&gt;Q360),"Presentado tarde","Presentado"),IF(NOT(ISNUMBER(Q360)),"Falta fecha",IF(Q360&lt;CONFIG!$B$6,"VENCIDO","Vence en "&amp;(Q360-CONFIG!$B$6)&amp;" días"))))</f>
        <v/>
      </c>
      <c r="W360" s="22"/>
      <c r="X360" s="21"/>
      <c r="AA360" s="0" t="str">
        <f aca="false">IF(AM360="","",INDEX(CATÁLOGO!$D$5:$D$39,AM360))</f>
        <v/>
      </c>
      <c r="AB360" s="0" t="str">
        <f aca="false">IF(AM360="","",INDEX(CATÁLOGO!$E$5:$E$39,AM360))</f>
        <v/>
      </c>
      <c r="AC360" s="0" t="str">
        <f aca="false">IF(AB360="","",IF(ISNUMBER(AB360),AB360*AV360,AB360))</f>
        <v/>
      </c>
      <c r="AD360" s="0" t="str">
        <f aca="false">IF(AM360="","",INDEX(CATÁLOGO!$F$5:$F$39,AM360))</f>
        <v/>
      </c>
      <c r="AE360" s="0" t="str">
        <f aca="false">IF(AD360="","",IF(ISNUMBER(AD360),AD360*AV360,AD360))</f>
        <v/>
      </c>
      <c r="AF360" s="0" t="str">
        <f aca="false">IF(AM360="","",INDEX(CATÁLOGO!$G$5:$G$39,AM360))</f>
        <v/>
      </c>
      <c r="AG360" s="0" t="str">
        <f aca="false">IF(AF360="","",IF(ISNUMBER(AF360),AF360*AV360,AF360))</f>
        <v/>
      </c>
      <c r="AH360" s="0" t="str">
        <f aca="false">IF(E360="","",C360&amp;"|"&amp;D360)</f>
        <v/>
      </c>
      <c r="AI360" s="27" t="n">
        <f aca="false">IF(M360&lt;&gt;"Sí",0,SUMPRODUCT(MAX(($AH$5:AH359=AH360)*($M$5:M359="Sí")*ROW($AH$5:AH359))))</f>
        <v>0</v>
      </c>
      <c r="AJ360" s="0" t="str">
        <f aca="false">IF(M360&lt;&gt;"Sí","",IF(AL360=1,B360,INDEX($AJ:$AJ,AI360)))</f>
        <v/>
      </c>
      <c r="AK360" s="0" t="str">
        <f aca="false">IF(M360&lt;&gt;"Sí","",IF(AL360=1,E360,INDEX($AK:$AK,AI360)+E360))</f>
        <v/>
      </c>
      <c r="AL360" s="0" t="str">
        <f aca="false">IF(M360&lt;&gt;"Sí","",IF(AI360=0,1,IF(INDEX($AN:$AN,AI360)=0,1,IF(B360&gt;=EDATE(INDEX($AJ:$AJ,AI360),6),1,0))))</f>
        <v/>
      </c>
      <c r="AM360" s="0" t="str">
        <f aca="false">IF(D360="","",IFERROR(MATCH(D360,CATÁLOGO!$C$5:$C$39,0),""))</f>
        <v/>
      </c>
      <c r="AN360" s="0" t="str">
        <f aca="false">IF(M360&lt;&gt;"Sí","",IF(AND(ISNUMBER(AE360),AK360&gt;=AE360),0,1))</f>
        <v/>
      </c>
      <c r="AO360" s="0" t="str">
        <f aca="false">IF(OR(E360="",C360="",NOT(ISNUMBER(B360))),"",SUMIFS($E$6:$E$505,$C$6:$C$505,C360,$B$6:$B$505,"&gt;="&amp;DATE(YEAR(B360),MONTH(B360),1),$B$6:$B$505,"&lt;"&amp;DATE(YEAR(B360),MONTH(B360)+1,1)))</f>
        <v/>
      </c>
      <c r="AP360" s="0" t="str">
        <f aca="false">IF(C360="","",IFERROR(INDEX(CLIENTES!$M$6:$M$305,MATCH(C360,CLIENTES!$A$6:$A$305,0)),""))</f>
        <v/>
      </c>
      <c r="AQ360" s="27" t="n">
        <f aca="false">IF(AND(ISNUMBER(AO360),ISNUMBER(AP360)),IF(AND(AP360&gt;0,AO360&gt;AP360),1,0),0)</f>
        <v>0</v>
      </c>
      <c r="AR360" s="27" t="n">
        <f aca="false">IF(NOT(ISNUMBER(B360)),0,IF(B360&lt;MAX($B$5:B359),1,0))</f>
        <v>0</v>
      </c>
      <c r="AS360" s="0" t="str">
        <f aca="false">IF(C360="","",IFERROR(INDEX(CLIENTES!$H$6:$H$305,MATCH(C360,CLIENTES!$A$6:$A$305,0)),""))</f>
        <v/>
      </c>
      <c r="AT360" s="0" t="str">
        <f aca="false">IF(AND(LEFT(P360,5)="AVISO",T360&lt;&gt;"Presentado",ISNUMBER(Q360)),Q360,"")</f>
        <v/>
      </c>
      <c r="AU360" s="27" t="n">
        <f aca="false">IF(AND(D360="XVI - Activos virtuales (PSAV): operación de intercambio/transferencia",M360="Sí",ISNUMBER(AE360)),IF(AK360&gt;=AE360,1,0),0)</f>
        <v>0</v>
      </c>
      <c r="AV360" s="30" t="n">
        <f aca="false">IF(NOT(ISNUMBER(B360)),CONFIG!$B$4,IFERROR(INDEX(CONFIG!$I$5:$I$14,MATCH(IF(MONTH(B360)=1,YEAR(B360)-1,YEAR(B360)),CONFIG!$H$5:$H$14,0)),CONFIG!$B$4))</f>
        <v>117.31</v>
      </c>
      <c r="AW360" s="27" t="n">
        <f aca="false">IF(AND(LEFT(D360,4)="I - ",ISNUMBER(B360),C360&lt;&gt;""),SUMIFS($E$6:$E$505,$C$6:$C$505,C360,$D$6:$D$505,D360,$B$6:$B$505,"&gt;"&amp;(B360-1),$B$6:$B$505,"&lt;="&amp;B360),0)</f>
        <v>0</v>
      </c>
      <c r="AX360" s="0" t="str">
        <f aca="false">IF(E360="","",IF(AD360="Siempre","AVISO (siempre)",IF(AD360="No aplica","Sin Aviso (sólo preparas: Ley 17 XI)",IF(NOT(ISNUMBER(AE360)),"",IF(AA360&lt;&gt;"ACUMULA",IF(E360&gt;=AE360,IF(AND(D360="XVI - Activos virtuales (PSAV): cobro de contraprestación (comisión) por el servicio",COUNTIFS($C$6:$C$505,C360,$B$6:$B$505,"&gt;="&amp;INT(B360),$B$6:$B$505,"&lt;"&amp;(INT(B360)+1),$AU$6:$AU$505,1)&gt;0),"En el Aviso del inciso a) (R 31 Bis)","AVISO"),"—"),IF(M360&lt;&gt;"Sí","—",IF(AK360&gt;=AE360,IF(AK360=E360,"AVISO","AVISO (acumulado)"),"Acumulando")))))))</f>
        <v/>
      </c>
    </row>
    <row r="361" customFormat="false" ht="15" hidden="false" customHeight="false" outlineLevel="0" collapsed="false">
      <c r="A361" s="9" t="str">
        <f aca="false">IF(E361="","",ROW()-5)</f>
        <v/>
      </c>
      <c r="B361" s="20"/>
      <c r="C361" s="21"/>
      <c r="D361" s="21"/>
      <c r="E361" s="22"/>
      <c r="F361" s="22"/>
      <c r="G361" s="21"/>
      <c r="H361" s="21"/>
      <c r="I361" s="9" t="str">
        <f aca="false">IF(C361="","",IFERROR(INDEX(CLIENTES!$B$6:$B$305,MATCH(C361,CLIENTES!$A$6:$A$305,0)),"⚠ ID no registrado"))</f>
        <v/>
      </c>
      <c r="J361" s="9" t="str">
        <f aca="false">IF(C361="","",IFERROR(INDEX(CLIENTES!$Z$6:$Z$305,MATCH(C361,CLIENTES!$A$6:$A$305,0)),""))</f>
        <v/>
      </c>
      <c r="K361" s="9" t="str">
        <f aca="false">IF(E361="","",IF(AB361="Siempre","Sí",IF(ISNUMBER(AC361),IF(E361&gt;=AC361,"Sí",IF(AW361&gt;=AC361,"Sí (serie 24 h)","No")),"")))</f>
        <v/>
      </c>
      <c r="L361" s="9" t="str">
        <f aca="false">IF(E361="","",AA361)</f>
        <v/>
      </c>
      <c r="M361" s="9" t="str">
        <f aca="false">IF(E361="","",IF(AA361&lt;&gt;"ACUMULA","No aplica",IF(LEFT(K361,2)="Sí","Sí","No")))</f>
        <v/>
      </c>
      <c r="N361" s="23" t="str">
        <f aca="false">IF(M361="Sí",AJ361,"")</f>
        <v/>
      </c>
      <c r="O361" s="24" t="str">
        <f aca="false">IF(M361="Sí",AK361,"")</f>
        <v/>
      </c>
      <c r="P361" s="25" t="str">
        <f aca="false">IF(AND(LEFT(D361,6)="XIV - ",LEFT(AX361,5)="AVISO"),"Pedimento (R 16): no va al SPPLD",AX361)</f>
        <v/>
      </c>
      <c r="Q361" s="23" t="str">
        <f aca="false">IF(LEFT(P361,5)="AVISO",IF(ISNUMBER(B361),DATE(YEAR(B361),MONTH(B361)+1,17),"Falta fecha"),"")</f>
        <v/>
      </c>
      <c r="R361" s="9" t="str">
        <f aca="false">IF(OR(F361="",F361=0),"",IF(ISNUMBER(AG361),IF(F361&gt;=AG361,"PROHIBIDO","Dentro del límite"),"No aplica"))</f>
        <v/>
      </c>
      <c r="S361" s="26" t="str">
        <f aca="false">IF(E361="","",MID(IF(AQ361=1," · Excede el perfil declarado","")&amp;IF(H361="Sí"," · Paga un tercero","")&amp;IF(J361="Alto"," · Cliente de riesgo alto: DDR (RCG 23 Ter 3 y 4)","")&amp;IF(AND(AS361&lt;&gt;"",AS361&lt;&gt;"No",AS361&lt;&gt;0)," · PEP","")&amp;IF(R361="PROHIBIDO"," · Efectivo prohibido: no lo recibas (Art. 32)","")&amp;IF(AR361=1," · ⚠ Fecha fuera de orden","")&amp;IF(LEFT(I361,1)="⚠"," · ⚠ Cliente no registrado","")&amp;IF(D361=""," · ⚠ Falta la actividad","")&amp;IF(AND(LEFT(P361,5)="AVISO",W361="")," · Captura la cifra total con IVA para el Aviso","")&amp;IF(AND(ISNUMBER(W361),W361&lt;E361)," · ⚠ La cifra con IVA es menor que el monto sin IVA",""),4,400))</f>
        <v/>
      </c>
      <c r="T361" s="21"/>
      <c r="U361" s="20"/>
      <c r="V361" s="9" t="str">
        <f aca="false">IF(LEFT(P361,5)&lt;&gt;"AVISO","",IF(T361="Presentado",IF(AND(ISNUMBER(U361),ISNUMBER(Q361),U361&gt;Q361),"Presentado tarde","Presentado"),IF(NOT(ISNUMBER(Q361)),"Falta fecha",IF(Q361&lt;CONFIG!$B$6,"VENCIDO","Vence en "&amp;(Q361-CONFIG!$B$6)&amp;" días"))))</f>
        <v/>
      </c>
      <c r="W361" s="22"/>
      <c r="X361" s="21"/>
      <c r="AA361" s="0" t="str">
        <f aca="false">IF(AM361="","",INDEX(CATÁLOGO!$D$5:$D$39,AM361))</f>
        <v/>
      </c>
      <c r="AB361" s="0" t="str">
        <f aca="false">IF(AM361="","",INDEX(CATÁLOGO!$E$5:$E$39,AM361))</f>
        <v/>
      </c>
      <c r="AC361" s="0" t="str">
        <f aca="false">IF(AB361="","",IF(ISNUMBER(AB361),AB361*AV361,AB361))</f>
        <v/>
      </c>
      <c r="AD361" s="0" t="str">
        <f aca="false">IF(AM361="","",INDEX(CATÁLOGO!$F$5:$F$39,AM361))</f>
        <v/>
      </c>
      <c r="AE361" s="0" t="str">
        <f aca="false">IF(AD361="","",IF(ISNUMBER(AD361),AD361*AV361,AD361))</f>
        <v/>
      </c>
      <c r="AF361" s="0" t="str">
        <f aca="false">IF(AM361="","",INDEX(CATÁLOGO!$G$5:$G$39,AM361))</f>
        <v/>
      </c>
      <c r="AG361" s="0" t="str">
        <f aca="false">IF(AF361="","",IF(ISNUMBER(AF361),AF361*AV361,AF361))</f>
        <v/>
      </c>
      <c r="AH361" s="0" t="str">
        <f aca="false">IF(E361="","",C361&amp;"|"&amp;D361)</f>
        <v/>
      </c>
      <c r="AI361" s="27" t="n">
        <f aca="false">IF(M361&lt;&gt;"Sí",0,SUMPRODUCT(MAX(($AH$5:AH360=AH361)*($M$5:M360="Sí")*ROW($AH$5:AH360))))</f>
        <v>0</v>
      </c>
      <c r="AJ361" s="0" t="str">
        <f aca="false">IF(M361&lt;&gt;"Sí","",IF(AL361=1,B361,INDEX($AJ:$AJ,AI361)))</f>
        <v/>
      </c>
      <c r="AK361" s="0" t="str">
        <f aca="false">IF(M361&lt;&gt;"Sí","",IF(AL361=1,E361,INDEX($AK:$AK,AI361)+E361))</f>
        <v/>
      </c>
      <c r="AL361" s="0" t="str">
        <f aca="false">IF(M361&lt;&gt;"Sí","",IF(AI361=0,1,IF(INDEX($AN:$AN,AI361)=0,1,IF(B361&gt;=EDATE(INDEX($AJ:$AJ,AI361),6),1,0))))</f>
        <v/>
      </c>
      <c r="AM361" s="0" t="str">
        <f aca="false">IF(D361="","",IFERROR(MATCH(D361,CATÁLOGO!$C$5:$C$39,0),""))</f>
        <v/>
      </c>
      <c r="AN361" s="0" t="str">
        <f aca="false">IF(M361&lt;&gt;"Sí","",IF(AND(ISNUMBER(AE361),AK361&gt;=AE361),0,1))</f>
        <v/>
      </c>
      <c r="AO361" s="0" t="str">
        <f aca="false">IF(OR(E361="",C361="",NOT(ISNUMBER(B361))),"",SUMIFS($E$6:$E$505,$C$6:$C$505,C361,$B$6:$B$505,"&gt;="&amp;DATE(YEAR(B361),MONTH(B361),1),$B$6:$B$505,"&lt;"&amp;DATE(YEAR(B361),MONTH(B361)+1,1)))</f>
        <v/>
      </c>
      <c r="AP361" s="0" t="str">
        <f aca="false">IF(C361="","",IFERROR(INDEX(CLIENTES!$M$6:$M$305,MATCH(C361,CLIENTES!$A$6:$A$305,0)),""))</f>
        <v/>
      </c>
      <c r="AQ361" s="27" t="n">
        <f aca="false">IF(AND(ISNUMBER(AO361),ISNUMBER(AP361)),IF(AND(AP361&gt;0,AO361&gt;AP361),1,0),0)</f>
        <v>0</v>
      </c>
      <c r="AR361" s="27" t="n">
        <f aca="false">IF(NOT(ISNUMBER(B361)),0,IF(B361&lt;MAX($B$5:B360),1,0))</f>
        <v>0</v>
      </c>
      <c r="AS361" s="0" t="str">
        <f aca="false">IF(C361="","",IFERROR(INDEX(CLIENTES!$H$6:$H$305,MATCH(C361,CLIENTES!$A$6:$A$305,0)),""))</f>
        <v/>
      </c>
      <c r="AT361" s="0" t="str">
        <f aca="false">IF(AND(LEFT(P361,5)="AVISO",T361&lt;&gt;"Presentado",ISNUMBER(Q361)),Q361,"")</f>
        <v/>
      </c>
      <c r="AU361" s="27" t="n">
        <f aca="false">IF(AND(D361="XVI - Activos virtuales (PSAV): operación de intercambio/transferencia",M361="Sí",ISNUMBER(AE361)),IF(AK361&gt;=AE361,1,0),0)</f>
        <v>0</v>
      </c>
      <c r="AV361" s="30" t="n">
        <f aca="false">IF(NOT(ISNUMBER(B361)),CONFIG!$B$4,IFERROR(INDEX(CONFIG!$I$5:$I$14,MATCH(IF(MONTH(B361)=1,YEAR(B361)-1,YEAR(B361)),CONFIG!$H$5:$H$14,0)),CONFIG!$B$4))</f>
        <v>117.31</v>
      </c>
      <c r="AW361" s="27" t="n">
        <f aca="false">IF(AND(LEFT(D361,4)="I - ",ISNUMBER(B361),C361&lt;&gt;""),SUMIFS($E$6:$E$505,$C$6:$C$505,C361,$D$6:$D$505,D361,$B$6:$B$505,"&gt;"&amp;(B361-1),$B$6:$B$505,"&lt;="&amp;B361),0)</f>
        <v>0</v>
      </c>
      <c r="AX361" s="0" t="str">
        <f aca="false">IF(E361="","",IF(AD361="Siempre","AVISO (siempre)",IF(AD361="No aplica","Sin Aviso (sólo preparas: Ley 17 XI)",IF(NOT(ISNUMBER(AE361)),"",IF(AA361&lt;&gt;"ACUMULA",IF(E361&gt;=AE361,IF(AND(D361="XVI - Activos virtuales (PSAV): cobro de contraprestación (comisión) por el servicio",COUNTIFS($C$6:$C$505,C361,$B$6:$B$505,"&gt;="&amp;INT(B361),$B$6:$B$505,"&lt;"&amp;(INT(B361)+1),$AU$6:$AU$505,1)&gt;0),"En el Aviso del inciso a) (R 31 Bis)","AVISO"),"—"),IF(M361&lt;&gt;"Sí","—",IF(AK361&gt;=AE361,IF(AK361=E361,"AVISO","AVISO (acumulado)"),"Acumulando")))))))</f>
        <v/>
      </c>
    </row>
    <row r="362" customFormat="false" ht="15" hidden="false" customHeight="false" outlineLevel="0" collapsed="false">
      <c r="A362" s="9" t="str">
        <f aca="false">IF(E362="","",ROW()-5)</f>
        <v/>
      </c>
      <c r="B362" s="20"/>
      <c r="C362" s="21"/>
      <c r="D362" s="21"/>
      <c r="E362" s="22"/>
      <c r="F362" s="22"/>
      <c r="G362" s="21"/>
      <c r="H362" s="21"/>
      <c r="I362" s="9" t="str">
        <f aca="false">IF(C362="","",IFERROR(INDEX(CLIENTES!$B$6:$B$305,MATCH(C362,CLIENTES!$A$6:$A$305,0)),"⚠ ID no registrado"))</f>
        <v/>
      </c>
      <c r="J362" s="9" t="str">
        <f aca="false">IF(C362="","",IFERROR(INDEX(CLIENTES!$Z$6:$Z$305,MATCH(C362,CLIENTES!$A$6:$A$305,0)),""))</f>
        <v/>
      </c>
      <c r="K362" s="9" t="str">
        <f aca="false">IF(E362="","",IF(AB362="Siempre","Sí",IF(ISNUMBER(AC362),IF(E362&gt;=AC362,"Sí",IF(AW362&gt;=AC362,"Sí (serie 24 h)","No")),"")))</f>
        <v/>
      </c>
      <c r="L362" s="9" t="str">
        <f aca="false">IF(E362="","",AA362)</f>
        <v/>
      </c>
      <c r="M362" s="9" t="str">
        <f aca="false">IF(E362="","",IF(AA362&lt;&gt;"ACUMULA","No aplica",IF(LEFT(K362,2)="Sí","Sí","No")))</f>
        <v/>
      </c>
      <c r="N362" s="23" t="str">
        <f aca="false">IF(M362="Sí",AJ362,"")</f>
        <v/>
      </c>
      <c r="O362" s="24" t="str">
        <f aca="false">IF(M362="Sí",AK362,"")</f>
        <v/>
      </c>
      <c r="P362" s="25" t="str">
        <f aca="false">IF(AND(LEFT(D362,6)="XIV - ",LEFT(AX362,5)="AVISO"),"Pedimento (R 16): no va al SPPLD",AX362)</f>
        <v/>
      </c>
      <c r="Q362" s="23" t="str">
        <f aca="false">IF(LEFT(P362,5)="AVISO",IF(ISNUMBER(B362),DATE(YEAR(B362),MONTH(B362)+1,17),"Falta fecha"),"")</f>
        <v/>
      </c>
      <c r="R362" s="9" t="str">
        <f aca="false">IF(OR(F362="",F362=0),"",IF(ISNUMBER(AG362),IF(F362&gt;=AG362,"PROHIBIDO","Dentro del límite"),"No aplica"))</f>
        <v/>
      </c>
      <c r="S362" s="26" t="str">
        <f aca="false">IF(E362="","",MID(IF(AQ362=1," · Excede el perfil declarado","")&amp;IF(H362="Sí"," · Paga un tercero","")&amp;IF(J362="Alto"," · Cliente de riesgo alto: DDR (RCG 23 Ter 3 y 4)","")&amp;IF(AND(AS362&lt;&gt;"",AS362&lt;&gt;"No",AS362&lt;&gt;0)," · PEP","")&amp;IF(R362="PROHIBIDO"," · Efectivo prohibido: no lo recibas (Art. 32)","")&amp;IF(AR362=1," · ⚠ Fecha fuera de orden","")&amp;IF(LEFT(I362,1)="⚠"," · ⚠ Cliente no registrado","")&amp;IF(D362=""," · ⚠ Falta la actividad","")&amp;IF(AND(LEFT(P362,5)="AVISO",W362="")," · Captura la cifra total con IVA para el Aviso","")&amp;IF(AND(ISNUMBER(W362),W362&lt;E362)," · ⚠ La cifra con IVA es menor que el monto sin IVA",""),4,400))</f>
        <v/>
      </c>
      <c r="T362" s="21"/>
      <c r="U362" s="20"/>
      <c r="V362" s="9" t="str">
        <f aca="false">IF(LEFT(P362,5)&lt;&gt;"AVISO","",IF(T362="Presentado",IF(AND(ISNUMBER(U362),ISNUMBER(Q362),U362&gt;Q362),"Presentado tarde","Presentado"),IF(NOT(ISNUMBER(Q362)),"Falta fecha",IF(Q362&lt;CONFIG!$B$6,"VENCIDO","Vence en "&amp;(Q362-CONFIG!$B$6)&amp;" días"))))</f>
        <v/>
      </c>
      <c r="W362" s="22"/>
      <c r="X362" s="21"/>
      <c r="AA362" s="0" t="str">
        <f aca="false">IF(AM362="","",INDEX(CATÁLOGO!$D$5:$D$39,AM362))</f>
        <v/>
      </c>
      <c r="AB362" s="0" t="str">
        <f aca="false">IF(AM362="","",INDEX(CATÁLOGO!$E$5:$E$39,AM362))</f>
        <v/>
      </c>
      <c r="AC362" s="0" t="str">
        <f aca="false">IF(AB362="","",IF(ISNUMBER(AB362),AB362*AV362,AB362))</f>
        <v/>
      </c>
      <c r="AD362" s="0" t="str">
        <f aca="false">IF(AM362="","",INDEX(CATÁLOGO!$F$5:$F$39,AM362))</f>
        <v/>
      </c>
      <c r="AE362" s="0" t="str">
        <f aca="false">IF(AD362="","",IF(ISNUMBER(AD362),AD362*AV362,AD362))</f>
        <v/>
      </c>
      <c r="AF362" s="0" t="str">
        <f aca="false">IF(AM362="","",INDEX(CATÁLOGO!$G$5:$G$39,AM362))</f>
        <v/>
      </c>
      <c r="AG362" s="0" t="str">
        <f aca="false">IF(AF362="","",IF(ISNUMBER(AF362),AF362*AV362,AF362))</f>
        <v/>
      </c>
      <c r="AH362" s="0" t="str">
        <f aca="false">IF(E362="","",C362&amp;"|"&amp;D362)</f>
        <v/>
      </c>
      <c r="AI362" s="27" t="n">
        <f aca="false">IF(M362&lt;&gt;"Sí",0,SUMPRODUCT(MAX(($AH$5:AH361=AH362)*($M$5:M361="Sí")*ROW($AH$5:AH361))))</f>
        <v>0</v>
      </c>
      <c r="AJ362" s="0" t="str">
        <f aca="false">IF(M362&lt;&gt;"Sí","",IF(AL362=1,B362,INDEX($AJ:$AJ,AI362)))</f>
        <v/>
      </c>
      <c r="AK362" s="0" t="str">
        <f aca="false">IF(M362&lt;&gt;"Sí","",IF(AL362=1,E362,INDEX($AK:$AK,AI362)+E362))</f>
        <v/>
      </c>
      <c r="AL362" s="0" t="str">
        <f aca="false">IF(M362&lt;&gt;"Sí","",IF(AI362=0,1,IF(INDEX($AN:$AN,AI362)=0,1,IF(B362&gt;=EDATE(INDEX($AJ:$AJ,AI362),6),1,0))))</f>
        <v/>
      </c>
      <c r="AM362" s="0" t="str">
        <f aca="false">IF(D362="","",IFERROR(MATCH(D362,CATÁLOGO!$C$5:$C$39,0),""))</f>
        <v/>
      </c>
      <c r="AN362" s="0" t="str">
        <f aca="false">IF(M362&lt;&gt;"Sí","",IF(AND(ISNUMBER(AE362),AK362&gt;=AE362),0,1))</f>
        <v/>
      </c>
      <c r="AO362" s="0" t="str">
        <f aca="false">IF(OR(E362="",C362="",NOT(ISNUMBER(B362))),"",SUMIFS($E$6:$E$505,$C$6:$C$505,C362,$B$6:$B$505,"&gt;="&amp;DATE(YEAR(B362),MONTH(B362),1),$B$6:$B$505,"&lt;"&amp;DATE(YEAR(B362),MONTH(B362)+1,1)))</f>
        <v/>
      </c>
      <c r="AP362" s="0" t="str">
        <f aca="false">IF(C362="","",IFERROR(INDEX(CLIENTES!$M$6:$M$305,MATCH(C362,CLIENTES!$A$6:$A$305,0)),""))</f>
        <v/>
      </c>
      <c r="AQ362" s="27" t="n">
        <f aca="false">IF(AND(ISNUMBER(AO362),ISNUMBER(AP362)),IF(AND(AP362&gt;0,AO362&gt;AP362),1,0),0)</f>
        <v>0</v>
      </c>
      <c r="AR362" s="27" t="n">
        <f aca="false">IF(NOT(ISNUMBER(B362)),0,IF(B362&lt;MAX($B$5:B361),1,0))</f>
        <v>0</v>
      </c>
      <c r="AS362" s="0" t="str">
        <f aca="false">IF(C362="","",IFERROR(INDEX(CLIENTES!$H$6:$H$305,MATCH(C362,CLIENTES!$A$6:$A$305,0)),""))</f>
        <v/>
      </c>
      <c r="AT362" s="0" t="str">
        <f aca="false">IF(AND(LEFT(P362,5)="AVISO",T362&lt;&gt;"Presentado",ISNUMBER(Q362)),Q362,"")</f>
        <v/>
      </c>
      <c r="AU362" s="27" t="n">
        <f aca="false">IF(AND(D362="XVI - Activos virtuales (PSAV): operación de intercambio/transferencia",M362="Sí",ISNUMBER(AE362)),IF(AK362&gt;=AE362,1,0),0)</f>
        <v>0</v>
      </c>
      <c r="AV362" s="30" t="n">
        <f aca="false">IF(NOT(ISNUMBER(B362)),CONFIG!$B$4,IFERROR(INDEX(CONFIG!$I$5:$I$14,MATCH(IF(MONTH(B362)=1,YEAR(B362)-1,YEAR(B362)),CONFIG!$H$5:$H$14,0)),CONFIG!$B$4))</f>
        <v>117.31</v>
      </c>
      <c r="AW362" s="27" t="n">
        <f aca="false">IF(AND(LEFT(D362,4)="I - ",ISNUMBER(B362),C362&lt;&gt;""),SUMIFS($E$6:$E$505,$C$6:$C$505,C362,$D$6:$D$505,D362,$B$6:$B$505,"&gt;"&amp;(B362-1),$B$6:$B$505,"&lt;="&amp;B362),0)</f>
        <v>0</v>
      </c>
      <c r="AX362" s="0" t="str">
        <f aca="false">IF(E362="","",IF(AD362="Siempre","AVISO (siempre)",IF(AD362="No aplica","Sin Aviso (sólo preparas: Ley 17 XI)",IF(NOT(ISNUMBER(AE362)),"",IF(AA362&lt;&gt;"ACUMULA",IF(E362&gt;=AE362,IF(AND(D362="XVI - Activos virtuales (PSAV): cobro de contraprestación (comisión) por el servicio",COUNTIFS($C$6:$C$505,C362,$B$6:$B$505,"&gt;="&amp;INT(B362),$B$6:$B$505,"&lt;"&amp;(INT(B362)+1),$AU$6:$AU$505,1)&gt;0),"En el Aviso del inciso a) (R 31 Bis)","AVISO"),"—"),IF(M362&lt;&gt;"Sí","—",IF(AK362&gt;=AE362,IF(AK362=E362,"AVISO","AVISO (acumulado)"),"Acumulando")))))))</f>
        <v/>
      </c>
    </row>
    <row r="363" customFormat="false" ht="15" hidden="false" customHeight="false" outlineLevel="0" collapsed="false">
      <c r="A363" s="9" t="str">
        <f aca="false">IF(E363="","",ROW()-5)</f>
        <v/>
      </c>
      <c r="B363" s="20"/>
      <c r="C363" s="21"/>
      <c r="D363" s="21"/>
      <c r="E363" s="22"/>
      <c r="F363" s="22"/>
      <c r="G363" s="21"/>
      <c r="H363" s="21"/>
      <c r="I363" s="9" t="str">
        <f aca="false">IF(C363="","",IFERROR(INDEX(CLIENTES!$B$6:$B$305,MATCH(C363,CLIENTES!$A$6:$A$305,0)),"⚠ ID no registrado"))</f>
        <v/>
      </c>
      <c r="J363" s="9" t="str">
        <f aca="false">IF(C363="","",IFERROR(INDEX(CLIENTES!$Z$6:$Z$305,MATCH(C363,CLIENTES!$A$6:$A$305,0)),""))</f>
        <v/>
      </c>
      <c r="K363" s="9" t="str">
        <f aca="false">IF(E363="","",IF(AB363="Siempre","Sí",IF(ISNUMBER(AC363),IF(E363&gt;=AC363,"Sí",IF(AW363&gt;=AC363,"Sí (serie 24 h)","No")),"")))</f>
        <v/>
      </c>
      <c r="L363" s="9" t="str">
        <f aca="false">IF(E363="","",AA363)</f>
        <v/>
      </c>
      <c r="M363" s="9" t="str">
        <f aca="false">IF(E363="","",IF(AA363&lt;&gt;"ACUMULA","No aplica",IF(LEFT(K363,2)="Sí","Sí","No")))</f>
        <v/>
      </c>
      <c r="N363" s="23" t="str">
        <f aca="false">IF(M363="Sí",AJ363,"")</f>
        <v/>
      </c>
      <c r="O363" s="24" t="str">
        <f aca="false">IF(M363="Sí",AK363,"")</f>
        <v/>
      </c>
      <c r="P363" s="25" t="str">
        <f aca="false">IF(AND(LEFT(D363,6)="XIV - ",LEFT(AX363,5)="AVISO"),"Pedimento (R 16): no va al SPPLD",AX363)</f>
        <v/>
      </c>
      <c r="Q363" s="23" t="str">
        <f aca="false">IF(LEFT(P363,5)="AVISO",IF(ISNUMBER(B363),DATE(YEAR(B363),MONTH(B363)+1,17),"Falta fecha"),"")</f>
        <v/>
      </c>
      <c r="R363" s="9" t="str">
        <f aca="false">IF(OR(F363="",F363=0),"",IF(ISNUMBER(AG363),IF(F363&gt;=AG363,"PROHIBIDO","Dentro del límite"),"No aplica"))</f>
        <v/>
      </c>
      <c r="S363" s="26" t="str">
        <f aca="false">IF(E363="","",MID(IF(AQ363=1," · Excede el perfil declarado","")&amp;IF(H363="Sí"," · Paga un tercero","")&amp;IF(J363="Alto"," · Cliente de riesgo alto: DDR (RCG 23 Ter 3 y 4)","")&amp;IF(AND(AS363&lt;&gt;"",AS363&lt;&gt;"No",AS363&lt;&gt;0)," · PEP","")&amp;IF(R363="PROHIBIDO"," · Efectivo prohibido: no lo recibas (Art. 32)","")&amp;IF(AR363=1," · ⚠ Fecha fuera de orden","")&amp;IF(LEFT(I363,1)="⚠"," · ⚠ Cliente no registrado","")&amp;IF(D363=""," · ⚠ Falta la actividad","")&amp;IF(AND(LEFT(P363,5)="AVISO",W363="")," · Captura la cifra total con IVA para el Aviso","")&amp;IF(AND(ISNUMBER(W363),W363&lt;E363)," · ⚠ La cifra con IVA es menor que el monto sin IVA",""),4,400))</f>
        <v/>
      </c>
      <c r="T363" s="21"/>
      <c r="U363" s="20"/>
      <c r="V363" s="9" t="str">
        <f aca="false">IF(LEFT(P363,5)&lt;&gt;"AVISO","",IF(T363="Presentado",IF(AND(ISNUMBER(U363),ISNUMBER(Q363),U363&gt;Q363),"Presentado tarde","Presentado"),IF(NOT(ISNUMBER(Q363)),"Falta fecha",IF(Q363&lt;CONFIG!$B$6,"VENCIDO","Vence en "&amp;(Q363-CONFIG!$B$6)&amp;" días"))))</f>
        <v/>
      </c>
      <c r="W363" s="22"/>
      <c r="X363" s="21"/>
      <c r="AA363" s="0" t="str">
        <f aca="false">IF(AM363="","",INDEX(CATÁLOGO!$D$5:$D$39,AM363))</f>
        <v/>
      </c>
      <c r="AB363" s="0" t="str">
        <f aca="false">IF(AM363="","",INDEX(CATÁLOGO!$E$5:$E$39,AM363))</f>
        <v/>
      </c>
      <c r="AC363" s="0" t="str">
        <f aca="false">IF(AB363="","",IF(ISNUMBER(AB363),AB363*AV363,AB363))</f>
        <v/>
      </c>
      <c r="AD363" s="0" t="str">
        <f aca="false">IF(AM363="","",INDEX(CATÁLOGO!$F$5:$F$39,AM363))</f>
        <v/>
      </c>
      <c r="AE363" s="0" t="str">
        <f aca="false">IF(AD363="","",IF(ISNUMBER(AD363),AD363*AV363,AD363))</f>
        <v/>
      </c>
      <c r="AF363" s="0" t="str">
        <f aca="false">IF(AM363="","",INDEX(CATÁLOGO!$G$5:$G$39,AM363))</f>
        <v/>
      </c>
      <c r="AG363" s="0" t="str">
        <f aca="false">IF(AF363="","",IF(ISNUMBER(AF363),AF363*AV363,AF363))</f>
        <v/>
      </c>
      <c r="AH363" s="0" t="str">
        <f aca="false">IF(E363="","",C363&amp;"|"&amp;D363)</f>
        <v/>
      </c>
      <c r="AI363" s="27" t="n">
        <f aca="false">IF(M363&lt;&gt;"Sí",0,SUMPRODUCT(MAX(($AH$5:AH362=AH363)*($M$5:M362="Sí")*ROW($AH$5:AH362))))</f>
        <v>0</v>
      </c>
      <c r="AJ363" s="0" t="str">
        <f aca="false">IF(M363&lt;&gt;"Sí","",IF(AL363=1,B363,INDEX($AJ:$AJ,AI363)))</f>
        <v/>
      </c>
      <c r="AK363" s="0" t="str">
        <f aca="false">IF(M363&lt;&gt;"Sí","",IF(AL363=1,E363,INDEX($AK:$AK,AI363)+E363))</f>
        <v/>
      </c>
      <c r="AL363" s="0" t="str">
        <f aca="false">IF(M363&lt;&gt;"Sí","",IF(AI363=0,1,IF(INDEX($AN:$AN,AI363)=0,1,IF(B363&gt;=EDATE(INDEX($AJ:$AJ,AI363),6),1,0))))</f>
        <v/>
      </c>
      <c r="AM363" s="0" t="str">
        <f aca="false">IF(D363="","",IFERROR(MATCH(D363,CATÁLOGO!$C$5:$C$39,0),""))</f>
        <v/>
      </c>
      <c r="AN363" s="0" t="str">
        <f aca="false">IF(M363&lt;&gt;"Sí","",IF(AND(ISNUMBER(AE363),AK363&gt;=AE363),0,1))</f>
        <v/>
      </c>
      <c r="AO363" s="0" t="str">
        <f aca="false">IF(OR(E363="",C363="",NOT(ISNUMBER(B363))),"",SUMIFS($E$6:$E$505,$C$6:$C$505,C363,$B$6:$B$505,"&gt;="&amp;DATE(YEAR(B363),MONTH(B363),1),$B$6:$B$505,"&lt;"&amp;DATE(YEAR(B363),MONTH(B363)+1,1)))</f>
        <v/>
      </c>
      <c r="AP363" s="0" t="str">
        <f aca="false">IF(C363="","",IFERROR(INDEX(CLIENTES!$M$6:$M$305,MATCH(C363,CLIENTES!$A$6:$A$305,0)),""))</f>
        <v/>
      </c>
      <c r="AQ363" s="27" t="n">
        <f aca="false">IF(AND(ISNUMBER(AO363),ISNUMBER(AP363)),IF(AND(AP363&gt;0,AO363&gt;AP363),1,0),0)</f>
        <v>0</v>
      </c>
      <c r="AR363" s="27" t="n">
        <f aca="false">IF(NOT(ISNUMBER(B363)),0,IF(B363&lt;MAX($B$5:B362),1,0))</f>
        <v>0</v>
      </c>
      <c r="AS363" s="0" t="str">
        <f aca="false">IF(C363="","",IFERROR(INDEX(CLIENTES!$H$6:$H$305,MATCH(C363,CLIENTES!$A$6:$A$305,0)),""))</f>
        <v/>
      </c>
      <c r="AT363" s="0" t="str">
        <f aca="false">IF(AND(LEFT(P363,5)="AVISO",T363&lt;&gt;"Presentado",ISNUMBER(Q363)),Q363,"")</f>
        <v/>
      </c>
      <c r="AU363" s="27" t="n">
        <f aca="false">IF(AND(D363="XVI - Activos virtuales (PSAV): operación de intercambio/transferencia",M363="Sí",ISNUMBER(AE363)),IF(AK363&gt;=AE363,1,0),0)</f>
        <v>0</v>
      </c>
      <c r="AV363" s="30" t="n">
        <f aca="false">IF(NOT(ISNUMBER(B363)),CONFIG!$B$4,IFERROR(INDEX(CONFIG!$I$5:$I$14,MATCH(IF(MONTH(B363)=1,YEAR(B363)-1,YEAR(B363)),CONFIG!$H$5:$H$14,0)),CONFIG!$B$4))</f>
        <v>117.31</v>
      </c>
      <c r="AW363" s="27" t="n">
        <f aca="false">IF(AND(LEFT(D363,4)="I - ",ISNUMBER(B363),C363&lt;&gt;""),SUMIFS($E$6:$E$505,$C$6:$C$505,C363,$D$6:$D$505,D363,$B$6:$B$505,"&gt;"&amp;(B363-1),$B$6:$B$505,"&lt;="&amp;B363),0)</f>
        <v>0</v>
      </c>
      <c r="AX363" s="0" t="str">
        <f aca="false">IF(E363="","",IF(AD363="Siempre","AVISO (siempre)",IF(AD363="No aplica","Sin Aviso (sólo preparas: Ley 17 XI)",IF(NOT(ISNUMBER(AE363)),"",IF(AA363&lt;&gt;"ACUMULA",IF(E363&gt;=AE363,IF(AND(D363="XVI - Activos virtuales (PSAV): cobro de contraprestación (comisión) por el servicio",COUNTIFS($C$6:$C$505,C363,$B$6:$B$505,"&gt;="&amp;INT(B363),$B$6:$B$505,"&lt;"&amp;(INT(B363)+1),$AU$6:$AU$505,1)&gt;0),"En el Aviso del inciso a) (R 31 Bis)","AVISO"),"—"),IF(M363&lt;&gt;"Sí","—",IF(AK363&gt;=AE363,IF(AK363=E363,"AVISO","AVISO (acumulado)"),"Acumulando")))))))</f>
        <v/>
      </c>
    </row>
    <row r="364" customFormat="false" ht="15" hidden="false" customHeight="false" outlineLevel="0" collapsed="false">
      <c r="A364" s="9" t="str">
        <f aca="false">IF(E364="","",ROW()-5)</f>
        <v/>
      </c>
      <c r="B364" s="20"/>
      <c r="C364" s="21"/>
      <c r="D364" s="21"/>
      <c r="E364" s="22"/>
      <c r="F364" s="22"/>
      <c r="G364" s="21"/>
      <c r="H364" s="21"/>
      <c r="I364" s="9" t="str">
        <f aca="false">IF(C364="","",IFERROR(INDEX(CLIENTES!$B$6:$B$305,MATCH(C364,CLIENTES!$A$6:$A$305,0)),"⚠ ID no registrado"))</f>
        <v/>
      </c>
      <c r="J364" s="9" t="str">
        <f aca="false">IF(C364="","",IFERROR(INDEX(CLIENTES!$Z$6:$Z$305,MATCH(C364,CLIENTES!$A$6:$A$305,0)),""))</f>
        <v/>
      </c>
      <c r="K364" s="9" t="str">
        <f aca="false">IF(E364="","",IF(AB364="Siempre","Sí",IF(ISNUMBER(AC364),IF(E364&gt;=AC364,"Sí",IF(AW364&gt;=AC364,"Sí (serie 24 h)","No")),"")))</f>
        <v/>
      </c>
      <c r="L364" s="9" t="str">
        <f aca="false">IF(E364="","",AA364)</f>
        <v/>
      </c>
      <c r="M364" s="9" t="str">
        <f aca="false">IF(E364="","",IF(AA364&lt;&gt;"ACUMULA","No aplica",IF(LEFT(K364,2)="Sí","Sí","No")))</f>
        <v/>
      </c>
      <c r="N364" s="23" t="str">
        <f aca="false">IF(M364="Sí",AJ364,"")</f>
        <v/>
      </c>
      <c r="O364" s="24" t="str">
        <f aca="false">IF(M364="Sí",AK364,"")</f>
        <v/>
      </c>
      <c r="P364" s="25" t="str">
        <f aca="false">IF(AND(LEFT(D364,6)="XIV - ",LEFT(AX364,5)="AVISO"),"Pedimento (R 16): no va al SPPLD",AX364)</f>
        <v/>
      </c>
      <c r="Q364" s="23" t="str">
        <f aca="false">IF(LEFT(P364,5)="AVISO",IF(ISNUMBER(B364),DATE(YEAR(B364),MONTH(B364)+1,17),"Falta fecha"),"")</f>
        <v/>
      </c>
      <c r="R364" s="9" t="str">
        <f aca="false">IF(OR(F364="",F364=0),"",IF(ISNUMBER(AG364),IF(F364&gt;=AG364,"PROHIBIDO","Dentro del límite"),"No aplica"))</f>
        <v/>
      </c>
      <c r="S364" s="26" t="str">
        <f aca="false">IF(E364="","",MID(IF(AQ364=1," · Excede el perfil declarado","")&amp;IF(H364="Sí"," · Paga un tercero","")&amp;IF(J364="Alto"," · Cliente de riesgo alto: DDR (RCG 23 Ter 3 y 4)","")&amp;IF(AND(AS364&lt;&gt;"",AS364&lt;&gt;"No",AS364&lt;&gt;0)," · PEP","")&amp;IF(R364="PROHIBIDO"," · Efectivo prohibido: no lo recibas (Art. 32)","")&amp;IF(AR364=1," · ⚠ Fecha fuera de orden","")&amp;IF(LEFT(I364,1)="⚠"," · ⚠ Cliente no registrado","")&amp;IF(D364=""," · ⚠ Falta la actividad","")&amp;IF(AND(LEFT(P364,5)="AVISO",W364="")," · Captura la cifra total con IVA para el Aviso","")&amp;IF(AND(ISNUMBER(W364),W364&lt;E364)," · ⚠ La cifra con IVA es menor que el monto sin IVA",""),4,400))</f>
        <v/>
      </c>
      <c r="T364" s="21"/>
      <c r="U364" s="20"/>
      <c r="V364" s="9" t="str">
        <f aca="false">IF(LEFT(P364,5)&lt;&gt;"AVISO","",IF(T364="Presentado",IF(AND(ISNUMBER(U364),ISNUMBER(Q364),U364&gt;Q364),"Presentado tarde","Presentado"),IF(NOT(ISNUMBER(Q364)),"Falta fecha",IF(Q364&lt;CONFIG!$B$6,"VENCIDO","Vence en "&amp;(Q364-CONFIG!$B$6)&amp;" días"))))</f>
        <v/>
      </c>
      <c r="W364" s="22"/>
      <c r="X364" s="21"/>
      <c r="AA364" s="0" t="str">
        <f aca="false">IF(AM364="","",INDEX(CATÁLOGO!$D$5:$D$39,AM364))</f>
        <v/>
      </c>
      <c r="AB364" s="0" t="str">
        <f aca="false">IF(AM364="","",INDEX(CATÁLOGO!$E$5:$E$39,AM364))</f>
        <v/>
      </c>
      <c r="AC364" s="0" t="str">
        <f aca="false">IF(AB364="","",IF(ISNUMBER(AB364),AB364*AV364,AB364))</f>
        <v/>
      </c>
      <c r="AD364" s="0" t="str">
        <f aca="false">IF(AM364="","",INDEX(CATÁLOGO!$F$5:$F$39,AM364))</f>
        <v/>
      </c>
      <c r="AE364" s="0" t="str">
        <f aca="false">IF(AD364="","",IF(ISNUMBER(AD364),AD364*AV364,AD364))</f>
        <v/>
      </c>
      <c r="AF364" s="0" t="str">
        <f aca="false">IF(AM364="","",INDEX(CATÁLOGO!$G$5:$G$39,AM364))</f>
        <v/>
      </c>
      <c r="AG364" s="0" t="str">
        <f aca="false">IF(AF364="","",IF(ISNUMBER(AF364),AF364*AV364,AF364))</f>
        <v/>
      </c>
      <c r="AH364" s="0" t="str">
        <f aca="false">IF(E364="","",C364&amp;"|"&amp;D364)</f>
        <v/>
      </c>
      <c r="AI364" s="27" t="n">
        <f aca="false">IF(M364&lt;&gt;"Sí",0,SUMPRODUCT(MAX(($AH$5:AH363=AH364)*($M$5:M363="Sí")*ROW($AH$5:AH363))))</f>
        <v>0</v>
      </c>
      <c r="AJ364" s="0" t="str">
        <f aca="false">IF(M364&lt;&gt;"Sí","",IF(AL364=1,B364,INDEX($AJ:$AJ,AI364)))</f>
        <v/>
      </c>
      <c r="AK364" s="0" t="str">
        <f aca="false">IF(M364&lt;&gt;"Sí","",IF(AL364=1,E364,INDEX($AK:$AK,AI364)+E364))</f>
        <v/>
      </c>
      <c r="AL364" s="0" t="str">
        <f aca="false">IF(M364&lt;&gt;"Sí","",IF(AI364=0,1,IF(INDEX($AN:$AN,AI364)=0,1,IF(B364&gt;=EDATE(INDEX($AJ:$AJ,AI364),6),1,0))))</f>
        <v/>
      </c>
      <c r="AM364" s="0" t="str">
        <f aca="false">IF(D364="","",IFERROR(MATCH(D364,CATÁLOGO!$C$5:$C$39,0),""))</f>
        <v/>
      </c>
      <c r="AN364" s="0" t="str">
        <f aca="false">IF(M364&lt;&gt;"Sí","",IF(AND(ISNUMBER(AE364),AK364&gt;=AE364),0,1))</f>
        <v/>
      </c>
      <c r="AO364" s="0" t="str">
        <f aca="false">IF(OR(E364="",C364="",NOT(ISNUMBER(B364))),"",SUMIFS($E$6:$E$505,$C$6:$C$505,C364,$B$6:$B$505,"&gt;="&amp;DATE(YEAR(B364),MONTH(B364),1),$B$6:$B$505,"&lt;"&amp;DATE(YEAR(B364),MONTH(B364)+1,1)))</f>
        <v/>
      </c>
      <c r="AP364" s="0" t="str">
        <f aca="false">IF(C364="","",IFERROR(INDEX(CLIENTES!$M$6:$M$305,MATCH(C364,CLIENTES!$A$6:$A$305,0)),""))</f>
        <v/>
      </c>
      <c r="AQ364" s="27" t="n">
        <f aca="false">IF(AND(ISNUMBER(AO364),ISNUMBER(AP364)),IF(AND(AP364&gt;0,AO364&gt;AP364),1,0),0)</f>
        <v>0</v>
      </c>
      <c r="AR364" s="27" t="n">
        <f aca="false">IF(NOT(ISNUMBER(B364)),0,IF(B364&lt;MAX($B$5:B363),1,0))</f>
        <v>0</v>
      </c>
      <c r="AS364" s="0" t="str">
        <f aca="false">IF(C364="","",IFERROR(INDEX(CLIENTES!$H$6:$H$305,MATCH(C364,CLIENTES!$A$6:$A$305,0)),""))</f>
        <v/>
      </c>
      <c r="AT364" s="0" t="str">
        <f aca="false">IF(AND(LEFT(P364,5)="AVISO",T364&lt;&gt;"Presentado",ISNUMBER(Q364)),Q364,"")</f>
        <v/>
      </c>
      <c r="AU364" s="27" t="n">
        <f aca="false">IF(AND(D364="XVI - Activos virtuales (PSAV): operación de intercambio/transferencia",M364="Sí",ISNUMBER(AE364)),IF(AK364&gt;=AE364,1,0),0)</f>
        <v>0</v>
      </c>
      <c r="AV364" s="30" t="n">
        <f aca="false">IF(NOT(ISNUMBER(B364)),CONFIG!$B$4,IFERROR(INDEX(CONFIG!$I$5:$I$14,MATCH(IF(MONTH(B364)=1,YEAR(B364)-1,YEAR(B364)),CONFIG!$H$5:$H$14,0)),CONFIG!$B$4))</f>
        <v>117.31</v>
      </c>
      <c r="AW364" s="27" t="n">
        <f aca="false">IF(AND(LEFT(D364,4)="I - ",ISNUMBER(B364),C364&lt;&gt;""),SUMIFS($E$6:$E$505,$C$6:$C$505,C364,$D$6:$D$505,D364,$B$6:$B$505,"&gt;"&amp;(B364-1),$B$6:$B$505,"&lt;="&amp;B364),0)</f>
        <v>0</v>
      </c>
      <c r="AX364" s="0" t="str">
        <f aca="false">IF(E364="","",IF(AD364="Siempre","AVISO (siempre)",IF(AD364="No aplica","Sin Aviso (sólo preparas: Ley 17 XI)",IF(NOT(ISNUMBER(AE364)),"",IF(AA364&lt;&gt;"ACUMULA",IF(E364&gt;=AE364,IF(AND(D364="XVI - Activos virtuales (PSAV): cobro de contraprestación (comisión) por el servicio",COUNTIFS($C$6:$C$505,C364,$B$6:$B$505,"&gt;="&amp;INT(B364),$B$6:$B$505,"&lt;"&amp;(INT(B364)+1),$AU$6:$AU$505,1)&gt;0),"En el Aviso del inciso a) (R 31 Bis)","AVISO"),"—"),IF(M364&lt;&gt;"Sí","—",IF(AK364&gt;=AE364,IF(AK364=E364,"AVISO","AVISO (acumulado)"),"Acumulando")))))))</f>
        <v/>
      </c>
    </row>
    <row r="365" customFormat="false" ht="15" hidden="false" customHeight="false" outlineLevel="0" collapsed="false">
      <c r="A365" s="9" t="str">
        <f aca="false">IF(E365="","",ROW()-5)</f>
        <v/>
      </c>
      <c r="B365" s="20"/>
      <c r="C365" s="21"/>
      <c r="D365" s="21"/>
      <c r="E365" s="22"/>
      <c r="F365" s="22"/>
      <c r="G365" s="21"/>
      <c r="H365" s="21"/>
      <c r="I365" s="9" t="str">
        <f aca="false">IF(C365="","",IFERROR(INDEX(CLIENTES!$B$6:$B$305,MATCH(C365,CLIENTES!$A$6:$A$305,0)),"⚠ ID no registrado"))</f>
        <v/>
      </c>
      <c r="J365" s="9" t="str">
        <f aca="false">IF(C365="","",IFERROR(INDEX(CLIENTES!$Z$6:$Z$305,MATCH(C365,CLIENTES!$A$6:$A$305,0)),""))</f>
        <v/>
      </c>
      <c r="K365" s="9" t="str">
        <f aca="false">IF(E365="","",IF(AB365="Siempre","Sí",IF(ISNUMBER(AC365),IF(E365&gt;=AC365,"Sí",IF(AW365&gt;=AC365,"Sí (serie 24 h)","No")),"")))</f>
        <v/>
      </c>
      <c r="L365" s="9" t="str">
        <f aca="false">IF(E365="","",AA365)</f>
        <v/>
      </c>
      <c r="M365" s="9" t="str">
        <f aca="false">IF(E365="","",IF(AA365&lt;&gt;"ACUMULA","No aplica",IF(LEFT(K365,2)="Sí","Sí","No")))</f>
        <v/>
      </c>
      <c r="N365" s="23" t="str">
        <f aca="false">IF(M365="Sí",AJ365,"")</f>
        <v/>
      </c>
      <c r="O365" s="24" t="str">
        <f aca="false">IF(M365="Sí",AK365,"")</f>
        <v/>
      </c>
      <c r="P365" s="25" t="str">
        <f aca="false">IF(AND(LEFT(D365,6)="XIV - ",LEFT(AX365,5)="AVISO"),"Pedimento (R 16): no va al SPPLD",AX365)</f>
        <v/>
      </c>
      <c r="Q365" s="23" t="str">
        <f aca="false">IF(LEFT(P365,5)="AVISO",IF(ISNUMBER(B365),DATE(YEAR(B365),MONTH(B365)+1,17),"Falta fecha"),"")</f>
        <v/>
      </c>
      <c r="R365" s="9" t="str">
        <f aca="false">IF(OR(F365="",F365=0),"",IF(ISNUMBER(AG365),IF(F365&gt;=AG365,"PROHIBIDO","Dentro del límite"),"No aplica"))</f>
        <v/>
      </c>
      <c r="S365" s="26" t="str">
        <f aca="false">IF(E365="","",MID(IF(AQ365=1," · Excede el perfil declarado","")&amp;IF(H365="Sí"," · Paga un tercero","")&amp;IF(J365="Alto"," · Cliente de riesgo alto: DDR (RCG 23 Ter 3 y 4)","")&amp;IF(AND(AS365&lt;&gt;"",AS365&lt;&gt;"No",AS365&lt;&gt;0)," · PEP","")&amp;IF(R365="PROHIBIDO"," · Efectivo prohibido: no lo recibas (Art. 32)","")&amp;IF(AR365=1," · ⚠ Fecha fuera de orden","")&amp;IF(LEFT(I365,1)="⚠"," · ⚠ Cliente no registrado","")&amp;IF(D365=""," · ⚠ Falta la actividad","")&amp;IF(AND(LEFT(P365,5)="AVISO",W365="")," · Captura la cifra total con IVA para el Aviso","")&amp;IF(AND(ISNUMBER(W365),W365&lt;E365)," · ⚠ La cifra con IVA es menor que el monto sin IVA",""),4,400))</f>
        <v/>
      </c>
      <c r="T365" s="21"/>
      <c r="U365" s="20"/>
      <c r="V365" s="9" t="str">
        <f aca="false">IF(LEFT(P365,5)&lt;&gt;"AVISO","",IF(T365="Presentado",IF(AND(ISNUMBER(U365),ISNUMBER(Q365),U365&gt;Q365),"Presentado tarde","Presentado"),IF(NOT(ISNUMBER(Q365)),"Falta fecha",IF(Q365&lt;CONFIG!$B$6,"VENCIDO","Vence en "&amp;(Q365-CONFIG!$B$6)&amp;" días"))))</f>
        <v/>
      </c>
      <c r="W365" s="22"/>
      <c r="X365" s="21"/>
      <c r="AA365" s="0" t="str">
        <f aca="false">IF(AM365="","",INDEX(CATÁLOGO!$D$5:$D$39,AM365))</f>
        <v/>
      </c>
      <c r="AB365" s="0" t="str">
        <f aca="false">IF(AM365="","",INDEX(CATÁLOGO!$E$5:$E$39,AM365))</f>
        <v/>
      </c>
      <c r="AC365" s="0" t="str">
        <f aca="false">IF(AB365="","",IF(ISNUMBER(AB365),AB365*AV365,AB365))</f>
        <v/>
      </c>
      <c r="AD365" s="0" t="str">
        <f aca="false">IF(AM365="","",INDEX(CATÁLOGO!$F$5:$F$39,AM365))</f>
        <v/>
      </c>
      <c r="AE365" s="0" t="str">
        <f aca="false">IF(AD365="","",IF(ISNUMBER(AD365),AD365*AV365,AD365))</f>
        <v/>
      </c>
      <c r="AF365" s="0" t="str">
        <f aca="false">IF(AM365="","",INDEX(CATÁLOGO!$G$5:$G$39,AM365))</f>
        <v/>
      </c>
      <c r="AG365" s="0" t="str">
        <f aca="false">IF(AF365="","",IF(ISNUMBER(AF365),AF365*AV365,AF365))</f>
        <v/>
      </c>
      <c r="AH365" s="0" t="str">
        <f aca="false">IF(E365="","",C365&amp;"|"&amp;D365)</f>
        <v/>
      </c>
      <c r="AI365" s="27" t="n">
        <f aca="false">IF(M365&lt;&gt;"Sí",0,SUMPRODUCT(MAX(($AH$5:AH364=AH365)*($M$5:M364="Sí")*ROW($AH$5:AH364))))</f>
        <v>0</v>
      </c>
      <c r="AJ365" s="0" t="str">
        <f aca="false">IF(M365&lt;&gt;"Sí","",IF(AL365=1,B365,INDEX($AJ:$AJ,AI365)))</f>
        <v/>
      </c>
      <c r="AK365" s="0" t="str">
        <f aca="false">IF(M365&lt;&gt;"Sí","",IF(AL365=1,E365,INDEX($AK:$AK,AI365)+E365))</f>
        <v/>
      </c>
      <c r="AL365" s="0" t="str">
        <f aca="false">IF(M365&lt;&gt;"Sí","",IF(AI365=0,1,IF(INDEX($AN:$AN,AI365)=0,1,IF(B365&gt;=EDATE(INDEX($AJ:$AJ,AI365),6),1,0))))</f>
        <v/>
      </c>
      <c r="AM365" s="0" t="str">
        <f aca="false">IF(D365="","",IFERROR(MATCH(D365,CATÁLOGO!$C$5:$C$39,0),""))</f>
        <v/>
      </c>
      <c r="AN365" s="0" t="str">
        <f aca="false">IF(M365&lt;&gt;"Sí","",IF(AND(ISNUMBER(AE365),AK365&gt;=AE365),0,1))</f>
        <v/>
      </c>
      <c r="AO365" s="0" t="str">
        <f aca="false">IF(OR(E365="",C365="",NOT(ISNUMBER(B365))),"",SUMIFS($E$6:$E$505,$C$6:$C$505,C365,$B$6:$B$505,"&gt;="&amp;DATE(YEAR(B365),MONTH(B365),1),$B$6:$B$505,"&lt;"&amp;DATE(YEAR(B365),MONTH(B365)+1,1)))</f>
        <v/>
      </c>
      <c r="AP365" s="0" t="str">
        <f aca="false">IF(C365="","",IFERROR(INDEX(CLIENTES!$M$6:$M$305,MATCH(C365,CLIENTES!$A$6:$A$305,0)),""))</f>
        <v/>
      </c>
      <c r="AQ365" s="27" t="n">
        <f aca="false">IF(AND(ISNUMBER(AO365),ISNUMBER(AP365)),IF(AND(AP365&gt;0,AO365&gt;AP365),1,0),0)</f>
        <v>0</v>
      </c>
      <c r="AR365" s="27" t="n">
        <f aca="false">IF(NOT(ISNUMBER(B365)),0,IF(B365&lt;MAX($B$5:B364),1,0))</f>
        <v>0</v>
      </c>
      <c r="AS365" s="0" t="str">
        <f aca="false">IF(C365="","",IFERROR(INDEX(CLIENTES!$H$6:$H$305,MATCH(C365,CLIENTES!$A$6:$A$305,0)),""))</f>
        <v/>
      </c>
      <c r="AT365" s="0" t="str">
        <f aca="false">IF(AND(LEFT(P365,5)="AVISO",T365&lt;&gt;"Presentado",ISNUMBER(Q365)),Q365,"")</f>
        <v/>
      </c>
      <c r="AU365" s="27" t="n">
        <f aca="false">IF(AND(D365="XVI - Activos virtuales (PSAV): operación de intercambio/transferencia",M365="Sí",ISNUMBER(AE365)),IF(AK365&gt;=AE365,1,0),0)</f>
        <v>0</v>
      </c>
      <c r="AV365" s="30" t="n">
        <f aca="false">IF(NOT(ISNUMBER(B365)),CONFIG!$B$4,IFERROR(INDEX(CONFIG!$I$5:$I$14,MATCH(IF(MONTH(B365)=1,YEAR(B365)-1,YEAR(B365)),CONFIG!$H$5:$H$14,0)),CONFIG!$B$4))</f>
        <v>117.31</v>
      </c>
      <c r="AW365" s="27" t="n">
        <f aca="false">IF(AND(LEFT(D365,4)="I - ",ISNUMBER(B365),C365&lt;&gt;""),SUMIFS($E$6:$E$505,$C$6:$C$505,C365,$D$6:$D$505,D365,$B$6:$B$505,"&gt;"&amp;(B365-1),$B$6:$B$505,"&lt;="&amp;B365),0)</f>
        <v>0</v>
      </c>
      <c r="AX365" s="0" t="str">
        <f aca="false">IF(E365="","",IF(AD365="Siempre","AVISO (siempre)",IF(AD365="No aplica","Sin Aviso (sólo preparas: Ley 17 XI)",IF(NOT(ISNUMBER(AE365)),"",IF(AA365&lt;&gt;"ACUMULA",IF(E365&gt;=AE365,IF(AND(D365="XVI - Activos virtuales (PSAV): cobro de contraprestación (comisión) por el servicio",COUNTIFS($C$6:$C$505,C365,$B$6:$B$505,"&gt;="&amp;INT(B365),$B$6:$B$505,"&lt;"&amp;(INT(B365)+1),$AU$6:$AU$505,1)&gt;0),"En el Aviso del inciso a) (R 31 Bis)","AVISO"),"—"),IF(M365&lt;&gt;"Sí","—",IF(AK365&gt;=AE365,IF(AK365=E365,"AVISO","AVISO (acumulado)"),"Acumulando")))))))</f>
        <v/>
      </c>
    </row>
    <row r="366" customFormat="false" ht="15" hidden="false" customHeight="false" outlineLevel="0" collapsed="false">
      <c r="A366" s="9" t="str">
        <f aca="false">IF(E366="","",ROW()-5)</f>
        <v/>
      </c>
      <c r="B366" s="20"/>
      <c r="C366" s="21"/>
      <c r="D366" s="21"/>
      <c r="E366" s="22"/>
      <c r="F366" s="22"/>
      <c r="G366" s="21"/>
      <c r="H366" s="21"/>
      <c r="I366" s="9" t="str">
        <f aca="false">IF(C366="","",IFERROR(INDEX(CLIENTES!$B$6:$B$305,MATCH(C366,CLIENTES!$A$6:$A$305,0)),"⚠ ID no registrado"))</f>
        <v/>
      </c>
      <c r="J366" s="9" t="str">
        <f aca="false">IF(C366="","",IFERROR(INDEX(CLIENTES!$Z$6:$Z$305,MATCH(C366,CLIENTES!$A$6:$A$305,0)),""))</f>
        <v/>
      </c>
      <c r="K366" s="9" t="str">
        <f aca="false">IF(E366="","",IF(AB366="Siempre","Sí",IF(ISNUMBER(AC366),IF(E366&gt;=AC366,"Sí",IF(AW366&gt;=AC366,"Sí (serie 24 h)","No")),"")))</f>
        <v/>
      </c>
      <c r="L366" s="9" t="str">
        <f aca="false">IF(E366="","",AA366)</f>
        <v/>
      </c>
      <c r="M366" s="9" t="str">
        <f aca="false">IF(E366="","",IF(AA366&lt;&gt;"ACUMULA","No aplica",IF(LEFT(K366,2)="Sí","Sí","No")))</f>
        <v/>
      </c>
      <c r="N366" s="23" t="str">
        <f aca="false">IF(M366="Sí",AJ366,"")</f>
        <v/>
      </c>
      <c r="O366" s="24" t="str">
        <f aca="false">IF(M366="Sí",AK366,"")</f>
        <v/>
      </c>
      <c r="P366" s="25" t="str">
        <f aca="false">IF(AND(LEFT(D366,6)="XIV - ",LEFT(AX366,5)="AVISO"),"Pedimento (R 16): no va al SPPLD",AX366)</f>
        <v/>
      </c>
      <c r="Q366" s="23" t="str">
        <f aca="false">IF(LEFT(P366,5)="AVISO",IF(ISNUMBER(B366),DATE(YEAR(B366),MONTH(B366)+1,17),"Falta fecha"),"")</f>
        <v/>
      </c>
      <c r="R366" s="9" t="str">
        <f aca="false">IF(OR(F366="",F366=0),"",IF(ISNUMBER(AG366),IF(F366&gt;=AG366,"PROHIBIDO","Dentro del límite"),"No aplica"))</f>
        <v/>
      </c>
      <c r="S366" s="26" t="str">
        <f aca="false">IF(E366="","",MID(IF(AQ366=1," · Excede el perfil declarado","")&amp;IF(H366="Sí"," · Paga un tercero","")&amp;IF(J366="Alto"," · Cliente de riesgo alto: DDR (RCG 23 Ter 3 y 4)","")&amp;IF(AND(AS366&lt;&gt;"",AS366&lt;&gt;"No",AS366&lt;&gt;0)," · PEP","")&amp;IF(R366="PROHIBIDO"," · Efectivo prohibido: no lo recibas (Art. 32)","")&amp;IF(AR366=1," · ⚠ Fecha fuera de orden","")&amp;IF(LEFT(I366,1)="⚠"," · ⚠ Cliente no registrado","")&amp;IF(D366=""," · ⚠ Falta la actividad","")&amp;IF(AND(LEFT(P366,5)="AVISO",W366="")," · Captura la cifra total con IVA para el Aviso","")&amp;IF(AND(ISNUMBER(W366),W366&lt;E366)," · ⚠ La cifra con IVA es menor que el monto sin IVA",""),4,400))</f>
        <v/>
      </c>
      <c r="T366" s="21"/>
      <c r="U366" s="20"/>
      <c r="V366" s="9" t="str">
        <f aca="false">IF(LEFT(P366,5)&lt;&gt;"AVISO","",IF(T366="Presentado",IF(AND(ISNUMBER(U366),ISNUMBER(Q366),U366&gt;Q366),"Presentado tarde","Presentado"),IF(NOT(ISNUMBER(Q366)),"Falta fecha",IF(Q366&lt;CONFIG!$B$6,"VENCIDO","Vence en "&amp;(Q366-CONFIG!$B$6)&amp;" días"))))</f>
        <v/>
      </c>
      <c r="W366" s="22"/>
      <c r="X366" s="21"/>
      <c r="AA366" s="0" t="str">
        <f aca="false">IF(AM366="","",INDEX(CATÁLOGO!$D$5:$D$39,AM366))</f>
        <v/>
      </c>
      <c r="AB366" s="0" t="str">
        <f aca="false">IF(AM366="","",INDEX(CATÁLOGO!$E$5:$E$39,AM366))</f>
        <v/>
      </c>
      <c r="AC366" s="0" t="str">
        <f aca="false">IF(AB366="","",IF(ISNUMBER(AB366),AB366*AV366,AB366))</f>
        <v/>
      </c>
      <c r="AD366" s="0" t="str">
        <f aca="false">IF(AM366="","",INDEX(CATÁLOGO!$F$5:$F$39,AM366))</f>
        <v/>
      </c>
      <c r="AE366" s="0" t="str">
        <f aca="false">IF(AD366="","",IF(ISNUMBER(AD366),AD366*AV366,AD366))</f>
        <v/>
      </c>
      <c r="AF366" s="0" t="str">
        <f aca="false">IF(AM366="","",INDEX(CATÁLOGO!$G$5:$G$39,AM366))</f>
        <v/>
      </c>
      <c r="AG366" s="0" t="str">
        <f aca="false">IF(AF366="","",IF(ISNUMBER(AF366),AF366*AV366,AF366))</f>
        <v/>
      </c>
      <c r="AH366" s="0" t="str">
        <f aca="false">IF(E366="","",C366&amp;"|"&amp;D366)</f>
        <v/>
      </c>
      <c r="AI366" s="27" t="n">
        <f aca="false">IF(M366&lt;&gt;"Sí",0,SUMPRODUCT(MAX(($AH$5:AH365=AH366)*($M$5:M365="Sí")*ROW($AH$5:AH365))))</f>
        <v>0</v>
      </c>
      <c r="AJ366" s="0" t="str">
        <f aca="false">IF(M366&lt;&gt;"Sí","",IF(AL366=1,B366,INDEX($AJ:$AJ,AI366)))</f>
        <v/>
      </c>
      <c r="AK366" s="0" t="str">
        <f aca="false">IF(M366&lt;&gt;"Sí","",IF(AL366=1,E366,INDEX($AK:$AK,AI366)+E366))</f>
        <v/>
      </c>
      <c r="AL366" s="0" t="str">
        <f aca="false">IF(M366&lt;&gt;"Sí","",IF(AI366=0,1,IF(INDEX($AN:$AN,AI366)=0,1,IF(B366&gt;=EDATE(INDEX($AJ:$AJ,AI366),6),1,0))))</f>
        <v/>
      </c>
      <c r="AM366" s="0" t="str">
        <f aca="false">IF(D366="","",IFERROR(MATCH(D366,CATÁLOGO!$C$5:$C$39,0),""))</f>
        <v/>
      </c>
      <c r="AN366" s="0" t="str">
        <f aca="false">IF(M366&lt;&gt;"Sí","",IF(AND(ISNUMBER(AE366),AK366&gt;=AE366),0,1))</f>
        <v/>
      </c>
      <c r="AO366" s="0" t="str">
        <f aca="false">IF(OR(E366="",C366="",NOT(ISNUMBER(B366))),"",SUMIFS($E$6:$E$505,$C$6:$C$505,C366,$B$6:$B$505,"&gt;="&amp;DATE(YEAR(B366),MONTH(B366),1),$B$6:$B$505,"&lt;"&amp;DATE(YEAR(B366),MONTH(B366)+1,1)))</f>
        <v/>
      </c>
      <c r="AP366" s="0" t="str">
        <f aca="false">IF(C366="","",IFERROR(INDEX(CLIENTES!$M$6:$M$305,MATCH(C366,CLIENTES!$A$6:$A$305,0)),""))</f>
        <v/>
      </c>
      <c r="AQ366" s="27" t="n">
        <f aca="false">IF(AND(ISNUMBER(AO366),ISNUMBER(AP366)),IF(AND(AP366&gt;0,AO366&gt;AP366),1,0),0)</f>
        <v>0</v>
      </c>
      <c r="AR366" s="27" t="n">
        <f aca="false">IF(NOT(ISNUMBER(B366)),0,IF(B366&lt;MAX($B$5:B365),1,0))</f>
        <v>0</v>
      </c>
      <c r="AS366" s="0" t="str">
        <f aca="false">IF(C366="","",IFERROR(INDEX(CLIENTES!$H$6:$H$305,MATCH(C366,CLIENTES!$A$6:$A$305,0)),""))</f>
        <v/>
      </c>
      <c r="AT366" s="0" t="str">
        <f aca="false">IF(AND(LEFT(P366,5)="AVISO",T366&lt;&gt;"Presentado",ISNUMBER(Q366)),Q366,"")</f>
        <v/>
      </c>
      <c r="AU366" s="27" t="n">
        <f aca="false">IF(AND(D366="XVI - Activos virtuales (PSAV): operación de intercambio/transferencia",M366="Sí",ISNUMBER(AE366)),IF(AK366&gt;=AE366,1,0),0)</f>
        <v>0</v>
      </c>
      <c r="AV366" s="30" t="n">
        <f aca="false">IF(NOT(ISNUMBER(B366)),CONFIG!$B$4,IFERROR(INDEX(CONFIG!$I$5:$I$14,MATCH(IF(MONTH(B366)=1,YEAR(B366)-1,YEAR(B366)),CONFIG!$H$5:$H$14,0)),CONFIG!$B$4))</f>
        <v>117.31</v>
      </c>
      <c r="AW366" s="27" t="n">
        <f aca="false">IF(AND(LEFT(D366,4)="I - ",ISNUMBER(B366),C366&lt;&gt;""),SUMIFS($E$6:$E$505,$C$6:$C$505,C366,$D$6:$D$505,D366,$B$6:$B$505,"&gt;"&amp;(B366-1),$B$6:$B$505,"&lt;="&amp;B366),0)</f>
        <v>0</v>
      </c>
      <c r="AX366" s="0" t="str">
        <f aca="false">IF(E366="","",IF(AD366="Siempre","AVISO (siempre)",IF(AD366="No aplica","Sin Aviso (sólo preparas: Ley 17 XI)",IF(NOT(ISNUMBER(AE366)),"",IF(AA366&lt;&gt;"ACUMULA",IF(E366&gt;=AE366,IF(AND(D366="XVI - Activos virtuales (PSAV): cobro de contraprestación (comisión) por el servicio",COUNTIFS($C$6:$C$505,C366,$B$6:$B$505,"&gt;="&amp;INT(B366),$B$6:$B$505,"&lt;"&amp;(INT(B366)+1),$AU$6:$AU$505,1)&gt;0),"En el Aviso del inciso a) (R 31 Bis)","AVISO"),"—"),IF(M366&lt;&gt;"Sí","—",IF(AK366&gt;=AE366,IF(AK366=E366,"AVISO","AVISO (acumulado)"),"Acumulando")))))))</f>
        <v/>
      </c>
    </row>
    <row r="367" customFormat="false" ht="15" hidden="false" customHeight="false" outlineLevel="0" collapsed="false">
      <c r="A367" s="9" t="str">
        <f aca="false">IF(E367="","",ROW()-5)</f>
        <v/>
      </c>
      <c r="B367" s="20"/>
      <c r="C367" s="21"/>
      <c r="D367" s="21"/>
      <c r="E367" s="22"/>
      <c r="F367" s="22"/>
      <c r="G367" s="21"/>
      <c r="H367" s="21"/>
      <c r="I367" s="9" t="str">
        <f aca="false">IF(C367="","",IFERROR(INDEX(CLIENTES!$B$6:$B$305,MATCH(C367,CLIENTES!$A$6:$A$305,0)),"⚠ ID no registrado"))</f>
        <v/>
      </c>
      <c r="J367" s="9" t="str">
        <f aca="false">IF(C367="","",IFERROR(INDEX(CLIENTES!$Z$6:$Z$305,MATCH(C367,CLIENTES!$A$6:$A$305,0)),""))</f>
        <v/>
      </c>
      <c r="K367" s="9" t="str">
        <f aca="false">IF(E367="","",IF(AB367="Siempre","Sí",IF(ISNUMBER(AC367),IF(E367&gt;=AC367,"Sí",IF(AW367&gt;=AC367,"Sí (serie 24 h)","No")),"")))</f>
        <v/>
      </c>
      <c r="L367" s="9" t="str">
        <f aca="false">IF(E367="","",AA367)</f>
        <v/>
      </c>
      <c r="M367" s="9" t="str">
        <f aca="false">IF(E367="","",IF(AA367&lt;&gt;"ACUMULA","No aplica",IF(LEFT(K367,2)="Sí","Sí","No")))</f>
        <v/>
      </c>
      <c r="N367" s="23" t="str">
        <f aca="false">IF(M367="Sí",AJ367,"")</f>
        <v/>
      </c>
      <c r="O367" s="24" t="str">
        <f aca="false">IF(M367="Sí",AK367,"")</f>
        <v/>
      </c>
      <c r="P367" s="25" t="str">
        <f aca="false">IF(AND(LEFT(D367,6)="XIV - ",LEFT(AX367,5)="AVISO"),"Pedimento (R 16): no va al SPPLD",AX367)</f>
        <v/>
      </c>
      <c r="Q367" s="23" t="str">
        <f aca="false">IF(LEFT(P367,5)="AVISO",IF(ISNUMBER(B367),DATE(YEAR(B367),MONTH(B367)+1,17),"Falta fecha"),"")</f>
        <v/>
      </c>
      <c r="R367" s="9" t="str">
        <f aca="false">IF(OR(F367="",F367=0),"",IF(ISNUMBER(AG367),IF(F367&gt;=AG367,"PROHIBIDO","Dentro del límite"),"No aplica"))</f>
        <v/>
      </c>
      <c r="S367" s="26" t="str">
        <f aca="false">IF(E367="","",MID(IF(AQ367=1," · Excede el perfil declarado","")&amp;IF(H367="Sí"," · Paga un tercero","")&amp;IF(J367="Alto"," · Cliente de riesgo alto: DDR (RCG 23 Ter 3 y 4)","")&amp;IF(AND(AS367&lt;&gt;"",AS367&lt;&gt;"No",AS367&lt;&gt;0)," · PEP","")&amp;IF(R367="PROHIBIDO"," · Efectivo prohibido: no lo recibas (Art. 32)","")&amp;IF(AR367=1," · ⚠ Fecha fuera de orden","")&amp;IF(LEFT(I367,1)="⚠"," · ⚠ Cliente no registrado","")&amp;IF(D367=""," · ⚠ Falta la actividad","")&amp;IF(AND(LEFT(P367,5)="AVISO",W367="")," · Captura la cifra total con IVA para el Aviso","")&amp;IF(AND(ISNUMBER(W367),W367&lt;E367)," · ⚠ La cifra con IVA es menor que el monto sin IVA",""),4,400))</f>
        <v/>
      </c>
      <c r="T367" s="21"/>
      <c r="U367" s="20"/>
      <c r="V367" s="9" t="str">
        <f aca="false">IF(LEFT(P367,5)&lt;&gt;"AVISO","",IF(T367="Presentado",IF(AND(ISNUMBER(U367),ISNUMBER(Q367),U367&gt;Q367),"Presentado tarde","Presentado"),IF(NOT(ISNUMBER(Q367)),"Falta fecha",IF(Q367&lt;CONFIG!$B$6,"VENCIDO","Vence en "&amp;(Q367-CONFIG!$B$6)&amp;" días"))))</f>
        <v/>
      </c>
      <c r="W367" s="22"/>
      <c r="X367" s="21"/>
      <c r="AA367" s="0" t="str">
        <f aca="false">IF(AM367="","",INDEX(CATÁLOGO!$D$5:$D$39,AM367))</f>
        <v/>
      </c>
      <c r="AB367" s="0" t="str">
        <f aca="false">IF(AM367="","",INDEX(CATÁLOGO!$E$5:$E$39,AM367))</f>
        <v/>
      </c>
      <c r="AC367" s="0" t="str">
        <f aca="false">IF(AB367="","",IF(ISNUMBER(AB367),AB367*AV367,AB367))</f>
        <v/>
      </c>
      <c r="AD367" s="0" t="str">
        <f aca="false">IF(AM367="","",INDEX(CATÁLOGO!$F$5:$F$39,AM367))</f>
        <v/>
      </c>
      <c r="AE367" s="0" t="str">
        <f aca="false">IF(AD367="","",IF(ISNUMBER(AD367),AD367*AV367,AD367))</f>
        <v/>
      </c>
      <c r="AF367" s="0" t="str">
        <f aca="false">IF(AM367="","",INDEX(CATÁLOGO!$G$5:$G$39,AM367))</f>
        <v/>
      </c>
      <c r="AG367" s="0" t="str">
        <f aca="false">IF(AF367="","",IF(ISNUMBER(AF367),AF367*AV367,AF367))</f>
        <v/>
      </c>
      <c r="AH367" s="0" t="str">
        <f aca="false">IF(E367="","",C367&amp;"|"&amp;D367)</f>
        <v/>
      </c>
      <c r="AI367" s="27" t="n">
        <f aca="false">IF(M367&lt;&gt;"Sí",0,SUMPRODUCT(MAX(($AH$5:AH366=AH367)*($M$5:M366="Sí")*ROW($AH$5:AH366))))</f>
        <v>0</v>
      </c>
      <c r="AJ367" s="0" t="str">
        <f aca="false">IF(M367&lt;&gt;"Sí","",IF(AL367=1,B367,INDEX($AJ:$AJ,AI367)))</f>
        <v/>
      </c>
      <c r="AK367" s="0" t="str">
        <f aca="false">IF(M367&lt;&gt;"Sí","",IF(AL367=1,E367,INDEX($AK:$AK,AI367)+E367))</f>
        <v/>
      </c>
      <c r="AL367" s="0" t="str">
        <f aca="false">IF(M367&lt;&gt;"Sí","",IF(AI367=0,1,IF(INDEX($AN:$AN,AI367)=0,1,IF(B367&gt;=EDATE(INDEX($AJ:$AJ,AI367),6),1,0))))</f>
        <v/>
      </c>
      <c r="AM367" s="0" t="str">
        <f aca="false">IF(D367="","",IFERROR(MATCH(D367,CATÁLOGO!$C$5:$C$39,0),""))</f>
        <v/>
      </c>
      <c r="AN367" s="0" t="str">
        <f aca="false">IF(M367&lt;&gt;"Sí","",IF(AND(ISNUMBER(AE367),AK367&gt;=AE367),0,1))</f>
        <v/>
      </c>
      <c r="AO367" s="0" t="str">
        <f aca="false">IF(OR(E367="",C367="",NOT(ISNUMBER(B367))),"",SUMIFS($E$6:$E$505,$C$6:$C$505,C367,$B$6:$B$505,"&gt;="&amp;DATE(YEAR(B367),MONTH(B367),1),$B$6:$B$505,"&lt;"&amp;DATE(YEAR(B367),MONTH(B367)+1,1)))</f>
        <v/>
      </c>
      <c r="AP367" s="0" t="str">
        <f aca="false">IF(C367="","",IFERROR(INDEX(CLIENTES!$M$6:$M$305,MATCH(C367,CLIENTES!$A$6:$A$305,0)),""))</f>
        <v/>
      </c>
      <c r="AQ367" s="27" t="n">
        <f aca="false">IF(AND(ISNUMBER(AO367),ISNUMBER(AP367)),IF(AND(AP367&gt;0,AO367&gt;AP367),1,0),0)</f>
        <v>0</v>
      </c>
      <c r="AR367" s="27" t="n">
        <f aca="false">IF(NOT(ISNUMBER(B367)),0,IF(B367&lt;MAX($B$5:B366),1,0))</f>
        <v>0</v>
      </c>
      <c r="AS367" s="0" t="str">
        <f aca="false">IF(C367="","",IFERROR(INDEX(CLIENTES!$H$6:$H$305,MATCH(C367,CLIENTES!$A$6:$A$305,0)),""))</f>
        <v/>
      </c>
      <c r="AT367" s="0" t="str">
        <f aca="false">IF(AND(LEFT(P367,5)="AVISO",T367&lt;&gt;"Presentado",ISNUMBER(Q367)),Q367,"")</f>
        <v/>
      </c>
      <c r="AU367" s="27" t="n">
        <f aca="false">IF(AND(D367="XVI - Activos virtuales (PSAV): operación de intercambio/transferencia",M367="Sí",ISNUMBER(AE367)),IF(AK367&gt;=AE367,1,0),0)</f>
        <v>0</v>
      </c>
      <c r="AV367" s="30" t="n">
        <f aca="false">IF(NOT(ISNUMBER(B367)),CONFIG!$B$4,IFERROR(INDEX(CONFIG!$I$5:$I$14,MATCH(IF(MONTH(B367)=1,YEAR(B367)-1,YEAR(B367)),CONFIG!$H$5:$H$14,0)),CONFIG!$B$4))</f>
        <v>117.31</v>
      </c>
      <c r="AW367" s="27" t="n">
        <f aca="false">IF(AND(LEFT(D367,4)="I - ",ISNUMBER(B367),C367&lt;&gt;""),SUMIFS($E$6:$E$505,$C$6:$C$505,C367,$D$6:$D$505,D367,$B$6:$B$505,"&gt;"&amp;(B367-1),$B$6:$B$505,"&lt;="&amp;B367),0)</f>
        <v>0</v>
      </c>
      <c r="AX367" s="0" t="str">
        <f aca="false">IF(E367="","",IF(AD367="Siempre","AVISO (siempre)",IF(AD367="No aplica","Sin Aviso (sólo preparas: Ley 17 XI)",IF(NOT(ISNUMBER(AE367)),"",IF(AA367&lt;&gt;"ACUMULA",IF(E367&gt;=AE367,IF(AND(D367="XVI - Activos virtuales (PSAV): cobro de contraprestación (comisión) por el servicio",COUNTIFS($C$6:$C$505,C367,$B$6:$B$505,"&gt;="&amp;INT(B367),$B$6:$B$505,"&lt;"&amp;(INT(B367)+1),$AU$6:$AU$505,1)&gt;0),"En el Aviso del inciso a) (R 31 Bis)","AVISO"),"—"),IF(M367&lt;&gt;"Sí","—",IF(AK367&gt;=AE367,IF(AK367=E367,"AVISO","AVISO (acumulado)"),"Acumulando")))))))</f>
        <v/>
      </c>
    </row>
    <row r="368" customFormat="false" ht="15" hidden="false" customHeight="false" outlineLevel="0" collapsed="false">
      <c r="A368" s="9" t="str">
        <f aca="false">IF(E368="","",ROW()-5)</f>
        <v/>
      </c>
      <c r="B368" s="20"/>
      <c r="C368" s="21"/>
      <c r="D368" s="21"/>
      <c r="E368" s="22"/>
      <c r="F368" s="22"/>
      <c r="G368" s="21"/>
      <c r="H368" s="21"/>
      <c r="I368" s="9" t="str">
        <f aca="false">IF(C368="","",IFERROR(INDEX(CLIENTES!$B$6:$B$305,MATCH(C368,CLIENTES!$A$6:$A$305,0)),"⚠ ID no registrado"))</f>
        <v/>
      </c>
      <c r="J368" s="9" t="str">
        <f aca="false">IF(C368="","",IFERROR(INDEX(CLIENTES!$Z$6:$Z$305,MATCH(C368,CLIENTES!$A$6:$A$305,0)),""))</f>
        <v/>
      </c>
      <c r="K368" s="9" t="str">
        <f aca="false">IF(E368="","",IF(AB368="Siempre","Sí",IF(ISNUMBER(AC368),IF(E368&gt;=AC368,"Sí",IF(AW368&gt;=AC368,"Sí (serie 24 h)","No")),"")))</f>
        <v/>
      </c>
      <c r="L368" s="9" t="str">
        <f aca="false">IF(E368="","",AA368)</f>
        <v/>
      </c>
      <c r="M368" s="9" t="str">
        <f aca="false">IF(E368="","",IF(AA368&lt;&gt;"ACUMULA","No aplica",IF(LEFT(K368,2)="Sí","Sí","No")))</f>
        <v/>
      </c>
      <c r="N368" s="23" t="str">
        <f aca="false">IF(M368="Sí",AJ368,"")</f>
        <v/>
      </c>
      <c r="O368" s="24" t="str">
        <f aca="false">IF(M368="Sí",AK368,"")</f>
        <v/>
      </c>
      <c r="P368" s="25" t="str">
        <f aca="false">IF(AND(LEFT(D368,6)="XIV - ",LEFT(AX368,5)="AVISO"),"Pedimento (R 16): no va al SPPLD",AX368)</f>
        <v/>
      </c>
      <c r="Q368" s="23" t="str">
        <f aca="false">IF(LEFT(P368,5)="AVISO",IF(ISNUMBER(B368),DATE(YEAR(B368),MONTH(B368)+1,17),"Falta fecha"),"")</f>
        <v/>
      </c>
      <c r="R368" s="9" t="str">
        <f aca="false">IF(OR(F368="",F368=0),"",IF(ISNUMBER(AG368),IF(F368&gt;=AG368,"PROHIBIDO","Dentro del límite"),"No aplica"))</f>
        <v/>
      </c>
      <c r="S368" s="26" t="str">
        <f aca="false">IF(E368="","",MID(IF(AQ368=1," · Excede el perfil declarado","")&amp;IF(H368="Sí"," · Paga un tercero","")&amp;IF(J368="Alto"," · Cliente de riesgo alto: DDR (RCG 23 Ter 3 y 4)","")&amp;IF(AND(AS368&lt;&gt;"",AS368&lt;&gt;"No",AS368&lt;&gt;0)," · PEP","")&amp;IF(R368="PROHIBIDO"," · Efectivo prohibido: no lo recibas (Art. 32)","")&amp;IF(AR368=1," · ⚠ Fecha fuera de orden","")&amp;IF(LEFT(I368,1)="⚠"," · ⚠ Cliente no registrado","")&amp;IF(D368=""," · ⚠ Falta la actividad","")&amp;IF(AND(LEFT(P368,5)="AVISO",W368="")," · Captura la cifra total con IVA para el Aviso","")&amp;IF(AND(ISNUMBER(W368),W368&lt;E368)," · ⚠ La cifra con IVA es menor que el monto sin IVA",""),4,400))</f>
        <v/>
      </c>
      <c r="T368" s="21"/>
      <c r="U368" s="20"/>
      <c r="V368" s="9" t="str">
        <f aca="false">IF(LEFT(P368,5)&lt;&gt;"AVISO","",IF(T368="Presentado",IF(AND(ISNUMBER(U368),ISNUMBER(Q368),U368&gt;Q368),"Presentado tarde","Presentado"),IF(NOT(ISNUMBER(Q368)),"Falta fecha",IF(Q368&lt;CONFIG!$B$6,"VENCIDO","Vence en "&amp;(Q368-CONFIG!$B$6)&amp;" días"))))</f>
        <v/>
      </c>
      <c r="W368" s="22"/>
      <c r="X368" s="21"/>
      <c r="AA368" s="0" t="str">
        <f aca="false">IF(AM368="","",INDEX(CATÁLOGO!$D$5:$D$39,AM368))</f>
        <v/>
      </c>
      <c r="AB368" s="0" t="str">
        <f aca="false">IF(AM368="","",INDEX(CATÁLOGO!$E$5:$E$39,AM368))</f>
        <v/>
      </c>
      <c r="AC368" s="0" t="str">
        <f aca="false">IF(AB368="","",IF(ISNUMBER(AB368),AB368*AV368,AB368))</f>
        <v/>
      </c>
      <c r="AD368" s="0" t="str">
        <f aca="false">IF(AM368="","",INDEX(CATÁLOGO!$F$5:$F$39,AM368))</f>
        <v/>
      </c>
      <c r="AE368" s="0" t="str">
        <f aca="false">IF(AD368="","",IF(ISNUMBER(AD368),AD368*AV368,AD368))</f>
        <v/>
      </c>
      <c r="AF368" s="0" t="str">
        <f aca="false">IF(AM368="","",INDEX(CATÁLOGO!$G$5:$G$39,AM368))</f>
        <v/>
      </c>
      <c r="AG368" s="0" t="str">
        <f aca="false">IF(AF368="","",IF(ISNUMBER(AF368),AF368*AV368,AF368))</f>
        <v/>
      </c>
      <c r="AH368" s="0" t="str">
        <f aca="false">IF(E368="","",C368&amp;"|"&amp;D368)</f>
        <v/>
      </c>
      <c r="AI368" s="27" t="n">
        <f aca="false">IF(M368&lt;&gt;"Sí",0,SUMPRODUCT(MAX(($AH$5:AH367=AH368)*($M$5:M367="Sí")*ROW($AH$5:AH367))))</f>
        <v>0</v>
      </c>
      <c r="AJ368" s="0" t="str">
        <f aca="false">IF(M368&lt;&gt;"Sí","",IF(AL368=1,B368,INDEX($AJ:$AJ,AI368)))</f>
        <v/>
      </c>
      <c r="AK368" s="0" t="str">
        <f aca="false">IF(M368&lt;&gt;"Sí","",IF(AL368=1,E368,INDEX($AK:$AK,AI368)+E368))</f>
        <v/>
      </c>
      <c r="AL368" s="0" t="str">
        <f aca="false">IF(M368&lt;&gt;"Sí","",IF(AI368=0,1,IF(INDEX($AN:$AN,AI368)=0,1,IF(B368&gt;=EDATE(INDEX($AJ:$AJ,AI368),6),1,0))))</f>
        <v/>
      </c>
      <c r="AM368" s="0" t="str">
        <f aca="false">IF(D368="","",IFERROR(MATCH(D368,CATÁLOGO!$C$5:$C$39,0),""))</f>
        <v/>
      </c>
      <c r="AN368" s="0" t="str">
        <f aca="false">IF(M368&lt;&gt;"Sí","",IF(AND(ISNUMBER(AE368),AK368&gt;=AE368),0,1))</f>
        <v/>
      </c>
      <c r="AO368" s="0" t="str">
        <f aca="false">IF(OR(E368="",C368="",NOT(ISNUMBER(B368))),"",SUMIFS($E$6:$E$505,$C$6:$C$505,C368,$B$6:$B$505,"&gt;="&amp;DATE(YEAR(B368),MONTH(B368),1),$B$6:$B$505,"&lt;"&amp;DATE(YEAR(B368),MONTH(B368)+1,1)))</f>
        <v/>
      </c>
      <c r="AP368" s="0" t="str">
        <f aca="false">IF(C368="","",IFERROR(INDEX(CLIENTES!$M$6:$M$305,MATCH(C368,CLIENTES!$A$6:$A$305,0)),""))</f>
        <v/>
      </c>
      <c r="AQ368" s="27" t="n">
        <f aca="false">IF(AND(ISNUMBER(AO368),ISNUMBER(AP368)),IF(AND(AP368&gt;0,AO368&gt;AP368),1,0),0)</f>
        <v>0</v>
      </c>
      <c r="AR368" s="27" t="n">
        <f aca="false">IF(NOT(ISNUMBER(B368)),0,IF(B368&lt;MAX($B$5:B367),1,0))</f>
        <v>0</v>
      </c>
      <c r="AS368" s="0" t="str">
        <f aca="false">IF(C368="","",IFERROR(INDEX(CLIENTES!$H$6:$H$305,MATCH(C368,CLIENTES!$A$6:$A$305,0)),""))</f>
        <v/>
      </c>
      <c r="AT368" s="0" t="str">
        <f aca="false">IF(AND(LEFT(P368,5)="AVISO",T368&lt;&gt;"Presentado",ISNUMBER(Q368)),Q368,"")</f>
        <v/>
      </c>
      <c r="AU368" s="27" t="n">
        <f aca="false">IF(AND(D368="XVI - Activos virtuales (PSAV): operación de intercambio/transferencia",M368="Sí",ISNUMBER(AE368)),IF(AK368&gt;=AE368,1,0),0)</f>
        <v>0</v>
      </c>
      <c r="AV368" s="30" t="n">
        <f aca="false">IF(NOT(ISNUMBER(B368)),CONFIG!$B$4,IFERROR(INDEX(CONFIG!$I$5:$I$14,MATCH(IF(MONTH(B368)=1,YEAR(B368)-1,YEAR(B368)),CONFIG!$H$5:$H$14,0)),CONFIG!$B$4))</f>
        <v>117.31</v>
      </c>
      <c r="AW368" s="27" t="n">
        <f aca="false">IF(AND(LEFT(D368,4)="I - ",ISNUMBER(B368),C368&lt;&gt;""),SUMIFS($E$6:$E$505,$C$6:$C$505,C368,$D$6:$D$505,D368,$B$6:$B$505,"&gt;"&amp;(B368-1),$B$6:$B$505,"&lt;="&amp;B368),0)</f>
        <v>0</v>
      </c>
      <c r="AX368" s="0" t="str">
        <f aca="false">IF(E368="","",IF(AD368="Siempre","AVISO (siempre)",IF(AD368="No aplica","Sin Aviso (sólo preparas: Ley 17 XI)",IF(NOT(ISNUMBER(AE368)),"",IF(AA368&lt;&gt;"ACUMULA",IF(E368&gt;=AE368,IF(AND(D368="XVI - Activos virtuales (PSAV): cobro de contraprestación (comisión) por el servicio",COUNTIFS($C$6:$C$505,C368,$B$6:$B$505,"&gt;="&amp;INT(B368),$B$6:$B$505,"&lt;"&amp;(INT(B368)+1),$AU$6:$AU$505,1)&gt;0),"En el Aviso del inciso a) (R 31 Bis)","AVISO"),"—"),IF(M368&lt;&gt;"Sí","—",IF(AK368&gt;=AE368,IF(AK368=E368,"AVISO","AVISO (acumulado)"),"Acumulando")))))))</f>
        <v/>
      </c>
    </row>
    <row r="369" customFormat="false" ht="15" hidden="false" customHeight="false" outlineLevel="0" collapsed="false">
      <c r="A369" s="9" t="str">
        <f aca="false">IF(E369="","",ROW()-5)</f>
        <v/>
      </c>
      <c r="B369" s="20"/>
      <c r="C369" s="21"/>
      <c r="D369" s="21"/>
      <c r="E369" s="22"/>
      <c r="F369" s="22"/>
      <c r="G369" s="21"/>
      <c r="H369" s="21"/>
      <c r="I369" s="9" t="str">
        <f aca="false">IF(C369="","",IFERROR(INDEX(CLIENTES!$B$6:$B$305,MATCH(C369,CLIENTES!$A$6:$A$305,0)),"⚠ ID no registrado"))</f>
        <v/>
      </c>
      <c r="J369" s="9" t="str">
        <f aca="false">IF(C369="","",IFERROR(INDEX(CLIENTES!$Z$6:$Z$305,MATCH(C369,CLIENTES!$A$6:$A$305,0)),""))</f>
        <v/>
      </c>
      <c r="K369" s="9" t="str">
        <f aca="false">IF(E369="","",IF(AB369="Siempre","Sí",IF(ISNUMBER(AC369),IF(E369&gt;=AC369,"Sí",IF(AW369&gt;=AC369,"Sí (serie 24 h)","No")),"")))</f>
        <v/>
      </c>
      <c r="L369" s="9" t="str">
        <f aca="false">IF(E369="","",AA369)</f>
        <v/>
      </c>
      <c r="M369" s="9" t="str">
        <f aca="false">IF(E369="","",IF(AA369&lt;&gt;"ACUMULA","No aplica",IF(LEFT(K369,2)="Sí","Sí","No")))</f>
        <v/>
      </c>
      <c r="N369" s="23" t="str">
        <f aca="false">IF(M369="Sí",AJ369,"")</f>
        <v/>
      </c>
      <c r="O369" s="24" t="str">
        <f aca="false">IF(M369="Sí",AK369,"")</f>
        <v/>
      </c>
      <c r="P369" s="25" t="str">
        <f aca="false">IF(AND(LEFT(D369,6)="XIV - ",LEFT(AX369,5)="AVISO"),"Pedimento (R 16): no va al SPPLD",AX369)</f>
        <v/>
      </c>
      <c r="Q369" s="23" t="str">
        <f aca="false">IF(LEFT(P369,5)="AVISO",IF(ISNUMBER(B369),DATE(YEAR(B369),MONTH(B369)+1,17),"Falta fecha"),"")</f>
        <v/>
      </c>
      <c r="R369" s="9" t="str">
        <f aca="false">IF(OR(F369="",F369=0),"",IF(ISNUMBER(AG369),IF(F369&gt;=AG369,"PROHIBIDO","Dentro del límite"),"No aplica"))</f>
        <v/>
      </c>
      <c r="S369" s="26" t="str">
        <f aca="false">IF(E369="","",MID(IF(AQ369=1," · Excede el perfil declarado","")&amp;IF(H369="Sí"," · Paga un tercero","")&amp;IF(J369="Alto"," · Cliente de riesgo alto: DDR (RCG 23 Ter 3 y 4)","")&amp;IF(AND(AS369&lt;&gt;"",AS369&lt;&gt;"No",AS369&lt;&gt;0)," · PEP","")&amp;IF(R369="PROHIBIDO"," · Efectivo prohibido: no lo recibas (Art. 32)","")&amp;IF(AR369=1," · ⚠ Fecha fuera de orden","")&amp;IF(LEFT(I369,1)="⚠"," · ⚠ Cliente no registrado","")&amp;IF(D369=""," · ⚠ Falta la actividad","")&amp;IF(AND(LEFT(P369,5)="AVISO",W369="")," · Captura la cifra total con IVA para el Aviso","")&amp;IF(AND(ISNUMBER(W369),W369&lt;E369)," · ⚠ La cifra con IVA es menor que el monto sin IVA",""),4,400))</f>
        <v/>
      </c>
      <c r="T369" s="21"/>
      <c r="U369" s="20"/>
      <c r="V369" s="9" t="str">
        <f aca="false">IF(LEFT(P369,5)&lt;&gt;"AVISO","",IF(T369="Presentado",IF(AND(ISNUMBER(U369),ISNUMBER(Q369),U369&gt;Q369),"Presentado tarde","Presentado"),IF(NOT(ISNUMBER(Q369)),"Falta fecha",IF(Q369&lt;CONFIG!$B$6,"VENCIDO","Vence en "&amp;(Q369-CONFIG!$B$6)&amp;" días"))))</f>
        <v/>
      </c>
      <c r="W369" s="22"/>
      <c r="X369" s="21"/>
      <c r="AA369" s="0" t="str">
        <f aca="false">IF(AM369="","",INDEX(CATÁLOGO!$D$5:$D$39,AM369))</f>
        <v/>
      </c>
      <c r="AB369" s="0" t="str">
        <f aca="false">IF(AM369="","",INDEX(CATÁLOGO!$E$5:$E$39,AM369))</f>
        <v/>
      </c>
      <c r="AC369" s="0" t="str">
        <f aca="false">IF(AB369="","",IF(ISNUMBER(AB369),AB369*AV369,AB369))</f>
        <v/>
      </c>
      <c r="AD369" s="0" t="str">
        <f aca="false">IF(AM369="","",INDEX(CATÁLOGO!$F$5:$F$39,AM369))</f>
        <v/>
      </c>
      <c r="AE369" s="0" t="str">
        <f aca="false">IF(AD369="","",IF(ISNUMBER(AD369),AD369*AV369,AD369))</f>
        <v/>
      </c>
      <c r="AF369" s="0" t="str">
        <f aca="false">IF(AM369="","",INDEX(CATÁLOGO!$G$5:$G$39,AM369))</f>
        <v/>
      </c>
      <c r="AG369" s="0" t="str">
        <f aca="false">IF(AF369="","",IF(ISNUMBER(AF369),AF369*AV369,AF369))</f>
        <v/>
      </c>
      <c r="AH369" s="0" t="str">
        <f aca="false">IF(E369="","",C369&amp;"|"&amp;D369)</f>
        <v/>
      </c>
      <c r="AI369" s="27" t="n">
        <f aca="false">IF(M369&lt;&gt;"Sí",0,SUMPRODUCT(MAX(($AH$5:AH368=AH369)*($M$5:M368="Sí")*ROW($AH$5:AH368))))</f>
        <v>0</v>
      </c>
      <c r="AJ369" s="0" t="str">
        <f aca="false">IF(M369&lt;&gt;"Sí","",IF(AL369=1,B369,INDEX($AJ:$AJ,AI369)))</f>
        <v/>
      </c>
      <c r="AK369" s="0" t="str">
        <f aca="false">IF(M369&lt;&gt;"Sí","",IF(AL369=1,E369,INDEX($AK:$AK,AI369)+E369))</f>
        <v/>
      </c>
      <c r="AL369" s="0" t="str">
        <f aca="false">IF(M369&lt;&gt;"Sí","",IF(AI369=0,1,IF(INDEX($AN:$AN,AI369)=0,1,IF(B369&gt;=EDATE(INDEX($AJ:$AJ,AI369),6),1,0))))</f>
        <v/>
      </c>
      <c r="AM369" s="0" t="str">
        <f aca="false">IF(D369="","",IFERROR(MATCH(D369,CATÁLOGO!$C$5:$C$39,0),""))</f>
        <v/>
      </c>
      <c r="AN369" s="0" t="str">
        <f aca="false">IF(M369&lt;&gt;"Sí","",IF(AND(ISNUMBER(AE369),AK369&gt;=AE369),0,1))</f>
        <v/>
      </c>
      <c r="AO369" s="0" t="str">
        <f aca="false">IF(OR(E369="",C369="",NOT(ISNUMBER(B369))),"",SUMIFS($E$6:$E$505,$C$6:$C$505,C369,$B$6:$B$505,"&gt;="&amp;DATE(YEAR(B369),MONTH(B369),1),$B$6:$B$505,"&lt;"&amp;DATE(YEAR(B369),MONTH(B369)+1,1)))</f>
        <v/>
      </c>
      <c r="AP369" s="0" t="str">
        <f aca="false">IF(C369="","",IFERROR(INDEX(CLIENTES!$M$6:$M$305,MATCH(C369,CLIENTES!$A$6:$A$305,0)),""))</f>
        <v/>
      </c>
      <c r="AQ369" s="27" t="n">
        <f aca="false">IF(AND(ISNUMBER(AO369),ISNUMBER(AP369)),IF(AND(AP369&gt;0,AO369&gt;AP369),1,0),0)</f>
        <v>0</v>
      </c>
      <c r="AR369" s="27" t="n">
        <f aca="false">IF(NOT(ISNUMBER(B369)),0,IF(B369&lt;MAX($B$5:B368),1,0))</f>
        <v>0</v>
      </c>
      <c r="AS369" s="0" t="str">
        <f aca="false">IF(C369="","",IFERROR(INDEX(CLIENTES!$H$6:$H$305,MATCH(C369,CLIENTES!$A$6:$A$305,0)),""))</f>
        <v/>
      </c>
      <c r="AT369" s="0" t="str">
        <f aca="false">IF(AND(LEFT(P369,5)="AVISO",T369&lt;&gt;"Presentado",ISNUMBER(Q369)),Q369,"")</f>
        <v/>
      </c>
      <c r="AU369" s="27" t="n">
        <f aca="false">IF(AND(D369="XVI - Activos virtuales (PSAV): operación de intercambio/transferencia",M369="Sí",ISNUMBER(AE369)),IF(AK369&gt;=AE369,1,0),0)</f>
        <v>0</v>
      </c>
      <c r="AV369" s="30" t="n">
        <f aca="false">IF(NOT(ISNUMBER(B369)),CONFIG!$B$4,IFERROR(INDEX(CONFIG!$I$5:$I$14,MATCH(IF(MONTH(B369)=1,YEAR(B369)-1,YEAR(B369)),CONFIG!$H$5:$H$14,0)),CONFIG!$B$4))</f>
        <v>117.31</v>
      </c>
      <c r="AW369" s="27" t="n">
        <f aca="false">IF(AND(LEFT(D369,4)="I - ",ISNUMBER(B369),C369&lt;&gt;""),SUMIFS($E$6:$E$505,$C$6:$C$505,C369,$D$6:$D$505,D369,$B$6:$B$505,"&gt;"&amp;(B369-1),$B$6:$B$505,"&lt;="&amp;B369),0)</f>
        <v>0</v>
      </c>
      <c r="AX369" s="0" t="str">
        <f aca="false">IF(E369="","",IF(AD369="Siempre","AVISO (siempre)",IF(AD369="No aplica","Sin Aviso (sólo preparas: Ley 17 XI)",IF(NOT(ISNUMBER(AE369)),"",IF(AA369&lt;&gt;"ACUMULA",IF(E369&gt;=AE369,IF(AND(D369="XVI - Activos virtuales (PSAV): cobro de contraprestación (comisión) por el servicio",COUNTIFS($C$6:$C$505,C369,$B$6:$B$505,"&gt;="&amp;INT(B369),$B$6:$B$505,"&lt;"&amp;(INT(B369)+1),$AU$6:$AU$505,1)&gt;0),"En el Aviso del inciso a) (R 31 Bis)","AVISO"),"—"),IF(M369&lt;&gt;"Sí","—",IF(AK369&gt;=AE369,IF(AK369=E369,"AVISO","AVISO (acumulado)"),"Acumulando")))))))</f>
        <v/>
      </c>
    </row>
    <row r="370" customFormat="false" ht="15" hidden="false" customHeight="false" outlineLevel="0" collapsed="false">
      <c r="A370" s="9" t="str">
        <f aca="false">IF(E370="","",ROW()-5)</f>
        <v/>
      </c>
      <c r="B370" s="20"/>
      <c r="C370" s="21"/>
      <c r="D370" s="21"/>
      <c r="E370" s="22"/>
      <c r="F370" s="22"/>
      <c r="G370" s="21"/>
      <c r="H370" s="21"/>
      <c r="I370" s="9" t="str">
        <f aca="false">IF(C370="","",IFERROR(INDEX(CLIENTES!$B$6:$B$305,MATCH(C370,CLIENTES!$A$6:$A$305,0)),"⚠ ID no registrado"))</f>
        <v/>
      </c>
      <c r="J370" s="9" t="str">
        <f aca="false">IF(C370="","",IFERROR(INDEX(CLIENTES!$Z$6:$Z$305,MATCH(C370,CLIENTES!$A$6:$A$305,0)),""))</f>
        <v/>
      </c>
      <c r="K370" s="9" t="str">
        <f aca="false">IF(E370="","",IF(AB370="Siempre","Sí",IF(ISNUMBER(AC370),IF(E370&gt;=AC370,"Sí",IF(AW370&gt;=AC370,"Sí (serie 24 h)","No")),"")))</f>
        <v/>
      </c>
      <c r="L370" s="9" t="str">
        <f aca="false">IF(E370="","",AA370)</f>
        <v/>
      </c>
      <c r="M370" s="9" t="str">
        <f aca="false">IF(E370="","",IF(AA370&lt;&gt;"ACUMULA","No aplica",IF(LEFT(K370,2)="Sí","Sí","No")))</f>
        <v/>
      </c>
      <c r="N370" s="23" t="str">
        <f aca="false">IF(M370="Sí",AJ370,"")</f>
        <v/>
      </c>
      <c r="O370" s="24" t="str">
        <f aca="false">IF(M370="Sí",AK370,"")</f>
        <v/>
      </c>
      <c r="P370" s="25" t="str">
        <f aca="false">IF(AND(LEFT(D370,6)="XIV - ",LEFT(AX370,5)="AVISO"),"Pedimento (R 16): no va al SPPLD",AX370)</f>
        <v/>
      </c>
      <c r="Q370" s="23" t="str">
        <f aca="false">IF(LEFT(P370,5)="AVISO",IF(ISNUMBER(B370),DATE(YEAR(B370),MONTH(B370)+1,17),"Falta fecha"),"")</f>
        <v/>
      </c>
      <c r="R370" s="9" t="str">
        <f aca="false">IF(OR(F370="",F370=0),"",IF(ISNUMBER(AG370),IF(F370&gt;=AG370,"PROHIBIDO","Dentro del límite"),"No aplica"))</f>
        <v/>
      </c>
      <c r="S370" s="26" t="str">
        <f aca="false">IF(E370="","",MID(IF(AQ370=1," · Excede el perfil declarado","")&amp;IF(H370="Sí"," · Paga un tercero","")&amp;IF(J370="Alto"," · Cliente de riesgo alto: DDR (RCG 23 Ter 3 y 4)","")&amp;IF(AND(AS370&lt;&gt;"",AS370&lt;&gt;"No",AS370&lt;&gt;0)," · PEP","")&amp;IF(R370="PROHIBIDO"," · Efectivo prohibido: no lo recibas (Art. 32)","")&amp;IF(AR370=1," · ⚠ Fecha fuera de orden","")&amp;IF(LEFT(I370,1)="⚠"," · ⚠ Cliente no registrado","")&amp;IF(D370=""," · ⚠ Falta la actividad","")&amp;IF(AND(LEFT(P370,5)="AVISO",W370="")," · Captura la cifra total con IVA para el Aviso","")&amp;IF(AND(ISNUMBER(W370),W370&lt;E370)," · ⚠ La cifra con IVA es menor que el monto sin IVA",""),4,400))</f>
        <v/>
      </c>
      <c r="T370" s="21"/>
      <c r="U370" s="20"/>
      <c r="V370" s="9" t="str">
        <f aca="false">IF(LEFT(P370,5)&lt;&gt;"AVISO","",IF(T370="Presentado",IF(AND(ISNUMBER(U370),ISNUMBER(Q370),U370&gt;Q370),"Presentado tarde","Presentado"),IF(NOT(ISNUMBER(Q370)),"Falta fecha",IF(Q370&lt;CONFIG!$B$6,"VENCIDO","Vence en "&amp;(Q370-CONFIG!$B$6)&amp;" días"))))</f>
        <v/>
      </c>
      <c r="W370" s="22"/>
      <c r="X370" s="21"/>
      <c r="AA370" s="0" t="str">
        <f aca="false">IF(AM370="","",INDEX(CATÁLOGO!$D$5:$D$39,AM370))</f>
        <v/>
      </c>
      <c r="AB370" s="0" t="str">
        <f aca="false">IF(AM370="","",INDEX(CATÁLOGO!$E$5:$E$39,AM370))</f>
        <v/>
      </c>
      <c r="AC370" s="0" t="str">
        <f aca="false">IF(AB370="","",IF(ISNUMBER(AB370),AB370*AV370,AB370))</f>
        <v/>
      </c>
      <c r="AD370" s="0" t="str">
        <f aca="false">IF(AM370="","",INDEX(CATÁLOGO!$F$5:$F$39,AM370))</f>
        <v/>
      </c>
      <c r="AE370" s="0" t="str">
        <f aca="false">IF(AD370="","",IF(ISNUMBER(AD370),AD370*AV370,AD370))</f>
        <v/>
      </c>
      <c r="AF370" s="0" t="str">
        <f aca="false">IF(AM370="","",INDEX(CATÁLOGO!$G$5:$G$39,AM370))</f>
        <v/>
      </c>
      <c r="AG370" s="0" t="str">
        <f aca="false">IF(AF370="","",IF(ISNUMBER(AF370),AF370*AV370,AF370))</f>
        <v/>
      </c>
      <c r="AH370" s="0" t="str">
        <f aca="false">IF(E370="","",C370&amp;"|"&amp;D370)</f>
        <v/>
      </c>
      <c r="AI370" s="27" t="n">
        <f aca="false">IF(M370&lt;&gt;"Sí",0,SUMPRODUCT(MAX(($AH$5:AH369=AH370)*($M$5:M369="Sí")*ROW($AH$5:AH369))))</f>
        <v>0</v>
      </c>
      <c r="AJ370" s="0" t="str">
        <f aca="false">IF(M370&lt;&gt;"Sí","",IF(AL370=1,B370,INDEX($AJ:$AJ,AI370)))</f>
        <v/>
      </c>
      <c r="AK370" s="0" t="str">
        <f aca="false">IF(M370&lt;&gt;"Sí","",IF(AL370=1,E370,INDEX($AK:$AK,AI370)+E370))</f>
        <v/>
      </c>
      <c r="AL370" s="0" t="str">
        <f aca="false">IF(M370&lt;&gt;"Sí","",IF(AI370=0,1,IF(INDEX($AN:$AN,AI370)=0,1,IF(B370&gt;=EDATE(INDEX($AJ:$AJ,AI370),6),1,0))))</f>
        <v/>
      </c>
      <c r="AM370" s="0" t="str">
        <f aca="false">IF(D370="","",IFERROR(MATCH(D370,CATÁLOGO!$C$5:$C$39,0),""))</f>
        <v/>
      </c>
      <c r="AN370" s="0" t="str">
        <f aca="false">IF(M370&lt;&gt;"Sí","",IF(AND(ISNUMBER(AE370),AK370&gt;=AE370),0,1))</f>
        <v/>
      </c>
      <c r="AO370" s="0" t="str">
        <f aca="false">IF(OR(E370="",C370="",NOT(ISNUMBER(B370))),"",SUMIFS($E$6:$E$505,$C$6:$C$505,C370,$B$6:$B$505,"&gt;="&amp;DATE(YEAR(B370),MONTH(B370),1),$B$6:$B$505,"&lt;"&amp;DATE(YEAR(B370),MONTH(B370)+1,1)))</f>
        <v/>
      </c>
      <c r="AP370" s="0" t="str">
        <f aca="false">IF(C370="","",IFERROR(INDEX(CLIENTES!$M$6:$M$305,MATCH(C370,CLIENTES!$A$6:$A$305,0)),""))</f>
        <v/>
      </c>
      <c r="AQ370" s="27" t="n">
        <f aca="false">IF(AND(ISNUMBER(AO370),ISNUMBER(AP370)),IF(AND(AP370&gt;0,AO370&gt;AP370),1,0),0)</f>
        <v>0</v>
      </c>
      <c r="AR370" s="27" t="n">
        <f aca="false">IF(NOT(ISNUMBER(B370)),0,IF(B370&lt;MAX($B$5:B369),1,0))</f>
        <v>0</v>
      </c>
      <c r="AS370" s="0" t="str">
        <f aca="false">IF(C370="","",IFERROR(INDEX(CLIENTES!$H$6:$H$305,MATCH(C370,CLIENTES!$A$6:$A$305,0)),""))</f>
        <v/>
      </c>
      <c r="AT370" s="0" t="str">
        <f aca="false">IF(AND(LEFT(P370,5)="AVISO",T370&lt;&gt;"Presentado",ISNUMBER(Q370)),Q370,"")</f>
        <v/>
      </c>
      <c r="AU370" s="27" t="n">
        <f aca="false">IF(AND(D370="XVI - Activos virtuales (PSAV): operación de intercambio/transferencia",M370="Sí",ISNUMBER(AE370)),IF(AK370&gt;=AE370,1,0),0)</f>
        <v>0</v>
      </c>
      <c r="AV370" s="30" t="n">
        <f aca="false">IF(NOT(ISNUMBER(B370)),CONFIG!$B$4,IFERROR(INDEX(CONFIG!$I$5:$I$14,MATCH(IF(MONTH(B370)=1,YEAR(B370)-1,YEAR(B370)),CONFIG!$H$5:$H$14,0)),CONFIG!$B$4))</f>
        <v>117.31</v>
      </c>
      <c r="AW370" s="27" t="n">
        <f aca="false">IF(AND(LEFT(D370,4)="I - ",ISNUMBER(B370),C370&lt;&gt;""),SUMIFS($E$6:$E$505,$C$6:$C$505,C370,$D$6:$D$505,D370,$B$6:$B$505,"&gt;"&amp;(B370-1),$B$6:$B$505,"&lt;="&amp;B370),0)</f>
        <v>0</v>
      </c>
      <c r="AX370" s="0" t="str">
        <f aca="false">IF(E370="","",IF(AD370="Siempre","AVISO (siempre)",IF(AD370="No aplica","Sin Aviso (sólo preparas: Ley 17 XI)",IF(NOT(ISNUMBER(AE370)),"",IF(AA370&lt;&gt;"ACUMULA",IF(E370&gt;=AE370,IF(AND(D370="XVI - Activos virtuales (PSAV): cobro de contraprestación (comisión) por el servicio",COUNTIFS($C$6:$C$505,C370,$B$6:$B$505,"&gt;="&amp;INT(B370),$B$6:$B$505,"&lt;"&amp;(INT(B370)+1),$AU$6:$AU$505,1)&gt;0),"En el Aviso del inciso a) (R 31 Bis)","AVISO"),"—"),IF(M370&lt;&gt;"Sí","—",IF(AK370&gt;=AE370,IF(AK370=E370,"AVISO","AVISO (acumulado)"),"Acumulando")))))))</f>
        <v/>
      </c>
    </row>
    <row r="371" customFormat="false" ht="15" hidden="false" customHeight="false" outlineLevel="0" collapsed="false">
      <c r="A371" s="9" t="str">
        <f aca="false">IF(E371="","",ROW()-5)</f>
        <v/>
      </c>
      <c r="B371" s="20"/>
      <c r="C371" s="21"/>
      <c r="D371" s="21"/>
      <c r="E371" s="22"/>
      <c r="F371" s="22"/>
      <c r="G371" s="21"/>
      <c r="H371" s="21"/>
      <c r="I371" s="9" t="str">
        <f aca="false">IF(C371="","",IFERROR(INDEX(CLIENTES!$B$6:$B$305,MATCH(C371,CLIENTES!$A$6:$A$305,0)),"⚠ ID no registrado"))</f>
        <v/>
      </c>
      <c r="J371" s="9" t="str">
        <f aca="false">IF(C371="","",IFERROR(INDEX(CLIENTES!$Z$6:$Z$305,MATCH(C371,CLIENTES!$A$6:$A$305,0)),""))</f>
        <v/>
      </c>
      <c r="K371" s="9" t="str">
        <f aca="false">IF(E371="","",IF(AB371="Siempre","Sí",IF(ISNUMBER(AC371),IF(E371&gt;=AC371,"Sí",IF(AW371&gt;=AC371,"Sí (serie 24 h)","No")),"")))</f>
        <v/>
      </c>
      <c r="L371" s="9" t="str">
        <f aca="false">IF(E371="","",AA371)</f>
        <v/>
      </c>
      <c r="M371" s="9" t="str">
        <f aca="false">IF(E371="","",IF(AA371&lt;&gt;"ACUMULA","No aplica",IF(LEFT(K371,2)="Sí","Sí","No")))</f>
        <v/>
      </c>
      <c r="N371" s="23" t="str">
        <f aca="false">IF(M371="Sí",AJ371,"")</f>
        <v/>
      </c>
      <c r="O371" s="24" t="str">
        <f aca="false">IF(M371="Sí",AK371,"")</f>
        <v/>
      </c>
      <c r="P371" s="25" t="str">
        <f aca="false">IF(AND(LEFT(D371,6)="XIV - ",LEFT(AX371,5)="AVISO"),"Pedimento (R 16): no va al SPPLD",AX371)</f>
        <v/>
      </c>
      <c r="Q371" s="23" t="str">
        <f aca="false">IF(LEFT(P371,5)="AVISO",IF(ISNUMBER(B371),DATE(YEAR(B371),MONTH(B371)+1,17),"Falta fecha"),"")</f>
        <v/>
      </c>
      <c r="R371" s="9" t="str">
        <f aca="false">IF(OR(F371="",F371=0),"",IF(ISNUMBER(AG371),IF(F371&gt;=AG371,"PROHIBIDO","Dentro del límite"),"No aplica"))</f>
        <v/>
      </c>
      <c r="S371" s="26" t="str">
        <f aca="false">IF(E371="","",MID(IF(AQ371=1," · Excede el perfil declarado","")&amp;IF(H371="Sí"," · Paga un tercero","")&amp;IF(J371="Alto"," · Cliente de riesgo alto: DDR (RCG 23 Ter 3 y 4)","")&amp;IF(AND(AS371&lt;&gt;"",AS371&lt;&gt;"No",AS371&lt;&gt;0)," · PEP","")&amp;IF(R371="PROHIBIDO"," · Efectivo prohibido: no lo recibas (Art. 32)","")&amp;IF(AR371=1," · ⚠ Fecha fuera de orden","")&amp;IF(LEFT(I371,1)="⚠"," · ⚠ Cliente no registrado","")&amp;IF(D371=""," · ⚠ Falta la actividad","")&amp;IF(AND(LEFT(P371,5)="AVISO",W371="")," · Captura la cifra total con IVA para el Aviso","")&amp;IF(AND(ISNUMBER(W371),W371&lt;E371)," · ⚠ La cifra con IVA es menor que el monto sin IVA",""),4,400))</f>
        <v/>
      </c>
      <c r="T371" s="21"/>
      <c r="U371" s="20"/>
      <c r="V371" s="9" t="str">
        <f aca="false">IF(LEFT(P371,5)&lt;&gt;"AVISO","",IF(T371="Presentado",IF(AND(ISNUMBER(U371),ISNUMBER(Q371),U371&gt;Q371),"Presentado tarde","Presentado"),IF(NOT(ISNUMBER(Q371)),"Falta fecha",IF(Q371&lt;CONFIG!$B$6,"VENCIDO","Vence en "&amp;(Q371-CONFIG!$B$6)&amp;" días"))))</f>
        <v/>
      </c>
      <c r="W371" s="22"/>
      <c r="X371" s="21"/>
      <c r="AA371" s="0" t="str">
        <f aca="false">IF(AM371="","",INDEX(CATÁLOGO!$D$5:$D$39,AM371))</f>
        <v/>
      </c>
      <c r="AB371" s="0" t="str">
        <f aca="false">IF(AM371="","",INDEX(CATÁLOGO!$E$5:$E$39,AM371))</f>
        <v/>
      </c>
      <c r="AC371" s="0" t="str">
        <f aca="false">IF(AB371="","",IF(ISNUMBER(AB371),AB371*AV371,AB371))</f>
        <v/>
      </c>
      <c r="AD371" s="0" t="str">
        <f aca="false">IF(AM371="","",INDEX(CATÁLOGO!$F$5:$F$39,AM371))</f>
        <v/>
      </c>
      <c r="AE371" s="0" t="str">
        <f aca="false">IF(AD371="","",IF(ISNUMBER(AD371),AD371*AV371,AD371))</f>
        <v/>
      </c>
      <c r="AF371" s="0" t="str">
        <f aca="false">IF(AM371="","",INDEX(CATÁLOGO!$G$5:$G$39,AM371))</f>
        <v/>
      </c>
      <c r="AG371" s="0" t="str">
        <f aca="false">IF(AF371="","",IF(ISNUMBER(AF371),AF371*AV371,AF371))</f>
        <v/>
      </c>
      <c r="AH371" s="0" t="str">
        <f aca="false">IF(E371="","",C371&amp;"|"&amp;D371)</f>
        <v/>
      </c>
      <c r="AI371" s="27" t="n">
        <f aca="false">IF(M371&lt;&gt;"Sí",0,SUMPRODUCT(MAX(($AH$5:AH370=AH371)*($M$5:M370="Sí")*ROW($AH$5:AH370))))</f>
        <v>0</v>
      </c>
      <c r="AJ371" s="0" t="str">
        <f aca="false">IF(M371&lt;&gt;"Sí","",IF(AL371=1,B371,INDEX($AJ:$AJ,AI371)))</f>
        <v/>
      </c>
      <c r="AK371" s="0" t="str">
        <f aca="false">IF(M371&lt;&gt;"Sí","",IF(AL371=1,E371,INDEX($AK:$AK,AI371)+E371))</f>
        <v/>
      </c>
      <c r="AL371" s="0" t="str">
        <f aca="false">IF(M371&lt;&gt;"Sí","",IF(AI371=0,1,IF(INDEX($AN:$AN,AI371)=0,1,IF(B371&gt;=EDATE(INDEX($AJ:$AJ,AI371),6),1,0))))</f>
        <v/>
      </c>
      <c r="AM371" s="0" t="str">
        <f aca="false">IF(D371="","",IFERROR(MATCH(D371,CATÁLOGO!$C$5:$C$39,0),""))</f>
        <v/>
      </c>
      <c r="AN371" s="0" t="str">
        <f aca="false">IF(M371&lt;&gt;"Sí","",IF(AND(ISNUMBER(AE371),AK371&gt;=AE371),0,1))</f>
        <v/>
      </c>
      <c r="AO371" s="0" t="str">
        <f aca="false">IF(OR(E371="",C371="",NOT(ISNUMBER(B371))),"",SUMIFS($E$6:$E$505,$C$6:$C$505,C371,$B$6:$B$505,"&gt;="&amp;DATE(YEAR(B371),MONTH(B371),1),$B$6:$B$505,"&lt;"&amp;DATE(YEAR(B371),MONTH(B371)+1,1)))</f>
        <v/>
      </c>
      <c r="AP371" s="0" t="str">
        <f aca="false">IF(C371="","",IFERROR(INDEX(CLIENTES!$M$6:$M$305,MATCH(C371,CLIENTES!$A$6:$A$305,0)),""))</f>
        <v/>
      </c>
      <c r="AQ371" s="27" t="n">
        <f aca="false">IF(AND(ISNUMBER(AO371),ISNUMBER(AP371)),IF(AND(AP371&gt;0,AO371&gt;AP371),1,0),0)</f>
        <v>0</v>
      </c>
      <c r="AR371" s="27" t="n">
        <f aca="false">IF(NOT(ISNUMBER(B371)),0,IF(B371&lt;MAX($B$5:B370),1,0))</f>
        <v>0</v>
      </c>
      <c r="AS371" s="0" t="str">
        <f aca="false">IF(C371="","",IFERROR(INDEX(CLIENTES!$H$6:$H$305,MATCH(C371,CLIENTES!$A$6:$A$305,0)),""))</f>
        <v/>
      </c>
      <c r="AT371" s="0" t="str">
        <f aca="false">IF(AND(LEFT(P371,5)="AVISO",T371&lt;&gt;"Presentado",ISNUMBER(Q371)),Q371,"")</f>
        <v/>
      </c>
      <c r="AU371" s="27" t="n">
        <f aca="false">IF(AND(D371="XVI - Activos virtuales (PSAV): operación de intercambio/transferencia",M371="Sí",ISNUMBER(AE371)),IF(AK371&gt;=AE371,1,0),0)</f>
        <v>0</v>
      </c>
      <c r="AV371" s="30" t="n">
        <f aca="false">IF(NOT(ISNUMBER(B371)),CONFIG!$B$4,IFERROR(INDEX(CONFIG!$I$5:$I$14,MATCH(IF(MONTH(B371)=1,YEAR(B371)-1,YEAR(B371)),CONFIG!$H$5:$H$14,0)),CONFIG!$B$4))</f>
        <v>117.31</v>
      </c>
      <c r="AW371" s="27" t="n">
        <f aca="false">IF(AND(LEFT(D371,4)="I - ",ISNUMBER(B371),C371&lt;&gt;""),SUMIFS($E$6:$E$505,$C$6:$C$505,C371,$D$6:$D$505,D371,$B$6:$B$505,"&gt;"&amp;(B371-1),$B$6:$B$505,"&lt;="&amp;B371),0)</f>
        <v>0</v>
      </c>
      <c r="AX371" s="0" t="str">
        <f aca="false">IF(E371="","",IF(AD371="Siempre","AVISO (siempre)",IF(AD371="No aplica","Sin Aviso (sólo preparas: Ley 17 XI)",IF(NOT(ISNUMBER(AE371)),"",IF(AA371&lt;&gt;"ACUMULA",IF(E371&gt;=AE371,IF(AND(D371="XVI - Activos virtuales (PSAV): cobro de contraprestación (comisión) por el servicio",COUNTIFS($C$6:$C$505,C371,$B$6:$B$505,"&gt;="&amp;INT(B371),$B$6:$B$505,"&lt;"&amp;(INT(B371)+1),$AU$6:$AU$505,1)&gt;0),"En el Aviso del inciso a) (R 31 Bis)","AVISO"),"—"),IF(M371&lt;&gt;"Sí","—",IF(AK371&gt;=AE371,IF(AK371=E371,"AVISO","AVISO (acumulado)"),"Acumulando")))))))</f>
        <v/>
      </c>
    </row>
    <row r="372" customFormat="false" ht="15" hidden="false" customHeight="false" outlineLevel="0" collapsed="false">
      <c r="A372" s="9" t="str">
        <f aca="false">IF(E372="","",ROW()-5)</f>
        <v/>
      </c>
      <c r="B372" s="20"/>
      <c r="C372" s="21"/>
      <c r="D372" s="21"/>
      <c r="E372" s="22"/>
      <c r="F372" s="22"/>
      <c r="G372" s="21"/>
      <c r="H372" s="21"/>
      <c r="I372" s="9" t="str">
        <f aca="false">IF(C372="","",IFERROR(INDEX(CLIENTES!$B$6:$B$305,MATCH(C372,CLIENTES!$A$6:$A$305,0)),"⚠ ID no registrado"))</f>
        <v/>
      </c>
      <c r="J372" s="9" t="str">
        <f aca="false">IF(C372="","",IFERROR(INDEX(CLIENTES!$Z$6:$Z$305,MATCH(C372,CLIENTES!$A$6:$A$305,0)),""))</f>
        <v/>
      </c>
      <c r="K372" s="9" t="str">
        <f aca="false">IF(E372="","",IF(AB372="Siempre","Sí",IF(ISNUMBER(AC372),IF(E372&gt;=AC372,"Sí",IF(AW372&gt;=AC372,"Sí (serie 24 h)","No")),"")))</f>
        <v/>
      </c>
      <c r="L372" s="9" t="str">
        <f aca="false">IF(E372="","",AA372)</f>
        <v/>
      </c>
      <c r="M372" s="9" t="str">
        <f aca="false">IF(E372="","",IF(AA372&lt;&gt;"ACUMULA","No aplica",IF(LEFT(K372,2)="Sí","Sí","No")))</f>
        <v/>
      </c>
      <c r="N372" s="23" t="str">
        <f aca="false">IF(M372="Sí",AJ372,"")</f>
        <v/>
      </c>
      <c r="O372" s="24" t="str">
        <f aca="false">IF(M372="Sí",AK372,"")</f>
        <v/>
      </c>
      <c r="P372" s="25" t="str">
        <f aca="false">IF(AND(LEFT(D372,6)="XIV - ",LEFT(AX372,5)="AVISO"),"Pedimento (R 16): no va al SPPLD",AX372)</f>
        <v/>
      </c>
      <c r="Q372" s="23" t="str">
        <f aca="false">IF(LEFT(P372,5)="AVISO",IF(ISNUMBER(B372),DATE(YEAR(B372),MONTH(B372)+1,17),"Falta fecha"),"")</f>
        <v/>
      </c>
      <c r="R372" s="9" t="str">
        <f aca="false">IF(OR(F372="",F372=0),"",IF(ISNUMBER(AG372),IF(F372&gt;=AG372,"PROHIBIDO","Dentro del límite"),"No aplica"))</f>
        <v/>
      </c>
      <c r="S372" s="26" t="str">
        <f aca="false">IF(E372="","",MID(IF(AQ372=1," · Excede el perfil declarado","")&amp;IF(H372="Sí"," · Paga un tercero","")&amp;IF(J372="Alto"," · Cliente de riesgo alto: DDR (RCG 23 Ter 3 y 4)","")&amp;IF(AND(AS372&lt;&gt;"",AS372&lt;&gt;"No",AS372&lt;&gt;0)," · PEP","")&amp;IF(R372="PROHIBIDO"," · Efectivo prohibido: no lo recibas (Art. 32)","")&amp;IF(AR372=1," · ⚠ Fecha fuera de orden","")&amp;IF(LEFT(I372,1)="⚠"," · ⚠ Cliente no registrado","")&amp;IF(D372=""," · ⚠ Falta la actividad","")&amp;IF(AND(LEFT(P372,5)="AVISO",W372="")," · Captura la cifra total con IVA para el Aviso","")&amp;IF(AND(ISNUMBER(W372),W372&lt;E372)," · ⚠ La cifra con IVA es menor que el monto sin IVA",""),4,400))</f>
        <v/>
      </c>
      <c r="T372" s="21"/>
      <c r="U372" s="20"/>
      <c r="V372" s="9" t="str">
        <f aca="false">IF(LEFT(P372,5)&lt;&gt;"AVISO","",IF(T372="Presentado",IF(AND(ISNUMBER(U372),ISNUMBER(Q372),U372&gt;Q372),"Presentado tarde","Presentado"),IF(NOT(ISNUMBER(Q372)),"Falta fecha",IF(Q372&lt;CONFIG!$B$6,"VENCIDO","Vence en "&amp;(Q372-CONFIG!$B$6)&amp;" días"))))</f>
        <v/>
      </c>
      <c r="W372" s="22"/>
      <c r="X372" s="21"/>
      <c r="AA372" s="0" t="str">
        <f aca="false">IF(AM372="","",INDEX(CATÁLOGO!$D$5:$D$39,AM372))</f>
        <v/>
      </c>
      <c r="AB372" s="0" t="str">
        <f aca="false">IF(AM372="","",INDEX(CATÁLOGO!$E$5:$E$39,AM372))</f>
        <v/>
      </c>
      <c r="AC372" s="0" t="str">
        <f aca="false">IF(AB372="","",IF(ISNUMBER(AB372),AB372*AV372,AB372))</f>
        <v/>
      </c>
      <c r="AD372" s="0" t="str">
        <f aca="false">IF(AM372="","",INDEX(CATÁLOGO!$F$5:$F$39,AM372))</f>
        <v/>
      </c>
      <c r="AE372" s="0" t="str">
        <f aca="false">IF(AD372="","",IF(ISNUMBER(AD372),AD372*AV372,AD372))</f>
        <v/>
      </c>
      <c r="AF372" s="0" t="str">
        <f aca="false">IF(AM372="","",INDEX(CATÁLOGO!$G$5:$G$39,AM372))</f>
        <v/>
      </c>
      <c r="AG372" s="0" t="str">
        <f aca="false">IF(AF372="","",IF(ISNUMBER(AF372),AF372*AV372,AF372))</f>
        <v/>
      </c>
      <c r="AH372" s="0" t="str">
        <f aca="false">IF(E372="","",C372&amp;"|"&amp;D372)</f>
        <v/>
      </c>
      <c r="AI372" s="27" t="n">
        <f aca="false">IF(M372&lt;&gt;"Sí",0,SUMPRODUCT(MAX(($AH$5:AH371=AH372)*($M$5:M371="Sí")*ROW($AH$5:AH371))))</f>
        <v>0</v>
      </c>
      <c r="AJ372" s="0" t="str">
        <f aca="false">IF(M372&lt;&gt;"Sí","",IF(AL372=1,B372,INDEX($AJ:$AJ,AI372)))</f>
        <v/>
      </c>
      <c r="AK372" s="0" t="str">
        <f aca="false">IF(M372&lt;&gt;"Sí","",IF(AL372=1,E372,INDEX($AK:$AK,AI372)+E372))</f>
        <v/>
      </c>
      <c r="AL372" s="0" t="str">
        <f aca="false">IF(M372&lt;&gt;"Sí","",IF(AI372=0,1,IF(INDEX($AN:$AN,AI372)=0,1,IF(B372&gt;=EDATE(INDEX($AJ:$AJ,AI372),6),1,0))))</f>
        <v/>
      </c>
      <c r="AM372" s="0" t="str">
        <f aca="false">IF(D372="","",IFERROR(MATCH(D372,CATÁLOGO!$C$5:$C$39,0),""))</f>
        <v/>
      </c>
      <c r="AN372" s="0" t="str">
        <f aca="false">IF(M372&lt;&gt;"Sí","",IF(AND(ISNUMBER(AE372),AK372&gt;=AE372),0,1))</f>
        <v/>
      </c>
      <c r="AO372" s="0" t="str">
        <f aca="false">IF(OR(E372="",C372="",NOT(ISNUMBER(B372))),"",SUMIFS($E$6:$E$505,$C$6:$C$505,C372,$B$6:$B$505,"&gt;="&amp;DATE(YEAR(B372),MONTH(B372),1),$B$6:$B$505,"&lt;"&amp;DATE(YEAR(B372),MONTH(B372)+1,1)))</f>
        <v/>
      </c>
      <c r="AP372" s="0" t="str">
        <f aca="false">IF(C372="","",IFERROR(INDEX(CLIENTES!$M$6:$M$305,MATCH(C372,CLIENTES!$A$6:$A$305,0)),""))</f>
        <v/>
      </c>
      <c r="AQ372" s="27" t="n">
        <f aca="false">IF(AND(ISNUMBER(AO372),ISNUMBER(AP372)),IF(AND(AP372&gt;0,AO372&gt;AP372),1,0),0)</f>
        <v>0</v>
      </c>
      <c r="AR372" s="27" t="n">
        <f aca="false">IF(NOT(ISNUMBER(B372)),0,IF(B372&lt;MAX($B$5:B371),1,0))</f>
        <v>0</v>
      </c>
      <c r="AS372" s="0" t="str">
        <f aca="false">IF(C372="","",IFERROR(INDEX(CLIENTES!$H$6:$H$305,MATCH(C372,CLIENTES!$A$6:$A$305,0)),""))</f>
        <v/>
      </c>
      <c r="AT372" s="0" t="str">
        <f aca="false">IF(AND(LEFT(P372,5)="AVISO",T372&lt;&gt;"Presentado",ISNUMBER(Q372)),Q372,"")</f>
        <v/>
      </c>
      <c r="AU372" s="27" t="n">
        <f aca="false">IF(AND(D372="XVI - Activos virtuales (PSAV): operación de intercambio/transferencia",M372="Sí",ISNUMBER(AE372)),IF(AK372&gt;=AE372,1,0),0)</f>
        <v>0</v>
      </c>
      <c r="AV372" s="30" t="n">
        <f aca="false">IF(NOT(ISNUMBER(B372)),CONFIG!$B$4,IFERROR(INDEX(CONFIG!$I$5:$I$14,MATCH(IF(MONTH(B372)=1,YEAR(B372)-1,YEAR(B372)),CONFIG!$H$5:$H$14,0)),CONFIG!$B$4))</f>
        <v>117.31</v>
      </c>
      <c r="AW372" s="27" t="n">
        <f aca="false">IF(AND(LEFT(D372,4)="I - ",ISNUMBER(B372),C372&lt;&gt;""),SUMIFS($E$6:$E$505,$C$6:$C$505,C372,$D$6:$D$505,D372,$B$6:$B$505,"&gt;"&amp;(B372-1),$B$6:$B$505,"&lt;="&amp;B372),0)</f>
        <v>0</v>
      </c>
      <c r="AX372" s="0" t="str">
        <f aca="false">IF(E372="","",IF(AD372="Siempre","AVISO (siempre)",IF(AD372="No aplica","Sin Aviso (sólo preparas: Ley 17 XI)",IF(NOT(ISNUMBER(AE372)),"",IF(AA372&lt;&gt;"ACUMULA",IF(E372&gt;=AE372,IF(AND(D372="XVI - Activos virtuales (PSAV): cobro de contraprestación (comisión) por el servicio",COUNTIFS($C$6:$C$505,C372,$B$6:$B$505,"&gt;="&amp;INT(B372),$B$6:$B$505,"&lt;"&amp;(INT(B372)+1),$AU$6:$AU$505,1)&gt;0),"En el Aviso del inciso a) (R 31 Bis)","AVISO"),"—"),IF(M372&lt;&gt;"Sí","—",IF(AK372&gt;=AE372,IF(AK372=E372,"AVISO","AVISO (acumulado)"),"Acumulando")))))))</f>
        <v/>
      </c>
    </row>
    <row r="373" customFormat="false" ht="15" hidden="false" customHeight="false" outlineLevel="0" collapsed="false">
      <c r="A373" s="9" t="str">
        <f aca="false">IF(E373="","",ROW()-5)</f>
        <v/>
      </c>
      <c r="B373" s="20"/>
      <c r="C373" s="21"/>
      <c r="D373" s="21"/>
      <c r="E373" s="22"/>
      <c r="F373" s="22"/>
      <c r="G373" s="21"/>
      <c r="H373" s="21"/>
      <c r="I373" s="9" t="str">
        <f aca="false">IF(C373="","",IFERROR(INDEX(CLIENTES!$B$6:$B$305,MATCH(C373,CLIENTES!$A$6:$A$305,0)),"⚠ ID no registrado"))</f>
        <v/>
      </c>
      <c r="J373" s="9" t="str">
        <f aca="false">IF(C373="","",IFERROR(INDEX(CLIENTES!$Z$6:$Z$305,MATCH(C373,CLIENTES!$A$6:$A$305,0)),""))</f>
        <v/>
      </c>
      <c r="K373" s="9" t="str">
        <f aca="false">IF(E373="","",IF(AB373="Siempre","Sí",IF(ISNUMBER(AC373),IF(E373&gt;=AC373,"Sí",IF(AW373&gt;=AC373,"Sí (serie 24 h)","No")),"")))</f>
        <v/>
      </c>
      <c r="L373" s="9" t="str">
        <f aca="false">IF(E373="","",AA373)</f>
        <v/>
      </c>
      <c r="M373" s="9" t="str">
        <f aca="false">IF(E373="","",IF(AA373&lt;&gt;"ACUMULA","No aplica",IF(LEFT(K373,2)="Sí","Sí","No")))</f>
        <v/>
      </c>
      <c r="N373" s="23" t="str">
        <f aca="false">IF(M373="Sí",AJ373,"")</f>
        <v/>
      </c>
      <c r="O373" s="24" t="str">
        <f aca="false">IF(M373="Sí",AK373,"")</f>
        <v/>
      </c>
      <c r="P373" s="25" t="str">
        <f aca="false">IF(AND(LEFT(D373,6)="XIV - ",LEFT(AX373,5)="AVISO"),"Pedimento (R 16): no va al SPPLD",AX373)</f>
        <v/>
      </c>
      <c r="Q373" s="23" t="str">
        <f aca="false">IF(LEFT(P373,5)="AVISO",IF(ISNUMBER(B373),DATE(YEAR(B373),MONTH(B373)+1,17),"Falta fecha"),"")</f>
        <v/>
      </c>
      <c r="R373" s="9" t="str">
        <f aca="false">IF(OR(F373="",F373=0),"",IF(ISNUMBER(AG373),IF(F373&gt;=AG373,"PROHIBIDO","Dentro del límite"),"No aplica"))</f>
        <v/>
      </c>
      <c r="S373" s="26" t="str">
        <f aca="false">IF(E373="","",MID(IF(AQ373=1," · Excede el perfil declarado","")&amp;IF(H373="Sí"," · Paga un tercero","")&amp;IF(J373="Alto"," · Cliente de riesgo alto: DDR (RCG 23 Ter 3 y 4)","")&amp;IF(AND(AS373&lt;&gt;"",AS373&lt;&gt;"No",AS373&lt;&gt;0)," · PEP","")&amp;IF(R373="PROHIBIDO"," · Efectivo prohibido: no lo recibas (Art. 32)","")&amp;IF(AR373=1," · ⚠ Fecha fuera de orden","")&amp;IF(LEFT(I373,1)="⚠"," · ⚠ Cliente no registrado","")&amp;IF(D373=""," · ⚠ Falta la actividad","")&amp;IF(AND(LEFT(P373,5)="AVISO",W373="")," · Captura la cifra total con IVA para el Aviso","")&amp;IF(AND(ISNUMBER(W373),W373&lt;E373)," · ⚠ La cifra con IVA es menor que el monto sin IVA",""),4,400))</f>
        <v/>
      </c>
      <c r="T373" s="21"/>
      <c r="U373" s="20"/>
      <c r="V373" s="9" t="str">
        <f aca="false">IF(LEFT(P373,5)&lt;&gt;"AVISO","",IF(T373="Presentado",IF(AND(ISNUMBER(U373),ISNUMBER(Q373),U373&gt;Q373),"Presentado tarde","Presentado"),IF(NOT(ISNUMBER(Q373)),"Falta fecha",IF(Q373&lt;CONFIG!$B$6,"VENCIDO","Vence en "&amp;(Q373-CONFIG!$B$6)&amp;" días"))))</f>
        <v/>
      </c>
      <c r="W373" s="22"/>
      <c r="X373" s="21"/>
      <c r="AA373" s="0" t="str">
        <f aca="false">IF(AM373="","",INDEX(CATÁLOGO!$D$5:$D$39,AM373))</f>
        <v/>
      </c>
      <c r="AB373" s="0" t="str">
        <f aca="false">IF(AM373="","",INDEX(CATÁLOGO!$E$5:$E$39,AM373))</f>
        <v/>
      </c>
      <c r="AC373" s="0" t="str">
        <f aca="false">IF(AB373="","",IF(ISNUMBER(AB373),AB373*AV373,AB373))</f>
        <v/>
      </c>
      <c r="AD373" s="0" t="str">
        <f aca="false">IF(AM373="","",INDEX(CATÁLOGO!$F$5:$F$39,AM373))</f>
        <v/>
      </c>
      <c r="AE373" s="0" t="str">
        <f aca="false">IF(AD373="","",IF(ISNUMBER(AD373),AD373*AV373,AD373))</f>
        <v/>
      </c>
      <c r="AF373" s="0" t="str">
        <f aca="false">IF(AM373="","",INDEX(CATÁLOGO!$G$5:$G$39,AM373))</f>
        <v/>
      </c>
      <c r="AG373" s="0" t="str">
        <f aca="false">IF(AF373="","",IF(ISNUMBER(AF373),AF373*AV373,AF373))</f>
        <v/>
      </c>
      <c r="AH373" s="0" t="str">
        <f aca="false">IF(E373="","",C373&amp;"|"&amp;D373)</f>
        <v/>
      </c>
      <c r="AI373" s="27" t="n">
        <f aca="false">IF(M373&lt;&gt;"Sí",0,SUMPRODUCT(MAX(($AH$5:AH372=AH373)*($M$5:M372="Sí")*ROW($AH$5:AH372))))</f>
        <v>0</v>
      </c>
      <c r="AJ373" s="0" t="str">
        <f aca="false">IF(M373&lt;&gt;"Sí","",IF(AL373=1,B373,INDEX($AJ:$AJ,AI373)))</f>
        <v/>
      </c>
      <c r="AK373" s="0" t="str">
        <f aca="false">IF(M373&lt;&gt;"Sí","",IF(AL373=1,E373,INDEX($AK:$AK,AI373)+E373))</f>
        <v/>
      </c>
      <c r="AL373" s="0" t="str">
        <f aca="false">IF(M373&lt;&gt;"Sí","",IF(AI373=0,1,IF(INDEX($AN:$AN,AI373)=0,1,IF(B373&gt;=EDATE(INDEX($AJ:$AJ,AI373),6),1,0))))</f>
        <v/>
      </c>
      <c r="AM373" s="0" t="str">
        <f aca="false">IF(D373="","",IFERROR(MATCH(D373,CATÁLOGO!$C$5:$C$39,0),""))</f>
        <v/>
      </c>
      <c r="AN373" s="0" t="str">
        <f aca="false">IF(M373&lt;&gt;"Sí","",IF(AND(ISNUMBER(AE373),AK373&gt;=AE373),0,1))</f>
        <v/>
      </c>
      <c r="AO373" s="0" t="str">
        <f aca="false">IF(OR(E373="",C373="",NOT(ISNUMBER(B373))),"",SUMIFS($E$6:$E$505,$C$6:$C$505,C373,$B$6:$B$505,"&gt;="&amp;DATE(YEAR(B373),MONTH(B373),1),$B$6:$B$505,"&lt;"&amp;DATE(YEAR(B373),MONTH(B373)+1,1)))</f>
        <v/>
      </c>
      <c r="AP373" s="0" t="str">
        <f aca="false">IF(C373="","",IFERROR(INDEX(CLIENTES!$M$6:$M$305,MATCH(C373,CLIENTES!$A$6:$A$305,0)),""))</f>
        <v/>
      </c>
      <c r="AQ373" s="27" t="n">
        <f aca="false">IF(AND(ISNUMBER(AO373),ISNUMBER(AP373)),IF(AND(AP373&gt;0,AO373&gt;AP373),1,0),0)</f>
        <v>0</v>
      </c>
      <c r="AR373" s="27" t="n">
        <f aca="false">IF(NOT(ISNUMBER(B373)),0,IF(B373&lt;MAX($B$5:B372),1,0))</f>
        <v>0</v>
      </c>
      <c r="AS373" s="0" t="str">
        <f aca="false">IF(C373="","",IFERROR(INDEX(CLIENTES!$H$6:$H$305,MATCH(C373,CLIENTES!$A$6:$A$305,0)),""))</f>
        <v/>
      </c>
      <c r="AT373" s="0" t="str">
        <f aca="false">IF(AND(LEFT(P373,5)="AVISO",T373&lt;&gt;"Presentado",ISNUMBER(Q373)),Q373,"")</f>
        <v/>
      </c>
      <c r="AU373" s="27" t="n">
        <f aca="false">IF(AND(D373="XVI - Activos virtuales (PSAV): operación de intercambio/transferencia",M373="Sí",ISNUMBER(AE373)),IF(AK373&gt;=AE373,1,0),0)</f>
        <v>0</v>
      </c>
      <c r="AV373" s="30" t="n">
        <f aca="false">IF(NOT(ISNUMBER(B373)),CONFIG!$B$4,IFERROR(INDEX(CONFIG!$I$5:$I$14,MATCH(IF(MONTH(B373)=1,YEAR(B373)-1,YEAR(B373)),CONFIG!$H$5:$H$14,0)),CONFIG!$B$4))</f>
        <v>117.31</v>
      </c>
      <c r="AW373" s="27" t="n">
        <f aca="false">IF(AND(LEFT(D373,4)="I - ",ISNUMBER(B373),C373&lt;&gt;""),SUMIFS($E$6:$E$505,$C$6:$C$505,C373,$D$6:$D$505,D373,$B$6:$B$505,"&gt;"&amp;(B373-1),$B$6:$B$505,"&lt;="&amp;B373),0)</f>
        <v>0</v>
      </c>
      <c r="AX373" s="0" t="str">
        <f aca="false">IF(E373="","",IF(AD373="Siempre","AVISO (siempre)",IF(AD373="No aplica","Sin Aviso (sólo preparas: Ley 17 XI)",IF(NOT(ISNUMBER(AE373)),"",IF(AA373&lt;&gt;"ACUMULA",IF(E373&gt;=AE373,IF(AND(D373="XVI - Activos virtuales (PSAV): cobro de contraprestación (comisión) por el servicio",COUNTIFS($C$6:$C$505,C373,$B$6:$B$505,"&gt;="&amp;INT(B373),$B$6:$B$505,"&lt;"&amp;(INT(B373)+1),$AU$6:$AU$505,1)&gt;0),"En el Aviso del inciso a) (R 31 Bis)","AVISO"),"—"),IF(M373&lt;&gt;"Sí","—",IF(AK373&gt;=AE373,IF(AK373=E373,"AVISO","AVISO (acumulado)"),"Acumulando")))))))</f>
        <v/>
      </c>
    </row>
    <row r="374" customFormat="false" ht="15" hidden="false" customHeight="false" outlineLevel="0" collapsed="false">
      <c r="A374" s="9" t="str">
        <f aca="false">IF(E374="","",ROW()-5)</f>
        <v/>
      </c>
      <c r="B374" s="20"/>
      <c r="C374" s="21"/>
      <c r="D374" s="21"/>
      <c r="E374" s="22"/>
      <c r="F374" s="22"/>
      <c r="G374" s="21"/>
      <c r="H374" s="21"/>
      <c r="I374" s="9" t="str">
        <f aca="false">IF(C374="","",IFERROR(INDEX(CLIENTES!$B$6:$B$305,MATCH(C374,CLIENTES!$A$6:$A$305,0)),"⚠ ID no registrado"))</f>
        <v/>
      </c>
      <c r="J374" s="9" t="str">
        <f aca="false">IF(C374="","",IFERROR(INDEX(CLIENTES!$Z$6:$Z$305,MATCH(C374,CLIENTES!$A$6:$A$305,0)),""))</f>
        <v/>
      </c>
      <c r="K374" s="9" t="str">
        <f aca="false">IF(E374="","",IF(AB374="Siempre","Sí",IF(ISNUMBER(AC374),IF(E374&gt;=AC374,"Sí",IF(AW374&gt;=AC374,"Sí (serie 24 h)","No")),"")))</f>
        <v/>
      </c>
      <c r="L374" s="9" t="str">
        <f aca="false">IF(E374="","",AA374)</f>
        <v/>
      </c>
      <c r="M374" s="9" t="str">
        <f aca="false">IF(E374="","",IF(AA374&lt;&gt;"ACUMULA","No aplica",IF(LEFT(K374,2)="Sí","Sí","No")))</f>
        <v/>
      </c>
      <c r="N374" s="23" t="str">
        <f aca="false">IF(M374="Sí",AJ374,"")</f>
        <v/>
      </c>
      <c r="O374" s="24" t="str">
        <f aca="false">IF(M374="Sí",AK374,"")</f>
        <v/>
      </c>
      <c r="P374" s="25" t="str">
        <f aca="false">IF(AND(LEFT(D374,6)="XIV - ",LEFT(AX374,5)="AVISO"),"Pedimento (R 16): no va al SPPLD",AX374)</f>
        <v/>
      </c>
      <c r="Q374" s="23" t="str">
        <f aca="false">IF(LEFT(P374,5)="AVISO",IF(ISNUMBER(B374),DATE(YEAR(B374),MONTH(B374)+1,17),"Falta fecha"),"")</f>
        <v/>
      </c>
      <c r="R374" s="9" t="str">
        <f aca="false">IF(OR(F374="",F374=0),"",IF(ISNUMBER(AG374),IF(F374&gt;=AG374,"PROHIBIDO","Dentro del límite"),"No aplica"))</f>
        <v/>
      </c>
      <c r="S374" s="26" t="str">
        <f aca="false">IF(E374="","",MID(IF(AQ374=1," · Excede el perfil declarado","")&amp;IF(H374="Sí"," · Paga un tercero","")&amp;IF(J374="Alto"," · Cliente de riesgo alto: DDR (RCG 23 Ter 3 y 4)","")&amp;IF(AND(AS374&lt;&gt;"",AS374&lt;&gt;"No",AS374&lt;&gt;0)," · PEP","")&amp;IF(R374="PROHIBIDO"," · Efectivo prohibido: no lo recibas (Art. 32)","")&amp;IF(AR374=1," · ⚠ Fecha fuera de orden","")&amp;IF(LEFT(I374,1)="⚠"," · ⚠ Cliente no registrado","")&amp;IF(D374=""," · ⚠ Falta la actividad","")&amp;IF(AND(LEFT(P374,5)="AVISO",W374="")," · Captura la cifra total con IVA para el Aviso","")&amp;IF(AND(ISNUMBER(W374),W374&lt;E374)," · ⚠ La cifra con IVA es menor que el monto sin IVA",""),4,400))</f>
        <v/>
      </c>
      <c r="T374" s="21"/>
      <c r="U374" s="20"/>
      <c r="V374" s="9" t="str">
        <f aca="false">IF(LEFT(P374,5)&lt;&gt;"AVISO","",IF(T374="Presentado",IF(AND(ISNUMBER(U374),ISNUMBER(Q374),U374&gt;Q374),"Presentado tarde","Presentado"),IF(NOT(ISNUMBER(Q374)),"Falta fecha",IF(Q374&lt;CONFIG!$B$6,"VENCIDO","Vence en "&amp;(Q374-CONFIG!$B$6)&amp;" días"))))</f>
        <v/>
      </c>
      <c r="W374" s="22"/>
      <c r="X374" s="21"/>
      <c r="AA374" s="0" t="str">
        <f aca="false">IF(AM374="","",INDEX(CATÁLOGO!$D$5:$D$39,AM374))</f>
        <v/>
      </c>
      <c r="AB374" s="0" t="str">
        <f aca="false">IF(AM374="","",INDEX(CATÁLOGO!$E$5:$E$39,AM374))</f>
        <v/>
      </c>
      <c r="AC374" s="0" t="str">
        <f aca="false">IF(AB374="","",IF(ISNUMBER(AB374),AB374*AV374,AB374))</f>
        <v/>
      </c>
      <c r="AD374" s="0" t="str">
        <f aca="false">IF(AM374="","",INDEX(CATÁLOGO!$F$5:$F$39,AM374))</f>
        <v/>
      </c>
      <c r="AE374" s="0" t="str">
        <f aca="false">IF(AD374="","",IF(ISNUMBER(AD374),AD374*AV374,AD374))</f>
        <v/>
      </c>
      <c r="AF374" s="0" t="str">
        <f aca="false">IF(AM374="","",INDEX(CATÁLOGO!$G$5:$G$39,AM374))</f>
        <v/>
      </c>
      <c r="AG374" s="0" t="str">
        <f aca="false">IF(AF374="","",IF(ISNUMBER(AF374),AF374*AV374,AF374))</f>
        <v/>
      </c>
      <c r="AH374" s="0" t="str">
        <f aca="false">IF(E374="","",C374&amp;"|"&amp;D374)</f>
        <v/>
      </c>
      <c r="AI374" s="27" t="n">
        <f aca="false">IF(M374&lt;&gt;"Sí",0,SUMPRODUCT(MAX(($AH$5:AH373=AH374)*($M$5:M373="Sí")*ROW($AH$5:AH373))))</f>
        <v>0</v>
      </c>
      <c r="AJ374" s="0" t="str">
        <f aca="false">IF(M374&lt;&gt;"Sí","",IF(AL374=1,B374,INDEX($AJ:$AJ,AI374)))</f>
        <v/>
      </c>
      <c r="AK374" s="0" t="str">
        <f aca="false">IF(M374&lt;&gt;"Sí","",IF(AL374=1,E374,INDEX($AK:$AK,AI374)+E374))</f>
        <v/>
      </c>
      <c r="AL374" s="0" t="str">
        <f aca="false">IF(M374&lt;&gt;"Sí","",IF(AI374=0,1,IF(INDEX($AN:$AN,AI374)=0,1,IF(B374&gt;=EDATE(INDEX($AJ:$AJ,AI374),6),1,0))))</f>
        <v/>
      </c>
      <c r="AM374" s="0" t="str">
        <f aca="false">IF(D374="","",IFERROR(MATCH(D374,CATÁLOGO!$C$5:$C$39,0),""))</f>
        <v/>
      </c>
      <c r="AN374" s="0" t="str">
        <f aca="false">IF(M374&lt;&gt;"Sí","",IF(AND(ISNUMBER(AE374),AK374&gt;=AE374),0,1))</f>
        <v/>
      </c>
      <c r="AO374" s="0" t="str">
        <f aca="false">IF(OR(E374="",C374="",NOT(ISNUMBER(B374))),"",SUMIFS($E$6:$E$505,$C$6:$C$505,C374,$B$6:$B$505,"&gt;="&amp;DATE(YEAR(B374),MONTH(B374),1),$B$6:$B$505,"&lt;"&amp;DATE(YEAR(B374),MONTH(B374)+1,1)))</f>
        <v/>
      </c>
      <c r="AP374" s="0" t="str">
        <f aca="false">IF(C374="","",IFERROR(INDEX(CLIENTES!$M$6:$M$305,MATCH(C374,CLIENTES!$A$6:$A$305,0)),""))</f>
        <v/>
      </c>
      <c r="AQ374" s="27" t="n">
        <f aca="false">IF(AND(ISNUMBER(AO374),ISNUMBER(AP374)),IF(AND(AP374&gt;0,AO374&gt;AP374),1,0),0)</f>
        <v>0</v>
      </c>
      <c r="AR374" s="27" t="n">
        <f aca="false">IF(NOT(ISNUMBER(B374)),0,IF(B374&lt;MAX($B$5:B373),1,0))</f>
        <v>0</v>
      </c>
      <c r="AS374" s="0" t="str">
        <f aca="false">IF(C374="","",IFERROR(INDEX(CLIENTES!$H$6:$H$305,MATCH(C374,CLIENTES!$A$6:$A$305,0)),""))</f>
        <v/>
      </c>
      <c r="AT374" s="0" t="str">
        <f aca="false">IF(AND(LEFT(P374,5)="AVISO",T374&lt;&gt;"Presentado",ISNUMBER(Q374)),Q374,"")</f>
        <v/>
      </c>
      <c r="AU374" s="27" t="n">
        <f aca="false">IF(AND(D374="XVI - Activos virtuales (PSAV): operación de intercambio/transferencia",M374="Sí",ISNUMBER(AE374)),IF(AK374&gt;=AE374,1,0),0)</f>
        <v>0</v>
      </c>
      <c r="AV374" s="30" t="n">
        <f aca="false">IF(NOT(ISNUMBER(B374)),CONFIG!$B$4,IFERROR(INDEX(CONFIG!$I$5:$I$14,MATCH(IF(MONTH(B374)=1,YEAR(B374)-1,YEAR(B374)),CONFIG!$H$5:$H$14,0)),CONFIG!$B$4))</f>
        <v>117.31</v>
      </c>
      <c r="AW374" s="27" t="n">
        <f aca="false">IF(AND(LEFT(D374,4)="I - ",ISNUMBER(B374),C374&lt;&gt;""),SUMIFS($E$6:$E$505,$C$6:$C$505,C374,$D$6:$D$505,D374,$B$6:$B$505,"&gt;"&amp;(B374-1),$B$6:$B$505,"&lt;="&amp;B374),0)</f>
        <v>0</v>
      </c>
      <c r="AX374" s="0" t="str">
        <f aca="false">IF(E374="","",IF(AD374="Siempre","AVISO (siempre)",IF(AD374="No aplica","Sin Aviso (sólo preparas: Ley 17 XI)",IF(NOT(ISNUMBER(AE374)),"",IF(AA374&lt;&gt;"ACUMULA",IF(E374&gt;=AE374,IF(AND(D374="XVI - Activos virtuales (PSAV): cobro de contraprestación (comisión) por el servicio",COUNTIFS($C$6:$C$505,C374,$B$6:$B$505,"&gt;="&amp;INT(B374),$B$6:$B$505,"&lt;"&amp;(INT(B374)+1),$AU$6:$AU$505,1)&gt;0),"En el Aviso del inciso a) (R 31 Bis)","AVISO"),"—"),IF(M374&lt;&gt;"Sí","—",IF(AK374&gt;=AE374,IF(AK374=E374,"AVISO","AVISO (acumulado)"),"Acumulando")))))))</f>
        <v/>
      </c>
    </row>
    <row r="375" customFormat="false" ht="15" hidden="false" customHeight="false" outlineLevel="0" collapsed="false">
      <c r="A375" s="9" t="str">
        <f aca="false">IF(E375="","",ROW()-5)</f>
        <v/>
      </c>
      <c r="B375" s="20"/>
      <c r="C375" s="21"/>
      <c r="D375" s="21"/>
      <c r="E375" s="22"/>
      <c r="F375" s="22"/>
      <c r="G375" s="21"/>
      <c r="H375" s="21"/>
      <c r="I375" s="9" t="str">
        <f aca="false">IF(C375="","",IFERROR(INDEX(CLIENTES!$B$6:$B$305,MATCH(C375,CLIENTES!$A$6:$A$305,0)),"⚠ ID no registrado"))</f>
        <v/>
      </c>
      <c r="J375" s="9" t="str">
        <f aca="false">IF(C375="","",IFERROR(INDEX(CLIENTES!$Z$6:$Z$305,MATCH(C375,CLIENTES!$A$6:$A$305,0)),""))</f>
        <v/>
      </c>
      <c r="K375" s="9" t="str">
        <f aca="false">IF(E375="","",IF(AB375="Siempre","Sí",IF(ISNUMBER(AC375),IF(E375&gt;=AC375,"Sí",IF(AW375&gt;=AC375,"Sí (serie 24 h)","No")),"")))</f>
        <v/>
      </c>
      <c r="L375" s="9" t="str">
        <f aca="false">IF(E375="","",AA375)</f>
        <v/>
      </c>
      <c r="M375" s="9" t="str">
        <f aca="false">IF(E375="","",IF(AA375&lt;&gt;"ACUMULA","No aplica",IF(LEFT(K375,2)="Sí","Sí","No")))</f>
        <v/>
      </c>
      <c r="N375" s="23" t="str">
        <f aca="false">IF(M375="Sí",AJ375,"")</f>
        <v/>
      </c>
      <c r="O375" s="24" t="str">
        <f aca="false">IF(M375="Sí",AK375,"")</f>
        <v/>
      </c>
      <c r="P375" s="25" t="str">
        <f aca="false">IF(AND(LEFT(D375,6)="XIV - ",LEFT(AX375,5)="AVISO"),"Pedimento (R 16): no va al SPPLD",AX375)</f>
        <v/>
      </c>
      <c r="Q375" s="23" t="str">
        <f aca="false">IF(LEFT(P375,5)="AVISO",IF(ISNUMBER(B375),DATE(YEAR(B375),MONTH(B375)+1,17),"Falta fecha"),"")</f>
        <v/>
      </c>
      <c r="R375" s="9" t="str">
        <f aca="false">IF(OR(F375="",F375=0),"",IF(ISNUMBER(AG375),IF(F375&gt;=AG375,"PROHIBIDO","Dentro del límite"),"No aplica"))</f>
        <v/>
      </c>
      <c r="S375" s="26" t="str">
        <f aca="false">IF(E375="","",MID(IF(AQ375=1," · Excede el perfil declarado","")&amp;IF(H375="Sí"," · Paga un tercero","")&amp;IF(J375="Alto"," · Cliente de riesgo alto: DDR (RCG 23 Ter 3 y 4)","")&amp;IF(AND(AS375&lt;&gt;"",AS375&lt;&gt;"No",AS375&lt;&gt;0)," · PEP","")&amp;IF(R375="PROHIBIDO"," · Efectivo prohibido: no lo recibas (Art. 32)","")&amp;IF(AR375=1," · ⚠ Fecha fuera de orden","")&amp;IF(LEFT(I375,1)="⚠"," · ⚠ Cliente no registrado","")&amp;IF(D375=""," · ⚠ Falta la actividad","")&amp;IF(AND(LEFT(P375,5)="AVISO",W375="")," · Captura la cifra total con IVA para el Aviso","")&amp;IF(AND(ISNUMBER(W375),W375&lt;E375)," · ⚠ La cifra con IVA es menor que el monto sin IVA",""),4,400))</f>
        <v/>
      </c>
      <c r="T375" s="21"/>
      <c r="U375" s="20"/>
      <c r="V375" s="9" t="str">
        <f aca="false">IF(LEFT(P375,5)&lt;&gt;"AVISO","",IF(T375="Presentado",IF(AND(ISNUMBER(U375),ISNUMBER(Q375),U375&gt;Q375),"Presentado tarde","Presentado"),IF(NOT(ISNUMBER(Q375)),"Falta fecha",IF(Q375&lt;CONFIG!$B$6,"VENCIDO","Vence en "&amp;(Q375-CONFIG!$B$6)&amp;" días"))))</f>
        <v/>
      </c>
      <c r="W375" s="22"/>
      <c r="X375" s="21"/>
      <c r="AA375" s="0" t="str">
        <f aca="false">IF(AM375="","",INDEX(CATÁLOGO!$D$5:$D$39,AM375))</f>
        <v/>
      </c>
      <c r="AB375" s="0" t="str">
        <f aca="false">IF(AM375="","",INDEX(CATÁLOGO!$E$5:$E$39,AM375))</f>
        <v/>
      </c>
      <c r="AC375" s="0" t="str">
        <f aca="false">IF(AB375="","",IF(ISNUMBER(AB375),AB375*AV375,AB375))</f>
        <v/>
      </c>
      <c r="AD375" s="0" t="str">
        <f aca="false">IF(AM375="","",INDEX(CATÁLOGO!$F$5:$F$39,AM375))</f>
        <v/>
      </c>
      <c r="AE375" s="0" t="str">
        <f aca="false">IF(AD375="","",IF(ISNUMBER(AD375),AD375*AV375,AD375))</f>
        <v/>
      </c>
      <c r="AF375" s="0" t="str">
        <f aca="false">IF(AM375="","",INDEX(CATÁLOGO!$G$5:$G$39,AM375))</f>
        <v/>
      </c>
      <c r="AG375" s="0" t="str">
        <f aca="false">IF(AF375="","",IF(ISNUMBER(AF375),AF375*AV375,AF375))</f>
        <v/>
      </c>
      <c r="AH375" s="0" t="str">
        <f aca="false">IF(E375="","",C375&amp;"|"&amp;D375)</f>
        <v/>
      </c>
      <c r="AI375" s="27" t="n">
        <f aca="false">IF(M375&lt;&gt;"Sí",0,SUMPRODUCT(MAX(($AH$5:AH374=AH375)*($M$5:M374="Sí")*ROW($AH$5:AH374))))</f>
        <v>0</v>
      </c>
      <c r="AJ375" s="0" t="str">
        <f aca="false">IF(M375&lt;&gt;"Sí","",IF(AL375=1,B375,INDEX($AJ:$AJ,AI375)))</f>
        <v/>
      </c>
      <c r="AK375" s="0" t="str">
        <f aca="false">IF(M375&lt;&gt;"Sí","",IF(AL375=1,E375,INDEX($AK:$AK,AI375)+E375))</f>
        <v/>
      </c>
      <c r="AL375" s="0" t="str">
        <f aca="false">IF(M375&lt;&gt;"Sí","",IF(AI375=0,1,IF(INDEX($AN:$AN,AI375)=0,1,IF(B375&gt;=EDATE(INDEX($AJ:$AJ,AI375),6),1,0))))</f>
        <v/>
      </c>
      <c r="AM375" s="0" t="str">
        <f aca="false">IF(D375="","",IFERROR(MATCH(D375,CATÁLOGO!$C$5:$C$39,0),""))</f>
        <v/>
      </c>
      <c r="AN375" s="0" t="str">
        <f aca="false">IF(M375&lt;&gt;"Sí","",IF(AND(ISNUMBER(AE375),AK375&gt;=AE375),0,1))</f>
        <v/>
      </c>
      <c r="AO375" s="0" t="str">
        <f aca="false">IF(OR(E375="",C375="",NOT(ISNUMBER(B375))),"",SUMIFS($E$6:$E$505,$C$6:$C$505,C375,$B$6:$B$505,"&gt;="&amp;DATE(YEAR(B375),MONTH(B375),1),$B$6:$B$505,"&lt;"&amp;DATE(YEAR(B375),MONTH(B375)+1,1)))</f>
        <v/>
      </c>
      <c r="AP375" s="0" t="str">
        <f aca="false">IF(C375="","",IFERROR(INDEX(CLIENTES!$M$6:$M$305,MATCH(C375,CLIENTES!$A$6:$A$305,0)),""))</f>
        <v/>
      </c>
      <c r="AQ375" s="27" t="n">
        <f aca="false">IF(AND(ISNUMBER(AO375),ISNUMBER(AP375)),IF(AND(AP375&gt;0,AO375&gt;AP375),1,0),0)</f>
        <v>0</v>
      </c>
      <c r="AR375" s="27" t="n">
        <f aca="false">IF(NOT(ISNUMBER(B375)),0,IF(B375&lt;MAX($B$5:B374),1,0))</f>
        <v>0</v>
      </c>
      <c r="AS375" s="0" t="str">
        <f aca="false">IF(C375="","",IFERROR(INDEX(CLIENTES!$H$6:$H$305,MATCH(C375,CLIENTES!$A$6:$A$305,0)),""))</f>
        <v/>
      </c>
      <c r="AT375" s="0" t="str">
        <f aca="false">IF(AND(LEFT(P375,5)="AVISO",T375&lt;&gt;"Presentado",ISNUMBER(Q375)),Q375,"")</f>
        <v/>
      </c>
      <c r="AU375" s="27" t="n">
        <f aca="false">IF(AND(D375="XVI - Activos virtuales (PSAV): operación de intercambio/transferencia",M375="Sí",ISNUMBER(AE375)),IF(AK375&gt;=AE375,1,0),0)</f>
        <v>0</v>
      </c>
      <c r="AV375" s="30" t="n">
        <f aca="false">IF(NOT(ISNUMBER(B375)),CONFIG!$B$4,IFERROR(INDEX(CONFIG!$I$5:$I$14,MATCH(IF(MONTH(B375)=1,YEAR(B375)-1,YEAR(B375)),CONFIG!$H$5:$H$14,0)),CONFIG!$B$4))</f>
        <v>117.31</v>
      </c>
      <c r="AW375" s="27" t="n">
        <f aca="false">IF(AND(LEFT(D375,4)="I - ",ISNUMBER(B375),C375&lt;&gt;""),SUMIFS($E$6:$E$505,$C$6:$C$505,C375,$D$6:$D$505,D375,$B$6:$B$505,"&gt;"&amp;(B375-1),$B$6:$B$505,"&lt;="&amp;B375),0)</f>
        <v>0</v>
      </c>
      <c r="AX375" s="0" t="str">
        <f aca="false">IF(E375="","",IF(AD375="Siempre","AVISO (siempre)",IF(AD375="No aplica","Sin Aviso (sólo preparas: Ley 17 XI)",IF(NOT(ISNUMBER(AE375)),"",IF(AA375&lt;&gt;"ACUMULA",IF(E375&gt;=AE375,IF(AND(D375="XVI - Activos virtuales (PSAV): cobro de contraprestación (comisión) por el servicio",COUNTIFS($C$6:$C$505,C375,$B$6:$B$505,"&gt;="&amp;INT(B375),$B$6:$B$505,"&lt;"&amp;(INT(B375)+1),$AU$6:$AU$505,1)&gt;0),"En el Aviso del inciso a) (R 31 Bis)","AVISO"),"—"),IF(M375&lt;&gt;"Sí","—",IF(AK375&gt;=AE375,IF(AK375=E375,"AVISO","AVISO (acumulado)"),"Acumulando")))))))</f>
        <v/>
      </c>
    </row>
    <row r="376" customFormat="false" ht="15" hidden="false" customHeight="false" outlineLevel="0" collapsed="false">
      <c r="A376" s="9" t="str">
        <f aca="false">IF(E376="","",ROW()-5)</f>
        <v/>
      </c>
      <c r="B376" s="20"/>
      <c r="C376" s="21"/>
      <c r="D376" s="21"/>
      <c r="E376" s="22"/>
      <c r="F376" s="22"/>
      <c r="G376" s="21"/>
      <c r="H376" s="21"/>
      <c r="I376" s="9" t="str">
        <f aca="false">IF(C376="","",IFERROR(INDEX(CLIENTES!$B$6:$B$305,MATCH(C376,CLIENTES!$A$6:$A$305,0)),"⚠ ID no registrado"))</f>
        <v/>
      </c>
      <c r="J376" s="9" t="str">
        <f aca="false">IF(C376="","",IFERROR(INDEX(CLIENTES!$Z$6:$Z$305,MATCH(C376,CLIENTES!$A$6:$A$305,0)),""))</f>
        <v/>
      </c>
      <c r="K376" s="9" t="str">
        <f aca="false">IF(E376="","",IF(AB376="Siempre","Sí",IF(ISNUMBER(AC376),IF(E376&gt;=AC376,"Sí",IF(AW376&gt;=AC376,"Sí (serie 24 h)","No")),"")))</f>
        <v/>
      </c>
      <c r="L376" s="9" t="str">
        <f aca="false">IF(E376="","",AA376)</f>
        <v/>
      </c>
      <c r="M376" s="9" t="str">
        <f aca="false">IF(E376="","",IF(AA376&lt;&gt;"ACUMULA","No aplica",IF(LEFT(K376,2)="Sí","Sí","No")))</f>
        <v/>
      </c>
      <c r="N376" s="23" t="str">
        <f aca="false">IF(M376="Sí",AJ376,"")</f>
        <v/>
      </c>
      <c r="O376" s="24" t="str">
        <f aca="false">IF(M376="Sí",AK376,"")</f>
        <v/>
      </c>
      <c r="P376" s="25" t="str">
        <f aca="false">IF(AND(LEFT(D376,6)="XIV - ",LEFT(AX376,5)="AVISO"),"Pedimento (R 16): no va al SPPLD",AX376)</f>
        <v/>
      </c>
      <c r="Q376" s="23" t="str">
        <f aca="false">IF(LEFT(P376,5)="AVISO",IF(ISNUMBER(B376),DATE(YEAR(B376),MONTH(B376)+1,17),"Falta fecha"),"")</f>
        <v/>
      </c>
      <c r="R376" s="9" t="str">
        <f aca="false">IF(OR(F376="",F376=0),"",IF(ISNUMBER(AG376),IF(F376&gt;=AG376,"PROHIBIDO","Dentro del límite"),"No aplica"))</f>
        <v/>
      </c>
      <c r="S376" s="26" t="str">
        <f aca="false">IF(E376="","",MID(IF(AQ376=1," · Excede el perfil declarado","")&amp;IF(H376="Sí"," · Paga un tercero","")&amp;IF(J376="Alto"," · Cliente de riesgo alto: DDR (RCG 23 Ter 3 y 4)","")&amp;IF(AND(AS376&lt;&gt;"",AS376&lt;&gt;"No",AS376&lt;&gt;0)," · PEP","")&amp;IF(R376="PROHIBIDO"," · Efectivo prohibido: no lo recibas (Art. 32)","")&amp;IF(AR376=1," · ⚠ Fecha fuera de orden","")&amp;IF(LEFT(I376,1)="⚠"," · ⚠ Cliente no registrado","")&amp;IF(D376=""," · ⚠ Falta la actividad","")&amp;IF(AND(LEFT(P376,5)="AVISO",W376="")," · Captura la cifra total con IVA para el Aviso","")&amp;IF(AND(ISNUMBER(W376),W376&lt;E376)," · ⚠ La cifra con IVA es menor que el monto sin IVA",""),4,400))</f>
        <v/>
      </c>
      <c r="T376" s="21"/>
      <c r="U376" s="20"/>
      <c r="V376" s="9" t="str">
        <f aca="false">IF(LEFT(P376,5)&lt;&gt;"AVISO","",IF(T376="Presentado",IF(AND(ISNUMBER(U376),ISNUMBER(Q376),U376&gt;Q376),"Presentado tarde","Presentado"),IF(NOT(ISNUMBER(Q376)),"Falta fecha",IF(Q376&lt;CONFIG!$B$6,"VENCIDO","Vence en "&amp;(Q376-CONFIG!$B$6)&amp;" días"))))</f>
        <v/>
      </c>
      <c r="W376" s="22"/>
      <c r="X376" s="21"/>
      <c r="AA376" s="0" t="str">
        <f aca="false">IF(AM376="","",INDEX(CATÁLOGO!$D$5:$D$39,AM376))</f>
        <v/>
      </c>
      <c r="AB376" s="0" t="str">
        <f aca="false">IF(AM376="","",INDEX(CATÁLOGO!$E$5:$E$39,AM376))</f>
        <v/>
      </c>
      <c r="AC376" s="0" t="str">
        <f aca="false">IF(AB376="","",IF(ISNUMBER(AB376),AB376*AV376,AB376))</f>
        <v/>
      </c>
      <c r="AD376" s="0" t="str">
        <f aca="false">IF(AM376="","",INDEX(CATÁLOGO!$F$5:$F$39,AM376))</f>
        <v/>
      </c>
      <c r="AE376" s="0" t="str">
        <f aca="false">IF(AD376="","",IF(ISNUMBER(AD376),AD376*AV376,AD376))</f>
        <v/>
      </c>
      <c r="AF376" s="0" t="str">
        <f aca="false">IF(AM376="","",INDEX(CATÁLOGO!$G$5:$G$39,AM376))</f>
        <v/>
      </c>
      <c r="AG376" s="0" t="str">
        <f aca="false">IF(AF376="","",IF(ISNUMBER(AF376),AF376*AV376,AF376))</f>
        <v/>
      </c>
      <c r="AH376" s="0" t="str">
        <f aca="false">IF(E376="","",C376&amp;"|"&amp;D376)</f>
        <v/>
      </c>
      <c r="AI376" s="27" t="n">
        <f aca="false">IF(M376&lt;&gt;"Sí",0,SUMPRODUCT(MAX(($AH$5:AH375=AH376)*($M$5:M375="Sí")*ROW($AH$5:AH375))))</f>
        <v>0</v>
      </c>
      <c r="AJ376" s="0" t="str">
        <f aca="false">IF(M376&lt;&gt;"Sí","",IF(AL376=1,B376,INDEX($AJ:$AJ,AI376)))</f>
        <v/>
      </c>
      <c r="AK376" s="0" t="str">
        <f aca="false">IF(M376&lt;&gt;"Sí","",IF(AL376=1,E376,INDEX($AK:$AK,AI376)+E376))</f>
        <v/>
      </c>
      <c r="AL376" s="0" t="str">
        <f aca="false">IF(M376&lt;&gt;"Sí","",IF(AI376=0,1,IF(INDEX($AN:$AN,AI376)=0,1,IF(B376&gt;=EDATE(INDEX($AJ:$AJ,AI376),6),1,0))))</f>
        <v/>
      </c>
      <c r="AM376" s="0" t="str">
        <f aca="false">IF(D376="","",IFERROR(MATCH(D376,CATÁLOGO!$C$5:$C$39,0),""))</f>
        <v/>
      </c>
      <c r="AN376" s="0" t="str">
        <f aca="false">IF(M376&lt;&gt;"Sí","",IF(AND(ISNUMBER(AE376),AK376&gt;=AE376),0,1))</f>
        <v/>
      </c>
      <c r="AO376" s="0" t="str">
        <f aca="false">IF(OR(E376="",C376="",NOT(ISNUMBER(B376))),"",SUMIFS($E$6:$E$505,$C$6:$C$505,C376,$B$6:$B$505,"&gt;="&amp;DATE(YEAR(B376),MONTH(B376),1),$B$6:$B$505,"&lt;"&amp;DATE(YEAR(B376),MONTH(B376)+1,1)))</f>
        <v/>
      </c>
      <c r="AP376" s="0" t="str">
        <f aca="false">IF(C376="","",IFERROR(INDEX(CLIENTES!$M$6:$M$305,MATCH(C376,CLIENTES!$A$6:$A$305,0)),""))</f>
        <v/>
      </c>
      <c r="AQ376" s="27" t="n">
        <f aca="false">IF(AND(ISNUMBER(AO376),ISNUMBER(AP376)),IF(AND(AP376&gt;0,AO376&gt;AP376),1,0),0)</f>
        <v>0</v>
      </c>
      <c r="AR376" s="27" t="n">
        <f aca="false">IF(NOT(ISNUMBER(B376)),0,IF(B376&lt;MAX($B$5:B375),1,0))</f>
        <v>0</v>
      </c>
      <c r="AS376" s="0" t="str">
        <f aca="false">IF(C376="","",IFERROR(INDEX(CLIENTES!$H$6:$H$305,MATCH(C376,CLIENTES!$A$6:$A$305,0)),""))</f>
        <v/>
      </c>
      <c r="AT376" s="0" t="str">
        <f aca="false">IF(AND(LEFT(P376,5)="AVISO",T376&lt;&gt;"Presentado",ISNUMBER(Q376)),Q376,"")</f>
        <v/>
      </c>
      <c r="AU376" s="27" t="n">
        <f aca="false">IF(AND(D376="XVI - Activos virtuales (PSAV): operación de intercambio/transferencia",M376="Sí",ISNUMBER(AE376)),IF(AK376&gt;=AE376,1,0),0)</f>
        <v>0</v>
      </c>
      <c r="AV376" s="30" t="n">
        <f aca="false">IF(NOT(ISNUMBER(B376)),CONFIG!$B$4,IFERROR(INDEX(CONFIG!$I$5:$I$14,MATCH(IF(MONTH(B376)=1,YEAR(B376)-1,YEAR(B376)),CONFIG!$H$5:$H$14,0)),CONFIG!$B$4))</f>
        <v>117.31</v>
      </c>
      <c r="AW376" s="27" t="n">
        <f aca="false">IF(AND(LEFT(D376,4)="I - ",ISNUMBER(B376),C376&lt;&gt;""),SUMIFS($E$6:$E$505,$C$6:$C$505,C376,$D$6:$D$505,D376,$B$6:$B$505,"&gt;"&amp;(B376-1),$B$6:$B$505,"&lt;="&amp;B376),0)</f>
        <v>0</v>
      </c>
      <c r="AX376" s="0" t="str">
        <f aca="false">IF(E376="","",IF(AD376="Siempre","AVISO (siempre)",IF(AD376="No aplica","Sin Aviso (sólo preparas: Ley 17 XI)",IF(NOT(ISNUMBER(AE376)),"",IF(AA376&lt;&gt;"ACUMULA",IF(E376&gt;=AE376,IF(AND(D376="XVI - Activos virtuales (PSAV): cobro de contraprestación (comisión) por el servicio",COUNTIFS($C$6:$C$505,C376,$B$6:$B$505,"&gt;="&amp;INT(B376),$B$6:$B$505,"&lt;"&amp;(INT(B376)+1),$AU$6:$AU$505,1)&gt;0),"En el Aviso del inciso a) (R 31 Bis)","AVISO"),"—"),IF(M376&lt;&gt;"Sí","—",IF(AK376&gt;=AE376,IF(AK376=E376,"AVISO","AVISO (acumulado)"),"Acumulando")))))))</f>
        <v/>
      </c>
    </row>
    <row r="377" customFormat="false" ht="15" hidden="false" customHeight="false" outlineLevel="0" collapsed="false">
      <c r="A377" s="9" t="str">
        <f aca="false">IF(E377="","",ROW()-5)</f>
        <v/>
      </c>
      <c r="B377" s="20"/>
      <c r="C377" s="21"/>
      <c r="D377" s="21"/>
      <c r="E377" s="22"/>
      <c r="F377" s="22"/>
      <c r="G377" s="21"/>
      <c r="H377" s="21"/>
      <c r="I377" s="9" t="str">
        <f aca="false">IF(C377="","",IFERROR(INDEX(CLIENTES!$B$6:$B$305,MATCH(C377,CLIENTES!$A$6:$A$305,0)),"⚠ ID no registrado"))</f>
        <v/>
      </c>
      <c r="J377" s="9" t="str">
        <f aca="false">IF(C377="","",IFERROR(INDEX(CLIENTES!$Z$6:$Z$305,MATCH(C377,CLIENTES!$A$6:$A$305,0)),""))</f>
        <v/>
      </c>
      <c r="K377" s="9" t="str">
        <f aca="false">IF(E377="","",IF(AB377="Siempre","Sí",IF(ISNUMBER(AC377),IF(E377&gt;=AC377,"Sí",IF(AW377&gt;=AC377,"Sí (serie 24 h)","No")),"")))</f>
        <v/>
      </c>
      <c r="L377" s="9" t="str">
        <f aca="false">IF(E377="","",AA377)</f>
        <v/>
      </c>
      <c r="M377" s="9" t="str">
        <f aca="false">IF(E377="","",IF(AA377&lt;&gt;"ACUMULA","No aplica",IF(LEFT(K377,2)="Sí","Sí","No")))</f>
        <v/>
      </c>
      <c r="N377" s="23" t="str">
        <f aca="false">IF(M377="Sí",AJ377,"")</f>
        <v/>
      </c>
      <c r="O377" s="24" t="str">
        <f aca="false">IF(M377="Sí",AK377,"")</f>
        <v/>
      </c>
      <c r="P377" s="25" t="str">
        <f aca="false">IF(AND(LEFT(D377,6)="XIV - ",LEFT(AX377,5)="AVISO"),"Pedimento (R 16): no va al SPPLD",AX377)</f>
        <v/>
      </c>
      <c r="Q377" s="23" t="str">
        <f aca="false">IF(LEFT(P377,5)="AVISO",IF(ISNUMBER(B377),DATE(YEAR(B377),MONTH(B377)+1,17),"Falta fecha"),"")</f>
        <v/>
      </c>
      <c r="R377" s="9" t="str">
        <f aca="false">IF(OR(F377="",F377=0),"",IF(ISNUMBER(AG377),IF(F377&gt;=AG377,"PROHIBIDO","Dentro del límite"),"No aplica"))</f>
        <v/>
      </c>
      <c r="S377" s="26" t="str">
        <f aca="false">IF(E377="","",MID(IF(AQ377=1," · Excede el perfil declarado","")&amp;IF(H377="Sí"," · Paga un tercero","")&amp;IF(J377="Alto"," · Cliente de riesgo alto: DDR (RCG 23 Ter 3 y 4)","")&amp;IF(AND(AS377&lt;&gt;"",AS377&lt;&gt;"No",AS377&lt;&gt;0)," · PEP","")&amp;IF(R377="PROHIBIDO"," · Efectivo prohibido: no lo recibas (Art. 32)","")&amp;IF(AR377=1," · ⚠ Fecha fuera de orden","")&amp;IF(LEFT(I377,1)="⚠"," · ⚠ Cliente no registrado","")&amp;IF(D377=""," · ⚠ Falta la actividad","")&amp;IF(AND(LEFT(P377,5)="AVISO",W377="")," · Captura la cifra total con IVA para el Aviso","")&amp;IF(AND(ISNUMBER(W377),W377&lt;E377)," · ⚠ La cifra con IVA es menor que el monto sin IVA",""),4,400))</f>
        <v/>
      </c>
      <c r="T377" s="21"/>
      <c r="U377" s="20"/>
      <c r="V377" s="9" t="str">
        <f aca="false">IF(LEFT(P377,5)&lt;&gt;"AVISO","",IF(T377="Presentado",IF(AND(ISNUMBER(U377),ISNUMBER(Q377),U377&gt;Q377),"Presentado tarde","Presentado"),IF(NOT(ISNUMBER(Q377)),"Falta fecha",IF(Q377&lt;CONFIG!$B$6,"VENCIDO","Vence en "&amp;(Q377-CONFIG!$B$6)&amp;" días"))))</f>
        <v/>
      </c>
      <c r="W377" s="22"/>
      <c r="X377" s="21"/>
      <c r="AA377" s="0" t="str">
        <f aca="false">IF(AM377="","",INDEX(CATÁLOGO!$D$5:$D$39,AM377))</f>
        <v/>
      </c>
      <c r="AB377" s="0" t="str">
        <f aca="false">IF(AM377="","",INDEX(CATÁLOGO!$E$5:$E$39,AM377))</f>
        <v/>
      </c>
      <c r="AC377" s="0" t="str">
        <f aca="false">IF(AB377="","",IF(ISNUMBER(AB377),AB377*AV377,AB377))</f>
        <v/>
      </c>
      <c r="AD377" s="0" t="str">
        <f aca="false">IF(AM377="","",INDEX(CATÁLOGO!$F$5:$F$39,AM377))</f>
        <v/>
      </c>
      <c r="AE377" s="0" t="str">
        <f aca="false">IF(AD377="","",IF(ISNUMBER(AD377),AD377*AV377,AD377))</f>
        <v/>
      </c>
      <c r="AF377" s="0" t="str">
        <f aca="false">IF(AM377="","",INDEX(CATÁLOGO!$G$5:$G$39,AM377))</f>
        <v/>
      </c>
      <c r="AG377" s="0" t="str">
        <f aca="false">IF(AF377="","",IF(ISNUMBER(AF377),AF377*AV377,AF377))</f>
        <v/>
      </c>
      <c r="AH377" s="0" t="str">
        <f aca="false">IF(E377="","",C377&amp;"|"&amp;D377)</f>
        <v/>
      </c>
      <c r="AI377" s="27" t="n">
        <f aca="false">IF(M377&lt;&gt;"Sí",0,SUMPRODUCT(MAX(($AH$5:AH376=AH377)*($M$5:M376="Sí")*ROW($AH$5:AH376))))</f>
        <v>0</v>
      </c>
      <c r="AJ377" s="0" t="str">
        <f aca="false">IF(M377&lt;&gt;"Sí","",IF(AL377=1,B377,INDEX($AJ:$AJ,AI377)))</f>
        <v/>
      </c>
      <c r="AK377" s="0" t="str">
        <f aca="false">IF(M377&lt;&gt;"Sí","",IF(AL377=1,E377,INDEX($AK:$AK,AI377)+E377))</f>
        <v/>
      </c>
      <c r="AL377" s="0" t="str">
        <f aca="false">IF(M377&lt;&gt;"Sí","",IF(AI377=0,1,IF(INDEX($AN:$AN,AI377)=0,1,IF(B377&gt;=EDATE(INDEX($AJ:$AJ,AI377),6),1,0))))</f>
        <v/>
      </c>
      <c r="AM377" s="0" t="str">
        <f aca="false">IF(D377="","",IFERROR(MATCH(D377,CATÁLOGO!$C$5:$C$39,0),""))</f>
        <v/>
      </c>
      <c r="AN377" s="0" t="str">
        <f aca="false">IF(M377&lt;&gt;"Sí","",IF(AND(ISNUMBER(AE377),AK377&gt;=AE377),0,1))</f>
        <v/>
      </c>
      <c r="AO377" s="0" t="str">
        <f aca="false">IF(OR(E377="",C377="",NOT(ISNUMBER(B377))),"",SUMIFS($E$6:$E$505,$C$6:$C$505,C377,$B$6:$B$505,"&gt;="&amp;DATE(YEAR(B377),MONTH(B377),1),$B$6:$B$505,"&lt;"&amp;DATE(YEAR(B377),MONTH(B377)+1,1)))</f>
        <v/>
      </c>
      <c r="AP377" s="0" t="str">
        <f aca="false">IF(C377="","",IFERROR(INDEX(CLIENTES!$M$6:$M$305,MATCH(C377,CLIENTES!$A$6:$A$305,0)),""))</f>
        <v/>
      </c>
      <c r="AQ377" s="27" t="n">
        <f aca="false">IF(AND(ISNUMBER(AO377),ISNUMBER(AP377)),IF(AND(AP377&gt;0,AO377&gt;AP377),1,0),0)</f>
        <v>0</v>
      </c>
      <c r="AR377" s="27" t="n">
        <f aca="false">IF(NOT(ISNUMBER(B377)),0,IF(B377&lt;MAX($B$5:B376),1,0))</f>
        <v>0</v>
      </c>
      <c r="AS377" s="0" t="str">
        <f aca="false">IF(C377="","",IFERROR(INDEX(CLIENTES!$H$6:$H$305,MATCH(C377,CLIENTES!$A$6:$A$305,0)),""))</f>
        <v/>
      </c>
      <c r="AT377" s="0" t="str">
        <f aca="false">IF(AND(LEFT(P377,5)="AVISO",T377&lt;&gt;"Presentado",ISNUMBER(Q377)),Q377,"")</f>
        <v/>
      </c>
      <c r="AU377" s="27" t="n">
        <f aca="false">IF(AND(D377="XVI - Activos virtuales (PSAV): operación de intercambio/transferencia",M377="Sí",ISNUMBER(AE377)),IF(AK377&gt;=AE377,1,0),0)</f>
        <v>0</v>
      </c>
      <c r="AV377" s="30" t="n">
        <f aca="false">IF(NOT(ISNUMBER(B377)),CONFIG!$B$4,IFERROR(INDEX(CONFIG!$I$5:$I$14,MATCH(IF(MONTH(B377)=1,YEAR(B377)-1,YEAR(B377)),CONFIG!$H$5:$H$14,0)),CONFIG!$B$4))</f>
        <v>117.31</v>
      </c>
      <c r="AW377" s="27" t="n">
        <f aca="false">IF(AND(LEFT(D377,4)="I - ",ISNUMBER(B377),C377&lt;&gt;""),SUMIFS($E$6:$E$505,$C$6:$C$505,C377,$D$6:$D$505,D377,$B$6:$B$505,"&gt;"&amp;(B377-1),$B$6:$B$505,"&lt;="&amp;B377),0)</f>
        <v>0</v>
      </c>
      <c r="AX377" s="0" t="str">
        <f aca="false">IF(E377="","",IF(AD377="Siempre","AVISO (siempre)",IF(AD377="No aplica","Sin Aviso (sólo preparas: Ley 17 XI)",IF(NOT(ISNUMBER(AE377)),"",IF(AA377&lt;&gt;"ACUMULA",IF(E377&gt;=AE377,IF(AND(D377="XVI - Activos virtuales (PSAV): cobro de contraprestación (comisión) por el servicio",COUNTIFS($C$6:$C$505,C377,$B$6:$B$505,"&gt;="&amp;INT(B377),$B$6:$B$505,"&lt;"&amp;(INT(B377)+1),$AU$6:$AU$505,1)&gt;0),"En el Aviso del inciso a) (R 31 Bis)","AVISO"),"—"),IF(M377&lt;&gt;"Sí","—",IF(AK377&gt;=AE377,IF(AK377=E377,"AVISO","AVISO (acumulado)"),"Acumulando")))))))</f>
        <v/>
      </c>
    </row>
    <row r="378" customFormat="false" ht="15" hidden="false" customHeight="false" outlineLevel="0" collapsed="false">
      <c r="A378" s="9" t="str">
        <f aca="false">IF(E378="","",ROW()-5)</f>
        <v/>
      </c>
      <c r="B378" s="20"/>
      <c r="C378" s="21"/>
      <c r="D378" s="21"/>
      <c r="E378" s="22"/>
      <c r="F378" s="22"/>
      <c r="G378" s="21"/>
      <c r="H378" s="21"/>
      <c r="I378" s="9" t="str">
        <f aca="false">IF(C378="","",IFERROR(INDEX(CLIENTES!$B$6:$B$305,MATCH(C378,CLIENTES!$A$6:$A$305,0)),"⚠ ID no registrado"))</f>
        <v/>
      </c>
      <c r="J378" s="9" t="str">
        <f aca="false">IF(C378="","",IFERROR(INDEX(CLIENTES!$Z$6:$Z$305,MATCH(C378,CLIENTES!$A$6:$A$305,0)),""))</f>
        <v/>
      </c>
      <c r="K378" s="9" t="str">
        <f aca="false">IF(E378="","",IF(AB378="Siempre","Sí",IF(ISNUMBER(AC378),IF(E378&gt;=AC378,"Sí",IF(AW378&gt;=AC378,"Sí (serie 24 h)","No")),"")))</f>
        <v/>
      </c>
      <c r="L378" s="9" t="str">
        <f aca="false">IF(E378="","",AA378)</f>
        <v/>
      </c>
      <c r="M378" s="9" t="str">
        <f aca="false">IF(E378="","",IF(AA378&lt;&gt;"ACUMULA","No aplica",IF(LEFT(K378,2)="Sí","Sí","No")))</f>
        <v/>
      </c>
      <c r="N378" s="23" t="str">
        <f aca="false">IF(M378="Sí",AJ378,"")</f>
        <v/>
      </c>
      <c r="O378" s="24" t="str">
        <f aca="false">IF(M378="Sí",AK378,"")</f>
        <v/>
      </c>
      <c r="P378" s="25" t="str">
        <f aca="false">IF(AND(LEFT(D378,6)="XIV - ",LEFT(AX378,5)="AVISO"),"Pedimento (R 16): no va al SPPLD",AX378)</f>
        <v/>
      </c>
      <c r="Q378" s="23" t="str">
        <f aca="false">IF(LEFT(P378,5)="AVISO",IF(ISNUMBER(B378),DATE(YEAR(B378),MONTH(B378)+1,17),"Falta fecha"),"")</f>
        <v/>
      </c>
      <c r="R378" s="9" t="str">
        <f aca="false">IF(OR(F378="",F378=0),"",IF(ISNUMBER(AG378),IF(F378&gt;=AG378,"PROHIBIDO","Dentro del límite"),"No aplica"))</f>
        <v/>
      </c>
      <c r="S378" s="26" t="str">
        <f aca="false">IF(E378="","",MID(IF(AQ378=1," · Excede el perfil declarado","")&amp;IF(H378="Sí"," · Paga un tercero","")&amp;IF(J378="Alto"," · Cliente de riesgo alto: DDR (RCG 23 Ter 3 y 4)","")&amp;IF(AND(AS378&lt;&gt;"",AS378&lt;&gt;"No",AS378&lt;&gt;0)," · PEP","")&amp;IF(R378="PROHIBIDO"," · Efectivo prohibido: no lo recibas (Art. 32)","")&amp;IF(AR378=1," · ⚠ Fecha fuera de orden","")&amp;IF(LEFT(I378,1)="⚠"," · ⚠ Cliente no registrado","")&amp;IF(D378=""," · ⚠ Falta la actividad","")&amp;IF(AND(LEFT(P378,5)="AVISO",W378="")," · Captura la cifra total con IVA para el Aviso","")&amp;IF(AND(ISNUMBER(W378),W378&lt;E378)," · ⚠ La cifra con IVA es menor que el monto sin IVA",""),4,400))</f>
        <v/>
      </c>
      <c r="T378" s="21"/>
      <c r="U378" s="20"/>
      <c r="V378" s="9" t="str">
        <f aca="false">IF(LEFT(P378,5)&lt;&gt;"AVISO","",IF(T378="Presentado",IF(AND(ISNUMBER(U378),ISNUMBER(Q378),U378&gt;Q378),"Presentado tarde","Presentado"),IF(NOT(ISNUMBER(Q378)),"Falta fecha",IF(Q378&lt;CONFIG!$B$6,"VENCIDO","Vence en "&amp;(Q378-CONFIG!$B$6)&amp;" días"))))</f>
        <v/>
      </c>
      <c r="W378" s="22"/>
      <c r="X378" s="21"/>
      <c r="AA378" s="0" t="str">
        <f aca="false">IF(AM378="","",INDEX(CATÁLOGO!$D$5:$D$39,AM378))</f>
        <v/>
      </c>
      <c r="AB378" s="0" t="str">
        <f aca="false">IF(AM378="","",INDEX(CATÁLOGO!$E$5:$E$39,AM378))</f>
        <v/>
      </c>
      <c r="AC378" s="0" t="str">
        <f aca="false">IF(AB378="","",IF(ISNUMBER(AB378),AB378*AV378,AB378))</f>
        <v/>
      </c>
      <c r="AD378" s="0" t="str">
        <f aca="false">IF(AM378="","",INDEX(CATÁLOGO!$F$5:$F$39,AM378))</f>
        <v/>
      </c>
      <c r="AE378" s="0" t="str">
        <f aca="false">IF(AD378="","",IF(ISNUMBER(AD378),AD378*AV378,AD378))</f>
        <v/>
      </c>
      <c r="AF378" s="0" t="str">
        <f aca="false">IF(AM378="","",INDEX(CATÁLOGO!$G$5:$G$39,AM378))</f>
        <v/>
      </c>
      <c r="AG378" s="0" t="str">
        <f aca="false">IF(AF378="","",IF(ISNUMBER(AF378),AF378*AV378,AF378))</f>
        <v/>
      </c>
      <c r="AH378" s="0" t="str">
        <f aca="false">IF(E378="","",C378&amp;"|"&amp;D378)</f>
        <v/>
      </c>
      <c r="AI378" s="27" t="n">
        <f aca="false">IF(M378&lt;&gt;"Sí",0,SUMPRODUCT(MAX(($AH$5:AH377=AH378)*($M$5:M377="Sí")*ROW($AH$5:AH377))))</f>
        <v>0</v>
      </c>
      <c r="AJ378" s="0" t="str">
        <f aca="false">IF(M378&lt;&gt;"Sí","",IF(AL378=1,B378,INDEX($AJ:$AJ,AI378)))</f>
        <v/>
      </c>
      <c r="AK378" s="0" t="str">
        <f aca="false">IF(M378&lt;&gt;"Sí","",IF(AL378=1,E378,INDEX($AK:$AK,AI378)+E378))</f>
        <v/>
      </c>
      <c r="AL378" s="0" t="str">
        <f aca="false">IF(M378&lt;&gt;"Sí","",IF(AI378=0,1,IF(INDEX($AN:$AN,AI378)=0,1,IF(B378&gt;=EDATE(INDEX($AJ:$AJ,AI378),6),1,0))))</f>
        <v/>
      </c>
      <c r="AM378" s="0" t="str">
        <f aca="false">IF(D378="","",IFERROR(MATCH(D378,CATÁLOGO!$C$5:$C$39,0),""))</f>
        <v/>
      </c>
      <c r="AN378" s="0" t="str">
        <f aca="false">IF(M378&lt;&gt;"Sí","",IF(AND(ISNUMBER(AE378),AK378&gt;=AE378),0,1))</f>
        <v/>
      </c>
      <c r="AO378" s="0" t="str">
        <f aca="false">IF(OR(E378="",C378="",NOT(ISNUMBER(B378))),"",SUMIFS($E$6:$E$505,$C$6:$C$505,C378,$B$6:$B$505,"&gt;="&amp;DATE(YEAR(B378),MONTH(B378),1),$B$6:$B$505,"&lt;"&amp;DATE(YEAR(B378),MONTH(B378)+1,1)))</f>
        <v/>
      </c>
      <c r="AP378" s="0" t="str">
        <f aca="false">IF(C378="","",IFERROR(INDEX(CLIENTES!$M$6:$M$305,MATCH(C378,CLIENTES!$A$6:$A$305,0)),""))</f>
        <v/>
      </c>
      <c r="AQ378" s="27" t="n">
        <f aca="false">IF(AND(ISNUMBER(AO378),ISNUMBER(AP378)),IF(AND(AP378&gt;0,AO378&gt;AP378),1,0),0)</f>
        <v>0</v>
      </c>
      <c r="AR378" s="27" t="n">
        <f aca="false">IF(NOT(ISNUMBER(B378)),0,IF(B378&lt;MAX($B$5:B377),1,0))</f>
        <v>0</v>
      </c>
      <c r="AS378" s="0" t="str">
        <f aca="false">IF(C378="","",IFERROR(INDEX(CLIENTES!$H$6:$H$305,MATCH(C378,CLIENTES!$A$6:$A$305,0)),""))</f>
        <v/>
      </c>
      <c r="AT378" s="0" t="str">
        <f aca="false">IF(AND(LEFT(P378,5)="AVISO",T378&lt;&gt;"Presentado",ISNUMBER(Q378)),Q378,"")</f>
        <v/>
      </c>
      <c r="AU378" s="27" t="n">
        <f aca="false">IF(AND(D378="XVI - Activos virtuales (PSAV): operación de intercambio/transferencia",M378="Sí",ISNUMBER(AE378)),IF(AK378&gt;=AE378,1,0),0)</f>
        <v>0</v>
      </c>
      <c r="AV378" s="30" t="n">
        <f aca="false">IF(NOT(ISNUMBER(B378)),CONFIG!$B$4,IFERROR(INDEX(CONFIG!$I$5:$I$14,MATCH(IF(MONTH(B378)=1,YEAR(B378)-1,YEAR(B378)),CONFIG!$H$5:$H$14,0)),CONFIG!$B$4))</f>
        <v>117.31</v>
      </c>
      <c r="AW378" s="27" t="n">
        <f aca="false">IF(AND(LEFT(D378,4)="I - ",ISNUMBER(B378),C378&lt;&gt;""),SUMIFS($E$6:$E$505,$C$6:$C$505,C378,$D$6:$D$505,D378,$B$6:$B$505,"&gt;"&amp;(B378-1),$B$6:$B$505,"&lt;="&amp;B378),0)</f>
        <v>0</v>
      </c>
      <c r="AX378" s="0" t="str">
        <f aca="false">IF(E378="","",IF(AD378="Siempre","AVISO (siempre)",IF(AD378="No aplica","Sin Aviso (sólo preparas: Ley 17 XI)",IF(NOT(ISNUMBER(AE378)),"",IF(AA378&lt;&gt;"ACUMULA",IF(E378&gt;=AE378,IF(AND(D378="XVI - Activos virtuales (PSAV): cobro de contraprestación (comisión) por el servicio",COUNTIFS($C$6:$C$505,C378,$B$6:$B$505,"&gt;="&amp;INT(B378),$B$6:$B$505,"&lt;"&amp;(INT(B378)+1),$AU$6:$AU$505,1)&gt;0),"En el Aviso del inciso a) (R 31 Bis)","AVISO"),"—"),IF(M378&lt;&gt;"Sí","—",IF(AK378&gt;=AE378,IF(AK378=E378,"AVISO","AVISO (acumulado)"),"Acumulando")))))))</f>
        <v/>
      </c>
    </row>
    <row r="379" customFormat="false" ht="15" hidden="false" customHeight="false" outlineLevel="0" collapsed="false">
      <c r="A379" s="9" t="str">
        <f aca="false">IF(E379="","",ROW()-5)</f>
        <v/>
      </c>
      <c r="B379" s="20"/>
      <c r="C379" s="21"/>
      <c r="D379" s="21"/>
      <c r="E379" s="22"/>
      <c r="F379" s="22"/>
      <c r="G379" s="21"/>
      <c r="H379" s="21"/>
      <c r="I379" s="9" t="str">
        <f aca="false">IF(C379="","",IFERROR(INDEX(CLIENTES!$B$6:$B$305,MATCH(C379,CLIENTES!$A$6:$A$305,0)),"⚠ ID no registrado"))</f>
        <v/>
      </c>
      <c r="J379" s="9" t="str">
        <f aca="false">IF(C379="","",IFERROR(INDEX(CLIENTES!$Z$6:$Z$305,MATCH(C379,CLIENTES!$A$6:$A$305,0)),""))</f>
        <v/>
      </c>
      <c r="K379" s="9" t="str">
        <f aca="false">IF(E379="","",IF(AB379="Siempre","Sí",IF(ISNUMBER(AC379),IF(E379&gt;=AC379,"Sí",IF(AW379&gt;=AC379,"Sí (serie 24 h)","No")),"")))</f>
        <v/>
      </c>
      <c r="L379" s="9" t="str">
        <f aca="false">IF(E379="","",AA379)</f>
        <v/>
      </c>
      <c r="M379" s="9" t="str">
        <f aca="false">IF(E379="","",IF(AA379&lt;&gt;"ACUMULA","No aplica",IF(LEFT(K379,2)="Sí","Sí","No")))</f>
        <v/>
      </c>
      <c r="N379" s="23" t="str">
        <f aca="false">IF(M379="Sí",AJ379,"")</f>
        <v/>
      </c>
      <c r="O379" s="24" t="str">
        <f aca="false">IF(M379="Sí",AK379,"")</f>
        <v/>
      </c>
      <c r="P379" s="25" t="str">
        <f aca="false">IF(AND(LEFT(D379,6)="XIV - ",LEFT(AX379,5)="AVISO"),"Pedimento (R 16): no va al SPPLD",AX379)</f>
        <v/>
      </c>
      <c r="Q379" s="23" t="str">
        <f aca="false">IF(LEFT(P379,5)="AVISO",IF(ISNUMBER(B379),DATE(YEAR(B379),MONTH(B379)+1,17),"Falta fecha"),"")</f>
        <v/>
      </c>
      <c r="R379" s="9" t="str">
        <f aca="false">IF(OR(F379="",F379=0),"",IF(ISNUMBER(AG379),IF(F379&gt;=AG379,"PROHIBIDO","Dentro del límite"),"No aplica"))</f>
        <v/>
      </c>
      <c r="S379" s="26" t="str">
        <f aca="false">IF(E379="","",MID(IF(AQ379=1," · Excede el perfil declarado","")&amp;IF(H379="Sí"," · Paga un tercero","")&amp;IF(J379="Alto"," · Cliente de riesgo alto: DDR (RCG 23 Ter 3 y 4)","")&amp;IF(AND(AS379&lt;&gt;"",AS379&lt;&gt;"No",AS379&lt;&gt;0)," · PEP","")&amp;IF(R379="PROHIBIDO"," · Efectivo prohibido: no lo recibas (Art. 32)","")&amp;IF(AR379=1," · ⚠ Fecha fuera de orden","")&amp;IF(LEFT(I379,1)="⚠"," · ⚠ Cliente no registrado","")&amp;IF(D379=""," · ⚠ Falta la actividad","")&amp;IF(AND(LEFT(P379,5)="AVISO",W379="")," · Captura la cifra total con IVA para el Aviso","")&amp;IF(AND(ISNUMBER(W379),W379&lt;E379)," · ⚠ La cifra con IVA es menor que el monto sin IVA",""),4,400))</f>
        <v/>
      </c>
      <c r="T379" s="21"/>
      <c r="U379" s="20"/>
      <c r="V379" s="9" t="str">
        <f aca="false">IF(LEFT(P379,5)&lt;&gt;"AVISO","",IF(T379="Presentado",IF(AND(ISNUMBER(U379),ISNUMBER(Q379),U379&gt;Q379),"Presentado tarde","Presentado"),IF(NOT(ISNUMBER(Q379)),"Falta fecha",IF(Q379&lt;CONFIG!$B$6,"VENCIDO","Vence en "&amp;(Q379-CONFIG!$B$6)&amp;" días"))))</f>
        <v/>
      </c>
      <c r="W379" s="22"/>
      <c r="X379" s="21"/>
      <c r="AA379" s="0" t="str">
        <f aca="false">IF(AM379="","",INDEX(CATÁLOGO!$D$5:$D$39,AM379))</f>
        <v/>
      </c>
      <c r="AB379" s="0" t="str">
        <f aca="false">IF(AM379="","",INDEX(CATÁLOGO!$E$5:$E$39,AM379))</f>
        <v/>
      </c>
      <c r="AC379" s="0" t="str">
        <f aca="false">IF(AB379="","",IF(ISNUMBER(AB379),AB379*AV379,AB379))</f>
        <v/>
      </c>
      <c r="AD379" s="0" t="str">
        <f aca="false">IF(AM379="","",INDEX(CATÁLOGO!$F$5:$F$39,AM379))</f>
        <v/>
      </c>
      <c r="AE379" s="0" t="str">
        <f aca="false">IF(AD379="","",IF(ISNUMBER(AD379),AD379*AV379,AD379))</f>
        <v/>
      </c>
      <c r="AF379" s="0" t="str">
        <f aca="false">IF(AM379="","",INDEX(CATÁLOGO!$G$5:$G$39,AM379))</f>
        <v/>
      </c>
      <c r="AG379" s="0" t="str">
        <f aca="false">IF(AF379="","",IF(ISNUMBER(AF379),AF379*AV379,AF379))</f>
        <v/>
      </c>
      <c r="AH379" s="0" t="str">
        <f aca="false">IF(E379="","",C379&amp;"|"&amp;D379)</f>
        <v/>
      </c>
      <c r="AI379" s="27" t="n">
        <f aca="false">IF(M379&lt;&gt;"Sí",0,SUMPRODUCT(MAX(($AH$5:AH378=AH379)*($M$5:M378="Sí")*ROW($AH$5:AH378))))</f>
        <v>0</v>
      </c>
      <c r="AJ379" s="0" t="str">
        <f aca="false">IF(M379&lt;&gt;"Sí","",IF(AL379=1,B379,INDEX($AJ:$AJ,AI379)))</f>
        <v/>
      </c>
      <c r="AK379" s="0" t="str">
        <f aca="false">IF(M379&lt;&gt;"Sí","",IF(AL379=1,E379,INDEX($AK:$AK,AI379)+E379))</f>
        <v/>
      </c>
      <c r="AL379" s="0" t="str">
        <f aca="false">IF(M379&lt;&gt;"Sí","",IF(AI379=0,1,IF(INDEX($AN:$AN,AI379)=0,1,IF(B379&gt;=EDATE(INDEX($AJ:$AJ,AI379),6),1,0))))</f>
        <v/>
      </c>
      <c r="AM379" s="0" t="str">
        <f aca="false">IF(D379="","",IFERROR(MATCH(D379,CATÁLOGO!$C$5:$C$39,0),""))</f>
        <v/>
      </c>
      <c r="AN379" s="0" t="str">
        <f aca="false">IF(M379&lt;&gt;"Sí","",IF(AND(ISNUMBER(AE379),AK379&gt;=AE379),0,1))</f>
        <v/>
      </c>
      <c r="AO379" s="0" t="str">
        <f aca="false">IF(OR(E379="",C379="",NOT(ISNUMBER(B379))),"",SUMIFS($E$6:$E$505,$C$6:$C$505,C379,$B$6:$B$505,"&gt;="&amp;DATE(YEAR(B379),MONTH(B379),1),$B$6:$B$505,"&lt;"&amp;DATE(YEAR(B379),MONTH(B379)+1,1)))</f>
        <v/>
      </c>
      <c r="AP379" s="0" t="str">
        <f aca="false">IF(C379="","",IFERROR(INDEX(CLIENTES!$M$6:$M$305,MATCH(C379,CLIENTES!$A$6:$A$305,0)),""))</f>
        <v/>
      </c>
      <c r="AQ379" s="27" t="n">
        <f aca="false">IF(AND(ISNUMBER(AO379),ISNUMBER(AP379)),IF(AND(AP379&gt;0,AO379&gt;AP379),1,0),0)</f>
        <v>0</v>
      </c>
      <c r="AR379" s="27" t="n">
        <f aca="false">IF(NOT(ISNUMBER(B379)),0,IF(B379&lt;MAX($B$5:B378),1,0))</f>
        <v>0</v>
      </c>
      <c r="AS379" s="0" t="str">
        <f aca="false">IF(C379="","",IFERROR(INDEX(CLIENTES!$H$6:$H$305,MATCH(C379,CLIENTES!$A$6:$A$305,0)),""))</f>
        <v/>
      </c>
      <c r="AT379" s="0" t="str">
        <f aca="false">IF(AND(LEFT(P379,5)="AVISO",T379&lt;&gt;"Presentado",ISNUMBER(Q379)),Q379,"")</f>
        <v/>
      </c>
      <c r="AU379" s="27" t="n">
        <f aca="false">IF(AND(D379="XVI - Activos virtuales (PSAV): operación de intercambio/transferencia",M379="Sí",ISNUMBER(AE379)),IF(AK379&gt;=AE379,1,0),0)</f>
        <v>0</v>
      </c>
      <c r="AV379" s="30" t="n">
        <f aca="false">IF(NOT(ISNUMBER(B379)),CONFIG!$B$4,IFERROR(INDEX(CONFIG!$I$5:$I$14,MATCH(IF(MONTH(B379)=1,YEAR(B379)-1,YEAR(B379)),CONFIG!$H$5:$H$14,0)),CONFIG!$B$4))</f>
        <v>117.31</v>
      </c>
      <c r="AW379" s="27" t="n">
        <f aca="false">IF(AND(LEFT(D379,4)="I - ",ISNUMBER(B379),C379&lt;&gt;""),SUMIFS($E$6:$E$505,$C$6:$C$505,C379,$D$6:$D$505,D379,$B$6:$B$505,"&gt;"&amp;(B379-1),$B$6:$B$505,"&lt;="&amp;B379),0)</f>
        <v>0</v>
      </c>
      <c r="AX379" s="0" t="str">
        <f aca="false">IF(E379="","",IF(AD379="Siempre","AVISO (siempre)",IF(AD379="No aplica","Sin Aviso (sólo preparas: Ley 17 XI)",IF(NOT(ISNUMBER(AE379)),"",IF(AA379&lt;&gt;"ACUMULA",IF(E379&gt;=AE379,IF(AND(D379="XVI - Activos virtuales (PSAV): cobro de contraprestación (comisión) por el servicio",COUNTIFS($C$6:$C$505,C379,$B$6:$B$505,"&gt;="&amp;INT(B379),$B$6:$B$505,"&lt;"&amp;(INT(B379)+1),$AU$6:$AU$505,1)&gt;0),"En el Aviso del inciso a) (R 31 Bis)","AVISO"),"—"),IF(M379&lt;&gt;"Sí","—",IF(AK379&gt;=AE379,IF(AK379=E379,"AVISO","AVISO (acumulado)"),"Acumulando")))))))</f>
        <v/>
      </c>
    </row>
    <row r="380" customFormat="false" ht="15" hidden="false" customHeight="false" outlineLevel="0" collapsed="false">
      <c r="A380" s="9" t="str">
        <f aca="false">IF(E380="","",ROW()-5)</f>
        <v/>
      </c>
      <c r="B380" s="20"/>
      <c r="C380" s="21"/>
      <c r="D380" s="21"/>
      <c r="E380" s="22"/>
      <c r="F380" s="22"/>
      <c r="G380" s="21"/>
      <c r="H380" s="21"/>
      <c r="I380" s="9" t="str">
        <f aca="false">IF(C380="","",IFERROR(INDEX(CLIENTES!$B$6:$B$305,MATCH(C380,CLIENTES!$A$6:$A$305,0)),"⚠ ID no registrado"))</f>
        <v/>
      </c>
      <c r="J380" s="9" t="str">
        <f aca="false">IF(C380="","",IFERROR(INDEX(CLIENTES!$Z$6:$Z$305,MATCH(C380,CLIENTES!$A$6:$A$305,0)),""))</f>
        <v/>
      </c>
      <c r="K380" s="9" t="str">
        <f aca="false">IF(E380="","",IF(AB380="Siempre","Sí",IF(ISNUMBER(AC380),IF(E380&gt;=AC380,"Sí",IF(AW380&gt;=AC380,"Sí (serie 24 h)","No")),"")))</f>
        <v/>
      </c>
      <c r="L380" s="9" t="str">
        <f aca="false">IF(E380="","",AA380)</f>
        <v/>
      </c>
      <c r="M380" s="9" t="str">
        <f aca="false">IF(E380="","",IF(AA380&lt;&gt;"ACUMULA","No aplica",IF(LEFT(K380,2)="Sí","Sí","No")))</f>
        <v/>
      </c>
      <c r="N380" s="23" t="str">
        <f aca="false">IF(M380="Sí",AJ380,"")</f>
        <v/>
      </c>
      <c r="O380" s="24" t="str">
        <f aca="false">IF(M380="Sí",AK380,"")</f>
        <v/>
      </c>
      <c r="P380" s="25" t="str">
        <f aca="false">IF(AND(LEFT(D380,6)="XIV - ",LEFT(AX380,5)="AVISO"),"Pedimento (R 16): no va al SPPLD",AX380)</f>
        <v/>
      </c>
      <c r="Q380" s="23" t="str">
        <f aca="false">IF(LEFT(P380,5)="AVISO",IF(ISNUMBER(B380),DATE(YEAR(B380),MONTH(B380)+1,17),"Falta fecha"),"")</f>
        <v/>
      </c>
      <c r="R380" s="9" t="str">
        <f aca="false">IF(OR(F380="",F380=0),"",IF(ISNUMBER(AG380),IF(F380&gt;=AG380,"PROHIBIDO","Dentro del límite"),"No aplica"))</f>
        <v/>
      </c>
      <c r="S380" s="26" t="str">
        <f aca="false">IF(E380="","",MID(IF(AQ380=1," · Excede el perfil declarado","")&amp;IF(H380="Sí"," · Paga un tercero","")&amp;IF(J380="Alto"," · Cliente de riesgo alto: DDR (RCG 23 Ter 3 y 4)","")&amp;IF(AND(AS380&lt;&gt;"",AS380&lt;&gt;"No",AS380&lt;&gt;0)," · PEP","")&amp;IF(R380="PROHIBIDO"," · Efectivo prohibido: no lo recibas (Art. 32)","")&amp;IF(AR380=1," · ⚠ Fecha fuera de orden","")&amp;IF(LEFT(I380,1)="⚠"," · ⚠ Cliente no registrado","")&amp;IF(D380=""," · ⚠ Falta la actividad","")&amp;IF(AND(LEFT(P380,5)="AVISO",W380="")," · Captura la cifra total con IVA para el Aviso","")&amp;IF(AND(ISNUMBER(W380),W380&lt;E380)," · ⚠ La cifra con IVA es menor que el monto sin IVA",""),4,400))</f>
        <v/>
      </c>
      <c r="T380" s="21"/>
      <c r="U380" s="20"/>
      <c r="V380" s="9" t="str">
        <f aca="false">IF(LEFT(P380,5)&lt;&gt;"AVISO","",IF(T380="Presentado",IF(AND(ISNUMBER(U380),ISNUMBER(Q380),U380&gt;Q380),"Presentado tarde","Presentado"),IF(NOT(ISNUMBER(Q380)),"Falta fecha",IF(Q380&lt;CONFIG!$B$6,"VENCIDO","Vence en "&amp;(Q380-CONFIG!$B$6)&amp;" días"))))</f>
        <v/>
      </c>
      <c r="W380" s="22"/>
      <c r="X380" s="21"/>
      <c r="AA380" s="0" t="str">
        <f aca="false">IF(AM380="","",INDEX(CATÁLOGO!$D$5:$D$39,AM380))</f>
        <v/>
      </c>
      <c r="AB380" s="0" t="str">
        <f aca="false">IF(AM380="","",INDEX(CATÁLOGO!$E$5:$E$39,AM380))</f>
        <v/>
      </c>
      <c r="AC380" s="0" t="str">
        <f aca="false">IF(AB380="","",IF(ISNUMBER(AB380),AB380*AV380,AB380))</f>
        <v/>
      </c>
      <c r="AD380" s="0" t="str">
        <f aca="false">IF(AM380="","",INDEX(CATÁLOGO!$F$5:$F$39,AM380))</f>
        <v/>
      </c>
      <c r="AE380" s="0" t="str">
        <f aca="false">IF(AD380="","",IF(ISNUMBER(AD380),AD380*AV380,AD380))</f>
        <v/>
      </c>
      <c r="AF380" s="0" t="str">
        <f aca="false">IF(AM380="","",INDEX(CATÁLOGO!$G$5:$G$39,AM380))</f>
        <v/>
      </c>
      <c r="AG380" s="0" t="str">
        <f aca="false">IF(AF380="","",IF(ISNUMBER(AF380),AF380*AV380,AF380))</f>
        <v/>
      </c>
      <c r="AH380" s="0" t="str">
        <f aca="false">IF(E380="","",C380&amp;"|"&amp;D380)</f>
        <v/>
      </c>
      <c r="AI380" s="27" t="n">
        <f aca="false">IF(M380&lt;&gt;"Sí",0,SUMPRODUCT(MAX(($AH$5:AH379=AH380)*($M$5:M379="Sí")*ROW($AH$5:AH379))))</f>
        <v>0</v>
      </c>
      <c r="AJ380" s="0" t="str">
        <f aca="false">IF(M380&lt;&gt;"Sí","",IF(AL380=1,B380,INDEX($AJ:$AJ,AI380)))</f>
        <v/>
      </c>
      <c r="AK380" s="0" t="str">
        <f aca="false">IF(M380&lt;&gt;"Sí","",IF(AL380=1,E380,INDEX($AK:$AK,AI380)+E380))</f>
        <v/>
      </c>
      <c r="AL380" s="0" t="str">
        <f aca="false">IF(M380&lt;&gt;"Sí","",IF(AI380=0,1,IF(INDEX($AN:$AN,AI380)=0,1,IF(B380&gt;=EDATE(INDEX($AJ:$AJ,AI380),6),1,0))))</f>
        <v/>
      </c>
      <c r="AM380" s="0" t="str">
        <f aca="false">IF(D380="","",IFERROR(MATCH(D380,CATÁLOGO!$C$5:$C$39,0),""))</f>
        <v/>
      </c>
      <c r="AN380" s="0" t="str">
        <f aca="false">IF(M380&lt;&gt;"Sí","",IF(AND(ISNUMBER(AE380),AK380&gt;=AE380),0,1))</f>
        <v/>
      </c>
      <c r="AO380" s="0" t="str">
        <f aca="false">IF(OR(E380="",C380="",NOT(ISNUMBER(B380))),"",SUMIFS($E$6:$E$505,$C$6:$C$505,C380,$B$6:$B$505,"&gt;="&amp;DATE(YEAR(B380),MONTH(B380),1),$B$6:$B$505,"&lt;"&amp;DATE(YEAR(B380),MONTH(B380)+1,1)))</f>
        <v/>
      </c>
      <c r="AP380" s="0" t="str">
        <f aca="false">IF(C380="","",IFERROR(INDEX(CLIENTES!$M$6:$M$305,MATCH(C380,CLIENTES!$A$6:$A$305,0)),""))</f>
        <v/>
      </c>
      <c r="AQ380" s="27" t="n">
        <f aca="false">IF(AND(ISNUMBER(AO380),ISNUMBER(AP380)),IF(AND(AP380&gt;0,AO380&gt;AP380),1,0),0)</f>
        <v>0</v>
      </c>
      <c r="AR380" s="27" t="n">
        <f aca="false">IF(NOT(ISNUMBER(B380)),0,IF(B380&lt;MAX($B$5:B379),1,0))</f>
        <v>0</v>
      </c>
      <c r="AS380" s="0" t="str">
        <f aca="false">IF(C380="","",IFERROR(INDEX(CLIENTES!$H$6:$H$305,MATCH(C380,CLIENTES!$A$6:$A$305,0)),""))</f>
        <v/>
      </c>
      <c r="AT380" s="0" t="str">
        <f aca="false">IF(AND(LEFT(P380,5)="AVISO",T380&lt;&gt;"Presentado",ISNUMBER(Q380)),Q380,"")</f>
        <v/>
      </c>
      <c r="AU380" s="27" t="n">
        <f aca="false">IF(AND(D380="XVI - Activos virtuales (PSAV): operación de intercambio/transferencia",M380="Sí",ISNUMBER(AE380)),IF(AK380&gt;=AE380,1,0),0)</f>
        <v>0</v>
      </c>
      <c r="AV380" s="30" t="n">
        <f aca="false">IF(NOT(ISNUMBER(B380)),CONFIG!$B$4,IFERROR(INDEX(CONFIG!$I$5:$I$14,MATCH(IF(MONTH(B380)=1,YEAR(B380)-1,YEAR(B380)),CONFIG!$H$5:$H$14,0)),CONFIG!$B$4))</f>
        <v>117.31</v>
      </c>
      <c r="AW380" s="27" t="n">
        <f aca="false">IF(AND(LEFT(D380,4)="I - ",ISNUMBER(B380),C380&lt;&gt;""),SUMIFS($E$6:$E$505,$C$6:$C$505,C380,$D$6:$D$505,D380,$B$6:$B$505,"&gt;"&amp;(B380-1),$B$6:$B$505,"&lt;="&amp;B380),0)</f>
        <v>0</v>
      </c>
      <c r="AX380" s="0" t="str">
        <f aca="false">IF(E380="","",IF(AD380="Siempre","AVISO (siempre)",IF(AD380="No aplica","Sin Aviso (sólo preparas: Ley 17 XI)",IF(NOT(ISNUMBER(AE380)),"",IF(AA380&lt;&gt;"ACUMULA",IF(E380&gt;=AE380,IF(AND(D380="XVI - Activos virtuales (PSAV): cobro de contraprestación (comisión) por el servicio",COUNTIFS($C$6:$C$505,C380,$B$6:$B$505,"&gt;="&amp;INT(B380),$B$6:$B$505,"&lt;"&amp;(INT(B380)+1),$AU$6:$AU$505,1)&gt;0),"En el Aviso del inciso a) (R 31 Bis)","AVISO"),"—"),IF(M380&lt;&gt;"Sí","—",IF(AK380&gt;=AE380,IF(AK380=E380,"AVISO","AVISO (acumulado)"),"Acumulando")))))))</f>
        <v/>
      </c>
    </row>
    <row r="381" customFormat="false" ht="15" hidden="false" customHeight="false" outlineLevel="0" collapsed="false">
      <c r="A381" s="9" t="str">
        <f aca="false">IF(E381="","",ROW()-5)</f>
        <v/>
      </c>
      <c r="B381" s="20"/>
      <c r="C381" s="21"/>
      <c r="D381" s="21"/>
      <c r="E381" s="22"/>
      <c r="F381" s="22"/>
      <c r="G381" s="21"/>
      <c r="H381" s="21"/>
      <c r="I381" s="9" t="str">
        <f aca="false">IF(C381="","",IFERROR(INDEX(CLIENTES!$B$6:$B$305,MATCH(C381,CLIENTES!$A$6:$A$305,0)),"⚠ ID no registrado"))</f>
        <v/>
      </c>
      <c r="J381" s="9" t="str">
        <f aca="false">IF(C381="","",IFERROR(INDEX(CLIENTES!$Z$6:$Z$305,MATCH(C381,CLIENTES!$A$6:$A$305,0)),""))</f>
        <v/>
      </c>
      <c r="K381" s="9" t="str">
        <f aca="false">IF(E381="","",IF(AB381="Siempre","Sí",IF(ISNUMBER(AC381),IF(E381&gt;=AC381,"Sí",IF(AW381&gt;=AC381,"Sí (serie 24 h)","No")),"")))</f>
        <v/>
      </c>
      <c r="L381" s="9" t="str">
        <f aca="false">IF(E381="","",AA381)</f>
        <v/>
      </c>
      <c r="M381" s="9" t="str">
        <f aca="false">IF(E381="","",IF(AA381&lt;&gt;"ACUMULA","No aplica",IF(LEFT(K381,2)="Sí","Sí","No")))</f>
        <v/>
      </c>
      <c r="N381" s="23" t="str">
        <f aca="false">IF(M381="Sí",AJ381,"")</f>
        <v/>
      </c>
      <c r="O381" s="24" t="str">
        <f aca="false">IF(M381="Sí",AK381,"")</f>
        <v/>
      </c>
      <c r="P381" s="25" t="str">
        <f aca="false">IF(AND(LEFT(D381,6)="XIV - ",LEFT(AX381,5)="AVISO"),"Pedimento (R 16): no va al SPPLD",AX381)</f>
        <v/>
      </c>
      <c r="Q381" s="23" t="str">
        <f aca="false">IF(LEFT(P381,5)="AVISO",IF(ISNUMBER(B381),DATE(YEAR(B381),MONTH(B381)+1,17),"Falta fecha"),"")</f>
        <v/>
      </c>
      <c r="R381" s="9" t="str">
        <f aca="false">IF(OR(F381="",F381=0),"",IF(ISNUMBER(AG381),IF(F381&gt;=AG381,"PROHIBIDO","Dentro del límite"),"No aplica"))</f>
        <v/>
      </c>
      <c r="S381" s="26" t="str">
        <f aca="false">IF(E381="","",MID(IF(AQ381=1," · Excede el perfil declarado","")&amp;IF(H381="Sí"," · Paga un tercero","")&amp;IF(J381="Alto"," · Cliente de riesgo alto: DDR (RCG 23 Ter 3 y 4)","")&amp;IF(AND(AS381&lt;&gt;"",AS381&lt;&gt;"No",AS381&lt;&gt;0)," · PEP","")&amp;IF(R381="PROHIBIDO"," · Efectivo prohibido: no lo recibas (Art. 32)","")&amp;IF(AR381=1," · ⚠ Fecha fuera de orden","")&amp;IF(LEFT(I381,1)="⚠"," · ⚠ Cliente no registrado","")&amp;IF(D381=""," · ⚠ Falta la actividad","")&amp;IF(AND(LEFT(P381,5)="AVISO",W381="")," · Captura la cifra total con IVA para el Aviso","")&amp;IF(AND(ISNUMBER(W381),W381&lt;E381)," · ⚠ La cifra con IVA es menor que el monto sin IVA",""),4,400))</f>
        <v/>
      </c>
      <c r="T381" s="21"/>
      <c r="U381" s="20"/>
      <c r="V381" s="9" t="str">
        <f aca="false">IF(LEFT(P381,5)&lt;&gt;"AVISO","",IF(T381="Presentado",IF(AND(ISNUMBER(U381),ISNUMBER(Q381),U381&gt;Q381),"Presentado tarde","Presentado"),IF(NOT(ISNUMBER(Q381)),"Falta fecha",IF(Q381&lt;CONFIG!$B$6,"VENCIDO","Vence en "&amp;(Q381-CONFIG!$B$6)&amp;" días"))))</f>
        <v/>
      </c>
      <c r="W381" s="22"/>
      <c r="X381" s="21"/>
      <c r="AA381" s="0" t="str">
        <f aca="false">IF(AM381="","",INDEX(CATÁLOGO!$D$5:$D$39,AM381))</f>
        <v/>
      </c>
      <c r="AB381" s="0" t="str">
        <f aca="false">IF(AM381="","",INDEX(CATÁLOGO!$E$5:$E$39,AM381))</f>
        <v/>
      </c>
      <c r="AC381" s="0" t="str">
        <f aca="false">IF(AB381="","",IF(ISNUMBER(AB381),AB381*AV381,AB381))</f>
        <v/>
      </c>
      <c r="AD381" s="0" t="str">
        <f aca="false">IF(AM381="","",INDEX(CATÁLOGO!$F$5:$F$39,AM381))</f>
        <v/>
      </c>
      <c r="AE381" s="0" t="str">
        <f aca="false">IF(AD381="","",IF(ISNUMBER(AD381),AD381*AV381,AD381))</f>
        <v/>
      </c>
      <c r="AF381" s="0" t="str">
        <f aca="false">IF(AM381="","",INDEX(CATÁLOGO!$G$5:$G$39,AM381))</f>
        <v/>
      </c>
      <c r="AG381" s="0" t="str">
        <f aca="false">IF(AF381="","",IF(ISNUMBER(AF381),AF381*AV381,AF381))</f>
        <v/>
      </c>
      <c r="AH381" s="0" t="str">
        <f aca="false">IF(E381="","",C381&amp;"|"&amp;D381)</f>
        <v/>
      </c>
      <c r="AI381" s="27" t="n">
        <f aca="false">IF(M381&lt;&gt;"Sí",0,SUMPRODUCT(MAX(($AH$5:AH380=AH381)*($M$5:M380="Sí")*ROW($AH$5:AH380))))</f>
        <v>0</v>
      </c>
      <c r="AJ381" s="0" t="str">
        <f aca="false">IF(M381&lt;&gt;"Sí","",IF(AL381=1,B381,INDEX($AJ:$AJ,AI381)))</f>
        <v/>
      </c>
      <c r="AK381" s="0" t="str">
        <f aca="false">IF(M381&lt;&gt;"Sí","",IF(AL381=1,E381,INDEX($AK:$AK,AI381)+E381))</f>
        <v/>
      </c>
      <c r="AL381" s="0" t="str">
        <f aca="false">IF(M381&lt;&gt;"Sí","",IF(AI381=0,1,IF(INDEX($AN:$AN,AI381)=0,1,IF(B381&gt;=EDATE(INDEX($AJ:$AJ,AI381),6),1,0))))</f>
        <v/>
      </c>
      <c r="AM381" s="0" t="str">
        <f aca="false">IF(D381="","",IFERROR(MATCH(D381,CATÁLOGO!$C$5:$C$39,0),""))</f>
        <v/>
      </c>
      <c r="AN381" s="0" t="str">
        <f aca="false">IF(M381&lt;&gt;"Sí","",IF(AND(ISNUMBER(AE381),AK381&gt;=AE381),0,1))</f>
        <v/>
      </c>
      <c r="AO381" s="0" t="str">
        <f aca="false">IF(OR(E381="",C381="",NOT(ISNUMBER(B381))),"",SUMIFS($E$6:$E$505,$C$6:$C$505,C381,$B$6:$B$505,"&gt;="&amp;DATE(YEAR(B381),MONTH(B381),1),$B$6:$B$505,"&lt;"&amp;DATE(YEAR(B381),MONTH(B381)+1,1)))</f>
        <v/>
      </c>
      <c r="AP381" s="0" t="str">
        <f aca="false">IF(C381="","",IFERROR(INDEX(CLIENTES!$M$6:$M$305,MATCH(C381,CLIENTES!$A$6:$A$305,0)),""))</f>
        <v/>
      </c>
      <c r="AQ381" s="27" t="n">
        <f aca="false">IF(AND(ISNUMBER(AO381),ISNUMBER(AP381)),IF(AND(AP381&gt;0,AO381&gt;AP381),1,0),0)</f>
        <v>0</v>
      </c>
      <c r="AR381" s="27" t="n">
        <f aca="false">IF(NOT(ISNUMBER(B381)),0,IF(B381&lt;MAX($B$5:B380),1,0))</f>
        <v>0</v>
      </c>
      <c r="AS381" s="0" t="str">
        <f aca="false">IF(C381="","",IFERROR(INDEX(CLIENTES!$H$6:$H$305,MATCH(C381,CLIENTES!$A$6:$A$305,0)),""))</f>
        <v/>
      </c>
      <c r="AT381" s="0" t="str">
        <f aca="false">IF(AND(LEFT(P381,5)="AVISO",T381&lt;&gt;"Presentado",ISNUMBER(Q381)),Q381,"")</f>
        <v/>
      </c>
      <c r="AU381" s="27" t="n">
        <f aca="false">IF(AND(D381="XVI - Activos virtuales (PSAV): operación de intercambio/transferencia",M381="Sí",ISNUMBER(AE381)),IF(AK381&gt;=AE381,1,0),0)</f>
        <v>0</v>
      </c>
      <c r="AV381" s="30" t="n">
        <f aca="false">IF(NOT(ISNUMBER(B381)),CONFIG!$B$4,IFERROR(INDEX(CONFIG!$I$5:$I$14,MATCH(IF(MONTH(B381)=1,YEAR(B381)-1,YEAR(B381)),CONFIG!$H$5:$H$14,0)),CONFIG!$B$4))</f>
        <v>117.31</v>
      </c>
      <c r="AW381" s="27" t="n">
        <f aca="false">IF(AND(LEFT(D381,4)="I - ",ISNUMBER(B381),C381&lt;&gt;""),SUMIFS($E$6:$E$505,$C$6:$C$505,C381,$D$6:$D$505,D381,$B$6:$B$505,"&gt;"&amp;(B381-1),$B$6:$B$505,"&lt;="&amp;B381),0)</f>
        <v>0</v>
      </c>
      <c r="AX381" s="0" t="str">
        <f aca="false">IF(E381="","",IF(AD381="Siempre","AVISO (siempre)",IF(AD381="No aplica","Sin Aviso (sólo preparas: Ley 17 XI)",IF(NOT(ISNUMBER(AE381)),"",IF(AA381&lt;&gt;"ACUMULA",IF(E381&gt;=AE381,IF(AND(D381="XVI - Activos virtuales (PSAV): cobro de contraprestación (comisión) por el servicio",COUNTIFS($C$6:$C$505,C381,$B$6:$B$505,"&gt;="&amp;INT(B381),$B$6:$B$505,"&lt;"&amp;(INT(B381)+1),$AU$6:$AU$505,1)&gt;0),"En el Aviso del inciso a) (R 31 Bis)","AVISO"),"—"),IF(M381&lt;&gt;"Sí","—",IF(AK381&gt;=AE381,IF(AK381=E381,"AVISO","AVISO (acumulado)"),"Acumulando")))))))</f>
        <v/>
      </c>
    </row>
    <row r="382" customFormat="false" ht="15" hidden="false" customHeight="false" outlineLevel="0" collapsed="false">
      <c r="A382" s="9" t="str">
        <f aca="false">IF(E382="","",ROW()-5)</f>
        <v/>
      </c>
      <c r="B382" s="20"/>
      <c r="C382" s="21"/>
      <c r="D382" s="21"/>
      <c r="E382" s="22"/>
      <c r="F382" s="22"/>
      <c r="G382" s="21"/>
      <c r="H382" s="21"/>
      <c r="I382" s="9" t="str">
        <f aca="false">IF(C382="","",IFERROR(INDEX(CLIENTES!$B$6:$B$305,MATCH(C382,CLIENTES!$A$6:$A$305,0)),"⚠ ID no registrado"))</f>
        <v/>
      </c>
      <c r="J382" s="9" t="str">
        <f aca="false">IF(C382="","",IFERROR(INDEX(CLIENTES!$Z$6:$Z$305,MATCH(C382,CLIENTES!$A$6:$A$305,0)),""))</f>
        <v/>
      </c>
      <c r="K382" s="9" t="str">
        <f aca="false">IF(E382="","",IF(AB382="Siempre","Sí",IF(ISNUMBER(AC382),IF(E382&gt;=AC382,"Sí",IF(AW382&gt;=AC382,"Sí (serie 24 h)","No")),"")))</f>
        <v/>
      </c>
      <c r="L382" s="9" t="str">
        <f aca="false">IF(E382="","",AA382)</f>
        <v/>
      </c>
      <c r="M382" s="9" t="str">
        <f aca="false">IF(E382="","",IF(AA382&lt;&gt;"ACUMULA","No aplica",IF(LEFT(K382,2)="Sí","Sí","No")))</f>
        <v/>
      </c>
      <c r="N382" s="23" t="str">
        <f aca="false">IF(M382="Sí",AJ382,"")</f>
        <v/>
      </c>
      <c r="O382" s="24" t="str">
        <f aca="false">IF(M382="Sí",AK382,"")</f>
        <v/>
      </c>
      <c r="P382" s="25" t="str">
        <f aca="false">IF(AND(LEFT(D382,6)="XIV - ",LEFT(AX382,5)="AVISO"),"Pedimento (R 16): no va al SPPLD",AX382)</f>
        <v/>
      </c>
      <c r="Q382" s="23" t="str">
        <f aca="false">IF(LEFT(P382,5)="AVISO",IF(ISNUMBER(B382),DATE(YEAR(B382),MONTH(B382)+1,17),"Falta fecha"),"")</f>
        <v/>
      </c>
      <c r="R382" s="9" t="str">
        <f aca="false">IF(OR(F382="",F382=0),"",IF(ISNUMBER(AG382),IF(F382&gt;=AG382,"PROHIBIDO","Dentro del límite"),"No aplica"))</f>
        <v/>
      </c>
      <c r="S382" s="26" t="str">
        <f aca="false">IF(E382="","",MID(IF(AQ382=1," · Excede el perfil declarado","")&amp;IF(H382="Sí"," · Paga un tercero","")&amp;IF(J382="Alto"," · Cliente de riesgo alto: DDR (RCG 23 Ter 3 y 4)","")&amp;IF(AND(AS382&lt;&gt;"",AS382&lt;&gt;"No",AS382&lt;&gt;0)," · PEP","")&amp;IF(R382="PROHIBIDO"," · Efectivo prohibido: no lo recibas (Art. 32)","")&amp;IF(AR382=1," · ⚠ Fecha fuera de orden","")&amp;IF(LEFT(I382,1)="⚠"," · ⚠ Cliente no registrado","")&amp;IF(D382=""," · ⚠ Falta la actividad","")&amp;IF(AND(LEFT(P382,5)="AVISO",W382="")," · Captura la cifra total con IVA para el Aviso","")&amp;IF(AND(ISNUMBER(W382),W382&lt;E382)," · ⚠ La cifra con IVA es menor que el monto sin IVA",""),4,400))</f>
        <v/>
      </c>
      <c r="T382" s="21"/>
      <c r="U382" s="20"/>
      <c r="V382" s="9" t="str">
        <f aca="false">IF(LEFT(P382,5)&lt;&gt;"AVISO","",IF(T382="Presentado",IF(AND(ISNUMBER(U382),ISNUMBER(Q382),U382&gt;Q382),"Presentado tarde","Presentado"),IF(NOT(ISNUMBER(Q382)),"Falta fecha",IF(Q382&lt;CONFIG!$B$6,"VENCIDO","Vence en "&amp;(Q382-CONFIG!$B$6)&amp;" días"))))</f>
        <v/>
      </c>
      <c r="W382" s="22"/>
      <c r="X382" s="21"/>
      <c r="AA382" s="0" t="str">
        <f aca="false">IF(AM382="","",INDEX(CATÁLOGO!$D$5:$D$39,AM382))</f>
        <v/>
      </c>
      <c r="AB382" s="0" t="str">
        <f aca="false">IF(AM382="","",INDEX(CATÁLOGO!$E$5:$E$39,AM382))</f>
        <v/>
      </c>
      <c r="AC382" s="0" t="str">
        <f aca="false">IF(AB382="","",IF(ISNUMBER(AB382),AB382*AV382,AB382))</f>
        <v/>
      </c>
      <c r="AD382" s="0" t="str">
        <f aca="false">IF(AM382="","",INDEX(CATÁLOGO!$F$5:$F$39,AM382))</f>
        <v/>
      </c>
      <c r="AE382" s="0" t="str">
        <f aca="false">IF(AD382="","",IF(ISNUMBER(AD382),AD382*AV382,AD382))</f>
        <v/>
      </c>
      <c r="AF382" s="0" t="str">
        <f aca="false">IF(AM382="","",INDEX(CATÁLOGO!$G$5:$G$39,AM382))</f>
        <v/>
      </c>
      <c r="AG382" s="0" t="str">
        <f aca="false">IF(AF382="","",IF(ISNUMBER(AF382),AF382*AV382,AF382))</f>
        <v/>
      </c>
      <c r="AH382" s="0" t="str">
        <f aca="false">IF(E382="","",C382&amp;"|"&amp;D382)</f>
        <v/>
      </c>
      <c r="AI382" s="27" t="n">
        <f aca="false">IF(M382&lt;&gt;"Sí",0,SUMPRODUCT(MAX(($AH$5:AH381=AH382)*($M$5:M381="Sí")*ROW($AH$5:AH381))))</f>
        <v>0</v>
      </c>
      <c r="AJ382" s="0" t="str">
        <f aca="false">IF(M382&lt;&gt;"Sí","",IF(AL382=1,B382,INDEX($AJ:$AJ,AI382)))</f>
        <v/>
      </c>
      <c r="AK382" s="0" t="str">
        <f aca="false">IF(M382&lt;&gt;"Sí","",IF(AL382=1,E382,INDEX($AK:$AK,AI382)+E382))</f>
        <v/>
      </c>
      <c r="AL382" s="0" t="str">
        <f aca="false">IF(M382&lt;&gt;"Sí","",IF(AI382=0,1,IF(INDEX($AN:$AN,AI382)=0,1,IF(B382&gt;=EDATE(INDEX($AJ:$AJ,AI382),6),1,0))))</f>
        <v/>
      </c>
      <c r="AM382" s="0" t="str">
        <f aca="false">IF(D382="","",IFERROR(MATCH(D382,CATÁLOGO!$C$5:$C$39,0),""))</f>
        <v/>
      </c>
      <c r="AN382" s="0" t="str">
        <f aca="false">IF(M382&lt;&gt;"Sí","",IF(AND(ISNUMBER(AE382),AK382&gt;=AE382),0,1))</f>
        <v/>
      </c>
      <c r="AO382" s="0" t="str">
        <f aca="false">IF(OR(E382="",C382="",NOT(ISNUMBER(B382))),"",SUMIFS($E$6:$E$505,$C$6:$C$505,C382,$B$6:$B$505,"&gt;="&amp;DATE(YEAR(B382),MONTH(B382),1),$B$6:$B$505,"&lt;"&amp;DATE(YEAR(B382),MONTH(B382)+1,1)))</f>
        <v/>
      </c>
      <c r="AP382" s="0" t="str">
        <f aca="false">IF(C382="","",IFERROR(INDEX(CLIENTES!$M$6:$M$305,MATCH(C382,CLIENTES!$A$6:$A$305,0)),""))</f>
        <v/>
      </c>
      <c r="AQ382" s="27" t="n">
        <f aca="false">IF(AND(ISNUMBER(AO382),ISNUMBER(AP382)),IF(AND(AP382&gt;0,AO382&gt;AP382),1,0),0)</f>
        <v>0</v>
      </c>
      <c r="AR382" s="27" t="n">
        <f aca="false">IF(NOT(ISNUMBER(B382)),0,IF(B382&lt;MAX($B$5:B381),1,0))</f>
        <v>0</v>
      </c>
      <c r="AS382" s="0" t="str">
        <f aca="false">IF(C382="","",IFERROR(INDEX(CLIENTES!$H$6:$H$305,MATCH(C382,CLIENTES!$A$6:$A$305,0)),""))</f>
        <v/>
      </c>
      <c r="AT382" s="0" t="str">
        <f aca="false">IF(AND(LEFT(P382,5)="AVISO",T382&lt;&gt;"Presentado",ISNUMBER(Q382)),Q382,"")</f>
        <v/>
      </c>
      <c r="AU382" s="27" t="n">
        <f aca="false">IF(AND(D382="XVI - Activos virtuales (PSAV): operación de intercambio/transferencia",M382="Sí",ISNUMBER(AE382)),IF(AK382&gt;=AE382,1,0),0)</f>
        <v>0</v>
      </c>
      <c r="AV382" s="30" t="n">
        <f aca="false">IF(NOT(ISNUMBER(B382)),CONFIG!$B$4,IFERROR(INDEX(CONFIG!$I$5:$I$14,MATCH(IF(MONTH(B382)=1,YEAR(B382)-1,YEAR(B382)),CONFIG!$H$5:$H$14,0)),CONFIG!$B$4))</f>
        <v>117.31</v>
      </c>
      <c r="AW382" s="27" t="n">
        <f aca="false">IF(AND(LEFT(D382,4)="I - ",ISNUMBER(B382),C382&lt;&gt;""),SUMIFS($E$6:$E$505,$C$6:$C$505,C382,$D$6:$D$505,D382,$B$6:$B$505,"&gt;"&amp;(B382-1),$B$6:$B$505,"&lt;="&amp;B382),0)</f>
        <v>0</v>
      </c>
      <c r="AX382" s="0" t="str">
        <f aca="false">IF(E382="","",IF(AD382="Siempre","AVISO (siempre)",IF(AD382="No aplica","Sin Aviso (sólo preparas: Ley 17 XI)",IF(NOT(ISNUMBER(AE382)),"",IF(AA382&lt;&gt;"ACUMULA",IF(E382&gt;=AE382,IF(AND(D382="XVI - Activos virtuales (PSAV): cobro de contraprestación (comisión) por el servicio",COUNTIFS($C$6:$C$505,C382,$B$6:$B$505,"&gt;="&amp;INT(B382),$B$6:$B$505,"&lt;"&amp;(INT(B382)+1),$AU$6:$AU$505,1)&gt;0),"En el Aviso del inciso a) (R 31 Bis)","AVISO"),"—"),IF(M382&lt;&gt;"Sí","—",IF(AK382&gt;=AE382,IF(AK382=E382,"AVISO","AVISO (acumulado)"),"Acumulando")))))))</f>
        <v/>
      </c>
    </row>
    <row r="383" customFormat="false" ht="15" hidden="false" customHeight="false" outlineLevel="0" collapsed="false">
      <c r="A383" s="9" t="str">
        <f aca="false">IF(E383="","",ROW()-5)</f>
        <v/>
      </c>
      <c r="B383" s="20"/>
      <c r="C383" s="21"/>
      <c r="D383" s="21"/>
      <c r="E383" s="22"/>
      <c r="F383" s="22"/>
      <c r="G383" s="21"/>
      <c r="H383" s="21"/>
      <c r="I383" s="9" t="str">
        <f aca="false">IF(C383="","",IFERROR(INDEX(CLIENTES!$B$6:$B$305,MATCH(C383,CLIENTES!$A$6:$A$305,0)),"⚠ ID no registrado"))</f>
        <v/>
      </c>
      <c r="J383" s="9" t="str">
        <f aca="false">IF(C383="","",IFERROR(INDEX(CLIENTES!$Z$6:$Z$305,MATCH(C383,CLIENTES!$A$6:$A$305,0)),""))</f>
        <v/>
      </c>
      <c r="K383" s="9" t="str">
        <f aca="false">IF(E383="","",IF(AB383="Siempre","Sí",IF(ISNUMBER(AC383),IF(E383&gt;=AC383,"Sí",IF(AW383&gt;=AC383,"Sí (serie 24 h)","No")),"")))</f>
        <v/>
      </c>
      <c r="L383" s="9" t="str">
        <f aca="false">IF(E383="","",AA383)</f>
        <v/>
      </c>
      <c r="M383" s="9" t="str">
        <f aca="false">IF(E383="","",IF(AA383&lt;&gt;"ACUMULA","No aplica",IF(LEFT(K383,2)="Sí","Sí","No")))</f>
        <v/>
      </c>
      <c r="N383" s="23" t="str">
        <f aca="false">IF(M383="Sí",AJ383,"")</f>
        <v/>
      </c>
      <c r="O383" s="24" t="str">
        <f aca="false">IF(M383="Sí",AK383,"")</f>
        <v/>
      </c>
      <c r="P383" s="25" t="str">
        <f aca="false">IF(AND(LEFT(D383,6)="XIV - ",LEFT(AX383,5)="AVISO"),"Pedimento (R 16): no va al SPPLD",AX383)</f>
        <v/>
      </c>
      <c r="Q383" s="23" t="str">
        <f aca="false">IF(LEFT(P383,5)="AVISO",IF(ISNUMBER(B383),DATE(YEAR(B383),MONTH(B383)+1,17),"Falta fecha"),"")</f>
        <v/>
      </c>
      <c r="R383" s="9" t="str">
        <f aca="false">IF(OR(F383="",F383=0),"",IF(ISNUMBER(AG383),IF(F383&gt;=AG383,"PROHIBIDO","Dentro del límite"),"No aplica"))</f>
        <v/>
      </c>
      <c r="S383" s="26" t="str">
        <f aca="false">IF(E383="","",MID(IF(AQ383=1," · Excede el perfil declarado","")&amp;IF(H383="Sí"," · Paga un tercero","")&amp;IF(J383="Alto"," · Cliente de riesgo alto: DDR (RCG 23 Ter 3 y 4)","")&amp;IF(AND(AS383&lt;&gt;"",AS383&lt;&gt;"No",AS383&lt;&gt;0)," · PEP","")&amp;IF(R383="PROHIBIDO"," · Efectivo prohibido: no lo recibas (Art. 32)","")&amp;IF(AR383=1," · ⚠ Fecha fuera de orden","")&amp;IF(LEFT(I383,1)="⚠"," · ⚠ Cliente no registrado","")&amp;IF(D383=""," · ⚠ Falta la actividad","")&amp;IF(AND(LEFT(P383,5)="AVISO",W383="")," · Captura la cifra total con IVA para el Aviso","")&amp;IF(AND(ISNUMBER(W383),W383&lt;E383)," · ⚠ La cifra con IVA es menor que el monto sin IVA",""),4,400))</f>
        <v/>
      </c>
      <c r="T383" s="21"/>
      <c r="U383" s="20"/>
      <c r="V383" s="9" t="str">
        <f aca="false">IF(LEFT(P383,5)&lt;&gt;"AVISO","",IF(T383="Presentado",IF(AND(ISNUMBER(U383),ISNUMBER(Q383),U383&gt;Q383),"Presentado tarde","Presentado"),IF(NOT(ISNUMBER(Q383)),"Falta fecha",IF(Q383&lt;CONFIG!$B$6,"VENCIDO","Vence en "&amp;(Q383-CONFIG!$B$6)&amp;" días"))))</f>
        <v/>
      </c>
      <c r="W383" s="22"/>
      <c r="X383" s="21"/>
      <c r="AA383" s="0" t="str">
        <f aca="false">IF(AM383="","",INDEX(CATÁLOGO!$D$5:$D$39,AM383))</f>
        <v/>
      </c>
      <c r="AB383" s="0" t="str">
        <f aca="false">IF(AM383="","",INDEX(CATÁLOGO!$E$5:$E$39,AM383))</f>
        <v/>
      </c>
      <c r="AC383" s="0" t="str">
        <f aca="false">IF(AB383="","",IF(ISNUMBER(AB383),AB383*AV383,AB383))</f>
        <v/>
      </c>
      <c r="AD383" s="0" t="str">
        <f aca="false">IF(AM383="","",INDEX(CATÁLOGO!$F$5:$F$39,AM383))</f>
        <v/>
      </c>
      <c r="AE383" s="0" t="str">
        <f aca="false">IF(AD383="","",IF(ISNUMBER(AD383),AD383*AV383,AD383))</f>
        <v/>
      </c>
      <c r="AF383" s="0" t="str">
        <f aca="false">IF(AM383="","",INDEX(CATÁLOGO!$G$5:$G$39,AM383))</f>
        <v/>
      </c>
      <c r="AG383" s="0" t="str">
        <f aca="false">IF(AF383="","",IF(ISNUMBER(AF383),AF383*AV383,AF383))</f>
        <v/>
      </c>
      <c r="AH383" s="0" t="str">
        <f aca="false">IF(E383="","",C383&amp;"|"&amp;D383)</f>
        <v/>
      </c>
      <c r="AI383" s="27" t="n">
        <f aca="false">IF(M383&lt;&gt;"Sí",0,SUMPRODUCT(MAX(($AH$5:AH382=AH383)*($M$5:M382="Sí")*ROW($AH$5:AH382))))</f>
        <v>0</v>
      </c>
      <c r="AJ383" s="0" t="str">
        <f aca="false">IF(M383&lt;&gt;"Sí","",IF(AL383=1,B383,INDEX($AJ:$AJ,AI383)))</f>
        <v/>
      </c>
      <c r="AK383" s="0" t="str">
        <f aca="false">IF(M383&lt;&gt;"Sí","",IF(AL383=1,E383,INDEX($AK:$AK,AI383)+E383))</f>
        <v/>
      </c>
      <c r="AL383" s="0" t="str">
        <f aca="false">IF(M383&lt;&gt;"Sí","",IF(AI383=0,1,IF(INDEX($AN:$AN,AI383)=0,1,IF(B383&gt;=EDATE(INDEX($AJ:$AJ,AI383),6),1,0))))</f>
        <v/>
      </c>
      <c r="AM383" s="0" t="str">
        <f aca="false">IF(D383="","",IFERROR(MATCH(D383,CATÁLOGO!$C$5:$C$39,0),""))</f>
        <v/>
      </c>
      <c r="AN383" s="0" t="str">
        <f aca="false">IF(M383&lt;&gt;"Sí","",IF(AND(ISNUMBER(AE383),AK383&gt;=AE383),0,1))</f>
        <v/>
      </c>
      <c r="AO383" s="0" t="str">
        <f aca="false">IF(OR(E383="",C383="",NOT(ISNUMBER(B383))),"",SUMIFS($E$6:$E$505,$C$6:$C$505,C383,$B$6:$B$505,"&gt;="&amp;DATE(YEAR(B383),MONTH(B383),1),$B$6:$B$505,"&lt;"&amp;DATE(YEAR(B383),MONTH(B383)+1,1)))</f>
        <v/>
      </c>
      <c r="AP383" s="0" t="str">
        <f aca="false">IF(C383="","",IFERROR(INDEX(CLIENTES!$M$6:$M$305,MATCH(C383,CLIENTES!$A$6:$A$305,0)),""))</f>
        <v/>
      </c>
      <c r="AQ383" s="27" t="n">
        <f aca="false">IF(AND(ISNUMBER(AO383),ISNUMBER(AP383)),IF(AND(AP383&gt;0,AO383&gt;AP383),1,0),0)</f>
        <v>0</v>
      </c>
      <c r="AR383" s="27" t="n">
        <f aca="false">IF(NOT(ISNUMBER(B383)),0,IF(B383&lt;MAX($B$5:B382),1,0))</f>
        <v>0</v>
      </c>
      <c r="AS383" s="0" t="str">
        <f aca="false">IF(C383="","",IFERROR(INDEX(CLIENTES!$H$6:$H$305,MATCH(C383,CLIENTES!$A$6:$A$305,0)),""))</f>
        <v/>
      </c>
      <c r="AT383" s="0" t="str">
        <f aca="false">IF(AND(LEFT(P383,5)="AVISO",T383&lt;&gt;"Presentado",ISNUMBER(Q383)),Q383,"")</f>
        <v/>
      </c>
      <c r="AU383" s="27" t="n">
        <f aca="false">IF(AND(D383="XVI - Activos virtuales (PSAV): operación de intercambio/transferencia",M383="Sí",ISNUMBER(AE383)),IF(AK383&gt;=AE383,1,0),0)</f>
        <v>0</v>
      </c>
      <c r="AV383" s="30" t="n">
        <f aca="false">IF(NOT(ISNUMBER(B383)),CONFIG!$B$4,IFERROR(INDEX(CONFIG!$I$5:$I$14,MATCH(IF(MONTH(B383)=1,YEAR(B383)-1,YEAR(B383)),CONFIG!$H$5:$H$14,0)),CONFIG!$B$4))</f>
        <v>117.31</v>
      </c>
      <c r="AW383" s="27" t="n">
        <f aca="false">IF(AND(LEFT(D383,4)="I - ",ISNUMBER(B383),C383&lt;&gt;""),SUMIFS($E$6:$E$505,$C$6:$C$505,C383,$D$6:$D$505,D383,$B$6:$B$505,"&gt;"&amp;(B383-1),$B$6:$B$505,"&lt;="&amp;B383),0)</f>
        <v>0</v>
      </c>
      <c r="AX383" s="0" t="str">
        <f aca="false">IF(E383="","",IF(AD383="Siempre","AVISO (siempre)",IF(AD383="No aplica","Sin Aviso (sólo preparas: Ley 17 XI)",IF(NOT(ISNUMBER(AE383)),"",IF(AA383&lt;&gt;"ACUMULA",IF(E383&gt;=AE383,IF(AND(D383="XVI - Activos virtuales (PSAV): cobro de contraprestación (comisión) por el servicio",COUNTIFS($C$6:$C$505,C383,$B$6:$B$505,"&gt;="&amp;INT(B383),$B$6:$B$505,"&lt;"&amp;(INT(B383)+1),$AU$6:$AU$505,1)&gt;0),"En el Aviso del inciso a) (R 31 Bis)","AVISO"),"—"),IF(M383&lt;&gt;"Sí","—",IF(AK383&gt;=AE383,IF(AK383=E383,"AVISO","AVISO (acumulado)"),"Acumulando")))))))</f>
        <v/>
      </c>
    </row>
    <row r="384" customFormat="false" ht="15" hidden="false" customHeight="false" outlineLevel="0" collapsed="false">
      <c r="A384" s="9" t="str">
        <f aca="false">IF(E384="","",ROW()-5)</f>
        <v/>
      </c>
      <c r="B384" s="20"/>
      <c r="C384" s="21"/>
      <c r="D384" s="21"/>
      <c r="E384" s="22"/>
      <c r="F384" s="22"/>
      <c r="G384" s="21"/>
      <c r="H384" s="21"/>
      <c r="I384" s="9" t="str">
        <f aca="false">IF(C384="","",IFERROR(INDEX(CLIENTES!$B$6:$B$305,MATCH(C384,CLIENTES!$A$6:$A$305,0)),"⚠ ID no registrado"))</f>
        <v/>
      </c>
      <c r="J384" s="9" t="str">
        <f aca="false">IF(C384="","",IFERROR(INDEX(CLIENTES!$Z$6:$Z$305,MATCH(C384,CLIENTES!$A$6:$A$305,0)),""))</f>
        <v/>
      </c>
      <c r="K384" s="9" t="str">
        <f aca="false">IF(E384="","",IF(AB384="Siempre","Sí",IF(ISNUMBER(AC384),IF(E384&gt;=AC384,"Sí",IF(AW384&gt;=AC384,"Sí (serie 24 h)","No")),"")))</f>
        <v/>
      </c>
      <c r="L384" s="9" t="str">
        <f aca="false">IF(E384="","",AA384)</f>
        <v/>
      </c>
      <c r="M384" s="9" t="str">
        <f aca="false">IF(E384="","",IF(AA384&lt;&gt;"ACUMULA","No aplica",IF(LEFT(K384,2)="Sí","Sí","No")))</f>
        <v/>
      </c>
      <c r="N384" s="23" t="str">
        <f aca="false">IF(M384="Sí",AJ384,"")</f>
        <v/>
      </c>
      <c r="O384" s="24" t="str">
        <f aca="false">IF(M384="Sí",AK384,"")</f>
        <v/>
      </c>
      <c r="P384" s="25" t="str">
        <f aca="false">IF(AND(LEFT(D384,6)="XIV - ",LEFT(AX384,5)="AVISO"),"Pedimento (R 16): no va al SPPLD",AX384)</f>
        <v/>
      </c>
      <c r="Q384" s="23" t="str">
        <f aca="false">IF(LEFT(P384,5)="AVISO",IF(ISNUMBER(B384),DATE(YEAR(B384),MONTH(B384)+1,17),"Falta fecha"),"")</f>
        <v/>
      </c>
      <c r="R384" s="9" t="str">
        <f aca="false">IF(OR(F384="",F384=0),"",IF(ISNUMBER(AG384),IF(F384&gt;=AG384,"PROHIBIDO","Dentro del límite"),"No aplica"))</f>
        <v/>
      </c>
      <c r="S384" s="26" t="str">
        <f aca="false">IF(E384="","",MID(IF(AQ384=1," · Excede el perfil declarado","")&amp;IF(H384="Sí"," · Paga un tercero","")&amp;IF(J384="Alto"," · Cliente de riesgo alto: DDR (RCG 23 Ter 3 y 4)","")&amp;IF(AND(AS384&lt;&gt;"",AS384&lt;&gt;"No",AS384&lt;&gt;0)," · PEP","")&amp;IF(R384="PROHIBIDO"," · Efectivo prohibido: no lo recibas (Art. 32)","")&amp;IF(AR384=1," · ⚠ Fecha fuera de orden","")&amp;IF(LEFT(I384,1)="⚠"," · ⚠ Cliente no registrado","")&amp;IF(D384=""," · ⚠ Falta la actividad","")&amp;IF(AND(LEFT(P384,5)="AVISO",W384="")," · Captura la cifra total con IVA para el Aviso","")&amp;IF(AND(ISNUMBER(W384),W384&lt;E384)," · ⚠ La cifra con IVA es menor que el monto sin IVA",""),4,400))</f>
        <v/>
      </c>
      <c r="T384" s="21"/>
      <c r="U384" s="20"/>
      <c r="V384" s="9" t="str">
        <f aca="false">IF(LEFT(P384,5)&lt;&gt;"AVISO","",IF(T384="Presentado",IF(AND(ISNUMBER(U384),ISNUMBER(Q384),U384&gt;Q384),"Presentado tarde","Presentado"),IF(NOT(ISNUMBER(Q384)),"Falta fecha",IF(Q384&lt;CONFIG!$B$6,"VENCIDO","Vence en "&amp;(Q384-CONFIG!$B$6)&amp;" días"))))</f>
        <v/>
      </c>
      <c r="W384" s="22"/>
      <c r="X384" s="21"/>
      <c r="AA384" s="0" t="str">
        <f aca="false">IF(AM384="","",INDEX(CATÁLOGO!$D$5:$D$39,AM384))</f>
        <v/>
      </c>
      <c r="AB384" s="0" t="str">
        <f aca="false">IF(AM384="","",INDEX(CATÁLOGO!$E$5:$E$39,AM384))</f>
        <v/>
      </c>
      <c r="AC384" s="0" t="str">
        <f aca="false">IF(AB384="","",IF(ISNUMBER(AB384),AB384*AV384,AB384))</f>
        <v/>
      </c>
      <c r="AD384" s="0" t="str">
        <f aca="false">IF(AM384="","",INDEX(CATÁLOGO!$F$5:$F$39,AM384))</f>
        <v/>
      </c>
      <c r="AE384" s="0" t="str">
        <f aca="false">IF(AD384="","",IF(ISNUMBER(AD384),AD384*AV384,AD384))</f>
        <v/>
      </c>
      <c r="AF384" s="0" t="str">
        <f aca="false">IF(AM384="","",INDEX(CATÁLOGO!$G$5:$G$39,AM384))</f>
        <v/>
      </c>
      <c r="AG384" s="0" t="str">
        <f aca="false">IF(AF384="","",IF(ISNUMBER(AF384),AF384*AV384,AF384))</f>
        <v/>
      </c>
      <c r="AH384" s="0" t="str">
        <f aca="false">IF(E384="","",C384&amp;"|"&amp;D384)</f>
        <v/>
      </c>
      <c r="AI384" s="27" t="n">
        <f aca="false">IF(M384&lt;&gt;"Sí",0,SUMPRODUCT(MAX(($AH$5:AH383=AH384)*($M$5:M383="Sí")*ROW($AH$5:AH383))))</f>
        <v>0</v>
      </c>
      <c r="AJ384" s="0" t="str">
        <f aca="false">IF(M384&lt;&gt;"Sí","",IF(AL384=1,B384,INDEX($AJ:$AJ,AI384)))</f>
        <v/>
      </c>
      <c r="AK384" s="0" t="str">
        <f aca="false">IF(M384&lt;&gt;"Sí","",IF(AL384=1,E384,INDEX($AK:$AK,AI384)+E384))</f>
        <v/>
      </c>
      <c r="AL384" s="0" t="str">
        <f aca="false">IF(M384&lt;&gt;"Sí","",IF(AI384=0,1,IF(INDEX($AN:$AN,AI384)=0,1,IF(B384&gt;=EDATE(INDEX($AJ:$AJ,AI384),6),1,0))))</f>
        <v/>
      </c>
      <c r="AM384" s="0" t="str">
        <f aca="false">IF(D384="","",IFERROR(MATCH(D384,CATÁLOGO!$C$5:$C$39,0),""))</f>
        <v/>
      </c>
      <c r="AN384" s="0" t="str">
        <f aca="false">IF(M384&lt;&gt;"Sí","",IF(AND(ISNUMBER(AE384),AK384&gt;=AE384),0,1))</f>
        <v/>
      </c>
      <c r="AO384" s="0" t="str">
        <f aca="false">IF(OR(E384="",C384="",NOT(ISNUMBER(B384))),"",SUMIFS($E$6:$E$505,$C$6:$C$505,C384,$B$6:$B$505,"&gt;="&amp;DATE(YEAR(B384),MONTH(B384),1),$B$6:$B$505,"&lt;"&amp;DATE(YEAR(B384),MONTH(B384)+1,1)))</f>
        <v/>
      </c>
      <c r="AP384" s="0" t="str">
        <f aca="false">IF(C384="","",IFERROR(INDEX(CLIENTES!$M$6:$M$305,MATCH(C384,CLIENTES!$A$6:$A$305,0)),""))</f>
        <v/>
      </c>
      <c r="AQ384" s="27" t="n">
        <f aca="false">IF(AND(ISNUMBER(AO384),ISNUMBER(AP384)),IF(AND(AP384&gt;0,AO384&gt;AP384),1,0),0)</f>
        <v>0</v>
      </c>
      <c r="AR384" s="27" t="n">
        <f aca="false">IF(NOT(ISNUMBER(B384)),0,IF(B384&lt;MAX($B$5:B383),1,0))</f>
        <v>0</v>
      </c>
      <c r="AS384" s="0" t="str">
        <f aca="false">IF(C384="","",IFERROR(INDEX(CLIENTES!$H$6:$H$305,MATCH(C384,CLIENTES!$A$6:$A$305,0)),""))</f>
        <v/>
      </c>
      <c r="AT384" s="0" t="str">
        <f aca="false">IF(AND(LEFT(P384,5)="AVISO",T384&lt;&gt;"Presentado",ISNUMBER(Q384)),Q384,"")</f>
        <v/>
      </c>
      <c r="AU384" s="27" t="n">
        <f aca="false">IF(AND(D384="XVI - Activos virtuales (PSAV): operación de intercambio/transferencia",M384="Sí",ISNUMBER(AE384)),IF(AK384&gt;=AE384,1,0),0)</f>
        <v>0</v>
      </c>
      <c r="AV384" s="30" t="n">
        <f aca="false">IF(NOT(ISNUMBER(B384)),CONFIG!$B$4,IFERROR(INDEX(CONFIG!$I$5:$I$14,MATCH(IF(MONTH(B384)=1,YEAR(B384)-1,YEAR(B384)),CONFIG!$H$5:$H$14,0)),CONFIG!$B$4))</f>
        <v>117.31</v>
      </c>
      <c r="AW384" s="27" t="n">
        <f aca="false">IF(AND(LEFT(D384,4)="I - ",ISNUMBER(B384),C384&lt;&gt;""),SUMIFS($E$6:$E$505,$C$6:$C$505,C384,$D$6:$D$505,D384,$B$6:$B$505,"&gt;"&amp;(B384-1),$B$6:$B$505,"&lt;="&amp;B384),0)</f>
        <v>0</v>
      </c>
      <c r="AX384" s="0" t="str">
        <f aca="false">IF(E384="","",IF(AD384="Siempre","AVISO (siempre)",IF(AD384="No aplica","Sin Aviso (sólo preparas: Ley 17 XI)",IF(NOT(ISNUMBER(AE384)),"",IF(AA384&lt;&gt;"ACUMULA",IF(E384&gt;=AE384,IF(AND(D384="XVI - Activos virtuales (PSAV): cobro de contraprestación (comisión) por el servicio",COUNTIFS($C$6:$C$505,C384,$B$6:$B$505,"&gt;="&amp;INT(B384),$B$6:$B$505,"&lt;"&amp;(INT(B384)+1),$AU$6:$AU$505,1)&gt;0),"En el Aviso del inciso a) (R 31 Bis)","AVISO"),"—"),IF(M384&lt;&gt;"Sí","—",IF(AK384&gt;=AE384,IF(AK384=E384,"AVISO","AVISO (acumulado)"),"Acumulando")))))))</f>
        <v/>
      </c>
    </row>
    <row r="385" customFormat="false" ht="15" hidden="false" customHeight="false" outlineLevel="0" collapsed="false">
      <c r="A385" s="9" t="str">
        <f aca="false">IF(E385="","",ROW()-5)</f>
        <v/>
      </c>
      <c r="B385" s="20"/>
      <c r="C385" s="21"/>
      <c r="D385" s="21"/>
      <c r="E385" s="22"/>
      <c r="F385" s="22"/>
      <c r="G385" s="21"/>
      <c r="H385" s="21"/>
      <c r="I385" s="9" t="str">
        <f aca="false">IF(C385="","",IFERROR(INDEX(CLIENTES!$B$6:$B$305,MATCH(C385,CLIENTES!$A$6:$A$305,0)),"⚠ ID no registrado"))</f>
        <v/>
      </c>
      <c r="J385" s="9" t="str">
        <f aca="false">IF(C385="","",IFERROR(INDEX(CLIENTES!$Z$6:$Z$305,MATCH(C385,CLIENTES!$A$6:$A$305,0)),""))</f>
        <v/>
      </c>
      <c r="K385" s="9" t="str">
        <f aca="false">IF(E385="","",IF(AB385="Siempre","Sí",IF(ISNUMBER(AC385),IF(E385&gt;=AC385,"Sí",IF(AW385&gt;=AC385,"Sí (serie 24 h)","No")),"")))</f>
        <v/>
      </c>
      <c r="L385" s="9" t="str">
        <f aca="false">IF(E385="","",AA385)</f>
        <v/>
      </c>
      <c r="M385" s="9" t="str">
        <f aca="false">IF(E385="","",IF(AA385&lt;&gt;"ACUMULA","No aplica",IF(LEFT(K385,2)="Sí","Sí","No")))</f>
        <v/>
      </c>
      <c r="N385" s="23" t="str">
        <f aca="false">IF(M385="Sí",AJ385,"")</f>
        <v/>
      </c>
      <c r="O385" s="24" t="str">
        <f aca="false">IF(M385="Sí",AK385,"")</f>
        <v/>
      </c>
      <c r="P385" s="25" t="str">
        <f aca="false">IF(AND(LEFT(D385,6)="XIV - ",LEFT(AX385,5)="AVISO"),"Pedimento (R 16): no va al SPPLD",AX385)</f>
        <v/>
      </c>
      <c r="Q385" s="23" t="str">
        <f aca="false">IF(LEFT(P385,5)="AVISO",IF(ISNUMBER(B385),DATE(YEAR(B385),MONTH(B385)+1,17),"Falta fecha"),"")</f>
        <v/>
      </c>
      <c r="R385" s="9" t="str">
        <f aca="false">IF(OR(F385="",F385=0),"",IF(ISNUMBER(AG385),IF(F385&gt;=AG385,"PROHIBIDO","Dentro del límite"),"No aplica"))</f>
        <v/>
      </c>
      <c r="S385" s="26" t="str">
        <f aca="false">IF(E385="","",MID(IF(AQ385=1," · Excede el perfil declarado","")&amp;IF(H385="Sí"," · Paga un tercero","")&amp;IF(J385="Alto"," · Cliente de riesgo alto: DDR (RCG 23 Ter 3 y 4)","")&amp;IF(AND(AS385&lt;&gt;"",AS385&lt;&gt;"No",AS385&lt;&gt;0)," · PEP","")&amp;IF(R385="PROHIBIDO"," · Efectivo prohibido: no lo recibas (Art. 32)","")&amp;IF(AR385=1," · ⚠ Fecha fuera de orden","")&amp;IF(LEFT(I385,1)="⚠"," · ⚠ Cliente no registrado","")&amp;IF(D385=""," · ⚠ Falta la actividad","")&amp;IF(AND(LEFT(P385,5)="AVISO",W385="")," · Captura la cifra total con IVA para el Aviso","")&amp;IF(AND(ISNUMBER(W385),W385&lt;E385)," · ⚠ La cifra con IVA es menor que el monto sin IVA",""),4,400))</f>
        <v/>
      </c>
      <c r="T385" s="21"/>
      <c r="U385" s="20"/>
      <c r="V385" s="9" t="str">
        <f aca="false">IF(LEFT(P385,5)&lt;&gt;"AVISO","",IF(T385="Presentado",IF(AND(ISNUMBER(U385),ISNUMBER(Q385),U385&gt;Q385),"Presentado tarde","Presentado"),IF(NOT(ISNUMBER(Q385)),"Falta fecha",IF(Q385&lt;CONFIG!$B$6,"VENCIDO","Vence en "&amp;(Q385-CONFIG!$B$6)&amp;" días"))))</f>
        <v/>
      </c>
      <c r="W385" s="22"/>
      <c r="X385" s="21"/>
      <c r="AA385" s="0" t="str">
        <f aca="false">IF(AM385="","",INDEX(CATÁLOGO!$D$5:$D$39,AM385))</f>
        <v/>
      </c>
      <c r="AB385" s="0" t="str">
        <f aca="false">IF(AM385="","",INDEX(CATÁLOGO!$E$5:$E$39,AM385))</f>
        <v/>
      </c>
      <c r="AC385" s="0" t="str">
        <f aca="false">IF(AB385="","",IF(ISNUMBER(AB385),AB385*AV385,AB385))</f>
        <v/>
      </c>
      <c r="AD385" s="0" t="str">
        <f aca="false">IF(AM385="","",INDEX(CATÁLOGO!$F$5:$F$39,AM385))</f>
        <v/>
      </c>
      <c r="AE385" s="0" t="str">
        <f aca="false">IF(AD385="","",IF(ISNUMBER(AD385),AD385*AV385,AD385))</f>
        <v/>
      </c>
      <c r="AF385" s="0" t="str">
        <f aca="false">IF(AM385="","",INDEX(CATÁLOGO!$G$5:$G$39,AM385))</f>
        <v/>
      </c>
      <c r="AG385" s="0" t="str">
        <f aca="false">IF(AF385="","",IF(ISNUMBER(AF385),AF385*AV385,AF385))</f>
        <v/>
      </c>
      <c r="AH385" s="0" t="str">
        <f aca="false">IF(E385="","",C385&amp;"|"&amp;D385)</f>
        <v/>
      </c>
      <c r="AI385" s="27" t="n">
        <f aca="false">IF(M385&lt;&gt;"Sí",0,SUMPRODUCT(MAX(($AH$5:AH384=AH385)*($M$5:M384="Sí")*ROW($AH$5:AH384))))</f>
        <v>0</v>
      </c>
      <c r="AJ385" s="0" t="str">
        <f aca="false">IF(M385&lt;&gt;"Sí","",IF(AL385=1,B385,INDEX($AJ:$AJ,AI385)))</f>
        <v/>
      </c>
      <c r="AK385" s="0" t="str">
        <f aca="false">IF(M385&lt;&gt;"Sí","",IF(AL385=1,E385,INDEX($AK:$AK,AI385)+E385))</f>
        <v/>
      </c>
      <c r="AL385" s="0" t="str">
        <f aca="false">IF(M385&lt;&gt;"Sí","",IF(AI385=0,1,IF(INDEX($AN:$AN,AI385)=0,1,IF(B385&gt;=EDATE(INDEX($AJ:$AJ,AI385),6),1,0))))</f>
        <v/>
      </c>
      <c r="AM385" s="0" t="str">
        <f aca="false">IF(D385="","",IFERROR(MATCH(D385,CATÁLOGO!$C$5:$C$39,0),""))</f>
        <v/>
      </c>
      <c r="AN385" s="0" t="str">
        <f aca="false">IF(M385&lt;&gt;"Sí","",IF(AND(ISNUMBER(AE385),AK385&gt;=AE385),0,1))</f>
        <v/>
      </c>
      <c r="AO385" s="0" t="str">
        <f aca="false">IF(OR(E385="",C385="",NOT(ISNUMBER(B385))),"",SUMIFS($E$6:$E$505,$C$6:$C$505,C385,$B$6:$B$505,"&gt;="&amp;DATE(YEAR(B385),MONTH(B385),1),$B$6:$B$505,"&lt;"&amp;DATE(YEAR(B385),MONTH(B385)+1,1)))</f>
        <v/>
      </c>
      <c r="AP385" s="0" t="str">
        <f aca="false">IF(C385="","",IFERROR(INDEX(CLIENTES!$M$6:$M$305,MATCH(C385,CLIENTES!$A$6:$A$305,0)),""))</f>
        <v/>
      </c>
      <c r="AQ385" s="27" t="n">
        <f aca="false">IF(AND(ISNUMBER(AO385),ISNUMBER(AP385)),IF(AND(AP385&gt;0,AO385&gt;AP385),1,0),0)</f>
        <v>0</v>
      </c>
      <c r="AR385" s="27" t="n">
        <f aca="false">IF(NOT(ISNUMBER(B385)),0,IF(B385&lt;MAX($B$5:B384),1,0))</f>
        <v>0</v>
      </c>
      <c r="AS385" s="0" t="str">
        <f aca="false">IF(C385="","",IFERROR(INDEX(CLIENTES!$H$6:$H$305,MATCH(C385,CLIENTES!$A$6:$A$305,0)),""))</f>
        <v/>
      </c>
      <c r="AT385" s="0" t="str">
        <f aca="false">IF(AND(LEFT(P385,5)="AVISO",T385&lt;&gt;"Presentado",ISNUMBER(Q385)),Q385,"")</f>
        <v/>
      </c>
      <c r="AU385" s="27" t="n">
        <f aca="false">IF(AND(D385="XVI - Activos virtuales (PSAV): operación de intercambio/transferencia",M385="Sí",ISNUMBER(AE385)),IF(AK385&gt;=AE385,1,0),0)</f>
        <v>0</v>
      </c>
      <c r="AV385" s="30" t="n">
        <f aca="false">IF(NOT(ISNUMBER(B385)),CONFIG!$B$4,IFERROR(INDEX(CONFIG!$I$5:$I$14,MATCH(IF(MONTH(B385)=1,YEAR(B385)-1,YEAR(B385)),CONFIG!$H$5:$H$14,0)),CONFIG!$B$4))</f>
        <v>117.31</v>
      </c>
      <c r="AW385" s="27" t="n">
        <f aca="false">IF(AND(LEFT(D385,4)="I - ",ISNUMBER(B385),C385&lt;&gt;""),SUMIFS($E$6:$E$505,$C$6:$C$505,C385,$D$6:$D$505,D385,$B$6:$B$505,"&gt;"&amp;(B385-1),$B$6:$B$505,"&lt;="&amp;B385),0)</f>
        <v>0</v>
      </c>
      <c r="AX385" s="0" t="str">
        <f aca="false">IF(E385="","",IF(AD385="Siempre","AVISO (siempre)",IF(AD385="No aplica","Sin Aviso (sólo preparas: Ley 17 XI)",IF(NOT(ISNUMBER(AE385)),"",IF(AA385&lt;&gt;"ACUMULA",IF(E385&gt;=AE385,IF(AND(D385="XVI - Activos virtuales (PSAV): cobro de contraprestación (comisión) por el servicio",COUNTIFS($C$6:$C$505,C385,$B$6:$B$505,"&gt;="&amp;INT(B385),$B$6:$B$505,"&lt;"&amp;(INT(B385)+1),$AU$6:$AU$505,1)&gt;0),"En el Aviso del inciso a) (R 31 Bis)","AVISO"),"—"),IF(M385&lt;&gt;"Sí","—",IF(AK385&gt;=AE385,IF(AK385=E385,"AVISO","AVISO (acumulado)"),"Acumulando")))))))</f>
        <v/>
      </c>
    </row>
    <row r="386" customFormat="false" ht="15" hidden="false" customHeight="false" outlineLevel="0" collapsed="false">
      <c r="A386" s="9" t="str">
        <f aca="false">IF(E386="","",ROW()-5)</f>
        <v/>
      </c>
      <c r="B386" s="20"/>
      <c r="C386" s="21"/>
      <c r="D386" s="21"/>
      <c r="E386" s="22"/>
      <c r="F386" s="22"/>
      <c r="G386" s="21"/>
      <c r="H386" s="21"/>
      <c r="I386" s="9" t="str">
        <f aca="false">IF(C386="","",IFERROR(INDEX(CLIENTES!$B$6:$B$305,MATCH(C386,CLIENTES!$A$6:$A$305,0)),"⚠ ID no registrado"))</f>
        <v/>
      </c>
      <c r="J386" s="9" t="str">
        <f aca="false">IF(C386="","",IFERROR(INDEX(CLIENTES!$Z$6:$Z$305,MATCH(C386,CLIENTES!$A$6:$A$305,0)),""))</f>
        <v/>
      </c>
      <c r="K386" s="9" t="str">
        <f aca="false">IF(E386="","",IF(AB386="Siempre","Sí",IF(ISNUMBER(AC386),IF(E386&gt;=AC386,"Sí",IF(AW386&gt;=AC386,"Sí (serie 24 h)","No")),"")))</f>
        <v/>
      </c>
      <c r="L386" s="9" t="str">
        <f aca="false">IF(E386="","",AA386)</f>
        <v/>
      </c>
      <c r="M386" s="9" t="str">
        <f aca="false">IF(E386="","",IF(AA386&lt;&gt;"ACUMULA","No aplica",IF(LEFT(K386,2)="Sí","Sí","No")))</f>
        <v/>
      </c>
      <c r="N386" s="23" t="str">
        <f aca="false">IF(M386="Sí",AJ386,"")</f>
        <v/>
      </c>
      <c r="O386" s="24" t="str">
        <f aca="false">IF(M386="Sí",AK386,"")</f>
        <v/>
      </c>
      <c r="P386" s="25" t="str">
        <f aca="false">IF(AND(LEFT(D386,6)="XIV - ",LEFT(AX386,5)="AVISO"),"Pedimento (R 16): no va al SPPLD",AX386)</f>
        <v/>
      </c>
      <c r="Q386" s="23" t="str">
        <f aca="false">IF(LEFT(P386,5)="AVISO",IF(ISNUMBER(B386),DATE(YEAR(B386),MONTH(B386)+1,17),"Falta fecha"),"")</f>
        <v/>
      </c>
      <c r="R386" s="9" t="str">
        <f aca="false">IF(OR(F386="",F386=0),"",IF(ISNUMBER(AG386),IF(F386&gt;=AG386,"PROHIBIDO","Dentro del límite"),"No aplica"))</f>
        <v/>
      </c>
      <c r="S386" s="26" t="str">
        <f aca="false">IF(E386="","",MID(IF(AQ386=1," · Excede el perfil declarado","")&amp;IF(H386="Sí"," · Paga un tercero","")&amp;IF(J386="Alto"," · Cliente de riesgo alto: DDR (RCG 23 Ter 3 y 4)","")&amp;IF(AND(AS386&lt;&gt;"",AS386&lt;&gt;"No",AS386&lt;&gt;0)," · PEP","")&amp;IF(R386="PROHIBIDO"," · Efectivo prohibido: no lo recibas (Art. 32)","")&amp;IF(AR386=1," · ⚠ Fecha fuera de orden","")&amp;IF(LEFT(I386,1)="⚠"," · ⚠ Cliente no registrado","")&amp;IF(D386=""," · ⚠ Falta la actividad","")&amp;IF(AND(LEFT(P386,5)="AVISO",W386="")," · Captura la cifra total con IVA para el Aviso","")&amp;IF(AND(ISNUMBER(W386),W386&lt;E386)," · ⚠ La cifra con IVA es menor que el monto sin IVA",""),4,400))</f>
        <v/>
      </c>
      <c r="T386" s="21"/>
      <c r="U386" s="20"/>
      <c r="V386" s="9" t="str">
        <f aca="false">IF(LEFT(P386,5)&lt;&gt;"AVISO","",IF(T386="Presentado",IF(AND(ISNUMBER(U386),ISNUMBER(Q386),U386&gt;Q386),"Presentado tarde","Presentado"),IF(NOT(ISNUMBER(Q386)),"Falta fecha",IF(Q386&lt;CONFIG!$B$6,"VENCIDO","Vence en "&amp;(Q386-CONFIG!$B$6)&amp;" días"))))</f>
        <v/>
      </c>
      <c r="W386" s="22"/>
      <c r="X386" s="21"/>
      <c r="AA386" s="0" t="str">
        <f aca="false">IF(AM386="","",INDEX(CATÁLOGO!$D$5:$D$39,AM386))</f>
        <v/>
      </c>
      <c r="AB386" s="0" t="str">
        <f aca="false">IF(AM386="","",INDEX(CATÁLOGO!$E$5:$E$39,AM386))</f>
        <v/>
      </c>
      <c r="AC386" s="0" t="str">
        <f aca="false">IF(AB386="","",IF(ISNUMBER(AB386),AB386*AV386,AB386))</f>
        <v/>
      </c>
      <c r="AD386" s="0" t="str">
        <f aca="false">IF(AM386="","",INDEX(CATÁLOGO!$F$5:$F$39,AM386))</f>
        <v/>
      </c>
      <c r="AE386" s="0" t="str">
        <f aca="false">IF(AD386="","",IF(ISNUMBER(AD386),AD386*AV386,AD386))</f>
        <v/>
      </c>
      <c r="AF386" s="0" t="str">
        <f aca="false">IF(AM386="","",INDEX(CATÁLOGO!$G$5:$G$39,AM386))</f>
        <v/>
      </c>
      <c r="AG386" s="0" t="str">
        <f aca="false">IF(AF386="","",IF(ISNUMBER(AF386),AF386*AV386,AF386))</f>
        <v/>
      </c>
      <c r="AH386" s="0" t="str">
        <f aca="false">IF(E386="","",C386&amp;"|"&amp;D386)</f>
        <v/>
      </c>
      <c r="AI386" s="27" t="n">
        <f aca="false">IF(M386&lt;&gt;"Sí",0,SUMPRODUCT(MAX(($AH$5:AH385=AH386)*($M$5:M385="Sí")*ROW($AH$5:AH385))))</f>
        <v>0</v>
      </c>
      <c r="AJ386" s="0" t="str">
        <f aca="false">IF(M386&lt;&gt;"Sí","",IF(AL386=1,B386,INDEX($AJ:$AJ,AI386)))</f>
        <v/>
      </c>
      <c r="AK386" s="0" t="str">
        <f aca="false">IF(M386&lt;&gt;"Sí","",IF(AL386=1,E386,INDEX($AK:$AK,AI386)+E386))</f>
        <v/>
      </c>
      <c r="AL386" s="0" t="str">
        <f aca="false">IF(M386&lt;&gt;"Sí","",IF(AI386=0,1,IF(INDEX($AN:$AN,AI386)=0,1,IF(B386&gt;=EDATE(INDEX($AJ:$AJ,AI386),6),1,0))))</f>
        <v/>
      </c>
      <c r="AM386" s="0" t="str">
        <f aca="false">IF(D386="","",IFERROR(MATCH(D386,CATÁLOGO!$C$5:$C$39,0),""))</f>
        <v/>
      </c>
      <c r="AN386" s="0" t="str">
        <f aca="false">IF(M386&lt;&gt;"Sí","",IF(AND(ISNUMBER(AE386),AK386&gt;=AE386),0,1))</f>
        <v/>
      </c>
      <c r="AO386" s="0" t="str">
        <f aca="false">IF(OR(E386="",C386="",NOT(ISNUMBER(B386))),"",SUMIFS($E$6:$E$505,$C$6:$C$505,C386,$B$6:$B$505,"&gt;="&amp;DATE(YEAR(B386),MONTH(B386),1),$B$6:$B$505,"&lt;"&amp;DATE(YEAR(B386),MONTH(B386)+1,1)))</f>
        <v/>
      </c>
      <c r="AP386" s="0" t="str">
        <f aca="false">IF(C386="","",IFERROR(INDEX(CLIENTES!$M$6:$M$305,MATCH(C386,CLIENTES!$A$6:$A$305,0)),""))</f>
        <v/>
      </c>
      <c r="AQ386" s="27" t="n">
        <f aca="false">IF(AND(ISNUMBER(AO386),ISNUMBER(AP386)),IF(AND(AP386&gt;0,AO386&gt;AP386),1,0),0)</f>
        <v>0</v>
      </c>
      <c r="AR386" s="27" t="n">
        <f aca="false">IF(NOT(ISNUMBER(B386)),0,IF(B386&lt;MAX($B$5:B385),1,0))</f>
        <v>0</v>
      </c>
      <c r="AS386" s="0" t="str">
        <f aca="false">IF(C386="","",IFERROR(INDEX(CLIENTES!$H$6:$H$305,MATCH(C386,CLIENTES!$A$6:$A$305,0)),""))</f>
        <v/>
      </c>
      <c r="AT386" s="0" t="str">
        <f aca="false">IF(AND(LEFT(P386,5)="AVISO",T386&lt;&gt;"Presentado",ISNUMBER(Q386)),Q386,"")</f>
        <v/>
      </c>
      <c r="AU386" s="27" t="n">
        <f aca="false">IF(AND(D386="XVI - Activos virtuales (PSAV): operación de intercambio/transferencia",M386="Sí",ISNUMBER(AE386)),IF(AK386&gt;=AE386,1,0),0)</f>
        <v>0</v>
      </c>
      <c r="AV386" s="30" t="n">
        <f aca="false">IF(NOT(ISNUMBER(B386)),CONFIG!$B$4,IFERROR(INDEX(CONFIG!$I$5:$I$14,MATCH(IF(MONTH(B386)=1,YEAR(B386)-1,YEAR(B386)),CONFIG!$H$5:$H$14,0)),CONFIG!$B$4))</f>
        <v>117.31</v>
      </c>
      <c r="AW386" s="27" t="n">
        <f aca="false">IF(AND(LEFT(D386,4)="I - ",ISNUMBER(B386),C386&lt;&gt;""),SUMIFS($E$6:$E$505,$C$6:$C$505,C386,$D$6:$D$505,D386,$B$6:$B$505,"&gt;"&amp;(B386-1),$B$6:$B$505,"&lt;="&amp;B386),0)</f>
        <v>0</v>
      </c>
      <c r="AX386" s="0" t="str">
        <f aca="false">IF(E386="","",IF(AD386="Siempre","AVISO (siempre)",IF(AD386="No aplica","Sin Aviso (sólo preparas: Ley 17 XI)",IF(NOT(ISNUMBER(AE386)),"",IF(AA386&lt;&gt;"ACUMULA",IF(E386&gt;=AE386,IF(AND(D386="XVI - Activos virtuales (PSAV): cobro de contraprestación (comisión) por el servicio",COUNTIFS($C$6:$C$505,C386,$B$6:$B$505,"&gt;="&amp;INT(B386),$B$6:$B$505,"&lt;"&amp;(INT(B386)+1),$AU$6:$AU$505,1)&gt;0),"En el Aviso del inciso a) (R 31 Bis)","AVISO"),"—"),IF(M386&lt;&gt;"Sí","—",IF(AK386&gt;=AE386,IF(AK386=E386,"AVISO","AVISO (acumulado)"),"Acumulando")))))))</f>
        <v/>
      </c>
    </row>
    <row r="387" customFormat="false" ht="15" hidden="false" customHeight="false" outlineLevel="0" collapsed="false">
      <c r="A387" s="9" t="str">
        <f aca="false">IF(E387="","",ROW()-5)</f>
        <v/>
      </c>
      <c r="B387" s="20"/>
      <c r="C387" s="21"/>
      <c r="D387" s="21"/>
      <c r="E387" s="22"/>
      <c r="F387" s="22"/>
      <c r="G387" s="21"/>
      <c r="H387" s="21"/>
      <c r="I387" s="9" t="str">
        <f aca="false">IF(C387="","",IFERROR(INDEX(CLIENTES!$B$6:$B$305,MATCH(C387,CLIENTES!$A$6:$A$305,0)),"⚠ ID no registrado"))</f>
        <v/>
      </c>
      <c r="J387" s="9" t="str">
        <f aca="false">IF(C387="","",IFERROR(INDEX(CLIENTES!$Z$6:$Z$305,MATCH(C387,CLIENTES!$A$6:$A$305,0)),""))</f>
        <v/>
      </c>
      <c r="K387" s="9" t="str">
        <f aca="false">IF(E387="","",IF(AB387="Siempre","Sí",IF(ISNUMBER(AC387),IF(E387&gt;=AC387,"Sí",IF(AW387&gt;=AC387,"Sí (serie 24 h)","No")),"")))</f>
        <v/>
      </c>
      <c r="L387" s="9" t="str">
        <f aca="false">IF(E387="","",AA387)</f>
        <v/>
      </c>
      <c r="M387" s="9" t="str">
        <f aca="false">IF(E387="","",IF(AA387&lt;&gt;"ACUMULA","No aplica",IF(LEFT(K387,2)="Sí","Sí","No")))</f>
        <v/>
      </c>
      <c r="N387" s="23" t="str">
        <f aca="false">IF(M387="Sí",AJ387,"")</f>
        <v/>
      </c>
      <c r="O387" s="24" t="str">
        <f aca="false">IF(M387="Sí",AK387,"")</f>
        <v/>
      </c>
      <c r="P387" s="25" t="str">
        <f aca="false">IF(AND(LEFT(D387,6)="XIV - ",LEFT(AX387,5)="AVISO"),"Pedimento (R 16): no va al SPPLD",AX387)</f>
        <v/>
      </c>
      <c r="Q387" s="23" t="str">
        <f aca="false">IF(LEFT(P387,5)="AVISO",IF(ISNUMBER(B387),DATE(YEAR(B387),MONTH(B387)+1,17),"Falta fecha"),"")</f>
        <v/>
      </c>
      <c r="R387" s="9" t="str">
        <f aca="false">IF(OR(F387="",F387=0),"",IF(ISNUMBER(AG387),IF(F387&gt;=AG387,"PROHIBIDO","Dentro del límite"),"No aplica"))</f>
        <v/>
      </c>
      <c r="S387" s="26" t="str">
        <f aca="false">IF(E387="","",MID(IF(AQ387=1," · Excede el perfil declarado","")&amp;IF(H387="Sí"," · Paga un tercero","")&amp;IF(J387="Alto"," · Cliente de riesgo alto: DDR (RCG 23 Ter 3 y 4)","")&amp;IF(AND(AS387&lt;&gt;"",AS387&lt;&gt;"No",AS387&lt;&gt;0)," · PEP","")&amp;IF(R387="PROHIBIDO"," · Efectivo prohibido: no lo recibas (Art. 32)","")&amp;IF(AR387=1," · ⚠ Fecha fuera de orden","")&amp;IF(LEFT(I387,1)="⚠"," · ⚠ Cliente no registrado","")&amp;IF(D387=""," · ⚠ Falta la actividad","")&amp;IF(AND(LEFT(P387,5)="AVISO",W387="")," · Captura la cifra total con IVA para el Aviso","")&amp;IF(AND(ISNUMBER(W387),W387&lt;E387)," · ⚠ La cifra con IVA es menor que el monto sin IVA",""),4,400))</f>
        <v/>
      </c>
      <c r="T387" s="21"/>
      <c r="U387" s="20"/>
      <c r="V387" s="9" t="str">
        <f aca="false">IF(LEFT(P387,5)&lt;&gt;"AVISO","",IF(T387="Presentado",IF(AND(ISNUMBER(U387),ISNUMBER(Q387),U387&gt;Q387),"Presentado tarde","Presentado"),IF(NOT(ISNUMBER(Q387)),"Falta fecha",IF(Q387&lt;CONFIG!$B$6,"VENCIDO","Vence en "&amp;(Q387-CONFIG!$B$6)&amp;" días"))))</f>
        <v/>
      </c>
      <c r="W387" s="22"/>
      <c r="X387" s="21"/>
      <c r="AA387" s="0" t="str">
        <f aca="false">IF(AM387="","",INDEX(CATÁLOGO!$D$5:$D$39,AM387))</f>
        <v/>
      </c>
      <c r="AB387" s="0" t="str">
        <f aca="false">IF(AM387="","",INDEX(CATÁLOGO!$E$5:$E$39,AM387))</f>
        <v/>
      </c>
      <c r="AC387" s="0" t="str">
        <f aca="false">IF(AB387="","",IF(ISNUMBER(AB387),AB387*AV387,AB387))</f>
        <v/>
      </c>
      <c r="AD387" s="0" t="str">
        <f aca="false">IF(AM387="","",INDEX(CATÁLOGO!$F$5:$F$39,AM387))</f>
        <v/>
      </c>
      <c r="AE387" s="0" t="str">
        <f aca="false">IF(AD387="","",IF(ISNUMBER(AD387),AD387*AV387,AD387))</f>
        <v/>
      </c>
      <c r="AF387" s="0" t="str">
        <f aca="false">IF(AM387="","",INDEX(CATÁLOGO!$G$5:$G$39,AM387))</f>
        <v/>
      </c>
      <c r="AG387" s="0" t="str">
        <f aca="false">IF(AF387="","",IF(ISNUMBER(AF387),AF387*AV387,AF387))</f>
        <v/>
      </c>
      <c r="AH387" s="0" t="str">
        <f aca="false">IF(E387="","",C387&amp;"|"&amp;D387)</f>
        <v/>
      </c>
      <c r="AI387" s="27" t="n">
        <f aca="false">IF(M387&lt;&gt;"Sí",0,SUMPRODUCT(MAX(($AH$5:AH386=AH387)*($M$5:M386="Sí")*ROW($AH$5:AH386))))</f>
        <v>0</v>
      </c>
      <c r="AJ387" s="0" t="str">
        <f aca="false">IF(M387&lt;&gt;"Sí","",IF(AL387=1,B387,INDEX($AJ:$AJ,AI387)))</f>
        <v/>
      </c>
      <c r="AK387" s="0" t="str">
        <f aca="false">IF(M387&lt;&gt;"Sí","",IF(AL387=1,E387,INDEX($AK:$AK,AI387)+E387))</f>
        <v/>
      </c>
      <c r="AL387" s="0" t="str">
        <f aca="false">IF(M387&lt;&gt;"Sí","",IF(AI387=0,1,IF(INDEX($AN:$AN,AI387)=0,1,IF(B387&gt;=EDATE(INDEX($AJ:$AJ,AI387),6),1,0))))</f>
        <v/>
      </c>
      <c r="AM387" s="0" t="str">
        <f aca="false">IF(D387="","",IFERROR(MATCH(D387,CATÁLOGO!$C$5:$C$39,0),""))</f>
        <v/>
      </c>
      <c r="AN387" s="0" t="str">
        <f aca="false">IF(M387&lt;&gt;"Sí","",IF(AND(ISNUMBER(AE387),AK387&gt;=AE387),0,1))</f>
        <v/>
      </c>
      <c r="AO387" s="0" t="str">
        <f aca="false">IF(OR(E387="",C387="",NOT(ISNUMBER(B387))),"",SUMIFS($E$6:$E$505,$C$6:$C$505,C387,$B$6:$B$505,"&gt;="&amp;DATE(YEAR(B387),MONTH(B387),1),$B$6:$B$505,"&lt;"&amp;DATE(YEAR(B387),MONTH(B387)+1,1)))</f>
        <v/>
      </c>
      <c r="AP387" s="0" t="str">
        <f aca="false">IF(C387="","",IFERROR(INDEX(CLIENTES!$M$6:$M$305,MATCH(C387,CLIENTES!$A$6:$A$305,0)),""))</f>
        <v/>
      </c>
      <c r="AQ387" s="27" t="n">
        <f aca="false">IF(AND(ISNUMBER(AO387),ISNUMBER(AP387)),IF(AND(AP387&gt;0,AO387&gt;AP387),1,0),0)</f>
        <v>0</v>
      </c>
      <c r="AR387" s="27" t="n">
        <f aca="false">IF(NOT(ISNUMBER(B387)),0,IF(B387&lt;MAX($B$5:B386),1,0))</f>
        <v>0</v>
      </c>
      <c r="AS387" s="0" t="str">
        <f aca="false">IF(C387="","",IFERROR(INDEX(CLIENTES!$H$6:$H$305,MATCH(C387,CLIENTES!$A$6:$A$305,0)),""))</f>
        <v/>
      </c>
      <c r="AT387" s="0" t="str">
        <f aca="false">IF(AND(LEFT(P387,5)="AVISO",T387&lt;&gt;"Presentado",ISNUMBER(Q387)),Q387,"")</f>
        <v/>
      </c>
      <c r="AU387" s="27" t="n">
        <f aca="false">IF(AND(D387="XVI - Activos virtuales (PSAV): operación de intercambio/transferencia",M387="Sí",ISNUMBER(AE387)),IF(AK387&gt;=AE387,1,0),0)</f>
        <v>0</v>
      </c>
      <c r="AV387" s="30" t="n">
        <f aca="false">IF(NOT(ISNUMBER(B387)),CONFIG!$B$4,IFERROR(INDEX(CONFIG!$I$5:$I$14,MATCH(IF(MONTH(B387)=1,YEAR(B387)-1,YEAR(B387)),CONFIG!$H$5:$H$14,0)),CONFIG!$B$4))</f>
        <v>117.31</v>
      </c>
      <c r="AW387" s="27" t="n">
        <f aca="false">IF(AND(LEFT(D387,4)="I - ",ISNUMBER(B387),C387&lt;&gt;""),SUMIFS($E$6:$E$505,$C$6:$C$505,C387,$D$6:$D$505,D387,$B$6:$B$505,"&gt;"&amp;(B387-1),$B$6:$B$505,"&lt;="&amp;B387),0)</f>
        <v>0</v>
      </c>
      <c r="AX387" s="0" t="str">
        <f aca="false">IF(E387="","",IF(AD387="Siempre","AVISO (siempre)",IF(AD387="No aplica","Sin Aviso (sólo preparas: Ley 17 XI)",IF(NOT(ISNUMBER(AE387)),"",IF(AA387&lt;&gt;"ACUMULA",IF(E387&gt;=AE387,IF(AND(D387="XVI - Activos virtuales (PSAV): cobro de contraprestación (comisión) por el servicio",COUNTIFS($C$6:$C$505,C387,$B$6:$B$505,"&gt;="&amp;INT(B387),$B$6:$B$505,"&lt;"&amp;(INT(B387)+1),$AU$6:$AU$505,1)&gt;0),"En el Aviso del inciso a) (R 31 Bis)","AVISO"),"—"),IF(M387&lt;&gt;"Sí","—",IF(AK387&gt;=AE387,IF(AK387=E387,"AVISO","AVISO (acumulado)"),"Acumulando")))))))</f>
        <v/>
      </c>
    </row>
    <row r="388" customFormat="false" ht="15" hidden="false" customHeight="false" outlineLevel="0" collapsed="false">
      <c r="A388" s="9" t="str">
        <f aca="false">IF(E388="","",ROW()-5)</f>
        <v/>
      </c>
      <c r="B388" s="20"/>
      <c r="C388" s="21"/>
      <c r="D388" s="21"/>
      <c r="E388" s="22"/>
      <c r="F388" s="22"/>
      <c r="G388" s="21"/>
      <c r="H388" s="21"/>
      <c r="I388" s="9" t="str">
        <f aca="false">IF(C388="","",IFERROR(INDEX(CLIENTES!$B$6:$B$305,MATCH(C388,CLIENTES!$A$6:$A$305,0)),"⚠ ID no registrado"))</f>
        <v/>
      </c>
      <c r="J388" s="9" t="str">
        <f aca="false">IF(C388="","",IFERROR(INDEX(CLIENTES!$Z$6:$Z$305,MATCH(C388,CLIENTES!$A$6:$A$305,0)),""))</f>
        <v/>
      </c>
      <c r="K388" s="9" t="str">
        <f aca="false">IF(E388="","",IF(AB388="Siempre","Sí",IF(ISNUMBER(AC388),IF(E388&gt;=AC388,"Sí",IF(AW388&gt;=AC388,"Sí (serie 24 h)","No")),"")))</f>
        <v/>
      </c>
      <c r="L388" s="9" t="str">
        <f aca="false">IF(E388="","",AA388)</f>
        <v/>
      </c>
      <c r="M388" s="9" t="str">
        <f aca="false">IF(E388="","",IF(AA388&lt;&gt;"ACUMULA","No aplica",IF(LEFT(K388,2)="Sí","Sí","No")))</f>
        <v/>
      </c>
      <c r="N388" s="23" t="str">
        <f aca="false">IF(M388="Sí",AJ388,"")</f>
        <v/>
      </c>
      <c r="O388" s="24" t="str">
        <f aca="false">IF(M388="Sí",AK388,"")</f>
        <v/>
      </c>
      <c r="P388" s="25" t="str">
        <f aca="false">IF(AND(LEFT(D388,6)="XIV - ",LEFT(AX388,5)="AVISO"),"Pedimento (R 16): no va al SPPLD",AX388)</f>
        <v/>
      </c>
      <c r="Q388" s="23" t="str">
        <f aca="false">IF(LEFT(P388,5)="AVISO",IF(ISNUMBER(B388),DATE(YEAR(B388),MONTH(B388)+1,17),"Falta fecha"),"")</f>
        <v/>
      </c>
      <c r="R388" s="9" t="str">
        <f aca="false">IF(OR(F388="",F388=0),"",IF(ISNUMBER(AG388),IF(F388&gt;=AG388,"PROHIBIDO","Dentro del límite"),"No aplica"))</f>
        <v/>
      </c>
      <c r="S388" s="26" t="str">
        <f aca="false">IF(E388="","",MID(IF(AQ388=1," · Excede el perfil declarado","")&amp;IF(H388="Sí"," · Paga un tercero","")&amp;IF(J388="Alto"," · Cliente de riesgo alto: DDR (RCG 23 Ter 3 y 4)","")&amp;IF(AND(AS388&lt;&gt;"",AS388&lt;&gt;"No",AS388&lt;&gt;0)," · PEP","")&amp;IF(R388="PROHIBIDO"," · Efectivo prohibido: no lo recibas (Art. 32)","")&amp;IF(AR388=1," · ⚠ Fecha fuera de orden","")&amp;IF(LEFT(I388,1)="⚠"," · ⚠ Cliente no registrado","")&amp;IF(D388=""," · ⚠ Falta la actividad","")&amp;IF(AND(LEFT(P388,5)="AVISO",W388="")," · Captura la cifra total con IVA para el Aviso","")&amp;IF(AND(ISNUMBER(W388),W388&lt;E388)," · ⚠ La cifra con IVA es menor que el monto sin IVA",""),4,400))</f>
        <v/>
      </c>
      <c r="T388" s="21"/>
      <c r="U388" s="20"/>
      <c r="V388" s="9" t="str">
        <f aca="false">IF(LEFT(P388,5)&lt;&gt;"AVISO","",IF(T388="Presentado",IF(AND(ISNUMBER(U388),ISNUMBER(Q388),U388&gt;Q388),"Presentado tarde","Presentado"),IF(NOT(ISNUMBER(Q388)),"Falta fecha",IF(Q388&lt;CONFIG!$B$6,"VENCIDO","Vence en "&amp;(Q388-CONFIG!$B$6)&amp;" días"))))</f>
        <v/>
      </c>
      <c r="W388" s="22"/>
      <c r="X388" s="21"/>
      <c r="AA388" s="0" t="str">
        <f aca="false">IF(AM388="","",INDEX(CATÁLOGO!$D$5:$D$39,AM388))</f>
        <v/>
      </c>
      <c r="AB388" s="0" t="str">
        <f aca="false">IF(AM388="","",INDEX(CATÁLOGO!$E$5:$E$39,AM388))</f>
        <v/>
      </c>
      <c r="AC388" s="0" t="str">
        <f aca="false">IF(AB388="","",IF(ISNUMBER(AB388),AB388*AV388,AB388))</f>
        <v/>
      </c>
      <c r="AD388" s="0" t="str">
        <f aca="false">IF(AM388="","",INDEX(CATÁLOGO!$F$5:$F$39,AM388))</f>
        <v/>
      </c>
      <c r="AE388" s="0" t="str">
        <f aca="false">IF(AD388="","",IF(ISNUMBER(AD388),AD388*AV388,AD388))</f>
        <v/>
      </c>
      <c r="AF388" s="0" t="str">
        <f aca="false">IF(AM388="","",INDEX(CATÁLOGO!$G$5:$G$39,AM388))</f>
        <v/>
      </c>
      <c r="AG388" s="0" t="str">
        <f aca="false">IF(AF388="","",IF(ISNUMBER(AF388),AF388*AV388,AF388))</f>
        <v/>
      </c>
      <c r="AH388" s="0" t="str">
        <f aca="false">IF(E388="","",C388&amp;"|"&amp;D388)</f>
        <v/>
      </c>
      <c r="AI388" s="27" t="n">
        <f aca="false">IF(M388&lt;&gt;"Sí",0,SUMPRODUCT(MAX(($AH$5:AH387=AH388)*($M$5:M387="Sí")*ROW($AH$5:AH387))))</f>
        <v>0</v>
      </c>
      <c r="AJ388" s="0" t="str">
        <f aca="false">IF(M388&lt;&gt;"Sí","",IF(AL388=1,B388,INDEX($AJ:$AJ,AI388)))</f>
        <v/>
      </c>
      <c r="AK388" s="0" t="str">
        <f aca="false">IF(M388&lt;&gt;"Sí","",IF(AL388=1,E388,INDEX($AK:$AK,AI388)+E388))</f>
        <v/>
      </c>
      <c r="AL388" s="0" t="str">
        <f aca="false">IF(M388&lt;&gt;"Sí","",IF(AI388=0,1,IF(INDEX($AN:$AN,AI388)=0,1,IF(B388&gt;=EDATE(INDEX($AJ:$AJ,AI388),6),1,0))))</f>
        <v/>
      </c>
      <c r="AM388" s="0" t="str">
        <f aca="false">IF(D388="","",IFERROR(MATCH(D388,CATÁLOGO!$C$5:$C$39,0),""))</f>
        <v/>
      </c>
      <c r="AN388" s="0" t="str">
        <f aca="false">IF(M388&lt;&gt;"Sí","",IF(AND(ISNUMBER(AE388),AK388&gt;=AE388),0,1))</f>
        <v/>
      </c>
      <c r="AO388" s="0" t="str">
        <f aca="false">IF(OR(E388="",C388="",NOT(ISNUMBER(B388))),"",SUMIFS($E$6:$E$505,$C$6:$C$505,C388,$B$6:$B$505,"&gt;="&amp;DATE(YEAR(B388),MONTH(B388),1),$B$6:$B$505,"&lt;"&amp;DATE(YEAR(B388),MONTH(B388)+1,1)))</f>
        <v/>
      </c>
      <c r="AP388" s="0" t="str">
        <f aca="false">IF(C388="","",IFERROR(INDEX(CLIENTES!$M$6:$M$305,MATCH(C388,CLIENTES!$A$6:$A$305,0)),""))</f>
        <v/>
      </c>
      <c r="AQ388" s="27" t="n">
        <f aca="false">IF(AND(ISNUMBER(AO388),ISNUMBER(AP388)),IF(AND(AP388&gt;0,AO388&gt;AP388),1,0),0)</f>
        <v>0</v>
      </c>
      <c r="AR388" s="27" t="n">
        <f aca="false">IF(NOT(ISNUMBER(B388)),0,IF(B388&lt;MAX($B$5:B387),1,0))</f>
        <v>0</v>
      </c>
      <c r="AS388" s="0" t="str">
        <f aca="false">IF(C388="","",IFERROR(INDEX(CLIENTES!$H$6:$H$305,MATCH(C388,CLIENTES!$A$6:$A$305,0)),""))</f>
        <v/>
      </c>
      <c r="AT388" s="0" t="str">
        <f aca="false">IF(AND(LEFT(P388,5)="AVISO",T388&lt;&gt;"Presentado",ISNUMBER(Q388)),Q388,"")</f>
        <v/>
      </c>
      <c r="AU388" s="27" t="n">
        <f aca="false">IF(AND(D388="XVI - Activos virtuales (PSAV): operación de intercambio/transferencia",M388="Sí",ISNUMBER(AE388)),IF(AK388&gt;=AE388,1,0),0)</f>
        <v>0</v>
      </c>
      <c r="AV388" s="30" t="n">
        <f aca="false">IF(NOT(ISNUMBER(B388)),CONFIG!$B$4,IFERROR(INDEX(CONFIG!$I$5:$I$14,MATCH(IF(MONTH(B388)=1,YEAR(B388)-1,YEAR(B388)),CONFIG!$H$5:$H$14,0)),CONFIG!$B$4))</f>
        <v>117.31</v>
      </c>
      <c r="AW388" s="27" t="n">
        <f aca="false">IF(AND(LEFT(D388,4)="I - ",ISNUMBER(B388),C388&lt;&gt;""),SUMIFS($E$6:$E$505,$C$6:$C$505,C388,$D$6:$D$505,D388,$B$6:$B$505,"&gt;"&amp;(B388-1),$B$6:$B$505,"&lt;="&amp;B388),0)</f>
        <v>0</v>
      </c>
      <c r="AX388" s="0" t="str">
        <f aca="false">IF(E388="","",IF(AD388="Siempre","AVISO (siempre)",IF(AD388="No aplica","Sin Aviso (sólo preparas: Ley 17 XI)",IF(NOT(ISNUMBER(AE388)),"",IF(AA388&lt;&gt;"ACUMULA",IF(E388&gt;=AE388,IF(AND(D388="XVI - Activos virtuales (PSAV): cobro de contraprestación (comisión) por el servicio",COUNTIFS($C$6:$C$505,C388,$B$6:$B$505,"&gt;="&amp;INT(B388),$B$6:$B$505,"&lt;"&amp;(INT(B388)+1),$AU$6:$AU$505,1)&gt;0),"En el Aviso del inciso a) (R 31 Bis)","AVISO"),"—"),IF(M388&lt;&gt;"Sí","—",IF(AK388&gt;=AE388,IF(AK388=E388,"AVISO","AVISO (acumulado)"),"Acumulando")))))))</f>
        <v/>
      </c>
    </row>
    <row r="389" customFormat="false" ht="15" hidden="false" customHeight="false" outlineLevel="0" collapsed="false">
      <c r="A389" s="9" t="str">
        <f aca="false">IF(E389="","",ROW()-5)</f>
        <v/>
      </c>
      <c r="B389" s="20"/>
      <c r="C389" s="21"/>
      <c r="D389" s="21"/>
      <c r="E389" s="22"/>
      <c r="F389" s="22"/>
      <c r="G389" s="21"/>
      <c r="H389" s="21"/>
      <c r="I389" s="9" t="str">
        <f aca="false">IF(C389="","",IFERROR(INDEX(CLIENTES!$B$6:$B$305,MATCH(C389,CLIENTES!$A$6:$A$305,0)),"⚠ ID no registrado"))</f>
        <v/>
      </c>
      <c r="J389" s="9" t="str">
        <f aca="false">IF(C389="","",IFERROR(INDEX(CLIENTES!$Z$6:$Z$305,MATCH(C389,CLIENTES!$A$6:$A$305,0)),""))</f>
        <v/>
      </c>
      <c r="K389" s="9" t="str">
        <f aca="false">IF(E389="","",IF(AB389="Siempre","Sí",IF(ISNUMBER(AC389),IF(E389&gt;=AC389,"Sí",IF(AW389&gt;=AC389,"Sí (serie 24 h)","No")),"")))</f>
        <v/>
      </c>
      <c r="L389" s="9" t="str">
        <f aca="false">IF(E389="","",AA389)</f>
        <v/>
      </c>
      <c r="M389" s="9" t="str">
        <f aca="false">IF(E389="","",IF(AA389&lt;&gt;"ACUMULA","No aplica",IF(LEFT(K389,2)="Sí","Sí","No")))</f>
        <v/>
      </c>
      <c r="N389" s="23" t="str">
        <f aca="false">IF(M389="Sí",AJ389,"")</f>
        <v/>
      </c>
      <c r="O389" s="24" t="str">
        <f aca="false">IF(M389="Sí",AK389,"")</f>
        <v/>
      </c>
      <c r="P389" s="25" t="str">
        <f aca="false">IF(AND(LEFT(D389,6)="XIV - ",LEFT(AX389,5)="AVISO"),"Pedimento (R 16): no va al SPPLD",AX389)</f>
        <v/>
      </c>
      <c r="Q389" s="23" t="str">
        <f aca="false">IF(LEFT(P389,5)="AVISO",IF(ISNUMBER(B389),DATE(YEAR(B389),MONTH(B389)+1,17),"Falta fecha"),"")</f>
        <v/>
      </c>
      <c r="R389" s="9" t="str">
        <f aca="false">IF(OR(F389="",F389=0),"",IF(ISNUMBER(AG389),IF(F389&gt;=AG389,"PROHIBIDO","Dentro del límite"),"No aplica"))</f>
        <v/>
      </c>
      <c r="S389" s="26" t="str">
        <f aca="false">IF(E389="","",MID(IF(AQ389=1," · Excede el perfil declarado","")&amp;IF(H389="Sí"," · Paga un tercero","")&amp;IF(J389="Alto"," · Cliente de riesgo alto: DDR (RCG 23 Ter 3 y 4)","")&amp;IF(AND(AS389&lt;&gt;"",AS389&lt;&gt;"No",AS389&lt;&gt;0)," · PEP","")&amp;IF(R389="PROHIBIDO"," · Efectivo prohibido: no lo recibas (Art. 32)","")&amp;IF(AR389=1," · ⚠ Fecha fuera de orden","")&amp;IF(LEFT(I389,1)="⚠"," · ⚠ Cliente no registrado","")&amp;IF(D389=""," · ⚠ Falta la actividad","")&amp;IF(AND(LEFT(P389,5)="AVISO",W389="")," · Captura la cifra total con IVA para el Aviso","")&amp;IF(AND(ISNUMBER(W389),W389&lt;E389)," · ⚠ La cifra con IVA es menor que el monto sin IVA",""),4,400))</f>
        <v/>
      </c>
      <c r="T389" s="21"/>
      <c r="U389" s="20"/>
      <c r="V389" s="9" t="str">
        <f aca="false">IF(LEFT(P389,5)&lt;&gt;"AVISO","",IF(T389="Presentado",IF(AND(ISNUMBER(U389),ISNUMBER(Q389),U389&gt;Q389),"Presentado tarde","Presentado"),IF(NOT(ISNUMBER(Q389)),"Falta fecha",IF(Q389&lt;CONFIG!$B$6,"VENCIDO","Vence en "&amp;(Q389-CONFIG!$B$6)&amp;" días"))))</f>
        <v/>
      </c>
      <c r="W389" s="22"/>
      <c r="X389" s="21"/>
      <c r="AA389" s="0" t="str">
        <f aca="false">IF(AM389="","",INDEX(CATÁLOGO!$D$5:$D$39,AM389))</f>
        <v/>
      </c>
      <c r="AB389" s="0" t="str">
        <f aca="false">IF(AM389="","",INDEX(CATÁLOGO!$E$5:$E$39,AM389))</f>
        <v/>
      </c>
      <c r="AC389" s="0" t="str">
        <f aca="false">IF(AB389="","",IF(ISNUMBER(AB389),AB389*AV389,AB389))</f>
        <v/>
      </c>
      <c r="AD389" s="0" t="str">
        <f aca="false">IF(AM389="","",INDEX(CATÁLOGO!$F$5:$F$39,AM389))</f>
        <v/>
      </c>
      <c r="AE389" s="0" t="str">
        <f aca="false">IF(AD389="","",IF(ISNUMBER(AD389),AD389*AV389,AD389))</f>
        <v/>
      </c>
      <c r="AF389" s="0" t="str">
        <f aca="false">IF(AM389="","",INDEX(CATÁLOGO!$G$5:$G$39,AM389))</f>
        <v/>
      </c>
      <c r="AG389" s="0" t="str">
        <f aca="false">IF(AF389="","",IF(ISNUMBER(AF389),AF389*AV389,AF389))</f>
        <v/>
      </c>
      <c r="AH389" s="0" t="str">
        <f aca="false">IF(E389="","",C389&amp;"|"&amp;D389)</f>
        <v/>
      </c>
      <c r="AI389" s="27" t="n">
        <f aca="false">IF(M389&lt;&gt;"Sí",0,SUMPRODUCT(MAX(($AH$5:AH388=AH389)*($M$5:M388="Sí")*ROW($AH$5:AH388))))</f>
        <v>0</v>
      </c>
      <c r="AJ389" s="0" t="str">
        <f aca="false">IF(M389&lt;&gt;"Sí","",IF(AL389=1,B389,INDEX($AJ:$AJ,AI389)))</f>
        <v/>
      </c>
      <c r="AK389" s="0" t="str">
        <f aca="false">IF(M389&lt;&gt;"Sí","",IF(AL389=1,E389,INDEX($AK:$AK,AI389)+E389))</f>
        <v/>
      </c>
      <c r="AL389" s="0" t="str">
        <f aca="false">IF(M389&lt;&gt;"Sí","",IF(AI389=0,1,IF(INDEX($AN:$AN,AI389)=0,1,IF(B389&gt;=EDATE(INDEX($AJ:$AJ,AI389),6),1,0))))</f>
        <v/>
      </c>
      <c r="AM389" s="0" t="str">
        <f aca="false">IF(D389="","",IFERROR(MATCH(D389,CATÁLOGO!$C$5:$C$39,0),""))</f>
        <v/>
      </c>
      <c r="AN389" s="0" t="str">
        <f aca="false">IF(M389&lt;&gt;"Sí","",IF(AND(ISNUMBER(AE389),AK389&gt;=AE389),0,1))</f>
        <v/>
      </c>
      <c r="AO389" s="0" t="str">
        <f aca="false">IF(OR(E389="",C389="",NOT(ISNUMBER(B389))),"",SUMIFS($E$6:$E$505,$C$6:$C$505,C389,$B$6:$B$505,"&gt;="&amp;DATE(YEAR(B389),MONTH(B389),1),$B$6:$B$505,"&lt;"&amp;DATE(YEAR(B389),MONTH(B389)+1,1)))</f>
        <v/>
      </c>
      <c r="AP389" s="0" t="str">
        <f aca="false">IF(C389="","",IFERROR(INDEX(CLIENTES!$M$6:$M$305,MATCH(C389,CLIENTES!$A$6:$A$305,0)),""))</f>
        <v/>
      </c>
      <c r="AQ389" s="27" t="n">
        <f aca="false">IF(AND(ISNUMBER(AO389),ISNUMBER(AP389)),IF(AND(AP389&gt;0,AO389&gt;AP389),1,0),0)</f>
        <v>0</v>
      </c>
      <c r="AR389" s="27" t="n">
        <f aca="false">IF(NOT(ISNUMBER(B389)),0,IF(B389&lt;MAX($B$5:B388),1,0))</f>
        <v>0</v>
      </c>
      <c r="AS389" s="0" t="str">
        <f aca="false">IF(C389="","",IFERROR(INDEX(CLIENTES!$H$6:$H$305,MATCH(C389,CLIENTES!$A$6:$A$305,0)),""))</f>
        <v/>
      </c>
      <c r="AT389" s="0" t="str">
        <f aca="false">IF(AND(LEFT(P389,5)="AVISO",T389&lt;&gt;"Presentado",ISNUMBER(Q389)),Q389,"")</f>
        <v/>
      </c>
      <c r="AU389" s="27" t="n">
        <f aca="false">IF(AND(D389="XVI - Activos virtuales (PSAV): operación de intercambio/transferencia",M389="Sí",ISNUMBER(AE389)),IF(AK389&gt;=AE389,1,0),0)</f>
        <v>0</v>
      </c>
      <c r="AV389" s="30" t="n">
        <f aca="false">IF(NOT(ISNUMBER(B389)),CONFIG!$B$4,IFERROR(INDEX(CONFIG!$I$5:$I$14,MATCH(IF(MONTH(B389)=1,YEAR(B389)-1,YEAR(B389)),CONFIG!$H$5:$H$14,0)),CONFIG!$B$4))</f>
        <v>117.31</v>
      </c>
      <c r="AW389" s="27" t="n">
        <f aca="false">IF(AND(LEFT(D389,4)="I - ",ISNUMBER(B389),C389&lt;&gt;""),SUMIFS($E$6:$E$505,$C$6:$C$505,C389,$D$6:$D$505,D389,$B$6:$B$505,"&gt;"&amp;(B389-1),$B$6:$B$505,"&lt;="&amp;B389),0)</f>
        <v>0</v>
      </c>
      <c r="AX389" s="0" t="str">
        <f aca="false">IF(E389="","",IF(AD389="Siempre","AVISO (siempre)",IF(AD389="No aplica","Sin Aviso (sólo preparas: Ley 17 XI)",IF(NOT(ISNUMBER(AE389)),"",IF(AA389&lt;&gt;"ACUMULA",IF(E389&gt;=AE389,IF(AND(D389="XVI - Activos virtuales (PSAV): cobro de contraprestación (comisión) por el servicio",COUNTIFS($C$6:$C$505,C389,$B$6:$B$505,"&gt;="&amp;INT(B389),$B$6:$B$505,"&lt;"&amp;(INT(B389)+1),$AU$6:$AU$505,1)&gt;0),"En el Aviso del inciso a) (R 31 Bis)","AVISO"),"—"),IF(M389&lt;&gt;"Sí","—",IF(AK389&gt;=AE389,IF(AK389=E389,"AVISO","AVISO (acumulado)"),"Acumulando")))))))</f>
        <v/>
      </c>
    </row>
    <row r="390" customFormat="false" ht="15" hidden="false" customHeight="false" outlineLevel="0" collapsed="false">
      <c r="A390" s="9" t="str">
        <f aca="false">IF(E390="","",ROW()-5)</f>
        <v/>
      </c>
      <c r="B390" s="20"/>
      <c r="C390" s="21"/>
      <c r="D390" s="21"/>
      <c r="E390" s="22"/>
      <c r="F390" s="22"/>
      <c r="G390" s="21"/>
      <c r="H390" s="21"/>
      <c r="I390" s="9" t="str">
        <f aca="false">IF(C390="","",IFERROR(INDEX(CLIENTES!$B$6:$B$305,MATCH(C390,CLIENTES!$A$6:$A$305,0)),"⚠ ID no registrado"))</f>
        <v/>
      </c>
      <c r="J390" s="9" t="str">
        <f aca="false">IF(C390="","",IFERROR(INDEX(CLIENTES!$Z$6:$Z$305,MATCH(C390,CLIENTES!$A$6:$A$305,0)),""))</f>
        <v/>
      </c>
      <c r="K390" s="9" t="str">
        <f aca="false">IF(E390="","",IF(AB390="Siempre","Sí",IF(ISNUMBER(AC390),IF(E390&gt;=AC390,"Sí",IF(AW390&gt;=AC390,"Sí (serie 24 h)","No")),"")))</f>
        <v/>
      </c>
      <c r="L390" s="9" t="str">
        <f aca="false">IF(E390="","",AA390)</f>
        <v/>
      </c>
      <c r="M390" s="9" t="str">
        <f aca="false">IF(E390="","",IF(AA390&lt;&gt;"ACUMULA","No aplica",IF(LEFT(K390,2)="Sí","Sí","No")))</f>
        <v/>
      </c>
      <c r="N390" s="23" t="str">
        <f aca="false">IF(M390="Sí",AJ390,"")</f>
        <v/>
      </c>
      <c r="O390" s="24" t="str">
        <f aca="false">IF(M390="Sí",AK390,"")</f>
        <v/>
      </c>
      <c r="P390" s="25" t="str">
        <f aca="false">IF(AND(LEFT(D390,6)="XIV - ",LEFT(AX390,5)="AVISO"),"Pedimento (R 16): no va al SPPLD",AX390)</f>
        <v/>
      </c>
      <c r="Q390" s="23" t="str">
        <f aca="false">IF(LEFT(P390,5)="AVISO",IF(ISNUMBER(B390),DATE(YEAR(B390),MONTH(B390)+1,17),"Falta fecha"),"")</f>
        <v/>
      </c>
      <c r="R390" s="9" t="str">
        <f aca="false">IF(OR(F390="",F390=0),"",IF(ISNUMBER(AG390),IF(F390&gt;=AG390,"PROHIBIDO","Dentro del límite"),"No aplica"))</f>
        <v/>
      </c>
      <c r="S390" s="26" t="str">
        <f aca="false">IF(E390="","",MID(IF(AQ390=1," · Excede el perfil declarado","")&amp;IF(H390="Sí"," · Paga un tercero","")&amp;IF(J390="Alto"," · Cliente de riesgo alto: DDR (RCG 23 Ter 3 y 4)","")&amp;IF(AND(AS390&lt;&gt;"",AS390&lt;&gt;"No",AS390&lt;&gt;0)," · PEP","")&amp;IF(R390="PROHIBIDO"," · Efectivo prohibido: no lo recibas (Art. 32)","")&amp;IF(AR390=1," · ⚠ Fecha fuera de orden","")&amp;IF(LEFT(I390,1)="⚠"," · ⚠ Cliente no registrado","")&amp;IF(D390=""," · ⚠ Falta la actividad","")&amp;IF(AND(LEFT(P390,5)="AVISO",W390="")," · Captura la cifra total con IVA para el Aviso","")&amp;IF(AND(ISNUMBER(W390),W390&lt;E390)," · ⚠ La cifra con IVA es menor que el monto sin IVA",""),4,400))</f>
        <v/>
      </c>
      <c r="T390" s="21"/>
      <c r="U390" s="20"/>
      <c r="V390" s="9" t="str">
        <f aca="false">IF(LEFT(P390,5)&lt;&gt;"AVISO","",IF(T390="Presentado",IF(AND(ISNUMBER(U390),ISNUMBER(Q390),U390&gt;Q390),"Presentado tarde","Presentado"),IF(NOT(ISNUMBER(Q390)),"Falta fecha",IF(Q390&lt;CONFIG!$B$6,"VENCIDO","Vence en "&amp;(Q390-CONFIG!$B$6)&amp;" días"))))</f>
        <v/>
      </c>
      <c r="W390" s="22"/>
      <c r="X390" s="21"/>
      <c r="AA390" s="0" t="str">
        <f aca="false">IF(AM390="","",INDEX(CATÁLOGO!$D$5:$D$39,AM390))</f>
        <v/>
      </c>
      <c r="AB390" s="0" t="str">
        <f aca="false">IF(AM390="","",INDEX(CATÁLOGO!$E$5:$E$39,AM390))</f>
        <v/>
      </c>
      <c r="AC390" s="0" t="str">
        <f aca="false">IF(AB390="","",IF(ISNUMBER(AB390),AB390*AV390,AB390))</f>
        <v/>
      </c>
      <c r="AD390" s="0" t="str">
        <f aca="false">IF(AM390="","",INDEX(CATÁLOGO!$F$5:$F$39,AM390))</f>
        <v/>
      </c>
      <c r="AE390" s="0" t="str">
        <f aca="false">IF(AD390="","",IF(ISNUMBER(AD390),AD390*AV390,AD390))</f>
        <v/>
      </c>
      <c r="AF390" s="0" t="str">
        <f aca="false">IF(AM390="","",INDEX(CATÁLOGO!$G$5:$G$39,AM390))</f>
        <v/>
      </c>
      <c r="AG390" s="0" t="str">
        <f aca="false">IF(AF390="","",IF(ISNUMBER(AF390),AF390*AV390,AF390))</f>
        <v/>
      </c>
      <c r="AH390" s="0" t="str">
        <f aca="false">IF(E390="","",C390&amp;"|"&amp;D390)</f>
        <v/>
      </c>
      <c r="AI390" s="27" t="n">
        <f aca="false">IF(M390&lt;&gt;"Sí",0,SUMPRODUCT(MAX(($AH$5:AH389=AH390)*($M$5:M389="Sí")*ROW($AH$5:AH389))))</f>
        <v>0</v>
      </c>
      <c r="AJ390" s="0" t="str">
        <f aca="false">IF(M390&lt;&gt;"Sí","",IF(AL390=1,B390,INDEX($AJ:$AJ,AI390)))</f>
        <v/>
      </c>
      <c r="AK390" s="0" t="str">
        <f aca="false">IF(M390&lt;&gt;"Sí","",IF(AL390=1,E390,INDEX($AK:$AK,AI390)+E390))</f>
        <v/>
      </c>
      <c r="AL390" s="0" t="str">
        <f aca="false">IF(M390&lt;&gt;"Sí","",IF(AI390=0,1,IF(INDEX($AN:$AN,AI390)=0,1,IF(B390&gt;=EDATE(INDEX($AJ:$AJ,AI390),6),1,0))))</f>
        <v/>
      </c>
      <c r="AM390" s="0" t="str">
        <f aca="false">IF(D390="","",IFERROR(MATCH(D390,CATÁLOGO!$C$5:$C$39,0),""))</f>
        <v/>
      </c>
      <c r="AN390" s="0" t="str">
        <f aca="false">IF(M390&lt;&gt;"Sí","",IF(AND(ISNUMBER(AE390),AK390&gt;=AE390),0,1))</f>
        <v/>
      </c>
      <c r="AO390" s="0" t="str">
        <f aca="false">IF(OR(E390="",C390="",NOT(ISNUMBER(B390))),"",SUMIFS($E$6:$E$505,$C$6:$C$505,C390,$B$6:$B$505,"&gt;="&amp;DATE(YEAR(B390),MONTH(B390),1),$B$6:$B$505,"&lt;"&amp;DATE(YEAR(B390),MONTH(B390)+1,1)))</f>
        <v/>
      </c>
      <c r="AP390" s="0" t="str">
        <f aca="false">IF(C390="","",IFERROR(INDEX(CLIENTES!$M$6:$M$305,MATCH(C390,CLIENTES!$A$6:$A$305,0)),""))</f>
        <v/>
      </c>
      <c r="AQ390" s="27" t="n">
        <f aca="false">IF(AND(ISNUMBER(AO390),ISNUMBER(AP390)),IF(AND(AP390&gt;0,AO390&gt;AP390),1,0),0)</f>
        <v>0</v>
      </c>
      <c r="AR390" s="27" t="n">
        <f aca="false">IF(NOT(ISNUMBER(B390)),0,IF(B390&lt;MAX($B$5:B389),1,0))</f>
        <v>0</v>
      </c>
      <c r="AS390" s="0" t="str">
        <f aca="false">IF(C390="","",IFERROR(INDEX(CLIENTES!$H$6:$H$305,MATCH(C390,CLIENTES!$A$6:$A$305,0)),""))</f>
        <v/>
      </c>
      <c r="AT390" s="0" t="str">
        <f aca="false">IF(AND(LEFT(P390,5)="AVISO",T390&lt;&gt;"Presentado",ISNUMBER(Q390)),Q390,"")</f>
        <v/>
      </c>
      <c r="AU390" s="27" t="n">
        <f aca="false">IF(AND(D390="XVI - Activos virtuales (PSAV): operación de intercambio/transferencia",M390="Sí",ISNUMBER(AE390)),IF(AK390&gt;=AE390,1,0),0)</f>
        <v>0</v>
      </c>
      <c r="AV390" s="30" t="n">
        <f aca="false">IF(NOT(ISNUMBER(B390)),CONFIG!$B$4,IFERROR(INDEX(CONFIG!$I$5:$I$14,MATCH(IF(MONTH(B390)=1,YEAR(B390)-1,YEAR(B390)),CONFIG!$H$5:$H$14,0)),CONFIG!$B$4))</f>
        <v>117.31</v>
      </c>
      <c r="AW390" s="27" t="n">
        <f aca="false">IF(AND(LEFT(D390,4)="I - ",ISNUMBER(B390),C390&lt;&gt;""),SUMIFS($E$6:$E$505,$C$6:$C$505,C390,$D$6:$D$505,D390,$B$6:$B$505,"&gt;"&amp;(B390-1),$B$6:$B$505,"&lt;="&amp;B390),0)</f>
        <v>0</v>
      </c>
      <c r="AX390" s="0" t="str">
        <f aca="false">IF(E390="","",IF(AD390="Siempre","AVISO (siempre)",IF(AD390="No aplica","Sin Aviso (sólo preparas: Ley 17 XI)",IF(NOT(ISNUMBER(AE390)),"",IF(AA390&lt;&gt;"ACUMULA",IF(E390&gt;=AE390,IF(AND(D390="XVI - Activos virtuales (PSAV): cobro de contraprestación (comisión) por el servicio",COUNTIFS($C$6:$C$505,C390,$B$6:$B$505,"&gt;="&amp;INT(B390),$B$6:$B$505,"&lt;"&amp;(INT(B390)+1),$AU$6:$AU$505,1)&gt;0),"En el Aviso del inciso a) (R 31 Bis)","AVISO"),"—"),IF(M390&lt;&gt;"Sí","—",IF(AK390&gt;=AE390,IF(AK390=E390,"AVISO","AVISO (acumulado)"),"Acumulando")))))))</f>
        <v/>
      </c>
    </row>
    <row r="391" customFormat="false" ht="15" hidden="false" customHeight="false" outlineLevel="0" collapsed="false">
      <c r="A391" s="9" t="str">
        <f aca="false">IF(E391="","",ROW()-5)</f>
        <v/>
      </c>
      <c r="B391" s="20"/>
      <c r="C391" s="21"/>
      <c r="D391" s="21"/>
      <c r="E391" s="22"/>
      <c r="F391" s="22"/>
      <c r="G391" s="21"/>
      <c r="H391" s="21"/>
      <c r="I391" s="9" t="str">
        <f aca="false">IF(C391="","",IFERROR(INDEX(CLIENTES!$B$6:$B$305,MATCH(C391,CLIENTES!$A$6:$A$305,0)),"⚠ ID no registrado"))</f>
        <v/>
      </c>
      <c r="J391" s="9" t="str">
        <f aca="false">IF(C391="","",IFERROR(INDEX(CLIENTES!$Z$6:$Z$305,MATCH(C391,CLIENTES!$A$6:$A$305,0)),""))</f>
        <v/>
      </c>
      <c r="K391" s="9" t="str">
        <f aca="false">IF(E391="","",IF(AB391="Siempre","Sí",IF(ISNUMBER(AC391),IF(E391&gt;=AC391,"Sí",IF(AW391&gt;=AC391,"Sí (serie 24 h)","No")),"")))</f>
        <v/>
      </c>
      <c r="L391" s="9" t="str">
        <f aca="false">IF(E391="","",AA391)</f>
        <v/>
      </c>
      <c r="M391" s="9" t="str">
        <f aca="false">IF(E391="","",IF(AA391&lt;&gt;"ACUMULA","No aplica",IF(LEFT(K391,2)="Sí","Sí","No")))</f>
        <v/>
      </c>
      <c r="N391" s="23" t="str">
        <f aca="false">IF(M391="Sí",AJ391,"")</f>
        <v/>
      </c>
      <c r="O391" s="24" t="str">
        <f aca="false">IF(M391="Sí",AK391,"")</f>
        <v/>
      </c>
      <c r="P391" s="25" t="str">
        <f aca="false">IF(AND(LEFT(D391,6)="XIV - ",LEFT(AX391,5)="AVISO"),"Pedimento (R 16): no va al SPPLD",AX391)</f>
        <v/>
      </c>
      <c r="Q391" s="23" t="str">
        <f aca="false">IF(LEFT(P391,5)="AVISO",IF(ISNUMBER(B391),DATE(YEAR(B391),MONTH(B391)+1,17),"Falta fecha"),"")</f>
        <v/>
      </c>
      <c r="R391" s="9" t="str">
        <f aca="false">IF(OR(F391="",F391=0),"",IF(ISNUMBER(AG391),IF(F391&gt;=AG391,"PROHIBIDO","Dentro del límite"),"No aplica"))</f>
        <v/>
      </c>
      <c r="S391" s="26" t="str">
        <f aca="false">IF(E391="","",MID(IF(AQ391=1," · Excede el perfil declarado","")&amp;IF(H391="Sí"," · Paga un tercero","")&amp;IF(J391="Alto"," · Cliente de riesgo alto: DDR (RCG 23 Ter 3 y 4)","")&amp;IF(AND(AS391&lt;&gt;"",AS391&lt;&gt;"No",AS391&lt;&gt;0)," · PEP","")&amp;IF(R391="PROHIBIDO"," · Efectivo prohibido: no lo recibas (Art. 32)","")&amp;IF(AR391=1," · ⚠ Fecha fuera de orden","")&amp;IF(LEFT(I391,1)="⚠"," · ⚠ Cliente no registrado","")&amp;IF(D391=""," · ⚠ Falta la actividad","")&amp;IF(AND(LEFT(P391,5)="AVISO",W391="")," · Captura la cifra total con IVA para el Aviso","")&amp;IF(AND(ISNUMBER(W391),W391&lt;E391)," · ⚠ La cifra con IVA es menor que el monto sin IVA",""),4,400))</f>
        <v/>
      </c>
      <c r="T391" s="21"/>
      <c r="U391" s="20"/>
      <c r="V391" s="9" t="str">
        <f aca="false">IF(LEFT(P391,5)&lt;&gt;"AVISO","",IF(T391="Presentado",IF(AND(ISNUMBER(U391),ISNUMBER(Q391),U391&gt;Q391),"Presentado tarde","Presentado"),IF(NOT(ISNUMBER(Q391)),"Falta fecha",IF(Q391&lt;CONFIG!$B$6,"VENCIDO","Vence en "&amp;(Q391-CONFIG!$B$6)&amp;" días"))))</f>
        <v/>
      </c>
      <c r="W391" s="22"/>
      <c r="X391" s="21"/>
      <c r="AA391" s="0" t="str">
        <f aca="false">IF(AM391="","",INDEX(CATÁLOGO!$D$5:$D$39,AM391))</f>
        <v/>
      </c>
      <c r="AB391" s="0" t="str">
        <f aca="false">IF(AM391="","",INDEX(CATÁLOGO!$E$5:$E$39,AM391))</f>
        <v/>
      </c>
      <c r="AC391" s="0" t="str">
        <f aca="false">IF(AB391="","",IF(ISNUMBER(AB391),AB391*AV391,AB391))</f>
        <v/>
      </c>
      <c r="AD391" s="0" t="str">
        <f aca="false">IF(AM391="","",INDEX(CATÁLOGO!$F$5:$F$39,AM391))</f>
        <v/>
      </c>
      <c r="AE391" s="0" t="str">
        <f aca="false">IF(AD391="","",IF(ISNUMBER(AD391),AD391*AV391,AD391))</f>
        <v/>
      </c>
      <c r="AF391" s="0" t="str">
        <f aca="false">IF(AM391="","",INDEX(CATÁLOGO!$G$5:$G$39,AM391))</f>
        <v/>
      </c>
      <c r="AG391" s="0" t="str">
        <f aca="false">IF(AF391="","",IF(ISNUMBER(AF391),AF391*AV391,AF391))</f>
        <v/>
      </c>
      <c r="AH391" s="0" t="str">
        <f aca="false">IF(E391="","",C391&amp;"|"&amp;D391)</f>
        <v/>
      </c>
      <c r="AI391" s="27" t="n">
        <f aca="false">IF(M391&lt;&gt;"Sí",0,SUMPRODUCT(MAX(($AH$5:AH390=AH391)*($M$5:M390="Sí")*ROW($AH$5:AH390))))</f>
        <v>0</v>
      </c>
      <c r="AJ391" s="0" t="str">
        <f aca="false">IF(M391&lt;&gt;"Sí","",IF(AL391=1,B391,INDEX($AJ:$AJ,AI391)))</f>
        <v/>
      </c>
      <c r="AK391" s="0" t="str">
        <f aca="false">IF(M391&lt;&gt;"Sí","",IF(AL391=1,E391,INDEX($AK:$AK,AI391)+E391))</f>
        <v/>
      </c>
      <c r="AL391" s="0" t="str">
        <f aca="false">IF(M391&lt;&gt;"Sí","",IF(AI391=0,1,IF(INDEX($AN:$AN,AI391)=0,1,IF(B391&gt;=EDATE(INDEX($AJ:$AJ,AI391),6),1,0))))</f>
        <v/>
      </c>
      <c r="AM391" s="0" t="str">
        <f aca="false">IF(D391="","",IFERROR(MATCH(D391,CATÁLOGO!$C$5:$C$39,0),""))</f>
        <v/>
      </c>
      <c r="AN391" s="0" t="str">
        <f aca="false">IF(M391&lt;&gt;"Sí","",IF(AND(ISNUMBER(AE391),AK391&gt;=AE391),0,1))</f>
        <v/>
      </c>
      <c r="AO391" s="0" t="str">
        <f aca="false">IF(OR(E391="",C391="",NOT(ISNUMBER(B391))),"",SUMIFS($E$6:$E$505,$C$6:$C$505,C391,$B$6:$B$505,"&gt;="&amp;DATE(YEAR(B391),MONTH(B391),1),$B$6:$B$505,"&lt;"&amp;DATE(YEAR(B391),MONTH(B391)+1,1)))</f>
        <v/>
      </c>
      <c r="AP391" s="0" t="str">
        <f aca="false">IF(C391="","",IFERROR(INDEX(CLIENTES!$M$6:$M$305,MATCH(C391,CLIENTES!$A$6:$A$305,0)),""))</f>
        <v/>
      </c>
      <c r="AQ391" s="27" t="n">
        <f aca="false">IF(AND(ISNUMBER(AO391),ISNUMBER(AP391)),IF(AND(AP391&gt;0,AO391&gt;AP391),1,0),0)</f>
        <v>0</v>
      </c>
      <c r="AR391" s="27" t="n">
        <f aca="false">IF(NOT(ISNUMBER(B391)),0,IF(B391&lt;MAX($B$5:B390),1,0))</f>
        <v>0</v>
      </c>
      <c r="AS391" s="0" t="str">
        <f aca="false">IF(C391="","",IFERROR(INDEX(CLIENTES!$H$6:$H$305,MATCH(C391,CLIENTES!$A$6:$A$305,0)),""))</f>
        <v/>
      </c>
      <c r="AT391" s="0" t="str">
        <f aca="false">IF(AND(LEFT(P391,5)="AVISO",T391&lt;&gt;"Presentado",ISNUMBER(Q391)),Q391,"")</f>
        <v/>
      </c>
      <c r="AU391" s="27" t="n">
        <f aca="false">IF(AND(D391="XVI - Activos virtuales (PSAV): operación de intercambio/transferencia",M391="Sí",ISNUMBER(AE391)),IF(AK391&gt;=AE391,1,0),0)</f>
        <v>0</v>
      </c>
      <c r="AV391" s="30" t="n">
        <f aca="false">IF(NOT(ISNUMBER(B391)),CONFIG!$B$4,IFERROR(INDEX(CONFIG!$I$5:$I$14,MATCH(IF(MONTH(B391)=1,YEAR(B391)-1,YEAR(B391)),CONFIG!$H$5:$H$14,0)),CONFIG!$B$4))</f>
        <v>117.31</v>
      </c>
      <c r="AW391" s="27" t="n">
        <f aca="false">IF(AND(LEFT(D391,4)="I - ",ISNUMBER(B391),C391&lt;&gt;""),SUMIFS($E$6:$E$505,$C$6:$C$505,C391,$D$6:$D$505,D391,$B$6:$B$505,"&gt;"&amp;(B391-1),$B$6:$B$505,"&lt;="&amp;B391),0)</f>
        <v>0</v>
      </c>
      <c r="AX391" s="0" t="str">
        <f aca="false">IF(E391="","",IF(AD391="Siempre","AVISO (siempre)",IF(AD391="No aplica","Sin Aviso (sólo preparas: Ley 17 XI)",IF(NOT(ISNUMBER(AE391)),"",IF(AA391&lt;&gt;"ACUMULA",IF(E391&gt;=AE391,IF(AND(D391="XVI - Activos virtuales (PSAV): cobro de contraprestación (comisión) por el servicio",COUNTIFS($C$6:$C$505,C391,$B$6:$B$505,"&gt;="&amp;INT(B391),$B$6:$B$505,"&lt;"&amp;(INT(B391)+1),$AU$6:$AU$505,1)&gt;0),"En el Aviso del inciso a) (R 31 Bis)","AVISO"),"—"),IF(M391&lt;&gt;"Sí","—",IF(AK391&gt;=AE391,IF(AK391=E391,"AVISO","AVISO (acumulado)"),"Acumulando")))))))</f>
        <v/>
      </c>
    </row>
    <row r="392" customFormat="false" ht="15" hidden="false" customHeight="false" outlineLevel="0" collapsed="false">
      <c r="A392" s="9" t="str">
        <f aca="false">IF(E392="","",ROW()-5)</f>
        <v/>
      </c>
      <c r="B392" s="20"/>
      <c r="C392" s="21"/>
      <c r="D392" s="21"/>
      <c r="E392" s="22"/>
      <c r="F392" s="22"/>
      <c r="G392" s="21"/>
      <c r="H392" s="21"/>
      <c r="I392" s="9" t="str">
        <f aca="false">IF(C392="","",IFERROR(INDEX(CLIENTES!$B$6:$B$305,MATCH(C392,CLIENTES!$A$6:$A$305,0)),"⚠ ID no registrado"))</f>
        <v/>
      </c>
      <c r="J392" s="9" t="str">
        <f aca="false">IF(C392="","",IFERROR(INDEX(CLIENTES!$Z$6:$Z$305,MATCH(C392,CLIENTES!$A$6:$A$305,0)),""))</f>
        <v/>
      </c>
      <c r="K392" s="9" t="str">
        <f aca="false">IF(E392="","",IF(AB392="Siempre","Sí",IF(ISNUMBER(AC392),IF(E392&gt;=AC392,"Sí",IF(AW392&gt;=AC392,"Sí (serie 24 h)","No")),"")))</f>
        <v/>
      </c>
      <c r="L392" s="9" t="str">
        <f aca="false">IF(E392="","",AA392)</f>
        <v/>
      </c>
      <c r="M392" s="9" t="str">
        <f aca="false">IF(E392="","",IF(AA392&lt;&gt;"ACUMULA","No aplica",IF(LEFT(K392,2)="Sí","Sí","No")))</f>
        <v/>
      </c>
      <c r="N392" s="23" t="str">
        <f aca="false">IF(M392="Sí",AJ392,"")</f>
        <v/>
      </c>
      <c r="O392" s="24" t="str">
        <f aca="false">IF(M392="Sí",AK392,"")</f>
        <v/>
      </c>
      <c r="P392" s="25" t="str">
        <f aca="false">IF(AND(LEFT(D392,6)="XIV - ",LEFT(AX392,5)="AVISO"),"Pedimento (R 16): no va al SPPLD",AX392)</f>
        <v/>
      </c>
      <c r="Q392" s="23" t="str">
        <f aca="false">IF(LEFT(P392,5)="AVISO",IF(ISNUMBER(B392),DATE(YEAR(B392),MONTH(B392)+1,17),"Falta fecha"),"")</f>
        <v/>
      </c>
      <c r="R392" s="9" t="str">
        <f aca="false">IF(OR(F392="",F392=0),"",IF(ISNUMBER(AG392),IF(F392&gt;=AG392,"PROHIBIDO","Dentro del límite"),"No aplica"))</f>
        <v/>
      </c>
      <c r="S392" s="26" t="str">
        <f aca="false">IF(E392="","",MID(IF(AQ392=1," · Excede el perfil declarado","")&amp;IF(H392="Sí"," · Paga un tercero","")&amp;IF(J392="Alto"," · Cliente de riesgo alto: DDR (RCG 23 Ter 3 y 4)","")&amp;IF(AND(AS392&lt;&gt;"",AS392&lt;&gt;"No",AS392&lt;&gt;0)," · PEP","")&amp;IF(R392="PROHIBIDO"," · Efectivo prohibido: no lo recibas (Art. 32)","")&amp;IF(AR392=1," · ⚠ Fecha fuera de orden","")&amp;IF(LEFT(I392,1)="⚠"," · ⚠ Cliente no registrado","")&amp;IF(D392=""," · ⚠ Falta la actividad","")&amp;IF(AND(LEFT(P392,5)="AVISO",W392="")," · Captura la cifra total con IVA para el Aviso","")&amp;IF(AND(ISNUMBER(W392),W392&lt;E392)," · ⚠ La cifra con IVA es menor que el monto sin IVA",""),4,400))</f>
        <v/>
      </c>
      <c r="T392" s="21"/>
      <c r="U392" s="20"/>
      <c r="V392" s="9" t="str">
        <f aca="false">IF(LEFT(P392,5)&lt;&gt;"AVISO","",IF(T392="Presentado",IF(AND(ISNUMBER(U392),ISNUMBER(Q392),U392&gt;Q392),"Presentado tarde","Presentado"),IF(NOT(ISNUMBER(Q392)),"Falta fecha",IF(Q392&lt;CONFIG!$B$6,"VENCIDO","Vence en "&amp;(Q392-CONFIG!$B$6)&amp;" días"))))</f>
        <v/>
      </c>
      <c r="W392" s="22"/>
      <c r="X392" s="21"/>
      <c r="AA392" s="0" t="str">
        <f aca="false">IF(AM392="","",INDEX(CATÁLOGO!$D$5:$D$39,AM392))</f>
        <v/>
      </c>
      <c r="AB392" s="0" t="str">
        <f aca="false">IF(AM392="","",INDEX(CATÁLOGO!$E$5:$E$39,AM392))</f>
        <v/>
      </c>
      <c r="AC392" s="0" t="str">
        <f aca="false">IF(AB392="","",IF(ISNUMBER(AB392),AB392*AV392,AB392))</f>
        <v/>
      </c>
      <c r="AD392" s="0" t="str">
        <f aca="false">IF(AM392="","",INDEX(CATÁLOGO!$F$5:$F$39,AM392))</f>
        <v/>
      </c>
      <c r="AE392" s="0" t="str">
        <f aca="false">IF(AD392="","",IF(ISNUMBER(AD392),AD392*AV392,AD392))</f>
        <v/>
      </c>
      <c r="AF392" s="0" t="str">
        <f aca="false">IF(AM392="","",INDEX(CATÁLOGO!$G$5:$G$39,AM392))</f>
        <v/>
      </c>
      <c r="AG392" s="0" t="str">
        <f aca="false">IF(AF392="","",IF(ISNUMBER(AF392),AF392*AV392,AF392))</f>
        <v/>
      </c>
      <c r="AH392" s="0" t="str">
        <f aca="false">IF(E392="","",C392&amp;"|"&amp;D392)</f>
        <v/>
      </c>
      <c r="AI392" s="27" t="n">
        <f aca="false">IF(M392&lt;&gt;"Sí",0,SUMPRODUCT(MAX(($AH$5:AH391=AH392)*($M$5:M391="Sí")*ROW($AH$5:AH391))))</f>
        <v>0</v>
      </c>
      <c r="AJ392" s="0" t="str">
        <f aca="false">IF(M392&lt;&gt;"Sí","",IF(AL392=1,B392,INDEX($AJ:$AJ,AI392)))</f>
        <v/>
      </c>
      <c r="AK392" s="0" t="str">
        <f aca="false">IF(M392&lt;&gt;"Sí","",IF(AL392=1,E392,INDEX($AK:$AK,AI392)+E392))</f>
        <v/>
      </c>
      <c r="AL392" s="0" t="str">
        <f aca="false">IF(M392&lt;&gt;"Sí","",IF(AI392=0,1,IF(INDEX($AN:$AN,AI392)=0,1,IF(B392&gt;=EDATE(INDEX($AJ:$AJ,AI392),6),1,0))))</f>
        <v/>
      </c>
      <c r="AM392" s="0" t="str">
        <f aca="false">IF(D392="","",IFERROR(MATCH(D392,CATÁLOGO!$C$5:$C$39,0),""))</f>
        <v/>
      </c>
      <c r="AN392" s="0" t="str">
        <f aca="false">IF(M392&lt;&gt;"Sí","",IF(AND(ISNUMBER(AE392),AK392&gt;=AE392),0,1))</f>
        <v/>
      </c>
      <c r="AO392" s="0" t="str">
        <f aca="false">IF(OR(E392="",C392="",NOT(ISNUMBER(B392))),"",SUMIFS($E$6:$E$505,$C$6:$C$505,C392,$B$6:$B$505,"&gt;="&amp;DATE(YEAR(B392),MONTH(B392),1),$B$6:$B$505,"&lt;"&amp;DATE(YEAR(B392),MONTH(B392)+1,1)))</f>
        <v/>
      </c>
      <c r="AP392" s="0" t="str">
        <f aca="false">IF(C392="","",IFERROR(INDEX(CLIENTES!$M$6:$M$305,MATCH(C392,CLIENTES!$A$6:$A$305,0)),""))</f>
        <v/>
      </c>
      <c r="AQ392" s="27" t="n">
        <f aca="false">IF(AND(ISNUMBER(AO392),ISNUMBER(AP392)),IF(AND(AP392&gt;0,AO392&gt;AP392),1,0),0)</f>
        <v>0</v>
      </c>
      <c r="AR392" s="27" t="n">
        <f aca="false">IF(NOT(ISNUMBER(B392)),0,IF(B392&lt;MAX($B$5:B391),1,0))</f>
        <v>0</v>
      </c>
      <c r="AS392" s="0" t="str">
        <f aca="false">IF(C392="","",IFERROR(INDEX(CLIENTES!$H$6:$H$305,MATCH(C392,CLIENTES!$A$6:$A$305,0)),""))</f>
        <v/>
      </c>
      <c r="AT392" s="0" t="str">
        <f aca="false">IF(AND(LEFT(P392,5)="AVISO",T392&lt;&gt;"Presentado",ISNUMBER(Q392)),Q392,"")</f>
        <v/>
      </c>
      <c r="AU392" s="27" t="n">
        <f aca="false">IF(AND(D392="XVI - Activos virtuales (PSAV): operación de intercambio/transferencia",M392="Sí",ISNUMBER(AE392)),IF(AK392&gt;=AE392,1,0),0)</f>
        <v>0</v>
      </c>
      <c r="AV392" s="30" t="n">
        <f aca="false">IF(NOT(ISNUMBER(B392)),CONFIG!$B$4,IFERROR(INDEX(CONFIG!$I$5:$I$14,MATCH(IF(MONTH(B392)=1,YEAR(B392)-1,YEAR(B392)),CONFIG!$H$5:$H$14,0)),CONFIG!$B$4))</f>
        <v>117.31</v>
      </c>
      <c r="AW392" s="27" t="n">
        <f aca="false">IF(AND(LEFT(D392,4)="I - ",ISNUMBER(B392),C392&lt;&gt;""),SUMIFS($E$6:$E$505,$C$6:$C$505,C392,$D$6:$D$505,D392,$B$6:$B$505,"&gt;"&amp;(B392-1),$B$6:$B$505,"&lt;="&amp;B392),0)</f>
        <v>0</v>
      </c>
      <c r="AX392" s="0" t="str">
        <f aca="false">IF(E392="","",IF(AD392="Siempre","AVISO (siempre)",IF(AD392="No aplica","Sin Aviso (sólo preparas: Ley 17 XI)",IF(NOT(ISNUMBER(AE392)),"",IF(AA392&lt;&gt;"ACUMULA",IF(E392&gt;=AE392,IF(AND(D392="XVI - Activos virtuales (PSAV): cobro de contraprestación (comisión) por el servicio",COUNTIFS($C$6:$C$505,C392,$B$6:$B$505,"&gt;="&amp;INT(B392),$B$6:$B$505,"&lt;"&amp;(INT(B392)+1),$AU$6:$AU$505,1)&gt;0),"En el Aviso del inciso a) (R 31 Bis)","AVISO"),"—"),IF(M392&lt;&gt;"Sí","—",IF(AK392&gt;=AE392,IF(AK392=E392,"AVISO","AVISO (acumulado)"),"Acumulando")))))))</f>
        <v/>
      </c>
    </row>
    <row r="393" customFormat="false" ht="15" hidden="false" customHeight="false" outlineLevel="0" collapsed="false">
      <c r="A393" s="9" t="str">
        <f aca="false">IF(E393="","",ROW()-5)</f>
        <v/>
      </c>
      <c r="B393" s="20"/>
      <c r="C393" s="21"/>
      <c r="D393" s="21"/>
      <c r="E393" s="22"/>
      <c r="F393" s="22"/>
      <c r="G393" s="21"/>
      <c r="H393" s="21"/>
      <c r="I393" s="9" t="str">
        <f aca="false">IF(C393="","",IFERROR(INDEX(CLIENTES!$B$6:$B$305,MATCH(C393,CLIENTES!$A$6:$A$305,0)),"⚠ ID no registrado"))</f>
        <v/>
      </c>
      <c r="J393" s="9" t="str">
        <f aca="false">IF(C393="","",IFERROR(INDEX(CLIENTES!$Z$6:$Z$305,MATCH(C393,CLIENTES!$A$6:$A$305,0)),""))</f>
        <v/>
      </c>
      <c r="K393" s="9" t="str">
        <f aca="false">IF(E393="","",IF(AB393="Siempre","Sí",IF(ISNUMBER(AC393),IF(E393&gt;=AC393,"Sí",IF(AW393&gt;=AC393,"Sí (serie 24 h)","No")),"")))</f>
        <v/>
      </c>
      <c r="L393" s="9" t="str">
        <f aca="false">IF(E393="","",AA393)</f>
        <v/>
      </c>
      <c r="M393" s="9" t="str">
        <f aca="false">IF(E393="","",IF(AA393&lt;&gt;"ACUMULA","No aplica",IF(LEFT(K393,2)="Sí","Sí","No")))</f>
        <v/>
      </c>
      <c r="N393" s="23" t="str">
        <f aca="false">IF(M393="Sí",AJ393,"")</f>
        <v/>
      </c>
      <c r="O393" s="24" t="str">
        <f aca="false">IF(M393="Sí",AK393,"")</f>
        <v/>
      </c>
      <c r="P393" s="25" t="str">
        <f aca="false">IF(AND(LEFT(D393,6)="XIV - ",LEFT(AX393,5)="AVISO"),"Pedimento (R 16): no va al SPPLD",AX393)</f>
        <v/>
      </c>
      <c r="Q393" s="23" t="str">
        <f aca="false">IF(LEFT(P393,5)="AVISO",IF(ISNUMBER(B393),DATE(YEAR(B393),MONTH(B393)+1,17),"Falta fecha"),"")</f>
        <v/>
      </c>
      <c r="R393" s="9" t="str">
        <f aca="false">IF(OR(F393="",F393=0),"",IF(ISNUMBER(AG393),IF(F393&gt;=AG393,"PROHIBIDO","Dentro del límite"),"No aplica"))</f>
        <v/>
      </c>
      <c r="S393" s="26" t="str">
        <f aca="false">IF(E393="","",MID(IF(AQ393=1," · Excede el perfil declarado","")&amp;IF(H393="Sí"," · Paga un tercero","")&amp;IF(J393="Alto"," · Cliente de riesgo alto: DDR (RCG 23 Ter 3 y 4)","")&amp;IF(AND(AS393&lt;&gt;"",AS393&lt;&gt;"No",AS393&lt;&gt;0)," · PEP","")&amp;IF(R393="PROHIBIDO"," · Efectivo prohibido: no lo recibas (Art. 32)","")&amp;IF(AR393=1," · ⚠ Fecha fuera de orden","")&amp;IF(LEFT(I393,1)="⚠"," · ⚠ Cliente no registrado","")&amp;IF(D393=""," · ⚠ Falta la actividad","")&amp;IF(AND(LEFT(P393,5)="AVISO",W393="")," · Captura la cifra total con IVA para el Aviso","")&amp;IF(AND(ISNUMBER(W393),W393&lt;E393)," · ⚠ La cifra con IVA es menor que el monto sin IVA",""),4,400))</f>
        <v/>
      </c>
      <c r="T393" s="21"/>
      <c r="U393" s="20"/>
      <c r="V393" s="9" t="str">
        <f aca="false">IF(LEFT(P393,5)&lt;&gt;"AVISO","",IF(T393="Presentado",IF(AND(ISNUMBER(U393),ISNUMBER(Q393),U393&gt;Q393),"Presentado tarde","Presentado"),IF(NOT(ISNUMBER(Q393)),"Falta fecha",IF(Q393&lt;CONFIG!$B$6,"VENCIDO","Vence en "&amp;(Q393-CONFIG!$B$6)&amp;" días"))))</f>
        <v/>
      </c>
      <c r="W393" s="22"/>
      <c r="X393" s="21"/>
      <c r="AA393" s="0" t="str">
        <f aca="false">IF(AM393="","",INDEX(CATÁLOGO!$D$5:$D$39,AM393))</f>
        <v/>
      </c>
      <c r="AB393" s="0" t="str">
        <f aca="false">IF(AM393="","",INDEX(CATÁLOGO!$E$5:$E$39,AM393))</f>
        <v/>
      </c>
      <c r="AC393" s="0" t="str">
        <f aca="false">IF(AB393="","",IF(ISNUMBER(AB393),AB393*AV393,AB393))</f>
        <v/>
      </c>
      <c r="AD393" s="0" t="str">
        <f aca="false">IF(AM393="","",INDEX(CATÁLOGO!$F$5:$F$39,AM393))</f>
        <v/>
      </c>
      <c r="AE393" s="0" t="str">
        <f aca="false">IF(AD393="","",IF(ISNUMBER(AD393),AD393*AV393,AD393))</f>
        <v/>
      </c>
      <c r="AF393" s="0" t="str">
        <f aca="false">IF(AM393="","",INDEX(CATÁLOGO!$G$5:$G$39,AM393))</f>
        <v/>
      </c>
      <c r="AG393" s="0" t="str">
        <f aca="false">IF(AF393="","",IF(ISNUMBER(AF393),AF393*AV393,AF393))</f>
        <v/>
      </c>
      <c r="AH393" s="0" t="str">
        <f aca="false">IF(E393="","",C393&amp;"|"&amp;D393)</f>
        <v/>
      </c>
      <c r="AI393" s="27" t="n">
        <f aca="false">IF(M393&lt;&gt;"Sí",0,SUMPRODUCT(MAX(($AH$5:AH392=AH393)*($M$5:M392="Sí")*ROW($AH$5:AH392))))</f>
        <v>0</v>
      </c>
      <c r="AJ393" s="0" t="str">
        <f aca="false">IF(M393&lt;&gt;"Sí","",IF(AL393=1,B393,INDEX($AJ:$AJ,AI393)))</f>
        <v/>
      </c>
      <c r="AK393" s="0" t="str">
        <f aca="false">IF(M393&lt;&gt;"Sí","",IF(AL393=1,E393,INDEX($AK:$AK,AI393)+E393))</f>
        <v/>
      </c>
      <c r="AL393" s="0" t="str">
        <f aca="false">IF(M393&lt;&gt;"Sí","",IF(AI393=0,1,IF(INDEX($AN:$AN,AI393)=0,1,IF(B393&gt;=EDATE(INDEX($AJ:$AJ,AI393),6),1,0))))</f>
        <v/>
      </c>
      <c r="AM393" s="0" t="str">
        <f aca="false">IF(D393="","",IFERROR(MATCH(D393,CATÁLOGO!$C$5:$C$39,0),""))</f>
        <v/>
      </c>
      <c r="AN393" s="0" t="str">
        <f aca="false">IF(M393&lt;&gt;"Sí","",IF(AND(ISNUMBER(AE393),AK393&gt;=AE393),0,1))</f>
        <v/>
      </c>
      <c r="AO393" s="0" t="str">
        <f aca="false">IF(OR(E393="",C393="",NOT(ISNUMBER(B393))),"",SUMIFS($E$6:$E$505,$C$6:$C$505,C393,$B$6:$B$505,"&gt;="&amp;DATE(YEAR(B393),MONTH(B393),1),$B$6:$B$505,"&lt;"&amp;DATE(YEAR(B393),MONTH(B393)+1,1)))</f>
        <v/>
      </c>
      <c r="AP393" s="0" t="str">
        <f aca="false">IF(C393="","",IFERROR(INDEX(CLIENTES!$M$6:$M$305,MATCH(C393,CLIENTES!$A$6:$A$305,0)),""))</f>
        <v/>
      </c>
      <c r="AQ393" s="27" t="n">
        <f aca="false">IF(AND(ISNUMBER(AO393),ISNUMBER(AP393)),IF(AND(AP393&gt;0,AO393&gt;AP393),1,0),0)</f>
        <v>0</v>
      </c>
      <c r="AR393" s="27" t="n">
        <f aca="false">IF(NOT(ISNUMBER(B393)),0,IF(B393&lt;MAX($B$5:B392),1,0))</f>
        <v>0</v>
      </c>
      <c r="AS393" s="0" t="str">
        <f aca="false">IF(C393="","",IFERROR(INDEX(CLIENTES!$H$6:$H$305,MATCH(C393,CLIENTES!$A$6:$A$305,0)),""))</f>
        <v/>
      </c>
      <c r="AT393" s="0" t="str">
        <f aca="false">IF(AND(LEFT(P393,5)="AVISO",T393&lt;&gt;"Presentado",ISNUMBER(Q393)),Q393,"")</f>
        <v/>
      </c>
      <c r="AU393" s="27" t="n">
        <f aca="false">IF(AND(D393="XVI - Activos virtuales (PSAV): operación de intercambio/transferencia",M393="Sí",ISNUMBER(AE393)),IF(AK393&gt;=AE393,1,0),0)</f>
        <v>0</v>
      </c>
      <c r="AV393" s="30" t="n">
        <f aca="false">IF(NOT(ISNUMBER(B393)),CONFIG!$B$4,IFERROR(INDEX(CONFIG!$I$5:$I$14,MATCH(IF(MONTH(B393)=1,YEAR(B393)-1,YEAR(B393)),CONFIG!$H$5:$H$14,0)),CONFIG!$B$4))</f>
        <v>117.31</v>
      </c>
      <c r="AW393" s="27" t="n">
        <f aca="false">IF(AND(LEFT(D393,4)="I - ",ISNUMBER(B393),C393&lt;&gt;""),SUMIFS($E$6:$E$505,$C$6:$C$505,C393,$D$6:$D$505,D393,$B$6:$B$505,"&gt;"&amp;(B393-1),$B$6:$B$505,"&lt;="&amp;B393),0)</f>
        <v>0</v>
      </c>
      <c r="AX393" s="0" t="str">
        <f aca="false">IF(E393="","",IF(AD393="Siempre","AVISO (siempre)",IF(AD393="No aplica","Sin Aviso (sólo preparas: Ley 17 XI)",IF(NOT(ISNUMBER(AE393)),"",IF(AA393&lt;&gt;"ACUMULA",IF(E393&gt;=AE393,IF(AND(D393="XVI - Activos virtuales (PSAV): cobro de contraprestación (comisión) por el servicio",COUNTIFS($C$6:$C$505,C393,$B$6:$B$505,"&gt;="&amp;INT(B393),$B$6:$B$505,"&lt;"&amp;(INT(B393)+1),$AU$6:$AU$505,1)&gt;0),"En el Aviso del inciso a) (R 31 Bis)","AVISO"),"—"),IF(M393&lt;&gt;"Sí","—",IF(AK393&gt;=AE393,IF(AK393=E393,"AVISO","AVISO (acumulado)"),"Acumulando")))))))</f>
        <v/>
      </c>
    </row>
    <row r="394" customFormat="false" ht="15" hidden="false" customHeight="false" outlineLevel="0" collapsed="false">
      <c r="A394" s="9" t="str">
        <f aca="false">IF(E394="","",ROW()-5)</f>
        <v/>
      </c>
      <c r="B394" s="20"/>
      <c r="C394" s="21"/>
      <c r="D394" s="21"/>
      <c r="E394" s="22"/>
      <c r="F394" s="22"/>
      <c r="G394" s="21"/>
      <c r="H394" s="21"/>
      <c r="I394" s="9" t="str">
        <f aca="false">IF(C394="","",IFERROR(INDEX(CLIENTES!$B$6:$B$305,MATCH(C394,CLIENTES!$A$6:$A$305,0)),"⚠ ID no registrado"))</f>
        <v/>
      </c>
      <c r="J394" s="9" t="str">
        <f aca="false">IF(C394="","",IFERROR(INDEX(CLIENTES!$Z$6:$Z$305,MATCH(C394,CLIENTES!$A$6:$A$305,0)),""))</f>
        <v/>
      </c>
      <c r="K394" s="9" t="str">
        <f aca="false">IF(E394="","",IF(AB394="Siempre","Sí",IF(ISNUMBER(AC394),IF(E394&gt;=AC394,"Sí",IF(AW394&gt;=AC394,"Sí (serie 24 h)","No")),"")))</f>
        <v/>
      </c>
      <c r="L394" s="9" t="str">
        <f aca="false">IF(E394="","",AA394)</f>
        <v/>
      </c>
      <c r="M394" s="9" t="str">
        <f aca="false">IF(E394="","",IF(AA394&lt;&gt;"ACUMULA","No aplica",IF(LEFT(K394,2)="Sí","Sí","No")))</f>
        <v/>
      </c>
      <c r="N394" s="23" t="str">
        <f aca="false">IF(M394="Sí",AJ394,"")</f>
        <v/>
      </c>
      <c r="O394" s="24" t="str">
        <f aca="false">IF(M394="Sí",AK394,"")</f>
        <v/>
      </c>
      <c r="P394" s="25" t="str">
        <f aca="false">IF(AND(LEFT(D394,6)="XIV - ",LEFT(AX394,5)="AVISO"),"Pedimento (R 16): no va al SPPLD",AX394)</f>
        <v/>
      </c>
      <c r="Q394" s="23" t="str">
        <f aca="false">IF(LEFT(P394,5)="AVISO",IF(ISNUMBER(B394),DATE(YEAR(B394),MONTH(B394)+1,17),"Falta fecha"),"")</f>
        <v/>
      </c>
      <c r="R394" s="9" t="str">
        <f aca="false">IF(OR(F394="",F394=0),"",IF(ISNUMBER(AG394),IF(F394&gt;=AG394,"PROHIBIDO","Dentro del límite"),"No aplica"))</f>
        <v/>
      </c>
      <c r="S394" s="26" t="str">
        <f aca="false">IF(E394="","",MID(IF(AQ394=1," · Excede el perfil declarado","")&amp;IF(H394="Sí"," · Paga un tercero","")&amp;IF(J394="Alto"," · Cliente de riesgo alto: DDR (RCG 23 Ter 3 y 4)","")&amp;IF(AND(AS394&lt;&gt;"",AS394&lt;&gt;"No",AS394&lt;&gt;0)," · PEP","")&amp;IF(R394="PROHIBIDO"," · Efectivo prohibido: no lo recibas (Art. 32)","")&amp;IF(AR394=1," · ⚠ Fecha fuera de orden","")&amp;IF(LEFT(I394,1)="⚠"," · ⚠ Cliente no registrado","")&amp;IF(D394=""," · ⚠ Falta la actividad","")&amp;IF(AND(LEFT(P394,5)="AVISO",W394="")," · Captura la cifra total con IVA para el Aviso","")&amp;IF(AND(ISNUMBER(W394),W394&lt;E394)," · ⚠ La cifra con IVA es menor que el monto sin IVA",""),4,400))</f>
        <v/>
      </c>
      <c r="T394" s="21"/>
      <c r="U394" s="20"/>
      <c r="V394" s="9" t="str">
        <f aca="false">IF(LEFT(P394,5)&lt;&gt;"AVISO","",IF(T394="Presentado",IF(AND(ISNUMBER(U394),ISNUMBER(Q394),U394&gt;Q394),"Presentado tarde","Presentado"),IF(NOT(ISNUMBER(Q394)),"Falta fecha",IF(Q394&lt;CONFIG!$B$6,"VENCIDO","Vence en "&amp;(Q394-CONFIG!$B$6)&amp;" días"))))</f>
        <v/>
      </c>
      <c r="W394" s="22"/>
      <c r="X394" s="21"/>
      <c r="AA394" s="0" t="str">
        <f aca="false">IF(AM394="","",INDEX(CATÁLOGO!$D$5:$D$39,AM394))</f>
        <v/>
      </c>
      <c r="AB394" s="0" t="str">
        <f aca="false">IF(AM394="","",INDEX(CATÁLOGO!$E$5:$E$39,AM394))</f>
        <v/>
      </c>
      <c r="AC394" s="0" t="str">
        <f aca="false">IF(AB394="","",IF(ISNUMBER(AB394),AB394*AV394,AB394))</f>
        <v/>
      </c>
      <c r="AD394" s="0" t="str">
        <f aca="false">IF(AM394="","",INDEX(CATÁLOGO!$F$5:$F$39,AM394))</f>
        <v/>
      </c>
      <c r="AE394" s="0" t="str">
        <f aca="false">IF(AD394="","",IF(ISNUMBER(AD394),AD394*AV394,AD394))</f>
        <v/>
      </c>
      <c r="AF394" s="0" t="str">
        <f aca="false">IF(AM394="","",INDEX(CATÁLOGO!$G$5:$G$39,AM394))</f>
        <v/>
      </c>
      <c r="AG394" s="0" t="str">
        <f aca="false">IF(AF394="","",IF(ISNUMBER(AF394),AF394*AV394,AF394))</f>
        <v/>
      </c>
      <c r="AH394" s="0" t="str">
        <f aca="false">IF(E394="","",C394&amp;"|"&amp;D394)</f>
        <v/>
      </c>
      <c r="AI394" s="27" t="n">
        <f aca="false">IF(M394&lt;&gt;"Sí",0,SUMPRODUCT(MAX(($AH$5:AH393=AH394)*($M$5:M393="Sí")*ROW($AH$5:AH393))))</f>
        <v>0</v>
      </c>
      <c r="AJ394" s="0" t="str">
        <f aca="false">IF(M394&lt;&gt;"Sí","",IF(AL394=1,B394,INDEX($AJ:$AJ,AI394)))</f>
        <v/>
      </c>
      <c r="AK394" s="0" t="str">
        <f aca="false">IF(M394&lt;&gt;"Sí","",IF(AL394=1,E394,INDEX($AK:$AK,AI394)+E394))</f>
        <v/>
      </c>
      <c r="AL394" s="0" t="str">
        <f aca="false">IF(M394&lt;&gt;"Sí","",IF(AI394=0,1,IF(INDEX($AN:$AN,AI394)=0,1,IF(B394&gt;=EDATE(INDEX($AJ:$AJ,AI394),6),1,0))))</f>
        <v/>
      </c>
      <c r="AM394" s="0" t="str">
        <f aca="false">IF(D394="","",IFERROR(MATCH(D394,CATÁLOGO!$C$5:$C$39,0),""))</f>
        <v/>
      </c>
      <c r="AN394" s="0" t="str">
        <f aca="false">IF(M394&lt;&gt;"Sí","",IF(AND(ISNUMBER(AE394),AK394&gt;=AE394),0,1))</f>
        <v/>
      </c>
      <c r="AO394" s="0" t="str">
        <f aca="false">IF(OR(E394="",C394="",NOT(ISNUMBER(B394))),"",SUMIFS($E$6:$E$505,$C$6:$C$505,C394,$B$6:$B$505,"&gt;="&amp;DATE(YEAR(B394),MONTH(B394),1),$B$6:$B$505,"&lt;"&amp;DATE(YEAR(B394),MONTH(B394)+1,1)))</f>
        <v/>
      </c>
      <c r="AP394" s="0" t="str">
        <f aca="false">IF(C394="","",IFERROR(INDEX(CLIENTES!$M$6:$M$305,MATCH(C394,CLIENTES!$A$6:$A$305,0)),""))</f>
        <v/>
      </c>
      <c r="AQ394" s="27" t="n">
        <f aca="false">IF(AND(ISNUMBER(AO394),ISNUMBER(AP394)),IF(AND(AP394&gt;0,AO394&gt;AP394),1,0),0)</f>
        <v>0</v>
      </c>
      <c r="AR394" s="27" t="n">
        <f aca="false">IF(NOT(ISNUMBER(B394)),0,IF(B394&lt;MAX($B$5:B393),1,0))</f>
        <v>0</v>
      </c>
      <c r="AS394" s="0" t="str">
        <f aca="false">IF(C394="","",IFERROR(INDEX(CLIENTES!$H$6:$H$305,MATCH(C394,CLIENTES!$A$6:$A$305,0)),""))</f>
        <v/>
      </c>
      <c r="AT394" s="0" t="str">
        <f aca="false">IF(AND(LEFT(P394,5)="AVISO",T394&lt;&gt;"Presentado",ISNUMBER(Q394)),Q394,"")</f>
        <v/>
      </c>
      <c r="AU394" s="27" t="n">
        <f aca="false">IF(AND(D394="XVI - Activos virtuales (PSAV): operación de intercambio/transferencia",M394="Sí",ISNUMBER(AE394)),IF(AK394&gt;=AE394,1,0),0)</f>
        <v>0</v>
      </c>
      <c r="AV394" s="30" t="n">
        <f aca="false">IF(NOT(ISNUMBER(B394)),CONFIG!$B$4,IFERROR(INDEX(CONFIG!$I$5:$I$14,MATCH(IF(MONTH(B394)=1,YEAR(B394)-1,YEAR(B394)),CONFIG!$H$5:$H$14,0)),CONFIG!$B$4))</f>
        <v>117.31</v>
      </c>
      <c r="AW394" s="27" t="n">
        <f aca="false">IF(AND(LEFT(D394,4)="I - ",ISNUMBER(B394),C394&lt;&gt;""),SUMIFS($E$6:$E$505,$C$6:$C$505,C394,$D$6:$D$505,D394,$B$6:$B$505,"&gt;"&amp;(B394-1),$B$6:$B$505,"&lt;="&amp;B394),0)</f>
        <v>0</v>
      </c>
      <c r="AX394" s="0" t="str">
        <f aca="false">IF(E394="","",IF(AD394="Siempre","AVISO (siempre)",IF(AD394="No aplica","Sin Aviso (sólo preparas: Ley 17 XI)",IF(NOT(ISNUMBER(AE394)),"",IF(AA394&lt;&gt;"ACUMULA",IF(E394&gt;=AE394,IF(AND(D394="XVI - Activos virtuales (PSAV): cobro de contraprestación (comisión) por el servicio",COUNTIFS($C$6:$C$505,C394,$B$6:$B$505,"&gt;="&amp;INT(B394),$B$6:$B$505,"&lt;"&amp;(INT(B394)+1),$AU$6:$AU$505,1)&gt;0),"En el Aviso del inciso a) (R 31 Bis)","AVISO"),"—"),IF(M394&lt;&gt;"Sí","—",IF(AK394&gt;=AE394,IF(AK394=E394,"AVISO","AVISO (acumulado)"),"Acumulando")))))))</f>
        <v/>
      </c>
    </row>
    <row r="395" customFormat="false" ht="15" hidden="false" customHeight="false" outlineLevel="0" collapsed="false">
      <c r="A395" s="9" t="str">
        <f aca="false">IF(E395="","",ROW()-5)</f>
        <v/>
      </c>
      <c r="B395" s="20"/>
      <c r="C395" s="21"/>
      <c r="D395" s="21"/>
      <c r="E395" s="22"/>
      <c r="F395" s="22"/>
      <c r="G395" s="21"/>
      <c r="H395" s="21"/>
      <c r="I395" s="9" t="str">
        <f aca="false">IF(C395="","",IFERROR(INDEX(CLIENTES!$B$6:$B$305,MATCH(C395,CLIENTES!$A$6:$A$305,0)),"⚠ ID no registrado"))</f>
        <v/>
      </c>
      <c r="J395" s="9" t="str">
        <f aca="false">IF(C395="","",IFERROR(INDEX(CLIENTES!$Z$6:$Z$305,MATCH(C395,CLIENTES!$A$6:$A$305,0)),""))</f>
        <v/>
      </c>
      <c r="K395" s="9" t="str">
        <f aca="false">IF(E395="","",IF(AB395="Siempre","Sí",IF(ISNUMBER(AC395),IF(E395&gt;=AC395,"Sí",IF(AW395&gt;=AC395,"Sí (serie 24 h)","No")),"")))</f>
        <v/>
      </c>
      <c r="L395" s="9" t="str">
        <f aca="false">IF(E395="","",AA395)</f>
        <v/>
      </c>
      <c r="M395" s="9" t="str">
        <f aca="false">IF(E395="","",IF(AA395&lt;&gt;"ACUMULA","No aplica",IF(LEFT(K395,2)="Sí","Sí","No")))</f>
        <v/>
      </c>
      <c r="N395" s="23" t="str">
        <f aca="false">IF(M395="Sí",AJ395,"")</f>
        <v/>
      </c>
      <c r="O395" s="24" t="str">
        <f aca="false">IF(M395="Sí",AK395,"")</f>
        <v/>
      </c>
      <c r="P395" s="25" t="str">
        <f aca="false">IF(AND(LEFT(D395,6)="XIV - ",LEFT(AX395,5)="AVISO"),"Pedimento (R 16): no va al SPPLD",AX395)</f>
        <v/>
      </c>
      <c r="Q395" s="23" t="str">
        <f aca="false">IF(LEFT(P395,5)="AVISO",IF(ISNUMBER(B395),DATE(YEAR(B395),MONTH(B395)+1,17),"Falta fecha"),"")</f>
        <v/>
      </c>
      <c r="R395" s="9" t="str">
        <f aca="false">IF(OR(F395="",F395=0),"",IF(ISNUMBER(AG395),IF(F395&gt;=AG395,"PROHIBIDO","Dentro del límite"),"No aplica"))</f>
        <v/>
      </c>
      <c r="S395" s="26" t="str">
        <f aca="false">IF(E395="","",MID(IF(AQ395=1," · Excede el perfil declarado","")&amp;IF(H395="Sí"," · Paga un tercero","")&amp;IF(J395="Alto"," · Cliente de riesgo alto: DDR (RCG 23 Ter 3 y 4)","")&amp;IF(AND(AS395&lt;&gt;"",AS395&lt;&gt;"No",AS395&lt;&gt;0)," · PEP","")&amp;IF(R395="PROHIBIDO"," · Efectivo prohibido: no lo recibas (Art. 32)","")&amp;IF(AR395=1," · ⚠ Fecha fuera de orden","")&amp;IF(LEFT(I395,1)="⚠"," · ⚠ Cliente no registrado","")&amp;IF(D395=""," · ⚠ Falta la actividad","")&amp;IF(AND(LEFT(P395,5)="AVISO",W395="")," · Captura la cifra total con IVA para el Aviso","")&amp;IF(AND(ISNUMBER(W395),W395&lt;E395)," · ⚠ La cifra con IVA es menor que el monto sin IVA",""),4,400))</f>
        <v/>
      </c>
      <c r="T395" s="21"/>
      <c r="U395" s="20"/>
      <c r="V395" s="9" t="str">
        <f aca="false">IF(LEFT(P395,5)&lt;&gt;"AVISO","",IF(T395="Presentado",IF(AND(ISNUMBER(U395),ISNUMBER(Q395),U395&gt;Q395),"Presentado tarde","Presentado"),IF(NOT(ISNUMBER(Q395)),"Falta fecha",IF(Q395&lt;CONFIG!$B$6,"VENCIDO","Vence en "&amp;(Q395-CONFIG!$B$6)&amp;" días"))))</f>
        <v/>
      </c>
      <c r="W395" s="22"/>
      <c r="X395" s="21"/>
      <c r="AA395" s="0" t="str">
        <f aca="false">IF(AM395="","",INDEX(CATÁLOGO!$D$5:$D$39,AM395))</f>
        <v/>
      </c>
      <c r="AB395" s="0" t="str">
        <f aca="false">IF(AM395="","",INDEX(CATÁLOGO!$E$5:$E$39,AM395))</f>
        <v/>
      </c>
      <c r="AC395" s="0" t="str">
        <f aca="false">IF(AB395="","",IF(ISNUMBER(AB395),AB395*AV395,AB395))</f>
        <v/>
      </c>
      <c r="AD395" s="0" t="str">
        <f aca="false">IF(AM395="","",INDEX(CATÁLOGO!$F$5:$F$39,AM395))</f>
        <v/>
      </c>
      <c r="AE395" s="0" t="str">
        <f aca="false">IF(AD395="","",IF(ISNUMBER(AD395),AD395*AV395,AD395))</f>
        <v/>
      </c>
      <c r="AF395" s="0" t="str">
        <f aca="false">IF(AM395="","",INDEX(CATÁLOGO!$G$5:$G$39,AM395))</f>
        <v/>
      </c>
      <c r="AG395" s="0" t="str">
        <f aca="false">IF(AF395="","",IF(ISNUMBER(AF395),AF395*AV395,AF395))</f>
        <v/>
      </c>
      <c r="AH395" s="0" t="str">
        <f aca="false">IF(E395="","",C395&amp;"|"&amp;D395)</f>
        <v/>
      </c>
      <c r="AI395" s="27" t="n">
        <f aca="false">IF(M395&lt;&gt;"Sí",0,SUMPRODUCT(MAX(($AH$5:AH394=AH395)*($M$5:M394="Sí")*ROW($AH$5:AH394))))</f>
        <v>0</v>
      </c>
      <c r="AJ395" s="0" t="str">
        <f aca="false">IF(M395&lt;&gt;"Sí","",IF(AL395=1,B395,INDEX($AJ:$AJ,AI395)))</f>
        <v/>
      </c>
      <c r="AK395" s="0" t="str">
        <f aca="false">IF(M395&lt;&gt;"Sí","",IF(AL395=1,E395,INDEX($AK:$AK,AI395)+E395))</f>
        <v/>
      </c>
      <c r="AL395" s="0" t="str">
        <f aca="false">IF(M395&lt;&gt;"Sí","",IF(AI395=0,1,IF(INDEX($AN:$AN,AI395)=0,1,IF(B395&gt;=EDATE(INDEX($AJ:$AJ,AI395),6),1,0))))</f>
        <v/>
      </c>
      <c r="AM395" s="0" t="str">
        <f aca="false">IF(D395="","",IFERROR(MATCH(D395,CATÁLOGO!$C$5:$C$39,0),""))</f>
        <v/>
      </c>
      <c r="AN395" s="0" t="str">
        <f aca="false">IF(M395&lt;&gt;"Sí","",IF(AND(ISNUMBER(AE395),AK395&gt;=AE395),0,1))</f>
        <v/>
      </c>
      <c r="AO395" s="0" t="str">
        <f aca="false">IF(OR(E395="",C395="",NOT(ISNUMBER(B395))),"",SUMIFS($E$6:$E$505,$C$6:$C$505,C395,$B$6:$B$505,"&gt;="&amp;DATE(YEAR(B395),MONTH(B395),1),$B$6:$B$505,"&lt;"&amp;DATE(YEAR(B395),MONTH(B395)+1,1)))</f>
        <v/>
      </c>
      <c r="AP395" s="0" t="str">
        <f aca="false">IF(C395="","",IFERROR(INDEX(CLIENTES!$M$6:$M$305,MATCH(C395,CLIENTES!$A$6:$A$305,0)),""))</f>
        <v/>
      </c>
      <c r="AQ395" s="27" t="n">
        <f aca="false">IF(AND(ISNUMBER(AO395),ISNUMBER(AP395)),IF(AND(AP395&gt;0,AO395&gt;AP395),1,0),0)</f>
        <v>0</v>
      </c>
      <c r="AR395" s="27" t="n">
        <f aca="false">IF(NOT(ISNUMBER(B395)),0,IF(B395&lt;MAX($B$5:B394),1,0))</f>
        <v>0</v>
      </c>
      <c r="AS395" s="0" t="str">
        <f aca="false">IF(C395="","",IFERROR(INDEX(CLIENTES!$H$6:$H$305,MATCH(C395,CLIENTES!$A$6:$A$305,0)),""))</f>
        <v/>
      </c>
      <c r="AT395" s="0" t="str">
        <f aca="false">IF(AND(LEFT(P395,5)="AVISO",T395&lt;&gt;"Presentado",ISNUMBER(Q395)),Q395,"")</f>
        <v/>
      </c>
      <c r="AU395" s="27" t="n">
        <f aca="false">IF(AND(D395="XVI - Activos virtuales (PSAV): operación de intercambio/transferencia",M395="Sí",ISNUMBER(AE395)),IF(AK395&gt;=AE395,1,0),0)</f>
        <v>0</v>
      </c>
      <c r="AV395" s="30" t="n">
        <f aca="false">IF(NOT(ISNUMBER(B395)),CONFIG!$B$4,IFERROR(INDEX(CONFIG!$I$5:$I$14,MATCH(IF(MONTH(B395)=1,YEAR(B395)-1,YEAR(B395)),CONFIG!$H$5:$H$14,0)),CONFIG!$B$4))</f>
        <v>117.31</v>
      </c>
      <c r="AW395" s="27" t="n">
        <f aca="false">IF(AND(LEFT(D395,4)="I - ",ISNUMBER(B395),C395&lt;&gt;""),SUMIFS($E$6:$E$505,$C$6:$C$505,C395,$D$6:$D$505,D395,$B$6:$B$505,"&gt;"&amp;(B395-1),$B$6:$B$505,"&lt;="&amp;B395),0)</f>
        <v>0</v>
      </c>
      <c r="AX395" s="0" t="str">
        <f aca="false">IF(E395="","",IF(AD395="Siempre","AVISO (siempre)",IF(AD395="No aplica","Sin Aviso (sólo preparas: Ley 17 XI)",IF(NOT(ISNUMBER(AE395)),"",IF(AA395&lt;&gt;"ACUMULA",IF(E395&gt;=AE395,IF(AND(D395="XVI - Activos virtuales (PSAV): cobro de contraprestación (comisión) por el servicio",COUNTIFS($C$6:$C$505,C395,$B$6:$B$505,"&gt;="&amp;INT(B395),$B$6:$B$505,"&lt;"&amp;(INT(B395)+1),$AU$6:$AU$505,1)&gt;0),"En el Aviso del inciso a) (R 31 Bis)","AVISO"),"—"),IF(M395&lt;&gt;"Sí","—",IF(AK395&gt;=AE395,IF(AK395=E395,"AVISO","AVISO (acumulado)"),"Acumulando")))))))</f>
        <v/>
      </c>
    </row>
    <row r="396" customFormat="false" ht="15" hidden="false" customHeight="false" outlineLevel="0" collapsed="false">
      <c r="A396" s="9" t="str">
        <f aca="false">IF(E396="","",ROW()-5)</f>
        <v/>
      </c>
      <c r="B396" s="20"/>
      <c r="C396" s="21"/>
      <c r="D396" s="21"/>
      <c r="E396" s="22"/>
      <c r="F396" s="22"/>
      <c r="G396" s="21"/>
      <c r="H396" s="21"/>
      <c r="I396" s="9" t="str">
        <f aca="false">IF(C396="","",IFERROR(INDEX(CLIENTES!$B$6:$B$305,MATCH(C396,CLIENTES!$A$6:$A$305,0)),"⚠ ID no registrado"))</f>
        <v/>
      </c>
      <c r="J396" s="9" t="str">
        <f aca="false">IF(C396="","",IFERROR(INDEX(CLIENTES!$Z$6:$Z$305,MATCH(C396,CLIENTES!$A$6:$A$305,0)),""))</f>
        <v/>
      </c>
      <c r="K396" s="9" t="str">
        <f aca="false">IF(E396="","",IF(AB396="Siempre","Sí",IF(ISNUMBER(AC396),IF(E396&gt;=AC396,"Sí",IF(AW396&gt;=AC396,"Sí (serie 24 h)","No")),"")))</f>
        <v/>
      </c>
      <c r="L396" s="9" t="str">
        <f aca="false">IF(E396="","",AA396)</f>
        <v/>
      </c>
      <c r="M396" s="9" t="str">
        <f aca="false">IF(E396="","",IF(AA396&lt;&gt;"ACUMULA","No aplica",IF(LEFT(K396,2)="Sí","Sí","No")))</f>
        <v/>
      </c>
      <c r="N396" s="23" t="str">
        <f aca="false">IF(M396="Sí",AJ396,"")</f>
        <v/>
      </c>
      <c r="O396" s="24" t="str">
        <f aca="false">IF(M396="Sí",AK396,"")</f>
        <v/>
      </c>
      <c r="P396" s="25" t="str">
        <f aca="false">IF(AND(LEFT(D396,6)="XIV - ",LEFT(AX396,5)="AVISO"),"Pedimento (R 16): no va al SPPLD",AX396)</f>
        <v/>
      </c>
      <c r="Q396" s="23" t="str">
        <f aca="false">IF(LEFT(P396,5)="AVISO",IF(ISNUMBER(B396),DATE(YEAR(B396),MONTH(B396)+1,17),"Falta fecha"),"")</f>
        <v/>
      </c>
      <c r="R396" s="9" t="str">
        <f aca="false">IF(OR(F396="",F396=0),"",IF(ISNUMBER(AG396),IF(F396&gt;=AG396,"PROHIBIDO","Dentro del límite"),"No aplica"))</f>
        <v/>
      </c>
      <c r="S396" s="26" t="str">
        <f aca="false">IF(E396="","",MID(IF(AQ396=1," · Excede el perfil declarado","")&amp;IF(H396="Sí"," · Paga un tercero","")&amp;IF(J396="Alto"," · Cliente de riesgo alto: DDR (RCG 23 Ter 3 y 4)","")&amp;IF(AND(AS396&lt;&gt;"",AS396&lt;&gt;"No",AS396&lt;&gt;0)," · PEP","")&amp;IF(R396="PROHIBIDO"," · Efectivo prohibido: no lo recibas (Art. 32)","")&amp;IF(AR396=1," · ⚠ Fecha fuera de orden","")&amp;IF(LEFT(I396,1)="⚠"," · ⚠ Cliente no registrado","")&amp;IF(D396=""," · ⚠ Falta la actividad","")&amp;IF(AND(LEFT(P396,5)="AVISO",W396="")," · Captura la cifra total con IVA para el Aviso","")&amp;IF(AND(ISNUMBER(W396),W396&lt;E396)," · ⚠ La cifra con IVA es menor que el monto sin IVA",""),4,400))</f>
        <v/>
      </c>
      <c r="T396" s="21"/>
      <c r="U396" s="20"/>
      <c r="V396" s="9" t="str">
        <f aca="false">IF(LEFT(P396,5)&lt;&gt;"AVISO","",IF(T396="Presentado",IF(AND(ISNUMBER(U396),ISNUMBER(Q396),U396&gt;Q396),"Presentado tarde","Presentado"),IF(NOT(ISNUMBER(Q396)),"Falta fecha",IF(Q396&lt;CONFIG!$B$6,"VENCIDO","Vence en "&amp;(Q396-CONFIG!$B$6)&amp;" días"))))</f>
        <v/>
      </c>
      <c r="W396" s="22"/>
      <c r="X396" s="21"/>
      <c r="AA396" s="0" t="str">
        <f aca="false">IF(AM396="","",INDEX(CATÁLOGO!$D$5:$D$39,AM396))</f>
        <v/>
      </c>
      <c r="AB396" s="0" t="str">
        <f aca="false">IF(AM396="","",INDEX(CATÁLOGO!$E$5:$E$39,AM396))</f>
        <v/>
      </c>
      <c r="AC396" s="0" t="str">
        <f aca="false">IF(AB396="","",IF(ISNUMBER(AB396),AB396*AV396,AB396))</f>
        <v/>
      </c>
      <c r="AD396" s="0" t="str">
        <f aca="false">IF(AM396="","",INDEX(CATÁLOGO!$F$5:$F$39,AM396))</f>
        <v/>
      </c>
      <c r="AE396" s="0" t="str">
        <f aca="false">IF(AD396="","",IF(ISNUMBER(AD396),AD396*AV396,AD396))</f>
        <v/>
      </c>
      <c r="AF396" s="0" t="str">
        <f aca="false">IF(AM396="","",INDEX(CATÁLOGO!$G$5:$G$39,AM396))</f>
        <v/>
      </c>
      <c r="AG396" s="0" t="str">
        <f aca="false">IF(AF396="","",IF(ISNUMBER(AF396),AF396*AV396,AF396))</f>
        <v/>
      </c>
      <c r="AH396" s="0" t="str">
        <f aca="false">IF(E396="","",C396&amp;"|"&amp;D396)</f>
        <v/>
      </c>
      <c r="AI396" s="27" t="n">
        <f aca="false">IF(M396&lt;&gt;"Sí",0,SUMPRODUCT(MAX(($AH$5:AH395=AH396)*($M$5:M395="Sí")*ROW($AH$5:AH395))))</f>
        <v>0</v>
      </c>
      <c r="AJ396" s="0" t="str">
        <f aca="false">IF(M396&lt;&gt;"Sí","",IF(AL396=1,B396,INDEX($AJ:$AJ,AI396)))</f>
        <v/>
      </c>
      <c r="AK396" s="0" t="str">
        <f aca="false">IF(M396&lt;&gt;"Sí","",IF(AL396=1,E396,INDEX($AK:$AK,AI396)+E396))</f>
        <v/>
      </c>
      <c r="AL396" s="0" t="str">
        <f aca="false">IF(M396&lt;&gt;"Sí","",IF(AI396=0,1,IF(INDEX($AN:$AN,AI396)=0,1,IF(B396&gt;=EDATE(INDEX($AJ:$AJ,AI396),6),1,0))))</f>
        <v/>
      </c>
      <c r="AM396" s="0" t="str">
        <f aca="false">IF(D396="","",IFERROR(MATCH(D396,CATÁLOGO!$C$5:$C$39,0),""))</f>
        <v/>
      </c>
      <c r="AN396" s="0" t="str">
        <f aca="false">IF(M396&lt;&gt;"Sí","",IF(AND(ISNUMBER(AE396),AK396&gt;=AE396),0,1))</f>
        <v/>
      </c>
      <c r="AO396" s="0" t="str">
        <f aca="false">IF(OR(E396="",C396="",NOT(ISNUMBER(B396))),"",SUMIFS($E$6:$E$505,$C$6:$C$505,C396,$B$6:$B$505,"&gt;="&amp;DATE(YEAR(B396),MONTH(B396),1),$B$6:$B$505,"&lt;"&amp;DATE(YEAR(B396),MONTH(B396)+1,1)))</f>
        <v/>
      </c>
      <c r="AP396" s="0" t="str">
        <f aca="false">IF(C396="","",IFERROR(INDEX(CLIENTES!$M$6:$M$305,MATCH(C396,CLIENTES!$A$6:$A$305,0)),""))</f>
        <v/>
      </c>
      <c r="AQ396" s="27" t="n">
        <f aca="false">IF(AND(ISNUMBER(AO396),ISNUMBER(AP396)),IF(AND(AP396&gt;0,AO396&gt;AP396),1,0),0)</f>
        <v>0</v>
      </c>
      <c r="AR396" s="27" t="n">
        <f aca="false">IF(NOT(ISNUMBER(B396)),0,IF(B396&lt;MAX($B$5:B395),1,0))</f>
        <v>0</v>
      </c>
      <c r="AS396" s="0" t="str">
        <f aca="false">IF(C396="","",IFERROR(INDEX(CLIENTES!$H$6:$H$305,MATCH(C396,CLIENTES!$A$6:$A$305,0)),""))</f>
        <v/>
      </c>
      <c r="AT396" s="0" t="str">
        <f aca="false">IF(AND(LEFT(P396,5)="AVISO",T396&lt;&gt;"Presentado",ISNUMBER(Q396)),Q396,"")</f>
        <v/>
      </c>
      <c r="AU396" s="27" t="n">
        <f aca="false">IF(AND(D396="XVI - Activos virtuales (PSAV): operación de intercambio/transferencia",M396="Sí",ISNUMBER(AE396)),IF(AK396&gt;=AE396,1,0),0)</f>
        <v>0</v>
      </c>
      <c r="AV396" s="30" t="n">
        <f aca="false">IF(NOT(ISNUMBER(B396)),CONFIG!$B$4,IFERROR(INDEX(CONFIG!$I$5:$I$14,MATCH(IF(MONTH(B396)=1,YEAR(B396)-1,YEAR(B396)),CONFIG!$H$5:$H$14,0)),CONFIG!$B$4))</f>
        <v>117.31</v>
      </c>
      <c r="AW396" s="27" t="n">
        <f aca="false">IF(AND(LEFT(D396,4)="I - ",ISNUMBER(B396),C396&lt;&gt;""),SUMIFS($E$6:$E$505,$C$6:$C$505,C396,$D$6:$D$505,D396,$B$6:$B$505,"&gt;"&amp;(B396-1),$B$6:$B$505,"&lt;="&amp;B396),0)</f>
        <v>0</v>
      </c>
      <c r="AX396" s="0" t="str">
        <f aca="false">IF(E396="","",IF(AD396="Siempre","AVISO (siempre)",IF(AD396="No aplica","Sin Aviso (sólo preparas: Ley 17 XI)",IF(NOT(ISNUMBER(AE396)),"",IF(AA396&lt;&gt;"ACUMULA",IF(E396&gt;=AE396,IF(AND(D396="XVI - Activos virtuales (PSAV): cobro de contraprestación (comisión) por el servicio",COUNTIFS($C$6:$C$505,C396,$B$6:$B$505,"&gt;="&amp;INT(B396),$B$6:$B$505,"&lt;"&amp;(INT(B396)+1),$AU$6:$AU$505,1)&gt;0),"En el Aviso del inciso a) (R 31 Bis)","AVISO"),"—"),IF(M396&lt;&gt;"Sí","—",IF(AK396&gt;=AE396,IF(AK396=E396,"AVISO","AVISO (acumulado)"),"Acumulando")))))))</f>
        <v/>
      </c>
    </row>
    <row r="397" customFormat="false" ht="15" hidden="false" customHeight="false" outlineLevel="0" collapsed="false">
      <c r="A397" s="9" t="str">
        <f aca="false">IF(E397="","",ROW()-5)</f>
        <v/>
      </c>
      <c r="B397" s="20"/>
      <c r="C397" s="21"/>
      <c r="D397" s="21"/>
      <c r="E397" s="22"/>
      <c r="F397" s="22"/>
      <c r="G397" s="21"/>
      <c r="H397" s="21"/>
      <c r="I397" s="9" t="str">
        <f aca="false">IF(C397="","",IFERROR(INDEX(CLIENTES!$B$6:$B$305,MATCH(C397,CLIENTES!$A$6:$A$305,0)),"⚠ ID no registrado"))</f>
        <v/>
      </c>
      <c r="J397" s="9" t="str">
        <f aca="false">IF(C397="","",IFERROR(INDEX(CLIENTES!$Z$6:$Z$305,MATCH(C397,CLIENTES!$A$6:$A$305,0)),""))</f>
        <v/>
      </c>
      <c r="K397" s="9" t="str">
        <f aca="false">IF(E397="","",IF(AB397="Siempre","Sí",IF(ISNUMBER(AC397),IF(E397&gt;=AC397,"Sí",IF(AW397&gt;=AC397,"Sí (serie 24 h)","No")),"")))</f>
        <v/>
      </c>
      <c r="L397" s="9" t="str">
        <f aca="false">IF(E397="","",AA397)</f>
        <v/>
      </c>
      <c r="M397" s="9" t="str">
        <f aca="false">IF(E397="","",IF(AA397&lt;&gt;"ACUMULA","No aplica",IF(LEFT(K397,2)="Sí","Sí","No")))</f>
        <v/>
      </c>
      <c r="N397" s="23" t="str">
        <f aca="false">IF(M397="Sí",AJ397,"")</f>
        <v/>
      </c>
      <c r="O397" s="24" t="str">
        <f aca="false">IF(M397="Sí",AK397,"")</f>
        <v/>
      </c>
      <c r="P397" s="25" t="str">
        <f aca="false">IF(AND(LEFT(D397,6)="XIV - ",LEFT(AX397,5)="AVISO"),"Pedimento (R 16): no va al SPPLD",AX397)</f>
        <v/>
      </c>
      <c r="Q397" s="23" t="str">
        <f aca="false">IF(LEFT(P397,5)="AVISO",IF(ISNUMBER(B397),DATE(YEAR(B397),MONTH(B397)+1,17),"Falta fecha"),"")</f>
        <v/>
      </c>
      <c r="R397" s="9" t="str">
        <f aca="false">IF(OR(F397="",F397=0),"",IF(ISNUMBER(AG397),IF(F397&gt;=AG397,"PROHIBIDO","Dentro del límite"),"No aplica"))</f>
        <v/>
      </c>
      <c r="S397" s="26" t="str">
        <f aca="false">IF(E397="","",MID(IF(AQ397=1," · Excede el perfil declarado","")&amp;IF(H397="Sí"," · Paga un tercero","")&amp;IF(J397="Alto"," · Cliente de riesgo alto: DDR (RCG 23 Ter 3 y 4)","")&amp;IF(AND(AS397&lt;&gt;"",AS397&lt;&gt;"No",AS397&lt;&gt;0)," · PEP","")&amp;IF(R397="PROHIBIDO"," · Efectivo prohibido: no lo recibas (Art. 32)","")&amp;IF(AR397=1," · ⚠ Fecha fuera de orden","")&amp;IF(LEFT(I397,1)="⚠"," · ⚠ Cliente no registrado","")&amp;IF(D397=""," · ⚠ Falta la actividad","")&amp;IF(AND(LEFT(P397,5)="AVISO",W397="")," · Captura la cifra total con IVA para el Aviso","")&amp;IF(AND(ISNUMBER(W397),W397&lt;E397)," · ⚠ La cifra con IVA es menor que el monto sin IVA",""),4,400))</f>
        <v/>
      </c>
      <c r="T397" s="21"/>
      <c r="U397" s="20"/>
      <c r="V397" s="9" t="str">
        <f aca="false">IF(LEFT(P397,5)&lt;&gt;"AVISO","",IF(T397="Presentado",IF(AND(ISNUMBER(U397),ISNUMBER(Q397),U397&gt;Q397),"Presentado tarde","Presentado"),IF(NOT(ISNUMBER(Q397)),"Falta fecha",IF(Q397&lt;CONFIG!$B$6,"VENCIDO","Vence en "&amp;(Q397-CONFIG!$B$6)&amp;" días"))))</f>
        <v/>
      </c>
      <c r="W397" s="22"/>
      <c r="X397" s="21"/>
      <c r="AA397" s="0" t="str">
        <f aca="false">IF(AM397="","",INDEX(CATÁLOGO!$D$5:$D$39,AM397))</f>
        <v/>
      </c>
      <c r="AB397" s="0" t="str">
        <f aca="false">IF(AM397="","",INDEX(CATÁLOGO!$E$5:$E$39,AM397))</f>
        <v/>
      </c>
      <c r="AC397" s="0" t="str">
        <f aca="false">IF(AB397="","",IF(ISNUMBER(AB397),AB397*AV397,AB397))</f>
        <v/>
      </c>
      <c r="AD397" s="0" t="str">
        <f aca="false">IF(AM397="","",INDEX(CATÁLOGO!$F$5:$F$39,AM397))</f>
        <v/>
      </c>
      <c r="AE397" s="0" t="str">
        <f aca="false">IF(AD397="","",IF(ISNUMBER(AD397),AD397*AV397,AD397))</f>
        <v/>
      </c>
      <c r="AF397" s="0" t="str">
        <f aca="false">IF(AM397="","",INDEX(CATÁLOGO!$G$5:$G$39,AM397))</f>
        <v/>
      </c>
      <c r="AG397" s="0" t="str">
        <f aca="false">IF(AF397="","",IF(ISNUMBER(AF397),AF397*AV397,AF397))</f>
        <v/>
      </c>
      <c r="AH397" s="0" t="str">
        <f aca="false">IF(E397="","",C397&amp;"|"&amp;D397)</f>
        <v/>
      </c>
      <c r="AI397" s="27" t="n">
        <f aca="false">IF(M397&lt;&gt;"Sí",0,SUMPRODUCT(MAX(($AH$5:AH396=AH397)*($M$5:M396="Sí")*ROW($AH$5:AH396))))</f>
        <v>0</v>
      </c>
      <c r="AJ397" s="0" t="str">
        <f aca="false">IF(M397&lt;&gt;"Sí","",IF(AL397=1,B397,INDEX($AJ:$AJ,AI397)))</f>
        <v/>
      </c>
      <c r="AK397" s="0" t="str">
        <f aca="false">IF(M397&lt;&gt;"Sí","",IF(AL397=1,E397,INDEX($AK:$AK,AI397)+E397))</f>
        <v/>
      </c>
      <c r="AL397" s="0" t="str">
        <f aca="false">IF(M397&lt;&gt;"Sí","",IF(AI397=0,1,IF(INDEX($AN:$AN,AI397)=0,1,IF(B397&gt;=EDATE(INDEX($AJ:$AJ,AI397),6),1,0))))</f>
        <v/>
      </c>
      <c r="AM397" s="0" t="str">
        <f aca="false">IF(D397="","",IFERROR(MATCH(D397,CATÁLOGO!$C$5:$C$39,0),""))</f>
        <v/>
      </c>
      <c r="AN397" s="0" t="str">
        <f aca="false">IF(M397&lt;&gt;"Sí","",IF(AND(ISNUMBER(AE397),AK397&gt;=AE397),0,1))</f>
        <v/>
      </c>
      <c r="AO397" s="0" t="str">
        <f aca="false">IF(OR(E397="",C397="",NOT(ISNUMBER(B397))),"",SUMIFS($E$6:$E$505,$C$6:$C$505,C397,$B$6:$B$505,"&gt;="&amp;DATE(YEAR(B397),MONTH(B397),1),$B$6:$B$505,"&lt;"&amp;DATE(YEAR(B397),MONTH(B397)+1,1)))</f>
        <v/>
      </c>
      <c r="AP397" s="0" t="str">
        <f aca="false">IF(C397="","",IFERROR(INDEX(CLIENTES!$M$6:$M$305,MATCH(C397,CLIENTES!$A$6:$A$305,0)),""))</f>
        <v/>
      </c>
      <c r="AQ397" s="27" t="n">
        <f aca="false">IF(AND(ISNUMBER(AO397),ISNUMBER(AP397)),IF(AND(AP397&gt;0,AO397&gt;AP397),1,0),0)</f>
        <v>0</v>
      </c>
      <c r="AR397" s="27" t="n">
        <f aca="false">IF(NOT(ISNUMBER(B397)),0,IF(B397&lt;MAX($B$5:B396),1,0))</f>
        <v>0</v>
      </c>
      <c r="AS397" s="0" t="str">
        <f aca="false">IF(C397="","",IFERROR(INDEX(CLIENTES!$H$6:$H$305,MATCH(C397,CLIENTES!$A$6:$A$305,0)),""))</f>
        <v/>
      </c>
      <c r="AT397" s="0" t="str">
        <f aca="false">IF(AND(LEFT(P397,5)="AVISO",T397&lt;&gt;"Presentado",ISNUMBER(Q397)),Q397,"")</f>
        <v/>
      </c>
      <c r="AU397" s="27" t="n">
        <f aca="false">IF(AND(D397="XVI - Activos virtuales (PSAV): operación de intercambio/transferencia",M397="Sí",ISNUMBER(AE397)),IF(AK397&gt;=AE397,1,0),0)</f>
        <v>0</v>
      </c>
      <c r="AV397" s="30" t="n">
        <f aca="false">IF(NOT(ISNUMBER(B397)),CONFIG!$B$4,IFERROR(INDEX(CONFIG!$I$5:$I$14,MATCH(IF(MONTH(B397)=1,YEAR(B397)-1,YEAR(B397)),CONFIG!$H$5:$H$14,0)),CONFIG!$B$4))</f>
        <v>117.31</v>
      </c>
      <c r="AW397" s="27" t="n">
        <f aca="false">IF(AND(LEFT(D397,4)="I - ",ISNUMBER(B397),C397&lt;&gt;""),SUMIFS($E$6:$E$505,$C$6:$C$505,C397,$D$6:$D$505,D397,$B$6:$B$505,"&gt;"&amp;(B397-1),$B$6:$B$505,"&lt;="&amp;B397),0)</f>
        <v>0</v>
      </c>
      <c r="AX397" s="0" t="str">
        <f aca="false">IF(E397="","",IF(AD397="Siempre","AVISO (siempre)",IF(AD397="No aplica","Sin Aviso (sólo preparas: Ley 17 XI)",IF(NOT(ISNUMBER(AE397)),"",IF(AA397&lt;&gt;"ACUMULA",IF(E397&gt;=AE397,IF(AND(D397="XVI - Activos virtuales (PSAV): cobro de contraprestación (comisión) por el servicio",COUNTIFS($C$6:$C$505,C397,$B$6:$B$505,"&gt;="&amp;INT(B397),$B$6:$B$505,"&lt;"&amp;(INT(B397)+1),$AU$6:$AU$505,1)&gt;0),"En el Aviso del inciso a) (R 31 Bis)","AVISO"),"—"),IF(M397&lt;&gt;"Sí","—",IF(AK397&gt;=AE397,IF(AK397=E397,"AVISO","AVISO (acumulado)"),"Acumulando")))))))</f>
        <v/>
      </c>
    </row>
    <row r="398" customFormat="false" ht="15" hidden="false" customHeight="false" outlineLevel="0" collapsed="false">
      <c r="A398" s="9" t="str">
        <f aca="false">IF(E398="","",ROW()-5)</f>
        <v/>
      </c>
      <c r="B398" s="20"/>
      <c r="C398" s="21"/>
      <c r="D398" s="21"/>
      <c r="E398" s="22"/>
      <c r="F398" s="22"/>
      <c r="G398" s="21"/>
      <c r="H398" s="21"/>
      <c r="I398" s="9" t="str">
        <f aca="false">IF(C398="","",IFERROR(INDEX(CLIENTES!$B$6:$B$305,MATCH(C398,CLIENTES!$A$6:$A$305,0)),"⚠ ID no registrado"))</f>
        <v/>
      </c>
      <c r="J398" s="9" t="str">
        <f aca="false">IF(C398="","",IFERROR(INDEX(CLIENTES!$Z$6:$Z$305,MATCH(C398,CLIENTES!$A$6:$A$305,0)),""))</f>
        <v/>
      </c>
      <c r="K398" s="9" t="str">
        <f aca="false">IF(E398="","",IF(AB398="Siempre","Sí",IF(ISNUMBER(AC398),IF(E398&gt;=AC398,"Sí",IF(AW398&gt;=AC398,"Sí (serie 24 h)","No")),"")))</f>
        <v/>
      </c>
      <c r="L398" s="9" t="str">
        <f aca="false">IF(E398="","",AA398)</f>
        <v/>
      </c>
      <c r="M398" s="9" t="str">
        <f aca="false">IF(E398="","",IF(AA398&lt;&gt;"ACUMULA","No aplica",IF(LEFT(K398,2)="Sí","Sí","No")))</f>
        <v/>
      </c>
      <c r="N398" s="23" t="str">
        <f aca="false">IF(M398="Sí",AJ398,"")</f>
        <v/>
      </c>
      <c r="O398" s="24" t="str">
        <f aca="false">IF(M398="Sí",AK398,"")</f>
        <v/>
      </c>
      <c r="P398" s="25" t="str">
        <f aca="false">IF(AND(LEFT(D398,6)="XIV - ",LEFT(AX398,5)="AVISO"),"Pedimento (R 16): no va al SPPLD",AX398)</f>
        <v/>
      </c>
      <c r="Q398" s="23" t="str">
        <f aca="false">IF(LEFT(P398,5)="AVISO",IF(ISNUMBER(B398),DATE(YEAR(B398),MONTH(B398)+1,17),"Falta fecha"),"")</f>
        <v/>
      </c>
      <c r="R398" s="9" t="str">
        <f aca="false">IF(OR(F398="",F398=0),"",IF(ISNUMBER(AG398),IF(F398&gt;=AG398,"PROHIBIDO","Dentro del límite"),"No aplica"))</f>
        <v/>
      </c>
      <c r="S398" s="26" t="str">
        <f aca="false">IF(E398="","",MID(IF(AQ398=1," · Excede el perfil declarado","")&amp;IF(H398="Sí"," · Paga un tercero","")&amp;IF(J398="Alto"," · Cliente de riesgo alto: DDR (RCG 23 Ter 3 y 4)","")&amp;IF(AND(AS398&lt;&gt;"",AS398&lt;&gt;"No",AS398&lt;&gt;0)," · PEP","")&amp;IF(R398="PROHIBIDO"," · Efectivo prohibido: no lo recibas (Art. 32)","")&amp;IF(AR398=1," · ⚠ Fecha fuera de orden","")&amp;IF(LEFT(I398,1)="⚠"," · ⚠ Cliente no registrado","")&amp;IF(D398=""," · ⚠ Falta la actividad","")&amp;IF(AND(LEFT(P398,5)="AVISO",W398="")," · Captura la cifra total con IVA para el Aviso","")&amp;IF(AND(ISNUMBER(W398),W398&lt;E398)," · ⚠ La cifra con IVA es menor que el monto sin IVA",""),4,400))</f>
        <v/>
      </c>
      <c r="T398" s="21"/>
      <c r="U398" s="20"/>
      <c r="V398" s="9" t="str">
        <f aca="false">IF(LEFT(P398,5)&lt;&gt;"AVISO","",IF(T398="Presentado",IF(AND(ISNUMBER(U398),ISNUMBER(Q398),U398&gt;Q398),"Presentado tarde","Presentado"),IF(NOT(ISNUMBER(Q398)),"Falta fecha",IF(Q398&lt;CONFIG!$B$6,"VENCIDO","Vence en "&amp;(Q398-CONFIG!$B$6)&amp;" días"))))</f>
        <v/>
      </c>
      <c r="W398" s="22"/>
      <c r="X398" s="21"/>
      <c r="AA398" s="0" t="str">
        <f aca="false">IF(AM398="","",INDEX(CATÁLOGO!$D$5:$D$39,AM398))</f>
        <v/>
      </c>
      <c r="AB398" s="0" t="str">
        <f aca="false">IF(AM398="","",INDEX(CATÁLOGO!$E$5:$E$39,AM398))</f>
        <v/>
      </c>
      <c r="AC398" s="0" t="str">
        <f aca="false">IF(AB398="","",IF(ISNUMBER(AB398),AB398*AV398,AB398))</f>
        <v/>
      </c>
      <c r="AD398" s="0" t="str">
        <f aca="false">IF(AM398="","",INDEX(CATÁLOGO!$F$5:$F$39,AM398))</f>
        <v/>
      </c>
      <c r="AE398" s="0" t="str">
        <f aca="false">IF(AD398="","",IF(ISNUMBER(AD398),AD398*AV398,AD398))</f>
        <v/>
      </c>
      <c r="AF398" s="0" t="str">
        <f aca="false">IF(AM398="","",INDEX(CATÁLOGO!$G$5:$G$39,AM398))</f>
        <v/>
      </c>
      <c r="AG398" s="0" t="str">
        <f aca="false">IF(AF398="","",IF(ISNUMBER(AF398),AF398*AV398,AF398))</f>
        <v/>
      </c>
      <c r="AH398" s="0" t="str">
        <f aca="false">IF(E398="","",C398&amp;"|"&amp;D398)</f>
        <v/>
      </c>
      <c r="AI398" s="27" t="n">
        <f aca="false">IF(M398&lt;&gt;"Sí",0,SUMPRODUCT(MAX(($AH$5:AH397=AH398)*($M$5:M397="Sí")*ROW($AH$5:AH397))))</f>
        <v>0</v>
      </c>
      <c r="AJ398" s="0" t="str">
        <f aca="false">IF(M398&lt;&gt;"Sí","",IF(AL398=1,B398,INDEX($AJ:$AJ,AI398)))</f>
        <v/>
      </c>
      <c r="AK398" s="0" t="str">
        <f aca="false">IF(M398&lt;&gt;"Sí","",IF(AL398=1,E398,INDEX($AK:$AK,AI398)+E398))</f>
        <v/>
      </c>
      <c r="AL398" s="0" t="str">
        <f aca="false">IF(M398&lt;&gt;"Sí","",IF(AI398=0,1,IF(INDEX($AN:$AN,AI398)=0,1,IF(B398&gt;=EDATE(INDEX($AJ:$AJ,AI398),6),1,0))))</f>
        <v/>
      </c>
      <c r="AM398" s="0" t="str">
        <f aca="false">IF(D398="","",IFERROR(MATCH(D398,CATÁLOGO!$C$5:$C$39,0),""))</f>
        <v/>
      </c>
      <c r="AN398" s="0" t="str">
        <f aca="false">IF(M398&lt;&gt;"Sí","",IF(AND(ISNUMBER(AE398),AK398&gt;=AE398),0,1))</f>
        <v/>
      </c>
      <c r="AO398" s="0" t="str">
        <f aca="false">IF(OR(E398="",C398="",NOT(ISNUMBER(B398))),"",SUMIFS($E$6:$E$505,$C$6:$C$505,C398,$B$6:$B$505,"&gt;="&amp;DATE(YEAR(B398),MONTH(B398),1),$B$6:$B$505,"&lt;"&amp;DATE(YEAR(B398),MONTH(B398)+1,1)))</f>
        <v/>
      </c>
      <c r="AP398" s="0" t="str">
        <f aca="false">IF(C398="","",IFERROR(INDEX(CLIENTES!$M$6:$M$305,MATCH(C398,CLIENTES!$A$6:$A$305,0)),""))</f>
        <v/>
      </c>
      <c r="AQ398" s="27" t="n">
        <f aca="false">IF(AND(ISNUMBER(AO398),ISNUMBER(AP398)),IF(AND(AP398&gt;0,AO398&gt;AP398),1,0),0)</f>
        <v>0</v>
      </c>
      <c r="AR398" s="27" t="n">
        <f aca="false">IF(NOT(ISNUMBER(B398)),0,IF(B398&lt;MAX($B$5:B397),1,0))</f>
        <v>0</v>
      </c>
      <c r="AS398" s="0" t="str">
        <f aca="false">IF(C398="","",IFERROR(INDEX(CLIENTES!$H$6:$H$305,MATCH(C398,CLIENTES!$A$6:$A$305,0)),""))</f>
        <v/>
      </c>
      <c r="AT398" s="0" t="str">
        <f aca="false">IF(AND(LEFT(P398,5)="AVISO",T398&lt;&gt;"Presentado",ISNUMBER(Q398)),Q398,"")</f>
        <v/>
      </c>
      <c r="AU398" s="27" t="n">
        <f aca="false">IF(AND(D398="XVI - Activos virtuales (PSAV): operación de intercambio/transferencia",M398="Sí",ISNUMBER(AE398)),IF(AK398&gt;=AE398,1,0),0)</f>
        <v>0</v>
      </c>
      <c r="AV398" s="30" t="n">
        <f aca="false">IF(NOT(ISNUMBER(B398)),CONFIG!$B$4,IFERROR(INDEX(CONFIG!$I$5:$I$14,MATCH(IF(MONTH(B398)=1,YEAR(B398)-1,YEAR(B398)),CONFIG!$H$5:$H$14,0)),CONFIG!$B$4))</f>
        <v>117.31</v>
      </c>
      <c r="AW398" s="27" t="n">
        <f aca="false">IF(AND(LEFT(D398,4)="I - ",ISNUMBER(B398),C398&lt;&gt;""),SUMIFS($E$6:$E$505,$C$6:$C$505,C398,$D$6:$D$505,D398,$B$6:$B$505,"&gt;"&amp;(B398-1),$B$6:$B$505,"&lt;="&amp;B398),0)</f>
        <v>0</v>
      </c>
      <c r="AX398" s="0" t="str">
        <f aca="false">IF(E398="","",IF(AD398="Siempre","AVISO (siempre)",IF(AD398="No aplica","Sin Aviso (sólo preparas: Ley 17 XI)",IF(NOT(ISNUMBER(AE398)),"",IF(AA398&lt;&gt;"ACUMULA",IF(E398&gt;=AE398,IF(AND(D398="XVI - Activos virtuales (PSAV): cobro de contraprestación (comisión) por el servicio",COUNTIFS($C$6:$C$505,C398,$B$6:$B$505,"&gt;="&amp;INT(B398),$B$6:$B$505,"&lt;"&amp;(INT(B398)+1),$AU$6:$AU$505,1)&gt;0),"En el Aviso del inciso a) (R 31 Bis)","AVISO"),"—"),IF(M398&lt;&gt;"Sí","—",IF(AK398&gt;=AE398,IF(AK398=E398,"AVISO","AVISO (acumulado)"),"Acumulando")))))))</f>
        <v/>
      </c>
    </row>
    <row r="399" customFormat="false" ht="15" hidden="false" customHeight="false" outlineLevel="0" collapsed="false">
      <c r="A399" s="9" t="str">
        <f aca="false">IF(E399="","",ROW()-5)</f>
        <v/>
      </c>
      <c r="B399" s="20"/>
      <c r="C399" s="21"/>
      <c r="D399" s="21"/>
      <c r="E399" s="22"/>
      <c r="F399" s="22"/>
      <c r="G399" s="21"/>
      <c r="H399" s="21"/>
      <c r="I399" s="9" t="str">
        <f aca="false">IF(C399="","",IFERROR(INDEX(CLIENTES!$B$6:$B$305,MATCH(C399,CLIENTES!$A$6:$A$305,0)),"⚠ ID no registrado"))</f>
        <v/>
      </c>
      <c r="J399" s="9" t="str">
        <f aca="false">IF(C399="","",IFERROR(INDEX(CLIENTES!$Z$6:$Z$305,MATCH(C399,CLIENTES!$A$6:$A$305,0)),""))</f>
        <v/>
      </c>
      <c r="K399" s="9" t="str">
        <f aca="false">IF(E399="","",IF(AB399="Siempre","Sí",IF(ISNUMBER(AC399),IF(E399&gt;=AC399,"Sí",IF(AW399&gt;=AC399,"Sí (serie 24 h)","No")),"")))</f>
        <v/>
      </c>
      <c r="L399" s="9" t="str">
        <f aca="false">IF(E399="","",AA399)</f>
        <v/>
      </c>
      <c r="M399" s="9" t="str">
        <f aca="false">IF(E399="","",IF(AA399&lt;&gt;"ACUMULA","No aplica",IF(LEFT(K399,2)="Sí","Sí","No")))</f>
        <v/>
      </c>
      <c r="N399" s="23" t="str">
        <f aca="false">IF(M399="Sí",AJ399,"")</f>
        <v/>
      </c>
      <c r="O399" s="24" t="str">
        <f aca="false">IF(M399="Sí",AK399,"")</f>
        <v/>
      </c>
      <c r="P399" s="25" t="str">
        <f aca="false">IF(AND(LEFT(D399,6)="XIV - ",LEFT(AX399,5)="AVISO"),"Pedimento (R 16): no va al SPPLD",AX399)</f>
        <v/>
      </c>
      <c r="Q399" s="23" t="str">
        <f aca="false">IF(LEFT(P399,5)="AVISO",IF(ISNUMBER(B399),DATE(YEAR(B399),MONTH(B399)+1,17),"Falta fecha"),"")</f>
        <v/>
      </c>
      <c r="R399" s="9" t="str">
        <f aca="false">IF(OR(F399="",F399=0),"",IF(ISNUMBER(AG399),IF(F399&gt;=AG399,"PROHIBIDO","Dentro del límite"),"No aplica"))</f>
        <v/>
      </c>
      <c r="S399" s="26" t="str">
        <f aca="false">IF(E399="","",MID(IF(AQ399=1," · Excede el perfil declarado","")&amp;IF(H399="Sí"," · Paga un tercero","")&amp;IF(J399="Alto"," · Cliente de riesgo alto: DDR (RCG 23 Ter 3 y 4)","")&amp;IF(AND(AS399&lt;&gt;"",AS399&lt;&gt;"No",AS399&lt;&gt;0)," · PEP","")&amp;IF(R399="PROHIBIDO"," · Efectivo prohibido: no lo recibas (Art. 32)","")&amp;IF(AR399=1," · ⚠ Fecha fuera de orden","")&amp;IF(LEFT(I399,1)="⚠"," · ⚠ Cliente no registrado","")&amp;IF(D399=""," · ⚠ Falta la actividad","")&amp;IF(AND(LEFT(P399,5)="AVISO",W399="")," · Captura la cifra total con IVA para el Aviso","")&amp;IF(AND(ISNUMBER(W399),W399&lt;E399)," · ⚠ La cifra con IVA es menor que el monto sin IVA",""),4,400))</f>
        <v/>
      </c>
      <c r="T399" s="21"/>
      <c r="U399" s="20"/>
      <c r="V399" s="9" t="str">
        <f aca="false">IF(LEFT(P399,5)&lt;&gt;"AVISO","",IF(T399="Presentado",IF(AND(ISNUMBER(U399),ISNUMBER(Q399),U399&gt;Q399),"Presentado tarde","Presentado"),IF(NOT(ISNUMBER(Q399)),"Falta fecha",IF(Q399&lt;CONFIG!$B$6,"VENCIDO","Vence en "&amp;(Q399-CONFIG!$B$6)&amp;" días"))))</f>
        <v/>
      </c>
      <c r="W399" s="22"/>
      <c r="X399" s="21"/>
      <c r="AA399" s="0" t="str">
        <f aca="false">IF(AM399="","",INDEX(CATÁLOGO!$D$5:$D$39,AM399))</f>
        <v/>
      </c>
      <c r="AB399" s="0" t="str">
        <f aca="false">IF(AM399="","",INDEX(CATÁLOGO!$E$5:$E$39,AM399))</f>
        <v/>
      </c>
      <c r="AC399" s="0" t="str">
        <f aca="false">IF(AB399="","",IF(ISNUMBER(AB399),AB399*AV399,AB399))</f>
        <v/>
      </c>
      <c r="AD399" s="0" t="str">
        <f aca="false">IF(AM399="","",INDEX(CATÁLOGO!$F$5:$F$39,AM399))</f>
        <v/>
      </c>
      <c r="AE399" s="0" t="str">
        <f aca="false">IF(AD399="","",IF(ISNUMBER(AD399),AD399*AV399,AD399))</f>
        <v/>
      </c>
      <c r="AF399" s="0" t="str">
        <f aca="false">IF(AM399="","",INDEX(CATÁLOGO!$G$5:$G$39,AM399))</f>
        <v/>
      </c>
      <c r="AG399" s="0" t="str">
        <f aca="false">IF(AF399="","",IF(ISNUMBER(AF399),AF399*AV399,AF399))</f>
        <v/>
      </c>
      <c r="AH399" s="0" t="str">
        <f aca="false">IF(E399="","",C399&amp;"|"&amp;D399)</f>
        <v/>
      </c>
      <c r="AI399" s="27" t="n">
        <f aca="false">IF(M399&lt;&gt;"Sí",0,SUMPRODUCT(MAX(($AH$5:AH398=AH399)*($M$5:M398="Sí")*ROW($AH$5:AH398))))</f>
        <v>0</v>
      </c>
      <c r="AJ399" s="0" t="str">
        <f aca="false">IF(M399&lt;&gt;"Sí","",IF(AL399=1,B399,INDEX($AJ:$AJ,AI399)))</f>
        <v/>
      </c>
      <c r="AK399" s="0" t="str">
        <f aca="false">IF(M399&lt;&gt;"Sí","",IF(AL399=1,E399,INDEX($AK:$AK,AI399)+E399))</f>
        <v/>
      </c>
      <c r="AL399" s="0" t="str">
        <f aca="false">IF(M399&lt;&gt;"Sí","",IF(AI399=0,1,IF(INDEX($AN:$AN,AI399)=0,1,IF(B399&gt;=EDATE(INDEX($AJ:$AJ,AI399),6),1,0))))</f>
        <v/>
      </c>
      <c r="AM399" s="0" t="str">
        <f aca="false">IF(D399="","",IFERROR(MATCH(D399,CATÁLOGO!$C$5:$C$39,0),""))</f>
        <v/>
      </c>
      <c r="AN399" s="0" t="str">
        <f aca="false">IF(M399&lt;&gt;"Sí","",IF(AND(ISNUMBER(AE399),AK399&gt;=AE399),0,1))</f>
        <v/>
      </c>
      <c r="AO399" s="0" t="str">
        <f aca="false">IF(OR(E399="",C399="",NOT(ISNUMBER(B399))),"",SUMIFS($E$6:$E$505,$C$6:$C$505,C399,$B$6:$B$505,"&gt;="&amp;DATE(YEAR(B399),MONTH(B399),1),$B$6:$B$505,"&lt;"&amp;DATE(YEAR(B399),MONTH(B399)+1,1)))</f>
        <v/>
      </c>
      <c r="AP399" s="0" t="str">
        <f aca="false">IF(C399="","",IFERROR(INDEX(CLIENTES!$M$6:$M$305,MATCH(C399,CLIENTES!$A$6:$A$305,0)),""))</f>
        <v/>
      </c>
      <c r="AQ399" s="27" t="n">
        <f aca="false">IF(AND(ISNUMBER(AO399),ISNUMBER(AP399)),IF(AND(AP399&gt;0,AO399&gt;AP399),1,0),0)</f>
        <v>0</v>
      </c>
      <c r="AR399" s="27" t="n">
        <f aca="false">IF(NOT(ISNUMBER(B399)),0,IF(B399&lt;MAX($B$5:B398),1,0))</f>
        <v>0</v>
      </c>
      <c r="AS399" s="0" t="str">
        <f aca="false">IF(C399="","",IFERROR(INDEX(CLIENTES!$H$6:$H$305,MATCH(C399,CLIENTES!$A$6:$A$305,0)),""))</f>
        <v/>
      </c>
      <c r="AT399" s="0" t="str">
        <f aca="false">IF(AND(LEFT(P399,5)="AVISO",T399&lt;&gt;"Presentado",ISNUMBER(Q399)),Q399,"")</f>
        <v/>
      </c>
      <c r="AU399" s="27" t="n">
        <f aca="false">IF(AND(D399="XVI - Activos virtuales (PSAV): operación de intercambio/transferencia",M399="Sí",ISNUMBER(AE399)),IF(AK399&gt;=AE399,1,0),0)</f>
        <v>0</v>
      </c>
      <c r="AV399" s="30" t="n">
        <f aca="false">IF(NOT(ISNUMBER(B399)),CONFIG!$B$4,IFERROR(INDEX(CONFIG!$I$5:$I$14,MATCH(IF(MONTH(B399)=1,YEAR(B399)-1,YEAR(B399)),CONFIG!$H$5:$H$14,0)),CONFIG!$B$4))</f>
        <v>117.31</v>
      </c>
      <c r="AW399" s="27" t="n">
        <f aca="false">IF(AND(LEFT(D399,4)="I - ",ISNUMBER(B399),C399&lt;&gt;""),SUMIFS($E$6:$E$505,$C$6:$C$505,C399,$D$6:$D$505,D399,$B$6:$B$505,"&gt;"&amp;(B399-1),$B$6:$B$505,"&lt;="&amp;B399),0)</f>
        <v>0</v>
      </c>
      <c r="AX399" s="0" t="str">
        <f aca="false">IF(E399="","",IF(AD399="Siempre","AVISO (siempre)",IF(AD399="No aplica","Sin Aviso (sólo preparas: Ley 17 XI)",IF(NOT(ISNUMBER(AE399)),"",IF(AA399&lt;&gt;"ACUMULA",IF(E399&gt;=AE399,IF(AND(D399="XVI - Activos virtuales (PSAV): cobro de contraprestación (comisión) por el servicio",COUNTIFS($C$6:$C$505,C399,$B$6:$B$505,"&gt;="&amp;INT(B399),$B$6:$B$505,"&lt;"&amp;(INT(B399)+1),$AU$6:$AU$505,1)&gt;0),"En el Aviso del inciso a) (R 31 Bis)","AVISO"),"—"),IF(M399&lt;&gt;"Sí","—",IF(AK399&gt;=AE399,IF(AK399=E399,"AVISO","AVISO (acumulado)"),"Acumulando")))))))</f>
        <v/>
      </c>
    </row>
    <row r="400" customFormat="false" ht="15" hidden="false" customHeight="false" outlineLevel="0" collapsed="false">
      <c r="A400" s="9" t="str">
        <f aca="false">IF(E400="","",ROW()-5)</f>
        <v/>
      </c>
      <c r="B400" s="20"/>
      <c r="C400" s="21"/>
      <c r="D400" s="21"/>
      <c r="E400" s="22"/>
      <c r="F400" s="22"/>
      <c r="G400" s="21"/>
      <c r="H400" s="21"/>
      <c r="I400" s="9" t="str">
        <f aca="false">IF(C400="","",IFERROR(INDEX(CLIENTES!$B$6:$B$305,MATCH(C400,CLIENTES!$A$6:$A$305,0)),"⚠ ID no registrado"))</f>
        <v/>
      </c>
      <c r="J400" s="9" t="str">
        <f aca="false">IF(C400="","",IFERROR(INDEX(CLIENTES!$Z$6:$Z$305,MATCH(C400,CLIENTES!$A$6:$A$305,0)),""))</f>
        <v/>
      </c>
      <c r="K400" s="9" t="str">
        <f aca="false">IF(E400="","",IF(AB400="Siempre","Sí",IF(ISNUMBER(AC400),IF(E400&gt;=AC400,"Sí",IF(AW400&gt;=AC400,"Sí (serie 24 h)","No")),"")))</f>
        <v/>
      </c>
      <c r="L400" s="9" t="str">
        <f aca="false">IF(E400="","",AA400)</f>
        <v/>
      </c>
      <c r="M400" s="9" t="str">
        <f aca="false">IF(E400="","",IF(AA400&lt;&gt;"ACUMULA","No aplica",IF(LEFT(K400,2)="Sí","Sí","No")))</f>
        <v/>
      </c>
      <c r="N400" s="23" t="str">
        <f aca="false">IF(M400="Sí",AJ400,"")</f>
        <v/>
      </c>
      <c r="O400" s="24" t="str">
        <f aca="false">IF(M400="Sí",AK400,"")</f>
        <v/>
      </c>
      <c r="P400" s="25" t="str">
        <f aca="false">IF(AND(LEFT(D400,6)="XIV - ",LEFT(AX400,5)="AVISO"),"Pedimento (R 16): no va al SPPLD",AX400)</f>
        <v/>
      </c>
      <c r="Q400" s="23" t="str">
        <f aca="false">IF(LEFT(P400,5)="AVISO",IF(ISNUMBER(B400),DATE(YEAR(B400),MONTH(B400)+1,17),"Falta fecha"),"")</f>
        <v/>
      </c>
      <c r="R400" s="9" t="str">
        <f aca="false">IF(OR(F400="",F400=0),"",IF(ISNUMBER(AG400),IF(F400&gt;=AG400,"PROHIBIDO","Dentro del límite"),"No aplica"))</f>
        <v/>
      </c>
      <c r="S400" s="26" t="str">
        <f aca="false">IF(E400="","",MID(IF(AQ400=1," · Excede el perfil declarado","")&amp;IF(H400="Sí"," · Paga un tercero","")&amp;IF(J400="Alto"," · Cliente de riesgo alto: DDR (RCG 23 Ter 3 y 4)","")&amp;IF(AND(AS400&lt;&gt;"",AS400&lt;&gt;"No",AS400&lt;&gt;0)," · PEP","")&amp;IF(R400="PROHIBIDO"," · Efectivo prohibido: no lo recibas (Art. 32)","")&amp;IF(AR400=1," · ⚠ Fecha fuera de orden","")&amp;IF(LEFT(I400,1)="⚠"," · ⚠ Cliente no registrado","")&amp;IF(D400=""," · ⚠ Falta la actividad","")&amp;IF(AND(LEFT(P400,5)="AVISO",W400="")," · Captura la cifra total con IVA para el Aviso","")&amp;IF(AND(ISNUMBER(W400),W400&lt;E400)," · ⚠ La cifra con IVA es menor que el monto sin IVA",""),4,400))</f>
        <v/>
      </c>
      <c r="T400" s="21"/>
      <c r="U400" s="20"/>
      <c r="V400" s="9" t="str">
        <f aca="false">IF(LEFT(P400,5)&lt;&gt;"AVISO","",IF(T400="Presentado",IF(AND(ISNUMBER(U400),ISNUMBER(Q400),U400&gt;Q400),"Presentado tarde","Presentado"),IF(NOT(ISNUMBER(Q400)),"Falta fecha",IF(Q400&lt;CONFIG!$B$6,"VENCIDO","Vence en "&amp;(Q400-CONFIG!$B$6)&amp;" días"))))</f>
        <v/>
      </c>
      <c r="W400" s="22"/>
      <c r="X400" s="21"/>
      <c r="AA400" s="0" t="str">
        <f aca="false">IF(AM400="","",INDEX(CATÁLOGO!$D$5:$D$39,AM400))</f>
        <v/>
      </c>
      <c r="AB400" s="0" t="str">
        <f aca="false">IF(AM400="","",INDEX(CATÁLOGO!$E$5:$E$39,AM400))</f>
        <v/>
      </c>
      <c r="AC400" s="0" t="str">
        <f aca="false">IF(AB400="","",IF(ISNUMBER(AB400),AB400*AV400,AB400))</f>
        <v/>
      </c>
      <c r="AD400" s="0" t="str">
        <f aca="false">IF(AM400="","",INDEX(CATÁLOGO!$F$5:$F$39,AM400))</f>
        <v/>
      </c>
      <c r="AE400" s="0" t="str">
        <f aca="false">IF(AD400="","",IF(ISNUMBER(AD400),AD400*AV400,AD400))</f>
        <v/>
      </c>
      <c r="AF400" s="0" t="str">
        <f aca="false">IF(AM400="","",INDEX(CATÁLOGO!$G$5:$G$39,AM400))</f>
        <v/>
      </c>
      <c r="AG400" s="0" t="str">
        <f aca="false">IF(AF400="","",IF(ISNUMBER(AF400),AF400*AV400,AF400))</f>
        <v/>
      </c>
      <c r="AH400" s="0" t="str">
        <f aca="false">IF(E400="","",C400&amp;"|"&amp;D400)</f>
        <v/>
      </c>
      <c r="AI400" s="27" t="n">
        <f aca="false">IF(M400&lt;&gt;"Sí",0,SUMPRODUCT(MAX(($AH$5:AH399=AH400)*($M$5:M399="Sí")*ROW($AH$5:AH399))))</f>
        <v>0</v>
      </c>
      <c r="AJ400" s="0" t="str">
        <f aca="false">IF(M400&lt;&gt;"Sí","",IF(AL400=1,B400,INDEX($AJ:$AJ,AI400)))</f>
        <v/>
      </c>
      <c r="AK400" s="0" t="str">
        <f aca="false">IF(M400&lt;&gt;"Sí","",IF(AL400=1,E400,INDEX($AK:$AK,AI400)+E400))</f>
        <v/>
      </c>
      <c r="AL400" s="0" t="str">
        <f aca="false">IF(M400&lt;&gt;"Sí","",IF(AI400=0,1,IF(INDEX($AN:$AN,AI400)=0,1,IF(B400&gt;=EDATE(INDEX($AJ:$AJ,AI400),6),1,0))))</f>
        <v/>
      </c>
      <c r="AM400" s="0" t="str">
        <f aca="false">IF(D400="","",IFERROR(MATCH(D400,CATÁLOGO!$C$5:$C$39,0),""))</f>
        <v/>
      </c>
      <c r="AN400" s="0" t="str">
        <f aca="false">IF(M400&lt;&gt;"Sí","",IF(AND(ISNUMBER(AE400),AK400&gt;=AE400),0,1))</f>
        <v/>
      </c>
      <c r="AO400" s="0" t="str">
        <f aca="false">IF(OR(E400="",C400="",NOT(ISNUMBER(B400))),"",SUMIFS($E$6:$E$505,$C$6:$C$505,C400,$B$6:$B$505,"&gt;="&amp;DATE(YEAR(B400),MONTH(B400),1),$B$6:$B$505,"&lt;"&amp;DATE(YEAR(B400),MONTH(B400)+1,1)))</f>
        <v/>
      </c>
      <c r="AP400" s="0" t="str">
        <f aca="false">IF(C400="","",IFERROR(INDEX(CLIENTES!$M$6:$M$305,MATCH(C400,CLIENTES!$A$6:$A$305,0)),""))</f>
        <v/>
      </c>
      <c r="AQ400" s="27" t="n">
        <f aca="false">IF(AND(ISNUMBER(AO400),ISNUMBER(AP400)),IF(AND(AP400&gt;0,AO400&gt;AP400),1,0),0)</f>
        <v>0</v>
      </c>
      <c r="AR400" s="27" t="n">
        <f aca="false">IF(NOT(ISNUMBER(B400)),0,IF(B400&lt;MAX($B$5:B399),1,0))</f>
        <v>0</v>
      </c>
      <c r="AS400" s="0" t="str">
        <f aca="false">IF(C400="","",IFERROR(INDEX(CLIENTES!$H$6:$H$305,MATCH(C400,CLIENTES!$A$6:$A$305,0)),""))</f>
        <v/>
      </c>
      <c r="AT400" s="0" t="str">
        <f aca="false">IF(AND(LEFT(P400,5)="AVISO",T400&lt;&gt;"Presentado",ISNUMBER(Q400)),Q400,"")</f>
        <v/>
      </c>
      <c r="AU400" s="27" t="n">
        <f aca="false">IF(AND(D400="XVI - Activos virtuales (PSAV): operación de intercambio/transferencia",M400="Sí",ISNUMBER(AE400)),IF(AK400&gt;=AE400,1,0),0)</f>
        <v>0</v>
      </c>
      <c r="AV400" s="30" t="n">
        <f aca="false">IF(NOT(ISNUMBER(B400)),CONFIG!$B$4,IFERROR(INDEX(CONFIG!$I$5:$I$14,MATCH(IF(MONTH(B400)=1,YEAR(B400)-1,YEAR(B400)),CONFIG!$H$5:$H$14,0)),CONFIG!$B$4))</f>
        <v>117.31</v>
      </c>
      <c r="AW400" s="27" t="n">
        <f aca="false">IF(AND(LEFT(D400,4)="I - ",ISNUMBER(B400),C400&lt;&gt;""),SUMIFS($E$6:$E$505,$C$6:$C$505,C400,$D$6:$D$505,D400,$B$6:$B$505,"&gt;"&amp;(B400-1),$B$6:$B$505,"&lt;="&amp;B400),0)</f>
        <v>0</v>
      </c>
      <c r="AX400" s="0" t="str">
        <f aca="false">IF(E400="","",IF(AD400="Siempre","AVISO (siempre)",IF(AD400="No aplica","Sin Aviso (sólo preparas: Ley 17 XI)",IF(NOT(ISNUMBER(AE400)),"",IF(AA400&lt;&gt;"ACUMULA",IF(E400&gt;=AE400,IF(AND(D400="XVI - Activos virtuales (PSAV): cobro de contraprestación (comisión) por el servicio",COUNTIFS($C$6:$C$505,C400,$B$6:$B$505,"&gt;="&amp;INT(B400),$B$6:$B$505,"&lt;"&amp;(INT(B400)+1),$AU$6:$AU$505,1)&gt;0),"En el Aviso del inciso a) (R 31 Bis)","AVISO"),"—"),IF(M400&lt;&gt;"Sí","—",IF(AK400&gt;=AE400,IF(AK400=E400,"AVISO","AVISO (acumulado)"),"Acumulando")))))))</f>
        <v/>
      </c>
    </row>
    <row r="401" customFormat="false" ht="15" hidden="false" customHeight="false" outlineLevel="0" collapsed="false">
      <c r="A401" s="9" t="str">
        <f aca="false">IF(E401="","",ROW()-5)</f>
        <v/>
      </c>
      <c r="B401" s="20"/>
      <c r="C401" s="21"/>
      <c r="D401" s="21"/>
      <c r="E401" s="22"/>
      <c r="F401" s="22"/>
      <c r="G401" s="21"/>
      <c r="H401" s="21"/>
      <c r="I401" s="9" t="str">
        <f aca="false">IF(C401="","",IFERROR(INDEX(CLIENTES!$B$6:$B$305,MATCH(C401,CLIENTES!$A$6:$A$305,0)),"⚠ ID no registrado"))</f>
        <v/>
      </c>
      <c r="J401" s="9" t="str">
        <f aca="false">IF(C401="","",IFERROR(INDEX(CLIENTES!$Z$6:$Z$305,MATCH(C401,CLIENTES!$A$6:$A$305,0)),""))</f>
        <v/>
      </c>
      <c r="K401" s="9" t="str">
        <f aca="false">IF(E401="","",IF(AB401="Siempre","Sí",IF(ISNUMBER(AC401),IF(E401&gt;=AC401,"Sí",IF(AW401&gt;=AC401,"Sí (serie 24 h)","No")),"")))</f>
        <v/>
      </c>
      <c r="L401" s="9" t="str">
        <f aca="false">IF(E401="","",AA401)</f>
        <v/>
      </c>
      <c r="M401" s="9" t="str">
        <f aca="false">IF(E401="","",IF(AA401&lt;&gt;"ACUMULA","No aplica",IF(LEFT(K401,2)="Sí","Sí","No")))</f>
        <v/>
      </c>
      <c r="N401" s="23" t="str">
        <f aca="false">IF(M401="Sí",AJ401,"")</f>
        <v/>
      </c>
      <c r="O401" s="24" t="str">
        <f aca="false">IF(M401="Sí",AK401,"")</f>
        <v/>
      </c>
      <c r="P401" s="25" t="str">
        <f aca="false">IF(AND(LEFT(D401,6)="XIV - ",LEFT(AX401,5)="AVISO"),"Pedimento (R 16): no va al SPPLD",AX401)</f>
        <v/>
      </c>
      <c r="Q401" s="23" t="str">
        <f aca="false">IF(LEFT(P401,5)="AVISO",IF(ISNUMBER(B401),DATE(YEAR(B401),MONTH(B401)+1,17),"Falta fecha"),"")</f>
        <v/>
      </c>
      <c r="R401" s="9" t="str">
        <f aca="false">IF(OR(F401="",F401=0),"",IF(ISNUMBER(AG401),IF(F401&gt;=AG401,"PROHIBIDO","Dentro del límite"),"No aplica"))</f>
        <v/>
      </c>
      <c r="S401" s="26" t="str">
        <f aca="false">IF(E401="","",MID(IF(AQ401=1," · Excede el perfil declarado","")&amp;IF(H401="Sí"," · Paga un tercero","")&amp;IF(J401="Alto"," · Cliente de riesgo alto: DDR (RCG 23 Ter 3 y 4)","")&amp;IF(AND(AS401&lt;&gt;"",AS401&lt;&gt;"No",AS401&lt;&gt;0)," · PEP","")&amp;IF(R401="PROHIBIDO"," · Efectivo prohibido: no lo recibas (Art. 32)","")&amp;IF(AR401=1," · ⚠ Fecha fuera de orden","")&amp;IF(LEFT(I401,1)="⚠"," · ⚠ Cliente no registrado","")&amp;IF(D401=""," · ⚠ Falta la actividad","")&amp;IF(AND(LEFT(P401,5)="AVISO",W401="")," · Captura la cifra total con IVA para el Aviso","")&amp;IF(AND(ISNUMBER(W401),W401&lt;E401)," · ⚠ La cifra con IVA es menor que el monto sin IVA",""),4,400))</f>
        <v/>
      </c>
      <c r="T401" s="21"/>
      <c r="U401" s="20"/>
      <c r="V401" s="9" t="str">
        <f aca="false">IF(LEFT(P401,5)&lt;&gt;"AVISO","",IF(T401="Presentado",IF(AND(ISNUMBER(U401),ISNUMBER(Q401),U401&gt;Q401),"Presentado tarde","Presentado"),IF(NOT(ISNUMBER(Q401)),"Falta fecha",IF(Q401&lt;CONFIG!$B$6,"VENCIDO","Vence en "&amp;(Q401-CONFIG!$B$6)&amp;" días"))))</f>
        <v/>
      </c>
      <c r="W401" s="22"/>
      <c r="X401" s="21"/>
      <c r="AA401" s="0" t="str">
        <f aca="false">IF(AM401="","",INDEX(CATÁLOGO!$D$5:$D$39,AM401))</f>
        <v/>
      </c>
      <c r="AB401" s="0" t="str">
        <f aca="false">IF(AM401="","",INDEX(CATÁLOGO!$E$5:$E$39,AM401))</f>
        <v/>
      </c>
      <c r="AC401" s="0" t="str">
        <f aca="false">IF(AB401="","",IF(ISNUMBER(AB401),AB401*AV401,AB401))</f>
        <v/>
      </c>
      <c r="AD401" s="0" t="str">
        <f aca="false">IF(AM401="","",INDEX(CATÁLOGO!$F$5:$F$39,AM401))</f>
        <v/>
      </c>
      <c r="AE401" s="0" t="str">
        <f aca="false">IF(AD401="","",IF(ISNUMBER(AD401),AD401*AV401,AD401))</f>
        <v/>
      </c>
      <c r="AF401" s="0" t="str">
        <f aca="false">IF(AM401="","",INDEX(CATÁLOGO!$G$5:$G$39,AM401))</f>
        <v/>
      </c>
      <c r="AG401" s="0" t="str">
        <f aca="false">IF(AF401="","",IF(ISNUMBER(AF401),AF401*AV401,AF401))</f>
        <v/>
      </c>
      <c r="AH401" s="0" t="str">
        <f aca="false">IF(E401="","",C401&amp;"|"&amp;D401)</f>
        <v/>
      </c>
      <c r="AI401" s="27" t="n">
        <f aca="false">IF(M401&lt;&gt;"Sí",0,SUMPRODUCT(MAX(($AH$5:AH400=AH401)*($M$5:M400="Sí")*ROW($AH$5:AH400))))</f>
        <v>0</v>
      </c>
      <c r="AJ401" s="0" t="str">
        <f aca="false">IF(M401&lt;&gt;"Sí","",IF(AL401=1,B401,INDEX($AJ:$AJ,AI401)))</f>
        <v/>
      </c>
      <c r="AK401" s="0" t="str">
        <f aca="false">IF(M401&lt;&gt;"Sí","",IF(AL401=1,E401,INDEX($AK:$AK,AI401)+E401))</f>
        <v/>
      </c>
      <c r="AL401" s="0" t="str">
        <f aca="false">IF(M401&lt;&gt;"Sí","",IF(AI401=0,1,IF(INDEX($AN:$AN,AI401)=0,1,IF(B401&gt;=EDATE(INDEX($AJ:$AJ,AI401),6),1,0))))</f>
        <v/>
      </c>
      <c r="AM401" s="0" t="str">
        <f aca="false">IF(D401="","",IFERROR(MATCH(D401,CATÁLOGO!$C$5:$C$39,0),""))</f>
        <v/>
      </c>
      <c r="AN401" s="0" t="str">
        <f aca="false">IF(M401&lt;&gt;"Sí","",IF(AND(ISNUMBER(AE401),AK401&gt;=AE401),0,1))</f>
        <v/>
      </c>
      <c r="AO401" s="0" t="str">
        <f aca="false">IF(OR(E401="",C401="",NOT(ISNUMBER(B401))),"",SUMIFS($E$6:$E$505,$C$6:$C$505,C401,$B$6:$B$505,"&gt;="&amp;DATE(YEAR(B401),MONTH(B401),1),$B$6:$B$505,"&lt;"&amp;DATE(YEAR(B401),MONTH(B401)+1,1)))</f>
        <v/>
      </c>
      <c r="AP401" s="0" t="str">
        <f aca="false">IF(C401="","",IFERROR(INDEX(CLIENTES!$M$6:$M$305,MATCH(C401,CLIENTES!$A$6:$A$305,0)),""))</f>
        <v/>
      </c>
      <c r="AQ401" s="27" t="n">
        <f aca="false">IF(AND(ISNUMBER(AO401),ISNUMBER(AP401)),IF(AND(AP401&gt;0,AO401&gt;AP401),1,0),0)</f>
        <v>0</v>
      </c>
      <c r="AR401" s="27" t="n">
        <f aca="false">IF(NOT(ISNUMBER(B401)),0,IF(B401&lt;MAX($B$5:B400),1,0))</f>
        <v>0</v>
      </c>
      <c r="AS401" s="0" t="str">
        <f aca="false">IF(C401="","",IFERROR(INDEX(CLIENTES!$H$6:$H$305,MATCH(C401,CLIENTES!$A$6:$A$305,0)),""))</f>
        <v/>
      </c>
      <c r="AT401" s="0" t="str">
        <f aca="false">IF(AND(LEFT(P401,5)="AVISO",T401&lt;&gt;"Presentado",ISNUMBER(Q401)),Q401,"")</f>
        <v/>
      </c>
      <c r="AU401" s="27" t="n">
        <f aca="false">IF(AND(D401="XVI - Activos virtuales (PSAV): operación de intercambio/transferencia",M401="Sí",ISNUMBER(AE401)),IF(AK401&gt;=AE401,1,0),0)</f>
        <v>0</v>
      </c>
      <c r="AV401" s="30" t="n">
        <f aca="false">IF(NOT(ISNUMBER(B401)),CONFIG!$B$4,IFERROR(INDEX(CONFIG!$I$5:$I$14,MATCH(IF(MONTH(B401)=1,YEAR(B401)-1,YEAR(B401)),CONFIG!$H$5:$H$14,0)),CONFIG!$B$4))</f>
        <v>117.31</v>
      </c>
      <c r="AW401" s="27" t="n">
        <f aca="false">IF(AND(LEFT(D401,4)="I - ",ISNUMBER(B401),C401&lt;&gt;""),SUMIFS($E$6:$E$505,$C$6:$C$505,C401,$D$6:$D$505,D401,$B$6:$B$505,"&gt;"&amp;(B401-1),$B$6:$B$505,"&lt;="&amp;B401),0)</f>
        <v>0</v>
      </c>
      <c r="AX401" s="0" t="str">
        <f aca="false">IF(E401="","",IF(AD401="Siempre","AVISO (siempre)",IF(AD401="No aplica","Sin Aviso (sólo preparas: Ley 17 XI)",IF(NOT(ISNUMBER(AE401)),"",IF(AA401&lt;&gt;"ACUMULA",IF(E401&gt;=AE401,IF(AND(D401="XVI - Activos virtuales (PSAV): cobro de contraprestación (comisión) por el servicio",COUNTIFS($C$6:$C$505,C401,$B$6:$B$505,"&gt;="&amp;INT(B401),$B$6:$B$505,"&lt;"&amp;(INT(B401)+1),$AU$6:$AU$505,1)&gt;0),"En el Aviso del inciso a) (R 31 Bis)","AVISO"),"—"),IF(M401&lt;&gt;"Sí","—",IF(AK401&gt;=AE401,IF(AK401=E401,"AVISO","AVISO (acumulado)"),"Acumulando")))))))</f>
        <v/>
      </c>
    </row>
    <row r="402" customFormat="false" ht="15" hidden="false" customHeight="false" outlineLevel="0" collapsed="false">
      <c r="A402" s="9" t="str">
        <f aca="false">IF(E402="","",ROW()-5)</f>
        <v/>
      </c>
      <c r="B402" s="20"/>
      <c r="C402" s="21"/>
      <c r="D402" s="21"/>
      <c r="E402" s="22"/>
      <c r="F402" s="22"/>
      <c r="G402" s="21"/>
      <c r="H402" s="21"/>
      <c r="I402" s="9" t="str">
        <f aca="false">IF(C402="","",IFERROR(INDEX(CLIENTES!$B$6:$B$305,MATCH(C402,CLIENTES!$A$6:$A$305,0)),"⚠ ID no registrado"))</f>
        <v/>
      </c>
      <c r="J402" s="9" t="str">
        <f aca="false">IF(C402="","",IFERROR(INDEX(CLIENTES!$Z$6:$Z$305,MATCH(C402,CLIENTES!$A$6:$A$305,0)),""))</f>
        <v/>
      </c>
      <c r="K402" s="9" t="str">
        <f aca="false">IF(E402="","",IF(AB402="Siempre","Sí",IF(ISNUMBER(AC402),IF(E402&gt;=AC402,"Sí",IF(AW402&gt;=AC402,"Sí (serie 24 h)","No")),"")))</f>
        <v/>
      </c>
      <c r="L402" s="9" t="str">
        <f aca="false">IF(E402="","",AA402)</f>
        <v/>
      </c>
      <c r="M402" s="9" t="str">
        <f aca="false">IF(E402="","",IF(AA402&lt;&gt;"ACUMULA","No aplica",IF(LEFT(K402,2)="Sí","Sí","No")))</f>
        <v/>
      </c>
      <c r="N402" s="23" t="str">
        <f aca="false">IF(M402="Sí",AJ402,"")</f>
        <v/>
      </c>
      <c r="O402" s="24" t="str">
        <f aca="false">IF(M402="Sí",AK402,"")</f>
        <v/>
      </c>
      <c r="P402" s="25" t="str">
        <f aca="false">IF(AND(LEFT(D402,6)="XIV - ",LEFT(AX402,5)="AVISO"),"Pedimento (R 16): no va al SPPLD",AX402)</f>
        <v/>
      </c>
      <c r="Q402" s="23" t="str">
        <f aca="false">IF(LEFT(P402,5)="AVISO",IF(ISNUMBER(B402),DATE(YEAR(B402),MONTH(B402)+1,17),"Falta fecha"),"")</f>
        <v/>
      </c>
      <c r="R402" s="9" t="str">
        <f aca="false">IF(OR(F402="",F402=0),"",IF(ISNUMBER(AG402),IF(F402&gt;=AG402,"PROHIBIDO","Dentro del límite"),"No aplica"))</f>
        <v/>
      </c>
      <c r="S402" s="26" t="str">
        <f aca="false">IF(E402="","",MID(IF(AQ402=1," · Excede el perfil declarado","")&amp;IF(H402="Sí"," · Paga un tercero","")&amp;IF(J402="Alto"," · Cliente de riesgo alto: DDR (RCG 23 Ter 3 y 4)","")&amp;IF(AND(AS402&lt;&gt;"",AS402&lt;&gt;"No",AS402&lt;&gt;0)," · PEP","")&amp;IF(R402="PROHIBIDO"," · Efectivo prohibido: no lo recibas (Art. 32)","")&amp;IF(AR402=1," · ⚠ Fecha fuera de orden","")&amp;IF(LEFT(I402,1)="⚠"," · ⚠ Cliente no registrado","")&amp;IF(D402=""," · ⚠ Falta la actividad","")&amp;IF(AND(LEFT(P402,5)="AVISO",W402="")," · Captura la cifra total con IVA para el Aviso","")&amp;IF(AND(ISNUMBER(W402),W402&lt;E402)," · ⚠ La cifra con IVA es menor que el monto sin IVA",""),4,400))</f>
        <v/>
      </c>
      <c r="T402" s="21"/>
      <c r="U402" s="20"/>
      <c r="V402" s="9" t="str">
        <f aca="false">IF(LEFT(P402,5)&lt;&gt;"AVISO","",IF(T402="Presentado",IF(AND(ISNUMBER(U402),ISNUMBER(Q402),U402&gt;Q402),"Presentado tarde","Presentado"),IF(NOT(ISNUMBER(Q402)),"Falta fecha",IF(Q402&lt;CONFIG!$B$6,"VENCIDO","Vence en "&amp;(Q402-CONFIG!$B$6)&amp;" días"))))</f>
        <v/>
      </c>
      <c r="W402" s="22"/>
      <c r="X402" s="21"/>
      <c r="AA402" s="0" t="str">
        <f aca="false">IF(AM402="","",INDEX(CATÁLOGO!$D$5:$D$39,AM402))</f>
        <v/>
      </c>
      <c r="AB402" s="0" t="str">
        <f aca="false">IF(AM402="","",INDEX(CATÁLOGO!$E$5:$E$39,AM402))</f>
        <v/>
      </c>
      <c r="AC402" s="0" t="str">
        <f aca="false">IF(AB402="","",IF(ISNUMBER(AB402),AB402*AV402,AB402))</f>
        <v/>
      </c>
      <c r="AD402" s="0" t="str">
        <f aca="false">IF(AM402="","",INDEX(CATÁLOGO!$F$5:$F$39,AM402))</f>
        <v/>
      </c>
      <c r="AE402" s="0" t="str">
        <f aca="false">IF(AD402="","",IF(ISNUMBER(AD402),AD402*AV402,AD402))</f>
        <v/>
      </c>
      <c r="AF402" s="0" t="str">
        <f aca="false">IF(AM402="","",INDEX(CATÁLOGO!$G$5:$G$39,AM402))</f>
        <v/>
      </c>
      <c r="AG402" s="0" t="str">
        <f aca="false">IF(AF402="","",IF(ISNUMBER(AF402),AF402*AV402,AF402))</f>
        <v/>
      </c>
      <c r="AH402" s="0" t="str">
        <f aca="false">IF(E402="","",C402&amp;"|"&amp;D402)</f>
        <v/>
      </c>
      <c r="AI402" s="27" t="n">
        <f aca="false">IF(M402&lt;&gt;"Sí",0,SUMPRODUCT(MAX(($AH$5:AH401=AH402)*($M$5:M401="Sí")*ROW($AH$5:AH401))))</f>
        <v>0</v>
      </c>
      <c r="AJ402" s="0" t="str">
        <f aca="false">IF(M402&lt;&gt;"Sí","",IF(AL402=1,B402,INDEX($AJ:$AJ,AI402)))</f>
        <v/>
      </c>
      <c r="AK402" s="0" t="str">
        <f aca="false">IF(M402&lt;&gt;"Sí","",IF(AL402=1,E402,INDEX($AK:$AK,AI402)+E402))</f>
        <v/>
      </c>
      <c r="AL402" s="0" t="str">
        <f aca="false">IF(M402&lt;&gt;"Sí","",IF(AI402=0,1,IF(INDEX($AN:$AN,AI402)=0,1,IF(B402&gt;=EDATE(INDEX($AJ:$AJ,AI402),6),1,0))))</f>
        <v/>
      </c>
      <c r="AM402" s="0" t="str">
        <f aca="false">IF(D402="","",IFERROR(MATCH(D402,CATÁLOGO!$C$5:$C$39,0),""))</f>
        <v/>
      </c>
      <c r="AN402" s="0" t="str">
        <f aca="false">IF(M402&lt;&gt;"Sí","",IF(AND(ISNUMBER(AE402),AK402&gt;=AE402),0,1))</f>
        <v/>
      </c>
      <c r="AO402" s="0" t="str">
        <f aca="false">IF(OR(E402="",C402="",NOT(ISNUMBER(B402))),"",SUMIFS($E$6:$E$505,$C$6:$C$505,C402,$B$6:$B$505,"&gt;="&amp;DATE(YEAR(B402),MONTH(B402),1),$B$6:$B$505,"&lt;"&amp;DATE(YEAR(B402),MONTH(B402)+1,1)))</f>
        <v/>
      </c>
      <c r="AP402" s="0" t="str">
        <f aca="false">IF(C402="","",IFERROR(INDEX(CLIENTES!$M$6:$M$305,MATCH(C402,CLIENTES!$A$6:$A$305,0)),""))</f>
        <v/>
      </c>
      <c r="AQ402" s="27" t="n">
        <f aca="false">IF(AND(ISNUMBER(AO402),ISNUMBER(AP402)),IF(AND(AP402&gt;0,AO402&gt;AP402),1,0),0)</f>
        <v>0</v>
      </c>
      <c r="AR402" s="27" t="n">
        <f aca="false">IF(NOT(ISNUMBER(B402)),0,IF(B402&lt;MAX($B$5:B401),1,0))</f>
        <v>0</v>
      </c>
      <c r="AS402" s="0" t="str">
        <f aca="false">IF(C402="","",IFERROR(INDEX(CLIENTES!$H$6:$H$305,MATCH(C402,CLIENTES!$A$6:$A$305,0)),""))</f>
        <v/>
      </c>
      <c r="AT402" s="0" t="str">
        <f aca="false">IF(AND(LEFT(P402,5)="AVISO",T402&lt;&gt;"Presentado",ISNUMBER(Q402)),Q402,"")</f>
        <v/>
      </c>
      <c r="AU402" s="27" t="n">
        <f aca="false">IF(AND(D402="XVI - Activos virtuales (PSAV): operación de intercambio/transferencia",M402="Sí",ISNUMBER(AE402)),IF(AK402&gt;=AE402,1,0),0)</f>
        <v>0</v>
      </c>
      <c r="AV402" s="30" t="n">
        <f aca="false">IF(NOT(ISNUMBER(B402)),CONFIG!$B$4,IFERROR(INDEX(CONFIG!$I$5:$I$14,MATCH(IF(MONTH(B402)=1,YEAR(B402)-1,YEAR(B402)),CONFIG!$H$5:$H$14,0)),CONFIG!$B$4))</f>
        <v>117.31</v>
      </c>
      <c r="AW402" s="27" t="n">
        <f aca="false">IF(AND(LEFT(D402,4)="I - ",ISNUMBER(B402),C402&lt;&gt;""),SUMIFS($E$6:$E$505,$C$6:$C$505,C402,$D$6:$D$505,D402,$B$6:$B$505,"&gt;"&amp;(B402-1),$B$6:$B$505,"&lt;="&amp;B402),0)</f>
        <v>0</v>
      </c>
      <c r="AX402" s="0" t="str">
        <f aca="false">IF(E402="","",IF(AD402="Siempre","AVISO (siempre)",IF(AD402="No aplica","Sin Aviso (sólo preparas: Ley 17 XI)",IF(NOT(ISNUMBER(AE402)),"",IF(AA402&lt;&gt;"ACUMULA",IF(E402&gt;=AE402,IF(AND(D402="XVI - Activos virtuales (PSAV): cobro de contraprestación (comisión) por el servicio",COUNTIFS($C$6:$C$505,C402,$B$6:$B$505,"&gt;="&amp;INT(B402),$B$6:$B$505,"&lt;"&amp;(INT(B402)+1),$AU$6:$AU$505,1)&gt;0),"En el Aviso del inciso a) (R 31 Bis)","AVISO"),"—"),IF(M402&lt;&gt;"Sí","—",IF(AK402&gt;=AE402,IF(AK402=E402,"AVISO","AVISO (acumulado)"),"Acumulando")))))))</f>
        <v/>
      </c>
    </row>
    <row r="403" customFormat="false" ht="15" hidden="false" customHeight="false" outlineLevel="0" collapsed="false">
      <c r="A403" s="9" t="str">
        <f aca="false">IF(E403="","",ROW()-5)</f>
        <v/>
      </c>
      <c r="B403" s="20"/>
      <c r="C403" s="21"/>
      <c r="D403" s="21"/>
      <c r="E403" s="22"/>
      <c r="F403" s="22"/>
      <c r="G403" s="21"/>
      <c r="H403" s="21"/>
      <c r="I403" s="9" t="str">
        <f aca="false">IF(C403="","",IFERROR(INDEX(CLIENTES!$B$6:$B$305,MATCH(C403,CLIENTES!$A$6:$A$305,0)),"⚠ ID no registrado"))</f>
        <v/>
      </c>
      <c r="J403" s="9" t="str">
        <f aca="false">IF(C403="","",IFERROR(INDEX(CLIENTES!$Z$6:$Z$305,MATCH(C403,CLIENTES!$A$6:$A$305,0)),""))</f>
        <v/>
      </c>
      <c r="K403" s="9" t="str">
        <f aca="false">IF(E403="","",IF(AB403="Siempre","Sí",IF(ISNUMBER(AC403),IF(E403&gt;=AC403,"Sí",IF(AW403&gt;=AC403,"Sí (serie 24 h)","No")),"")))</f>
        <v/>
      </c>
      <c r="L403" s="9" t="str">
        <f aca="false">IF(E403="","",AA403)</f>
        <v/>
      </c>
      <c r="M403" s="9" t="str">
        <f aca="false">IF(E403="","",IF(AA403&lt;&gt;"ACUMULA","No aplica",IF(LEFT(K403,2)="Sí","Sí","No")))</f>
        <v/>
      </c>
      <c r="N403" s="23" t="str">
        <f aca="false">IF(M403="Sí",AJ403,"")</f>
        <v/>
      </c>
      <c r="O403" s="24" t="str">
        <f aca="false">IF(M403="Sí",AK403,"")</f>
        <v/>
      </c>
      <c r="P403" s="25" t="str">
        <f aca="false">IF(AND(LEFT(D403,6)="XIV - ",LEFT(AX403,5)="AVISO"),"Pedimento (R 16): no va al SPPLD",AX403)</f>
        <v/>
      </c>
      <c r="Q403" s="23" t="str">
        <f aca="false">IF(LEFT(P403,5)="AVISO",IF(ISNUMBER(B403),DATE(YEAR(B403),MONTH(B403)+1,17),"Falta fecha"),"")</f>
        <v/>
      </c>
      <c r="R403" s="9" t="str">
        <f aca="false">IF(OR(F403="",F403=0),"",IF(ISNUMBER(AG403),IF(F403&gt;=AG403,"PROHIBIDO","Dentro del límite"),"No aplica"))</f>
        <v/>
      </c>
      <c r="S403" s="26" t="str">
        <f aca="false">IF(E403="","",MID(IF(AQ403=1," · Excede el perfil declarado","")&amp;IF(H403="Sí"," · Paga un tercero","")&amp;IF(J403="Alto"," · Cliente de riesgo alto: DDR (RCG 23 Ter 3 y 4)","")&amp;IF(AND(AS403&lt;&gt;"",AS403&lt;&gt;"No",AS403&lt;&gt;0)," · PEP","")&amp;IF(R403="PROHIBIDO"," · Efectivo prohibido: no lo recibas (Art. 32)","")&amp;IF(AR403=1," · ⚠ Fecha fuera de orden","")&amp;IF(LEFT(I403,1)="⚠"," · ⚠ Cliente no registrado","")&amp;IF(D403=""," · ⚠ Falta la actividad","")&amp;IF(AND(LEFT(P403,5)="AVISO",W403="")," · Captura la cifra total con IVA para el Aviso","")&amp;IF(AND(ISNUMBER(W403),W403&lt;E403)," · ⚠ La cifra con IVA es menor que el monto sin IVA",""),4,400))</f>
        <v/>
      </c>
      <c r="T403" s="21"/>
      <c r="U403" s="20"/>
      <c r="V403" s="9" t="str">
        <f aca="false">IF(LEFT(P403,5)&lt;&gt;"AVISO","",IF(T403="Presentado",IF(AND(ISNUMBER(U403),ISNUMBER(Q403),U403&gt;Q403),"Presentado tarde","Presentado"),IF(NOT(ISNUMBER(Q403)),"Falta fecha",IF(Q403&lt;CONFIG!$B$6,"VENCIDO","Vence en "&amp;(Q403-CONFIG!$B$6)&amp;" días"))))</f>
        <v/>
      </c>
      <c r="W403" s="22"/>
      <c r="X403" s="21"/>
      <c r="AA403" s="0" t="str">
        <f aca="false">IF(AM403="","",INDEX(CATÁLOGO!$D$5:$D$39,AM403))</f>
        <v/>
      </c>
      <c r="AB403" s="0" t="str">
        <f aca="false">IF(AM403="","",INDEX(CATÁLOGO!$E$5:$E$39,AM403))</f>
        <v/>
      </c>
      <c r="AC403" s="0" t="str">
        <f aca="false">IF(AB403="","",IF(ISNUMBER(AB403),AB403*AV403,AB403))</f>
        <v/>
      </c>
      <c r="AD403" s="0" t="str">
        <f aca="false">IF(AM403="","",INDEX(CATÁLOGO!$F$5:$F$39,AM403))</f>
        <v/>
      </c>
      <c r="AE403" s="0" t="str">
        <f aca="false">IF(AD403="","",IF(ISNUMBER(AD403),AD403*AV403,AD403))</f>
        <v/>
      </c>
      <c r="AF403" s="0" t="str">
        <f aca="false">IF(AM403="","",INDEX(CATÁLOGO!$G$5:$G$39,AM403))</f>
        <v/>
      </c>
      <c r="AG403" s="0" t="str">
        <f aca="false">IF(AF403="","",IF(ISNUMBER(AF403),AF403*AV403,AF403))</f>
        <v/>
      </c>
      <c r="AH403" s="0" t="str">
        <f aca="false">IF(E403="","",C403&amp;"|"&amp;D403)</f>
        <v/>
      </c>
      <c r="AI403" s="27" t="n">
        <f aca="false">IF(M403&lt;&gt;"Sí",0,SUMPRODUCT(MAX(($AH$5:AH402=AH403)*($M$5:M402="Sí")*ROW($AH$5:AH402))))</f>
        <v>0</v>
      </c>
      <c r="AJ403" s="0" t="str">
        <f aca="false">IF(M403&lt;&gt;"Sí","",IF(AL403=1,B403,INDEX($AJ:$AJ,AI403)))</f>
        <v/>
      </c>
      <c r="AK403" s="0" t="str">
        <f aca="false">IF(M403&lt;&gt;"Sí","",IF(AL403=1,E403,INDEX($AK:$AK,AI403)+E403))</f>
        <v/>
      </c>
      <c r="AL403" s="0" t="str">
        <f aca="false">IF(M403&lt;&gt;"Sí","",IF(AI403=0,1,IF(INDEX($AN:$AN,AI403)=0,1,IF(B403&gt;=EDATE(INDEX($AJ:$AJ,AI403),6),1,0))))</f>
        <v/>
      </c>
      <c r="AM403" s="0" t="str">
        <f aca="false">IF(D403="","",IFERROR(MATCH(D403,CATÁLOGO!$C$5:$C$39,0),""))</f>
        <v/>
      </c>
      <c r="AN403" s="0" t="str">
        <f aca="false">IF(M403&lt;&gt;"Sí","",IF(AND(ISNUMBER(AE403),AK403&gt;=AE403),0,1))</f>
        <v/>
      </c>
      <c r="AO403" s="0" t="str">
        <f aca="false">IF(OR(E403="",C403="",NOT(ISNUMBER(B403))),"",SUMIFS($E$6:$E$505,$C$6:$C$505,C403,$B$6:$B$505,"&gt;="&amp;DATE(YEAR(B403),MONTH(B403),1),$B$6:$B$505,"&lt;"&amp;DATE(YEAR(B403),MONTH(B403)+1,1)))</f>
        <v/>
      </c>
      <c r="AP403" s="0" t="str">
        <f aca="false">IF(C403="","",IFERROR(INDEX(CLIENTES!$M$6:$M$305,MATCH(C403,CLIENTES!$A$6:$A$305,0)),""))</f>
        <v/>
      </c>
      <c r="AQ403" s="27" t="n">
        <f aca="false">IF(AND(ISNUMBER(AO403),ISNUMBER(AP403)),IF(AND(AP403&gt;0,AO403&gt;AP403),1,0),0)</f>
        <v>0</v>
      </c>
      <c r="AR403" s="27" t="n">
        <f aca="false">IF(NOT(ISNUMBER(B403)),0,IF(B403&lt;MAX($B$5:B402),1,0))</f>
        <v>0</v>
      </c>
      <c r="AS403" s="0" t="str">
        <f aca="false">IF(C403="","",IFERROR(INDEX(CLIENTES!$H$6:$H$305,MATCH(C403,CLIENTES!$A$6:$A$305,0)),""))</f>
        <v/>
      </c>
      <c r="AT403" s="0" t="str">
        <f aca="false">IF(AND(LEFT(P403,5)="AVISO",T403&lt;&gt;"Presentado",ISNUMBER(Q403)),Q403,"")</f>
        <v/>
      </c>
      <c r="AU403" s="27" t="n">
        <f aca="false">IF(AND(D403="XVI - Activos virtuales (PSAV): operación de intercambio/transferencia",M403="Sí",ISNUMBER(AE403)),IF(AK403&gt;=AE403,1,0),0)</f>
        <v>0</v>
      </c>
      <c r="AV403" s="30" t="n">
        <f aca="false">IF(NOT(ISNUMBER(B403)),CONFIG!$B$4,IFERROR(INDEX(CONFIG!$I$5:$I$14,MATCH(IF(MONTH(B403)=1,YEAR(B403)-1,YEAR(B403)),CONFIG!$H$5:$H$14,0)),CONFIG!$B$4))</f>
        <v>117.31</v>
      </c>
      <c r="AW403" s="27" t="n">
        <f aca="false">IF(AND(LEFT(D403,4)="I - ",ISNUMBER(B403),C403&lt;&gt;""),SUMIFS($E$6:$E$505,$C$6:$C$505,C403,$D$6:$D$505,D403,$B$6:$B$505,"&gt;"&amp;(B403-1),$B$6:$B$505,"&lt;="&amp;B403),0)</f>
        <v>0</v>
      </c>
      <c r="AX403" s="0" t="str">
        <f aca="false">IF(E403="","",IF(AD403="Siempre","AVISO (siempre)",IF(AD403="No aplica","Sin Aviso (sólo preparas: Ley 17 XI)",IF(NOT(ISNUMBER(AE403)),"",IF(AA403&lt;&gt;"ACUMULA",IF(E403&gt;=AE403,IF(AND(D403="XVI - Activos virtuales (PSAV): cobro de contraprestación (comisión) por el servicio",COUNTIFS($C$6:$C$505,C403,$B$6:$B$505,"&gt;="&amp;INT(B403),$B$6:$B$505,"&lt;"&amp;(INT(B403)+1),$AU$6:$AU$505,1)&gt;0),"En el Aviso del inciso a) (R 31 Bis)","AVISO"),"—"),IF(M403&lt;&gt;"Sí","—",IF(AK403&gt;=AE403,IF(AK403=E403,"AVISO","AVISO (acumulado)"),"Acumulando")))))))</f>
        <v/>
      </c>
    </row>
    <row r="404" customFormat="false" ht="15" hidden="false" customHeight="false" outlineLevel="0" collapsed="false">
      <c r="A404" s="9" t="str">
        <f aca="false">IF(E404="","",ROW()-5)</f>
        <v/>
      </c>
      <c r="B404" s="20"/>
      <c r="C404" s="21"/>
      <c r="D404" s="21"/>
      <c r="E404" s="22"/>
      <c r="F404" s="22"/>
      <c r="G404" s="21"/>
      <c r="H404" s="21"/>
      <c r="I404" s="9" t="str">
        <f aca="false">IF(C404="","",IFERROR(INDEX(CLIENTES!$B$6:$B$305,MATCH(C404,CLIENTES!$A$6:$A$305,0)),"⚠ ID no registrado"))</f>
        <v/>
      </c>
      <c r="J404" s="9" t="str">
        <f aca="false">IF(C404="","",IFERROR(INDEX(CLIENTES!$Z$6:$Z$305,MATCH(C404,CLIENTES!$A$6:$A$305,0)),""))</f>
        <v/>
      </c>
      <c r="K404" s="9" t="str">
        <f aca="false">IF(E404="","",IF(AB404="Siempre","Sí",IF(ISNUMBER(AC404),IF(E404&gt;=AC404,"Sí",IF(AW404&gt;=AC404,"Sí (serie 24 h)","No")),"")))</f>
        <v/>
      </c>
      <c r="L404" s="9" t="str">
        <f aca="false">IF(E404="","",AA404)</f>
        <v/>
      </c>
      <c r="M404" s="9" t="str">
        <f aca="false">IF(E404="","",IF(AA404&lt;&gt;"ACUMULA","No aplica",IF(LEFT(K404,2)="Sí","Sí","No")))</f>
        <v/>
      </c>
      <c r="N404" s="23" t="str">
        <f aca="false">IF(M404="Sí",AJ404,"")</f>
        <v/>
      </c>
      <c r="O404" s="24" t="str">
        <f aca="false">IF(M404="Sí",AK404,"")</f>
        <v/>
      </c>
      <c r="P404" s="25" t="str">
        <f aca="false">IF(AND(LEFT(D404,6)="XIV - ",LEFT(AX404,5)="AVISO"),"Pedimento (R 16): no va al SPPLD",AX404)</f>
        <v/>
      </c>
      <c r="Q404" s="23" t="str">
        <f aca="false">IF(LEFT(P404,5)="AVISO",IF(ISNUMBER(B404),DATE(YEAR(B404),MONTH(B404)+1,17),"Falta fecha"),"")</f>
        <v/>
      </c>
      <c r="R404" s="9" t="str">
        <f aca="false">IF(OR(F404="",F404=0),"",IF(ISNUMBER(AG404),IF(F404&gt;=AG404,"PROHIBIDO","Dentro del límite"),"No aplica"))</f>
        <v/>
      </c>
      <c r="S404" s="26" t="str">
        <f aca="false">IF(E404="","",MID(IF(AQ404=1," · Excede el perfil declarado","")&amp;IF(H404="Sí"," · Paga un tercero","")&amp;IF(J404="Alto"," · Cliente de riesgo alto: DDR (RCG 23 Ter 3 y 4)","")&amp;IF(AND(AS404&lt;&gt;"",AS404&lt;&gt;"No",AS404&lt;&gt;0)," · PEP","")&amp;IF(R404="PROHIBIDO"," · Efectivo prohibido: no lo recibas (Art. 32)","")&amp;IF(AR404=1," · ⚠ Fecha fuera de orden","")&amp;IF(LEFT(I404,1)="⚠"," · ⚠ Cliente no registrado","")&amp;IF(D404=""," · ⚠ Falta la actividad","")&amp;IF(AND(LEFT(P404,5)="AVISO",W404="")," · Captura la cifra total con IVA para el Aviso","")&amp;IF(AND(ISNUMBER(W404),W404&lt;E404)," · ⚠ La cifra con IVA es menor que el monto sin IVA",""),4,400))</f>
        <v/>
      </c>
      <c r="T404" s="21"/>
      <c r="U404" s="20"/>
      <c r="V404" s="9" t="str">
        <f aca="false">IF(LEFT(P404,5)&lt;&gt;"AVISO","",IF(T404="Presentado",IF(AND(ISNUMBER(U404),ISNUMBER(Q404),U404&gt;Q404),"Presentado tarde","Presentado"),IF(NOT(ISNUMBER(Q404)),"Falta fecha",IF(Q404&lt;CONFIG!$B$6,"VENCIDO","Vence en "&amp;(Q404-CONFIG!$B$6)&amp;" días"))))</f>
        <v/>
      </c>
      <c r="W404" s="22"/>
      <c r="X404" s="21"/>
      <c r="AA404" s="0" t="str">
        <f aca="false">IF(AM404="","",INDEX(CATÁLOGO!$D$5:$D$39,AM404))</f>
        <v/>
      </c>
      <c r="AB404" s="0" t="str">
        <f aca="false">IF(AM404="","",INDEX(CATÁLOGO!$E$5:$E$39,AM404))</f>
        <v/>
      </c>
      <c r="AC404" s="0" t="str">
        <f aca="false">IF(AB404="","",IF(ISNUMBER(AB404),AB404*AV404,AB404))</f>
        <v/>
      </c>
      <c r="AD404" s="0" t="str">
        <f aca="false">IF(AM404="","",INDEX(CATÁLOGO!$F$5:$F$39,AM404))</f>
        <v/>
      </c>
      <c r="AE404" s="0" t="str">
        <f aca="false">IF(AD404="","",IF(ISNUMBER(AD404),AD404*AV404,AD404))</f>
        <v/>
      </c>
      <c r="AF404" s="0" t="str">
        <f aca="false">IF(AM404="","",INDEX(CATÁLOGO!$G$5:$G$39,AM404))</f>
        <v/>
      </c>
      <c r="AG404" s="0" t="str">
        <f aca="false">IF(AF404="","",IF(ISNUMBER(AF404),AF404*AV404,AF404))</f>
        <v/>
      </c>
      <c r="AH404" s="0" t="str">
        <f aca="false">IF(E404="","",C404&amp;"|"&amp;D404)</f>
        <v/>
      </c>
      <c r="AI404" s="27" t="n">
        <f aca="false">IF(M404&lt;&gt;"Sí",0,SUMPRODUCT(MAX(($AH$5:AH403=AH404)*($M$5:M403="Sí")*ROW($AH$5:AH403))))</f>
        <v>0</v>
      </c>
      <c r="AJ404" s="0" t="str">
        <f aca="false">IF(M404&lt;&gt;"Sí","",IF(AL404=1,B404,INDEX($AJ:$AJ,AI404)))</f>
        <v/>
      </c>
      <c r="AK404" s="0" t="str">
        <f aca="false">IF(M404&lt;&gt;"Sí","",IF(AL404=1,E404,INDEX($AK:$AK,AI404)+E404))</f>
        <v/>
      </c>
      <c r="AL404" s="0" t="str">
        <f aca="false">IF(M404&lt;&gt;"Sí","",IF(AI404=0,1,IF(INDEX($AN:$AN,AI404)=0,1,IF(B404&gt;=EDATE(INDEX($AJ:$AJ,AI404),6),1,0))))</f>
        <v/>
      </c>
      <c r="AM404" s="0" t="str">
        <f aca="false">IF(D404="","",IFERROR(MATCH(D404,CATÁLOGO!$C$5:$C$39,0),""))</f>
        <v/>
      </c>
      <c r="AN404" s="0" t="str">
        <f aca="false">IF(M404&lt;&gt;"Sí","",IF(AND(ISNUMBER(AE404),AK404&gt;=AE404),0,1))</f>
        <v/>
      </c>
      <c r="AO404" s="0" t="str">
        <f aca="false">IF(OR(E404="",C404="",NOT(ISNUMBER(B404))),"",SUMIFS($E$6:$E$505,$C$6:$C$505,C404,$B$6:$B$505,"&gt;="&amp;DATE(YEAR(B404),MONTH(B404),1),$B$6:$B$505,"&lt;"&amp;DATE(YEAR(B404),MONTH(B404)+1,1)))</f>
        <v/>
      </c>
      <c r="AP404" s="0" t="str">
        <f aca="false">IF(C404="","",IFERROR(INDEX(CLIENTES!$M$6:$M$305,MATCH(C404,CLIENTES!$A$6:$A$305,0)),""))</f>
        <v/>
      </c>
      <c r="AQ404" s="27" t="n">
        <f aca="false">IF(AND(ISNUMBER(AO404),ISNUMBER(AP404)),IF(AND(AP404&gt;0,AO404&gt;AP404),1,0),0)</f>
        <v>0</v>
      </c>
      <c r="AR404" s="27" t="n">
        <f aca="false">IF(NOT(ISNUMBER(B404)),0,IF(B404&lt;MAX($B$5:B403),1,0))</f>
        <v>0</v>
      </c>
      <c r="AS404" s="0" t="str">
        <f aca="false">IF(C404="","",IFERROR(INDEX(CLIENTES!$H$6:$H$305,MATCH(C404,CLIENTES!$A$6:$A$305,0)),""))</f>
        <v/>
      </c>
      <c r="AT404" s="0" t="str">
        <f aca="false">IF(AND(LEFT(P404,5)="AVISO",T404&lt;&gt;"Presentado",ISNUMBER(Q404)),Q404,"")</f>
        <v/>
      </c>
      <c r="AU404" s="27" t="n">
        <f aca="false">IF(AND(D404="XVI - Activos virtuales (PSAV): operación de intercambio/transferencia",M404="Sí",ISNUMBER(AE404)),IF(AK404&gt;=AE404,1,0),0)</f>
        <v>0</v>
      </c>
      <c r="AV404" s="30" t="n">
        <f aca="false">IF(NOT(ISNUMBER(B404)),CONFIG!$B$4,IFERROR(INDEX(CONFIG!$I$5:$I$14,MATCH(IF(MONTH(B404)=1,YEAR(B404)-1,YEAR(B404)),CONFIG!$H$5:$H$14,0)),CONFIG!$B$4))</f>
        <v>117.31</v>
      </c>
      <c r="AW404" s="27" t="n">
        <f aca="false">IF(AND(LEFT(D404,4)="I - ",ISNUMBER(B404),C404&lt;&gt;""),SUMIFS($E$6:$E$505,$C$6:$C$505,C404,$D$6:$D$505,D404,$B$6:$B$505,"&gt;"&amp;(B404-1),$B$6:$B$505,"&lt;="&amp;B404),0)</f>
        <v>0</v>
      </c>
      <c r="AX404" s="0" t="str">
        <f aca="false">IF(E404="","",IF(AD404="Siempre","AVISO (siempre)",IF(AD404="No aplica","Sin Aviso (sólo preparas: Ley 17 XI)",IF(NOT(ISNUMBER(AE404)),"",IF(AA404&lt;&gt;"ACUMULA",IF(E404&gt;=AE404,IF(AND(D404="XVI - Activos virtuales (PSAV): cobro de contraprestación (comisión) por el servicio",COUNTIFS($C$6:$C$505,C404,$B$6:$B$505,"&gt;="&amp;INT(B404),$B$6:$B$505,"&lt;"&amp;(INT(B404)+1),$AU$6:$AU$505,1)&gt;0),"En el Aviso del inciso a) (R 31 Bis)","AVISO"),"—"),IF(M404&lt;&gt;"Sí","—",IF(AK404&gt;=AE404,IF(AK404=E404,"AVISO","AVISO (acumulado)"),"Acumulando")))))))</f>
        <v/>
      </c>
    </row>
    <row r="405" customFormat="false" ht="15" hidden="false" customHeight="false" outlineLevel="0" collapsed="false">
      <c r="A405" s="9" t="str">
        <f aca="false">IF(E405="","",ROW()-5)</f>
        <v/>
      </c>
      <c r="B405" s="20"/>
      <c r="C405" s="21"/>
      <c r="D405" s="21"/>
      <c r="E405" s="22"/>
      <c r="F405" s="22"/>
      <c r="G405" s="21"/>
      <c r="H405" s="21"/>
      <c r="I405" s="9" t="str">
        <f aca="false">IF(C405="","",IFERROR(INDEX(CLIENTES!$B$6:$B$305,MATCH(C405,CLIENTES!$A$6:$A$305,0)),"⚠ ID no registrado"))</f>
        <v/>
      </c>
      <c r="J405" s="9" t="str">
        <f aca="false">IF(C405="","",IFERROR(INDEX(CLIENTES!$Z$6:$Z$305,MATCH(C405,CLIENTES!$A$6:$A$305,0)),""))</f>
        <v/>
      </c>
      <c r="K405" s="9" t="str">
        <f aca="false">IF(E405="","",IF(AB405="Siempre","Sí",IF(ISNUMBER(AC405),IF(E405&gt;=AC405,"Sí",IF(AW405&gt;=AC405,"Sí (serie 24 h)","No")),"")))</f>
        <v/>
      </c>
      <c r="L405" s="9" t="str">
        <f aca="false">IF(E405="","",AA405)</f>
        <v/>
      </c>
      <c r="M405" s="9" t="str">
        <f aca="false">IF(E405="","",IF(AA405&lt;&gt;"ACUMULA","No aplica",IF(LEFT(K405,2)="Sí","Sí","No")))</f>
        <v/>
      </c>
      <c r="N405" s="23" t="str">
        <f aca="false">IF(M405="Sí",AJ405,"")</f>
        <v/>
      </c>
      <c r="O405" s="24" t="str">
        <f aca="false">IF(M405="Sí",AK405,"")</f>
        <v/>
      </c>
      <c r="P405" s="25" t="str">
        <f aca="false">IF(AND(LEFT(D405,6)="XIV - ",LEFT(AX405,5)="AVISO"),"Pedimento (R 16): no va al SPPLD",AX405)</f>
        <v/>
      </c>
      <c r="Q405" s="23" t="str">
        <f aca="false">IF(LEFT(P405,5)="AVISO",IF(ISNUMBER(B405),DATE(YEAR(B405),MONTH(B405)+1,17),"Falta fecha"),"")</f>
        <v/>
      </c>
      <c r="R405" s="9" t="str">
        <f aca="false">IF(OR(F405="",F405=0),"",IF(ISNUMBER(AG405),IF(F405&gt;=AG405,"PROHIBIDO","Dentro del límite"),"No aplica"))</f>
        <v/>
      </c>
      <c r="S405" s="26" t="str">
        <f aca="false">IF(E405="","",MID(IF(AQ405=1," · Excede el perfil declarado","")&amp;IF(H405="Sí"," · Paga un tercero","")&amp;IF(J405="Alto"," · Cliente de riesgo alto: DDR (RCG 23 Ter 3 y 4)","")&amp;IF(AND(AS405&lt;&gt;"",AS405&lt;&gt;"No",AS405&lt;&gt;0)," · PEP","")&amp;IF(R405="PROHIBIDO"," · Efectivo prohibido: no lo recibas (Art. 32)","")&amp;IF(AR405=1," · ⚠ Fecha fuera de orden","")&amp;IF(LEFT(I405,1)="⚠"," · ⚠ Cliente no registrado","")&amp;IF(D405=""," · ⚠ Falta la actividad","")&amp;IF(AND(LEFT(P405,5)="AVISO",W405="")," · Captura la cifra total con IVA para el Aviso","")&amp;IF(AND(ISNUMBER(W405),W405&lt;E405)," · ⚠ La cifra con IVA es menor que el monto sin IVA",""),4,400))</f>
        <v/>
      </c>
      <c r="T405" s="21"/>
      <c r="U405" s="20"/>
      <c r="V405" s="9" t="str">
        <f aca="false">IF(LEFT(P405,5)&lt;&gt;"AVISO","",IF(T405="Presentado",IF(AND(ISNUMBER(U405),ISNUMBER(Q405),U405&gt;Q405),"Presentado tarde","Presentado"),IF(NOT(ISNUMBER(Q405)),"Falta fecha",IF(Q405&lt;CONFIG!$B$6,"VENCIDO","Vence en "&amp;(Q405-CONFIG!$B$6)&amp;" días"))))</f>
        <v/>
      </c>
      <c r="W405" s="22"/>
      <c r="X405" s="21"/>
      <c r="AA405" s="0" t="str">
        <f aca="false">IF(AM405="","",INDEX(CATÁLOGO!$D$5:$D$39,AM405))</f>
        <v/>
      </c>
      <c r="AB405" s="0" t="str">
        <f aca="false">IF(AM405="","",INDEX(CATÁLOGO!$E$5:$E$39,AM405))</f>
        <v/>
      </c>
      <c r="AC405" s="0" t="str">
        <f aca="false">IF(AB405="","",IF(ISNUMBER(AB405),AB405*AV405,AB405))</f>
        <v/>
      </c>
      <c r="AD405" s="0" t="str">
        <f aca="false">IF(AM405="","",INDEX(CATÁLOGO!$F$5:$F$39,AM405))</f>
        <v/>
      </c>
      <c r="AE405" s="0" t="str">
        <f aca="false">IF(AD405="","",IF(ISNUMBER(AD405),AD405*AV405,AD405))</f>
        <v/>
      </c>
      <c r="AF405" s="0" t="str">
        <f aca="false">IF(AM405="","",INDEX(CATÁLOGO!$G$5:$G$39,AM405))</f>
        <v/>
      </c>
      <c r="AG405" s="0" t="str">
        <f aca="false">IF(AF405="","",IF(ISNUMBER(AF405),AF405*AV405,AF405))</f>
        <v/>
      </c>
      <c r="AH405" s="0" t="str">
        <f aca="false">IF(E405="","",C405&amp;"|"&amp;D405)</f>
        <v/>
      </c>
      <c r="AI405" s="27" t="n">
        <f aca="false">IF(M405&lt;&gt;"Sí",0,SUMPRODUCT(MAX(($AH$5:AH404=AH405)*($M$5:M404="Sí")*ROW($AH$5:AH404))))</f>
        <v>0</v>
      </c>
      <c r="AJ405" s="0" t="str">
        <f aca="false">IF(M405&lt;&gt;"Sí","",IF(AL405=1,B405,INDEX($AJ:$AJ,AI405)))</f>
        <v/>
      </c>
      <c r="AK405" s="0" t="str">
        <f aca="false">IF(M405&lt;&gt;"Sí","",IF(AL405=1,E405,INDEX($AK:$AK,AI405)+E405))</f>
        <v/>
      </c>
      <c r="AL405" s="0" t="str">
        <f aca="false">IF(M405&lt;&gt;"Sí","",IF(AI405=0,1,IF(INDEX($AN:$AN,AI405)=0,1,IF(B405&gt;=EDATE(INDEX($AJ:$AJ,AI405),6),1,0))))</f>
        <v/>
      </c>
      <c r="AM405" s="0" t="str">
        <f aca="false">IF(D405="","",IFERROR(MATCH(D405,CATÁLOGO!$C$5:$C$39,0),""))</f>
        <v/>
      </c>
      <c r="AN405" s="0" t="str">
        <f aca="false">IF(M405&lt;&gt;"Sí","",IF(AND(ISNUMBER(AE405),AK405&gt;=AE405),0,1))</f>
        <v/>
      </c>
      <c r="AO405" s="0" t="str">
        <f aca="false">IF(OR(E405="",C405="",NOT(ISNUMBER(B405))),"",SUMIFS($E$6:$E$505,$C$6:$C$505,C405,$B$6:$B$505,"&gt;="&amp;DATE(YEAR(B405),MONTH(B405),1),$B$6:$B$505,"&lt;"&amp;DATE(YEAR(B405),MONTH(B405)+1,1)))</f>
        <v/>
      </c>
      <c r="AP405" s="0" t="str">
        <f aca="false">IF(C405="","",IFERROR(INDEX(CLIENTES!$M$6:$M$305,MATCH(C405,CLIENTES!$A$6:$A$305,0)),""))</f>
        <v/>
      </c>
      <c r="AQ405" s="27" t="n">
        <f aca="false">IF(AND(ISNUMBER(AO405),ISNUMBER(AP405)),IF(AND(AP405&gt;0,AO405&gt;AP405),1,0),0)</f>
        <v>0</v>
      </c>
      <c r="AR405" s="27" t="n">
        <f aca="false">IF(NOT(ISNUMBER(B405)),0,IF(B405&lt;MAX($B$5:B404),1,0))</f>
        <v>0</v>
      </c>
      <c r="AS405" s="0" t="str">
        <f aca="false">IF(C405="","",IFERROR(INDEX(CLIENTES!$H$6:$H$305,MATCH(C405,CLIENTES!$A$6:$A$305,0)),""))</f>
        <v/>
      </c>
      <c r="AT405" s="0" t="str">
        <f aca="false">IF(AND(LEFT(P405,5)="AVISO",T405&lt;&gt;"Presentado",ISNUMBER(Q405)),Q405,"")</f>
        <v/>
      </c>
      <c r="AU405" s="27" t="n">
        <f aca="false">IF(AND(D405="XVI - Activos virtuales (PSAV): operación de intercambio/transferencia",M405="Sí",ISNUMBER(AE405)),IF(AK405&gt;=AE405,1,0),0)</f>
        <v>0</v>
      </c>
      <c r="AV405" s="30" t="n">
        <f aca="false">IF(NOT(ISNUMBER(B405)),CONFIG!$B$4,IFERROR(INDEX(CONFIG!$I$5:$I$14,MATCH(IF(MONTH(B405)=1,YEAR(B405)-1,YEAR(B405)),CONFIG!$H$5:$H$14,0)),CONFIG!$B$4))</f>
        <v>117.31</v>
      </c>
      <c r="AW405" s="27" t="n">
        <f aca="false">IF(AND(LEFT(D405,4)="I - ",ISNUMBER(B405),C405&lt;&gt;""),SUMIFS($E$6:$E$505,$C$6:$C$505,C405,$D$6:$D$505,D405,$B$6:$B$505,"&gt;"&amp;(B405-1),$B$6:$B$505,"&lt;="&amp;B405),0)</f>
        <v>0</v>
      </c>
      <c r="AX405" s="0" t="str">
        <f aca="false">IF(E405="","",IF(AD405="Siempre","AVISO (siempre)",IF(AD405="No aplica","Sin Aviso (sólo preparas: Ley 17 XI)",IF(NOT(ISNUMBER(AE405)),"",IF(AA405&lt;&gt;"ACUMULA",IF(E405&gt;=AE405,IF(AND(D405="XVI - Activos virtuales (PSAV): cobro de contraprestación (comisión) por el servicio",COUNTIFS($C$6:$C$505,C405,$B$6:$B$505,"&gt;="&amp;INT(B405),$B$6:$B$505,"&lt;"&amp;(INT(B405)+1),$AU$6:$AU$505,1)&gt;0),"En el Aviso del inciso a) (R 31 Bis)","AVISO"),"—"),IF(M405&lt;&gt;"Sí","—",IF(AK405&gt;=AE405,IF(AK405=E405,"AVISO","AVISO (acumulado)"),"Acumulando")))))))</f>
        <v/>
      </c>
    </row>
    <row r="406" customFormat="false" ht="15" hidden="false" customHeight="false" outlineLevel="0" collapsed="false">
      <c r="A406" s="9" t="str">
        <f aca="false">IF(E406="","",ROW()-5)</f>
        <v/>
      </c>
      <c r="B406" s="20"/>
      <c r="C406" s="21"/>
      <c r="D406" s="21"/>
      <c r="E406" s="22"/>
      <c r="F406" s="22"/>
      <c r="G406" s="21"/>
      <c r="H406" s="21"/>
      <c r="I406" s="9" t="str">
        <f aca="false">IF(C406="","",IFERROR(INDEX(CLIENTES!$B$6:$B$305,MATCH(C406,CLIENTES!$A$6:$A$305,0)),"⚠ ID no registrado"))</f>
        <v/>
      </c>
      <c r="J406" s="9" t="str">
        <f aca="false">IF(C406="","",IFERROR(INDEX(CLIENTES!$Z$6:$Z$305,MATCH(C406,CLIENTES!$A$6:$A$305,0)),""))</f>
        <v/>
      </c>
      <c r="K406" s="9" t="str">
        <f aca="false">IF(E406="","",IF(AB406="Siempre","Sí",IF(ISNUMBER(AC406),IF(E406&gt;=AC406,"Sí",IF(AW406&gt;=AC406,"Sí (serie 24 h)","No")),"")))</f>
        <v/>
      </c>
      <c r="L406" s="9" t="str">
        <f aca="false">IF(E406="","",AA406)</f>
        <v/>
      </c>
      <c r="M406" s="9" t="str">
        <f aca="false">IF(E406="","",IF(AA406&lt;&gt;"ACUMULA","No aplica",IF(LEFT(K406,2)="Sí","Sí","No")))</f>
        <v/>
      </c>
      <c r="N406" s="23" t="str">
        <f aca="false">IF(M406="Sí",AJ406,"")</f>
        <v/>
      </c>
      <c r="O406" s="24" t="str">
        <f aca="false">IF(M406="Sí",AK406,"")</f>
        <v/>
      </c>
      <c r="P406" s="25" t="str">
        <f aca="false">IF(AND(LEFT(D406,6)="XIV - ",LEFT(AX406,5)="AVISO"),"Pedimento (R 16): no va al SPPLD",AX406)</f>
        <v/>
      </c>
      <c r="Q406" s="23" t="str">
        <f aca="false">IF(LEFT(P406,5)="AVISO",IF(ISNUMBER(B406),DATE(YEAR(B406),MONTH(B406)+1,17),"Falta fecha"),"")</f>
        <v/>
      </c>
      <c r="R406" s="9" t="str">
        <f aca="false">IF(OR(F406="",F406=0),"",IF(ISNUMBER(AG406),IF(F406&gt;=AG406,"PROHIBIDO","Dentro del límite"),"No aplica"))</f>
        <v/>
      </c>
      <c r="S406" s="26" t="str">
        <f aca="false">IF(E406="","",MID(IF(AQ406=1," · Excede el perfil declarado","")&amp;IF(H406="Sí"," · Paga un tercero","")&amp;IF(J406="Alto"," · Cliente de riesgo alto: DDR (RCG 23 Ter 3 y 4)","")&amp;IF(AND(AS406&lt;&gt;"",AS406&lt;&gt;"No",AS406&lt;&gt;0)," · PEP","")&amp;IF(R406="PROHIBIDO"," · Efectivo prohibido: no lo recibas (Art. 32)","")&amp;IF(AR406=1," · ⚠ Fecha fuera de orden","")&amp;IF(LEFT(I406,1)="⚠"," · ⚠ Cliente no registrado","")&amp;IF(D406=""," · ⚠ Falta la actividad","")&amp;IF(AND(LEFT(P406,5)="AVISO",W406="")," · Captura la cifra total con IVA para el Aviso","")&amp;IF(AND(ISNUMBER(W406),W406&lt;E406)," · ⚠ La cifra con IVA es menor que el monto sin IVA",""),4,400))</f>
        <v/>
      </c>
      <c r="T406" s="21"/>
      <c r="U406" s="20"/>
      <c r="V406" s="9" t="str">
        <f aca="false">IF(LEFT(P406,5)&lt;&gt;"AVISO","",IF(T406="Presentado",IF(AND(ISNUMBER(U406),ISNUMBER(Q406),U406&gt;Q406),"Presentado tarde","Presentado"),IF(NOT(ISNUMBER(Q406)),"Falta fecha",IF(Q406&lt;CONFIG!$B$6,"VENCIDO","Vence en "&amp;(Q406-CONFIG!$B$6)&amp;" días"))))</f>
        <v/>
      </c>
      <c r="W406" s="22"/>
      <c r="X406" s="21"/>
      <c r="AA406" s="0" t="str">
        <f aca="false">IF(AM406="","",INDEX(CATÁLOGO!$D$5:$D$39,AM406))</f>
        <v/>
      </c>
      <c r="AB406" s="0" t="str">
        <f aca="false">IF(AM406="","",INDEX(CATÁLOGO!$E$5:$E$39,AM406))</f>
        <v/>
      </c>
      <c r="AC406" s="0" t="str">
        <f aca="false">IF(AB406="","",IF(ISNUMBER(AB406),AB406*AV406,AB406))</f>
        <v/>
      </c>
      <c r="AD406" s="0" t="str">
        <f aca="false">IF(AM406="","",INDEX(CATÁLOGO!$F$5:$F$39,AM406))</f>
        <v/>
      </c>
      <c r="AE406" s="0" t="str">
        <f aca="false">IF(AD406="","",IF(ISNUMBER(AD406),AD406*AV406,AD406))</f>
        <v/>
      </c>
      <c r="AF406" s="0" t="str">
        <f aca="false">IF(AM406="","",INDEX(CATÁLOGO!$G$5:$G$39,AM406))</f>
        <v/>
      </c>
      <c r="AG406" s="0" t="str">
        <f aca="false">IF(AF406="","",IF(ISNUMBER(AF406),AF406*AV406,AF406))</f>
        <v/>
      </c>
      <c r="AH406" s="0" t="str">
        <f aca="false">IF(E406="","",C406&amp;"|"&amp;D406)</f>
        <v/>
      </c>
      <c r="AI406" s="27" t="n">
        <f aca="false">IF(M406&lt;&gt;"Sí",0,SUMPRODUCT(MAX(($AH$5:AH405=AH406)*($M$5:M405="Sí")*ROW($AH$5:AH405))))</f>
        <v>0</v>
      </c>
      <c r="AJ406" s="0" t="str">
        <f aca="false">IF(M406&lt;&gt;"Sí","",IF(AL406=1,B406,INDEX($AJ:$AJ,AI406)))</f>
        <v/>
      </c>
      <c r="AK406" s="0" t="str">
        <f aca="false">IF(M406&lt;&gt;"Sí","",IF(AL406=1,E406,INDEX($AK:$AK,AI406)+E406))</f>
        <v/>
      </c>
      <c r="AL406" s="0" t="str">
        <f aca="false">IF(M406&lt;&gt;"Sí","",IF(AI406=0,1,IF(INDEX($AN:$AN,AI406)=0,1,IF(B406&gt;=EDATE(INDEX($AJ:$AJ,AI406),6),1,0))))</f>
        <v/>
      </c>
      <c r="AM406" s="0" t="str">
        <f aca="false">IF(D406="","",IFERROR(MATCH(D406,CATÁLOGO!$C$5:$C$39,0),""))</f>
        <v/>
      </c>
      <c r="AN406" s="0" t="str">
        <f aca="false">IF(M406&lt;&gt;"Sí","",IF(AND(ISNUMBER(AE406),AK406&gt;=AE406),0,1))</f>
        <v/>
      </c>
      <c r="AO406" s="0" t="str">
        <f aca="false">IF(OR(E406="",C406="",NOT(ISNUMBER(B406))),"",SUMIFS($E$6:$E$505,$C$6:$C$505,C406,$B$6:$B$505,"&gt;="&amp;DATE(YEAR(B406),MONTH(B406),1),$B$6:$B$505,"&lt;"&amp;DATE(YEAR(B406),MONTH(B406)+1,1)))</f>
        <v/>
      </c>
      <c r="AP406" s="0" t="str">
        <f aca="false">IF(C406="","",IFERROR(INDEX(CLIENTES!$M$6:$M$305,MATCH(C406,CLIENTES!$A$6:$A$305,0)),""))</f>
        <v/>
      </c>
      <c r="AQ406" s="27" t="n">
        <f aca="false">IF(AND(ISNUMBER(AO406),ISNUMBER(AP406)),IF(AND(AP406&gt;0,AO406&gt;AP406),1,0),0)</f>
        <v>0</v>
      </c>
      <c r="AR406" s="27" t="n">
        <f aca="false">IF(NOT(ISNUMBER(B406)),0,IF(B406&lt;MAX($B$5:B405),1,0))</f>
        <v>0</v>
      </c>
      <c r="AS406" s="0" t="str">
        <f aca="false">IF(C406="","",IFERROR(INDEX(CLIENTES!$H$6:$H$305,MATCH(C406,CLIENTES!$A$6:$A$305,0)),""))</f>
        <v/>
      </c>
      <c r="AT406" s="0" t="str">
        <f aca="false">IF(AND(LEFT(P406,5)="AVISO",T406&lt;&gt;"Presentado",ISNUMBER(Q406)),Q406,"")</f>
        <v/>
      </c>
      <c r="AU406" s="27" t="n">
        <f aca="false">IF(AND(D406="XVI - Activos virtuales (PSAV): operación de intercambio/transferencia",M406="Sí",ISNUMBER(AE406)),IF(AK406&gt;=AE406,1,0),0)</f>
        <v>0</v>
      </c>
      <c r="AV406" s="30" t="n">
        <f aca="false">IF(NOT(ISNUMBER(B406)),CONFIG!$B$4,IFERROR(INDEX(CONFIG!$I$5:$I$14,MATCH(IF(MONTH(B406)=1,YEAR(B406)-1,YEAR(B406)),CONFIG!$H$5:$H$14,0)),CONFIG!$B$4))</f>
        <v>117.31</v>
      </c>
      <c r="AW406" s="27" t="n">
        <f aca="false">IF(AND(LEFT(D406,4)="I - ",ISNUMBER(B406),C406&lt;&gt;""),SUMIFS($E$6:$E$505,$C$6:$C$505,C406,$D$6:$D$505,D406,$B$6:$B$505,"&gt;"&amp;(B406-1),$B$6:$B$505,"&lt;="&amp;B406),0)</f>
        <v>0</v>
      </c>
      <c r="AX406" s="0" t="str">
        <f aca="false">IF(E406="","",IF(AD406="Siempre","AVISO (siempre)",IF(AD406="No aplica","Sin Aviso (sólo preparas: Ley 17 XI)",IF(NOT(ISNUMBER(AE406)),"",IF(AA406&lt;&gt;"ACUMULA",IF(E406&gt;=AE406,IF(AND(D406="XVI - Activos virtuales (PSAV): cobro de contraprestación (comisión) por el servicio",COUNTIFS($C$6:$C$505,C406,$B$6:$B$505,"&gt;="&amp;INT(B406),$B$6:$B$505,"&lt;"&amp;(INT(B406)+1),$AU$6:$AU$505,1)&gt;0),"En el Aviso del inciso a) (R 31 Bis)","AVISO"),"—"),IF(M406&lt;&gt;"Sí","—",IF(AK406&gt;=AE406,IF(AK406=E406,"AVISO","AVISO (acumulado)"),"Acumulando")))))))</f>
        <v/>
      </c>
    </row>
    <row r="407" customFormat="false" ht="15" hidden="false" customHeight="false" outlineLevel="0" collapsed="false">
      <c r="A407" s="9" t="str">
        <f aca="false">IF(E407="","",ROW()-5)</f>
        <v/>
      </c>
      <c r="B407" s="20"/>
      <c r="C407" s="21"/>
      <c r="D407" s="21"/>
      <c r="E407" s="22"/>
      <c r="F407" s="22"/>
      <c r="G407" s="21"/>
      <c r="H407" s="21"/>
      <c r="I407" s="9" t="str">
        <f aca="false">IF(C407="","",IFERROR(INDEX(CLIENTES!$B$6:$B$305,MATCH(C407,CLIENTES!$A$6:$A$305,0)),"⚠ ID no registrado"))</f>
        <v/>
      </c>
      <c r="J407" s="9" t="str">
        <f aca="false">IF(C407="","",IFERROR(INDEX(CLIENTES!$Z$6:$Z$305,MATCH(C407,CLIENTES!$A$6:$A$305,0)),""))</f>
        <v/>
      </c>
      <c r="K407" s="9" t="str">
        <f aca="false">IF(E407="","",IF(AB407="Siempre","Sí",IF(ISNUMBER(AC407),IF(E407&gt;=AC407,"Sí",IF(AW407&gt;=AC407,"Sí (serie 24 h)","No")),"")))</f>
        <v/>
      </c>
      <c r="L407" s="9" t="str">
        <f aca="false">IF(E407="","",AA407)</f>
        <v/>
      </c>
      <c r="M407" s="9" t="str">
        <f aca="false">IF(E407="","",IF(AA407&lt;&gt;"ACUMULA","No aplica",IF(LEFT(K407,2)="Sí","Sí","No")))</f>
        <v/>
      </c>
      <c r="N407" s="23" t="str">
        <f aca="false">IF(M407="Sí",AJ407,"")</f>
        <v/>
      </c>
      <c r="O407" s="24" t="str">
        <f aca="false">IF(M407="Sí",AK407,"")</f>
        <v/>
      </c>
      <c r="P407" s="25" t="str">
        <f aca="false">IF(AND(LEFT(D407,6)="XIV - ",LEFT(AX407,5)="AVISO"),"Pedimento (R 16): no va al SPPLD",AX407)</f>
        <v/>
      </c>
      <c r="Q407" s="23" t="str">
        <f aca="false">IF(LEFT(P407,5)="AVISO",IF(ISNUMBER(B407),DATE(YEAR(B407),MONTH(B407)+1,17),"Falta fecha"),"")</f>
        <v/>
      </c>
      <c r="R407" s="9" t="str">
        <f aca="false">IF(OR(F407="",F407=0),"",IF(ISNUMBER(AG407),IF(F407&gt;=AG407,"PROHIBIDO","Dentro del límite"),"No aplica"))</f>
        <v/>
      </c>
      <c r="S407" s="26" t="str">
        <f aca="false">IF(E407="","",MID(IF(AQ407=1," · Excede el perfil declarado","")&amp;IF(H407="Sí"," · Paga un tercero","")&amp;IF(J407="Alto"," · Cliente de riesgo alto: DDR (RCG 23 Ter 3 y 4)","")&amp;IF(AND(AS407&lt;&gt;"",AS407&lt;&gt;"No",AS407&lt;&gt;0)," · PEP","")&amp;IF(R407="PROHIBIDO"," · Efectivo prohibido: no lo recibas (Art. 32)","")&amp;IF(AR407=1," · ⚠ Fecha fuera de orden","")&amp;IF(LEFT(I407,1)="⚠"," · ⚠ Cliente no registrado","")&amp;IF(D407=""," · ⚠ Falta la actividad","")&amp;IF(AND(LEFT(P407,5)="AVISO",W407="")," · Captura la cifra total con IVA para el Aviso","")&amp;IF(AND(ISNUMBER(W407),W407&lt;E407)," · ⚠ La cifra con IVA es menor que el monto sin IVA",""),4,400))</f>
        <v/>
      </c>
      <c r="T407" s="21"/>
      <c r="U407" s="20"/>
      <c r="V407" s="9" t="str">
        <f aca="false">IF(LEFT(P407,5)&lt;&gt;"AVISO","",IF(T407="Presentado",IF(AND(ISNUMBER(U407),ISNUMBER(Q407),U407&gt;Q407),"Presentado tarde","Presentado"),IF(NOT(ISNUMBER(Q407)),"Falta fecha",IF(Q407&lt;CONFIG!$B$6,"VENCIDO","Vence en "&amp;(Q407-CONFIG!$B$6)&amp;" días"))))</f>
        <v/>
      </c>
      <c r="W407" s="22"/>
      <c r="X407" s="21"/>
      <c r="AA407" s="0" t="str">
        <f aca="false">IF(AM407="","",INDEX(CATÁLOGO!$D$5:$D$39,AM407))</f>
        <v/>
      </c>
      <c r="AB407" s="0" t="str">
        <f aca="false">IF(AM407="","",INDEX(CATÁLOGO!$E$5:$E$39,AM407))</f>
        <v/>
      </c>
      <c r="AC407" s="0" t="str">
        <f aca="false">IF(AB407="","",IF(ISNUMBER(AB407),AB407*AV407,AB407))</f>
        <v/>
      </c>
      <c r="AD407" s="0" t="str">
        <f aca="false">IF(AM407="","",INDEX(CATÁLOGO!$F$5:$F$39,AM407))</f>
        <v/>
      </c>
      <c r="AE407" s="0" t="str">
        <f aca="false">IF(AD407="","",IF(ISNUMBER(AD407),AD407*AV407,AD407))</f>
        <v/>
      </c>
      <c r="AF407" s="0" t="str">
        <f aca="false">IF(AM407="","",INDEX(CATÁLOGO!$G$5:$G$39,AM407))</f>
        <v/>
      </c>
      <c r="AG407" s="0" t="str">
        <f aca="false">IF(AF407="","",IF(ISNUMBER(AF407),AF407*AV407,AF407))</f>
        <v/>
      </c>
      <c r="AH407" s="0" t="str">
        <f aca="false">IF(E407="","",C407&amp;"|"&amp;D407)</f>
        <v/>
      </c>
      <c r="AI407" s="27" t="n">
        <f aca="false">IF(M407&lt;&gt;"Sí",0,SUMPRODUCT(MAX(($AH$5:AH406=AH407)*($M$5:M406="Sí")*ROW($AH$5:AH406))))</f>
        <v>0</v>
      </c>
      <c r="AJ407" s="0" t="str">
        <f aca="false">IF(M407&lt;&gt;"Sí","",IF(AL407=1,B407,INDEX($AJ:$AJ,AI407)))</f>
        <v/>
      </c>
      <c r="AK407" s="0" t="str">
        <f aca="false">IF(M407&lt;&gt;"Sí","",IF(AL407=1,E407,INDEX($AK:$AK,AI407)+E407))</f>
        <v/>
      </c>
      <c r="AL407" s="0" t="str">
        <f aca="false">IF(M407&lt;&gt;"Sí","",IF(AI407=0,1,IF(INDEX($AN:$AN,AI407)=0,1,IF(B407&gt;=EDATE(INDEX($AJ:$AJ,AI407),6),1,0))))</f>
        <v/>
      </c>
      <c r="AM407" s="0" t="str">
        <f aca="false">IF(D407="","",IFERROR(MATCH(D407,CATÁLOGO!$C$5:$C$39,0),""))</f>
        <v/>
      </c>
      <c r="AN407" s="0" t="str">
        <f aca="false">IF(M407&lt;&gt;"Sí","",IF(AND(ISNUMBER(AE407),AK407&gt;=AE407),0,1))</f>
        <v/>
      </c>
      <c r="AO407" s="0" t="str">
        <f aca="false">IF(OR(E407="",C407="",NOT(ISNUMBER(B407))),"",SUMIFS($E$6:$E$505,$C$6:$C$505,C407,$B$6:$B$505,"&gt;="&amp;DATE(YEAR(B407),MONTH(B407),1),$B$6:$B$505,"&lt;"&amp;DATE(YEAR(B407),MONTH(B407)+1,1)))</f>
        <v/>
      </c>
      <c r="AP407" s="0" t="str">
        <f aca="false">IF(C407="","",IFERROR(INDEX(CLIENTES!$M$6:$M$305,MATCH(C407,CLIENTES!$A$6:$A$305,0)),""))</f>
        <v/>
      </c>
      <c r="AQ407" s="27" t="n">
        <f aca="false">IF(AND(ISNUMBER(AO407),ISNUMBER(AP407)),IF(AND(AP407&gt;0,AO407&gt;AP407),1,0),0)</f>
        <v>0</v>
      </c>
      <c r="AR407" s="27" t="n">
        <f aca="false">IF(NOT(ISNUMBER(B407)),0,IF(B407&lt;MAX($B$5:B406),1,0))</f>
        <v>0</v>
      </c>
      <c r="AS407" s="0" t="str">
        <f aca="false">IF(C407="","",IFERROR(INDEX(CLIENTES!$H$6:$H$305,MATCH(C407,CLIENTES!$A$6:$A$305,0)),""))</f>
        <v/>
      </c>
      <c r="AT407" s="0" t="str">
        <f aca="false">IF(AND(LEFT(P407,5)="AVISO",T407&lt;&gt;"Presentado",ISNUMBER(Q407)),Q407,"")</f>
        <v/>
      </c>
      <c r="AU407" s="27" t="n">
        <f aca="false">IF(AND(D407="XVI - Activos virtuales (PSAV): operación de intercambio/transferencia",M407="Sí",ISNUMBER(AE407)),IF(AK407&gt;=AE407,1,0),0)</f>
        <v>0</v>
      </c>
      <c r="AV407" s="30" t="n">
        <f aca="false">IF(NOT(ISNUMBER(B407)),CONFIG!$B$4,IFERROR(INDEX(CONFIG!$I$5:$I$14,MATCH(IF(MONTH(B407)=1,YEAR(B407)-1,YEAR(B407)),CONFIG!$H$5:$H$14,0)),CONFIG!$B$4))</f>
        <v>117.31</v>
      </c>
      <c r="AW407" s="27" t="n">
        <f aca="false">IF(AND(LEFT(D407,4)="I - ",ISNUMBER(B407),C407&lt;&gt;""),SUMIFS($E$6:$E$505,$C$6:$C$505,C407,$D$6:$D$505,D407,$B$6:$B$505,"&gt;"&amp;(B407-1),$B$6:$B$505,"&lt;="&amp;B407),0)</f>
        <v>0</v>
      </c>
      <c r="AX407" s="0" t="str">
        <f aca="false">IF(E407="","",IF(AD407="Siempre","AVISO (siempre)",IF(AD407="No aplica","Sin Aviso (sólo preparas: Ley 17 XI)",IF(NOT(ISNUMBER(AE407)),"",IF(AA407&lt;&gt;"ACUMULA",IF(E407&gt;=AE407,IF(AND(D407="XVI - Activos virtuales (PSAV): cobro de contraprestación (comisión) por el servicio",COUNTIFS($C$6:$C$505,C407,$B$6:$B$505,"&gt;="&amp;INT(B407),$B$6:$B$505,"&lt;"&amp;(INT(B407)+1),$AU$6:$AU$505,1)&gt;0),"En el Aviso del inciso a) (R 31 Bis)","AVISO"),"—"),IF(M407&lt;&gt;"Sí","—",IF(AK407&gt;=AE407,IF(AK407=E407,"AVISO","AVISO (acumulado)"),"Acumulando")))))))</f>
        <v/>
      </c>
    </row>
    <row r="408" customFormat="false" ht="15" hidden="false" customHeight="false" outlineLevel="0" collapsed="false">
      <c r="A408" s="9" t="str">
        <f aca="false">IF(E408="","",ROW()-5)</f>
        <v/>
      </c>
      <c r="B408" s="20"/>
      <c r="C408" s="21"/>
      <c r="D408" s="21"/>
      <c r="E408" s="22"/>
      <c r="F408" s="22"/>
      <c r="G408" s="21"/>
      <c r="H408" s="21"/>
      <c r="I408" s="9" t="str">
        <f aca="false">IF(C408="","",IFERROR(INDEX(CLIENTES!$B$6:$B$305,MATCH(C408,CLIENTES!$A$6:$A$305,0)),"⚠ ID no registrado"))</f>
        <v/>
      </c>
      <c r="J408" s="9" t="str">
        <f aca="false">IF(C408="","",IFERROR(INDEX(CLIENTES!$Z$6:$Z$305,MATCH(C408,CLIENTES!$A$6:$A$305,0)),""))</f>
        <v/>
      </c>
      <c r="K408" s="9" t="str">
        <f aca="false">IF(E408="","",IF(AB408="Siempre","Sí",IF(ISNUMBER(AC408),IF(E408&gt;=AC408,"Sí",IF(AW408&gt;=AC408,"Sí (serie 24 h)","No")),"")))</f>
        <v/>
      </c>
      <c r="L408" s="9" t="str">
        <f aca="false">IF(E408="","",AA408)</f>
        <v/>
      </c>
      <c r="M408" s="9" t="str">
        <f aca="false">IF(E408="","",IF(AA408&lt;&gt;"ACUMULA","No aplica",IF(LEFT(K408,2)="Sí","Sí","No")))</f>
        <v/>
      </c>
      <c r="N408" s="23" t="str">
        <f aca="false">IF(M408="Sí",AJ408,"")</f>
        <v/>
      </c>
      <c r="O408" s="24" t="str">
        <f aca="false">IF(M408="Sí",AK408,"")</f>
        <v/>
      </c>
      <c r="P408" s="25" t="str">
        <f aca="false">IF(AND(LEFT(D408,6)="XIV - ",LEFT(AX408,5)="AVISO"),"Pedimento (R 16): no va al SPPLD",AX408)</f>
        <v/>
      </c>
      <c r="Q408" s="23" t="str">
        <f aca="false">IF(LEFT(P408,5)="AVISO",IF(ISNUMBER(B408),DATE(YEAR(B408),MONTH(B408)+1,17),"Falta fecha"),"")</f>
        <v/>
      </c>
      <c r="R408" s="9" t="str">
        <f aca="false">IF(OR(F408="",F408=0),"",IF(ISNUMBER(AG408),IF(F408&gt;=AG408,"PROHIBIDO","Dentro del límite"),"No aplica"))</f>
        <v/>
      </c>
      <c r="S408" s="26" t="str">
        <f aca="false">IF(E408="","",MID(IF(AQ408=1," · Excede el perfil declarado","")&amp;IF(H408="Sí"," · Paga un tercero","")&amp;IF(J408="Alto"," · Cliente de riesgo alto: DDR (RCG 23 Ter 3 y 4)","")&amp;IF(AND(AS408&lt;&gt;"",AS408&lt;&gt;"No",AS408&lt;&gt;0)," · PEP","")&amp;IF(R408="PROHIBIDO"," · Efectivo prohibido: no lo recibas (Art. 32)","")&amp;IF(AR408=1," · ⚠ Fecha fuera de orden","")&amp;IF(LEFT(I408,1)="⚠"," · ⚠ Cliente no registrado","")&amp;IF(D408=""," · ⚠ Falta la actividad","")&amp;IF(AND(LEFT(P408,5)="AVISO",W408="")," · Captura la cifra total con IVA para el Aviso","")&amp;IF(AND(ISNUMBER(W408),W408&lt;E408)," · ⚠ La cifra con IVA es menor que el monto sin IVA",""),4,400))</f>
        <v/>
      </c>
      <c r="T408" s="21"/>
      <c r="U408" s="20"/>
      <c r="V408" s="9" t="str">
        <f aca="false">IF(LEFT(P408,5)&lt;&gt;"AVISO","",IF(T408="Presentado",IF(AND(ISNUMBER(U408),ISNUMBER(Q408),U408&gt;Q408),"Presentado tarde","Presentado"),IF(NOT(ISNUMBER(Q408)),"Falta fecha",IF(Q408&lt;CONFIG!$B$6,"VENCIDO","Vence en "&amp;(Q408-CONFIG!$B$6)&amp;" días"))))</f>
        <v/>
      </c>
      <c r="W408" s="22"/>
      <c r="X408" s="21"/>
      <c r="AA408" s="0" t="str">
        <f aca="false">IF(AM408="","",INDEX(CATÁLOGO!$D$5:$D$39,AM408))</f>
        <v/>
      </c>
      <c r="AB408" s="0" t="str">
        <f aca="false">IF(AM408="","",INDEX(CATÁLOGO!$E$5:$E$39,AM408))</f>
        <v/>
      </c>
      <c r="AC408" s="0" t="str">
        <f aca="false">IF(AB408="","",IF(ISNUMBER(AB408),AB408*AV408,AB408))</f>
        <v/>
      </c>
      <c r="AD408" s="0" t="str">
        <f aca="false">IF(AM408="","",INDEX(CATÁLOGO!$F$5:$F$39,AM408))</f>
        <v/>
      </c>
      <c r="AE408" s="0" t="str">
        <f aca="false">IF(AD408="","",IF(ISNUMBER(AD408),AD408*AV408,AD408))</f>
        <v/>
      </c>
      <c r="AF408" s="0" t="str">
        <f aca="false">IF(AM408="","",INDEX(CATÁLOGO!$G$5:$G$39,AM408))</f>
        <v/>
      </c>
      <c r="AG408" s="0" t="str">
        <f aca="false">IF(AF408="","",IF(ISNUMBER(AF408),AF408*AV408,AF408))</f>
        <v/>
      </c>
      <c r="AH408" s="0" t="str">
        <f aca="false">IF(E408="","",C408&amp;"|"&amp;D408)</f>
        <v/>
      </c>
      <c r="AI408" s="27" t="n">
        <f aca="false">IF(M408&lt;&gt;"Sí",0,SUMPRODUCT(MAX(($AH$5:AH407=AH408)*($M$5:M407="Sí")*ROW($AH$5:AH407))))</f>
        <v>0</v>
      </c>
      <c r="AJ408" s="0" t="str">
        <f aca="false">IF(M408&lt;&gt;"Sí","",IF(AL408=1,B408,INDEX($AJ:$AJ,AI408)))</f>
        <v/>
      </c>
      <c r="AK408" s="0" t="str">
        <f aca="false">IF(M408&lt;&gt;"Sí","",IF(AL408=1,E408,INDEX($AK:$AK,AI408)+E408))</f>
        <v/>
      </c>
      <c r="AL408" s="0" t="str">
        <f aca="false">IF(M408&lt;&gt;"Sí","",IF(AI408=0,1,IF(INDEX($AN:$AN,AI408)=0,1,IF(B408&gt;=EDATE(INDEX($AJ:$AJ,AI408),6),1,0))))</f>
        <v/>
      </c>
      <c r="AM408" s="0" t="str">
        <f aca="false">IF(D408="","",IFERROR(MATCH(D408,CATÁLOGO!$C$5:$C$39,0),""))</f>
        <v/>
      </c>
      <c r="AN408" s="0" t="str">
        <f aca="false">IF(M408&lt;&gt;"Sí","",IF(AND(ISNUMBER(AE408),AK408&gt;=AE408),0,1))</f>
        <v/>
      </c>
      <c r="AO408" s="0" t="str">
        <f aca="false">IF(OR(E408="",C408="",NOT(ISNUMBER(B408))),"",SUMIFS($E$6:$E$505,$C$6:$C$505,C408,$B$6:$B$505,"&gt;="&amp;DATE(YEAR(B408),MONTH(B408),1),$B$6:$B$505,"&lt;"&amp;DATE(YEAR(B408),MONTH(B408)+1,1)))</f>
        <v/>
      </c>
      <c r="AP408" s="0" t="str">
        <f aca="false">IF(C408="","",IFERROR(INDEX(CLIENTES!$M$6:$M$305,MATCH(C408,CLIENTES!$A$6:$A$305,0)),""))</f>
        <v/>
      </c>
      <c r="AQ408" s="27" t="n">
        <f aca="false">IF(AND(ISNUMBER(AO408),ISNUMBER(AP408)),IF(AND(AP408&gt;0,AO408&gt;AP408),1,0),0)</f>
        <v>0</v>
      </c>
      <c r="AR408" s="27" t="n">
        <f aca="false">IF(NOT(ISNUMBER(B408)),0,IF(B408&lt;MAX($B$5:B407),1,0))</f>
        <v>0</v>
      </c>
      <c r="AS408" s="0" t="str">
        <f aca="false">IF(C408="","",IFERROR(INDEX(CLIENTES!$H$6:$H$305,MATCH(C408,CLIENTES!$A$6:$A$305,0)),""))</f>
        <v/>
      </c>
      <c r="AT408" s="0" t="str">
        <f aca="false">IF(AND(LEFT(P408,5)="AVISO",T408&lt;&gt;"Presentado",ISNUMBER(Q408)),Q408,"")</f>
        <v/>
      </c>
      <c r="AU408" s="27" t="n">
        <f aca="false">IF(AND(D408="XVI - Activos virtuales (PSAV): operación de intercambio/transferencia",M408="Sí",ISNUMBER(AE408)),IF(AK408&gt;=AE408,1,0),0)</f>
        <v>0</v>
      </c>
      <c r="AV408" s="30" t="n">
        <f aca="false">IF(NOT(ISNUMBER(B408)),CONFIG!$B$4,IFERROR(INDEX(CONFIG!$I$5:$I$14,MATCH(IF(MONTH(B408)=1,YEAR(B408)-1,YEAR(B408)),CONFIG!$H$5:$H$14,0)),CONFIG!$B$4))</f>
        <v>117.31</v>
      </c>
      <c r="AW408" s="27" t="n">
        <f aca="false">IF(AND(LEFT(D408,4)="I - ",ISNUMBER(B408),C408&lt;&gt;""),SUMIFS($E$6:$E$505,$C$6:$C$505,C408,$D$6:$D$505,D408,$B$6:$B$505,"&gt;"&amp;(B408-1),$B$6:$B$505,"&lt;="&amp;B408),0)</f>
        <v>0</v>
      </c>
      <c r="AX408" s="0" t="str">
        <f aca="false">IF(E408="","",IF(AD408="Siempre","AVISO (siempre)",IF(AD408="No aplica","Sin Aviso (sólo preparas: Ley 17 XI)",IF(NOT(ISNUMBER(AE408)),"",IF(AA408&lt;&gt;"ACUMULA",IF(E408&gt;=AE408,IF(AND(D408="XVI - Activos virtuales (PSAV): cobro de contraprestación (comisión) por el servicio",COUNTIFS($C$6:$C$505,C408,$B$6:$B$505,"&gt;="&amp;INT(B408),$B$6:$B$505,"&lt;"&amp;(INT(B408)+1),$AU$6:$AU$505,1)&gt;0),"En el Aviso del inciso a) (R 31 Bis)","AVISO"),"—"),IF(M408&lt;&gt;"Sí","—",IF(AK408&gt;=AE408,IF(AK408=E408,"AVISO","AVISO (acumulado)"),"Acumulando")))))))</f>
        <v/>
      </c>
    </row>
    <row r="409" customFormat="false" ht="15" hidden="false" customHeight="false" outlineLevel="0" collapsed="false">
      <c r="A409" s="9" t="str">
        <f aca="false">IF(E409="","",ROW()-5)</f>
        <v/>
      </c>
      <c r="B409" s="20"/>
      <c r="C409" s="21"/>
      <c r="D409" s="21"/>
      <c r="E409" s="22"/>
      <c r="F409" s="22"/>
      <c r="G409" s="21"/>
      <c r="H409" s="21"/>
      <c r="I409" s="9" t="str">
        <f aca="false">IF(C409="","",IFERROR(INDEX(CLIENTES!$B$6:$B$305,MATCH(C409,CLIENTES!$A$6:$A$305,0)),"⚠ ID no registrado"))</f>
        <v/>
      </c>
      <c r="J409" s="9" t="str">
        <f aca="false">IF(C409="","",IFERROR(INDEX(CLIENTES!$Z$6:$Z$305,MATCH(C409,CLIENTES!$A$6:$A$305,0)),""))</f>
        <v/>
      </c>
      <c r="K409" s="9" t="str">
        <f aca="false">IF(E409="","",IF(AB409="Siempre","Sí",IF(ISNUMBER(AC409),IF(E409&gt;=AC409,"Sí",IF(AW409&gt;=AC409,"Sí (serie 24 h)","No")),"")))</f>
        <v/>
      </c>
      <c r="L409" s="9" t="str">
        <f aca="false">IF(E409="","",AA409)</f>
        <v/>
      </c>
      <c r="M409" s="9" t="str">
        <f aca="false">IF(E409="","",IF(AA409&lt;&gt;"ACUMULA","No aplica",IF(LEFT(K409,2)="Sí","Sí","No")))</f>
        <v/>
      </c>
      <c r="N409" s="23" t="str">
        <f aca="false">IF(M409="Sí",AJ409,"")</f>
        <v/>
      </c>
      <c r="O409" s="24" t="str">
        <f aca="false">IF(M409="Sí",AK409,"")</f>
        <v/>
      </c>
      <c r="P409" s="25" t="str">
        <f aca="false">IF(AND(LEFT(D409,6)="XIV - ",LEFT(AX409,5)="AVISO"),"Pedimento (R 16): no va al SPPLD",AX409)</f>
        <v/>
      </c>
      <c r="Q409" s="23" t="str">
        <f aca="false">IF(LEFT(P409,5)="AVISO",IF(ISNUMBER(B409),DATE(YEAR(B409),MONTH(B409)+1,17),"Falta fecha"),"")</f>
        <v/>
      </c>
      <c r="R409" s="9" t="str">
        <f aca="false">IF(OR(F409="",F409=0),"",IF(ISNUMBER(AG409),IF(F409&gt;=AG409,"PROHIBIDO","Dentro del límite"),"No aplica"))</f>
        <v/>
      </c>
      <c r="S409" s="26" t="str">
        <f aca="false">IF(E409="","",MID(IF(AQ409=1," · Excede el perfil declarado","")&amp;IF(H409="Sí"," · Paga un tercero","")&amp;IF(J409="Alto"," · Cliente de riesgo alto: DDR (RCG 23 Ter 3 y 4)","")&amp;IF(AND(AS409&lt;&gt;"",AS409&lt;&gt;"No",AS409&lt;&gt;0)," · PEP","")&amp;IF(R409="PROHIBIDO"," · Efectivo prohibido: no lo recibas (Art. 32)","")&amp;IF(AR409=1," · ⚠ Fecha fuera de orden","")&amp;IF(LEFT(I409,1)="⚠"," · ⚠ Cliente no registrado","")&amp;IF(D409=""," · ⚠ Falta la actividad","")&amp;IF(AND(LEFT(P409,5)="AVISO",W409="")," · Captura la cifra total con IVA para el Aviso","")&amp;IF(AND(ISNUMBER(W409),W409&lt;E409)," · ⚠ La cifra con IVA es menor que el monto sin IVA",""),4,400))</f>
        <v/>
      </c>
      <c r="T409" s="21"/>
      <c r="U409" s="20"/>
      <c r="V409" s="9" t="str">
        <f aca="false">IF(LEFT(P409,5)&lt;&gt;"AVISO","",IF(T409="Presentado",IF(AND(ISNUMBER(U409),ISNUMBER(Q409),U409&gt;Q409),"Presentado tarde","Presentado"),IF(NOT(ISNUMBER(Q409)),"Falta fecha",IF(Q409&lt;CONFIG!$B$6,"VENCIDO","Vence en "&amp;(Q409-CONFIG!$B$6)&amp;" días"))))</f>
        <v/>
      </c>
      <c r="W409" s="22"/>
      <c r="X409" s="21"/>
      <c r="AA409" s="0" t="str">
        <f aca="false">IF(AM409="","",INDEX(CATÁLOGO!$D$5:$D$39,AM409))</f>
        <v/>
      </c>
      <c r="AB409" s="0" t="str">
        <f aca="false">IF(AM409="","",INDEX(CATÁLOGO!$E$5:$E$39,AM409))</f>
        <v/>
      </c>
      <c r="AC409" s="0" t="str">
        <f aca="false">IF(AB409="","",IF(ISNUMBER(AB409),AB409*AV409,AB409))</f>
        <v/>
      </c>
      <c r="AD409" s="0" t="str">
        <f aca="false">IF(AM409="","",INDEX(CATÁLOGO!$F$5:$F$39,AM409))</f>
        <v/>
      </c>
      <c r="AE409" s="0" t="str">
        <f aca="false">IF(AD409="","",IF(ISNUMBER(AD409),AD409*AV409,AD409))</f>
        <v/>
      </c>
      <c r="AF409" s="0" t="str">
        <f aca="false">IF(AM409="","",INDEX(CATÁLOGO!$G$5:$G$39,AM409))</f>
        <v/>
      </c>
      <c r="AG409" s="0" t="str">
        <f aca="false">IF(AF409="","",IF(ISNUMBER(AF409),AF409*AV409,AF409))</f>
        <v/>
      </c>
      <c r="AH409" s="0" t="str">
        <f aca="false">IF(E409="","",C409&amp;"|"&amp;D409)</f>
        <v/>
      </c>
      <c r="AI409" s="27" t="n">
        <f aca="false">IF(M409&lt;&gt;"Sí",0,SUMPRODUCT(MAX(($AH$5:AH408=AH409)*($M$5:M408="Sí")*ROW($AH$5:AH408))))</f>
        <v>0</v>
      </c>
      <c r="AJ409" s="0" t="str">
        <f aca="false">IF(M409&lt;&gt;"Sí","",IF(AL409=1,B409,INDEX($AJ:$AJ,AI409)))</f>
        <v/>
      </c>
      <c r="AK409" s="0" t="str">
        <f aca="false">IF(M409&lt;&gt;"Sí","",IF(AL409=1,E409,INDEX($AK:$AK,AI409)+E409))</f>
        <v/>
      </c>
      <c r="AL409" s="0" t="str">
        <f aca="false">IF(M409&lt;&gt;"Sí","",IF(AI409=0,1,IF(INDEX($AN:$AN,AI409)=0,1,IF(B409&gt;=EDATE(INDEX($AJ:$AJ,AI409),6),1,0))))</f>
        <v/>
      </c>
      <c r="AM409" s="0" t="str">
        <f aca="false">IF(D409="","",IFERROR(MATCH(D409,CATÁLOGO!$C$5:$C$39,0),""))</f>
        <v/>
      </c>
      <c r="AN409" s="0" t="str">
        <f aca="false">IF(M409&lt;&gt;"Sí","",IF(AND(ISNUMBER(AE409),AK409&gt;=AE409),0,1))</f>
        <v/>
      </c>
      <c r="AO409" s="0" t="str">
        <f aca="false">IF(OR(E409="",C409="",NOT(ISNUMBER(B409))),"",SUMIFS($E$6:$E$505,$C$6:$C$505,C409,$B$6:$B$505,"&gt;="&amp;DATE(YEAR(B409),MONTH(B409),1),$B$6:$B$505,"&lt;"&amp;DATE(YEAR(B409),MONTH(B409)+1,1)))</f>
        <v/>
      </c>
      <c r="AP409" s="0" t="str">
        <f aca="false">IF(C409="","",IFERROR(INDEX(CLIENTES!$M$6:$M$305,MATCH(C409,CLIENTES!$A$6:$A$305,0)),""))</f>
        <v/>
      </c>
      <c r="AQ409" s="27" t="n">
        <f aca="false">IF(AND(ISNUMBER(AO409),ISNUMBER(AP409)),IF(AND(AP409&gt;0,AO409&gt;AP409),1,0),0)</f>
        <v>0</v>
      </c>
      <c r="AR409" s="27" t="n">
        <f aca="false">IF(NOT(ISNUMBER(B409)),0,IF(B409&lt;MAX($B$5:B408),1,0))</f>
        <v>0</v>
      </c>
      <c r="AS409" s="0" t="str">
        <f aca="false">IF(C409="","",IFERROR(INDEX(CLIENTES!$H$6:$H$305,MATCH(C409,CLIENTES!$A$6:$A$305,0)),""))</f>
        <v/>
      </c>
      <c r="AT409" s="0" t="str">
        <f aca="false">IF(AND(LEFT(P409,5)="AVISO",T409&lt;&gt;"Presentado",ISNUMBER(Q409)),Q409,"")</f>
        <v/>
      </c>
      <c r="AU409" s="27" t="n">
        <f aca="false">IF(AND(D409="XVI - Activos virtuales (PSAV): operación de intercambio/transferencia",M409="Sí",ISNUMBER(AE409)),IF(AK409&gt;=AE409,1,0),0)</f>
        <v>0</v>
      </c>
      <c r="AV409" s="30" t="n">
        <f aca="false">IF(NOT(ISNUMBER(B409)),CONFIG!$B$4,IFERROR(INDEX(CONFIG!$I$5:$I$14,MATCH(IF(MONTH(B409)=1,YEAR(B409)-1,YEAR(B409)),CONFIG!$H$5:$H$14,0)),CONFIG!$B$4))</f>
        <v>117.31</v>
      </c>
      <c r="AW409" s="27" t="n">
        <f aca="false">IF(AND(LEFT(D409,4)="I - ",ISNUMBER(B409),C409&lt;&gt;""),SUMIFS($E$6:$E$505,$C$6:$C$505,C409,$D$6:$D$505,D409,$B$6:$B$505,"&gt;"&amp;(B409-1),$B$6:$B$505,"&lt;="&amp;B409),0)</f>
        <v>0</v>
      </c>
      <c r="AX409" s="0" t="str">
        <f aca="false">IF(E409="","",IF(AD409="Siempre","AVISO (siempre)",IF(AD409="No aplica","Sin Aviso (sólo preparas: Ley 17 XI)",IF(NOT(ISNUMBER(AE409)),"",IF(AA409&lt;&gt;"ACUMULA",IF(E409&gt;=AE409,IF(AND(D409="XVI - Activos virtuales (PSAV): cobro de contraprestación (comisión) por el servicio",COUNTIFS($C$6:$C$505,C409,$B$6:$B$505,"&gt;="&amp;INT(B409),$B$6:$B$505,"&lt;"&amp;(INT(B409)+1),$AU$6:$AU$505,1)&gt;0),"En el Aviso del inciso a) (R 31 Bis)","AVISO"),"—"),IF(M409&lt;&gt;"Sí","—",IF(AK409&gt;=AE409,IF(AK409=E409,"AVISO","AVISO (acumulado)"),"Acumulando")))))))</f>
        <v/>
      </c>
    </row>
    <row r="410" customFormat="false" ht="15" hidden="false" customHeight="false" outlineLevel="0" collapsed="false">
      <c r="A410" s="9" t="str">
        <f aca="false">IF(E410="","",ROW()-5)</f>
        <v/>
      </c>
      <c r="B410" s="20"/>
      <c r="C410" s="21"/>
      <c r="D410" s="21"/>
      <c r="E410" s="22"/>
      <c r="F410" s="22"/>
      <c r="G410" s="21"/>
      <c r="H410" s="21"/>
      <c r="I410" s="9" t="str">
        <f aca="false">IF(C410="","",IFERROR(INDEX(CLIENTES!$B$6:$B$305,MATCH(C410,CLIENTES!$A$6:$A$305,0)),"⚠ ID no registrado"))</f>
        <v/>
      </c>
      <c r="J410" s="9" t="str">
        <f aca="false">IF(C410="","",IFERROR(INDEX(CLIENTES!$Z$6:$Z$305,MATCH(C410,CLIENTES!$A$6:$A$305,0)),""))</f>
        <v/>
      </c>
      <c r="K410" s="9" t="str">
        <f aca="false">IF(E410="","",IF(AB410="Siempre","Sí",IF(ISNUMBER(AC410),IF(E410&gt;=AC410,"Sí",IF(AW410&gt;=AC410,"Sí (serie 24 h)","No")),"")))</f>
        <v/>
      </c>
      <c r="L410" s="9" t="str">
        <f aca="false">IF(E410="","",AA410)</f>
        <v/>
      </c>
      <c r="M410" s="9" t="str">
        <f aca="false">IF(E410="","",IF(AA410&lt;&gt;"ACUMULA","No aplica",IF(LEFT(K410,2)="Sí","Sí","No")))</f>
        <v/>
      </c>
      <c r="N410" s="23" t="str">
        <f aca="false">IF(M410="Sí",AJ410,"")</f>
        <v/>
      </c>
      <c r="O410" s="24" t="str">
        <f aca="false">IF(M410="Sí",AK410,"")</f>
        <v/>
      </c>
      <c r="P410" s="25" t="str">
        <f aca="false">IF(AND(LEFT(D410,6)="XIV - ",LEFT(AX410,5)="AVISO"),"Pedimento (R 16): no va al SPPLD",AX410)</f>
        <v/>
      </c>
      <c r="Q410" s="23" t="str">
        <f aca="false">IF(LEFT(P410,5)="AVISO",IF(ISNUMBER(B410),DATE(YEAR(B410),MONTH(B410)+1,17),"Falta fecha"),"")</f>
        <v/>
      </c>
      <c r="R410" s="9" t="str">
        <f aca="false">IF(OR(F410="",F410=0),"",IF(ISNUMBER(AG410),IF(F410&gt;=AG410,"PROHIBIDO","Dentro del límite"),"No aplica"))</f>
        <v/>
      </c>
      <c r="S410" s="26" t="str">
        <f aca="false">IF(E410="","",MID(IF(AQ410=1," · Excede el perfil declarado","")&amp;IF(H410="Sí"," · Paga un tercero","")&amp;IF(J410="Alto"," · Cliente de riesgo alto: DDR (RCG 23 Ter 3 y 4)","")&amp;IF(AND(AS410&lt;&gt;"",AS410&lt;&gt;"No",AS410&lt;&gt;0)," · PEP","")&amp;IF(R410="PROHIBIDO"," · Efectivo prohibido: no lo recibas (Art. 32)","")&amp;IF(AR410=1," · ⚠ Fecha fuera de orden","")&amp;IF(LEFT(I410,1)="⚠"," · ⚠ Cliente no registrado","")&amp;IF(D410=""," · ⚠ Falta la actividad","")&amp;IF(AND(LEFT(P410,5)="AVISO",W410="")," · Captura la cifra total con IVA para el Aviso","")&amp;IF(AND(ISNUMBER(W410),W410&lt;E410)," · ⚠ La cifra con IVA es menor que el monto sin IVA",""),4,400))</f>
        <v/>
      </c>
      <c r="T410" s="21"/>
      <c r="U410" s="20"/>
      <c r="V410" s="9" t="str">
        <f aca="false">IF(LEFT(P410,5)&lt;&gt;"AVISO","",IF(T410="Presentado",IF(AND(ISNUMBER(U410),ISNUMBER(Q410),U410&gt;Q410),"Presentado tarde","Presentado"),IF(NOT(ISNUMBER(Q410)),"Falta fecha",IF(Q410&lt;CONFIG!$B$6,"VENCIDO","Vence en "&amp;(Q410-CONFIG!$B$6)&amp;" días"))))</f>
        <v/>
      </c>
      <c r="W410" s="22"/>
      <c r="X410" s="21"/>
      <c r="AA410" s="0" t="str">
        <f aca="false">IF(AM410="","",INDEX(CATÁLOGO!$D$5:$D$39,AM410))</f>
        <v/>
      </c>
      <c r="AB410" s="0" t="str">
        <f aca="false">IF(AM410="","",INDEX(CATÁLOGO!$E$5:$E$39,AM410))</f>
        <v/>
      </c>
      <c r="AC410" s="0" t="str">
        <f aca="false">IF(AB410="","",IF(ISNUMBER(AB410),AB410*AV410,AB410))</f>
        <v/>
      </c>
      <c r="AD410" s="0" t="str">
        <f aca="false">IF(AM410="","",INDEX(CATÁLOGO!$F$5:$F$39,AM410))</f>
        <v/>
      </c>
      <c r="AE410" s="0" t="str">
        <f aca="false">IF(AD410="","",IF(ISNUMBER(AD410),AD410*AV410,AD410))</f>
        <v/>
      </c>
      <c r="AF410" s="0" t="str">
        <f aca="false">IF(AM410="","",INDEX(CATÁLOGO!$G$5:$G$39,AM410))</f>
        <v/>
      </c>
      <c r="AG410" s="0" t="str">
        <f aca="false">IF(AF410="","",IF(ISNUMBER(AF410),AF410*AV410,AF410))</f>
        <v/>
      </c>
      <c r="AH410" s="0" t="str">
        <f aca="false">IF(E410="","",C410&amp;"|"&amp;D410)</f>
        <v/>
      </c>
      <c r="AI410" s="27" t="n">
        <f aca="false">IF(M410&lt;&gt;"Sí",0,SUMPRODUCT(MAX(($AH$5:AH409=AH410)*($M$5:M409="Sí")*ROW($AH$5:AH409))))</f>
        <v>0</v>
      </c>
      <c r="AJ410" s="0" t="str">
        <f aca="false">IF(M410&lt;&gt;"Sí","",IF(AL410=1,B410,INDEX($AJ:$AJ,AI410)))</f>
        <v/>
      </c>
      <c r="AK410" s="0" t="str">
        <f aca="false">IF(M410&lt;&gt;"Sí","",IF(AL410=1,E410,INDEX($AK:$AK,AI410)+E410))</f>
        <v/>
      </c>
      <c r="AL410" s="0" t="str">
        <f aca="false">IF(M410&lt;&gt;"Sí","",IF(AI410=0,1,IF(INDEX($AN:$AN,AI410)=0,1,IF(B410&gt;=EDATE(INDEX($AJ:$AJ,AI410),6),1,0))))</f>
        <v/>
      </c>
      <c r="AM410" s="0" t="str">
        <f aca="false">IF(D410="","",IFERROR(MATCH(D410,CATÁLOGO!$C$5:$C$39,0),""))</f>
        <v/>
      </c>
      <c r="AN410" s="0" t="str">
        <f aca="false">IF(M410&lt;&gt;"Sí","",IF(AND(ISNUMBER(AE410),AK410&gt;=AE410),0,1))</f>
        <v/>
      </c>
      <c r="AO410" s="0" t="str">
        <f aca="false">IF(OR(E410="",C410="",NOT(ISNUMBER(B410))),"",SUMIFS($E$6:$E$505,$C$6:$C$505,C410,$B$6:$B$505,"&gt;="&amp;DATE(YEAR(B410),MONTH(B410),1),$B$6:$B$505,"&lt;"&amp;DATE(YEAR(B410),MONTH(B410)+1,1)))</f>
        <v/>
      </c>
      <c r="AP410" s="0" t="str">
        <f aca="false">IF(C410="","",IFERROR(INDEX(CLIENTES!$M$6:$M$305,MATCH(C410,CLIENTES!$A$6:$A$305,0)),""))</f>
        <v/>
      </c>
      <c r="AQ410" s="27" t="n">
        <f aca="false">IF(AND(ISNUMBER(AO410),ISNUMBER(AP410)),IF(AND(AP410&gt;0,AO410&gt;AP410),1,0),0)</f>
        <v>0</v>
      </c>
      <c r="AR410" s="27" t="n">
        <f aca="false">IF(NOT(ISNUMBER(B410)),0,IF(B410&lt;MAX($B$5:B409),1,0))</f>
        <v>0</v>
      </c>
      <c r="AS410" s="0" t="str">
        <f aca="false">IF(C410="","",IFERROR(INDEX(CLIENTES!$H$6:$H$305,MATCH(C410,CLIENTES!$A$6:$A$305,0)),""))</f>
        <v/>
      </c>
      <c r="AT410" s="0" t="str">
        <f aca="false">IF(AND(LEFT(P410,5)="AVISO",T410&lt;&gt;"Presentado",ISNUMBER(Q410)),Q410,"")</f>
        <v/>
      </c>
      <c r="AU410" s="27" t="n">
        <f aca="false">IF(AND(D410="XVI - Activos virtuales (PSAV): operación de intercambio/transferencia",M410="Sí",ISNUMBER(AE410)),IF(AK410&gt;=AE410,1,0),0)</f>
        <v>0</v>
      </c>
      <c r="AV410" s="30" t="n">
        <f aca="false">IF(NOT(ISNUMBER(B410)),CONFIG!$B$4,IFERROR(INDEX(CONFIG!$I$5:$I$14,MATCH(IF(MONTH(B410)=1,YEAR(B410)-1,YEAR(B410)),CONFIG!$H$5:$H$14,0)),CONFIG!$B$4))</f>
        <v>117.31</v>
      </c>
      <c r="AW410" s="27" t="n">
        <f aca="false">IF(AND(LEFT(D410,4)="I - ",ISNUMBER(B410),C410&lt;&gt;""),SUMIFS($E$6:$E$505,$C$6:$C$505,C410,$D$6:$D$505,D410,$B$6:$B$505,"&gt;"&amp;(B410-1),$B$6:$B$505,"&lt;="&amp;B410),0)</f>
        <v>0</v>
      </c>
      <c r="AX410" s="0" t="str">
        <f aca="false">IF(E410="","",IF(AD410="Siempre","AVISO (siempre)",IF(AD410="No aplica","Sin Aviso (sólo preparas: Ley 17 XI)",IF(NOT(ISNUMBER(AE410)),"",IF(AA410&lt;&gt;"ACUMULA",IF(E410&gt;=AE410,IF(AND(D410="XVI - Activos virtuales (PSAV): cobro de contraprestación (comisión) por el servicio",COUNTIFS($C$6:$C$505,C410,$B$6:$B$505,"&gt;="&amp;INT(B410),$B$6:$B$505,"&lt;"&amp;(INT(B410)+1),$AU$6:$AU$505,1)&gt;0),"En el Aviso del inciso a) (R 31 Bis)","AVISO"),"—"),IF(M410&lt;&gt;"Sí","—",IF(AK410&gt;=AE410,IF(AK410=E410,"AVISO","AVISO (acumulado)"),"Acumulando")))))))</f>
        <v/>
      </c>
    </row>
    <row r="411" customFormat="false" ht="15" hidden="false" customHeight="false" outlineLevel="0" collapsed="false">
      <c r="A411" s="9" t="str">
        <f aca="false">IF(E411="","",ROW()-5)</f>
        <v/>
      </c>
      <c r="B411" s="20"/>
      <c r="C411" s="21"/>
      <c r="D411" s="21"/>
      <c r="E411" s="22"/>
      <c r="F411" s="22"/>
      <c r="G411" s="21"/>
      <c r="H411" s="21"/>
      <c r="I411" s="9" t="str">
        <f aca="false">IF(C411="","",IFERROR(INDEX(CLIENTES!$B$6:$B$305,MATCH(C411,CLIENTES!$A$6:$A$305,0)),"⚠ ID no registrado"))</f>
        <v/>
      </c>
      <c r="J411" s="9" t="str">
        <f aca="false">IF(C411="","",IFERROR(INDEX(CLIENTES!$Z$6:$Z$305,MATCH(C411,CLIENTES!$A$6:$A$305,0)),""))</f>
        <v/>
      </c>
      <c r="K411" s="9" t="str">
        <f aca="false">IF(E411="","",IF(AB411="Siempre","Sí",IF(ISNUMBER(AC411),IF(E411&gt;=AC411,"Sí",IF(AW411&gt;=AC411,"Sí (serie 24 h)","No")),"")))</f>
        <v/>
      </c>
      <c r="L411" s="9" t="str">
        <f aca="false">IF(E411="","",AA411)</f>
        <v/>
      </c>
      <c r="M411" s="9" t="str">
        <f aca="false">IF(E411="","",IF(AA411&lt;&gt;"ACUMULA","No aplica",IF(LEFT(K411,2)="Sí","Sí","No")))</f>
        <v/>
      </c>
      <c r="N411" s="23" t="str">
        <f aca="false">IF(M411="Sí",AJ411,"")</f>
        <v/>
      </c>
      <c r="O411" s="24" t="str">
        <f aca="false">IF(M411="Sí",AK411,"")</f>
        <v/>
      </c>
      <c r="P411" s="25" t="str">
        <f aca="false">IF(AND(LEFT(D411,6)="XIV - ",LEFT(AX411,5)="AVISO"),"Pedimento (R 16): no va al SPPLD",AX411)</f>
        <v/>
      </c>
      <c r="Q411" s="23" t="str">
        <f aca="false">IF(LEFT(P411,5)="AVISO",IF(ISNUMBER(B411),DATE(YEAR(B411),MONTH(B411)+1,17),"Falta fecha"),"")</f>
        <v/>
      </c>
      <c r="R411" s="9" t="str">
        <f aca="false">IF(OR(F411="",F411=0),"",IF(ISNUMBER(AG411),IF(F411&gt;=AG411,"PROHIBIDO","Dentro del límite"),"No aplica"))</f>
        <v/>
      </c>
      <c r="S411" s="26" t="str">
        <f aca="false">IF(E411="","",MID(IF(AQ411=1," · Excede el perfil declarado","")&amp;IF(H411="Sí"," · Paga un tercero","")&amp;IF(J411="Alto"," · Cliente de riesgo alto: DDR (RCG 23 Ter 3 y 4)","")&amp;IF(AND(AS411&lt;&gt;"",AS411&lt;&gt;"No",AS411&lt;&gt;0)," · PEP","")&amp;IF(R411="PROHIBIDO"," · Efectivo prohibido: no lo recibas (Art. 32)","")&amp;IF(AR411=1," · ⚠ Fecha fuera de orden","")&amp;IF(LEFT(I411,1)="⚠"," · ⚠ Cliente no registrado","")&amp;IF(D411=""," · ⚠ Falta la actividad","")&amp;IF(AND(LEFT(P411,5)="AVISO",W411="")," · Captura la cifra total con IVA para el Aviso","")&amp;IF(AND(ISNUMBER(W411),W411&lt;E411)," · ⚠ La cifra con IVA es menor que el monto sin IVA",""),4,400))</f>
        <v/>
      </c>
      <c r="T411" s="21"/>
      <c r="U411" s="20"/>
      <c r="V411" s="9" t="str">
        <f aca="false">IF(LEFT(P411,5)&lt;&gt;"AVISO","",IF(T411="Presentado",IF(AND(ISNUMBER(U411),ISNUMBER(Q411),U411&gt;Q411),"Presentado tarde","Presentado"),IF(NOT(ISNUMBER(Q411)),"Falta fecha",IF(Q411&lt;CONFIG!$B$6,"VENCIDO","Vence en "&amp;(Q411-CONFIG!$B$6)&amp;" días"))))</f>
        <v/>
      </c>
      <c r="W411" s="22"/>
      <c r="X411" s="21"/>
      <c r="AA411" s="0" t="str">
        <f aca="false">IF(AM411="","",INDEX(CATÁLOGO!$D$5:$D$39,AM411))</f>
        <v/>
      </c>
      <c r="AB411" s="0" t="str">
        <f aca="false">IF(AM411="","",INDEX(CATÁLOGO!$E$5:$E$39,AM411))</f>
        <v/>
      </c>
      <c r="AC411" s="0" t="str">
        <f aca="false">IF(AB411="","",IF(ISNUMBER(AB411),AB411*AV411,AB411))</f>
        <v/>
      </c>
      <c r="AD411" s="0" t="str">
        <f aca="false">IF(AM411="","",INDEX(CATÁLOGO!$F$5:$F$39,AM411))</f>
        <v/>
      </c>
      <c r="AE411" s="0" t="str">
        <f aca="false">IF(AD411="","",IF(ISNUMBER(AD411),AD411*AV411,AD411))</f>
        <v/>
      </c>
      <c r="AF411" s="0" t="str">
        <f aca="false">IF(AM411="","",INDEX(CATÁLOGO!$G$5:$G$39,AM411))</f>
        <v/>
      </c>
      <c r="AG411" s="0" t="str">
        <f aca="false">IF(AF411="","",IF(ISNUMBER(AF411),AF411*AV411,AF411))</f>
        <v/>
      </c>
      <c r="AH411" s="0" t="str">
        <f aca="false">IF(E411="","",C411&amp;"|"&amp;D411)</f>
        <v/>
      </c>
      <c r="AI411" s="27" t="n">
        <f aca="false">IF(M411&lt;&gt;"Sí",0,SUMPRODUCT(MAX(($AH$5:AH410=AH411)*($M$5:M410="Sí")*ROW($AH$5:AH410))))</f>
        <v>0</v>
      </c>
      <c r="AJ411" s="0" t="str">
        <f aca="false">IF(M411&lt;&gt;"Sí","",IF(AL411=1,B411,INDEX($AJ:$AJ,AI411)))</f>
        <v/>
      </c>
      <c r="AK411" s="0" t="str">
        <f aca="false">IF(M411&lt;&gt;"Sí","",IF(AL411=1,E411,INDEX($AK:$AK,AI411)+E411))</f>
        <v/>
      </c>
      <c r="AL411" s="0" t="str">
        <f aca="false">IF(M411&lt;&gt;"Sí","",IF(AI411=0,1,IF(INDEX($AN:$AN,AI411)=0,1,IF(B411&gt;=EDATE(INDEX($AJ:$AJ,AI411),6),1,0))))</f>
        <v/>
      </c>
      <c r="AM411" s="0" t="str">
        <f aca="false">IF(D411="","",IFERROR(MATCH(D411,CATÁLOGO!$C$5:$C$39,0),""))</f>
        <v/>
      </c>
      <c r="AN411" s="0" t="str">
        <f aca="false">IF(M411&lt;&gt;"Sí","",IF(AND(ISNUMBER(AE411),AK411&gt;=AE411),0,1))</f>
        <v/>
      </c>
      <c r="AO411" s="0" t="str">
        <f aca="false">IF(OR(E411="",C411="",NOT(ISNUMBER(B411))),"",SUMIFS($E$6:$E$505,$C$6:$C$505,C411,$B$6:$B$505,"&gt;="&amp;DATE(YEAR(B411),MONTH(B411),1),$B$6:$B$505,"&lt;"&amp;DATE(YEAR(B411),MONTH(B411)+1,1)))</f>
        <v/>
      </c>
      <c r="AP411" s="0" t="str">
        <f aca="false">IF(C411="","",IFERROR(INDEX(CLIENTES!$M$6:$M$305,MATCH(C411,CLIENTES!$A$6:$A$305,0)),""))</f>
        <v/>
      </c>
      <c r="AQ411" s="27" t="n">
        <f aca="false">IF(AND(ISNUMBER(AO411),ISNUMBER(AP411)),IF(AND(AP411&gt;0,AO411&gt;AP411),1,0),0)</f>
        <v>0</v>
      </c>
      <c r="AR411" s="27" t="n">
        <f aca="false">IF(NOT(ISNUMBER(B411)),0,IF(B411&lt;MAX($B$5:B410),1,0))</f>
        <v>0</v>
      </c>
      <c r="AS411" s="0" t="str">
        <f aca="false">IF(C411="","",IFERROR(INDEX(CLIENTES!$H$6:$H$305,MATCH(C411,CLIENTES!$A$6:$A$305,0)),""))</f>
        <v/>
      </c>
      <c r="AT411" s="0" t="str">
        <f aca="false">IF(AND(LEFT(P411,5)="AVISO",T411&lt;&gt;"Presentado",ISNUMBER(Q411)),Q411,"")</f>
        <v/>
      </c>
      <c r="AU411" s="27" t="n">
        <f aca="false">IF(AND(D411="XVI - Activos virtuales (PSAV): operación de intercambio/transferencia",M411="Sí",ISNUMBER(AE411)),IF(AK411&gt;=AE411,1,0),0)</f>
        <v>0</v>
      </c>
      <c r="AV411" s="30" t="n">
        <f aca="false">IF(NOT(ISNUMBER(B411)),CONFIG!$B$4,IFERROR(INDEX(CONFIG!$I$5:$I$14,MATCH(IF(MONTH(B411)=1,YEAR(B411)-1,YEAR(B411)),CONFIG!$H$5:$H$14,0)),CONFIG!$B$4))</f>
        <v>117.31</v>
      </c>
      <c r="AW411" s="27" t="n">
        <f aca="false">IF(AND(LEFT(D411,4)="I - ",ISNUMBER(B411),C411&lt;&gt;""),SUMIFS($E$6:$E$505,$C$6:$C$505,C411,$D$6:$D$505,D411,$B$6:$B$505,"&gt;"&amp;(B411-1),$B$6:$B$505,"&lt;="&amp;B411),0)</f>
        <v>0</v>
      </c>
      <c r="AX411" s="0" t="str">
        <f aca="false">IF(E411="","",IF(AD411="Siempre","AVISO (siempre)",IF(AD411="No aplica","Sin Aviso (sólo preparas: Ley 17 XI)",IF(NOT(ISNUMBER(AE411)),"",IF(AA411&lt;&gt;"ACUMULA",IF(E411&gt;=AE411,IF(AND(D411="XVI - Activos virtuales (PSAV): cobro de contraprestación (comisión) por el servicio",COUNTIFS($C$6:$C$505,C411,$B$6:$B$505,"&gt;="&amp;INT(B411),$B$6:$B$505,"&lt;"&amp;(INT(B411)+1),$AU$6:$AU$505,1)&gt;0),"En el Aviso del inciso a) (R 31 Bis)","AVISO"),"—"),IF(M411&lt;&gt;"Sí","—",IF(AK411&gt;=AE411,IF(AK411=E411,"AVISO","AVISO (acumulado)"),"Acumulando")))))))</f>
        <v/>
      </c>
    </row>
    <row r="412" customFormat="false" ht="15" hidden="false" customHeight="false" outlineLevel="0" collapsed="false">
      <c r="A412" s="9" t="str">
        <f aca="false">IF(E412="","",ROW()-5)</f>
        <v/>
      </c>
      <c r="B412" s="20"/>
      <c r="C412" s="21"/>
      <c r="D412" s="21"/>
      <c r="E412" s="22"/>
      <c r="F412" s="22"/>
      <c r="G412" s="21"/>
      <c r="H412" s="21"/>
      <c r="I412" s="9" t="str">
        <f aca="false">IF(C412="","",IFERROR(INDEX(CLIENTES!$B$6:$B$305,MATCH(C412,CLIENTES!$A$6:$A$305,0)),"⚠ ID no registrado"))</f>
        <v/>
      </c>
      <c r="J412" s="9" t="str">
        <f aca="false">IF(C412="","",IFERROR(INDEX(CLIENTES!$Z$6:$Z$305,MATCH(C412,CLIENTES!$A$6:$A$305,0)),""))</f>
        <v/>
      </c>
      <c r="K412" s="9" t="str">
        <f aca="false">IF(E412="","",IF(AB412="Siempre","Sí",IF(ISNUMBER(AC412),IF(E412&gt;=AC412,"Sí",IF(AW412&gt;=AC412,"Sí (serie 24 h)","No")),"")))</f>
        <v/>
      </c>
      <c r="L412" s="9" t="str">
        <f aca="false">IF(E412="","",AA412)</f>
        <v/>
      </c>
      <c r="M412" s="9" t="str">
        <f aca="false">IF(E412="","",IF(AA412&lt;&gt;"ACUMULA","No aplica",IF(LEFT(K412,2)="Sí","Sí","No")))</f>
        <v/>
      </c>
      <c r="N412" s="23" t="str">
        <f aca="false">IF(M412="Sí",AJ412,"")</f>
        <v/>
      </c>
      <c r="O412" s="24" t="str">
        <f aca="false">IF(M412="Sí",AK412,"")</f>
        <v/>
      </c>
      <c r="P412" s="25" t="str">
        <f aca="false">IF(AND(LEFT(D412,6)="XIV - ",LEFT(AX412,5)="AVISO"),"Pedimento (R 16): no va al SPPLD",AX412)</f>
        <v/>
      </c>
      <c r="Q412" s="23" t="str">
        <f aca="false">IF(LEFT(P412,5)="AVISO",IF(ISNUMBER(B412),DATE(YEAR(B412),MONTH(B412)+1,17),"Falta fecha"),"")</f>
        <v/>
      </c>
      <c r="R412" s="9" t="str">
        <f aca="false">IF(OR(F412="",F412=0),"",IF(ISNUMBER(AG412),IF(F412&gt;=AG412,"PROHIBIDO","Dentro del límite"),"No aplica"))</f>
        <v/>
      </c>
      <c r="S412" s="26" t="str">
        <f aca="false">IF(E412="","",MID(IF(AQ412=1," · Excede el perfil declarado","")&amp;IF(H412="Sí"," · Paga un tercero","")&amp;IF(J412="Alto"," · Cliente de riesgo alto: DDR (RCG 23 Ter 3 y 4)","")&amp;IF(AND(AS412&lt;&gt;"",AS412&lt;&gt;"No",AS412&lt;&gt;0)," · PEP","")&amp;IF(R412="PROHIBIDO"," · Efectivo prohibido: no lo recibas (Art. 32)","")&amp;IF(AR412=1," · ⚠ Fecha fuera de orden","")&amp;IF(LEFT(I412,1)="⚠"," · ⚠ Cliente no registrado","")&amp;IF(D412=""," · ⚠ Falta la actividad","")&amp;IF(AND(LEFT(P412,5)="AVISO",W412="")," · Captura la cifra total con IVA para el Aviso","")&amp;IF(AND(ISNUMBER(W412),W412&lt;E412)," · ⚠ La cifra con IVA es menor que el monto sin IVA",""),4,400))</f>
        <v/>
      </c>
      <c r="T412" s="21"/>
      <c r="U412" s="20"/>
      <c r="V412" s="9" t="str">
        <f aca="false">IF(LEFT(P412,5)&lt;&gt;"AVISO","",IF(T412="Presentado",IF(AND(ISNUMBER(U412),ISNUMBER(Q412),U412&gt;Q412),"Presentado tarde","Presentado"),IF(NOT(ISNUMBER(Q412)),"Falta fecha",IF(Q412&lt;CONFIG!$B$6,"VENCIDO","Vence en "&amp;(Q412-CONFIG!$B$6)&amp;" días"))))</f>
        <v/>
      </c>
      <c r="W412" s="22"/>
      <c r="X412" s="21"/>
      <c r="AA412" s="0" t="str">
        <f aca="false">IF(AM412="","",INDEX(CATÁLOGO!$D$5:$D$39,AM412))</f>
        <v/>
      </c>
      <c r="AB412" s="0" t="str">
        <f aca="false">IF(AM412="","",INDEX(CATÁLOGO!$E$5:$E$39,AM412))</f>
        <v/>
      </c>
      <c r="AC412" s="0" t="str">
        <f aca="false">IF(AB412="","",IF(ISNUMBER(AB412),AB412*AV412,AB412))</f>
        <v/>
      </c>
      <c r="AD412" s="0" t="str">
        <f aca="false">IF(AM412="","",INDEX(CATÁLOGO!$F$5:$F$39,AM412))</f>
        <v/>
      </c>
      <c r="AE412" s="0" t="str">
        <f aca="false">IF(AD412="","",IF(ISNUMBER(AD412),AD412*AV412,AD412))</f>
        <v/>
      </c>
      <c r="AF412" s="0" t="str">
        <f aca="false">IF(AM412="","",INDEX(CATÁLOGO!$G$5:$G$39,AM412))</f>
        <v/>
      </c>
      <c r="AG412" s="0" t="str">
        <f aca="false">IF(AF412="","",IF(ISNUMBER(AF412),AF412*AV412,AF412))</f>
        <v/>
      </c>
      <c r="AH412" s="0" t="str">
        <f aca="false">IF(E412="","",C412&amp;"|"&amp;D412)</f>
        <v/>
      </c>
      <c r="AI412" s="27" t="n">
        <f aca="false">IF(M412&lt;&gt;"Sí",0,SUMPRODUCT(MAX(($AH$5:AH411=AH412)*($M$5:M411="Sí")*ROW($AH$5:AH411))))</f>
        <v>0</v>
      </c>
      <c r="AJ412" s="0" t="str">
        <f aca="false">IF(M412&lt;&gt;"Sí","",IF(AL412=1,B412,INDEX($AJ:$AJ,AI412)))</f>
        <v/>
      </c>
      <c r="AK412" s="0" t="str">
        <f aca="false">IF(M412&lt;&gt;"Sí","",IF(AL412=1,E412,INDEX($AK:$AK,AI412)+E412))</f>
        <v/>
      </c>
      <c r="AL412" s="0" t="str">
        <f aca="false">IF(M412&lt;&gt;"Sí","",IF(AI412=0,1,IF(INDEX($AN:$AN,AI412)=0,1,IF(B412&gt;=EDATE(INDEX($AJ:$AJ,AI412),6),1,0))))</f>
        <v/>
      </c>
      <c r="AM412" s="0" t="str">
        <f aca="false">IF(D412="","",IFERROR(MATCH(D412,CATÁLOGO!$C$5:$C$39,0),""))</f>
        <v/>
      </c>
      <c r="AN412" s="0" t="str">
        <f aca="false">IF(M412&lt;&gt;"Sí","",IF(AND(ISNUMBER(AE412),AK412&gt;=AE412),0,1))</f>
        <v/>
      </c>
      <c r="AO412" s="0" t="str">
        <f aca="false">IF(OR(E412="",C412="",NOT(ISNUMBER(B412))),"",SUMIFS($E$6:$E$505,$C$6:$C$505,C412,$B$6:$B$505,"&gt;="&amp;DATE(YEAR(B412),MONTH(B412),1),$B$6:$B$505,"&lt;"&amp;DATE(YEAR(B412),MONTH(B412)+1,1)))</f>
        <v/>
      </c>
      <c r="AP412" s="0" t="str">
        <f aca="false">IF(C412="","",IFERROR(INDEX(CLIENTES!$M$6:$M$305,MATCH(C412,CLIENTES!$A$6:$A$305,0)),""))</f>
        <v/>
      </c>
      <c r="AQ412" s="27" t="n">
        <f aca="false">IF(AND(ISNUMBER(AO412),ISNUMBER(AP412)),IF(AND(AP412&gt;0,AO412&gt;AP412),1,0),0)</f>
        <v>0</v>
      </c>
      <c r="AR412" s="27" t="n">
        <f aca="false">IF(NOT(ISNUMBER(B412)),0,IF(B412&lt;MAX($B$5:B411),1,0))</f>
        <v>0</v>
      </c>
      <c r="AS412" s="0" t="str">
        <f aca="false">IF(C412="","",IFERROR(INDEX(CLIENTES!$H$6:$H$305,MATCH(C412,CLIENTES!$A$6:$A$305,0)),""))</f>
        <v/>
      </c>
      <c r="AT412" s="0" t="str">
        <f aca="false">IF(AND(LEFT(P412,5)="AVISO",T412&lt;&gt;"Presentado",ISNUMBER(Q412)),Q412,"")</f>
        <v/>
      </c>
      <c r="AU412" s="27" t="n">
        <f aca="false">IF(AND(D412="XVI - Activos virtuales (PSAV): operación de intercambio/transferencia",M412="Sí",ISNUMBER(AE412)),IF(AK412&gt;=AE412,1,0),0)</f>
        <v>0</v>
      </c>
      <c r="AV412" s="30" t="n">
        <f aca="false">IF(NOT(ISNUMBER(B412)),CONFIG!$B$4,IFERROR(INDEX(CONFIG!$I$5:$I$14,MATCH(IF(MONTH(B412)=1,YEAR(B412)-1,YEAR(B412)),CONFIG!$H$5:$H$14,0)),CONFIG!$B$4))</f>
        <v>117.31</v>
      </c>
      <c r="AW412" s="27" t="n">
        <f aca="false">IF(AND(LEFT(D412,4)="I - ",ISNUMBER(B412),C412&lt;&gt;""),SUMIFS($E$6:$E$505,$C$6:$C$505,C412,$D$6:$D$505,D412,$B$6:$B$505,"&gt;"&amp;(B412-1),$B$6:$B$505,"&lt;="&amp;B412),0)</f>
        <v>0</v>
      </c>
      <c r="AX412" s="0" t="str">
        <f aca="false">IF(E412="","",IF(AD412="Siempre","AVISO (siempre)",IF(AD412="No aplica","Sin Aviso (sólo preparas: Ley 17 XI)",IF(NOT(ISNUMBER(AE412)),"",IF(AA412&lt;&gt;"ACUMULA",IF(E412&gt;=AE412,IF(AND(D412="XVI - Activos virtuales (PSAV): cobro de contraprestación (comisión) por el servicio",COUNTIFS($C$6:$C$505,C412,$B$6:$B$505,"&gt;="&amp;INT(B412),$B$6:$B$505,"&lt;"&amp;(INT(B412)+1),$AU$6:$AU$505,1)&gt;0),"En el Aviso del inciso a) (R 31 Bis)","AVISO"),"—"),IF(M412&lt;&gt;"Sí","—",IF(AK412&gt;=AE412,IF(AK412=E412,"AVISO","AVISO (acumulado)"),"Acumulando")))))))</f>
        <v/>
      </c>
    </row>
    <row r="413" customFormat="false" ht="15" hidden="false" customHeight="false" outlineLevel="0" collapsed="false">
      <c r="A413" s="9" t="str">
        <f aca="false">IF(E413="","",ROW()-5)</f>
        <v/>
      </c>
      <c r="B413" s="20"/>
      <c r="C413" s="21"/>
      <c r="D413" s="21"/>
      <c r="E413" s="22"/>
      <c r="F413" s="22"/>
      <c r="G413" s="21"/>
      <c r="H413" s="21"/>
      <c r="I413" s="9" t="str">
        <f aca="false">IF(C413="","",IFERROR(INDEX(CLIENTES!$B$6:$B$305,MATCH(C413,CLIENTES!$A$6:$A$305,0)),"⚠ ID no registrado"))</f>
        <v/>
      </c>
      <c r="J413" s="9" t="str">
        <f aca="false">IF(C413="","",IFERROR(INDEX(CLIENTES!$Z$6:$Z$305,MATCH(C413,CLIENTES!$A$6:$A$305,0)),""))</f>
        <v/>
      </c>
      <c r="K413" s="9" t="str">
        <f aca="false">IF(E413="","",IF(AB413="Siempre","Sí",IF(ISNUMBER(AC413),IF(E413&gt;=AC413,"Sí",IF(AW413&gt;=AC413,"Sí (serie 24 h)","No")),"")))</f>
        <v/>
      </c>
      <c r="L413" s="9" t="str">
        <f aca="false">IF(E413="","",AA413)</f>
        <v/>
      </c>
      <c r="M413" s="9" t="str">
        <f aca="false">IF(E413="","",IF(AA413&lt;&gt;"ACUMULA","No aplica",IF(LEFT(K413,2)="Sí","Sí","No")))</f>
        <v/>
      </c>
      <c r="N413" s="23" t="str">
        <f aca="false">IF(M413="Sí",AJ413,"")</f>
        <v/>
      </c>
      <c r="O413" s="24" t="str">
        <f aca="false">IF(M413="Sí",AK413,"")</f>
        <v/>
      </c>
      <c r="P413" s="25" t="str">
        <f aca="false">IF(AND(LEFT(D413,6)="XIV - ",LEFT(AX413,5)="AVISO"),"Pedimento (R 16): no va al SPPLD",AX413)</f>
        <v/>
      </c>
      <c r="Q413" s="23" t="str">
        <f aca="false">IF(LEFT(P413,5)="AVISO",IF(ISNUMBER(B413),DATE(YEAR(B413),MONTH(B413)+1,17),"Falta fecha"),"")</f>
        <v/>
      </c>
      <c r="R413" s="9" t="str">
        <f aca="false">IF(OR(F413="",F413=0),"",IF(ISNUMBER(AG413),IF(F413&gt;=AG413,"PROHIBIDO","Dentro del límite"),"No aplica"))</f>
        <v/>
      </c>
      <c r="S413" s="26" t="str">
        <f aca="false">IF(E413="","",MID(IF(AQ413=1," · Excede el perfil declarado","")&amp;IF(H413="Sí"," · Paga un tercero","")&amp;IF(J413="Alto"," · Cliente de riesgo alto: DDR (RCG 23 Ter 3 y 4)","")&amp;IF(AND(AS413&lt;&gt;"",AS413&lt;&gt;"No",AS413&lt;&gt;0)," · PEP","")&amp;IF(R413="PROHIBIDO"," · Efectivo prohibido: no lo recibas (Art. 32)","")&amp;IF(AR413=1," · ⚠ Fecha fuera de orden","")&amp;IF(LEFT(I413,1)="⚠"," · ⚠ Cliente no registrado","")&amp;IF(D413=""," · ⚠ Falta la actividad","")&amp;IF(AND(LEFT(P413,5)="AVISO",W413="")," · Captura la cifra total con IVA para el Aviso","")&amp;IF(AND(ISNUMBER(W413),W413&lt;E413)," · ⚠ La cifra con IVA es menor que el monto sin IVA",""),4,400))</f>
        <v/>
      </c>
      <c r="T413" s="21"/>
      <c r="U413" s="20"/>
      <c r="V413" s="9" t="str">
        <f aca="false">IF(LEFT(P413,5)&lt;&gt;"AVISO","",IF(T413="Presentado",IF(AND(ISNUMBER(U413),ISNUMBER(Q413),U413&gt;Q413),"Presentado tarde","Presentado"),IF(NOT(ISNUMBER(Q413)),"Falta fecha",IF(Q413&lt;CONFIG!$B$6,"VENCIDO","Vence en "&amp;(Q413-CONFIG!$B$6)&amp;" días"))))</f>
        <v/>
      </c>
      <c r="W413" s="22"/>
      <c r="X413" s="21"/>
      <c r="AA413" s="0" t="str">
        <f aca="false">IF(AM413="","",INDEX(CATÁLOGO!$D$5:$D$39,AM413))</f>
        <v/>
      </c>
      <c r="AB413" s="0" t="str">
        <f aca="false">IF(AM413="","",INDEX(CATÁLOGO!$E$5:$E$39,AM413))</f>
        <v/>
      </c>
      <c r="AC413" s="0" t="str">
        <f aca="false">IF(AB413="","",IF(ISNUMBER(AB413),AB413*AV413,AB413))</f>
        <v/>
      </c>
      <c r="AD413" s="0" t="str">
        <f aca="false">IF(AM413="","",INDEX(CATÁLOGO!$F$5:$F$39,AM413))</f>
        <v/>
      </c>
      <c r="AE413" s="0" t="str">
        <f aca="false">IF(AD413="","",IF(ISNUMBER(AD413),AD413*AV413,AD413))</f>
        <v/>
      </c>
      <c r="AF413" s="0" t="str">
        <f aca="false">IF(AM413="","",INDEX(CATÁLOGO!$G$5:$G$39,AM413))</f>
        <v/>
      </c>
      <c r="AG413" s="0" t="str">
        <f aca="false">IF(AF413="","",IF(ISNUMBER(AF413),AF413*AV413,AF413))</f>
        <v/>
      </c>
      <c r="AH413" s="0" t="str">
        <f aca="false">IF(E413="","",C413&amp;"|"&amp;D413)</f>
        <v/>
      </c>
      <c r="AI413" s="27" t="n">
        <f aca="false">IF(M413&lt;&gt;"Sí",0,SUMPRODUCT(MAX(($AH$5:AH412=AH413)*($M$5:M412="Sí")*ROW($AH$5:AH412))))</f>
        <v>0</v>
      </c>
      <c r="AJ413" s="0" t="str">
        <f aca="false">IF(M413&lt;&gt;"Sí","",IF(AL413=1,B413,INDEX($AJ:$AJ,AI413)))</f>
        <v/>
      </c>
      <c r="AK413" s="0" t="str">
        <f aca="false">IF(M413&lt;&gt;"Sí","",IF(AL413=1,E413,INDEX($AK:$AK,AI413)+E413))</f>
        <v/>
      </c>
      <c r="AL413" s="0" t="str">
        <f aca="false">IF(M413&lt;&gt;"Sí","",IF(AI413=0,1,IF(INDEX($AN:$AN,AI413)=0,1,IF(B413&gt;=EDATE(INDEX($AJ:$AJ,AI413),6),1,0))))</f>
        <v/>
      </c>
      <c r="AM413" s="0" t="str">
        <f aca="false">IF(D413="","",IFERROR(MATCH(D413,CATÁLOGO!$C$5:$C$39,0),""))</f>
        <v/>
      </c>
      <c r="AN413" s="0" t="str">
        <f aca="false">IF(M413&lt;&gt;"Sí","",IF(AND(ISNUMBER(AE413),AK413&gt;=AE413),0,1))</f>
        <v/>
      </c>
      <c r="AO413" s="0" t="str">
        <f aca="false">IF(OR(E413="",C413="",NOT(ISNUMBER(B413))),"",SUMIFS($E$6:$E$505,$C$6:$C$505,C413,$B$6:$B$505,"&gt;="&amp;DATE(YEAR(B413),MONTH(B413),1),$B$6:$B$505,"&lt;"&amp;DATE(YEAR(B413),MONTH(B413)+1,1)))</f>
        <v/>
      </c>
      <c r="AP413" s="0" t="str">
        <f aca="false">IF(C413="","",IFERROR(INDEX(CLIENTES!$M$6:$M$305,MATCH(C413,CLIENTES!$A$6:$A$305,0)),""))</f>
        <v/>
      </c>
      <c r="AQ413" s="27" t="n">
        <f aca="false">IF(AND(ISNUMBER(AO413),ISNUMBER(AP413)),IF(AND(AP413&gt;0,AO413&gt;AP413),1,0),0)</f>
        <v>0</v>
      </c>
      <c r="AR413" s="27" t="n">
        <f aca="false">IF(NOT(ISNUMBER(B413)),0,IF(B413&lt;MAX($B$5:B412),1,0))</f>
        <v>0</v>
      </c>
      <c r="AS413" s="0" t="str">
        <f aca="false">IF(C413="","",IFERROR(INDEX(CLIENTES!$H$6:$H$305,MATCH(C413,CLIENTES!$A$6:$A$305,0)),""))</f>
        <v/>
      </c>
      <c r="AT413" s="0" t="str">
        <f aca="false">IF(AND(LEFT(P413,5)="AVISO",T413&lt;&gt;"Presentado",ISNUMBER(Q413)),Q413,"")</f>
        <v/>
      </c>
      <c r="AU413" s="27" t="n">
        <f aca="false">IF(AND(D413="XVI - Activos virtuales (PSAV): operación de intercambio/transferencia",M413="Sí",ISNUMBER(AE413)),IF(AK413&gt;=AE413,1,0),0)</f>
        <v>0</v>
      </c>
      <c r="AV413" s="30" t="n">
        <f aca="false">IF(NOT(ISNUMBER(B413)),CONFIG!$B$4,IFERROR(INDEX(CONFIG!$I$5:$I$14,MATCH(IF(MONTH(B413)=1,YEAR(B413)-1,YEAR(B413)),CONFIG!$H$5:$H$14,0)),CONFIG!$B$4))</f>
        <v>117.31</v>
      </c>
      <c r="AW413" s="27" t="n">
        <f aca="false">IF(AND(LEFT(D413,4)="I - ",ISNUMBER(B413),C413&lt;&gt;""),SUMIFS($E$6:$E$505,$C$6:$C$505,C413,$D$6:$D$505,D413,$B$6:$B$505,"&gt;"&amp;(B413-1),$B$6:$B$505,"&lt;="&amp;B413),0)</f>
        <v>0</v>
      </c>
      <c r="AX413" s="0" t="str">
        <f aca="false">IF(E413="","",IF(AD413="Siempre","AVISO (siempre)",IF(AD413="No aplica","Sin Aviso (sólo preparas: Ley 17 XI)",IF(NOT(ISNUMBER(AE413)),"",IF(AA413&lt;&gt;"ACUMULA",IF(E413&gt;=AE413,IF(AND(D413="XVI - Activos virtuales (PSAV): cobro de contraprestación (comisión) por el servicio",COUNTIFS($C$6:$C$505,C413,$B$6:$B$505,"&gt;="&amp;INT(B413),$B$6:$B$505,"&lt;"&amp;(INT(B413)+1),$AU$6:$AU$505,1)&gt;0),"En el Aviso del inciso a) (R 31 Bis)","AVISO"),"—"),IF(M413&lt;&gt;"Sí","—",IF(AK413&gt;=AE413,IF(AK413=E413,"AVISO","AVISO (acumulado)"),"Acumulando")))))))</f>
        <v/>
      </c>
    </row>
    <row r="414" customFormat="false" ht="15" hidden="false" customHeight="false" outlineLevel="0" collapsed="false">
      <c r="A414" s="9" t="str">
        <f aca="false">IF(E414="","",ROW()-5)</f>
        <v/>
      </c>
      <c r="B414" s="20"/>
      <c r="C414" s="21"/>
      <c r="D414" s="21"/>
      <c r="E414" s="22"/>
      <c r="F414" s="22"/>
      <c r="G414" s="21"/>
      <c r="H414" s="21"/>
      <c r="I414" s="9" t="str">
        <f aca="false">IF(C414="","",IFERROR(INDEX(CLIENTES!$B$6:$B$305,MATCH(C414,CLIENTES!$A$6:$A$305,0)),"⚠ ID no registrado"))</f>
        <v/>
      </c>
      <c r="J414" s="9" t="str">
        <f aca="false">IF(C414="","",IFERROR(INDEX(CLIENTES!$Z$6:$Z$305,MATCH(C414,CLIENTES!$A$6:$A$305,0)),""))</f>
        <v/>
      </c>
      <c r="K414" s="9" t="str">
        <f aca="false">IF(E414="","",IF(AB414="Siempre","Sí",IF(ISNUMBER(AC414),IF(E414&gt;=AC414,"Sí",IF(AW414&gt;=AC414,"Sí (serie 24 h)","No")),"")))</f>
        <v/>
      </c>
      <c r="L414" s="9" t="str">
        <f aca="false">IF(E414="","",AA414)</f>
        <v/>
      </c>
      <c r="M414" s="9" t="str">
        <f aca="false">IF(E414="","",IF(AA414&lt;&gt;"ACUMULA","No aplica",IF(LEFT(K414,2)="Sí","Sí","No")))</f>
        <v/>
      </c>
      <c r="N414" s="23" t="str">
        <f aca="false">IF(M414="Sí",AJ414,"")</f>
        <v/>
      </c>
      <c r="O414" s="24" t="str">
        <f aca="false">IF(M414="Sí",AK414,"")</f>
        <v/>
      </c>
      <c r="P414" s="25" t="str">
        <f aca="false">IF(AND(LEFT(D414,6)="XIV - ",LEFT(AX414,5)="AVISO"),"Pedimento (R 16): no va al SPPLD",AX414)</f>
        <v/>
      </c>
      <c r="Q414" s="23" t="str">
        <f aca="false">IF(LEFT(P414,5)="AVISO",IF(ISNUMBER(B414),DATE(YEAR(B414),MONTH(B414)+1,17),"Falta fecha"),"")</f>
        <v/>
      </c>
      <c r="R414" s="9" t="str">
        <f aca="false">IF(OR(F414="",F414=0),"",IF(ISNUMBER(AG414),IF(F414&gt;=AG414,"PROHIBIDO","Dentro del límite"),"No aplica"))</f>
        <v/>
      </c>
      <c r="S414" s="26" t="str">
        <f aca="false">IF(E414="","",MID(IF(AQ414=1," · Excede el perfil declarado","")&amp;IF(H414="Sí"," · Paga un tercero","")&amp;IF(J414="Alto"," · Cliente de riesgo alto: DDR (RCG 23 Ter 3 y 4)","")&amp;IF(AND(AS414&lt;&gt;"",AS414&lt;&gt;"No",AS414&lt;&gt;0)," · PEP","")&amp;IF(R414="PROHIBIDO"," · Efectivo prohibido: no lo recibas (Art. 32)","")&amp;IF(AR414=1," · ⚠ Fecha fuera de orden","")&amp;IF(LEFT(I414,1)="⚠"," · ⚠ Cliente no registrado","")&amp;IF(D414=""," · ⚠ Falta la actividad","")&amp;IF(AND(LEFT(P414,5)="AVISO",W414="")," · Captura la cifra total con IVA para el Aviso","")&amp;IF(AND(ISNUMBER(W414),W414&lt;E414)," · ⚠ La cifra con IVA es menor que el monto sin IVA",""),4,400))</f>
        <v/>
      </c>
      <c r="T414" s="21"/>
      <c r="U414" s="20"/>
      <c r="V414" s="9" t="str">
        <f aca="false">IF(LEFT(P414,5)&lt;&gt;"AVISO","",IF(T414="Presentado",IF(AND(ISNUMBER(U414),ISNUMBER(Q414),U414&gt;Q414),"Presentado tarde","Presentado"),IF(NOT(ISNUMBER(Q414)),"Falta fecha",IF(Q414&lt;CONFIG!$B$6,"VENCIDO","Vence en "&amp;(Q414-CONFIG!$B$6)&amp;" días"))))</f>
        <v/>
      </c>
      <c r="W414" s="22"/>
      <c r="X414" s="21"/>
      <c r="AA414" s="0" t="str">
        <f aca="false">IF(AM414="","",INDEX(CATÁLOGO!$D$5:$D$39,AM414))</f>
        <v/>
      </c>
      <c r="AB414" s="0" t="str">
        <f aca="false">IF(AM414="","",INDEX(CATÁLOGO!$E$5:$E$39,AM414))</f>
        <v/>
      </c>
      <c r="AC414" s="0" t="str">
        <f aca="false">IF(AB414="","",IF(ISNUMBER(AB414),AB414*AV414,AB414))</f>
        <v/>
      </c>
      <c r="AD414" s="0" t="str">
        <f aca="false">IF(AM414="","",INDEX(CATÁLOGO!$F$5:$F$39,AM414))</f>
        <v/>
      </c>
      <c r="AE414" s="0" t="str">
        <f aca="false">IF(AD414="","",IF(ISNUMBER(AD414),AD414*AV414,AD414))</f>
        <v/>
      </c>
      <c r="AF414" s="0" t="str">
        <f aca="false">IF(AM414="","",INDEX(CATÁLOGO!$G$5:$G$39,AM414))</f>
        <v/>
      </c>
      <c r="AG414" s="0" t="str">
        <f aca="false">IF(AF414="","",IF(ISNUMBER(AF414),AF414*AV414,AF414))</f>
        <v/>
      </c>
      <c r="AH414" s="0" t="str">
        <f aca="false">IF(E414="","",C414&amp;"|"&amp;D414)</f>
        <v/>
      </c>
      <c r="AI414" s="27" t="n">
        <f aca="false">IF(M414&lt;&gt;"Sí",0,SUMPRODUCT(MAX(($AH$5:AH413=AH414)*($M$5:M413="Sí")*ROW($AH$5:AH413))))</f>
        <v>0</v>
      </c>
      <c r="AJ414" s="0" t="str">
        <f aca="false">IF(M414&lt;&gt;"Sí","",IF(AL414=1,B414,INDEX($AJ:$AJ,AI414)))</f>
        <v/>
      </c>
      <c r="AK414" s="0" t="str">
        <f aca="false">IF(M414&lt;&gt;"Sí","",IF(AL414=1,E414,INDEX($AK:$AK,AI414)+E414))</f>
        <v/>
      </c>
      <c r="AL414" s="0" t="str">
        <f aca="false">IF(M414&lt;&gt;"Sí","",IF(AI414=0,1,IF(INDEX($AN:$AN,AI414)=0,1,IF(B414&gt;=EDATE(INDEX($AJ:$AJ,AI414),6),1,0))))</f>
        <v/>
      </c>
      <c r="AM414" s="0" t="str">
        <f aca="false">IF(D414="","",IFERROR(MATCH(D414,CATÁLOGO!$C$5:$C$39,0),""))</f>
        <v/>
      </c>
      <c r="AN414" s="0" t="str">
        <f aca="false">IF(M414&lt;&gt;"Sí","",IF(AND(ISNUMBER(AE414),AK414&gt;=AE414),0,1))</f>
        <v/>
      </c>
      <c r="AO414" s="0" t="str">
        <f aca="false">IF(OR(E414="",C414="",NOT(ISNUMBER(B414))),"",SUMIFS($E$6:$E$505,$C$6:$C$505,C414,$B$6:$B$505,"&gt;="&amp;DATE(YEAR(B414),MONTH(B414),1),$B$6:$B$505,"&lt;"&amp;DATE(YEAR(B414),MONTH(B414)+1,1)))</f>
        <v/>
      </c>
      <c r="AP414" s="0" t="str">
        <f aca="false">IF(C414="","",IFERROR(INDEX(CLIENTES!$M$6:$M$305,MATCH(C414,CLIENTES!$A$6:$A$305,0)),""))</f>
        <v/>
      </c>
      <c r="AQ414" s="27" t="n">
        <f aca="false">IF(AND(ISNUMBER(AO414),ISNUMBER(AP414)),IF(AND(AP414&gt;0,AO414&gt;AP414),1,0),0)</f>
        <v>0</v>
      </c>
      <c r="AR414" s="27" t="n">
        <f aca="false">IF(NOT(ISNUMBER(B414)),0,IF(B414&lt;MAX($B$5:B413),1,0))</f>
        <v>0</v>
      </c>
      <c r="AS414" s="0" t="str">
        <f aca="false">IF(C414="","",IFERROR(INDEX(CLIENTES!$H$6:$H$305,MATCH(C414,CLIENTES!$A$6:$A$305,0)),""))</f>
        <v/>
      </c>
      <c r="AT414" s="0" t="str">
        <f aca="false">IF(AND(LEFT(P414,5)="AVISO",T414&lt;&gt;"Presentado",ISNUMBER(Q414)),Q414,"")</f>
        <v/>
      </c>
      <c r="AU414" s="27" t="n">
        <f aca="false">IF(AND(D414="XVI - Activos virtuales (PSAV): operación de intercambio/transferencia",M414="Sí",ISNUMBER(AE414)),IF(AK414&gt;=AE414,1,0),0)</f>
        <v>0</v>
      </c>
      <c r="AV414" s="30" t="n">
        <f aca="false">IF(NOT(ISNUMBER(B414)),CONFIG!$B$4,IFERROR(INDEX(CONFIG!$I$5:$I$14,MATCH(IF(MONTH(B414)=1,YEAR(B414)-1,YEAR(B414)),CONFIG!$H$5:$H$14,0)),CONFIG!$B$4))</f>
        <v>117.31</v>
      </c>
      <c r="AW414" s="27" t="n">
        <f aca="false">IF(AND(LEFT(D414,4)="I - ",ISNUMBER(B414),C414&lt;&gt;""),SUMIFS($E$6:$E$505,$C$6:$C$505,C414,$D$6:$D$505,D414,$B$6:$B$505,"&gt;"&amp;(B414-1),$B$6:$B$505,"&lt;="&amp;B414),0)</f>
        <v>0</v>
      </c>
      <c r="AX414" s="0" t="str">
        <f aca="false">IF(E414="","",IF(AD414="Siempre","AVISO (siempre)",IF(AD414="No aplica","Sin Aviso (sólo preparas: Ley 17 XI)",IF(NOT(ISNUMBER(AE414)),"",IF(AA414&lt;&gt;"ACUMULA",IF(E414&gt;=AE414,IF(AND(D414="XVI - Activos virtuales (PSAV): cobro de contraprestación (comisión) por el servicio",COUNTIFS($C$6:$C$505,C414,$B$6:$B$505,"&gt;="&amp;INT(B414),$B$6:$B$505,"&lt;"&amp;(INT(B414)+1),$AU$6:$AU$505,1)&gt;0),"En el Aviso del inciso a) (R 31 Bis)","AVISO"),"—"),IF(M414&lt;&gt;"Sí","—",IF(AK414&gt;=AE414,IF(AK414=E414,"AVISO","AVISO (acumulado)"),"Acumulando")))))))</f>
        <v/>
      </c>
    </row>
    <row r="415" customFormat="false" ht="15" hidden="false" customHeight="false" outlineLevel="0" collapsed="false">
      <c r="A415" s="9" t="str">
        <f aca="false">IF(E415="","",ROW()-5)</f>
        <v/>
      </c>
      <c r="B415" s="20"/>
      <c r="C415" s="21"/>
      <c r="D415" s="21"/>
      <c r="E415" s="22"/>
      <c r="F415" s="22"/>
      <c r="G415" s="21"/>
      <c r="H415" s="21"/>
      <c r="I415" s="9" t="str">
        <f aca="false">IF(C415="","",IFERROR(INDEX(CLIENTES!$B$6:$B$305,MATCH(C415,CLIENTES!$A$6:$A$305,0)),"⚠ ID no registrado"))</f>
        <v/>
      </c>
      <c r="J415" s="9" t="str">
        <f aca="false">IF(C415="","",IFERROR(INDEX(CLIENTES!$Z$6:$Z$305,MATCH(C415,CLIENTES!$A$6:$A$305,0)),""))</f>
        <v/>
      </c>
      <c r="K415" s="9" t="str">
        <f aca="false">IF(E415="","",IF(AB415="Siempre","Sí",IF(ISNUMBER(AC415),IF(E415&gt;=AC415,"Sí",IF(AW415&gt;=AC415,"Sí (serie 24 h)","No")),"")))</f>
        <v/>
      </c>
      <c r="L415" s="9" t="str">
        <f aca="false">IF(E415="","",AA415)</f>
        <v/>
      </c>
      <c r="M415" s="9" t="str">
        <f aca="false">IF(E415="","",IF(AA415&lt;&gt;"ACUMULA","No aplica",IF(LEFT(K415,2)="Sí","Sí","No")))</f>
        <v/>
      </c>
      <c r="N415" s="23" t="str">
        <f aca="false">IF(M415="Sí",AJ415,"")</f>
        <v/>
      </c>
      <c r="O415" s="24" t="str">
        <f aca="false">IF(M415="Sí",AK415,"")</f>
        <v/>
      </c>
      <c r="P415" s="25" t="str">
        <f aca="false">IF(AND(LEFT(D415,6)="XIV - ",LEFT(AX415,5)="AVISO"),"Pedimento (R 16): no va al SPPLD",AX415)</f>
        <v/>
      </c>
      <c r="Q415" s="23" t="str">
        <f aca="false">IF(LEFT(P415,5)="AVISO",IF(ISNUMBER(B415),DATE(YEAR(B415),MONTH(B415)+1,17),"Falta fecha"),"")</f>
        <v/>
      </c>
      <c r="R415" s="9" t="str">
        <f aca="false">IF(OR(F415="",F415=0),"",IF(ISNUMBER(AG415),IF(F415&gt;=AG415,"PROHIBIDO","Dentro del límite"),"No aplica"))</f>
        <v/>
      </c>
      <c r="S415" s="26" t="str">
        <f aca="false">IF(E415="","",MID(IF(AQ415=1," · Excede el perfil declarado","")&amp;IF(H415="Sí"," · Paga un tercero","")&amp;IF(J415="Alto"," · Cliente de riesgo alto: DDR (RCG 23 Ter 3 y 4)","")&amp;IF(AND(AS415&lt;&gt;"",AS415&lt;&gt;"No",AS415&lt;&gt;0)," · PEP","")&amp;IF(R415="PROHIBIDO"," · Efectivo prohibido: no lo recibas (Art. 32)","")&amp;IF(AR415=1," · ⚠ Fecha fuera de orden","")&amp;IF(LEFT(I415,1)="⚠"," · ⚠ Cliente no registrado","")&amp;IF(D415=""," · ⚠ Falta la actividad","")&amp;IF(AND(LEFT(P415,5)="AVISO",W415="")," · Captura la cifra total con IVA para el Aviso","")&amp;IF(AND(ISNUMBER(W415),W415&lt;E415)," · ⚠ La cifra con IVA es menor que el monto sin IVA",""),4,400))</f>
        <v/>
      </c>
      <c r="T415" s="21"/>
      <c r="U415" s="20"/>
      <c r="V415" s="9" t="str">
        <f aca="false">IF(LEFT(P415,5)&lt;&gt;"AVISO","",IF(T415="Presentado",IF(AND(ISNUMBER(U415),ISNUMBER(Q415),U415&gt;Q415),"Presentado tarde","Presentado"),IF(NOT(ISNUMBER(Q415)),"Falta fecha",IF(Q415&lt;CONFIG!$B$6,"VENCIDO","Vence en "&amp;(Q415-CONFIG!$B$6)&amp;" días"))))</f>
        <v/>
      </c>
      <c r="W415" s="22"/>
      <c r="X415" s="21"/>
      <c r="AA415" s="0" t="str">
        <f aca="false">IF(AM415="","",INDEX(CATÁLOGO!$D$5:$D$39,AM415))</f>
        <v/>
      </c>
      <c r="AB415" s="0" t="str">
        <f aca="false">IF(AM415="","",INDEX(CATÁLOGO!$E$5:$E$39,AM415))</f>
        <v/>
      </c>
      <c r="AC415" s="0" t="str">
        <f aca="false">IF(AB415="","",IF(ISNUMBER(AB415),AB415*AV415,AB415))</f>
        <v/>
      </c>
      <c r="AD415" s="0" t="str">
        <f aca="false">IF(AM415="","",INDEX(CATÁLOGO!$F$5:$F$39,AM415))</f>
        <v/>
      </c>
      <c r="AE415" s="0" t="str">
        <f aca="false">IF(AD415="","",IF(ISNUMBER(AD415),AD415*AV415,AD415))</f>
        <v/>
      </c>
      <c r="AF415" s="0" t="str">
        <f aca="false">IF(AM415="","",INDEX(CATÁLOGO!$G$5:$G$39,AM415))</f>
        <v/>
      </c>
      <c r="AG415" s="0" t="str">
        <f aca="false">IF(AF415="","",IF(ISNUMBER(AF415),AF415*AV415,AF415))</f>
        <v/>
      </c>
      <c r="AH415" s="0" t="str">
        <f aca="false">IF(E415="","",C415&amp;"|"&amp;D415)</f>
        <v/>
      </c>
      <c r="AI415" s="27" t="n">
        <f aca="false">IF(M415&lt;&gt;"Sí",0,SUMPRODUCT(MAX(($AH$5:AH414=AH415)*($M$5:M414="Sí")*ROW($AH$5:AH414))))</f>
        <v>0</v>
      </c>
      <c r="AJ415" s="0" t="str">
        <f aca="false">IF(M415&lt;&gt;"Sí","",IF(AL415=1,B415,INDEX($AJ:$AJ,AI415)))</f>
        <v/>
      </c>
      <c r="AK415" s="0" t="str">
        <f aca="false">IF(M415&lt;&gt;"Sí","",IF(AL415=1,E415,INDEX($AK:$AK,AI415)+E415))</f>
        <v/>
      </c>
      <c r="AL415" s="0" t="str">
        <f aca="false">IF(M415&lt;&gt;"Sí","",IF(AI415=0,1,IF(INDEX($AN:$AN,AI415)=0,1,IF(B415&gt;=EDATE(INDEX($AJ:$AJ,AI415),6),1,0))))</f>
        <v/>
      </c>
      <c r="AM415" s="0" t="str">
        <f aca="false">IF(D415="","",IFERROR(MATCH(D415,CATÁLOGO!$C$5:$C$39,0),""))</f>
        <v/>
      </c>
      <c r="AN415" s="0" t="str">
        <f aca="false">IF(M415&lt;&gt;"Sí","",IF(AND(ISNUMBER(AE415),AK415&gt;=AE415),0,1))</f>
        <v/>
      </c>
      <c r="AO415" s="0" t="str">
        <f aca="false">IF(OR(E415="",C415="",NOT(ISNUMBER(B415))),"",SUMIFS($E$6:$E$505,$C$6:$C$505,C415,$B$6:$B$505,"&gt;="&amp;DATE(YEAR(B415),MONTH(B415),1),$B$6:$B$505,"&lt;"&amp;DATE(YEAR(B415),MONTH(B415)+1,1)))</f>
        <v/>
      </c>
      <c r="AP415" s="0" t="str">
        <f aca="false">IF(C415="","",IFERROR(INDEX(CLIENTES!$M$6:$M$305,MATCH(C415,CLIENTES!$A$6:$A$305,0)),""))</f>
        <v/>
      </c>
      <c r="AQ415" s="27" t="n">
        <f aca="false">IF(AND(ISNUMBER(AO415),ISNUMBER(AP415)),IF(AND(AP415&gt;0,AO415&gt;AP415),1,0),0)</f>
        <v>0</v>
      </c>
      <c r="AR415" s="27" t="n">
        <f aca="false">IF(NOT(ISNUMBER(B415)),0,IF(B415&lt;MAX($B$5:B414),1,0))</f>
        <v>0</v>
      </c>
      <c r="AS415" s="0" t="str">
        <f aca="false">IF(C415="","",IFERROR(INDEX(CLIENTES!$H$6:$H$305,MATCH(C415,CLIENTES!$A$6:$A$305,0)),""))</f>
        <v/>
      </c>
      <c r="AT415" s="0" t="str">
        <f aca="false">IF(AND(LEFT(P415,5)="AVISO",T415&lt;&gt;"Presentado",ISNUMBER(Q415)),Q415,"")</f>
        <v/>
      </c>
      <c r="AU415" s="27" t="n">
        <f aca="false">IF(AND(D415="XVI - Activos virtuales (PSAV): operación de intercambio/transferencia",M415="Sí",ISNUMBER(AE415)),IF(AK415&gt;=AE415,1,0),0)</f>
        <v>0</v>
      </c>
      <c r="AV415" s="30" t="n">
        <f aca="false">IF(NOT(ISNUMBER(B415)),CONFIG!$B$4,IFERROR(INDEX(CONFIG!$I$5:$I$14,MATCH(IF(MONTH(B415)=1,YEAR(B415)-1,YEAR(B415)),CONFIG!$H$5:$H$14,0)),CONFIG!$B$4))</f>
        <v>117.31</v>
      </c>
      <c r="AW415" s="27" t="n">
        <f aca="false">IF(AND(LEFT(D415,4)="I - ",ISNUMBER(B415),C415&lt;&gt;""),SUMIFS($E$6:$E$505,$C$6:$C$505,C415,$D$6:$D$505,D415,$B$6:$B$505,"&gt;"&amp;(B415-1),$B$6:$B$505,"&lt;="&amp;B415),0)</f>
        <v>0</v>
      </c>
      <c r="AX415" s="0" t="str">
        <f aca="false">IF(E415="","",IF(AD415="Siempre","AVISO (siempre)",IF(AD415="No aplica","Sin Aviso (sólo preparas: Ley 17 XI)",IF(NOT(ISNUMBER(AE415)),"",IF(AA415&lt;&gt;"ACUMULA",IF(E415&gt;=AE415,IF(AND(D415="XVI - Activos virtuales (PSAV): cobro de contraprestación (comisión) por el servicio",COUNTIFS($C$6:$C$505,C415,$B$6:$B$505,"&gt;="&amp;INT(B415),$B$6:$B$505,"&lt;"&amp;(INT(B415)+1),$AU$6:$AU$505,1)&gt;0),"En el Aviso del inciso a) (R 31 Bis)","AVISO"),"—"),IF(M415&lt;&gt;"Sí","—",IF(AK415&gt;=AE415,IF(AK415=E415,"AVISO","AVISO (acumulado)"),"Acumulando")))))))</f>
        <v/>
      </c>
    </row>
    <row r="416" customFormat="false" ht="15" hidden="false" customHeight="false" outlineLevel="0" collapsed="false">
      <c r="A416" s="9" t="str">
        <f aca="false">IF(E416="","",ROW()-5)</f>
        <v/>
      </c>
      <c r="B416" s="20"/>
      <c r="C416" s="21"/>
      <c r="D416" s="21"/>
      <c r="E416" s="22"/>
      <c r="F416" s="22"/>
      <c r="G416" s="21"/>
      <c r="H416" s="21"/>
      <c r="I416" s="9" t="str">
        <f aca="false">IF(C416="","",IFERROR(INDEX(CLIENTES!$B$6:$B$305,MATCH(C416,CLIENTES!$A$6:$A$305,0)),"⚠ ID no registrado"))</f>
        <v/>
      </c>
      <c r="J416" s="9" t="str">
        <f aca="false">IF(C416="","",IFERROR(INDEX(CLIENTES!$Z$6:$Z$305,MATCH(C416,CLIENTES!$A$6:$A$305,0)),""))</f>
        <v/>
      </c>
      <c r="K416" s="9" t="str">
        <f aca="false">IF(E416="","",IF(AB416="Siempre","Sí",IF(ISNUMBER(AC416),IF(E416&gt;=AC416,"Sí",IF(AW416&gt;=AC416,"Sí (serie 24 h)","No")),"")))</f>
        <v/>
      </c>
      <c r="L416" s="9" t="str">
        <f aca="false">IF(E416="","",AA416)</f>
        <v/>
      </c>
      <c r="M416" s="9" t="str">
        <f aca="false">IF(E416="","",IF(AA416&lt;&gt;"ACUMULA","No aplica",IF(LEFT(K416,2)="Sí","Sí","No")))</f>
        <v/>
      </c>
      <c r="N416" s="23" t="str">
        <f aca="false">IF(M416="Sí",AJ416,"")</f>
        <v/>
      </c>
      <c r="O416" s="24" t="str">
        <f aca="false">IF(M416="Sí",AK416,"")</f>
        <v/>
      </c>
      <c r="P416" s="25" t="str">
        <f aca="false">IF(AND(LEFT(D416,6)="XIV - ",LEFT(AX416,5)="AVISO"),"Pedimento (R 16): no va al SPPLD",AX416)</f>
        <v/>
      </c>
      <c r="Q416" s="23" t="str">
        <f aca="false">IF(LEFT(P416,5)="AVISO",IF(ISNUMBER(B416),DATE(YEAR(B416),MONTH(B416)+1,17),"Falta fecha"),"")</f>
        <v/>
      </c>
      <c r="R416" s="9" t="str">
        <f aca="false">IF(OR(F416="",F416=0),"",IF(ISNUMBER(AG416),IF(F416&gt;=AG416,"PROHIBIDO","Dentro del límite"),"No aplica"))</f>
        <v/>
      </c>
      <c r="S416" s="26" t="str">
        <f aca="false">IF(E416="","",MID(IF(AQ416=1," · Excede el perfil declarado","")&amp;IF(H416="Sí"," · Paga un tercero","")&amp;IF(J416="Alto"," · Cliente de riesgo alto: DDR (RCG 23 Ter 3 y 4)","")&amp;IF(AND(AS416&lt;&gt;"",AS416&lt;&gt;"No",AS416&lt;&gt;0)," · PEP","")&amp;IF(R416="PROHIBIDO"," · Efectivo prohibido: no lo recibas (Art. 32)","")&amp;IF(AR416=1," · ⚠ Fecha fuera de orden","")&amp;IF(LEFT(I416,1)="⚠"," · ⚠ Cliente no registrado","")&amp;IF(D416=""," · ⚠ Falta la actividad","")&amp;IF(AND(LEFT(P416,5)="AVISO",W416="")," · Captura la cifra total con IVA para el Aviso","")&amp;IF(AND(ISNUMBER(W416),W416&lt;E416)," · ⚠ La cifra con IVA es menor que el monto sin IVA",""),4,400))</f>
        <v/>
      </c>
      <c r="T416" s="21"/>
      <c r="U416" s="20"/>
      <c r="V416" s="9" t="str">
        <f aca="false">IF(LEFT(P416,5)&lt;&gt;"AVISO","",IF(T416="Presentado",IF(AND(ISNUMBER(U416),ISNUMBER(Q416),U416&gt;Q416),"Presentado tarde","Presentado"),IF(NOT(ISNUMBER(Q416)),"Falta fecha",IF(Q416&lt;CONFIG!$B$6,"VENCIDO","Vence en "&amp;(Q416-CONFIG!$B$6)&amp;" días"))))</f>
        <v/>
      </c>
      <c r="W416" s="22"/>
      <c r="X416" s="21"/>
      <c r="AA416" s="0" t="str">
        <f aca="false">IF(AM416="","",INDEX(CATÁLOGO!$D$5:$D$39,AM416))</f>
        <v/>
      </c>
      <c r="AB416" s="0" t="str">
        <f aca="false">IF(AM416="","",INDEX(CATÁLOGO!$E$5:$E$39,AM416))</f>
        <v/>
      </c>
      <c r="AC416" s="0" t="str">
        <f aca="false">IF(AB416="","",IF(ISNUMBER(AB416),AB416*AV416,AB416))</f>
        <v/>
      </c>
      <c r="AD416" s="0" t="str">
        <f aca="false">IF(AM416="","",INDEX(CATÁLOGO!$F$5:$F$39,AM416))</f>
        <v/>
      </c>
      <c r="AE416" s="0" t="str">
        <f aca="false">IF(AD416="","",IF(ISNUMBER(AD416),AD416*AV416,AD416))</f>
        <v/>
      </c>
      <c r="AF416" s="0" t="str">
        <f aca="false">IF(AM416="","",INDEX(CATÁLOGO!$G$5:$G$39,AM416))</f>
        <v/>
      </c>
      <c r="AG416" s="0" t="str">
        <f aca="false">IF(AF416="","",IF(ISNUMBER(AF416),AF416*AV416,AF416))</f>
        <v/>
      </c>
      <c r="AH416" s="0" t="str">
        <f aca="false">IF(E416="","",C416&amp;"|"&amp;D416)</f>
        <v/>
      </c>
      <c r="AI416" s="27" t="n">
        <f aca="false">IF(M416&lt;&gt;"Sí",0,SUMPRODUCT(MAX(($AH$5:AH415=AH416)*($M$5:M415="Sí")*ROW($AH$5:AH415))))</f>
        <v>0</v>
      </c>
      <c r="AJ416" s="0" t="str">
        <f aca="false">IF(M416&lt;&gt;"Sí","",IF(AL416=1,B416,INDEX($AJ:$AJ,AI416)))</f>
        <v/>
      </c>
      <c r="AK416" s="0" t="str">
        <f aca="false">IF(M416&lt;&gt;"Sí","",IF(AL416=1,E416,INDEX($AK:$AK,AI416)+E416))</f>
        <v/>
      </c>
      <c r="AL416" s="0" t="str">
        <f aca="false">IF(M416&lt;&gt;"Sí","",IF(AI416=0,1,IF(INDEX($AN:$AN,AI416)=0,1,IF(B416&gt;=EDATE(INDEX($AJ:$AJ,AI416),6),1,0))))</f>
        <v/>
      </c>
      <c r="AM416" s="0" t="str">
        <f aca="false">IF(D416="","",IFERROR(MATCH(D416,CATÁLOGO!$C$5:$C$39,0),""))</f>
        <v/>
      </c>
      <c r="AN416" s="0" t="str">
        <f aca="false">IF(M416&lt;&gt;"Sí","",IF(AND(ISNUMBER(AE416),AK416&gt;=AE416),0,1))</f>
        <v/>
      </c>
      <c r="AO416" s="0" t="str">
        <f aca="false">IF(OR(E416="",C416="",NOT(ISNUMBER(B416))),"",SUMIFS($E$6:$E$505,$C$6:$C$505,C416,$B$6:$B$505,"&gt;="&amp;DATE(YEAR(B416),MONTH(B416),1),$B$6:$B$505,"&lt;"&amp;DATE(YEAR(B416),MONTH(B416)+1,1)))</f>
        <v/>
      </c>
      <c r="AP416" s="0" t="str">
        <f aca="false">IF(C416="","",IFERROR(INDEX(CLIENTES!$M$6:$M$305,MATCH(C416,CLIENTES!$A$6:$A$305,0)),""))</f>
        <v/>
      </c>
      <c r="AQ416" s="27" t="n">
        <f aca="false">IF(AND(ISNUMBER(AO416),ISNUMBER(AP416)),IF(AND(AP416&gt;0,AO416&gt;AP416),1,0),0)</f>
        <v>0</v>
      </c>
      <c r="AR416" s="27" t="n">
        <f aca="false">IF(NOT(ISNUMBER(B416)),0,IF(B416&lt;MAX($B$5:B415),1,0))</f>
        <v>0</v>
      </c>
      <c r="AS416" s="0" t="str">
        <f aca="false">IF(C416="","",IFERROR(INDEX(CLIENTES!$H$6:$H$305,MATCH(C416,CLIENTES!$A$6:$A$305,0)),""))</f>
        <v/>
      </c>
      <c r="AT416" s="0" t="str">
        <f aca="false">IF(AND(LEFT(P416,5)="AVISO",T416&lt;&gt;"Presentado",ISNUMBER(Q416)),Q416,"")</f>
        <v/>
      </c>
      <c r="AU416" s="27" t="n">
        <f aca="false">IF(AND(D416="XVI - Activos virtuales (PSAV): operación de intercambio/transferencia",M416="Sí",ISNUMBER(AE416)),IF(AK416&gt;=AE416,1,0),0)</f>
        <v>0</v>
      </c>
      <c r="AV416" s="30" t="n">
        <f aca="false">IF(NOT(ISNUMBER(B416)),CONFIG!$B$4,IFERROR(INDEX(CONFIG!$I$5:$I$14,MATCH(IF(MONTH(B416)=1,YEAR(B416)-1,YEAR(B416)),CONFIG!$H$5:$H$14,0)),CONFIG!$B$4))</f>
        <v>117.31</v>
      </c>
      <c r="AW416" s="27" t="n">
        <f aca="false">IF(AND(LEFT(D416,4)="I - ",ISNUMBER(B416),C416&lt;&gt;""),SUMIFS($E$6:$E$505,$C$6:$C$505,C416,$D$6:$D$505,D416,$B$6:$B$505,"&gt;"&amp;(B416-1),$B$6:$B$505,"&lt;="&amp;B416),0)</f>
        <v>0</v>
      </c>
      <c r="AX416" s="0" t="str">
        <f aca="false">IF(E416="","",IF(AD416="Siempre","AVISO (siempre)",IF(AD416="No aplica","Sin Aviso (sólo preparas: Ley 17 XI)",IF(NOT(ISNUMBER(AE416)),"",IF(AA416&lt;&gt;"ACUMULA",IF(E416&gt;=AE416,IF(AND(D416="XVI - Activos virtuales (PSAV): cobro de contraprestación (comisión) por el servicio",COUNTIFS($C$6:$C$505,C416,$B$6:$B$505,"&gt;="&amp;INT(B416),$B$6:$B$505,"&lt;"&amp;(INT(B416)+1),$AU$6:$AU$505,1)&gt;0),"En el Aviso del inciso a) (R 31 Bis)","AVISO"),"—"),IF(M416&lt;&gt;"Sí","—",IF(AK416&gt;=AE416,IF(AK416=E416,"AVISO","AVISO (acumulado)"),"Acumulando")))))))</f>
        <v/>
      </c>
    </row>
    <row r="417" customFormat="false" ht="15" hidden="false" customHeight="false" outlineLevel="0" collapsed="false">
      <c r="A417" s="9" t="str">
        <f aca="false">IF(E417="","",ROW()-5)</f>
        <v/>
      </c>
      <c r="B417" s="20"/>
      <c r="C417" s="21"/>
      <c r="D417" s="21"/>
      <c r="E417" s="22"/>
      <c r="F417" s="22"/>
      <c r="G417" s="21"/>
      <c r="H417" s="21"/>
      <c r="I417" s="9" t="str">
        <f aca="false">IF(C417="","",IFERROR(INDEX(CLIENTES!$B$6:$B$305,MATCH(C417,CLIENTES!$A$6:$A$305,0)),"⚠ ID no registrado"))</f>
        <v/>
      </c>
      <c r="J417" s="9" t="str">
        <f aca="false">IF(C417="","",IFERROR(INDEX(CLIENTES!$Z$6:$Z$305,MATCH(C417,CLIENTES!$A$6:$A$305,0)),""))</f>
        <v/>
      </c>
      <c r="K417" s="9" t="str">
        <f aca="false">IF(E417="","",IF(AB417="Siempre","Sí",IF(ISNUMBER(AC417),IF(E417&gt;=AC417,"Sí",IF(AW417&gt;=AC417,"Sí (serie 24 h)","No")),"")))</f>
        <v/>
      </c>
      <c r="L417" s="9" t="str">
        <f aca="false">IF(E417="","",AA417)</f>
        <v/>
      </c>
      <c r="M417" s="9" t="str">
        <f aca="false">IF(E417="","",IF(AA417&lt;&gt;"ACUMULA","No aplica",IF(LEFT(K417,2)="Sí","Sí","No")))</f>
        <v/>
      </c>
      <c r="N417" s="23" t="str">
        <f aca="false">IF(M417="Sí",AJ417,"")</f>
        <v/>
      </c>
      <c r="O417" s="24" t="str">
        <f aca="false">IF(M417="Sí",AK417,"")</f>
        <v/>
      </c>
      <c r="P417" s="25" t="str">
        <f aca="false">IF(AND(LEFT(D417,6)="XIV - ",LEFT(AX417,5)="AVISO"),"Pedimento (R 16): no va al SPPLD",AX417)</f>
        <v/>
      </c>
      <c r="Q417" s="23" t="str">
        <f aca="false">IF(LEFT(P417,5)="AVISO",IF(ISNUMBER(B417),DATE(YEAR(B417),MONTH(B417)+1,17),"Falta fecha"),"")</f>
        <v/>
      </c>
      <c r="R417" s="9" t="str">
        <f aca="false">IF(OR(F417="",F417=0),"",IF(ISNUMBER(AG417),IF(F417&gt;=AG417,"PROHIBIDO","Dentro del límite"),"No aplica"))</f>
        <v/>
      </c>
      <c r="S417" s="26" t="str">
        <f aca="false">IF(E417="","",MID(IF(AQ417=1," · Excede el perfil declarado","")&amp;IF(H417="Sí"," · Paga un tercero","")&amp;IF(J417="Alto"," · Cliente de riesgo alto: DDR (RCG 23 Ter 3 y 4)","")&amp;IF(AND(AS417&lt;&gt;"",AS417&lt;&gt;"No",AS417&lt;&gt;0)," · PEP","")&amp;IF(R417="PROHIBIDO"," · Efectivo prohibido: no lo recibas (Art. 32)","")&amp;IF(AR417=1," · ⚠ Fecha fuera de orden","")&amp;IF(LEFT(I417,1)="⚠"," · ⚠ Cliente no registrado","")&amp;IF(D417=""," · ⚠ Falta la actividad","")&amp;IF(AND(LEFT(P417,5)="AVISO",W417="")," · Captura la cifra total con IVA para el Aviso","")&amp;IF(AND(ISNUMBER(W417),W417&lt;E417)," · ⚠ La cifra con IVA es menor que el monto sin IVA",""),4,400))</f>
        <v/>
      </c>
      <c r="T417" s="21"/>
      <c r="U417" s="20"/>
      <c r="V417" s="9" t="str">
        <f aca="false">IF(LEFT(P417,5)&lt;&gt;"AVISO","",IF(T417="Presentado",IF(AND(ISNUMBER(U417),ISNUMBER(Q417),U417&gt;Q417),"Presentado tarde","Presentado"),IF(NOT(ISNUMBER(Q417)),"Falta fecha",IF(Q417&lt;CONFIG!$B$6,"VENCIDO","Vence en "&amp;(Q417-CONFIG!$B$6)&amp;" días"))))</f>
        <v/>
      </c>
      <c r="W417" s="22"/>
      <c r="X417" s="21"/>
      <c r="AA417" s="0" t="str">
        <f aca="false">IF(AM417="","",INDEX(CATÁLOGO!$D$5:$D$39,AM417))</f>
        <v/>
      </c>
      <c r="AB417" s="0" t="str">
        <f aca="false">IF(AM417="","",INDEX(CATÁLOGO!$E$5:$E$39,AM417))</f>
        <v/>
      </c>
      <c r="AC417" s="0" t="str">
        <f aca="false">IF(AB417="","",IF(ISNUMBER(AB417),AB417*AV417,AB417))</f>
        <v/>
      </c>
      <c r="AD417" s="0" t="str">
        <f aca="false">IF(AM417="","",INDEX(CATÁLOGO!$F$5:$F$39,AM417))</f>
        <v/>
      </c>
      <c r="AE417" s="0" t="str">
        <f aca="false">IF(AD417="","",IF(ISNUMBER(AD417),AD417*AV417,AD417))</f>
        <v/>
      </c>
      <c r="AF417" s="0" t="str">
        <f aca="false">IF(AM417="","",INDEX(CATÁLOGO!$G$5:$G$39,AM417))</f>
        <v/>
      </c>
      <c r="AG417" s="0" t="str">
        <f aca="false">IF(AF417="","",IF(ISNUMBER(AF417),AF417*AV417,AF417))</f>
        <v/>
      </c>
      <c r="AH417" s="0" t="str">
        <f aca="false">IF(E417="","",C417&amp;"|"&amp;D417)</f>
        <v/>
      </c>
      <c r="AI417" s="27" t="n">
        <f aca="false">IF(M417&lt;&gt;"Sí",0,SUMPRODUCT(MAX(($AH$5:AH416=AH417)*($M$5:M416="Sí")*ROW($AH$5:AH416))))</f>
        <v>0</v>
      </c>
      <c r="AJ417" s="0" t="str">
        <f aca="false">IF(M417&lt;&gt;"Sí","",IF(AL417=1,B417,INDEX($AJ:$AJ,AI417)))</f>
        <v/>
      </c>
      <c r="AK417" s="0" t="str">
        <f aca="false">IF(M417&lt;&gt;"Sí","",IF(AL417=1,E417,INDEX($AK:$AK,AI417)+E417))</f>
        <v/>
      </c>
      <c r="AL417" s="0" t="str">
        <f aca="false">IF(M417&lt;&gt;"Sí","",IF(AI417=0,1,IF(INDEX($AN:$AN,AI417)=0,1,IF(B417&gt;=EDATE(INDEX($AJ:$AJ,AI417),6),1,0))))</f>
        <v/>
      </c>
      <c r="AM417" s="0" t="str">
        <f aca="false">IF(D417="","",IFERROR(MATCH(D417,CATÁLOGO!$C$5:$C$39,0),""))</f>
        <v/>
      </c>
      <c r="AN417" s="0" t="str">
        <f aca="false">IF(M417&lt;&gt;"Sí","",IF(AND(ISNUMBER(AE417),AK417&gt;=AE417),0,1))</f>
        <v/>
      </c>
      <c r="AO417" s="0" t="str">
        <f aca="false">IF(OR(E417="",C417="",NOT(ISNUMBER(B417))),"",SUMIFS($E$6:$E$505,$C$6:$C$505,C417,$B$6:$B$505,"&gt;="&amp;DATE(YEAR(B417),MONTH(B417),1),$B$6:$B$505,"&lt;"&amp;DATE(YEAR(B417),MONTH(B417)+1,1)))</f>
        <v/>
      </c>
      <c r="AP417" s="0" t="str">
        <f aca="false">IF(C417="","",IFERROR(INDEX(CLIENTES!$M$6:$M$305,MATCH(C417,CLIENTES!$A$6:$A$305,0)),""))</f>
        <v/>
      </c>
      <c r="AQ417" s="27" t="n">
        <f aca="false">IF(AND(ISNUMBER(AO417),ISNUMBER(AP417)),IF(AND(AP417&gt;0,AO417&gt;AP417),1,0),0)</f>
        <v>0</v>
      </c>
      <c r="AR417" s="27" t="n">
        <f aca="false">IF(NOT(ISNUMBER(B417)),0,IF(B417&lt;MAX($B$5:B416),1,0))</f>
        <v>0</v>
      </c>
      <c r="AS417" s="0" t="str">
        <f aca="false">IF(C417="","",IFERROR(INDEX(CLIENTES!$H$6:$H$305,MATCH(C417,CLIENTES!$A$6:$A$305,0)),""))</f>
        <v/>
      </c>
      <c r="AT417" s="0" t="str">
        <f aca="false">IF(AND(LEFT(P417,5)="AVISO",T417&lt;&gt;"Presentado",ISNUMBER(Q417)),Q417,"")</f>
        <v/>
      </c>
      <c r="AU417" s="27" t="n">
        <f aca="false">IF(AND(D417="XVI - Activos virtuales (PSAV): operación de intercambio/transferencia",M417="Sí",ISNUMBER(AE417)),IF(AK417&gt;=AE417,1,0),0)</f>
        <v>0</v>
      </c>
      <c r="AV417" s="30" t="n">
        <f aca="false">IF(NOT(ISNUMBER(B417)),CONFIG!$B$4,IFERROR(INDEX(CONFIG!$I$5:$I$14,MATCH(IF(MONTH(B417)=1,YEAR(B417)-1,YEAR(B417)),CONFIG!$H$5:$H$14,0)),CONFIG!$B$4))</f>
        <v>117.31</v>
      </c>
      <c r="AW417" s="27" t="n">
        <f aca="false">IF(AND(LEFT(D417,4)="I - ",ISNUMBER(B417),C417&lt;&gt;""),SUMIFS($E$6:$E$505,$C$6:$C$505,C417,$D$6:$D$505,D417,$B$6:$B$505,"&gt;"&amp;(B417-1),$B$6:$B$505,"&lt;="&amp;B417),0)</f>
        <v>0</v>
      </c>
      <c r="AX417" s="0" t="str">
        <f aca="false">IF(E417="","",IF(AD417="Siempre","AVISO (siempre)",IF(AD417="No aplica","Sin Aviso (sólo preparas: Ley 17 XI)",IF(NOT(ISNUMBER(AE417)),"",IF(AA417&lt;&gt;"ACUMULA",IF(E417&gt;=AE417,IF(AND(D417="XVI - Activos virtuales (PSAV): cobro de contraprestación (comisión) por el servicio",COUNTIFS($C$6:$C$505,C417,$B$6:$B$505,"&gt;="&amp;INT(B417),$B$6:$B$505,"&lt;"&amp;(INT(B417)+1),$AU$6:$AU$505,1)&gt;0),"En el Aviso del inciso a) (R 31 Bis)","AVISO"),"—"),IF(M417&lt;&gt;"Sí","—",IF(AK417&gt;=AE417,IF(AK417=E417,"AVISO","AVISO (acumulado)"),"Acumulando")))))))</f>
        <v/>
      </c>
    </row>
    <row r="418" customFormat="false" ht="15" hidden="false" customHeight="false" outlineLevel="0" collapsed="false">
      <c r="A418" s="9" t="str">
        <f aca="false">IF(E418="","",ROW()-5)</f>
        <v/>
      </c>
      <c r="B418" s="20"/>
      <c r="C418" s="21"/>
      <c r="D418" s="21"/>
      <c r="E418" s="22"/>
      <c r="F418" s="22"/>
      <c r="G418" s="21"/>
      <c r="H418" s="21"/>
      <c r="I418" s="9" t="str">
        <f aca="false">IF(C418="","",IFERROR(INDEX(CLIENTES!$B$6:$B$305,MATCH(C418,CLIENTES!$A$6:$A$305,0)),"⚠ ID no registrado"))</f>
        <v/>
      </c>
      <c r="J418" s="9" t="str">
        <f aca="false">IF(C418="","",IFERROR(INDEX(CLIENTES!$Z$6:$Z$305,MATCH(C418,CLIENTES!$A$6:$A$305,0)),""))</f>
        <v/>
      </c>
      <c r="K418" s="9" t="str">
        <f aca="false">IF(E418="","",IF(AB418="Siempre","Sí",IF(ISNUMBER(AC418),IF(E418&gt;=AC418,"Sí",IF(AW418&gt;=AC418,"Sí (serie 24 h)","No")),"")))</f>
        <v/>
      </c>
      <c r="L418" s="9" t="str">
        <f aca="false">IF(E418="","",AA418)</f>
        <v/>
      </c>
      <c r="M418" s="9" t="str">
        <f aca="false">IF(E418="","",IF(AA418&lt;&gt;"ACUMULA","No aplica",IF(LEFT(K418,2)="Sí","Sí","No")))</f>
        <v/>
      </c>
      <c r="N418" s="23" t="str">
        <f aca="false">IF(M418="Sí",AJ418,"")</f>
        <v/>
      </c>
      <c r="O418" s="24" t="str">
        <f aca="false">IF(M418="Sí",AK418,"")</f>
        <v/>
      </c>
      <c r="P418" s="25" t="str">
        <f aca="false">IF(AND(LEFT(D418,6)="XIV - ",LEFT(AX418,5)="AVISO"),"Pedimento (R 16): no va al SPPLD",AX418)</f>
        <v/>
      </c>
      <c r="Q418" s="23" t="str">
        <f aca="false">IF(LEFT(P418,5)="AVISO",IF(ISNUMBER(B418),DATE(YEAR(B418),MONTH(B418)+1,17),"Falta fecha"),"")</f>
        <v/>
      </c>
      <c r="R418" s="9" t="str">
        <f aca="false">IF(OR(F418="",F418=0),"",IF(ISNUMBER(AG418),IF(F418&gt;=AG418,"PROHIBIDO","Dentro del límite"),"No aplica"))</f>
        <v/>
      </c>
      <c r="S418" s="26" t="str">
        <f aca="false">IF(E418="","",MID(IF(AQ418=1," · Excede el perfil declarado","")&amp;IF(H418="Sí"," · Paga un tercero","")&amp;IF(J418="Alto"," · Cliente de riesgo alto: DDR (RCG 23 Ter 3 y 4)","")&amp;IF(AND(AS418&lt;&gt;"",AS418&lt;&gt;"No",AS418&lt;&gt;0)," · PEP","")&amp;IF(R418="PROHIBIDO"," · Efectivo prohibido: no lo recibas (Art. 32)","")&amp;IF(AR418=1," · ⚠ Fecha fuera de orden","")&amp;IF(LEFT(I418,1)="⚠"," · ⚠ Cliente no registrado","")&amp;IF(D418=""," · ⚠ Falta la actividad","")&amp;IF(AND(LEFT(P418,5)="AVISO",W418="")," · Captura la cifra total con IVA para el Aviso","")&amp;IF(AND(ISNUMBER(W418),W418&lt;E418)," · ⚠ La cifra con IVA es menor que el monto sin IVA",""),4,400))</f>
        <v/>
      </c>
      <c r="T418" s="21"/>
      <c r="U418" s="20"/>
      <c r="V418" s="9" t="str">
        <f aca="false">IF(LEFT(P418,5)&lt;&gt;"AVISO","",IF(T418="Presentado",IF(AND(ISNUMBER(U418),ISNUMBER(Q418),U418&gt;Q418),"Presentado tarde","Presentado"),IF(NOT(ISNUMBER(Q418)),"Falta fecha",IF(Q418&lt;CONFIG!$B$6,"VENCIDO","Vence en "&amp;(Q418-CONFIG!$B$6)&amp;" días"))))</f>
        <v/>
      </c>
      <c r="W418" s="22"/>
      <c r="X418" s="21"/>
      <c r="AA418" s="0" t="str">
        <f aca="false">IF(AM418="","",INDEX(CATÁLOGO!$D$5:$D$39,AM418))</f>
        <v/>
      </c>
      <c r="AB418" s="0" t="str">
        <f aca="false">IF(AM418="","",INDEX(CATÁLOGO!$E$5:$E$39,AM418))</f>
        <v/>
      </c>
      <c r="AC418" s="0" t="str">
        <f aca="false">IF(AB418="","",IF(ISNUMBER(AB418),AB418*AV418,AB418))</f>
        <v/>
      </c>
      <c r="AD418" s="0" t="str">
        <f aca="false">IF(AM418="","",INDEX(CATÁLOGO!$F$5:$F$39,AM418))</f>
        <v/>
      </c>
      <c r="AE418" s="0" t="str">
        <f aca="false">IF(AD418="","",IF(ISNUMBER(AD418),AD418*AV418,AD418))</f>
        <v/>
      </c>
      <c r="AF418" s="0" t="str">
        <f aca="false">IF(AM418="","",INDEX(CATÁLOGO!$G$5:$G$39,AM418))</f>
        <v/>
      </c>
      <c r="AG418" s="0" t="str">
        <f aca="false">IF(AF418="","",IF(ISNUMBER(AF418),AF418*AV418,AF418))</f>
        <v/>
      </c>
      <c r="AH418" s="0" t="str">
        <f aca="false">IF(E418="","",C418&amp;"|"&amp;D418)</f>
        <v/>
      </c>
      <c r="AI418" s="27" t="n">
        <f aca="false">IF(M418&lt;&gt;"Sí",0,SUMPRODUCT(MAX(($AH$5:AH417=AH418)*($M$5:M417="Sí")*ROW($AH$5:AH417))))</f>
        <v>0</v>
      </c>
      <c r="AJ418" s="0" t="str">
        <f aca="false">IF(M418&lt;&gt;"Sí","",IF(AL418=1,B418,INDEX($AJ:$AJ,AI418)))</f>
        <v/>
      </c>
      <c r="AK418" s="0" t="str">
        <f aca="false">IF(M418&lt;&gt;"Sí","",IF(AL418=1,E418,INDEX($AK:$AK,AI418)+E418))</f>
        <v/>
      </c>
      <c r="AL418" s="0" t="str">
        <f aca="false">IF(M418&lt;&gt;"Sí","",IF(AI418=0,1,IF(INDEX($AN:$AN,AI418)=0,1,IF(B418&gt;=EDATE(INDEX($AJ:$AJ,AI418),6),1,0))))</f>
        <v/>
      </c>
      <c r="AM418" s="0" t="str">
        <f aca="false">IF(D418="","",IFERROR(MATCH(D418,CATÁLOGO!$C$5:$C$39,0),""))</f>
        <v/>
      </c>
      <c r="AN418" s="0" t="str">
        <f aca="false">IF(M418&lt;&gt;"Sí","",IF(AND(ISNUMBER(AE418),AK418&gt;=AE418),0,1))</f>
        <v/>
      </c>
      <c r="AO418" s="0" t="str">
        <f aca="false">IF(OR(E418="",C418="",NOT(ISNUMBER(B418))),"",SUMIFS($E$6:$E$505,$C$6:$C$505,C418,$B$6:$B$505,"&gt;="&amp;DATE(YEAR(B418),MONTH(B418),1),$B$6:$B$505,"&lt;"&amp;DATE(YEAR(B418),MONTH(B418)+1,1)))</f>
        <v/>
      </c>
      <c r="AP418" s="0" t="str">
        <f aca="false">IF(C418="","",IFERROR(INDEX(CLIENTES!$M$6:$M$305,MATCH(C418,CLIENTES!$A$6:$A$305,0)),""))</f>
        <v/>
      </c>
      <c r="AQ418" s="27" t="n">
        <f aca="false">IF(AND(ISNUMBER(AO418),ISNUMBER(AP418)),IF(AND(AP418&gt;0,AO418&gt;AP418),1,0),0)</f>
        <v>0</v>
      </c>
      <c r="AR418" s="27" t="n">
        <f aca="false">IF(NOT(ISNUMBER(B418)),0,IF(B418&lt;MAX($B$5:B417),1,0))</f>
        <v>0</v>
      </c>
      <c r="AS418" s="0" t="str">
        <f aca="false">IF(C418="","",IFERROR(INDEX(CLIENTES!$H$6:$H$305,MATCH(C418,CLIENTES!$A$6:$A$305,0)),""))</f>
        <v/>
      </c>
      <c r="AT418" s="0" t="str">
        <f aca="false">IF(AND(LEFT(P418,5)="AVISO",T418&lt;&gt;"Presentado",ISNUMBER(Q418)),Q418,"")</f>
        <v/>
      </c>
      <c r="AU418" s="27" t="n">
        <f aca="false">IF(AND(D418="XVI - Activos virtuales (PSAV): operación de intercambio/transferencia",M418="Sí",ISNUMBER(AE418)),IF(AK418&gt;=AE418,1,0),0)</f>
        <v>0</v>
      </c>
      <c r="AV418" s="30" t="n">
        <f aca="false">IF(NOT(ISNUMBER(B418)),CONFIG!$B$4,IFERROR(INDEX(CONFIG!$I$5:$I$14,MATCH(IF(MONTH(B418)=1,YEAR(B418)-1,YEAR(B418)),CONFIG!$H$5:$H$14,0)),CONFIG!$B$4))</f>
        <v>117.31</v>
      </c>
      <c r="AW418" s="27" t="n">
        <f aca="false">IF(AND(LEFT(D418,4)="I - ",ISNUMBER(B418),C418&lt;&gt;""),SUMIFS($E$6:$E$505,$C$6:$C$505,C418,$D$6:$D$505,D418,$B$6:$B$505,"&gt;"&amp;(B418-1),$B$6:$B$505,"&lt;="&amp;B418),0)</f>
        <v>0</v>
      </c>
      <c r="AX418" s="0" t="str">
        <f aca="false">IF(E418="","",IF(AD418="Siempre","AVISO (siempre)",IF(AD418="No aplica","Sin Aviso (sólo preparas: Ley 17 XI)",IF(NOT(ISNUMBER(AE418)),"",IF(AA418&lt;&gt;"ACUMULA",IF(E418&gt;=AE418,IF(AND(D418="XVI - Activos virtuales (PSAV): cobro de contraprestación (comisión) por el servicio",COUNTIFS($C$6:$C$505,C418,$B$6:$B$505,"&gt;="&amp;INT(B418),$B$6:$B$505,"&lt;"&amp;(INT(B418)+1),$AU$6:$AU$505,1)&gt;0),"En el Aviso del inciso a) (R 31 Bis)","AVISO"),"—"),IF(M418&lt;&gt;"Sí","—",IF(AK418&gt;=AE418,IF(AK418=E418,"AVISO","AVISO (acumulado)"),"Acumulando")))))))</f>
        <v/>
      </c>
    </row>
    <row r="419" customFormat="false" ht="15" hidden="false" customHeight="false" outlineLevel="0" collapsed="false">
      <c r="A419" s="9" t="str">
        <f aca="false">IF(E419="","",ROW()-5)</f>
        <v/>
      </c>
      <c r="B419" s="20"/>
      <c r="C419" s="21"/>
      <c r="D419" s="21"/>
      <c r="E419" s="22"/>
      <c r="F419" s="22"/>
      <c r="G419" s="21"/>
      <c r="H419" s="21"/>
      <c r="I419" s="9" t="str">
        <f aca="false">IF(C419="","",IFERROR(INDEX(CLIENTES!$B$6:$B$305,MATCH(C419,CLIENTES!$A$6:$A$305,0)),"⚠ ID no registrado"))</f>
        <v/>
      </c>
      <c r="J419" s="9" t="str">
        <f aca="false">IF(C419="","",IFERROR(INDEX(CLIENTES!$Z$6:$Z$305,MATCH(C419,CLIENTES!$A$6:$A$305,0)),""))</f>
        <v/>
      </c>
      <c r="K419" s="9" t="str">
        <f aca="false">IF(E419="","",IF(AB419="Siempre","Sí",IF(ISNUMBER(AC419),IF(E419&gt;=AC419,"Sí",IF(AW419&gt;=AC419,"Sí (serie 24 h)","No")),"")))</f>
        <v/>
      </c>
      <c r="L419" s="9" t="str">
        <f aca="false">IF(E419="","",AA419)</f>
        <v/>
      </c>
      <c r="M419" s="9" t="str">
        <f aca="false">IF(E419="","",IF(AA419&lt;&gt;"ACUMULA","No aplica",IF(LEFT(K419,2)="Sí","Sí","No")))</f>
        <v/>
      </c>
      <c r="N419" s="23" t="str">
        <f aca="false">IF(M419="Sí",AJ419,"")</f>
        <v/>
      </c>
      <c r="O419" s="24" t="str">
        <f aca="false">IF(M419="Sí",AK419,"")</f>
        <v/>
      </c>
      <c r="P419" s="25" t="str">
        <f aca="false">IF(AND(LEFT(D419,6)="XIV - ",LEFT(AX419,5)="AVISO"),"Pedimento (R 16): no va al SPPLD",AX419)</f>
        <v/>
      </c>
      <c r="Q419" s="23" t="str">
        <f aca="false">IF(LEFT(P419,5)="AVISO",IF(ISNUMBER(B419),DATE(YEAR(B419),MONTH(B419)+1,17),"Falta fecha"),"")</f>
        <v/>
      </c>
      <c r="R419" s="9" t="str">
        <f aca="false">IF(OR(F419="",F419=0),"",IF(ISNUMBER(AG419),IF(F419&gt;=AG419,"PROHIBIDO","Dentro del límite"),"No aplica"))</f>
        <v/>
      </c>
      <c r="S419" s="26" t="str">
        <f aca="false">IF(E419="","",MID(IF(AQ419=1," · Excede el perfil declarado","")&amp;IF(H419="Sí"," · Paga un tercero","")&amp;IF(J419="Alto"," · Cliente de riesgo alto: DDR (RCG 23 Ter 3 y 4)","")&amp;IF(AND(AS419&lt;&gt;"",AS419&lt;&gt;"No",AS419&lt;&gt;0)," · PEP","")&amp;IF(R419="PROHIBIDO"," · Efectivo prohibido: no lo recibas (Art. 32)","")&amp;IF(AR419=1," · ⚠ Fecha fuera de orden","")&amp;IF(LEFT(I419,1)="⚠"," · ⚠ Cliente no registrado","")&amp;IF(D419=""," · ⚠ Falta la actividad","")&amp;IF(AND(LEFT(P419,5)="AVISO",W419="")," · Captura la cifra total con IVA para el Aviso","")&amp;IF(AND(ISNUMBER(W419),W419&lt;E419)," · ⚠ La cifra con IVA es menor que el monto sin IVA",""),4,400))</f>
        <v/>
      </c>
      <c r="T419" s="21"/>
      <c r="U419" s="20"/>
      <c r="V419" s="9" t="str">
        <f aca="false">IF(LEFT(P419,5)&lt;&gt;"AVISO","",IF(T419="Presentado",IF(AND(ISNUMBER(U419),ISNUMBER(Q419),U419&gt;Q419),"Presentado tarde","Presentado"),IF(NOT(ISNUMBER(Q419)),"Falta fecha",IF(Q419&lt;CONFIG!$B$6,"VENCIDO","Vence en "&amp;(Q419-CONFIG!$B$6)&amp;" días"))))</f>
        <v/>
      </c>
      <c r="W419" s="22"/>
      <c r="X419" s="21"/>
      <c r="AA419" s="0" t="str">
        <f aca="false">IF(AM419="","",INDEX(CATÁLOGO!$D$5:$D$39,AM419))</f>
        <v/>
      </c>
      <c r="AB419" s="0" t="str">
        <f aca="false">IF(AM419="","",INDEX(CATÁLOGO!$E$5:$E$39,AM419))</f>
        <v/>
      </c>
      <c r="AC419" s="0" t="str">
        <f aca="false">IF(AB419="","",IF(ISNUMBER(AB419),AB419*AV419,AB419))</f>
        <v/>
      </c>
      <c r="AD419" s="0" t="str">
        <f aca="false">IF(AM419="","",INDEX(CATÁLOGO!$F$5:$F$39,AM419))</f>
        <v/>
      </c>
      <c r="AE419" s="0" t="str">
        <f aca="false">IF(AD419="","",IF(ISNUMBER(AD419),AD419*AV419,AD419))</f>
        <v/>
      </c>
      <c r="AF419" s="0" t="str">
        <f aca="false">IF(AM419="","",INDEX(CATÁLOGO!$G$5:$G$39,AM419))</f>
        <v/>
      </c>
      <c r="AG419" s="0" t="str">
        <f aca="false">IF(AF419="","",IF(ISNUMBER(AF419),AF419*AV419,AF419))</f>
        <v/>
      </c>
      <c r="AH419" s="0" t="str">
        <f aca="false">IF(E419="","",C419&amp;"|"&amp;D419)</f>
        <v/>
      </c>
      <c r="AI419" s="27" t="n">
        <f aca="false">IF(M419&lt;&gt;"Sí",0,SUMPRODUCT(MAX(($AH$5:AH418=AH419)*($M$5:M418="Sí")*ROW($AH$5:AH418))))</f>
        <v>0</v>
      </c>
      <c r="AJ419" s="0" t="str">
        <f aca="false">IF(M419&lt;&gt;"Sí","",IF(AL419=1,B419,INDEX($AJ:$AJ,AI419)))</f>
        <v/>
      </c>
      <c r="AK419" s="0" t="str">
        <f aca="false">IF(M419&lt;&gt;"Sí","",IF(AL419=1,E419,INDEX($AK:$AK,AI419)+E419))</f>
        <v/>
      </c>
      <c r="AL419" s="0" t="str">
        <f aca="false">IF(M419&lt;&gt;"Sí","",IF(AI419=0,1,IF(INDEX($AN:$AN,AI419)=0,1,IF(B419&gt;=EDATE(INDEX($AJ:$AJ,AI419),6),1,0))))</f>
        <v/>
      </c>
      <c r="AM419" s="0" t="str">
        <f aca="false">IF(D419="","",IFERROR(MATCH(D419,CATÁLOGO!$C$5:$C$39,0),""))</f>
        <v/>
      </c>
      <c r="AN419" s="0" t="str">
        <f aca="false">IF(M419&lt;&gt;"Sí","",IF(AND(ISNUMBER(AE419),AK419&gt;=AE419),0,1))</f>
        <v/>
      </c>
      <c r="AO419" s="0" t="str">
        <f aca="false">IF(OR(E419="",C419="",NOT(ISNUMBER(B419))),"",SUMIFS($E$6:$E$505,$C$6:$C$505,C419,$B$6:$B$505,"&gt;="&amp;DATE(YEAR(B419),MONTH(B419),1),$B$6:$B$505,"&lt;"&amp;DATE(YEAR(B419),MONTH(B419)+1,1)))</f>
        <v/>
      </c>
      <c r="AP419" s="0" t="str">
        <f aca="false">IF(C419="","",IFERROR(INDEX(CLIENTES!$M$6:$M$305,MATCH(C419,CLIENTES!$A$6:$A$305,0)),""))</f>
        <v/>
      </c>
      <c r="AQ419" s="27" t="n">
        <f aca="false">IF(AND(ISNUMBER(AO419),ISNUMBER(AP419)),IF(AND(AP419&gt;0,AO419&gt;AP419),1,0),0)</f>
        <v>0</v>
      </c>
      <c r="AR419" s="27" t="n">
        <f aca="false">IF(NOT(ISNUMBER(B419)),0,IF(B419&lt;MAX($B$5:B418),1,0))</f>
        <v>0</v>
      </c>
      <c r="AS419" s="0" t="str">
        <f aca="false">IF(C419="","",IFERROR(INDEX(CLIENTES!$H$6:$H$305,MATCH(C419,CLIENTES!$A$6:$A$305,0)),""))</f>
        <v/>
      </c>
      <c r="AT419" s="0" t="str">
        <f aca="false">IF(AND(LEFT(P419,5)="AVISO",T419&lt;&gt;"Presentado",ISNUMBER(Q419)),Q419,"")</f>
        <v/>
      </c>
      <c r="AU419" s="27" t="n">
        <f aca="false">IF(AND(D419="XVI - Activos virtuales (PSAV): operación de intercambio/transferencia",M419="Sí",ISNUMBER(AE419)),IF(AK419&gt;=AE419,1,0),0)</f>
        <v>0</v>
      </c>
      <c r="AV419" s="30" t="n">
        <f aca="false">IF(NOT(ISNUMBER(B419)),CONFIG!$B$4,IFERROR(INDEX(CONFIG!$I$5:$I$14,MATCH(IF(MONTH(B419)=1,YEAR(B419)-1,YEAR(B419)),CONFIG!$H$5:$H$14,0)),CONFIG!$B$4))</f>
        <v>117.31</v>
      </c>
      <c r="AW419" s="27" t="n">
        <f aca="false">IF(AND(LEFT(D419,4)="I - ",ISNUMBER(B419),C419&lt;&gt;""),SUMIFS($E$6:$E$505,$C$6:$C$505,C419,$D$6:$D$505,D419,$B$6:$B$505,"&gt;"&amp;(B419-1),$B$6:$B$505,"&lt;="&amp;B419),0)</f>
        <v>0</v>
      </c>
      <c r="AX419" s="0" t="str">
        <f aca="false">IF(E419="","",IF(AD419="Siempre","AVISO (siempre)",IF(AD419="No aplica","Sin Aviso (sólo preparas: Ley 17 XI)",IF(NOT(ISNUMBER(AE419)),"",IF(AA419&lt;&gt;"ACUMULA",IF(E419&gt;=AE419,IF(AND(D419="XVI - Activos virtuales (PSAV): cobro de contraprestación (comisión) por el servicio",COUNTIFS($C$6:$C$505,C419,$B$6:$B$505,"&gt;="&amp;INT(B419),$B$6:$B$505,"&lt;"&amp;(INT(B419)+1),$AU$6:$AU$505,1)&gt;0),"En el Aviso del inciso a) (R 31 Bis)","AVISO"),"—"),IF(M419&lt;&gt;"Sí","—",IF(AK419&gt;=AE419,IF(AK419=E419,"AVISO","AVISO (acumulado)"),"Acumulando")))))))</f>
        <v/>
      </c>
    </row>
    <row r="420" customFormat="false" ht="15" hidden="false" customHeight="false" outlineLevel="0" collapsed="false">
      <c r="A420" s="9" t="str">
        <f aca="false">IF(E420="","",ROW()-5)</f>
        <v/>
      </c>
      <c r="B420" s="20"/>
      <c r="C420" s="21"/>
      <c r="D420" s="21"/>
      <c r="E420" s="22"/>
      <c r="F420" s="22"/>
      <c r="G420" s="21"/>
      <c r="H420" s="21"/>
      <c r="I420" s="9" t="str">
        <f aca="false">IF(C420="","",IFERROR(INDEX(CLIENTES!$B$6:$B$305,MATCH(C420,CLIENTES!$A$6:$A$305,0)),"⚠ ID no registrado"))</f>
        <v/>
      </c>
      <c r="J420" s="9" t="str">
        <f aca="false">IF(C420="","",IFERROR(INDEX(CLIENTES!$Z$6:$Z$305,MATCH(C420,CLIENTES!$A$6:$A$305,0)),""))</f>
        <v/>
      </c>
      <c r="K420" s="9" t="str">
        <f aca="false">IF(E420="","",IF(AB420="Siempre","Sí",IF(ISNUMBER(AC420),IF(E420&gt;=AC420,"Sí",IF(AW420&gt;=AC420,"Sí (serie 24 h)","No")),"")))</f>
        <v/>
      </c>
      <c r="L420" s="9" t="str">
        <f aca="false">IF(E420="","",AA420)</f>
        <v/>
      </c>
      <c r="M420" s="9" t="str">
        <f aca="false">IF(E420="","",IF(AA420&lt;&gt;"ACUMULA","No aplica",IF(LEFT(K420,2)="Sí","Sí","No")))</f>
        <v/>
      </c>
      <c r="N420" s="23" t="str">
        <f aca="false">IF(M420="Sí",AJ420,"")</f>
        <v/>
      </c>
      <c r="O420" s="24" t="str">
        <f aca="false">IF(M420="Sí",AK420,"")</f>
        <v/>
      </c>
      <c r="P420" s="25" t="str">
        <f aca="false">IF(AND(LEFT(D420,6)="XIV - ",LEFT(AX420,5)="AVISO"),"Pedimento (R 16): no va al SPPLD",AX420)</f>
        <v/>
      </c>
      <c r="Q420" s="23" t="str">
        <f aca="false">IF(LEFT(P420,5)="AVISO",IF(ISNUMBER(B420),DATE(YEAR(B420),MONTH(B420)+1,17),"Falta fecha"),"")</f>
        <v/>
      </c>
      <c r="R420" s="9" t="str">
        <f aca="false">IF(OR(F420="",F420=0),"",IF(ISNUMBER(AG420),IF(F420&gt;=AG420,"PROHIBIDO","Dentro del límite"),"No aplica"))</f>
        <v/>
      </c>
      <c r="S420" s="26" t="str">
        <f aca="false">IF(E420="","",MID(IF(AQ420=1," · Excede el perfil declarado","")&amp;IF(H420="Sí"," · Paga un tercero","")&amp;IF(J420="Alto"," · Cliente de riesgo alto: DDR (RCG 23 Ter 3 y 4)","")&amp;IF(AND(AS420&lt;&gt;"",AS420&lt;&gt;"No",AS420&lt;&gt;0)," · PEP","")&amp;IF(R420="PROHIBIDO"," · Efectivo prohibido: no lo recibas (Art. 32)","")&amp;IF(AR420=1," · ⚠ Fecha fuera de orden","")&amp;IF(LEFT(I420,1)="⚠"," · ⚠ Cliente no registrado","")&amp;IF(D420=""," · ⚠ Falta la actividad","")&amp;IF(AND(LEFT(P420,5)="AVISO",W420="")," · Captura la cifra total con IVA para el Aviso","")&amp;IF(AND(ISNUMBER(W420),W420&lt;E420)," · ⚠ La cifra con IVA es menor que el monto sin IVA",""),4,400))</f>
        <v/>
      </c>
      <c r="T420" s="21"/>
      <c r="U420" s="20"/>
      <c r="V420" s="9" t="str">
        <f aca="false">IF(LEFT(P420,5)&lt;&gt;"AVISO","",IF(T420="Presentado",IF(AND(ISNUMBER(U420),ISNUMBER(Q420),U420&gt;Q420),"Presentado tarde","Presentado"),IF(NOT(ISNUMBER(Q420)),"Falta fecha",IF(Q420&lt;CONFIG!$B$6,"VENCIDO","Vence en "&amp;(Q420-CONFIG!$B$6)&amp;" días"))))</f>
        <v/>
      </c>
      <c r="W420" s="22"/>
      <c r="X420" s="21"/>
      <c r="AA420" s="0" t="str">
        <f aca="false">IF(AM420="","",INDEX(CATÁLOGO!$D$5:$D$39,AM420))</f>
        <v/>
      </c>
      <c r="AB420" s="0" t="str">
        <f aca="false">IF(AM420="","",INDEX(CATÁLOGO!$E$5:$E$39,AM420))</f>
        <v/>
      </c>
      <c r="AC420" s="0" t="str">
        <f aca="false">IF(AB420="","",IF(ISNUMBER(AB420),AB420*AV420,AB420))</f>
        <v/>
      </c>
      <c r="AD420" s="0" t="str">
        <f aca="false">IF(AM420="","",INDEX(CATÁLOGO!$F$5:$F$39,AM420))</f>
        <v/>
      </c>
      <c r="AE420" s="0" t="str">
        <f aca="false">IF(AD420="","",IF(ISNUMBER(AD420),AD420*AV420,AD420))</f>
        <v/>
      </c>
      <c r="AF420" s="0" t="str">
        <f aca="false">IF(AM420="","",INDEX(CATÁLOGO!$G$5:$G$39,AM420))</f>
        <v/>
      </c>
      <c r="AG420" s="0" t="str">
        <f aca="false">IF(AF420="","",IF(ISNUMBER(AF420),AF420*AV420,AF420))</f>
        <v/>
      </c>
      <c r="AH420" s="0" t="str">
        <f aca="false">IF(E420="","",C420&amp;"|"&amp;D420)</f>
        <v/>
      </c>
      <c r="AI420" s="27" t="n">
        <f aca="false">IF(M420&lt;&gt;"Sí",0,SUMPRODUCT(MAX(($AH$5:AH419=AH420)*($M$5:M419="Sí")*ROW($AH$5:AH419))))</f>
        <v>0</v>
      </c>
      <c r="AJ420" s="0" t="str">
        <f aca="false">IF(M420&lt;&gt;"Sí","",IF(AL420=1,B420,INDEX($AJ:$AJ,AI420)))</f>
        <v/>
      </c>
      <c r="AK420" s="0" t="str">
        <f aca="false">IF(M420&lt;&gt;"Sí","",IF(AL420=1,E420,INDEX($AK:$AK,AI420)+E420))</f>
        <v/>
      </c>
      <c r="AL420" s="0" t="str">
        <f aca="false">IF(M420&lt;&gt;"Sí","",IF(AI420=0,1,IF(INDEX($AN:$AN,AI420)=0,1,IF(B420&gt;=EDATE(INDEX($AJ:$AJ,AI420),6),1,0))))</f>
        <v/>
      </c>
      <c r="AM420" s="0" t="str">
        <f aca="false">IF(D420="","",IFERROR(MATCH(D420,CATÁLOGO!$C$5:$C$39,0),""))</f>
        <v/>
      </c>
      <c r="AN420" s="0" t="str">
        <f aca="false">IF(M420&lt;&gt;"Sí","",IF(AND(ISNUMBER(AE420),AK420&gt;=AE420),0,1))</f>
        <v/>
      </c>
      <c r="AO420" s="0" t="str">
        <f aca="false">IF(OR(E420="",C420="",NOT(ISNUMBER(B420))),"",SUMIFS($E$6:$E$505,$C$6:$C$505,C420,$B$6:$B$505,"&gt;="&amp;DATE(YEAR(B420),MONTH(B420),1),$B$6:$B$505,"&lt;"&amp;DATE(YEAR(B420),MONTH(B420)+1,1)))</f>
        <v/>
      </c>
      <c r="AP420" s="0" t="str">
        <f aca="false">IF(C420="","",IFERROR(INDEX(CLIENTES!$M$6:$M$305,MATCH(C420,CLIENTES!$A$6:$A$305,0)),""))</f>
        <v/>
      </c>
      <c r="AQ420" s="27" t="n">
        <f aca="false">IF(AND(ISNUMBER(AO420),ISNUMBER(AP420)),IF(AND(AP420&gt;0,AO420&gt;AP420),1,0),0)</f>
        <v>0</v>
      </c>
      <c r="AR420" s="27" t="n">
        <f aca="false">IF(NOT(ISNUMBER(B420)),0,IF(B420&lt;MAX($B$5:B419),1,0))</f>
        <v>0</v>
      </c>
      <c r="AS420" s="0" t="str">
        <f aca="false">IF(C420="","",IFERROR(INDEX(CLIENTES!$H$6:$H$305,MATCH(C420,CLIENTES!$A$6:$A$305,0)),""))</f>
        <v/>
      </c>
      <c r="AT420" s="0" t="str">
        <f aca="false">IF(AND(LEFT(P420,5)="AVISO",T420&lt;&gt;"Presentado",ISNUMBER(Q420)),Q420,"")</f>
        <v/>
      </c>
      <c r="AU420" s="27" t="n">
        <f aca="false">IF(AND(D420="XVI - Activos virtuales (PSAV): operación de intercambio/transferencia",M420="Sí",ISNUMBER(AE420)),IF(AK420&gt;=AE420,1,0),0)</f>
        <v>0</v>
      </c>
      <c r="AV420" s="30" t="n">
        <f aca="false">IF(NOT(ISNUMBER(B420)),CONFIG!$B$4,IFERROR(INDEX(CONFIG!$I$5:$I$14,MATCH(IF(MONTH(B420)=1,YEAR(B420)-1,YEAR(B420)),CONFIG!$H$5:$H$14,0)),CONFIG!$B$4))</f>
        <v>117.31</v>
      </c>
      <c r="AW420" s="27" t="n">
        <f aca="false">IF(AND(LEFT(D420,4)="I - ",ISNUMBER(B420),C420&lt;&gt;""),SUMIFS($E$6:$E$505,$C$6:$C$505,C420,$D$6:$D$505,D420,$B$6:$B$505,"&gt;"&amp;(B420-1),$B$6:$B$505,"&lt;="&amp;B420),0)</f>
        <v>0</v>
      </c>
      <c r="AX420" s="0" t="str">
        <f aca="false">IF(E420="","",IF(AD420="Siempre","AVISO (siempre)",IF(AD420="No aplica","Sin Aviso (sólo preparas: Ley 17 XI)",IF(NOT(ISNUMBER(AE420)),"",IF(AA420&lt;&gt;"ACUMULA",IF(E420&gt;=AE420,IF(AND(D420="XVI - Activos virtuales (PSAV): cobro de contraprestación (comisión) por el servicio",COUNTIFS($C$6:$C$505,C420,$B$6:$B$505,"&gt;="&amp;INT(B420),$B$6:$B$505,"&lt;"&amp;(INT(B420)+1),$AU$6:$AU$505,1)&gt;0),"En el Aviso del inciso a) (R 31 Bis)","AVISO"),"—"),IF(M420&lt;&gt;"Sí","—",IF(AK420&gt;=AE420,IF(AK420=E420,"AVISO","AVISO (acumulado)"),"Acumulando")))))))</f>
        <v/>
      </c>
    </row>
    <row r="421" customFormat="false" ht="15" hidden="false" customHeight="false" outlineLevel="0" collapsed="false">
      <c r="A421" s="9" t="str">
        <f aca="false">IF(E421="","",ROW()-5)</f>
        <v/>
      </c>
      <c r="B421" s="20"/>
      <c r="C421" s="21"/>
      <c r="D421" s="21"/>
      <c r="E421" s="22"/>
      <c r="F421" s="22"/>
      <c r="G421" s="21"/>
      <c r="H421" s="21"/>
      <c r="I421" s="9" t="str">
        <f aca="false">IF(C421="","",IFERROR(INDEX(CLIENTES!$B$6:$B$305,MATCH(C421,CLIENTES!$A$6:$A$305,0)),"⚠ ID no registrado"))</f>
        <v/>
      </c>
      <c r="J421" s="9" t="str">
        <f aca="false">IF(C421="","",IFERROR(INDEX(CLIENTES!$Z$6:$Z$305,MATCH(C421,CLIENTES!$A$6:$A$305,0)),""))</f>
        <v/>
      </c>
      <c r="K421" s="9" t="str">
        <f aca="false">IF(E421="","",IF(AB421="Siempre","Sí",IF(ISNUMBER(AC421),IF(E421&gt;=AC421,"Sí",IF(AW421&gt;=AC421,"Sí (serie 24 h)","No")),"")))</f>
        <v/>
      </c>
      <c r="L421" s="9" t="str">
        <f aca="false">IF(E421="","",AA421)</f>
        <v/>
      </c>
      <c r="M421" s="9" t="str">
        <f aca="false">IF(E421="","",IF(AA421&lt;&gt;"ACUMULA","No aplica",IF(LEFT(K421,2)="Sí","Sí","No")))</f>
        <v/>
      </c>
      <c r="N421" s="23" t="str">
        <f aca="false">IF(M421="Sí",AJ421,"")</f>
        <v/>
      </c>
      <c r="O421" s="24" t="str">
        <f aca="false">IF(M421="Sí",AK421,"")</f>
        <v/>
      </c>
      <c r="P421" s="25" t="str">
        <f aca="false">IF(AND(LEFT(D421,6)="XIV - ",LEFT(AX421,5)="AVISO"),"Pedimento (R 16): no va al SPPLD",AX421)</f>
        <v/>
      </c>
      <c r="Q421" s="23" t="str">
        <f aca="false">IF(LEFT(P421,5)="AVISO",IF(ISNUMBER(B421),DATE(YEAR(B421),MONTH(B421)+1,17),"Falta fecha"),"")</f>
        <v/>
      </c>
      <c r="R421" s="9" t="str">
        <f aca="false">IF(OR(F421="",F421=0),"",IF(ISNUMBER(AG421),IF(F421&gt;=AG421,"PROHIBIDO","Dentro del límite"),"No aplica"))</f>
        <v/>
      </c>
      <c r="S421" s="26" t="str">
        <f aca="false">IF(E421="","",MID(IF(AQ421=1," · Excede el perfil declarado","")&amp;IF(H421="Sí"," · Paga un tercero","")&amp;IF(J421="Alto"," · Cliente de riesgo alto: DDR (RCG 23 Ter 3 y 4)","")&amp;IF(AND(AS421&lt;&gt;"",AS421&lt;&gt;"No",AS421&lt;&gt;0)," · PEP","")&amp;IF(R421="PROHIBIDO"," · Efectivo prohibido: no lo recibas (Art. 32)","")&amp;IF(AR421=1," · ⚠ Fecha fuera de orden","")&amp;IF(LEFT(I421,1)="⚠"," · ⚠ Cliente no registrado","")&amp;IF(D421=""," · ⚠ Falta la actividad","")&amp;IF(AND(LEFT(P421,5)="AVISO",W421="")," · Captura la cifra total con IVA para el Aviso","")&amp;IF(AND(ISNUMBER(W421),W421&lt;E421)," · ⚠ La cifra con IVA es menor que el monto sin IVA",""),4,400))</f>
        <v/>
      </c>
      <c r="T421" s="21"/>
      <c r="U421" s="20"/>
      <c r="V421" s="9" t="str">
        <f aca="false">IF(LEFT(P421,5)&lt;&gt;"AVISO","",IF(T421="Presentado",IF(AND(ISNUMBER(U421),ISNUMBER(Q421),U421&gt;Q421),"Presentado tarde","Presentado"),IF(NOT(ISNUMBER(Q421)),"Falta fecha",IF(Q421&lt;CONFIG!$B$6,"VENCIDO","Vence en "&amp;(Q421-CONFIG!$B$6)&amp;" días"))))</f>
        <v/>
      </c>
      <c r="W421" s="22"/>
      <c r="X421" s="21"/>
      <c r="AA421" s="0" t="str">
        <f aca="false">IF(AM421="","",INDEX(CATÁLOGO!$D$5:$D$39,AM421))</f>
        <v/>
      </c>
      <c r="AB421" s="0" t="str">
        <f aca="false">IF(AM421="","",INDEX(CATÁLOGO!$E$5:$E$39,AM421))</f>
        <v/>
      </c>
      <c r="AC421" s="0" t="str">
        <f aca="false">IF(AB421="","",IF(ISNUMBER(AB421),AB421*AV421,AB421))</f>
        <v/>
      </c>
      <c r="AD421" s="0" t="str">
        <f aca="false">IF(AM421="","",INDEX(CATÁLOGO!$F$5:$F$39,AM421))</f>
        <v/>
      </c>
      <c r="AE421" s="0" t="str">
        <f aca="false">IF(AD421="","",IF(ISNUMBER(AD421),AD421*AV421,AD421))</f>
        <v/>
      </c>
      <c r="AF421" s="0" t="str">
        <f aca="false">IF(AM421="","",INDEX(CATÁLOGO!$G$5:$G$39,AM421))</f>
        <v/>
      </c>
      <c r="AG421" s="0" t="str">
        <f aca="false">IF(AF421="","",IF(ISNUMBER(AF421),AF421*AV421,AF421))</f>
        <v/>
      </c>
      <c r="AH421" s="0" t="str">
        <f aca="false">IF(E421="","",C421&amp;"|"&amp;D421)</f>
        <v/>
      </c>
      <c r="AI421" s="27" t="n">
        <f aca="false">IF(M421&lt;&gt;"Sí",0,SUMPRODUCT(MAX(($AH$5:AH420=AH421)*($M$5:M420="Sí")*ROW($AH$5:AH420))))</f>
        <v>0</v>
      </c>
      <c r="AJ421" s="0" t="str">
        <f aca="false">IF(M421&lt;&gt;"Sí","",IF(AL421=1,B421,INDEX($AJ:$AJ,AI421)))</f>
        <v/>
      </c>
      <c r="AK421" s="0" t="str">
        <f aca="false">IF(M421&lt;&gt;"Sí","",IF(AL421=1,E421,INDEX($AK:$AK,AI421)+E421))</f>
        <v/>
      </c>
      <c r="AL421" s="0" t="str">
        <f aca="false">IF(M421&lt;&gt;"Sí","",IF(AI421=0,1,IF(INDEX($AN:$AN,AI421)=0,1,IF(B421&gt;=EDATE(INDEX($AJ:$AJ,AI421),6),1,0))))</f>
        <v/>
      </c>
      <c r="AM421" s="0" t="str">
        <f aca="false">IF(D421="","",IFERROR(MATCH(D421,CATÁLOGO!$C$5:$C$39,0),""))</f>
        <v/>
      </c>
      <c r="AN421" s="0" t="str">
        <f aca="false">IF(M421&lt;&gt;"Sí","",IF(AND(ISNUMBER(AE421),AK421&gt;=AE421),0,1))</f>
        <v/>
      </c>
      <c r="AO421" s="0" t="str">
        <f aca="false">IF(OR(E421="",C421="",NOT(ISNUMBER(B421))),"",SUMIFS($E$6:$E$505,$C$6:$C$505,C421,$B$6:$B$505,"&gt;="&amp;DATE(YEAR(B421),MONTH(B421),1),$B$6:$B$505,"&lt;"&amp;DATE(YEAR(B421),MONTH(B421)+1,1)))</f>
        <v/>
      </c>
      <c r="AP421" s="0" t="str">
        <f aca="false">IF(C421="","",IFERROR(INDEX(CLIENTES!$M$6:$M$305,MATCH(C421,CLIENTES!$A$6:$A$305,0)),""))</f>
        <v/>
      </c>
      <c r="AQ421" s="27" t="n">
        <f aca="false">IF(AND(ISNUMBER(AO421),ISNUMBER(AP421)),IF(AND(AP421&gt;0,AO421&gt;AP421),1,0),0)</f>
        <v>0</v>
      </c>
      <c r="AR421" s="27" t="n">
        <f aca="false">IF(NOT(ISNUMBER(B421)),0,IF(B421&lt;MAX($B$5:B420),1,0))</f>
        <v>0</v>
      </c>
      <c r="AS421" s="0" t="str">
        <f aca="false">IF(C421="","",IFERROR(INDEX(CLIENTES!$H$6:$H$305,MATCH(C421,CLIENTES!$A$6:$A$305,0)),""))</f>
        <v/>
      </c>
      <c r="AT421" s="0" t="str">
        <f aca="false">IF(AND(LEFT(P421,5)="AVISO",T421&lt;&gt;"Presentado",ISNUMBER(Q421)),Q421,"")</f>
        <v/>
      </c>
      <c r="AU421" s="27" t="n">
        <f aca="false">IF(AND(D421="XVI - Activos virtuales (PSAV): operación de intercambio/transferencia",M421="Sí",ISNUMBER(AE421)),IF(AK421&gt;=AE421,1,0),0)</f>
        <v>0</v>
      </c>
      <c r="AV421" s="30" t="n">
        <f aca="false">IF(NOT(ISNUMBER(B421)),CONFIG!$B$4,IFERROR(INDEX(CONFIG!$I$5:$I$14,MATCH(IF(MONTH(B421)=1,YEAR(B421)-1,YEAR(B421)),CONFIG!$H$5:$H$14,0)),CONFIG!$B$4))</f>
        <v>117.31</v>
      </c>
      <c r="AW421" s="27" t="n">
        <f aca="false">IF(AND(LEFT(D421,4)="I - ",ISNUMBER(B421),C421&lt;&gt;""),SUMIFS($E$6:$E$505,$C$6:$C$505,C421,$D$6:$D$505,D421,$B$6:$B$505,"&gt;"&amp;(B421-1),$B$6:$B$505,"&lt;="&amp;B421),0)</f>
        <v>0</v>
      </c>
      <c r="AX421" s="0" t="str">
        <f aca="false">IF(E421="","",IF(AD421="Siempre","AVISO (siempre)",IF(AD421="No aplica","Sin Aviso (sólo preparas: Ley 17 XI)",IF(NOT(ISNUMBER(AE421)),"",IF(AA421&lt;&gt;"ACUMULA",IF(E421&gt;=AE421,IF(AND(D421="XVI - Activos virtuales (PSAV): cobro de contraprestación (comisión) por el servicio",COUNTIFS($C$6:$C$505,C421,$B$6:$B$505,"&gt;="&amp;INT(B421),$B$6:$B$505,"&lt;"&amp;(INT(B421)+1),$AU$6:$AU$505,1)&gt;0),"En el Aviso del inciso a) (R 31 Bis)","AVISO"),"—"),IF(M421&lt;&gt;"Sí","—",IF(AK421&gt;=AE421,IF(AK421=E421,"AVISO","AVISO (acumulado)"),"Acumulando")))))))</f>
        <v/>
      </c>
    </row>
    <row r="422" customFormat="false" ht="15" hidden="false" customHeight="false" outlineLevel="0" collapsed="false">
      <c r="A422" s="9" t="str">
        <f aca="false">IF(E422="","",ROW()-5)</f>
        <v/>
      </c>
      <c r="B422" s="20"/>
      <c r="C422" s="21"/>
      <c r="D422" s="21"/>
      <c r="E422" s="22"/>
      <c r="F422" s="22"/>
      <c r="G422" s="21"/>
      <c r="H422" s="21"/>
      <c r="I422" s="9" t="str">
        <f aca="false">IF(C422="","",IFERROR(INDEX(CLIENTES!$B$6:$B$305,MATCH(C422,CLIENTES!$A$6:$A$305,0)),"⚠ ID no registrado"))</f>
        <v/>
      </c>
      <c r="J422" s="9" t="str">
        <f aca="false">IF(C422="","",IFERROR(INDEX(CLIENTES!$Z$6:$Z$305,MATCH(C422,CLIENTES!$A$6:$A$305,0)),""))</f>
        <v/>
      </c>
      <c r="K422" s="9" t="str">
        <f aca="false">IF(E422="","",IF(AB422="Siempre","Sí",IF(ISNUMBER(AC422),IF(E422&gt;=AC422,"Sí",IF(AW422&gt;=AC422,"Sí (serie 24 h)","No")),"")))</f>
        <v/>
      </c>
      <c r="L422" s="9" t="str">
        <f aca="false">IF(E422="","",AA422)</f>
        <v/>
      </c>
      <c r="M422" s="9" t="str">
        <f aca="false">IF(E422="","",IF(AA422&lt;&gt;"ACUMULA","No aplica",IF(LEFT(K422,2)="Sí","Sí","No")))</f>
        <v/>
      </c>
      <c r="N422" s="23" t="str">
        <f aca="false">IF(M422="Sí",AJ422,"")</f>
        <v/>
      </c>
      <c r="O422" s="24" t="str">
        <f aca="false">IF(M422="Sí",AK422,"")</f>
        <v/>
      </c>
      <c r="P422" s="25" t="str">
        <f aca="false">IF(AND(LEFT(D422,6)="XIV - ",LEFT(AX422,5)="AVISO"),"Pedimento (R 16): no va al SPPLD",AX422)</f>
        <v/>
      </c>
      <c r="Q422" s="23" t="str">
        <f aca="false">IF(LEFT(P422,5)="AVISO",IF(ISNUMBER(B422),DATE(YEAR(B422),MONTH(B422)+1,17),"Falta fecha"),"")</f>
        <v/>
      </c>
      <c r="R422" s="9" t="str">
        <f aca="false">IF(OR(F422="",F422=0),"",IF(ISNUMBER(AG422),IF(F422&gt;=AG422,"PROHIBIDO","Dentro del límite"),"No aplica"))</f>
        <v/>
      </c>
      <c r="S422" s="26" t="str">
        <f aca="false">IF(E422="","",MID(IF(AQ422=1," · Excede el perfil declarado","")&amp;IF(H422="Sí"," · Paga un tercero","")&amp;IF(J422="Alto"," · Cliente de riesgo alto: DDR (RCG 23 Ter 3 y 4)","")&amp;IF(AND(AS422&lt;&gt;"",AS422&lt;&gt;"No",AS422&lt;&gt;0)," · PEP","")&amp;IF(R422="PROHIBIDO"," · Efectivo prohibido: no lo recibas (Art. 32)","")&amp;IF(AR422=1," · ⚠ Fecha fuera de orden","")&amp;IF(LEFT(I422,1)="⚠"," · ⚠ Cliente no registrado","")&amp;IF(D422=""," · ⚠ Falta la actividad","")&amp;IF(AND(LEFT(P422,5)="AVISO",W422="")," · Captura la cifra total con IVA para el Aviso","")&amp;IF(AND(ISNUMBER(W422),W422&lt;E422)," · ⚠ La cifra con IVA es menor que el monto sin IVA",""),4,400))</f>
        <v/>
      </c>
      <c r="T422" s="21"/>
      <c r="U422" s="20"/>
      <c r="V422" s="9" t="str">
        <f aca="false">IF(LEFT(P422,5)&lt;&gt;"AVISO","",IF(T422="Presentado",IF(AND(ISNUMBER(U422),ISNUMBER(Q422),U422&gt;Q422),"Presentado tarde","Presentado"),IF(NOT(ISNUMBER(Q422)),"Falta fecha",IF(Q422&lt;CONFIG!$B$6,"VENCIDO","Vence en "&amp;(Q422-CONFIG!$B$6)&amp;" días"))))</f>
        <v/>
      </c>
      <c r="W422" s="22"/>
      <c r="X422" s="21"/>
      <c r="AA422" s="0" t="str">
        <f aca="false">IF(AM422="","",INDEX(CATÁLOGO!$D$5:$D$39,AM422))</f>
        <v/>
      </c>
      <c r="AB422" s="0" t="str">
        <f aca="false">IF(AM422="","",INDEX(CATÁLOGO!$E$5:$E$39,AM422))</f>
        <v/>
      </c>
      <c r="AC422" s="0" t="str">
        <f aca="false">IF(AB422="","",IF(ISNUMBER(AB422),AB422*AV422,AB422))</f>
        <v/>
      </c>
      <c r="AD422" s="0" t="str">
        <f aca="false">IF(AM422="","",INDEX(CATÁLOGO!$F$5:$F$39,AM422))</f>
        <v/>
      </c>
      <c r="AE422" s="0" t="str">
        <f aca="false">IF(AD422="","",IF(ISNUMBER(AD422),AD422*AV422,AD422))</f>
        <v/>
      </c>
      <c r="AF422" s="0" t="str">
        <f aca="false">IF(AM422="","",INDEX(CATÁLOGO!$G$5:$G$39,AM422))</f>
        <v/>
      </c>
      <c r="AG422" s="0" t="str">
        <f aca="false">IF(AF422="","",IF(ISNUMBER(AF422),AF422*AV422,AF422))</f>
        <v/>
      </c>
      <c r="AH422" s="0" t="str">
        <f aca="false">IF(E422="","",C422&amp;"|"&amp;D422)</f>
        <v/>
      </c>
      <c r="AI422" s="27" t="n">
        <f aca="false">IF(M422&lt;&gt;"Sí",0,SUMPRODUCT(MAX(($AH$5:AH421=AH422)*($M$5:M421="Sí")*ROW($AH$5:AH421))))</f>
        <v>0</v>
      </c>
      <c r="AJ422" s="0" t="str">
        <f aca="false">IF(M422&lt;&gt;"Sí","",IF(AL422=1,B422,INDEX($AJ:$AJ,AI422)))</f>
        <v/>
      </c>
      <c r="AK422" s="0" t="str">
        <f aca="false">IF(M422&lt;&gt;"Sí","",IF(AL422=1,E422,INDEX($AK:$AK,AI422)+E422))</f>
        <v/>
      </c>
      <c r="AL422" s="0" t="str">
        <f aca="false">IF(M422&lt;&gt;"Sí","",IF(AI422=0,1,IF(INDEX($AN:$AN,AI422)=0,1,IF(B422&gt;=EDATE(INDEX($AJ:$AJ,AI422),6),1,0))))</f>
        <v/>
      </c>
      <c r="AM422" s="0" t="str">
        <f aca="false">IF(D422="","",IFERROR(MATCH(D422,CATÁLOGO!$C$5:$C$39,0),""))</f>
        <v/>
      </c>
      <c r="AN422" s="0" t="str">
        <f aca="false">IF(M422&lt;&gt;"Sí","",IF(AND(ISNUMBER(AE422),AK422&gt;=AE422),0,1))</f>
        <v/>
      </c>
      <c r="AO422" s="0" t="str">
        <f aca="false">IF(OR(E422="",C422="",NOT(ISNUMBER(B422))),"",SUMIFS($E$6:$E$505,$C$6:$C$505,C422,$B$6:$B$505,"&gt;="&amp;DATE(YEAR(B422),MONTH(B422),1),$B$6:$B$505,"&lt;"&amp;DATE(YEAR(B422),MONTH(B422)+1,1)))</f>
        <v/>
      </c>
      <c r="AP422" s="0" t="str">
        <f aca="false">IF(C422="","",IFERROR(INDEX(CLIENTES!$M$6:$M$305,MATCH(C422,CLIENTES!$A$6:$A$305,0)),""))</f>
        <v/>
      </c>
      <c r="AQ422" s="27" t="n">
        <f aca="false">IF(AND(ISNUMBER(AO422),ISNUMBER(AP422)),IF(AND(AP422&gt;0,AO422&gt;AP422),1,0),0)</f>
        <v>0</v>
      </c>
      <c r="AR422" s="27" t="n">
        <f aca="false">IF(NOT(ISNUMBER(B422)),0,IF(B422&lt;MAX($B$5:B421),1,0))</f>
        <v>0</v>
      </c>
      <c r="AS422" s="0" t="str">
        <f aca="false">IF(C422="","",IFERROR(INDEX(CLIENTES!$H$6:$H$305,MATCH(C422,CLIENTES!$A$6:$A$305,0)),""))</f>
        <v/>
      </c>
      <c r="AT422" s="0" t="str">
        <f aca="false">IF(AND(LEFT(P422,5)="AVISO",T422&lt;&gt;"Presentado",ISNUMBER(Q422)),Q422,"")</f>
        <v/>
      </c>
      <c r="AU422" s="27" t="n">
        <f aca="false">IF(AND(D422="XVI - Activos virtuales (PSAV): operación de intercambio/transferencia",M422="Sí",ISNUMBER(AE422)),IF(AK422&gt;=AE422,1,0),0)</f>
        <v>0</v>
      </c>
      <c r="AV422" s="30" t="n">
        <f aca="false">IF(NOT(ISNUMBER(B422)),CONFIG!$B$4,IFERROR(INDEX(CONFIG!$I$5:$I$14,MATCH(IF(MONTH(B422)=1,YEAR(B422)-1,YEAR(B422)),CONFIG!$H$5:$H$14,0)),CONFIG!$B$4))</f>
        <v>117.31</v>
      </c>
      <c r="AW422" s="27" t="n">
        <f aca="false">IF(AND(LEFT(D422,4)="I - ",ISNUMBER(B422),C422&lt;&gt;""),SUMIFS($E$6:$E$505,$C$6:$C$505,C422,$D$6:$D$505,D422,$B$6:$B$505,"&gt;"&amp;(B422-1),$B$6:$B$505,"&lt;="&amp;B422),0)</f>
        <v>0</v>
      </c>
      <c r="AX422" s="0" t="str">
        <f aca="false">IF(E422="","",IF(AD422="Siempre","AVISO (siempre)",IF(AD422="No aplica","Sin Aviso (sólo preparas: Ley 17 XI)",IF(NOT(ISNUMBER(AE422)),"",IF(AA422&lt;&gt;"ACUMULA",IF(E422&gt;=AE422,IF(AND(D422="XVI - Activos virtuales (PSAV): cobro de contraprestación (comisión) por el servicio",COUNTIFS($C$6:$C$505,C422,$B$6:$B$505,"&gt;="&amp;INT(B422),$B$6:$B$505,"&lt;"&amp;(INT(B422)+1),$AU$6:$AU$505,1)&gt;0),"En el Aviso del inciso a) (R 31 Bis)","AVISO"),"—"),IF(M422&lt;&gt;"Sí","—",IF(AK422&gt;=AE422,IF(AK422=E422,"AVISO","AVISO (acumulado)"),"Acumulando")))))))</f>
        <v/>
      </c>
    </row>
    <row r="423" customFormat="false" ht="15" hidden="false" customHeight="false" outlineLevel="0" collapsed="false">
      <c r="A423" s="9" t="str">
        <f aca="false">IF(E423="","",ROW()-5)</f>
        <v/>
      </c>
      <c r="B423" s="20"/>
      <c r="C423" s="21"/>
      <c r="D423" s="21"/>
      <c r="E423" s="22"/>
      <c r="F423" s="22"/>
      <c r="G423" s="21"/>
      <c r="H423" s="21"/>
      <c r="I423" s="9" t="str">
        <f aca="false">IF(C423="","",IFERROR(INDEX(CLIENTES!$B$6:$B$305,MATCH(C423,CLIENTES!$A$6:$A$305,0)),"⚠ ID no registrado"))</f>
        <v/>
      </c>
      <c r="J423" s="9" t="str">
        <f aca="false">IF(C423="","",IFERROR(INDEX(CLIENTES!$Z$6:$Z$305,MATCH(C423,CLIENTES!$A$6:$A$305,0)),""))</f>
        <v/>
      </c>
      <c r="K423" s="9" t="str">
        <f aca="false">IF(E423="","",IF(AB423="Siempre","Sí",IF(ISNUMBER(AC423),IF(E423&gt;=AC423,"Sí",IF(AW423&gt;=AC423,"Sí (serie 24 h)","No")),"")))</f>
        <v/>
      </c>
      <c r="L423" s="9" t="str">
        <f aca="false">IF(E423="","",AA423)</f>
        <v/>
      </c>
      <c r="M423" s="9" t="str">
        <f aca="false">IF(E423="","",IF(AA423&lt;&gt;"ACUMULA","No aplica",IF(LEFT(K423,2)="Sí","Sí","No")))</f>
        <v/>
      </c>
      <c r="N423" s="23" t="str">
        <f aca="false">IF(M423="Sí",AJ423,"")</f>
        <v/>
      </c>
      <c r="O423" s="24" t="str">
        <f aca="false">IF(M423="Sí",AK423,"")</f>
        <v/>
      </c>
      <c r="P423" s="25" t="str">
        <f aca="false">IF(AND(LEFT(D423,6)="XIV - ",LEFT(AX423,5)="AVISO"),"Pedimento (R 16): no va al SPPLD",AX423)</f>
        <v/>
      </c>
      <c r="Q423" s="23" t="str">
        <f aca="false">IF(LEFT(P423,5)="AVISO",IF(ISNUMBER(B423),DATE(YEAR(B423),MONTH(B423)+1,17),"Falta fecha"),"")</f>
        <v/>
      </c>
      <c r="R423" s="9" t="str">
        <f aca="false">IF(OR(F423="",F423=0),"",IF(ISNUMBER(AG423),IF(F423&gt;=AG423,"PROHIBIDO","Dentro del límite"),"No aplica"))</f>
        <v/>
      </c>
      <c r="S423" s="26" t="str">
        <f aca="false">IF(E423="","",MID(IF(AQ423=1," · Excede el perfil declarado","")&amp;IF(H423="Sí"," · Paga un tercero","")&amp;IF(J423="Alto"," · Cliente de riesgo alto: DDR (RCG 23 Ter 3 y 4)","")&amp;IF(AND(AS423&lt;&gt;"",AS423&lt;&gt;"No",AS423&lt;&gt;0)," · PEP","")&amp;IF(R423="PROHIBIDO"," · Efectivo prohibido: no lo recibas (Art. 32)","")&amp;IF(AR423=1," · ⚠ Fecha fuera de orden","")&amp;IF(LEFT(I423,1)="⚠"," · ⚠ Cliente no registrado","")&amp;IF(D423=""," · ⚠ Falta la actividad","")&amp;IF(AND(LEFT(P423,5)="AVISO",W423="")," · Captura la cifra total con IVA para el Aviso","")&amp;IF(AND(ISNUMBER(W423),W423&lt;E423)," · ⚠ La cifra con IVA es menor que el monto sin IVA",""),4,400))</f>
        <v/>
      </c>
      <c r="T423" s="21"/>
      <c r="U423" s="20"/>
      <c r="V423" s="9" t="str">
        <f aca="false">IF(LEFT(P423,5)&lt;&gt;"AVISO","",IF(T423="Presentado",IF(AND(ISNUMBER(U423),ISNUMBER(Q423),U423&gt;Q423),"Presentado tarde","Presentado"),IF(NOT(ISNUMBER(Q423)),"Falta fecha",IF(Q423&lt;CONFIG!$B$6,"VENCIDO","Vence en "&amp;(Q423-CONFIG!$B$6)&amp;" días"))))</f>
        <v/>
      </c>
      <c r="W423" s="22"/>
      <c r="X423" s="21"/>
      <c r="AA423" s="0" t="str">
        <f aca="false">IF(AM423="","",INDEX(CATÁLOGO!$D$5:$D$39,AM423))</f>
        <v/>
      </c>
      <c r="AB423" s="0" t="str">
        <f aca="false">IF(AM423="","",INDEX(CATÁLOGO!$E$5:$E$39,AM423))</f>
        <v/>
      </c>
      <c r="AC423" s="0" t="str">
        <f aca="false">IF(AB423="","",IF(ISNUMBER(AB423),AB423*AV423,AB423))</f>
        <v/>
      </c>
      <c r="AD423" s="0" t="str">
        <f aca="false">IF(AM423="","",INDEX(CATÁLOGO!$F$5:$F$39,AM423))</f>
        <v/>
      </c>
      <c r="AE423" s="0" t="str">
        <f aca="false">IF(AD423="","",IF(ISNUMBER(AD423),AD423*AV423,AD423))</f>
        <v/>
      </c>
      <c r="AF423" s="0" t="str">
        <f aca="false">IF(AM423="","",INDEX(CATÁLOGO!$G$5:$G$39,AM423))</f>
        <v/>
      </c>
      <c r="AG423" s="0" t="str">
        <f aca="false">IF(AF423="","",IF(ISNUMBER(AF423),AF423*AV423,AF423))</f>
        <v/>
      </c>
      <c r="AH423" s="0" t="str">
        <f aca="false">IF(E423="","",C423&amp;"|"&amp;D423)</f>
        <v/>
      </c>
      <c r="AI423" s="27" t="n">
        <f aca="false">IF(M423&lt;&gt;"Sí",0,SUMPRODUCT(MAX(($AH$5:AH422=AH423)*($M$5:M422="Sí")*ROW($AH$5:AH422))))</f>
        <v>0</v>
      </c>
      <c r="AJ423" s="0" t="str">
        <f aca="false">IF(M423&lt;&gt;"Sí","",IF(AL423=1,B423,INDEX($AJ:$AJ,AI423)))</f>
        <v/>
      </c>
      <c r="AK423" s="0" t="str">
        <f aca="false">IF(M423&lt;&gt;"Sí","",IF(AL423=1,E423,INDEX($AK:$AK,AI423)+E423))</f>
        <v/>
      </c>
      <c r="AL423" s="0" t="str">
        <f aca="false">IF(M423&lt;&gt;"Sí","",IF(AI423=0,1,IF(INDEX($AN:$AN,AI423)=0,1,IF(B423&gt;=EDATE(INDEX($AJ:$AJ,AI423),6),1,0))))</f>
        <v/>
      </c>
      <c r="AM423" s="0" t="str">
        <f aca="false">IF(D423="","",IFERROR(MATCH(D423,CATÁLOGO!$C$5:$C$39,0),""))</f>
        <v/>
      </c>
      <c r="AN423" s="0" t="str">
        <f aca="false">IF(M423&lt;&gt;"Sí","",IF(AND(ISNUMBER(AE423),AK423&gt;=AE423),0,1))</f>
        <v/>
      </c>
      <c r="AO423" s="0" t="str">
        <f aca="false">IF(OR(E423="",C423="",NOT(ISNUMBER(B423))),"",SUMIFS($E$6:$E$505,$C$6:$C$505,C423,$B$6:$B$505,"&gt;="&amp;DATE(YEAR(B423),MONTH(B423),1),$B$6:$B$505,"&lt;"&amp;DATE(YEAR(B423),MONTH(B423)+1,1)))</f>
        <v/>
      </c>
      <c r="AP423" s="0" t="str">
        <f aca="false">IF(C423="","",IFERROR(INDEX(CLIENTES!$M$6:$M$305,MATCH(C423,CLIENTES!$A$6:$A$305,0)),""))</f>
        <v/>
      </c>
      <c r="AQ423" s="27" t="n">
        <f aca="false">IF(AND(ISNUMBER(AO423),ISNUMBER(AP423)),IF(AND(AP423&gt;0,AO423&gt;AP423),1,0),0)</f>
        <v>0</v>
      </c>
      <c r="AR423" s="27" t="n">
        <f aca="false">IF(NOT(ISNUMBER(B423)),0,IF(B423&lt;MAX($B$5:B422),1,0))</f>
        <v>0</v>
      </c>
      <c r="AS423" s="0" t="str">
        <f aca="false">IF(C423="","",IFERROR(INDEX(CLIENTES!$H$6:$H$305,MATCH(C423,CLIENTES!$A$6:$A$305,0)),""))</f>
        <v/>
      </c>
      <c r="AT423" s="0" t="str">
        <f aca="false">IF(AND(LEFT(P423,5)="AVISO",T423&lt;&gt;"Presentado",ISNUMBER(Q423)),Q423,"")</f>
        <v/>
      </c>
      <c r="AU423" s="27" t="n">
        <f aca="false">IF(AND(D423="XVI - Activos virtuales (PSAV): operación de intercambio/transferencia",M423="Sí",ISNUMBER(AE423)),IF(AK423&gt;=AE423,1,0),0)</f>
        <v>0</v>
      </c>
      <c r="AV423" s="30" t="n">
        <f aca="false">IF(NOT(ISNUMBER(B423)),CONFIG!$B$4,IFERROR(INDEX(CONFIG!$I$5:$I$14,MATCH(IF(MONTH(B423)=1,YEAR(B423)-1,YEAR(B423)),CONFIG!$H$5:$H$14,0)),CONFIG!$B$4))</f>
        <v>117.31</v>
      </c>
      <c r="AW423" s="27" t="n">
        <f aca="false">IF(AND(LEFT(D423,4)="I - ",ISNUMBER(B423),C423&lt;&gt;""),SUMIFS($E$6:$E$505,$C$6:$C$505,C423,$D$6:$D$505,D423,$B$6:$B$505,"&gt;"&amp;(B423-1),$B$6:$B$505,"&lt;="&amp;B423),0)</f>
        <v>0</v>
      </c>
      <c r="AX423" s="0" t="str">
        <f aca="false">IF(E423="","",IF(AD423="Siempre","AVISO (siempre)",IF(AD423="No aplica","Sin Aviso (sólo preparas: Ley 17 XI)",IF(NOT(ISNUMBER(AE423)),"",IF(AA423&lt;&gt;"ACUMULA",IF(E423&gt;=AE423,IF(AND(D423="XVI - Activos virtuales (PSAV): cobro de contraprestación (comisión) por el servicio",COUNTIFS($C$6:$C$505,C423,$B$6:$B$505,"&gt;="&amp;INT(B423),$B$6:$B$505,"&lt;"&amp;(INT(B423)+1),$AU$6:$AU$505,1)&gt;0),"En el Aviso del inciso a) (R 31 Bis)","AVISO"),"—"),IF(M423&lt;&gt;"Sí","—",IF(AK423&gt;=AE423,IF(AK423=E423,"AVISO","AVISO (acumulado)"),"Acumulando")))))))</f>
        <v/>
      </c>
    </row>
    <row r="424" customFormat="false" ht="15" hidden="false" customHeight="false" outlineLevel="0" collapsed="false">
      <c r="A424" s="9" t="str">
        <f aca="false">IF(E424="","",ROW()-5)</f>
        <v/>
      </c>
      <c r="B424" s="20"/>
      <c r="C424" s="21"/>
      <c r="D424" s="21"/>
      <c r="E424" s="22"/>
      <c r="F424" s="22"/>
      <c r="G424" s="21"/>
      <c r="H424" s="21"/>
      <c r="I424" s="9" t="str">
        <f aca="false">IF(C424="","",IFERROR(INDEX(CLIENTES!$B$6:$B$305,MATCH(C424,CLIENTES!$A$6:$A$305,0)),"⚠ ID no registrado"))</f>
        <v/>
      </c>
      <c r="J424" s="9" t="str">
        <f aca="false">IF(C424="","",IFERROR(INDEX(CLIENTES!$Z$6:$Z$305,MATCH(C424,CLIENTES!$A$6:$A$305,0)),""))</f>
        <v/>
      </c>
      <c r="K424" s="9" t="str">
        <f aca="false">IF(E424="","",IF(AB424="Siempre","Sí",IF(ISNUMBER(AC424),IF(E424&gt;=AC424,"Sí",IF(AW424&gt;=AC424,"Sí (serie 24 h)","No")),"")))</f>
        <v/>
      </c>
      <c r="L424" s="9" t="str">
        <f aca="false">IF(E424="","",AA424)</f>
        <v/>
      </c>
      <c r="M424" s="9" t="str">
        <f aca="false">IF(E424="","",IF(AA424&lt;&gt;"ACUMULA","No aplica",IF(LEFT(K424,2)="Sí","Sí","No")))</f>
        <v/>
      </c>
      <c r="N424" s="23" t="str">
        <f aca="false">IF(M424="Sí",AJ424,"")</f>
        <v/>
      </c>
      <c r="O424" s="24" t="str">
        <f aca="false">IF(M424="Sí",AK424,"")</f>
        <v/>
      </c>
      <c r="P424" s="25" t="str">
        <f aca="false">IF(AND(LEFT(D424,6)="XIV - ",LEFT(AX424,5)="AVISO"),"Pedimento (R 16): no va al SPPLD",AX424)</f>
        <v/>
      </c>
      <c r="Q424" s="23" t="str">
        <f aca="false">IF(LEFT(P424,5)="AVISO",IF(ISNUMBER(B424),DATE(YEAR(B424),MONTH(B424)+1,17),"Falta fecha"),"")</f>
        <v/>
      </c>
      <c r="R424" s="9" t="str">
        <f aca="false">IF(OR(F424="",F424=0),"",IF(ISNUMBER(AG424),IF(F424&gt;=AG424,"PROHIBIDO","Dentro del límite"),"No aplica"))</f>
        <v/>
      </c>
      <c r="S424" s="26" t="str">
        <f aca="false">IF(E424="","",MID(IF(AQ424=1," · Excede el perfil declarado","")&amp;IF(H424="Sí"," · Paga un tercero","")&amp;IF(J424="Alto"," · Cliente de riesgo alto: DDR (RCG 23 Ter 3 y 4)","")&amp;IF(AND(AS424&lt;&gt;"",AS424&lt;&gt;"No",AS424&lt;&gt;0)," · PEP","")&amp;IF(R424="PROHIBIDO"," · Efectivo prohibido: no lo recibas (Art. 32)","")&amp;IF(AR424=1," · ⚠ Fecha fuera de orden","")&amp;IF(LEFT(I424,1)="⚠"," · ⚠ Cliente no registrado","")&amp;IF(D424=""," · ⚠ Falta la actividad","")&amp;IF(AND(LEFT(P424,5)="AVISO",W424="")," · Captura la cifra total con IVA para el Aviso","")&amp;IF(AND(ISNUMBER(W424),W424&lt;E424)," · ⚠ La cifra con IVA es menor que el monto sin IVA",""),4,400))</f>
        <v/>
      </c>
      <c r="T424" s="21"/>
      <c r="U424" s="20"/>
      <c r="V424" s="9" t="str">
        <f aca="false">IF(LEFT(P424,5)&lt;&gt;"AVISO","",IF(T424="Presentado",IF(AND(ISNUMBER(U424),ISNUMBER(Q424),U424&gt;Q424),"Presentado tarde","Presentado"),IF(NOT(ISNUMBER(Q424)),"Falta fecha",IF(Q424&lt;CONFIG!$B$6,"VENCIDO","Vence en "&amp;(Q424-CONFIG!$B$6)&amp;" días"))))</f>
        <v/>
      </c>
      <c r="W424" s="22"/>
      <c r="X424" s="21"/>
      <c r="AA424" s="0" t="str">
        <f aca="false">IF(AM424="","",INDEX(CATÁLOGO!$D$5:$D$39,AM424))</f>
        <v/>
      </c>
      <c r="AB424" s="0" t="str">
        <f aca="false">IF(AM424="","",INDEX(CATÁLOGO!$E$5:$E$39,AM424))</f>
        <v/>
      </c>
      <c r="AC424" s="0" t="str">
        <f aca="false">IF(AB424="","",IF(ISNUMBER(AB424),AB424*AV424,AB424))</f>
        <v/>
      </c>
      <c r="AD424" s="0" t="str">
        <f aca="false">IF(AM424="","",INDEX(CATÁLOGO!$F$5:$F$39,AM424))</f>
        <v/>
      </c>
      <c r="AE424" s="0" t="str">
        <f aca="false">IF(AD424="","",IF(ISNUMBER(AD424),AD424*AV424,AD424))</f>
        <v/>
      </c>
      <c r="AF424" s="0" t="str">
        <f aca="false">IF(AM424="","",INDEX(CATÁLOGO!$G$5:$G$39,AM424))</f>
        <v/>
      </c>
      <c r="AG424" s="0" t="str">
        <f aca="false">IF(AF424="","",IF(ISNUMBER(AF424),AF424*AV424,AF424))</f>
        <v/>
      </c>
      <c r="AH424" s="0" t="str">
        <f aca="false">IF(E424="","",C424&amp;"|"&amp;D424)</f>
        <v/>
      </c>
      <c r="AI424" s="27" t="n">
        <f aca="false">IF(M424&lt;&gt;"Sí",0,SUMPRODUCT(MAX(($AH$5:AH423=AH424)*($M$5:M423="Sí")*ROW($AH$5:AH423))))</f>
        <v>0</v>
      </c>
      <c r="AJ424" s="0" t="str">
        <f aca="false">IF(M424&lt;&gt;"Sí","",IF(AL424=1,B424,INDEX($AJ:$AJ,AI424)))</f>
        <v/>
      </c>
      <c r="AK424" s="0" t="str">
        <f aca="false">IF(M424&lt;&gt;"Sí","",IF(AL424=1,E424,INDEX($AK:$AK,AI424)+E424))</f>
        <v/>
      </c>
      <c r="AL424" s="0" t="str">
        <f aca="false">IF(M424&lt;&gt;"Sí","",IF(AI424=0,1,IF(INDEX($AN:$AN,AI424)=0,1,IF(B424&gt;=EDATE(INDEX($AJ:$AJ,AI424),6),1,0))))</f>
        <v/>
      </c>
      <c r="AM424" s="0" t="str">
        <f aca="false">IF(D424="","",IFERROR(MATCH(D424,CATÁLOGO!$C$5:$C$39,0),""))</f>
        <v/>
      </c>
      <c r="AN424" s="0" t="str">
        <f aca="false">IF(M424&lt;&gt;"Sí","",IF(AND(ISNUMBER(AE424),AK424&gt;=AE424),0,1))</f>
        <v/>
      </c>
      <c r="AO424" s="0" t="str">
        <f aca="false">IF(OR(E424="",C424="",NOT(ISNUMBER(B424))),"",SUMIFS($E$6:$E$505,$C$6:$C$505,C424,$B$6:$B$505,"&gt;="&amp;DATE(YEAR(B424),MONTH(B424),1),$B$6:$B$505,"&lt;"&amp;DATE(YEAR(B424),MONTH(B424)+1,1)))</f>
        <v/>
      </c>
      <c r="AP424" s="0" t="str">
        <f aca="false">IF(C424="","",IFERROR(INDEX(CLIENTES!$M$6:$M$305,MATCH(C424,CLIENTES!$A$6:$A$305,0)),""))</f>
        <v/>
      </c>
      <c r="AQ424" s="27" t="n">
        <f aca="false">IF(AND(ISNUMBER(AO424),ISNUMBER(AP424)),IF(AND(AP424&gt;0,AO424&gt;AP424),1,0),0)</f>
        <v>0</v>
      </c>
      <c r="AR424" s="27" t="n">
        <f aca="false">IF(NOT(ISNUMBER(B424)),0,IF(B424&lt;MAX($B$5:B423),1,0))</f>
        <v>0</v>
      </c>
      <c r="AS424" s="0" t="str">
        <f aca="false">IF(C424="","",IFERROR(INDEX(CLIENTES!$H$6:$H$305,MATCH(C424,CLIENTES!$A$6:$A$305,0)),""))</f>
        <v/>
      </c>
      <c r="AT424" s="0" t="str">
        <f aca="false">IF(AND(LEFT(P424,5)="AVISO",T424&lt;&gt;"Presentado",ISNUMBER(Q424)),Q424,"")</f>
        <v/>
      </c>
      <c r="AU424" s="27" t="n">
        <f aca="false">IF(AND(D424="XVI - Activos virtuales (PSAV): operación de intercambio/transferencia",M424="Sí",ISNUMBER(AE424)),IF(AK424&gt;=AE424,1,0),0)</f>
        <v>0</v>
      </c>
      <c r="AV424" s="30" t="n">
        <f aca="false">IF(NOT(ISNUMBER(B424)),CONFIG!$B$4,IFERROR(INDEX(CONFIG!$I$5:$I$14,MATCH(IF(MONTH(B424)=1,YEAR(B424)-1,YEAR(B424)),CONFIG!$H$5:$H$14,0)),CONFIG!$B$4))</f>
        <v>117.31</v>
      </c>
      <c r="AW424" s="27" t="n">
        <f aca="false">IF(AND(LEFT(D424,4)="I - ",ISNUMBER(B424),C424&lt;&gt;""),SUMIFS($E$6:$E$505,$C$6:$C$505,C424,$D$6:$D$505,D424,$B$6:$B$505,"&gt;"&amp;(B424-1),$B$6:$B$505,"&lt;="&amp;B424),0)</f>
        <v>0</v>
      </c>
      <c r="AX424" s="0" t="str">
        <f aca="false">IF(E424="","",IF(AD424="Siempre","AVISO (siempre)",IF(AD424="No aplica","Sin Aviso (sólo preparas: Ley 17 XI)",IF(NOT(ISNUMBER(AE424)),"",IF(AA424&lt;&gt;"ACUMULA",IF(E424&gt;=AE424,IF(AND(D424="XVI - Activos virtuales (PSAV): cobro de contraprestación (comisión) por el servicio",COUNTIFS($C$6:$C$505,C424,$B$6:$B$505,"&gt;="&amp;INT(B424),$B$6:$B$505,"&lt;"&amp;(INT(B424)+1),$AU$6:$AU$505,1)&gt;0),"En el Aviso del inciso a) (R 31 Bis)","AVISO"),"—"),IF(M424&lt;&gt;"Sí","—",IF(AK424&gt;=AE424,IF(AK424=E424,"AVISO","AVISO (acumulado)"),"Acumulando")))))))</f>
        <v/>
      </c>
    </row>
    <row r="425" customFormat="false" ht="15" hidden="false" customHeight="false" outlineLevel="0" collapsed="false">
      <c r="A425" s="9" t="str">
        <f aca="false">IF(E425="","",ROW()-5)</f>
        <v/>
      </c>
      <c r="B425" s="20"/>
      <c r="C425" s="21"/>
      <c r="D425" s="21"/>
      <c r="E425" s="22"/>
      <c r="F425" s="22"/>
      <c r="G425" s="21"/>
      <c r="H425" s="21"/>
      <c r="I425" s="9" t="str">
        <f aca="false">IF(C425="","",IFERROR(INDEX(CLIENTES!$B$6:$B$305,MATCH(C425,CLIENTES!$A$6:$A$305,0)),"⚠ ID no registrado"))</f>
        <v/>
      </c>
      <c r="J425" s="9" t="str">
        <f aca="false">IF(C425="","",IFERROR(INDEX(CLIENTES!$Z$6:$Z$305,MATCH(C425,CLIENTES!$A$6:$A$305,0)),""))</f>
        <v/>
      </c>
      <c r="K425" s="9" t="str">
        <f aca="false">IF(E425="","",IF(AB425="Siempre","Sí",IF(ISNUMBER(AC425),IF(E425&gt;=AC425,"Sí",IF(AW425&gt;=AC425,"Sí (serie 24 h)","No")),"")))</f>
        <v/>
      </c>
      <c r="L425" s="9" t="str">
        <f aca="false">IF(E425="","",AA425)</f>
        <v/>
      </c>
      <c r="M425" s="9" t="str">
        <f aca="false">IF(E425="","",IF(AA425&lt;&gt;"ACUMULA","No aplica",IF(LEFT(K425,2)="Sí","Sí","No")))</f>
        <v/>
      </c>
      <c r="N425" s="23" t="str">
        <f aca="false">IF(M425="Sí",AJ425,"")</f>
        <v/>
      </c>
      <c r="O425" s="24" t="str">
        <f aca="false">IF(M425="Sí",AK425,"")</f>
        <v/>
      </c>
      <c r="P425" s="25" t="str">
        <f aca="false">IF(AND(LEFT(D425,6)="XIV - ",LEFT(AX425,5)="AVISO"),"Pedimento (R 16): no va al SPPLD",AX425)</f>
        <v/>
      </c>
      <c r="Q425" s="23" t="str">
        <f aca="false">IF(LEFT(P425,5)="AVISO",IF(ISNUMBER(B425),DATE(YEAR(B425),MONTH(B425)+1,17),"Falta fecha"),"")</f>
        <v/>
      </c>
      <c r="R425" s="9" t="str">
        <f aca="false">IF(OR(F425="",F425=0),"",IF(ISNUMBER(AG425),IF(F425&gt;=AG425,"PROHIBIDO","Dentro del límite"),"No aplica"))</f>
        <v/>
      </c>
      <c r="S425" s="26" t="str">
        <f aca="false">IF(E425="","",MID(IF(AQ425=1," · Excede el perfil declarado","")&amp;IF(H425="Sí"," · Paga un tercero","")&amp;IF(J425="Alto"," · Cliente de riesgo alto: DDR (RCG 23 Ter 3 y 4)","")&amp;IF(AND(AS425&lt;&gt;"",AS425&lt;&gt;"No",AS425&lt;&gt;0)," · PEP","")&amp;IF(R425="PROHIBIDO"," · Efectivo prohibido: no lo recibas (Art. 32)","")&amp;IF(AR425=1," · ⚠ Fecha fuera de orden","")&amp;IF(LEFT(I425,1)="⚠"," · ⚠ Cliente no registrado","")&amp;IF(D425=""," · ⚠ Falta la actividad","")&amp;IF(AND(LEFT(P425,5)="AVISO",W425="")," · Captura la cifra total con IVA para el Aviso","")&amp;IF(AND(ISNUMBER(W425),W425&lt;E425)," · ⚠ La cifra con IVA es menor que el monto sin IVA",""),4,400))</f>
        <v/>
      </c>
      <c r="T425" s="21"/>
      <c r="U425" s="20"/>
      <c r="V425" s="9" t="str">
        <f aca="false">IF(LEFT(P425,5)&lt;&gt;"AVISO","",IF(T425="Presentado",IF(AND(ISNUMBER(U425),ISNUMBER(Q425),U425&gt;Q425),"Presentado tarde","Presentado"),IF(NOT(ISNUMBER(Q425)),"Falta fecha",IF(Q425&lt;CONFIG!$B$6,"VENCIDO","Vence en "&amp;(Q425-CONFIG!$B$6)&amp;" días"))))</f>
        <v/>
      </c>
      <c r="W425" s="22"/>
      <c r="X425" s="21"/>
      <c r="AA425" s="0" t="str">
        <f aca="false">IF(AM425="","",INDEX(CATÁLOGO!$D$5:$D$39,AM425))</f>
        <v/>
      </c>
      <c r="AB425" s="0" t="str">
        <f aca="false">IF(AM425="","",INDEX(CATÁLOGO!$E$5:$E$39,AM425))</f>
        <v/>
      </c>
      <c r="AC425" s="0" t="str">
        <f aca="false">IF(AB425="","",IF(ISNUMBER(AB425),AB425*AV425,AB425))</f>
        <v/>
      </c>
      <c r="AD425" s="0" t="str">
        <f aca="false">IF(AM425="","",INDEX(CATÁLOGO!$F$5:$F$39,AM425))</f>
        <v/>
      </c>
      <c r="AE425" s="0" t="str">
        <f aca="false">IF(AD425="","",IF(ISNUMBER(AD425),AD425*AV425,AD425))</f>
        <v/>
      </c>
      <c r="AF425" s="0" t="str">
        <f aca="false">IF(AM425="","",INDEX(CATÁLOGO!$G$5:$G$39,AM425))</f>
        <v/>
      </c>
      <c r="AG425" s="0" t="str">
        <f aca="false">IF(AF425="","",IF(ISNUMBER(AF425),AF425*AV425,AF425))</f>
        <v/>
      </c>
      <c r="AH425" s="0" t="str">
        <f aca="false">IF(E425="","",C425&amp;"|"&amp;D425)</f>
        <v/>
      </c>
      <c r="AI425" s="27" t="n">
        <f aca="false">IF(M425&lt;&gt;"Sí",0,SUMPRODUCT(MAX(($AH$5:AH424=AH425)*($M$5:M424="Sí")*ROW($AH$5:AH424))))</f>
        <v>0</v>
      </c>
      <c r="AJ425" s="0" t="str">
        <f aca="false">IF(M425&lt;&gt;"Sí","",IF(AL425=1,B425,INDEX($AJ:$AJ,AI425)))</f>
        <v/>
      </c>
      <c r="AK425" s="0" t="str">
        <f aca="false">IF(M425&lt;&gt;"Sí","",IF(AL425=1,E425,INDEX($AK:$AK,AI425)+E425))</f>
        <v/>
      </c>
      <c r="AL425" s="0" t="str">
        <f aca="false">IF(M425&lt;&gt;"Sí","",IF(AI425=0,1,IF(INDEX($AN:$AN,AI425)=0,1,IF(B425&gt;=EDATE(INDEX($AJ:$AJ,AI425),6),1,0))))</f>
        <v/>
      </c>
      <c r="AM425" s="0" t="str">
        <f aca="false">IF(D425="","",IFERROR(MATCH(D425,CATÁLOGO!$C$5:$C$39,0),""))</f>
        <v/>
      </c>
      <c r="AN425" s="0" t="str">
        <f aca="false">IF(M425&lt;&gt;"Sí","",IF(AND(ISNUMBER(AE425),AK425&gt;=AE425),0,1))</f>
        <v/>
      </c>
      <c r="AO425" s="0" t="str">
        <f aca="false">IF(OR(E425="",C425="",NOT(ISNUMBER(B425))),"",SUMIFS($E$6:$E$505,$C$6:$C$505,C425,$B$6:$B$505,"&gt;="&amp;DATE(YEAR(B425),MONTH(B425),1),$B$6:$B$505,"&lt;"&amp;DATE(YEAR(B425),MONTH(B425)+1,1)))</f>
        <v/>
      </c>
      <c r="AP425" s="0" t="str">
        <f aca="false">IF(C425="","",IFERROR(INDEX(CLIENTES!$M$6:$M$305,MATCH(C425,CLIENTES!$A$6:$A$305,0)),""))</f>
        <v/>
      </c>
      <c r="AQ425" s="27" t="n">
        <f aca="false">IF(AND(ISNUMBER(AO425),ISNUMBER(AP425)),IF(AND(AP425&gt;0,AO425&gt;AP425),1,0),0)</f>
        <v>0</v>
      </c>
      <c r="AR425" s="27" t="n">
        <f aca="false">IF(NOT(ISNUMBER(B425)),0,IF(B425&lt;MAX($B$5:B424),1,0))</f>
        <v>0</v>
      </c>
      <c r="AS425" s="0" t="str">
        <f aca="false">IF(C425="","",IFERROR(INDEX(CLIENTES!$H$6:$H$305,MATCH(C425,CLIENTES!$A$6:$A$305,0)),""))</f>
        <v/>
      </c>
      <c r="AT425" s="0" t="str">
        <f aca="false">IF(AND(LEFT(P425,5)="AVISO",T425&lt;&gt;"Presentado",ISNUMBER(Q425)),Q425,"")</f>
        <v/>
      </c>
      <c r="AU425" s="27" t="n">
        <f aca="false">IF(AND(D425="XVI - Activos virtuales (PSAV): operación de intercambio/transferencia",M425="Sí",ISNUMBER(AE425)),IF(AK425&gt;=AE425,1,0),0)</f>
        <v>0</v>
      </c>
      <c r="AV425" s="30" t="n">
        <f aca="false">IF(NOT(ISNUMBER(B425)),CONFIG!$B$4,IFERROR(INDEX(CONFIG!$I$5:$I$14,MATCH(IF(MONTH(B425)=1,YEAR(B425)-1,YEAR(B425)),CONFIG!$H$5:$H$14,0)),CONFIG!$B$4))</f>
        <v>117.31</v>
      </c>
      <c r="AW425" s="27" t="n">
        <f aca="false">IF(AND(LEFT(D425,4)="I - ",ISNUMBER(B425),C425&lt;&gt;""),SUMIFS($E$6:$E$505,$C$6:$C$505,C425,$D$6:$D$505,D425,$B$6:$B$505,"&gt;"&amp;(B425-1),$B$6:$B$505,"&lt;="&amp;B425),0)</f>
        <v>0</v>
      </c>
      <c r="AX425" s="0" t="str">
        <f aca="false">IF(E425="","",IF(AD425="Siempre","AVISO (siempre)",IF(AD425="No aplica","Sin Aviso (sólo preparas: Ley 17 XI)",IF(NOT(ISNUMBER(AE425)),"",IF(AA425&lt;&gt;"ACUMULA",IF(E425&gt;=AE425,IF(AND(D425="XVI - Activos virtuales (PSAV): cobro de contraprestación (comisión) por el servicio",COUNTIFS($C$6:$C$505,C425,$B$6:$B$505,"&gt;="&amp;INT(B425),$B$6:$B$505,"&lt;"&amp;(INT(B425)+1),$AU$6:$AU$505,1)&gt;0),"En el Aviso del inciso a) (R 31 Bis)","AVISO"),"—"),IF(M425&lt;&gt;"Sí","—",IF(AK425&gt;=AE425,IF(AK425=E425,"AVISO","AVISO (acumulado)"),"Acumulando")))))))</f>
        <v/>
      </c>
    </row>
    <row r="426" customFormat="false" ht="15" hidden="false" customHeight="false" outlineLevel="0" collapsed="false">
      <c r="A426" s="9" t="str">
        <f aca="false">IF(E426="","",ROW()-5)</f>
        <v/>
      </c>
      <c r="B426" s="20"/>
      <c r="C426" s="21"/>
      <c r="D426" s="21"/>
      <c r="E426" s="22"/>
      <c r="F426" s="22"/>
      <c r="G426" s="21"/>
      <c r="H426" s="21"/>
      <c r="I426" s="9" t="str">
        <f aca="false">IF(C426="","",IFERROR(INDEX(CLIENTES!$B$6:$B$305,MATCH(C426,CLIENTES!$A$6:$A$305,0)),"⚠ ID no registrado"))</f>
        <v/>
      </c>
      <c r="J426" s="9" t="str">
        <f aca="false">IF(C426="","",IFERROR(INDEX(CLIENTES!$Z$6:$Z$305,MATCH(C426,CLIENTES!$A$6:$A$305,0)),""))</f>
        <v/>
      </c>
      <c r="K426" s="9" t="str">
        <f aca="false">IF(E426="","",IF(AB426="Siempre","Sí",IF(ISNUMBER(AC426),IF(E426&gt;=AC426,"Sí",IF(AW426&gt;=AC426,"Sí (serie 24 h)","No")),"")))</f>
        <v/>
      </c>
      <c r="L426" s="9" t="str">
        <f aca="false">IF(E426="","",AA426)</f>
        <v/>
      </c>
      <c r="M426" s="9" t="str">
        <f aca="false">IF(E426="","",IF(AA426&lt;&gt;"ACUMULA","No aplica",IF(LEFT(K426,2)="Sí","Sí","No")))</f>
        <v/>
      </c>
      <c r="N426" s="23" t="str">
        <f aca="false">IF(M426="Sí",AJ426,"")</f>
        <v/>
      </c>
      <c r="O426" s="24" t="str">
        <f aca="false">IF(M426="Sí",AK426,"")</f>
        <v/>
      </c>
      <c r="P426" s="25" t="str">
        <f aca="false">IF(AND(LEFT(D426,6)="XIV - ",LEFT(AX426,5)="AVISO"),"Pedimento (R 16): no va al SPPLD",AX426)</f>
        <v/>
      </c>
      <c r="Q426" s="23" t="str">
        <f aca="false">IF(LEFT(P426,5)="AVISO",IF(ISNUMBER(B426),DATE(YEAR(B426),MONTH(B426)+1,17),"Falta fecha"),"")</f>
        <v/>
      </c>
      <c r="R426" s="9" t="str">
        <f aca="false">IF(OR(F426="",F426=0),"",IF(ISNUMBER(AG426),IF(F426&gt;=AG426,"PROHIBIDO","Dentro del límite"),"No aplica"))</f>
        <v/>
      </c>
      <c r="S426" s="26" t="str">
        <f aca="false">IF(E426="","",MID(IF(AQ426=1," · Excede el perfil declarado","")&amp;IF(H426="Sí"," · Paga un tercero","")&amp;IF(J426="Alto"," · Cliente de riesgo alto: DDR (RCG 23 Ter 3 y 4)","")&amp;IF(AND(AS426&lt;&gt;"",AS426&lt;&gt;"No",AS426&lt;&gt;0)," · PEP","")&amp;IF(R426="PROHIBIDO"," · Efectivo prohibido: no lo recibas (Art. 32)","")&amp;IF(AR426=1," · ⚠ Fecha fuera de orden","")&amp;IF(LEFT(I426,1)="⚠"," · ⚠ Cliente no registrado","")&amp;IF(D426=""," · ⚠ Falta la actividad","")&amp;IF(AND(LEFT(P426,5)="AVISO",W426="")," · Captura la cifra total con IVA para el Aviso","")&amp;IF(AND(ISNUMBER(W426),W426&lt;E426)," · ⚠ La cifra con IVA es menor que el monto sin IVA",""),4,400))</f>
        <v/>
      </c>
      <c r="T426" s="21"/>
      <c r="U426" s="20"/>
      <c r="V426" s="9" t="str">
        <f aca="false">IF(LEFT(P426,5)&lt;&gt;"AVISO","",IF(T426="Presentado",IF(AND(ISNUMBER(U426),ISNUMBER(Q426),U426&gt;Q426),"Presentado tarde","Presentado"),IF(NOT(ISNUMBER(Q426)),"Falta fecha",IF(Q426&lt;CONFIG!$B$6,"VENCIDO","Vence en "&amp;(Q426-CONFIG!$B$6)&amp;" días"))))</f>
        <v/>
      </c>
      <c r="W426" s="22"/>
      <c r="X426" s="21"/>
      <c r="AA426" s="0" t="str">
        <f aca="false">IF(AM426="","",INDEX(CATÁLOGO!$D$5:$D$39,AM426))</f>
        <v/>
      </c>
      <c r="AB426" s="0" t="str">
        <f aca="false">IF(AM426="","",INDEX(CATÁLOGO!$E$5:$E$39,AM426))</f>
        <v/>
      </c>
      <c r="AC426" s="0" t="str">
        <f aca="false">IF(AB426="","",IF(ISNUMBER(AB426),AB426*AV426,AB426))</f>
        <v/>
      </c>
      <c r="AD426" s="0" t="str">
        <f aca="false">IF(AM426="","",INDEX(CATÁLOGO!$F$5:$F$39,AM426))</f>
        <v/>
      </c>
      <c r="AE426" s="0" t="str">
        <f aca="false">IF(AD426="","",IF(ISNUMBER(AD426),AD426*AV426,AD426))</f>
        <v/>
      </c>
      <c r="AF426" s="0" t="str">
        <f aca="false">IF(AM426="","",INDEX(CATÁLOGO!$G$5:$G$39,AM426))</f>
        <v/>
      </c>
      <c r="AG426" s="0" t="str">
        <f aca="false">IF(AF426="","",IF(ISNUMBER(AF426),AF426*AV426,AF426))</f>
        <v/>
      </c>
      <c r="AH426" s="0" t="str">
        <f aca="false">IF(E426="","",C426&amp;"|"&amp;D426)</f>
        <v/>
      </c>
      <c r="AI426" s="27" t="n">
        <f aca="false">IF(M426&lt;&gt;"Sí",0,SUMPRODUCT(MAX(($AH$5:AH425=AH426)*($M$5:M425="Sí")*ROW($AH$5:AH425))))</f>
        <v>0</v>
      </c>
      <c r="AJ426" s="0" t="str">
        <f aca="false">IF(M426&lt;&gt;"Sí","",IF(AL426=1,B426,INDEX($AJ:$AJ,AI426)))</f>
        <v/>
      </c>
      <c r="AK426" s="0" t="str">
        <f aca="false">IF(M426&lt;&gt;"Sí","",IF(AL426=1,E426,INDEX($AK:$AK,AI426)+E426))</f>
        <v/>
      </c>
      <c r="AL426" s="0" t="str">
        <f aca="false">IF(M426&lt;&gt;"Sí","",IF(AI426=0,1,IF(INDEX($AN:$AN,AI426)=0,1,IF(B426&gt;=EDATE(INDEX($AJ:$AJ,AI426),6),1,0))))</f>
        <v/>
      </c>
      <c r="AM426" s="0" t="str">
        <f aca="false">IF(D426="","",IFERROR(MATCH(D426,CATÁLOGO!$C$5:$C$39,0),""))</f>
        <v/>
      </c>
      <c r="AN426" s="0" t="str">
        <f aca="false">IF(M426&lt;&gt;"Sí","",IF(AND(ISNUMBER(AE426),AK426&gt;=AE426),0,1))</f>
        <v/>
      </c>
      <c r="AO426" s="0" t="str">
        <f aca="false">IF(OR(E426="",C426="",NOT(ISNUMBER(B426))),"",SUMIFS($E$6:$E$505,$C$6:$C$505,C426,$B$6:$B$505,"&gt;="&amp;DATE(YEAR(B426),MONTH(B426),1),$B$6:$B$505,"&lt;"&amp;DATE(YEAR(B426),MONTH(B426)+1,1)))</f>
        <v/>
      </c>
      <c r="AP426" s="0" t="str">
        <f aca="false">IF(C426="","",IFERROR(INDEX(CLIENTES!$M$6:$M$305,MATCH(C426,CLIENTES!$A$6:$A$305,0)),""))</f>
        <v/>
      </c>
      <c r="AQ426" s="27" t="n">
        <f aca="false">IF(AND(ISNUMBER(AO426),ISNUMBER(AP426)),IF(AND(AP426&gt;0,AO426&gt;AP426),1,0),0)</f>
        <v>0</v>
      </c>
      <c r="AR426" s="27" t="n">
        <f aca="false">IF(NOT(ISNUMBER(B426)),0,IF(B426&lt;MAX($B$5:B425),1,0))</f>
        <v>0</v>
      </c>
      <c r="AS426" s="0" t="str">
        <f aca="false">IF(C426="","",IFERROR(INDEX(CLIENTES!$H$6:$H$305,MATCH(C426,CLIENTES!$A$6:$A$305,0)),""))</f>
        <v/>
      </c>
      <c r="AT426" s="0" t="str">
        <f aca="false">IF(AND(LEFT(P426,5)="AVISO",T426&lt;&gt;"Presentado",ISNUMBER(Q426)),Q426,"")</f>
        <v/>
      </c>
      <c r="AU426" s="27" t="n">
        <f aca="false">IF(AND(D426="XVI - Activos virtuales (PSAV): operación de intercambio/transferencia",M426="Sí",ISNUMBER(AE426)),IF(AK426&gt;=AE426,1,0),0)</f>
        <v>0</v>
      </c>
      <c r="AV426" s="30" t="n">
        <f aca="false">IF(NOT(ISNUMBER(B426)),CONFIG!$B$4,IFERROR(INDEX(CONFIG!$I$5:$I$14,MATCH(IF(MONTH(B426)=1,YEAR(B426)-1,YEAR(B426)),CONFIG!$H$5:$H$14,0)),CONFIG!$B$4))</f>
        <v>117.31</v>
      </c>
      <c r="AW426" s="27" t="n">
        <f aca="false">IF(AND(LEFT(D426,4)="I - ",ISNUMBER(B426),C426&lt;&gt;""),SUMIFS($E$6:$E$505,$C$6:$C$505,C426,$D$6:$D$505,D426,$B$6:$B$505,"&gt;"&amp;(B426-1),$B$6:$B$505,"&lt;="&amp;B426),0)</f>
        <v>0</v>
      </c>
      <c r="AX426" s="0" t="str">
        <f aca="false">IF(E426="","",IF(AD426="Siempre","AVISO (siempre)",IF(AD426="No aplica","Sin Aviso (sólo preparas: Ley 17 XI)",IF(NOT(ISNUMBER(AE426)),"",IF(AA426&lt;&gt;"ACUMULA",IF(E426&gt;=AE426,IF(AND(D426="XVI - Activos virtuales (PSAV): cobro de contraprestación (comisión) por el servicio",COUNTIFS($C$6:$C$505,C426,$B$6:$B$505,"&gt;="&amp;INT(B426),$B$6:$B$505,"&lt;"&amp;(INT(B426)+1),$AU$6:$AU$505,1)&gt;0),"En el Aviso del inciso a) (R 31 Bis)","AVISO"),"—"),IF(M426&lt;&gt;"Sí","—",IF(AK426&gt;=AE426,IF(AK426=E426,"AVISO","AVISO (acumulado)"),"Acumulando")))))))</f>
        <v/>
      </c>
    </row>
    <row r="427" customFormat="false" ht="15" hidden="false" customHeight="false" outlineLevel="0" collapsed="false">
      <c r="A427" s="9" t="str">
        <f aca="false">IF(E427="","",ROW()-5)</f>
        <v/>
      </c>
      <c r="B427" s="20"/>
      <c r="C427" s="21"/>
      <c r="D427" s="21"/>
      <c r="E427" s="22"/>
      <c r="F427" s="22"/>
      <c r="G427" s="21"/>
      <c r="H427" s="21"/>
      <c r="I427" s="9" t="str">
        <f aca="false">IF(C427="","",IFERROR(INDEX(CLIENTES!$B$6:$B$305,MATCH(C427,CLIENTES!$A$6:$A$305,0)),"⚠ ID no registrado"))</f>
        <v/>
      </c>
      <c r="J427" s="9" t="str">
        <f aca="false">IF(C427="","",IFERROR(INDEX(CLIENTES!$Z$6:$Z$305,MATCH(C427,CLIENTES!$A$6:$A$305,0)),""))</f>
        <v/>
      </c>
      <c r="K427" s="9" t="str">
        <f aca="false">IF(E427="","",IF(AB427="Siempre","Sí",IF(ISNUMBER(AC427),IF(E427&gt;=AC427,"Sí",IF(AW427&gt;=AC427,"Sí (serie 24 h)","No")),"")))</f>
        <v/>
      </c>
      <c r="L427" s="9" t="str">
        <f aca="false">IF(E427="","",AA427)</f>
        <v/>
      </c>
      <c r="M427" s="9" t="str">
        <f aca="false">IF(E427="","",IF(AA427&lt;&gt;"ACUMULA","No aplica",IF(LEFT(K427,2)="Sí","Sí","No")))</f>
        <v/>
      </c>
      <c r="N427" s="23" t="str">
        <f aca="false">IF(M427="Sí",AJ427,"")</f>
        <v/>
      </c>
      <c r="O427" s="24" t="str">
        <f aca="false">IF(M427="Sí",AK427,"")</f>
        <v/>
      </c>
      <c r="P427" s="25" t="str">
        <f aca="false">IF(AND(LEFT(D427,6)="XIV - ",LEFT(AX427,5)="AVISO"),"Pedimento (R 16): no va al SPPLD",AX427)</f>
        <v/>
      </c>
      <c r="Q427" s="23" t="str">
        <f aca="false">IF(LEFT(P427,5)="AVISO",IF(ISNUMBER(B427),DATE(YEAR(B427),MONTH(B427)+1,17),"Falta fecha"),"")</f>
        <v/>
      </c>
      <c r="R427" s="9" t="str">
        <f aca="false">IF(OR(F427="",F427=0),"",IF(ISNUMBER(AG427),IF(F427&gt;=AG427,"PROHIBIDO","Dentro del límite"),"No aplica"))</f>
        <v/>
      </c>
      <c r="S427" s="26" t="str">
        <f aca="false">IF(E427="","",MID(IF(AQ427=1," · Excede el perfil declarado","")&amp;IF(H427="Sí"," · Paga un tercero","")&amp;IF(J427="Alto"," · Cliente de riesgo alto: DDR (RCG 23 Ter 3 y 4)","")&amp;IF(AND(AS427&lt;&gt;"",AS427&lt;&gt;"No",AS427&lt;&gt;0)," · PEP","")&amp;IF(R427="PROHIBIDO"," · Efectivo prohibido: no lo recibas (Art. 32)","")&amp;IF(AR427=1," · ⚠ Fecha fuera de orden","")&amp;IF(LEFT(I427,1)="⚠"," · ⚠ Cliente no registrado","")&amp;IF(D427=""," · ⚠ Falta la actividad","")&amp;IF(AND(LEFT(P427,5)="AVISO",W427="")," · Captura la cifra total con IVA para el Aviso","")&amp;IF(AND(ISNUMBER(W427),W427&lt;E427)," · ⚠ La cifra con IVA es menor que el monto sin IVA",""),4,400))</f>
        <v/>
      </c>
      <c r="T427" s="21"/>
      <c r="U427" s="20"/>
      <c r="V427" s="9" t="str">
        <f aca="false">IF(LEFT(P427,5)&lt;&gt;"AVISO","",IF(T427="Presentado",IF(AND(ISNUMBER(U427),ISNUMBER(Q427),U427&gt;Q427),"Presentado tarde","Presentado"),IF(NOT(ISNUMBER(Q427)),"Falta fecha",IF(Q427&lt;CONFIG!$B$6,"VENCIDO","Vence en "&amp;(Q427-CONFIG!$B$6)&amp;" días"))))</f>
        <v/>
      </c>
      <c r="W427" s="22"/>
      <c r="X427" s="21"/>
      <c r="AA427" s="0" t="str">
        <f aca="false">IF(AM427="","",INDEX(CATÁLOGO!$D$5:$D$39,AM427))</f>
        <v/>
      </c>
      <c r="AB427" s="0" t="str">
        <f aca="false">IF(AM427="","",INDEX(CATÁLOGO!$E$5:$E$39,AM427))</f>
        <v/>
      </c>
      <c r="AC427" s="0" t="str">
        <f aca="false">IF(AB427="","",IF(ISNUMBER(AB427),AB427*AV427,AB427))</f>
        <v/>
      </c>
      <c r="AD427" s="0" t="str">
        <f aca="false">IF(AM427="","",INDEX(CATÁLOGO!$F$5:$F$39,AM427))</f>
        <v/>
      </c>
      <c r="AE427" s="0" t="str">
        <f aca="false">IF(AD427="","",IF(ISNUMBER(AD427),AD427*AV427,AD427))</f>
        <v/>
      </c>
      <c r="AF427" s="0" t="str">
        <f aca="false">IF(AM427="","",INDEX(CATÁLOGO!$G$5:$G$39,AM427))</f>
        <v/>
      </c>
      <c r="AG427" s="0" t="str">
        <f aca="false">IF(AF427="","",IF(ISNUMBER(AF427),AF427*AV427,AF427))</f>
        <v/>
      </c>
      <c r="AH427" s="0" t="str">
        <f aca="false">IF(E427="","",C427&amp;"|"&amp;D427)</f>
        <v/>
      </c>
      <c r="AI427" s="27" t="n">
        <f aca="false">IF(M427&lt;&gt;"Sí",0,SUMPRODUCT(MAX(($AH$5:AH426=AH427)*($M$5:M426="Sí")*ROW($AH$5:AH426))))</f>
        <v>0</v>
      </c>
      <c r="AJ427" s="0" t="str">
        <f aca="false">IF(M427&lt;&gt;"Sí","",IF(AL427=1,B427,INDEX($AJ:$AJ,AI427)))</f>
        <v/>
      </c>
      <c r="AK427" s="0" t="str">
        <f aca="false">IF(M427&lt;&gt;"Sí","",IF(AL427=1,E427,INDEX($AK:$AK,AI427)+E427))</f>
        <v/>
      </c>
      <c r="AL427" s="0" t="str">
        <f aca="false">IF(M427&lt;&gt;"Sí","",IF(AI427=0,1,IF(INDEX($AN:$AN,AI427)=0,1,IF(B427&gt;=EDATE(INDEX($AJ:$AJ,AI427),6),1,0))))</f>
        <v/>
      </c>
      <c r="AM427" s="0" t="str">
        <f aca="false">IF(D427="","",IFERROR(MATCH(D427,CATÁLOGO!$C$5:$C$39,0),""))</f>
        <v/>
      </c>
      <c r="AN427" s="0" t="str">
        <f aca="false">IF(M427&lt;&gt;"Sí","",IF(AND(ISNUMBER(AE427),AK427&gt;=AE427),0,1))</f>
        <v/>
      </c>
      <c r="AO427" s="0" t="str">
        <f aca="false">IF(OR(E427="",C427="",NOT(ISNUMBER(B427))),"",SUMIFS($E$6:$E$505,$C$6:$C$505,C427,$B$6:$B$505,"&gt;="&amp;DATE(YEAR(B427),MONTH(B427),1),$B$6:$B$505,"&lt;"&amp;DATE(YEAR(B427),MONTH(B427)+1,1)))</f>
        <v/>
      </c>
      <c r="AP427" s="0" t="str">
        <f aca="false">IF(C427="","",IFERROR(INDEX(CLIENTES!$M$6:$M$305,MATCH(C427,CLIENTES!$A$6:$A$305,0)),""))</f>
        <v/>
      </c>
      <c r="AQ427" s="27" t="n">
        <f aca="false">IF(AND(ISNUMBER(AO427),ISNUMBER(AP427)),IF(AND(AP427&gt;0,AO427&gt;AP427),1,0),0)</f>
        <v>0</v>
      </c>
      <c r="AR427" s="27" t="n">
        <f aca="false">IF(NOT(ISNUMBER(B427)),0,IF(B427&lt;MAX($B$5:B426),1,0))</f>
        <v>0</v>
      </c>
      <c r="AS427" s="0" t="str">
        <f aca="false">IF(C427="","",IFERROR(INDEX(CLIENTES!$H$6:$H$305,MATCH(C427,CLIENTES!$A$6:$A$305,0)),""))</f>
        <v/>
      </c>
      <c r="AT427" s="0" t="str">
        <f aca="false">IF(AND(LEFT(P427,5)="AVISO",T427&lt;&gt;"Presentado",ISNUMBER(Q427)),Q427,"")</f>
        <v/>
      </c>
      <c r="AU427" s="27" t="n">
        <f aca="false">IF(AND(D427="XVI - Activos virtuales (PSAV): operación de intercambio/transferencia",M427="Sí",ISNUMBER(AE427)),IF(AK427&gt;=AE427,1,0),0)</f>
        <v>0</v>
      </c>
      <c r="AV427" s="30" t="n">
        <f aca="false">IF(NOT(ISNUMBER(B427)),CONFIG!$B$4,IFERROR(INDEX(CONFIG!$I$5:$I$14,MATCH(IF(MONTH(B427)=1,YEAR(B427)-1,YEAR(B427)),CONFIG!$H$5:$H$14,0)),CONFIG!$B$4))</f>
        <v>117.31</v>
      </c>
      <c r="AW427" s="27" t="n">
        <f aca="false">IF(AND(LEFT(D427,4)="I - ",ISNUMBER(B427),C427&lt;&gt;""),SUMIFS($E$6:$E$505,$C$6:$C$505,C427,$D$6:$D$505,D427,$B$6:$B$505,"&gt;"&amp;(B427-1),$B$6:$B$505,"&lt;="&amp;B427),0)</f>
        <v>0</v>
      </c>
      <c r="AX427" s="0" t="str">
        <f aca="false">IF(E427="","",IF(AD427="Siempre","AVISO (siempre)",IF(AD427="No aplica","Sin Aviso (sólo preparas: Ley 17 XI)",IF(NOT(ISNUMBER(AE427)),"",IF(AA427&lt;&gt;"ACUMULA",IF(E427&gt;=AE427,IF(AND(D427="XVI - Activos virtuales (PSAV): cobro de contraprestación (comisión) por el servicio",COUNTIFS($C$6:$C$505,C427,$B$6:$B$505,"&gt;="&amp;INT(B427),$B$6:$B$505,"&lt;"&amp;(INT(B427)+1),$AU$6:$AU$505,1)&gt;0),"En el Aviso del inciso a) (R 31 Bis)","AVISO"),"—"),IF(M427&lt;&gt;"Sí","—",IF(AK427&gt;=AE427,IF(AK427=E427,"AVISO","AVISO (acumulado)"),"Acumulando")))))))</f>
        <v/>
      </c>
    </row>
    <row r="428" customFormat="false" ht="15" hidden="false" customHeight="false" outlineLevel="0" collapsed="false">
      <c r="A428" s="9" t="str">
        <f aca="false">IF(E428="","",ROW()-5)</f>
        <v/>
      </c>
      <c r="B428" s="20"/>
      <c r="C428" s="21"/>
      <c r="D428" s="21"/>
      <c r="E428" s="22"/>
      <c r="F428" s="22"/>
      <c r="G428" s="21"/>
      <c r="H428" s="21"/>
      <c r="I428" s="9" t="str">
        <f aca="false">IF(C428="","",IFERROR(INDEX(CLIENTES!$B$6:$B$305,MATCH(C428,CLIENTES!$A$6:$A$305,0)),"⚠ ID no registrado"))</f>
        <v/>
      </c>
      <c r="J428" s="9" t="str">
        <f aca="false">IF(C428="","",IFERROR(INDEX(CLIENTES!$Z$6:$Z$305,MATCH(C428,CLIENTES!$A$6:$A$305,0)),""))</f>
        <v/>
      </c>
      <c r="K428" s="9" t="str">
        <f aca="false">IF(E428="","",IF(AB428="Siempre","Sí",IF(ISNUMBER(AC428),IF(E428&gt;=AC428,"Sí",IF(AW428&gt;=AC428,"Sí (serie 24 h)","No")),"")))</f>
        <v/>
      </c>
      <c r="L428" s="9" t="str">
        <f aca="false">IF(E428="","",AA428)</f>
        <v/>
      </c>
      <c r="M428" s="9" t="str">
        <f aca="false">IF(E428="","",IF(AA428&lt;&gt;"ACUMULA","No aplica",IF(LEFT(K428,2)="Sí","Sí","No")))</f>
        <v/>
      </c>
      <c r="N428" s="23" t="str">
        <f aca="false">IF(M428="Sí",AJ428,"")</f>
        <v/>
      </c>
      <c r="O428" s="24" t="str">
        <f aca="false">IF(M428="Sí",AK428,"")</f>
        <v/>
      </c>
      <c r="P428" s="25" t="str">
        <f aca="false">IF(AND(LEFT(D428,6)="XIV - ",LEFT(AX428,5)="AVISO"),"Pedimento (R 16): no va al SPPLD",AX428)</f>
        <v/>
      </c>
      <c r="Q428" s="23" t="str">
        <f aca="false">IF(LEFT(P428,5)="AVISO",IF(ISNUMBER(B428),DATE(YEAR(B428),MONTH(B428)+1,17),"Falta fecha"),"")</f>
        <v/>
      </c>
      <c r="R428" s="9" t="str">
        <f aca="false">IF(OR(F428="",F428=0),"",IF(ISNUMBER(AG428),IF(F428&gt;=AG428,"PROHIBIDO","Dentro del límite"),"No aplica"))</f>
        <v/>
      </c>
      <c r="S428" s="26" t="str">
        <f aca="false">IF(E428="","",MID(IF(AQ428=1," · Excede el perfil declarado","")&amp;IF(H428="Sí"," · Paga un tercero","")&amp;IF(J428="Alto"," · Cliente de riesgo alto: DDR (RCG 23 Ter 3 y 4)","")&amp;IF(AND(AS428&lt;&gt;"",AS428&lt;&gt;"No",AS428&lt;&gt;0)," · PEP","")&amp;IF(R428="PROHIBIDO"," · Efectivo prohibido: no lo recibas (Art. 32)","")&amp;IF(AR428=1," · ⚠ Fecha fuera de orden","")&amp;IF(LEFT(I428,1)="⚠"," · ⚠ Cliente no registrado","")&amp;IF(D428=""," · ⚠ Falta la actividad","")&amp;IF(AND(LEFT(P428,5)="AVISO",W428="")," · Captura la cifra total con IVA para el Aviso","")&amp;IF(AND(ISNUMBER(W428),W428&lt;E428)," · ⚠ La cifra con IVA es menor que el monto sin IVA",""),4,400))</f>
        <v/>
      </c>
      <c r="T428" s="21"/>
      <c r="U428" s="20"/>
      <c r="V428" s="9" t="str">
        <f aca="false">IF(LEFT(P428,5)&lt;&gt;"AVISO","",IF(T428="Presentado",IF(AND(ISNUMBER(U428),ISNUMBER(Q428),U428&gt;Q428),"Presentado tarde","Presentado"),IF(NOT(ISNUMBER(Q428)),"Falta fecha",IF(Q428&lt;CONFIG!$B$6,"VENCIDO","Vence en "&amp;(Q428-CONFIG!$B$6)&amp;" días"))))</f>
        <v/>
      </c>
      <c r="W428" s="22"/>
      <c r="X428" s="21"/>
      <c r="AA428" s="0" t="str">
        <f aca="false">IF(AM428="","",INDEX(CATÁLOGO!$D$5:$D$39,AM428))</f>
        <v/>
      </c>
      <c r="AB428" s="0" t="str">
        <f aca="false">IF(AM428="","",INDEX(CATÁLOGO!$E$5:$E$39,AM428))</f>
        <v/>
      </c>
      <c r="AC428" s="0" t="str">
        <f aca="false">IF(AB428="","",IF(ISNUMBER(AB428),AB428*AV428,AB428))</f>
        <v/>
      </c>
      <c r="AD428" s="0" t="str">
        <f aca="false">IF(AM428="","",INDEX(CATÁLOGO!$F$5:$F$39,AM428))</f>
        <v/>
      </c>
      <c r="AE428" s="0" t="str">
        <f aca="false">IF(AD428="","",IF(ISNUMBER(AD428),AD428*AV428,AD428))</f>
        <v/>
      </c>
      <c r="AF428" s="0" t="str">
        <f aca="false">IF(AM428="","",INDEX(CATÁLOGO!$G$5:$G$39,AM428))</f>
        <v/>
      </c>
      <c r="AG428" s="0" t="str">
        <f aca="false">IF(AF428="","",IF(ISNUMBER(AF428),AF428*AV428,AF428))</f>
        <v/>
      </c>
      <c r="AH428" s="0" t="str">
        <f aca="false">IF(E428="","",C428&amp;"|"&amp;D428)</f>
        <v/>
      </c>
      <c r="AI428" s="27" t="n">
        <f aca="false">IF(M428&lt;&gt;"Sí",0,SUMPRODUCT(MAX(($AH$5:AH427=AH428)*($M$5:M427="Sí")*ROW($AH$5:AH427))))</f>
        <v>0</v>
      </c>
      <c r="AJ428" s="0" t="str">
        <f aca="false">IF(M428&lt;&gt;"Sí","",IF(AL428=1,B428,INDEX($AJ:$AJ,AI428)))</f>
        <v/>
      </c>
      <c r="AK428" s="0" t="str">
        <f aca="false">IF(M428&lt;&gt;"Sí","",IF(AL428=1,E428,INDEX($AK:$AK,AI428)+E428))</f>
        <v/>
      </c>
      <c r="AL428" s="0" t="str">
        <f aca="false">IF(M428&lt;&gt;"Sí","",IF(AI428=0,1,IF(INDEX($AN:$AN,AI428)=0,1,IF(B428&gt;=EDATE(INDEX($AJ:$AJ,AI428),6),1,0))))</f>
        <v/>
      </c>
      <c r="AM428" s="0" t="str">
        <f aca="false">IF(D428="","",IFERROR(MATCH(D428,CATÁLOGO!$C$5:$C$39,0),""))</f>
        <v/>
      </c>
      <c r="AN428" s="0" t="str">
        <f aca="false">IF(M428&lt;&gt;"Sí","",IF(AND(ISNUMBER(AE428),AK428&gt;=AE428),0,1))</f>
        <v/>
      </c>
      <c r="AO428" s="0" t="str">
        <f aca="false">IF(OR(E428="",C428="",NOT(ISNUMBER(B428))),"",SUMIFS($E$6:$E$505,$C$6:$C$505,C428,$B$6:$B$505,"&gt;="&amp;DATE(YEAR(B428),MONTH(B428),1),$B$6:$B$505,"&lt;"&amp;DATE(YEAR(B428),MONTH(B428)+1,1)))</f>
        <v/>
      </c>
      <c r="AP428" s="0" t="str">
        <f aca="false">IF(C428="","",IFERROR(INDEX(CLIENTES!$M$6:$M$305,MATCH(C428,CLIENTES!$A$6:$A$305,0)),""))</f>
        <v/>
      </c>
      <c r="AQ428" s="27" t="n">
        <f aca="false">IF(AND(ISNUMBER(AO428),ISNUMBER(AP428)),IF(AND(AP428&gt;0,AO428&gt;AP428),1,0),0)</f>
        <v>0</v>
      </c>
      <c r="AR428" s="27" t="n">
        <f aca="false">IF(NOT(ISNUMBER(B428)),0,IF(B428&lt;MAX($B$5:B427),1,0))</f>
        <v>0</v>
      </c>
      <c r="AS428" s="0" t="str">
        <f aca="false">IF(C428="","",IFERROR(INDEX(CLIENTES!$H$6:$H$305,MATCH(C428,CLIENTES!$A$6:$A$305,0)),""))</f>
        <v/>
      </c>
      <c r="AT428" s="0" t="str">
        <f aca="false">IF(AND(LEFT(P428,5)="AVISO",T428&lt;&gt;"Presentado",ISNUMBER(Q428)),Q428,"")</f>
        <v/>
      </c>
      <c r="AU428" s="27" t="n">
        <f aca="false">IF(AND(D428="XVI - Activos virtuales (PSAV): operación de intercambio/transferencia",M428="Sí",ISNUMBER(AE428)),IF(AK428&gt;=AE428,1,0),0)</f>
        <v>0</v>
      </c>
      <c r="AV428" s="30" t="n">
        <f aca="false">IF(NOT(ISNUMBER(B428)),CONFIG!$B$4,IFERROR(INDEX(CONFIG!$I$5:$I$14,MATCH(IF(MONTH(B428)=1,YEAR(B428)-1,YEAR(B428)),CONFIG!$H$5:$H$14,0)),CONFIG!$B$4))</f>
        <v>117.31</v>
      </c>
      <c r="AW428" s="27" t="n">
        <f aca="false">IF(AND(LEFT(D428,4)="I - ",ISNUMBER(B428),C428&lt;&gt;""),SUMIFS($E$6:$E$505,$C$6:$C$505,C428,$D$6:$D$505,D428,$B$6:$B$505,"&gt;"&amp;(B428-1),$B$6:$B$505,"&lt;="&amp;B428),0)</f>
        <v>0</v>
      </c>
      <c r="AX428" s="0" t="str">
        <f aca="false">IF(E428="","",IF(AD428="Siempre","AVISO (siempre)",IF(AD428="No aplica","Sin Aviso (sólo preparas: Ley 17 XI)",IF(NOT(ISNUMBER(AE428)),"",IF(AA428&lt;&gt;"ACUMULA",IF(E428&gt;=AE428,IF(AND(D428="XVI - Activos virtuales (PSAV): cobro de contraprestación (comisión) por el servicio",COUNTIFS($C$6:$C$505,C428,$B$6:$B$505,"&gt;="&amp;INT(B428),$B$6:$B$505,"&lt;"&amp;(INT(B428)+1),$AU$6:$AU$505,1)&gt;0),"En el Aviso del inciso a) (R 31 Bis)","AVISO"),"—"),IF(M428&lt;&gt;"Sí","—",IF(AK428&gt;=AE428,IF(AK428=E428,"AVISO","AVISO (acumulado)"),"Acumulando")))))))</f>
        <v/>
      </c>
    </row>
    <row r="429" customFormat="false" ht="15" hidden="false" customHeight="false" outlineLevel="0" collapsed="false">
      <c r="A429" s="9" t="str">
        <f aca="false">IF(E429="","",ROW()-5)</f>
        <v/>
      </c>
      <c r="B429" s="20"/>
      <c r="C429" s="21"/>
      <c r="D429" s="21"/>
      <c r="E429" s="22"/>
      <c r="F429" s="22"/>
      <c r="G429" s="21"/>
      <c r="H429" s="21"/>
      <c r="I429" s="9" t="str">
        <f aca="false">IF(C429="","",IFERROR(INDEX(CLIENTES!$B$6:$B$305,MATCH(C429,CLIENTES!$A$6:$A$305,0)),"⚠ ID no registrado"))</f>
        <v/>
      </c>
      <c r="J429" s="9" t="str">
        <f aca="false">IF(C429="","",IFERROR(INDEX(CLIENTES!$Z$6:$Z$305,MATCH(C429,CLIENTES!$A$6:$A$305,0)),""))</f>
        <v/>
      </c>
      <c r="K429" s="9" t="str">
        <f aca="false">IF(E429="","",IF(AB429="Siempre","Sí",IF(ISNUMBER(AC429),IF(E429&gt;=AC429,"Sí",IF(AW429&gt;=AC429,"Sí (serie 24 h)","No")),"")))</f>
        <v/>
      </c>
      <c r="L429" s="9" t="str">
        <f aca="false">IF(E429="","",AA429)</f>
        <v/>
      </c>
      <c r="M429" s="9" t="str">
        <f aca="false">IF(E429="","",IF(AA429&lt;&gt;"ACUMULA","No aplica",IF(LEFT(K429,2)="Sí","Sí","No")))</f>
        <v/>
      </c>
      <c r="N429" s="23" t="str">
        <f aca="false">IF(M429="Sí",AJ429,"")</f>
        <v/>
      </c>
      <c r="O429" s="24" t="str">
        <f aca="false">IF(M429="Sí",AK429,"")</f>
        <v/>
      </c>
      <c r="P429" s="25" t="str">
        <f aca="false">IF(AND(LEFT(D429,6)="XIV - ",LEFT(AX429,5)="AVISO"),"Pedimento (R 16): no va al SPPLD",AX429)</f>
        <v/>
      </c>
      <c r="Q429" s="23" t="str">
        <f aca="false">IF(LEFT(P429,5)="AVISO",IF(ISNUMBER(B429),DATE(YEAR(B429),MONTH(B429)+1,17),"Falta fecha"),"")</f>
        <v/>
      </c>
      <c r="R429" s="9" t="str">
        <f aca="false">IF(OR(F429="",F429=0),"",IF(ISNUMBER(AG429),IF(F429&gt;=AG429,"PROHIBIDO","Dentro del límite"),"No aplica"))</f>
        <v/>
      </c>
      <c r="S429" s="26" t="str">
        <f aca="false">IF(E429="","",MID(IF(AQ429=1," · Excede el perfil declarado","")&amp;IF(H429="Sí"," · Paga un tercero","")&amp;IF(J429="Alto"," · Cliente de riesgo alto: DDR (RCG 23 Ter 3 y 4)","")&amp;IF(AND(AS429&lt;&gt;"",AS429&lt;&gt;"No",AS429&lt;&gt;0)," · PEP","")&amp;IF(R429="PROHIBIDO"," · Efectivo prohibido: no lo recibas (Art. 32)","")&amp;IF(AR429=1," · ⚠ Fecha fuera de orden","")&amp;IF(LEFT(I429,1)="⚠"," · ⚠ Cliente no registrado","")&amp;IF(D429=""," · ⚠ Falta la actividad","")&amp;IF(AND(LEFT(P429,5)="AVISO",W429="")," · Captura la cifra total con IVA para el Aviso","")&amp;IF(AND(ISNUMBER(W429),W429&lt;E429)," · ⚠ La cifra con IVA es menor que el monto sin IVA",""),4,400))</f>
        <v/>
      </c>
      <c r="T429" s="21"/>
      <c r="U429" s="20"/>
      <c r="V429" s="9" t="str">
        <f aca="false">IF(LEFT(P429,5)&lt;&gt;"AVISO","",IF(T429="Presentado",IF(AND(ISNUMBER(U429),ISNUMBER(Q429),U429&gt;Q429),"Presentado tarde","Presentado"),IF(NOT(ISNUMBER(Q429)),"Falta fecha",IF(Q429&lt;CONFIG!$B$6,"VENCIDO","Vence en "&amp;(Q429-CONFIG!$B$6)&amp;" días"))))</f>
        <v/>
      </c>
      <c r="W429" s="22"/>
      <c r="X429" s="21"/>
      <c r="AA429" s="0" t="str">
        <f aca="false">IF(AM429="","",INDEX(CATÁLOGO!$D$5:$D$39,AM429))</f>
        <v/>
      </c>
      <c r="AB429" s="0" t="str">
        <f aca="false">IF(AM429="","",INDEX(CATÁLOGO!$E$5:$E$39,AM429))</f>
        <v/>
      </c>
      <c r="AC429" s="0" t="str">
        <f aca="false">IF(AB429="","",IF(ISNUMBER(AB429),AB429*AV429,AB429))</f>
        <v/>
      </c>
      <c r="AD429" s="0" t="str">
        <f aca="false">IF(AM429="","",INDEX(CATÁLOGO!$F$5:$F$39,AM429))</f>
        <v/>
      </c>
      <c r="AE429" s="0" t="str">
        <f aca="false">IF(AD429="","",IF(ISNUMBER(AD429),AD429*AV429,AD429))</f>
        <v/>
      </c>
      <c r="AF429" s="0" t="str">
        <f aca="false">IF(AM429="","",INDEX(CATÁLOGO!$G$5:$G$39,AM429))</f>
        <v/>
      </c>
      <c r="AG429" s="0" t="str">
        <f aca="false">IF(AF429="","",IF(ISNUMBER(AF429),AF429*AV429,AF429))</f>
        <v/>
      </c>
      <c r="AH429" s="0" t="str">
        <f aca="false">IF(E429="","",C429&amp;"|"&amp;D429)</f>
        <v/>
      </c>
      <c r="AI429" s="27" t="n">
        <f aca="false">IF(M429&lt;&gt;"Sí",0,SUMPRODUCT(MAX(($AH$5:AH428=AH429)*($M$5:M428="Sí")*ROW($AH$5:AH428))))</f>
        <v>0</v>
      </c>
      <c r="AJ429" s="0" t="str">
        <f aca="false">IF(M429&lt;&gt;"Sí","",IF(AL429=1,B429,INDEX($AJ:$AJ,AI429)))</f>
        <v/>
      </c>
      <c r="AK429" s="0" t="str">
        <f aca="false">IF(M429&lt;&gt;"Sí","",IF(AL429=1,E429,INDEX($AK:$AK,AI429)+E429))</f>
        <v/>
      </c>
      <c r="AL429" s="0" t="str">
        <f aca="false">IF(M429&lt;&gt;"Sí","",IF(AI429=0,1,IF(INDEX($AN:$AN,AI429)=0,1,IF(B429&gt;=EDATE(INDEX($AJ:$AJ,AI429),6),1,0))))</f>
        <v/>
      </c>
      <c r="AM429" s="0" t="str">
        <f aca="false">IF(D429="","",IFERROR(MATCH(D429,CATÁLOGO!$C$5:$C$39,0),""))</f>
        <v/>
      </c>
      <c r="AN429" s="0" t="str">
        <f aca="false">IF(M429&lt;&gt;"Sí","",IF(AND(ISNUMBER(AE429),AK429&gt;=AE429),0,1))</f>
        <v/>
      </c>
      <c r="AO429" s="0" t="str">
        <f aca="false">IF(OR(E429="",C429="",NOT(ISNUMBER(B429))),"",SUMIFS($E$6:$E$505,$C$6:$C$505,C429,$B$6:$B$505,"&gt;="&amp;DATE(YEAR(B429),MONTH(B429),1),$B$6:$B$505,"&lt;"&amp;DATE(YEAR(B429),MONTH(B429)+1,1)))</f>
        <v/>
      </c>
      <c r="AP429" s="0" t="str">
        <f aca="false">IF(C429="","",IFERROR(INDEX(CLIENTES!$M$6:$M$305,MATCH(C429,CLIENTES!$A$6:$A$305,0)),""))</f>
        <v/>
      </c>
      <c r="AQ429" s="27" t="n">
        <f aca="false">IF(AND(ISNUMBER(AO429),ISNUMBER(AP429)),IF(AND(AP429&gt;0,AO429&gt;AP429),1,0),0)</f>
        <v>0</v>
      </c>
      <c r="AR429" s="27" t="n">
        <f aca="false">IF(NOT(ISNUMBER(B429)),0,IF(B429&lt;MAX($B$5:B428),1,0))</f>
        <v>0</v>
      </c>
      <c r="AS429" s="0" t="str">
        <f aca="false">IF(C429="","",IFERROR(INDEX(CLIENTES!$H$6:$H$305,MATCH(C429,CLIENTES!$A$6:$A$305,0)),""))</f>
        <v/>
      </c>
      <c r="AT429" s="0" t="str">
        <f aca="false">IF(AND(LEFT(P429,5)="AVISO",T429&lt;&gt;"Presentado",ISNUMBER(Q429)),Q429,"")</f>
        <v/>
      </c>
      <c r="AU429" s="27" t="n">
        <f aca="false">IF(AND(D429="XVI - Activos virtuales (PSAV): operación de intercambio/transferencia",M429="Sí",ISNUMBER(AE429)),IF(AK429&gt;=AE429,1,0),0)</f>
        <v>0</v>
      </c>
      <c r="AV429" s="30" t="n">
        <f aca="false">IF(NOT(ISNUMBER(B429)),CONFIG!$B$4,IFERROR(INDEX(CONFIG!$I$5:$I$14,MATCH(IF(MONTH(B429)=1,YEAR(B429)-1,YEAR(B429)),CONFIG!$H$5:$H$14,0)),CONFIG!$B$4))</f>
        <v>117.31</v>
      </c>
      <c r="AW429" s="27" t="n">
        <f aca="false">IF(AND(LEFT(D429,4)="I - ",ISNUMBER(B429),C429&lt;&gt;""),SUMIFS($E$6:$E$505,$C$6:$C$505,C429,$D$6:$D$505,D429,$B$6:$B$505,"&gt;"&amp;(B429-1),$B$6:$B$505,"&lt;="&amp;B429),0)</f>
        <v>0</v>
      </c>
      <c r="AX429" s="0" t="str">
        <f aca="false">IF(E429="","",IF(AD429="Siempre","AVISO (siempre)",IF(AD429="No aplica","Sin Aviso (sólo preparas: Ley 17 XI)",IF(NOT(ISNUMBER(AE429)),"",IF(AA429&lt;&gt;"ACUMULA",IF(E429&gt;=AE429,IF(AND(D429="XVI - Activos virtuales (PSAV): cobro de contraprestación (comisión) por el servicio",COUNTIFS($C$6:$C$505,C429,$B$6:$B$505,"&gt;="&amp;INT(B429),$B$6:$B$505,"&lt;"&amp;(INT(B429)+1),$AU$6:$AU$505,1)&gt;0),"En el Aviso del inciso a) (R 31 Bis)","AVISO"),"—"),IF(M429&lt;&gt;"Sí","—",IF(AK429&gt;=AE429,IF(AK429=E429,"AVISO","AVISO (acumulado)"),"Acumulando")))))))</f>
        <v/>
      </c>
    </row>
    <row r="430" customFormat="false" ht="15" hidden="false" customHeight="false" outlineLevel="0" collapsed="false">
      <c r="A430" s="9" t="str">
        <f aca="false">IF(E430="","",ROW()-5)</f>
        <v/>
      </c>
      <c r="B430" s="20"/>
      <c r="C430" s="21"/>
      <c r="D430" s="21"/>
      <c r="E430" s="22"/>
      <c r="F430" s="22"/>
      <c r="G430" s="21"/>
      <c r="H430" s="21"/>
      <c r="I430" s="9" t="str">
        <f aca="false">IF(C430="","",IFERROR(INDEX(CLIENTES!$B$6:$B$305,MATCH(C430,CLIENTES!$A$6:$A$305,0)),"⚠ ID no registrado"))</f>
        <v/>
      </c>
      <c r="J430" s="9" t="str">
        <f aca="false">IF(C430="","",IFERROR(INDEX(CLIENTES!$Z$6:$Z$305,MATCH(C430,CLIENTES!$A$6:$A$305,0)),""))</f>
        <v/>
      </c>
      <c r="K430" s="9" t="str">
        <f aca="false">IF(E430="","",IF(AB430="Siempre","Sí",IF(ISNUMBER(AC430),IF(E430&gt;=AC430,"Sí",IF(AW430&gt;=AC430,"Sí (serie 24 h)","No")),"")))</f>
        <v/>
      </c>
      <c r="L430" s="9" t="str">
        <f aca="false">IF(E430="","",AA430)</f>
        <v/>
      </c>
      <c r="M430" s="9" t="str">
        <f aca="false">IF(E430="","",IF(AA430&lt;&gt;"ACUMULA","No aplica",IF(LEFT(K430,2)="Sí","Sí","No")))</f>
        <v/>
      </c>
      <c r="N430" s="23" t="str">
        <f aca="false">IF(M430="Sí",AJ430,"")</f>
        <v/>
      </c>
      <c r="O430" s="24" t="str">
        <f aca="false">IF(M430="Sí",AK430,"")</f>
        <v/>
      </c>
      <c r="P430" s="25" t="str">
        <f aca="false">IF(AND(LEFT(D430,6)="XIV - ",LEFT(AX430,5)="AVISO"),"Pedimento (R 16): no va al SPPLD",AX430)</f>
        <v/>
      </c>
      <c r="Q430" s="23" t="str">
        <f aca="false">IF(LEFT(P430,5)="AVISO",IF(ISNUMBER(B430),DATE(YEAR(B430),MONTH(B430)+1,17),"Falta fecha"),"")</f>
        <v/>
      </c>
      <c r="R430" s="9" t="str">
        <f aca="false">IF(OR(F430="",F430=0),"",IF(ISNUMBER(AG430),IF(F430&gt;=AG430,"PROHIBIDO","Dentro del límite"),"No aplica"))</f>
        <v/>
      </c>
      <c r="S430" s="26" t="str">
        <f aca="false">IF(E430="","",MID(IF(AQ430=1," · Excede el perfil declarado","")&amp;IF(H430="Sí"," · Paga un tercero","")&amp;IF(J430="Alto"," · Cliente de riesgo alto: DDR (RCG 23 Ter 3 y 4)","")&amp;IF(AND(AS430&lt;&gt;"",AS430&lt;&gt;"No",AS430&lt;&gt;0)," · PEP","")&amp;IF(R430="PROHIBIDO"," · Efectivo prohibido: no lo recibas (Art. 32)","")&amp;IF(AR430=1," · ⚠ Fecha fuera de orden","")&amp;IF(LEFT(I430,1)="⚠"," · ⚠ Cliente no registrado","")&amp;IF(D430=""," · ⚠ Falta la actividad","")&amp;IF(AND(LEFT(P430,5)="AVISO",W430="")," · Captura la cifra total con IVA para el Aviso","")&amp;IF(AND(ISNUMBER(W430),W430&lt;E430)," · ⚠ La cifra con IVA es menor que el monto sin IVA",""),4,400))</f>
        <v/>
      </c>
      <c r="T430" s="21"/>
      <c r="U430" s="20"/>
      <c r="V430" s="9" t="str">
        <f aca="false">IF(LEFT(P430,5)&lt;&gt;"AVISO","",IF(T430="Presentado",IF(AND(ISNUMBER(U430),ISNUMBER(Q430),U430&gt;Q430),"Presentado tarde","Presentado"),IF(NOT(ISNUMBER(Q430)),"Falta fecha",IF(Q430&lt;CONFIG!$B$6,"VENCIDO","Vence en "&amp;(Q430-CONFIG!$B$6)&amp;" días"))))</f>
        <v/>
      </c>
      <c r="W430" s="22"/>
      <c r="X430" s="21"/>
      <c r="AA430" s="0" t="str">
        <f aca="false">IF(AM430="","",INDEX(CATÁLOGO!$D$5:$D$39,AM430))</f>
        <v/>
      </c>
      <c r="AB430" s="0" t="str">
        <f aca="false">IF(AM430="","",INDEX(CATÁLOGO!$E$5:$E$39,AM430))</f>
        <v/>
      </c>
      <c r="AC430" s="0" t="str">
        <f aca="false">IF(AB430="","",IF(ISNUMBER(AB430),AB430*AV430,AB430))</f>
        <v/>
      </c>
      <c r="AD430" s="0" t="str">
        <f aca="false">IF(AM430="","",INDEX(CATÁLOGO!$F$5:$F$39,AM430))</f>
        <v/>
      </c>
      <c r="AE430" s="0" t="str">
        <f aca="false">IF(AD430="","",IF(ISNUMBER(AD430),AD430*AV430,AD430))</f>
        <v/>
      </c>
      <c r="AF430" s="0" t="str">
        <f aca="false">IF(AM430="","",INDEX(CATÁLOGO!$G$5:$G$39,AM430))</f>
        <v/>
      </c>
      <c r="AG430" s="0" t="str">
        <f aca="false">IF(AF430="","",IF(ISNUMBER(AF430),AF430*AV430,AF430))</f>
        <v/>
      </c>
      <c r="AH430" s="0" t="str">
        <f aca="false">IF(E430="","",C430&amp;"|"&amp;D430)</f>
        <v/>
      </c>
      <c r="AI430" s="27" t="n">
        <f aca="false">IF(M430&lt;&gt;"Sí",0,SUMPRODUCT(MAX(($AH$5:AH429=AH430)*($M$5:M429="Sí")*ROW($AH$5:AH429))))</f>
        <v>0</v>
      </c>
      <c r="AJ430" s="0" t="str">
        <f aca="false">IF(M430&lt;&gt;"Sí","",IF(AL430=1,B430,INDEX($AJ:$AJ,AI430)))</f>
        <v/>
      </c>
      <c r="AK430" s="0" t="str">
        <f aca="false">IF(M430&lt;&gt;"Sí","",IF(AL430=1,E430,INDEX($AK:$AK,AI430)+E430))</f>
        <v/>
      </c>
      <c r="AL430" s="0" t="str">
        <f aca="false">IF(M430&lt;&gt;"Sí","",IF(AI430=0,1,IF(INDEX($AN:$AN,AI430)=0,1,IF(B430&gt;=EDATE(INDEX($AJ:$AJ,AI430),6),1,0))))</f>
        <v/>
      </c>
      <c r="AM430" s="0" t="str">
        <f aca="false">IF(D430="","",IFERROR(MATCH(D430,CATÁLOGO!$C$5:$C$39,0),""))</f>
        <v/>
      </c>
      <c r="AN430" s="0" t="str">
        <f aca="false">IF(M430&lt;&gt;"Sí","",IF(AND(ISNUMBER(AE430),AK430&gt;=AE430),0,1))</f>
        <v/>
      </c>
      <c r="AO430" s="0" t="str">
        <f aca="false">IF(OR(E430="",C430="",NOT(ISNUMBER(B430))),"",SUMIFS($E$6:$E$505,$C$6:$C$505,C430,$B$6:$B$505,"&gt;="&amp;DATE(YEAR(B430),MONTH(B430),1),$B$6:$B$505,"&lt;"&amp;DATE(YEAR(B430),MONTH(B430)+1,1)))</f>
        <v/>
      </c>
      <c r="AP430" s="0" t="str">
        <f aca="false">IF(C430="","",IFERROR(INDEX(CLIENTES!$M$6:$M$305,MATCH(C430,CLIENTES!$A$6:$A$305,0)),""))</f>
        <v/>
      </c>
      <c r="AQ430" s="27" t="n">
        <f aca="false">IF(AND(ISNUMBER(AO430),ISNUMBER(AP430)),IF(AND(AP430&gt;0,AO430&gt;AP430),1,0),0)</f>
        <v>0</v>
      </c>
      <c r="AR430" s="27" t="n">
        <f aca="false">IF(NOT(ISNUMBER(B430)),0,IF(B430&lt;MAX($B$5:B429),1,0))</f>
        <v>0</v>
      </c>
      <c r="AS430" s="0" t="str">
        <f aca="false">IF(C430="","",IFERROR(INDEX(CLIENTES!$H$6:$H$305,MATCH(C430,CLIENTES!$A$6:$A$305,0)),""))</f>
        <v/>
      </c>
      <c r="AT430" s="0" t="str">
        <f aca="false">IF(AND(LEFT(P430,5)="AVISO",T430&lt;&gt;"Presentado",ISNUMBER(Q430)),Q430,"")</f>
        <v/>
      </c>
      <c r="AU430" s="27" t="n">
        <f aca="false">IF(AND(D430="XVI - Activos virtuales (PSAV): operación de intercambio/transferencia",M430="Sí",ISNUMBER(AE430)),IF(AK430&gt;=AE430,1,0),0)</f>
        <v>0</v>
      </c>
      <c r="AV430" s="30" t="n">
        <f aca="false">IF(NOT(ISNUMBER(B430)),CONFIG!$B$4,IFERROR(INDEX(CONFIG!$I$5:$I$14,MATCH(IF(MONTH(B430)=1,YEAR(B430)-1,YEAR(B430)),CONFIG!$H$5:$H$14,0)),CONFIG!$B$4))</f>
        <v>117.31</v>
      </c>
      <c r="AW430" s="27" t="n">
        <f aca="false">IF(AND(LEFT(D430,4)="I - ",ISNUMBER(B430),C430&lt;&gt;""),SUMIFS($E$6:$E$505,$C$6:$C$505,C430,$D$6:$D$505,D430,$B$6:$B$505,"&gt;"&amp;(B430-1),$B$6:$B$505,"&lt;="&amp;B430),0)</f>
        <v>0</v>
      </c>
      <c r="AX430" s="0" t="str">
        <f aca="false">IF(E430="","",IF(AD430="Siempre","AVISO (siempre)",IF(AD430="No aplica","Sin Aviso (sólo preparas: Ley 17 XI)",IF(NOT(ISNUMBER(AE430)),"",IF(AA430&lt;&gt;"ACUMULA",IF(E430&gt;=AE430,IF(AND(D430="XVI - Activos virtuales (PSAV): cobro de contraprestación (comisión) por el servicio",COUNTIFS($C$6:$C$505,C430,$B$6:$B$505,"&gt;="&amp;INT(B430),$B$6:$B$505,"&lt;"&amp;(INT(B430)+1),$AU$6:$AU$505,1)&gt;0),"En el Aviso del inciso a) (R 31 Bis)","AVISO"),"—"),IF(M430&lt;&gt;"Sí","—",IF(AK430&gt;=AE430,IF(AK430=E430,"AVISO","AVISO (acumulado)"),"Acumulando")))))))</f>
        <v/>
      </c>
    </row>
    <row r="431" customFormat="false" ht="15" hidden="false" customHeight="false" outlineLevel="0" collapsed="false">
      <c r="A431" s="9" t="str">
        <f aca="false">IF(E431="","",ROW()-5)</f>
        <v/>
      </c>
      <c r="B431" s="20"/>
      <c r="C431" s="21"/>
      <c r="D431" s="21"/>
      <c r="E431" s="22"/>
      <c r="F431" s="22"/>
      <c r="G431" s="21"/>
      <c r="H431" s="21"/>
      <c r="I431" s="9" t="str">
        <f aca="false">IF(C431="","",IFERROR(INDEX(CLIENTES!$B$6:$B$305,MATCH(C431,CLIENTES!$A$6:$A$305,0)),"⚠ ID no registrado"))</f>
        <v/>
      </c>
      <c r="J431" s="9" t="str">
        <f aca="false">IF(C431="","",IFERROR(INDEX(CLIENTES!$Z$6:$Z$305,MATCH(C431,CLIENTES!$A$6:$A$305,0)),""))</f>
        <v/>
      </c>
      <c r="K431" s="9" t="str">
        <f aca="false">IF(E431="","",IF(AB431="Siempre","Sí",IF(ISNUMBER(AC431),IF(E431&gt;=AC431,"Sí",IF(AW431&gt;=AC431,"Sí (serie 24 h)","No")),"")))</f>
        <v/>
      </c>
      <c r="L431" s="9" t="str">
        <f aca="false">IF(E431="","",AA431)</f>
        <v/>
      </c>
      <c r="M431" s="9" t="str">
        <f aca="false">IF(E431="","",IF(AA431&lt;&gt;"ACUMULA","No aplica",IF(LEFT(K431,2)="Sí","Sí","No")))</f>
        <v/>
      </c>
      <c r="N431" s="23" t="str">
        <f aca="false">IF(M431="Sí",AJ431,"")</f>
        <v/>
      </c>
      <c r="O431" s="24" t="str">
        <f aca="false">IF(M431="Sí",AK431,"")</f>
        <v/>
      </c>
      <c r="P431" s="25" t="str">
        <f aca="false">IF(AND(LEFT(D431,6)="XIV - ",LEFT(AX431,5)="AVISO"),"Pedimento (R 16): no va al SPPLD",AX431)</f>
        <v/>
      </c>
      <c r="Q431" s="23" t="str">
        <f aca="false">IF(LEFT(P431,5)="AVISO",IF(ISNUMBER(B431),DATE(YEAR(B431),MONTH(B431)+1,17),"Falta fecha"),"")</f>
        <v/>
      </c>
      <c r="R431" s="9" t="str">
        <f aca="false">IF(OR(F431="",F431=0),"",IF(ISNUMBER(AG431),IF(F431&gt;=AG431,"PROHIBIDO","Dentro del límite"),"No aplica"))</f>
        <v/>
      </c>
      <c r="S431" s="26" t="str">
        <f aca="false">IF(E431="","",MID(IF(AQ431=1," · Excede el perfil declarado","")&amp;IF(H431="Sí"," · Paga un tercero","")&amp;IF(J431="Alto"," · Cliente de riesgo alto: DDR (RCG 23 Ter 3 y 4)","")&amp;IF(AND(AS431&lt;&gt;"",AS431&lt;&gt;"No",AS431&lt;&gt;0)," · PEP","")&amp;IF(R431="PROHIBIDO"," · Efectivo prohibido: no lo recibas (Art. 32)","")&amp;IF(AR431=1," · ⚠ Fecha fuera de orden","")&amp;IF(LEFT(I431,1)="⚠"," · ⚠ Cliente no registrado","")&amp;IF(D431=""," · ⚠ Falta la actividad","")&amp;IF(AND(LEFT(P431,5)="AVISO",W431="")," · Captura la cifra total con IVA para el Aviso","")&amp;IF(AND(ISNUMBER(W431),W431&lt;E431)," · ⚠ La cifra con IVA es menor que el monto sin IVA",""),4,400))</f>
        <v/>
      </c>
      <c r="T431" s="21"/>
      <c r="U431" s="20"/>
      <c r="V431" s="9" t="str">
        <f aca="false">IF(LEFT(P431,5)&lt;&gt;"AVISO","",IF(T431="Presentado",IF(AND(ISNUMBER(U431),ISNUMBER(Q431),U431&gt;Q431),"Presentado tarde","Presentado"),IF(NOT(ISNUMBER(Q431)),"Falta fecha",IF(Q431&lt;CONFIG!$B$6,"VENCIDO","Vence en "&amp;(Q431-CONFIG!$B$6)&amp;" días"))))</f>
        <v/>
      </c>
      <c r="W431" s="22"/>
      <c r="X431" s="21"/>
      <c r="AA431" s="0" t="str">
        <f aca="false">IF(AM431="","",INDEX(CATÁLOGO!$D$5:$D$39,AM431))</f>
        <v/>
      </c>
      <c r="AB431" s="0" t="str">
        <f aca="false">IF(AM431="","",INDEX(CATÁLOGO!$E$5:$E$39,AM431))</f>
        <v/>
      </c>
      <c r="AC431" s="0" t="str">
        <f aca="false">IF(AB431="","",IF(ISNUMBER(AB431),AB431*AV431,AB431))</f>
        <v/>
      </c>
      <c r="AD431" s="0" t="str">
        <f aca="false">IF(AM431="","",INDEX(CATÁLOGO!$F$5:$F$39,AM431))</f>
        <v/>
      </c>
      <c r="AE431" s="0" t="str">
        <f aca="false">IF(AD431="","",IF(ISNUMBER(AD431),AD431*AV431,AD431))</f>
        <v/>
      </c>
      <c r="AF431" s="0" t="str">
        <f aca="false">IF(AM431="","",INDEX(CATÁLOGO!$G$5:$G$39,AM431))</f>
        <v/>
      </c>
      <c r="AG431" s="0" t="str">
        <f aca="false">IF(AF431="","",IF(ISNUMBER(AF431),AF431*AV431,AF431))</f>
        <v/>
      </c>
      <c r="AH431" s="0" t="str">
        <f aca="false">IF(E431="","",C431&amp;"|"&amp;D431)</f>
        <v/>
      </c>
      <c r="AI431" s="27" t="n">
        <f aca="false">IF(M431&lt;&gt;"Sí",0,SUMPRODUCT(MAX(($AH$5:AH430=AH431)*($M$5:M430="Sí")*ROW($AH$5:AH430))))</f>
        <v>0</v>
      </c>
      <c r="AJ431" s="0" t="str">
        <f aca="false">IF(M431&lt;&gt;"Sí","",IF(AL431=1,B431,INDEX($AJ:$AJ,AI431)))</f>
        <v/>
      </c>
      <c r="AK431" s="0" t="str">
        <f aca="false">IF(M431&lt;&gt;"Sí","",IF(AL431=1,E431,INDEX($AK:$AK,AI431)+E431))</f>
        <v/>
      </c>
      <c r="AL431" s="0" t="str">
        <f aca="false">IF(M431&lt;&gt;"Sí","",IF(AI431=0,1,IF(INDEX($AN:$AN,AI431)=0,1,IF(B431&gt;=EDATE(INDEX($AJ:$AJ,AI431),6),1,0))))</f>
        <v/>
      </c>
      <c r="AM431" s="0" t="str">
        <f aca="false">IF(D431="","",IFERROR(MATCH(D431,CATÁLOGO!$C$5:$C$39,0),""))</f>
        <v/>
      </c>
      <c r="AN431" s="0" t="str">
        <f aca="false">IF(M431&lt;&gt;"Sí","",IF(AND(ISNUMBER(AE431),AK431&gt;=AE431),0,1))</f>
        <v/>
      </c>
      <c r="AO431" s="0" t="str">
        <f aca="false">IF(OR(E431="",C431="",NOT(ISNUMBER(B431))),"",SUMIFS($E$6:$E$505,$C$6:$C$505,C431,$B$6:$B$505,"&gt;="&amp;DATE(YEAR(B431),MONTH(B431),1),$B$6:$B$505,"&lt;"&amp;DATE(YEAR(B431),MONTH(B431)+1,1)))</f>
        <v/>
      </c>
      <c r="AP431" s="0" t="str">
        <f aca="false">IF(C431="","",IFERROR(INDEX(CLIENTES!$M$6:$M$305,MATCH(C431,CLIENTES!$A$6:$A$305,0)),""))</f>
        <v/>
      </c>
      <c r="AQ431" s="27" t="n">
        <f aca="false">IF(AND(ISNUMBER(AO431),ISNUMBER(AP431)),IF(AND(AP431&gt;0,AO431&gt;AP431),1,0),0)</f>
        <v>0</v>
      </c>
      <c r="AR431" s="27" t="n">
        <f aca="false">IF(NOT(ISNUMBER(B431)),0,IF(B431&lt;MAX($B$5:B430),1,0))</f>
        <v>0</v>
      </c>
      <c r="AS431" s="0" t="str">
        <f aca="false">IF(C431="","",IFERROR(INDEX(CLIENTES!$H$6:$H$305,MATCH(C431,CLIENTES!$A$6:$A$305,0)),""))</f>
        <v/>
      </c>
      <c r="AT431" s="0" t="str">
        <f aca="false">IF(AND(LEFT(P431,5)="AVISO",T431&lt;&gt;"Presentado",ISNUMBER(Q431)),Q431,"")</f>
        <v/>
      </c>
      <c r="AU431" s="27" t="n">
        <f aca="false">IF(AND(D431="XVI - Activos virtuales (PSAV): operación de intercambio/transferencia",M431="Sí",ISNUMBER(AE431)),IF(AK431&gt;=AE431,1,0),0)</f>
        <v>0</v>
      </c>
      <c r="AV431" s="30" t="n">
        <f aca="false">IF(NOT(ISNUMBER(B431)),CONFIG!$B$4,IFERROR(INDEX(CONFIG!$I$5:$I$14,MATCH(IF(MONTH(B431)=1,YEAR(B431)-1,YEAR(B431)),CONFIG!$H$5:$H$14,0)),CONFIG!$B$4))</f>
        <v>117.31</v>
      </c>
      <c r="AW431" s="27" t="n">
        <f aca="false">IF(AND(LEFT(D431,4)="I - ",ISNUMBER(B431),C431&lt;&gt;""),SUMIFS($E$6:$E$505,$C$6:$C$505,C431,$D$6:$D$505,D431,$B$6:$B$505,"&gt;"&amp;(B431-1),$B$6:$B$505,"&lt;="&amp;B431),0)</f>
        <v>0</v>
      </c>
      <c r="AX431" s="0" t="str">
        <f aca="false">IF(E431="","",IF(AD431="Siempre","AVISO (siempre)",IF(AD431="No aplica","Sin Aviso (sólo preparas: Ley 17 XI)",IF(NOT(ISNUMBER(AE431)),"",IF(AA431&lt;&gt;"ACUMULA",IF(E431&gt;=AE431,IF(AND(D431="XVI - Activos virtuales (PSAV): cobro de contraprestación (comisión) por el servicio",COUNTIFS($C$6:$C$505,C431,$B$6:$B$505,"&gt;="&amp;INT(B431),$B$6:$B$505,"&lt;"&amp;(INT(B431)+1),$AU$6:$AU$505,1)&gt;0),"En el Aviso del inciso a) (R 31 Bis)","AVISO"),"—"),IF(M431&lt;&gt;"Sí","—",IF(AK431&gt;=AE431,IF(AK431=E431,"AVISO","AVISO (acumulado)"),"Acumulando")))))))</f>
        <v/>
      </c>
    </row>
    <row r="432" customFormat="false" ht="15" hidden="false" customHeight="false" outlineLevel="0" collapsed="false">
      <c r="A432" s="9" t="str">
        <f aca="false">IF(E432="","",ROW()-5)</f>
        <v/>
      </c>
      <c r="B432" s="20"/>
      <c r="C432" s="21"/>
      <c r="D432" s="21"/>
      <c r="E432" s="22"/>
      <c r="F432" s="22"/>
      <c r="G432" s="21"/>
      <c r="H432" s="21"/>
      <c r="I432" s="9" t="str">
        <f aca="false">IF(C432="","",IFERROR(INDEX(CLIENTES!$B$6:$B$305,MATCH(C432,CLIENTES!$A$6:$A$305,0)),"⚠ ID no registrado"))</f>
        <v/>
      </c>
      <c r="J432" s="9" t="str">
        <f aca="false">IF(C432="","",IFERROR(INDEX(CLIENTES!$Z$6:$Z$305,MATCH(C432,CLIENTES!$A$6:$A$305,0)),""))</f>
        <v/>
      </c>
      <c r="K432" s="9" t="str">
        <f aca="false">IF(E432="","",IF(AB432="Siempre","Sí",IF(ISNUMBER(AC432),IF(E432&gt;=AC432,"Sí",IF(AW432&gt;=AC432,"Sí (serie 24 h)","No")),"")))</f>
        <v/>
      </c>
      <c r="L432" s="9" t="str">
        <f aca="false">IF(E432="","",AA432)</f>
        <v/>
      </c>
      <c r="M432" s="9" t="str">
        <f aca="false">IF(E432="","",IF(AA432&lt;&gt;"ACUMULA","No aplica",IF(LEFT(K432,2)="Sí","Sí","No")))</f>
        <v/>
      </c>
      <c r="N432" s="23" t="str">
        <f aca="false">IF(M432="Sí",AJ432,"")</f>
        <v/>
      </c>
      <c r="O432" s="24" t="str">
        <f aca="false">IF(M432="Sí",AK432,"")</f>
        <v/>
      </c>
      <c r="P432" s="25" t="str">
        <f aca="false">IF(AND(LEFT(D432,6)="XIV - ",LEFT(AX432,5)="AVISO"),"Pedimento (R 16): no va al SPPLD",AX432)</f>
        <v/>
      </c>
      <c r="Q432" s="23" t="str">
        <f aca="false">IF(LEFT(P432,5)="AVISO",IF(ISNUMBER(B432),DATE(YEAR(B432),MONTH(B432)+1,17),"Falta fecha"),"")</f>
        <v/>
      </c>
      <c r="R432" s="9" t="str">
        <f aca="false">IF(OR(F432="",F432=0),"",IF(ISNUMBER(AG432),IF(F432&gt;=AG432,"PROHIBIDO","Dentro del límite"),"No aplica"))</f>
        <v/>
      </c>
      <c r="S432" s="26" t="str">
        <f aca="false">IF(E432="","",MID(IF(AQ432=1," · Excede el perfil declarado","")&amp;IF(H432="Sí"," · Paga un tercero","")&amp;IF(J432="Alto"," · Cliente de riesgo alto: DDR (RCG 23 Ter 3 y 4)","")&amp;IF(AND(AS432&lt;&gt;"",AS432&lt;&gt;"No",AS432&lt;&gt;0)," · PEP","")&amp;IF(R432="PROHIBIDO"," · Efectivo prohibido: no lo recibas (Art. 32)","")&amp;IF(AR432=1," · ⚠ Fecha fuera de orden","")&amp;IF(LEFT(I432,1)="⚠"," · ⚠ Cliente no registrado","")&amp;IF(D432=""," · ⚠ Falta la actividad","")&amp;IF(AND(LEFT(P432,5)="AVISO",W432="")," · Captura la cifra total con IVA para el Aviso","")&amp;IF(AND(ISNUMBER(W432),W432&lt;E432)," · ⚠ La cifra con IVA es menor que el monto sin IVA",""),4,400))</f>
        <v/>
      </c>
      <c r="T432" s="21"/>
      <c r="U432" s="20"/>
      <c r="V432" s="9" t="str">
        <f aca="false">IF(LEFT(P432,5)&lt;&gt;"AVISO","",IF(T432="Presentado",IF(AND(ISNUMBER(U432),ISNUMBER(Q432),U432&gt;Q432),"Presentado tarde","Presentado"),IF(NOT(ISNUMBER(Q432)),"Falta fecha",IF(Q432&lt;CONFIG!$B$6,"VENCIDO","Vence en "&amp;(Q432-CONFIG!$B$6)&amp;" días"))))</f>
        <v/>
      </c>
      <c r="W432" s="22"/>
      <c r="X432" s="21"/>
      <c r="AA432" s="0" t="str">
        <f aca="false">IF(AM432="","",INDEX(CATÁLOGO!$D$5:$D$39,AM432))</f>
        <v/>
      </c>
      <c r="AB432" s="0" t="str">
        <f aca="false">IF(AM432="","",INDEX(CATÁLOGO!$E$5:$E$39,AM432))</f>
        <v/>
      </c>
      <c r="AC432" s="0" t="str">
        <f aca="false">IF(AB432="","",IF(ISNUMBER(AB432),AB432*AV432,AB432))</f>
        <v/>
      </c>
      <c r="AD432" s="0" t="str">
        <f aca="false">IF(AM432="","",INDEX(CATÁLOGO!$F$5:$F$39,AM432))</f>
        <v/>
      </c>
      <c r="AE432" s="0" t="str">
        <f aca="false">IF(AD432="","",IF(ISNUMBER(AD432),AD432*AV432,AD432))</f>
        <v/>
      </c>
      <c r="AF432" s="0" t="str">
        <f aca="false">IF(AM432="","",INDEX(CATÁLOGO!$G$5:$G$39,AM432))</f>
        <v/>
      </c>
      <c r="AG432" s="0" t="str">
        <f aca="false">IF(AF432="","",IF(ISNUMBER(AF432),AF432*AV432,AF432))</f>
        <v/>
      </c>
      <c r="AH432" s="0" t="str">
        <f aca="false">IF(E432="","",C432&amp;"|"&amp;D432)</f>
        <v/>
      </c>
      <c r="AI432" s="27" t="n">
        <f aca="false">IF(M432&lt;&gt;"Sí",0,SUMPRODUCT(MAX(($AH$5:AH431=AH432)*($M$5:M431="Sí")*ROW($AH$5:AH431))))</f>
        <v>0</v>
      </c>
      <c r="AJ432" s="0" t="str">
        <f aca="false">IF(M432&lt;&gt;"Sí","",IF(AL432=1,B432,INDEX($AJ:$AJ,AI432)))</f>
        <v/>
      </c>
      <c r="AK432" s="0" t="str">
        <f aca="false">IF(M432&lt;&gt;"Sí","",IF(AL432=1,E432,INDEX($AK:$AK,AI432)+E432))</f>
        <v/>
      </c>
      <c r="AL432" s="0" t="str">
        <f aca="false">IF(M432&lt;&gt;"Sí","",IF(AI432=0,1,IF(INDEX($AN:$AN,AI432)=0,1,IF(B432&gt;=EDATE(INDEX($AJ:$AJ,AI432),6),1,0))))</f>
        <v/>
      </c>
      <c r="AM432" s="0" t="str">
        <f aca="false">IF(D432="","",IFERROR(MATCH(D432,CATÁLOGO!$C$5:$C$39,0),""))</f>
        <v/>
      </c>
      <c r="AN432" s="0" t="str">
        <f aca="false">IF(M432&lt;&gt;"Sí","",IF(AND(ISNUMBER(AE432),AK432&gt;=AE432),0,1))</f>
        <v/>
      </c>
      <c r="AO432" s="0" t="str">
        <f aca="false">IF(OR(E432="",C432="",NOT(ISNUMBER(B432))),"",SUMIFS($E$6:$E$505,$C$6:$C$505,C432,$B$6:$B$505,"&gt;="&amp;DATE(YEAR(B432),MONTH(B432),1),$B$6:$B$505,"&lt;"&amp;DATE(YEAR(B432),MONTH(B432)+1,1)))</f>
        <v/>
      </c>
      <c r="AP432" s="0" t="str">
        <f aca="false">IF(C432="","",IFERROR(INDEX(CLIENTES!$M$6:$M$305,MATCH(C432,CLIENTES!$A$6:$A$305,0)),""))</f>
        <v/>
      </c>
      <c r="AQ432" s="27" t="n">
        <f aca="false">IF(AND(ISNUMBER(AO432),ISNUMBER(AP432)),IF(AND(AP432&gt;0,AO432&gt;AP432),1,0),0)</f>
        <v>0</v>
      </c>
      <c r="AR432" s="27" t="n">
        <f aca="false">IF(NOT(ISNUMBER(B432)),0,IF(B432&lt;MAX($B$5:B431),1,0))</f>
        <v>0</v>
      </c>
      <c r="AS432" s="0" t="str">
        <f aca="false">IF(C432="","",IFERROR(INDEX(CLIENTES!$H$6:$H$305,MATCH(C432,CLIENTES!$A$6:$A$305,0)),""))</f>
        <v/>
      </c>
      <c r="AT432" s="0" t="str">
        <f aca="false">IF(AND(LEFT(P432,5)="AVISO",T432&lt;&gt;"Presentado",ISNUMBER(Q432)),Q432,"")</f>
        <v/>
      </c>
      <c r="AU432" s="27" t="n">
        <f aca="false">IF(AND(D432="XVI - Activos virtuales (PSAV): operación de intercambio/transferencia",M432="Sí",ISNUMBER(AE432)),IF(AK432&gt;=AE432,1,0),0)</f>
        <v>0</v>
      </c>
      <c r="AV432" s="30" t="n">
        <f aca="false">IF(NOT(ISNUMBER(B432)),CONFIG!$B$4,IFERROR(INDEX(CONFIG!$I$5:$I$14,MATCH(IF(MONTH(B432)=1,YEAR(B432)-1,YEAR(B432)),CONFIG!$H$5:$H$14,0)),CONFIG!$B$4))</f>
        <v>117.31</v>
      </c>
      <c r="AW432" s="27" t="n">
        <f aca="false">IF(AND(LEFT(D432,4)="I - ",ISNUMBER(B432),C432&lt;&gt;""),SUMIFS($E$6:$E$505,$C$6:$C$505,C432,$D$6:$D$505,D432,$B$6:$B$505,"&gt;"&amp;(B432-1),$B$6:$B$505,"&lt;="&amp;B432),0)</f>
        <v>0</v>
      </c>
      <c r="AX432" s="0" t="str">
        <f aca="false">IF(E432="","",IF(AD432="Siempre","AVISO (siempre)",IF(AD432="No aplica","Sin Aviso (sólo preparas: Ley 17 XI)",IF(NOT(ISNUMBER(AE432)),"",IF(AA432&lt;&gt;"ACUMULA",IF(E432&gt;=AE432,IF(AND(D432="XVI - Activos virtuales (PSAV): cobro de contraprestación (comisión) por el servicio",COUNTIFS($C$6:$C$505,C432,$B$6:$B$505,"&gt;="&amp;INT(B432),$B$6:$B$505,"&lt;"&amp;(INT(B432)+1),$AU$6:$AU$505,1)&gt;0),"En el Aviso del inciso a) (R 31 Bis)","AVISO"),"—"),IF(M432&lt;&gt;"Sí","—",IF(AK432&gt;=AE432,IF(AK432=E432,"AVISO","AVISO (acumulado)"),"Acumulando")))))))</f>
        <v/>
      </c>
    </row>
    <row r="433" customFormat="false" ht="15" hidden="false" customHeight="false" outlineLevel="0" collapsed="false">
      <c r="A433" s="9" t="str">
        <f aca="false">IF(E433="","",ROW()-5)</f>
        <v/>
      </c>
      <c r="B433" s="20"/>
      <c r="C433" s="21"/>
      <c r="D433" s="21"/>
      <c r="E433" s="22"/>
      <c r="F433" s="22"/>
      <c r="G433" s="21"/>
      <c r="H433" s="21"/>
      <c r="I433" s="9" t="str">
        <f aca="false">IF(C433="","",IFERROR(INDEX(CLIENTES!$B$6:$B$305,MATCH(C433,CLIENTES!$A$6:$A$305,0)),"⚠ ID no registrado"))</f>
        <v/>
      </c>
      <c r="J433" s="9" t="str">
        <f aca="false">IF(C433="","",IFERROR(INDEX(CLIENTES!$Z$6:$Z$305,MATCH(C433,CLIENTES!$A$6:$A$305,0)),""))</f>
        <v/>
      </c>
      <c r="K433" s="9" t="str">
        <f aca="false">IF(E433="","",IF(AB433="Siempre","Sí",IF(ISNUMBER(AC433),IF(E433&gt;=AC433,"Sí",IF(AW433&gt;=AC433,"Sí (serie 24 h)","No")),"")))</f>
        <v/>
      </c>
      <c r="L433" s="9" t="str">
        <f aca="false">IF(E433="","",AA433)</f>
        <v/>
      </c>
      <c r="M433" s="9" t="str">
        <f aca="false">IF(E433="","",IF(AA433&lt;&gt;"ACUMULA","No aplica",IF(LEFT(K433,2)="Sí","Sí","No")))</f>
        <v/>
      </c>
      <c r="N433" s="23" t="str">
        <f aca="false">IF(M433="Sí",AJ433,"")</f>
        <v/>
      </c>
      <c r="O433" s="24" t="str">
        <f aca="false">IF(M433="Sí",AK433,"")</f>
        <v/>
      </c>
      <c r="P433" s="25" t="str">
        <f aca="false">IF(AND(LEFT(D433,6)="XIV - ",LEFT(AX433,5)="AVISO"),"Pedimento (R 16): no va al SPPLD",AX433)</f>
        <v/>
      </c>
      <c r="Q433" s="23" t="str">
        <f aca="false">IF(LEFT(P433,5)="AVISO",IF(ISNUMBER(B433),DATE(YEAR(B433),MONTH(B433)+1,17),"Falta fecha"),"")</f>
        <v/>
      </c>
      <c r="R433" s="9" t="str">
        <f aca="false">IF(OR(F433="",F433=0),"",IF(ISNUMBER(AG433),IF(F433&gt;=AG433,"PROHIBIDO","Dentro del límite"),"No aplica"))</f>
        <v/>
      </c>
      <c r="S433" s="26" t="str">
        <f aca="false">IF(E433="","",MID(IF(AQ433=1," · Excede el perfil declarado","")&amp;IF(H433="Sí"," · Paga un tercero","")&amp;IF(J433="Alto"," · Cliente de riesgo alto: DDR (RCG 23 Ter 3 y 4)","")&amp;IF(AND(AS433&lt;&gt;"",AS433&lt;&gt;"No",AS433&lt;&gt;0)," · PEP","")&amp;IF(R433="PROHIBIDO"," · Efectivo prohibido: no lo recibas (Art. 32)","")&amp;IF(AR433=1," · ⚠ Fecha fuera de orden","")&amp;IF(LEFT(I433,1)="⚠"," · ⚠ Cliente no registrado","")&amp;IF(D433=""," · ⚠ Falta la actividad","")&amp;IF(AND(LEFT(P433,5)="AVISO",W433="")," · Captura la cifra total con IVA para el Aviso","")&amp;IF(AND(ISNUMBER(W433),W433&lt;E433)," · ⚠ La cifra con IVA es menor que el monto sin IVA",""),4,400))</f>
        <v/>
      </c>
      <c r="T433" s="21"/>
      <c r="U433" s="20"/>
      <c r="V433" s="9" t="str">
        <f aca="false">IF(LEFT(P433,5)&lt;&gt;"AVISO","",IF(T433="Presentado",IF(AND(ISNUMBER(U433),ISNUMBER(Q433),U433&gt;Q433),"Presentado tarde","Presentado"),IF(NOT(ISNUMBER(Q433)),"Falta fecha",IF(Q433&lt;CONFIG!$B$6,"VENCIDO","Vence en "&amp;(Q433-CONFIG!$B$6)&amp;" días"))))</f>
        <v/>
      </c>
      <c r="W433" s="22"/>
      <c r="X433" s="21"/>
      <c r="AA433" s="0" t="str">
        <f aca="false">IF(AM433="","",INDEX(CATÁLOGO!$D$5:$D$39,AM433))</f>
        <v/>
      </c>
      <c r="AB433" s="0" t="str">
        <f aca="false">IF(AM433="","",INDEX(CATÁLOGO!$E$5:$E$39,AM433))</f>
        <v/>
      </c>
      <c r="AC433" s="0" t="str">
        <f aca="false">IF(AB433="","",IF(ISNUMBER(AB433),AB433*AV433,AB433))</f>
        <v/>
      </c>
      <c r="AD433" s="0" t="str">
        <f aca="false">IF(AM433="","",INDEX(CATÁLOGO!$F$5:$F$39,AM433))</f>
        <v/>
      </c>
      <c r="AE433" s="0" t="str">
        <f aca="false">IF(AD433="","",IF(ISNUMBER(AD433),AD433*AV433,AD433))</f>
        <v/>
      </c>
      <c r="AF433" s="0" t="str">
        <f aca="false">IF(AM433="","",INDEX(CATÁLOGO!$G$5:$G$39,AM433))</f>
        <v/>
      </c>
      <c r="AG433" s="0" t="str">
        <f aca="false">IF(AF433="","",IF(ISNUMBER(AF433),AF433*AV433,AF433))</f>
        <v/>
      </c>
      <c r="AH433" s="0" t="str">
        <f aca="false">IF(E433="","",C433&amp;"|"&amp;D433)</f>
        <v/>
      </c>
      <c r="AI433" s="27" t="n">
        <f aca="false">IF(M433&lt;&gt;"Sí",0,SUMPRODUCT(MAX(($AH$5:AH432=AH433)*($M$5:M432="Sí")*ROW($AH$5:AH432))))</f>
        <v>0</v>
      </c>
      <c r="AJ433" s="0" t="str">
        <f aca="false">IF(M433&lt;&gt;"Sí","",IF(AL433=1,B433,INDEX($AJ:$AJ,AI433)))</f>
        <v/>
      </c>
      <c r="AK433" s="0" t="str">
        <f aca="false">IF(M433&lt;&gt;"Sí","",IF(AL433=1,E433,INDEX($AK:$AK,AI433)+E433))</f>
        <v/>
      </c>
      <c r="AL433" s="0" t="str">
        <f aca="false">IF(M433&lt;&gt;"Sí","",IF(AI433=0,1,IF(INDEX($AN:$AN,AI433)=0,1,IF(B433&gt;=EDATE(INDEX($AJ:$AJ,AI433),6),1,0))))</f>
        <v/>
      </c>
      <c r="AM433" s="0" t="str">
        <f aca="false">IF(D433="","",IFERROR(MATCH(D433,CATÁLOGO!$C$5:$C$39,0),""))</f>
        <v/>
      </c>
      <c r="AN433" s="0" t="str">
        <f aca="false">IF(M433&lt;&gt;"Sí","",IF(AND(ISNUMBER(AE433),AK433&gt;=AE433),0,1))</f>
        <v/>
      </c>
      <c r="AO433" s="0" t="str">
        <f aca="false">IF(OR(E433="",C433="",NOT(ISNUMBER(B433))),"",SUMIFS($E$6:$E$505,$C$6:$C$505,C433,$B$6:$B$505,"&gt;="&amp;DATE(YEAR(B433),MONTH(B433),1),$B$6:$B$505,"&lt;"&amp;DATE(YEAR(B433),MONTH(B433)+1,1)))</f>
        <v/>
      </c>
      <c r="AP433" s="0" t="str">
        <f aca="false">IF(C433="","",IFERROR(INDEX(CLIENTES!$M$6:$M$305,MATCH(C433,CLIENTES!$A$6:$A$305,0)),""))</f>
        <v/>
      </c>
      <c r="AQ433" s="27" t="n">
        <f aca="false">IF(AND(ISNUMBER(AO433),ISNUMBER(AP433)),IF(AND(AP433&gt;0,AO433&gt;AP433),1,0),0)</f>
        <v>0</v>
      </c>
      <c r="AR433" s="27" t="n">
        <f aca="false">IF(NOT(ISNUMBER(B433)),0,IF(B433&lt;MAX($B$5:B432),1,0))</f>
        <v>0</v>
      </c>
      <c r="AS433" s="0" t="str">
        <f aca="false">IF(C433="","",IFERROR(INDEX(CLIENTES!$H$6:$H$305,MATCH(C433,CLIENTES!$A$6:$A$305,0)),""))</f>
        <v/>
      </c>
      <c r="AT433" s="0" t="str">
        <f aca="false">IF(AND(LEFT(P433,5)="AVISO",T433&lt;&gt;"Presentado",ISNUMBER(Q433)),Q433,"")</f>
        <v/>
      </c>
      <c r="AU433" s="27" t="n">
        <f aca="false">IF(AND(D433="XVI - Activos virtuales (PSAV): operación de intercambio/transferencia",M433="Sí",ISNUMBER(AE433)),IF(AK433&gt;=AE433,1,0),0)</f>
        <v>0</v>
      </c>
      <c r="AV433" s="30" t="n">
        <f aca="false">IF(NOT(ISNUMBER(B433)),CONFIG!$B$4,IFERROR(INDEX(CONFIG!$I$5:$I$14,MATCH(IF(MONTH(B433)=1,YEAR(B433)-1,YEAR(B433)),CONFIG!$H$5:$H$14,0)),CONFIG!$B$4))</f>
        <v>117.31</v>
      </c>
      <c r="AW433" s="27" t="n">
        <f aca="false">IF(AND(LEFT(D433,4)="I - ",ISNUMBER(B433),C433&lt;&gt;""),SUMIFS($E$6:$E$505,$C$6:$C$505,C433,$D$6:$D$505,D433,$B$6:$B$505,"&gt;"&amp;(B433-1),$B$6:$B$505,"&lt;="&amp;B433),0)</f>
        <v>0</v>
      </c>
      <c r="AX433" s="0" t="str">
        <f aca="false">IF(E433="","",IF(AD433="Siempre","AVISO (siempre)",IF(AD433="No aplica","Sin Aviso (sólo preparas: Ley 17 XI)",IF(NOT(ISNUMBER(AE433)),"",IF(AA433&lt;&gt;"ACUMULA",IF(E433&gt;=AE433,IF(AND(D433="XVI - Activos virtuales (PSAV): cobro de contraprestación (comisión) por el servicio",COUNTIFS($C$6:$C$505,C433,$B$6:$B$505,"&gt;="&amp;INT(B433),$B$6:$B$505,"&lt;"&amp;(INT(B433)+1),$AU$6:$AU$505,1)&gt;0),"En el Aviso del inciso a) (R 31 Bis)","AVISO"),"—"),IF(M433&lt;&gt;"Sí","—",IF(AK433&gt;=AE433,IF(AK433=E433,"AVISO","AVISO (acumulado)"),"Acumulando")))))))</f>
        <v/>
      </c>
    </row>
    <row r="434" customFormat="false" ht="15" hidden="false" customHeight="false" outlineLevel="0" collapsed="false">
      <c r="A434" s="9" t="str">
        <f aca="false">IF(E434="","",ROW()-5)</f>
        <v/>
      </c>
      <c r="B434" s="20"/>
      <c r="C434" s="21"/>
      <c r="D434" s="21"/>
      <c r="E434" s="22"/>
      <c r="F434" s="22"/>
      <c r="G434" s="21"/>
      <c r="H434" s="21"/>
      <c r="I434" s="9" t="str">
        <f aca="false">IF(C434="","",IFERROR(INDEX(CLIENTES!$B$6:$B$305,MATCH(C434,CLIENTES!$A$6:$A$305,0)),"⚠ ID no registrado"))</f>
        <v/>
      </c>
      <c r="J434" s="9" t="str">
        <f aca="false">IF(C434="","",IFERROR(INDEX(CLIENTES!$Z$6:$Z$305,MATCH(C434,CLIENTES!$A$6:$A$305,0)),""))</f>
        <v/>
      </c>
      <c r="K434" s="9" t="str">
        <f aca="false">IF(E434="","",IF(AB434="Siempre","Sí",IF(ISNUMBER(AC434),IF(E434&gt;=AC434,"Sí",IF(AW434&gt;=AC434,"Sí (serie 24 h)","No")),"")))</f>
        <v/>
      </c>
      <c r="L434" s="9" t="str">
        <f aca="false">IF(E434="","",AA434)</f>
        <v/>
      </c>
      <c r="M434" s="9" t="str">
        <f aca="false">IF(E434="","",IF(AA434&lt;&gt;"ACUMULA","No aplica",IF(LEFT(K434,2)="Sí","Sí","No")))</f>
        <v/>
      </c>
      <c r="N434" s="23" t="str">
        <f aca="false">IF(M434="Sí",AJ434,"")</f>
        <v/>
      </c>
      <c r="O434" s="24" t="str">
        <f aca="false">IF(M434="Sí",AK434,"")</f>
        <v/>
      </c>
      <c r="P434" s="25" t="str">
        <f aca="false">IF(AND(LEFT(D434,6)="XIV - ",LEFT(AX434,5)="AVISO"),"Pedimento (R 16): no va al SPPLD",AX434)</f>
        <v/>
      </c>
      <c r="Q434" s="23" t="str">
        <f aca="false">IF(LEFT(P434,5)="AVISO",IF(ISNUMBER(B434),DATE(YEAR(B434),MONTH(B434)+1,17),"Falta fecha"),"")</f>
        <v/>
      </c>
      <c r="R434" s="9" t="str">
        <f aca="false">IF(OR(F434="",F434=0),"",IF(ISNUMBER(AG434),IF(F434&gt;=AG434,"PROHIBIDO","Dentro del límite"),"No aplica"))</f>
        <v/>
      </c>
      <c r="S434" s="26" t="str">
        <f aca="false">IF(E434="","",MID(IF(AQ434=1," · Excede el perfil declarado","")&amp;IF(H434="Sí"," · Paga un tercero","")&amp;IF(J434="Alto"," · Cliente de riesgo alto: DDR (RCG 23 Ter 3 y 4)","")&amp;IF(AND(AS434&lt;&gt;"",AS434&lt;&gt;"No",AS434&lt;&gt;0)," · PEP","")&amp;IF(R434="PROHIBIDO"," · Efectivo prohibido: no lo recibas (Art. 32)","")&amp;IF(AR434=1," · ⚠ Fecha fuera de orden","")&amp;IF(LEFT(I434,1)="⚠"," · ⚠ Cliente no registrado","")&amp;IF(D434=""," · ⚠ Falta la actividad","")&amp;IF(AND(LEFT(P434,5)="AVISO",W434="")," · Captura la cifra total con IVA para el Aviso","")&amp;IF(AND(ISNUMBER(W434),W434&lt;E434)," · ⚠ La cifra con IVA es menor que el monto sin IVA",""),4,400))</f>
        <v/>
      </c>
      <c r="T434" s="21"/>
      <c r="U434" s="20"/>
      <c r="V434" s="9" t="str">
        <f aca="false">IF(LEFT(P434,5)&lt;&gt;"AVISO","",IF(T434="Presentado",IF(AND(ISNUMBER(U434),ISNUMBER(Q434),U434&gt;Q434),"Presentado tarde","Presentado"),IF(NOT(ISNUMBER(Q434)),"Falta fecha",IF(Q434&lt;CONFIG!$B$6,"VENCIDO","Vence en "&amp;(Q434-CONFIG!$B$6)&amp;" días"))))</f>
        <v/>
      </c>
      <c r="W434" s="22"/>
      <c r="X434" s="21"/>
      <c r="AA434" s="0" t="str">
        <f aca="false">IF(AM434="","",INDEX(CATÁLOGO!$D$5:$D$39,AM434))</f>
        <v/>
      </c>
      <c r="AB434" s="0" t="str">
        <f aca="false">IF(AM434="","",INDEX(CATÁLOGO!$E$5:$E$39,AM434))</f>
        <v/>
      </c>
      <c r="AC434" s="0" t="str">
        <f aca="false">IF(AB434="","",IF(ISNUMBER(AB434),AB434*AV434,AB434))</f>
        <v/>
      </c>
      <c r="AD434" s="0" t="str">
        <f aca="false">IF(AM434="","",INDEX(CATÁLOGO!$F$5:$F$39,AM434))</f>
        <v/>
      </c>
      <c r="AE434" s="0" t="str">
        <f aca="false">IF(AD434="","",IF(ISNUMBER(AD434),AD434*AV434,AD434))</f>
        <v/>
      </c>
      <c r="AF434" s="0" t="str">
        <f aca="false">IF(AM434="","",INDEX(CATÁLOGO!$G$5:$G$39,AM434))</f>
        <v/>
      </c>
      <c r="AG434" s="0" t="str">
        <f aca="false">IF(AF434="","",IF(ISNUMBER(AF434),AF434*AV434,AF434))</f>
        <v/>
      </c>
      <c r="AH434" s="0" t="str">
        <f aca="false">IF(E434="","",C434&amp;"|"&amp;D434)</f>
        <v/>
      </c>
      <c r="AI434" s="27" t="n">
        <f aca="false">IF(M434&lt;&gt;"Sí",0,SUMPRODUCT(MAX(($AH$5:AH433=AH434)*($M$5:M433="Sí")*ROW($AH$5:AH433))))</f>
        <v>0</v>
      </c>
      <c r="AJ434" s="0" t="str">
        <f aca="false">IF(M434&lt;&gt;"Sí","",IF(AL434=1,B434,INDEX($AJ:$AJ,AI434)))</f>
        <v/>
      </c>
      <c r="AK434" s="0" t="str">
        <f aca="false">IF(M434&lt;&gt;"Sí","",IF(AL434=1,E434,INDEX($AK:$AK,AI434)+E434))</f>
        <v/>
      </c>
      <c r="AL434" s="0" t="str">
        <f aca="false">IF(M434&lt;&gt;"Sí","",IF(AI434=0,1,IF(INDEX($AN:$AN,AI434)=0,1,IF(B434&gt;=EDATE(INDEX($AJ:$AJ,AI434),6),1,0))))</f>
        <v/>
      </c>
      <c r="AM434" s="0" t="str">
        <f aca="false">IF(D434="","",IFERROR(MATCH(D434,CATÁLOGO!$C$5:$C$39,0),""))</f>
        <v/>
      </c>
      <c r="AN434" s="0" t="str">
        <f aca="false">IF(M434&lt;&gt;"Sí","",IF(AND(ISNUMBER(AE434),AK434&gt;=AE434),0,1))</f>
        <v/>
      </c>
      <c r="AO434" s="0" t="str">
        <f aca="false">IF(OR(E434="",C434="",NOT(ISNUMBER(B434))),"",SUMIFS($E$6:$E$505,$C$6:$C$505,C434,$B$6:$B$505,"&gt;="&amp;DATE(YEAR(B434),MONTH(B434),1),$B$6:$B$505,"&lt;"&amp;DATE(YEAR(B434),MONTH(B434)+1,1)))</f>
        <v/>
      </c>
      <c r="AP434" s="0" t="str">
        <f aca="false">IF(C434="","",IFERROR(INDEX(CLIENTES!$M$6:$M$305,MATCH(C434,CLIENTES!$A$6:$A$305,0)),""))</f>
        <v/>
      </c>
      <c r="AQ434" s="27" t="n">
        <f aca="false">IF(AND(ISNUMBER(AO434),ISNUMBER(AP434)),IF(AND(AP434&gt;0,AO434&gt;AP434),1,0),0)</f>
        <v>0</v>
      </c>
      <c r="AR434" s="27" t="n">
        <f aca="false">IF(NOT(ISNUMBER(B434)),0,IF(B434&lt;MAX($B$5:B433),1,0))</f>
        <v>0</v>
      </c>
      <c r="AS434" s="0" t="str">
        <f aca="false">IF(C434="","",IFERROR(INDEX(CLIENTES!$H$6:$H$305,MATCH(C434,CLIENTES!$A$6:$A$305,0)),""))</f>
        <v/>
      </c>
      <c r="AT434" s="0" t="str">
        <f aca="false">IF(AND(LEFT(P434,5)="AVISO",T434&lt;&gt;"Presentado",ISNUMBER(Q434)),Q434,"")</f>
        <v/>
      </c>
      <c r="AU434" s="27" t="n">
        <f aca="false">IF(AND(D434="XVI - Activos virtuales (PSAV): operación de intercambio/transferencia",M434="Sí",ISNUMBER(AE434)),IF(AK434&gt;=AE434,1,0),0)</f>
        <v>0</v>
      </c>
      <c r="AV434" s="30" t="n">
        <f aca="false">IF(NOT(ISNUMBER(B434)),CONFIG!$B$4,IFERROR(INDEX(CONFIG!$I$5:$I$14,MATCH(IF(MONTH(B434)=1,YEAR(B434)-1,YEAR(B434)),CONFIG!$H$5:$H$14,0)),CONFIG!$B$4))</f>
        <v>117.31</v>
      </c>
      <c r="AW434" s="27" t="n">
        <f aca="false">IF(AND(LEFT(D434,4)="I - ",ISNUMBER(B434),C434&lt;&gt;""),SUMIFS($E$6:$E$505,$C$6:$C$505,C434,$D$6:$D$505,D434,$B$6:$B$505,"&gt;"&amp;(B434-1),$B$6:$B$505,"&lt;="&amp;B434),0)</f>
        <v>0</v>
      </c>
      <c r="AX434" s="0" t="str">
        <f aca="false">IF(E434="","",IF(AD434="Siempre","AVISO (siempre)",IF(AD434="No aplica","Sin Aviso (sólo preparas: Ley 17 XI)",IF(NOT(ISNUMBER(AE434)),"",IF(AA434&lt;&gt;"ACUMULA",IF(E434&gt;=AE434,IF(AND(D434="XVI - Activos virtuales (PSAV): cobro de contraprestación (comisión) por el servicio",COUNTIFS($C$6:$C$505,C434,$B$6:$B$505,"&gt;="&amp;INT(B434),$B$6:$B$505,"&lt;"&amp;(INT(B434)+1),$AU$6:$AU$505,1)&gt;0),"En el Aviso del inciso a) (R 31 Bis)","AVISO"),"—"),IF(M434&lt;&gt;"Sí","—",IF(AK434&gt;=AE434,IF(AK434=E434,"AVISO","AVISO (acumulado)"),"Acumulando")))))))</f>
        <v/>
      </c>
    </row>
    <row r="435" customFormat="false" ht="15" hidden="false" customHeight="false" outlineLevel="0" collapsed="false">
      <c r="A435" s="9" t="str">
        <f aca="false">IF(E435="","",ROW()-5)</f>
        <v/>
      </c>
      <c r="B435" s="20"/>
      <c r="C435" s="21"/>
      <c r="D435" s="21"/>
      <c r="E435" s="22"/>
      <c r="F435" s="22"/>
      <c r="G435" s="21"/>
      <c r="H435" s="21"/>
      <c r="I435" s="9" t="str">
        <f aca="false">IF(C435="","",IFERROR(INDEX(CLIENTES!$B$6:$B$305,MATCH(C435,CLIENTES!$A$6:$A$305,0)),"⚠ ID no registrado"))</f>
        <v/>
      </c>
      <c r="J435" s="9" t="str">
        <f aca="false">IF(C435="","",IFERROR(INDEX(CLIENTES!$Z$6:$Z$305,MATCH(C435,CLIENTES!$A$6:$A$305,0)),""))</f>
        <v/>
      </c>
      <c r="K435" s="9" t="str">
        <f aca="false">IF(E435="","",IF(AB435="Siempre","Sí",IF(ISNUMBER(AC435),IF(E435&gt;=AC435,"Sí",IF(AW435&gt;=AC435,"Sí (serie 24 h)","No")),"")))</f>
        <v/>
      </c>
      <c r="L435" s="9" t="str">
        <f aca="false">IF(E435="","",AA435)</f>
        <v/>
      </c>
      <c r="M435" s="9" t="str">
        <f aca="false">IF(E435="","",IF(AA435&lt;&gt;"ACUMULA","No aplica",IF(LEFT(K435,2)="Sí","Sí","No")))</f>
        <v/>
      </c>
      <c r="N435" s="23" t="str">
        <f aca="false">IF(M435="Sí",AJ435,"")</f>
        <v/>
      </c>
      <c r="O435" s="24" t="str">
        <f aca="false">IF(M435="Sí",AK435,"")</f>
        <v/>
      </c>
      <c r="P435" s="25" t="str">
        <f aca="false">IF(AND(LEFT(D435,6)="XIV - ",LEFT(AX435,5)="AVISO"),"Pedimento (R 16): no va al SPPLD",AX435)</f>
        <v/>
      </c>
      <c r="Q435" s="23" t="str">
        <f aca="false">IF(LEFT(P435,5)="AVISO",IF(ISNUMBER(B435),DATE(YEAR(B435),MONTH(B435)+1,17),"Falta fecha"),"")</f>
        <v/>
      </c>
      <c r="R435" s="9" t="str">
        <f aca="false">IF(OR(F435="",F435=0),"",IF(ISNUMBER(AG435),IF(F435&gt;=AG435,"PROHIBIDO","Dentro del límite"),"No aplica"))</f>
        <v/>
      </c>
      <c r="S435" s="26" t="str">
        <f aca="false">IF(E435="","",MID(IF(AQ435=1," · Excede el perfil declarado","")&amp;IF(H435="Sí"," · Paga un tercero","")&amp;IF(J435="Alto"," · Cliente de riesgo alto: DDR (RCG 23 Ter 3 y 4)","")&amp;IF(AND(AS435&lt;&gt;"",AS435&lt;&gt;"No",AS435&lt;&gt;0)," · PEP","")&amp;IF(R435="PROHIBIDO"," · Efectivo prohibido: no lo recibas (Art. 32)","")&amp;IF(AR435=1," · ⚠ Fecha fuera de orden","")&amp;IF(LEFT(I435,1)="⚠"," · ⚠ Cliente no registrado","")&amp;IF(D435=""," · ⚠ Falta la actividad","")&amp;IF(AND(LEFT(P435,5)="AVISO",W435="")," · Captura la cifra total con IVA para el Aviso","")&amp;IF(AND(ISNUMBER(W435),W435&lt;E435)," · ⚠ La cifra con IVA es menor que el monto sin IVA",""),4,400))</f>
        <v/>
      </c>
      <c r="T435" s="21"/>
      <c r="U435" s="20"/>
      <c r="V435" s="9" t="str">
        <f aca="false">IF(LEFT(P435,5)&lt;&gt;"AVISO","",IF(T435="Presentado",IF(AND(ISNUMBER(U435),ISNUMBER(Q435),U435&gt;Q435),"Presentado tarde","Presentado"),IF(NOT(ISNUMBER(Q435)),"Falta fecha",IF(Q435&lt;CONFIG!$B$6,"VENCIDO","Vence en "&amp;(Q435-CONFIG!$B$6)&amp;" días"))))</f>
        <v/>
      </c>
      <c r="W435" s="22"/>
      <c r="X435" s="21"/>
      <c r="AA435" s="0" t="str">
        <f aca="false">IF(AM435="","",INDEX(CATÁLOGO!$D$5:$D$39,AM435))</f>
        <v/>
      </c>
      <c r="AB435" s="0" t="str">
        <f aca="false">IF(AM435="","",INDEX(CATÁLOGO!$E$5:$E$39,AM435))</f>
        <v/>
      </c>
      <c r="AC435" s="0" t="str">
        <f aca="false">IF(AB435="","",IF(ISNUMBER(AB435),AB435*AV435,AB435))</f>
        <v/>
      </c>
      <c r="AD435" s="0" t="str">
        <f aca="false">IF(AM435="","",INDEX(CATÁLOGO!$F$5:$F$39,AM435))</f>
        <v/>
      </c>
      <c r="AE435" s="0" t="str">
        <f aca="false">IF(AD435="","",IF(ISNUMBER(AD435),AD435*AV435,AD435))</f>
        <v/>
      </c>
      <c r="AF435" s="0" t="str">
        <f aca="false">IF(AM435="","",INDEX(CATÁLOGO!$G$5:$G$39,AM435))</f>
        <v/>
      </c>
      <c r="AG435" s="0" t="str">
        <f aca="false">IF(AF435="","",IF(ISNUMBER(AF435),AF435*AV435,AF435))</f>
        <v/>
      </c>
      <c r="AH435" s="0" t="str">
        <f aca="false">IF(E435="","",C435&amp;"|"&amp;D435)</f>
        <v/>
      </c>
      <c r="AI435" s="27" t="n">
        <f aca="false">IF(M435&lt;&gt;"Sí",0,SUMPRODUCT(MAX(($AH$5:AH434=AH435)*($M$5:M434="Sí")*ROW($AH$5:AH434))))</f>
        <v>0</v>
      </c>
      <c r="AJ435" s="0" t="str">
        <f aca="false">IF(M435&lt;&gt;"Sí","",IF(AL435=1,B435,INDEX($AJ:$AJ,AI435)))</f>
        <v/>
      </c>
      <c r="AK435" s="0" t="str">
        <f aca="false">IF(M435&lt;&gt;"Sí","",IF(AL435=1,E435,INDEX($AK:$AK,AI435)+E435))</f>
        <v/>
      </c>
      <c r="AL435" s="0" t="str">
        <f aca="false">IF(M435&lt;&gt;"Sí","",IF(AI435=0,1,IF(INDEX($AN:$AN,AI435)=0,1,IF(B435&gt;=EDATE(INDEX($AJ:$AJ,AI435),6),1,0))))</f>
        <v/>
      </c>
      <c r="AM435" s="0" t="str">
        <f aca="false">IF(D435="","",IFERROR(MATCH(D435,CATÁLOGO!$C$5:$C$39,0),""))</f>
        <v/>
      </c>
      <c r="AN435" s="0" t="str">
        <f aca="false">IF(M435&lt;&gt;"Sí","",IF(AND(ISNUMBER(AE435),AK435&gt;=AE435),0,1))</f>
        <v/>
      </c>
      <c r="AO435" s="0" t="str">
        <f aca="false">IF(OR(E435="",C435="",NOT(ISNUMBER(B435))),"",SUMIFS($E$6:$E$505,$C$6:$C$505,C435,$B$6:$B$505,"&gt;="&amp;DATE(YEAR(B435),MONTH(B435),1),$B$6:$B$505,"&lt;"&amp;DATE(YEAR(B435),MONTH(B435)+1,1)))</f>
        <v/>
      </c>
      <c r="AP435" s="0" t="str">
        <f aca="false">IF(C435="","",IFERROR(INDEX(CLIENTES!$M$6:$M$305,MATCH(C435,CLIENTES!$A$6:$A$305,0)),""))</f>
        <v/>
      </c>
      <c r="AQ435" s="27" t="n">
        <f aca="false">IF(AND(ISNUMBER(AO435),ISNUMBER(AP435)),IF(AND(AP435&gt;0,AO435&gt;AP435),1,0),0)</f>
        <v>0</v>
      </c>
      <c r="AR435" s="27" t="n">
        <f aca="false">IF(NOT(ISNUMBER(B435)),0,IF(B435&lt;MAX($B$5:B434),1,0))</f>
        <v>0</v>
      </c>
      <c r="AS435" s="0" t="str">
        <f aca="false">IF(C435="","",IFERROR(INDEX(CLIENTES!$H$6:$H$305,MATCH(C435,CLIENTES!$A$6:$A$305,0)),""))</f>
        <v/>
      </c>
      <c r="AT435" s="0" t="str">
        <f aca="false">IF(AND(LEFT(P435,5)="AVISO",T435&lt;&gt;"Presentado",ISNUMBER(Q435)),Q435,"")</f>
        <v/>
      </c>
      <c r="AU435" s="27" t="n">
        <f aca="false">IF(AND(D435="XVI - Activos virtuales (PSAV): operación de intercambio/transferencia",M435="Sí",ISNUMBER(AE435)),IF(AK435&gt;=AE435,1,0),0)</f>
        <v>0</v>
      </c>
      <c r="AV435" s="30" t="n">
        <f aca="false">IF(NOT(ISNUMBER(B435)),CONFIG!$B$4,IFERROR(INDEX(CONFIG!$I$5:$I$14,MATCH(IF(MONTH(B435)=1,YEAR(B435)-1,YEAR(B435)),CONFIG!$H$5:$H$14,0)),CONFIG!$B$4))</f>
        <v>117.31</v>
      </c>
      <c r="AW435" s="27" t="n">
        <f aca="false">IF(AND(LEFT(D435,4)="I - ",ISNUMBER(B435),C435&lt;&gt;""),SUMIFS($E$6:$E$505,$C$6:$C$505,C435,$D$6:$D$505,D435,$B$6:$B$505,"&gt;"&amp;(B435-1),$B$6:$B$505,"&lt;="&amp;B435),0)</f>
        <v>0</v>
      </c>
      <c r="AX435" s="0" t="str">
        <f aca="false">IF(E435="","",IF(AD435="Siempre","AVISO (siempre)",IF(AD435="No aplica","Sin Aviso (sólo preparas: Ley 17 XI)",IF(NOT(ISNUMBER(AE435)),"",IF(AA435&lt;&gt;"ACUMULA",IF(E435&gt;=AE435,IF(AND(D435="XVI - Activos virtuales (PSAV): cobro de contraprestación (comisión) por el servicio",COUNTIFS($C$6:$C$505,C435,$B$6:$B$505,"&gt;="&amp;INT(B435),$B$6:$B$505,"&lt;"&amp;(INT(B435)+1),$AU$6:$AU$505,1)&gt;0),"En el Aviso del inciso a) (R 31 Bis)","AVISO"),"—"),IF(M435&lt;&gt;"Sí","—",IF(AK435&gt;=AE435,IF(AK435=E435,"AVISO","AVISO (acumulado)"),"Acumulando")))))))</f>
        <v/>
      </c>
    </row>
    <row r="436" customFormat="false" ht="15" hidden="false" customHeight="false" outlineLevel="0" collapsed="false">
      <c r="A436" s="9" t="str">
        <f aca="false">IF(E436="","",ROW()-5)</f>
        <v/>
      </c>
      <c r="B436" s="20"/>
      <c r="C436" s="21"/>
      <c r="D436" s="21"/>
      <c r="E436" s="22"/>
      <c r="F436" s="22"/>
      <c r="G436" s="21"/>
      <c r="H436" s="21"/>
      <c r="I436" s="9" t="str">
        <f aca="false">IF(C436="","",IFERROR(INDEX(CLIENTES!$B$6:$B$305,MATCH(C436,CLIENTES!$A$6:$A$305,0)),"⚠ ID no registrado"))</f>
        <v/>
      </c>
      <c r="J436" s="9" t="str">
        <f aca="false">IF(C436="","",IFERROR(INDEX(CLIENTES!$Z$6:$Z$305,MATCH(C436,CLIENTES!$A$6:$A$305,0)),""))</f>
        <v/>
      </c>
      <c r="K436" s="9" t="str">
        <f aca="false">IF(E436="","",IF(AB436="Siempre","Sí",IF(ISNUMBER(AC436),IF(E436&gt;=AC436,"Sí",IF(AW436&gt;=AC436,"Sí (serie 24 h)","No")),"")))</f>
        <v/>
      </c>
      <c r="L436" s="9" t="str">
        <f aca="false">IF(E436="","",AA436)</f>
        <v/>
      </c>
      <c r="M436" s="9" t="str">
        <f aca="false">IF(E436="","",IF(AA436&lt;&gt;"ACUMULA","No aplica",IF(LEFT(K436,2)="Sí","Sí","No")))</f>
        <v/>
      </c>
      <c r="N436" s="23" t="str">
        <f aca="false">IF(M436="Sí",AJ436,"")</f>
        <v/>
      </c>
      <c r="O436" s="24" t="str">
        <f aca="false">IF(M436="Sí",AK436,"")</f>
        <v/>
      </c>
      <c r="P436" s="25" t="str">
        <f aca="false">IF(AND(LEFT(D436,6)="XIV - ",LEFT(AX436,5)="AVISO"),"Pedimento (R 16): no va al SPPLD",AX436)</f>
        <v/>
      </c>
      <c r="Q436" s="23" t="str">
        <f aca="false">IF(LEFT(P436,5)="AVISO",IF(ISNUMBER(B436),DATE(YEAR(B436),MONTH(B436)+1,17),"Falta fecha"),"")</f>
        <v/>
      </c>
      <c r="R436" s="9" t="str">
        <f aca="false">IF(OR(F436="",F436=0),"",IF(ISNUMBER(AG436),IF(F436&gt;=AG436,"PROHIBIDO","Dentro del límite"),"No aplica"))</f>
        <v/>
      </c>
      <c r="S436" s="26" t="str">
        <f aca="false">IF(E436="","",MID(IF(AQ436=1," · Excede el perfil declarado","")&amp;IF(H436="Sí"," · Paga un tercero","")&amp;IF(J436="Alto"," · Cliente de riesgo alto: DDR (RCG 23 Ter 3 y 4)","")&amp;IF(AND(AS436&lt;&gt;"",AS436&lt;&gt;"No",AS436&lt;&gt;0)," · PEP","")&amp;IF(R436="PROHIBIDO"," · Efectivo prohibido: no lo recibas (Art. 32)","")&amp;IF(AR436=1," · ⚠ Fecha fuera de orden","")&amp;IF(LEFT(I436,1)="⚠"," · ⚠ Cliente no registrado","")&amp;IF(D436=""," · ⚠ Falta la actividad","")&amp;IF(AND(LEFT(P436,5)="AVISO",W436="")," · Captura la cifra total con IVA para el Aviso","")&amp;IF(AND(ISNUMBER(W436),W436&lt;E436)," · ⚠ La cifra con IVA es menor que el monto sin IVA",""),4,400))</f>
        <v/>
      </c>
      <c r="T436" s="21"/>
      <c r="U436" s="20"/>
      <c r="V436" s="9" t="str">
        <f aca="false">IF(LEFT(P436,5)&lt;&gt;"AVISO","",IF(T436="Presentado",IF(AND(ISNUMBER(U436),ISNUMBER(Q436),U436&gt;Q436),"Presentado tarde","Presentado"),IF(NOT(ISNUMBER(Q436)),"Falta fecha",IF(Q436&lt;CONFIG!$B$6,"VENCIDO","Vence en "&amp;(Q436-CONFIG!$B$6)&amp;" días"))))</f>
        <v/>
      </c>
      <c r="W436" s="22"/>
      <c r="X436" s="21"/>
      <c r="AA436" s="0" t="str">
        <f aca="false">IF(AM436="","",INDEX(CATÁLOGO!$D$5:$D$39,AM436))</f>
        <v/>
      </c>
      <c r="AB436" s="0" t="str">
        <f aca="false">IF(AM436="","",INDEX(CATÁLOGO!$E$5:$E$39,AM436))</f>
        <v/>
      </c>
      <c r="AC436" s="0" t="str">
        <f aca="false">IF(AB436="","",IF(ISNUMBER(AB436),AB436*AV436,AB436))</f>
        <v/>
      </c>
      <c r="AD436" s="0" t="str">
        <f aca="false">IF(AM436="","",INDEX(CATÁLOGO!$F$5:$F$39,AM436))</f>
        <v/>
      </c>
      <c r="AE436" s="0" t="str">
        <f aca="false">IF(AD436="","",IF(ISNUMBER(AD436),AD436*AV436,AD436))</f>
        <v/>
      </c>
      <c r="AF436" s="0" t="str">
        <f aca="false">IF(AM436="","",INDEX(CATÁLOGO!$G$5:$G$39,AM436))</f>
        <v/>
      </c>
      <c r="AG436" s="0" t="str">
        <f aca="false">IF(AF436="","",IF(ISNUMBER(AF436),AF436*AV436,AF436))</f>
        <v/>
      </c>
      <c r="AH436" s="0" t="str">
        <f aca="false">IF(E436="","",C436&amp;"|"&amp;D436)</f>
        <v/>
      </c>
      <c r="AI436" s="27" t="n">
        <f aca="false">IF(M436&lt;&gt;"Sí",0,SUMPRODUCT(MAX(($AH$5:AH435=AH436)*($M$5:M435="Sí")*ROW($AH$5:AH435))))</f>
        <v>0</v>
      </c>
      <c r="AJ436" s="0" t="str">
        <f aca="false">IF(M436&lt;&gt;"Sí","",IF(AL436=1,B436,INDEX($AJ:$AJ,AI436)))</f>
        <v/>
      </c>
      <c r="AK436" s="0" t="str">
        <f aca="false">IF(M436&lt;&gt;"Sí","",IF(AL436=1,E436,INDEX($AK:$AK,AI436)+E436))</f>
        <v/>
      </c>
      <c r="AL436" s="0" t="str">
        <f aca="false">IF(M436&lt;&gt;"Sí","",IF(AI436=0,1,IF(INDEX($AN:$AN,AI436)=0,1,IF(B436&gt;=EDATE(INDEX($AJ:$AJ,AI436),6),1,0))))</f>
        <v/>
      </c>
      <c r="AM436" s="0" t="str">
        <f aca="false">IF(D436="","",IFERROR(MATCH(D436,CATÁLOGO!$C$5:$C$39,0),""))</f>
        <v/>
      </c>
      <c r="AN436" s="0" t="str">
        <f aca="false">IF(M436&lt;&gt;"Sí","",IF(AND(ISNUMBER(AE436),AK436&gt;=AE436),0,1))</f>
        <v/>
      </c>
      <c r="AO436" s="0" t="str">
        <f aca="false">IF(OR(E436="",C436="",NOT(ISNUMBER(B436))),"",SUMIFS($E$6:$E$505,$C$6:$C$505,C436,$B$6:$B$505,"&gt;="&amp;DATE(YEAR(B436),MONTH(B436),1),$B$6:$B$505,"&lt;"&amp;DATE(YEAR(B436),MONTH(B436)+1,1)))</f>
        <v/>
      </c>
      <c r="AP436" s="0" t="str">
        <f aca="false">IF(C436="","",IFERROR(INDEX(CLIENTES!$M$6:$M$305,MATCH(C436,CLIENTES!$A$6:$A$305,0)),""))</f>
        <v/>
      </c>
      <c r="AQ436" s="27" t="n">
        <f aca="false">IF(AND(ISNUMBER(AO436),ISNUMBER(AP436)),IF(AND(AP436&gt;0,AO436&gt;AP436),1,0),0)</f>
        <v>0</v>
      </c>
      <c r="AR436" s="27" t="n">
        <f aca="false">IF(NOT(ISNUMBER(B436)),0,IF(B436&lt;MAX($B$5:B435),1,0))</f>
        <v>0</v>
      </c>
      <c r="AS436" s="0" t="str">
        <f aca="false">IF(C436="","",IFERROR(INDEX(CLIENTES!$H$6:$H$305,MATCH(C436,CLIENTES!$A$6:$A$305,0)),""))</f>
        <v/>
      </c>
      <c r="AT436" s="0" t="str">
        <f aca="false">IF(AND(LEFT(P436,5)="AVISO",T436&lt;&gt;"Presentado",ISNUMBER(Q436)),Q436,"")</f>
        <v/>
      </c>
      <c r="AU436" s="27" t="n">
        <f aca="false">IF(AND(D436="XVI - Activos virtuales (PSAV): operación de intercambio/transferencia",M436="Sí",ISNUMBER(AE436)),IF(AK436&gt;=AE436,1,0),0)</f>
        <v>0</v>
      </c>
      <c r="AV436" s="30" t="n">
        <f aca="false">IF(NOT(ISNUMBER(B436)),CONFIG!$B$4,IFERROR(INDEX(CONFIG!$I$5:$I$14,MATCH(IF(MONTH(B436)=1,YEAR(B436)-1,YEAR(B436)),CONFIG!$H$5:$H$14,0)),CONFIG!$B$4))</f>
        <v>117.31</v>
      </c>
      <c r="AW436" s="27" t="n">
        <f aca="false">IF(AND(LEFT(D436,4)="I - ",ISNUMBER(B436),C436&lt;&gt;""),SUMIFS($E$6:$E$505,$C$6:$C$505,C436,$D$6:$D$505,D436,$B$6:$B$505,"&gt;"&amp;(B436-1),$B$6:$B$505,"&lt;="&amp;B436),0)</f>
        <v>0</v>
      </c>
      <c r="AX436" s="0" t="str">
        <f aca="false">IF(E436="","",IF(AD436="Siempre","AVISO (siempre)",IF(AD436="No aplica","Sin Aviso (sólo preparas: Ley 17 XI)",IF(NOT(ISNUMBER(AE436)),"",IF(AA436&lt;&gt;"ACUMULA",IF(E436&gt;=AE436,IF(AND(D436="XVI - Activos virtuales (PSAV): cobro de contraprestación (comisión) por el servicio",COUNTIFS($C$6:$C$505,C436,$B$6:$B$505,"&gt;="&amp;INT(B436),$B$6:$B$505,"&lt;"&amp;(INT(B436)+1),$AU$6:$AU$505,1)&gt;0),"En el Aviso del inciso a) (R 31 Bis)","AVISO"),"—"),IF(M436&lt;&gt;"Sí","—",IF(AK436&gt;=AE436,IF(AK436=E436,"AVISO","AVISO (acumulado)"),"Acumulando")))))))</f>
        <v/>
      </c>
    </row>
    <row r="437" customFormat="false" ht="15" hidden="false" customHeight="false" outlineLevel="0" collapsed="false">
      <c r="A437" s="9" t="str">
        <f aca="false">IF(E437="","",ROW()-5)</f>
        <v/>
      </c>
      <c r="B437" s="20"/>
      <c r="C437" s="21"/>
      <c r="D437" s="21"/>
      <c r="E437" s="22"/>
      <c r="F437" s="22"/>
      <c r="G437" s="21"/>
      <c r="H437" s="21"/>
      <c r="I437" s="9" t="str">
        <f aca="false">IF(C437="","",IFERROR(INDEX(CLIENTES!$B$6:$B$305,MATCH(C437,CLIENTES!$A$6:$A$305,0)),"⚠ ID no registrado"))</f>
        <v/>
      </c>
      <c r="J437" s="9" t="str">
        <f aca="false">IF(C437="","",IFERROR(INDEX(CLIENTES!$Z$6:$Z$305,MATCH(C437,CLIENTES!$A$6:$A$305,0)),""))</f>
        <v/>
      </c>
      <c r="K437" s="9" t="str">
        <f aca="false">IF(E437="","",IF(AB437="Siempre","Sí",IF(ISNUMBER(AC437),IF(E437&gt;=AC437,"Sí",IF(AW437&gt;=AC437,"Sí (serie 24 h)","No")),"")))</f>
        <v/>
      </c>
      <c r="L437" s="9" t="str">
        <f aca="false">IF(E437="","",AA437)</f>
        <v/>
      </c>
      <c r="M437" s="9" t="str">
        <f aca="false">IF(E437="","",IF(AA437&lt;&gt;"ACUMULA","No aplica",IF(LEFT(K437,2)="Sí","Sí","No")))</f>
        <v/>
      </c>
      <c r="N437" s="23" t="str">
        <f aca="false">IF(M437="Sí",AJ437,"")</f>
        <v/>
      </c>
      <c r="O437" s="24" t="str">
        <f aca="false">IF(M437="Sí",AK437,"")</f>
        <v/>
      </c>
      <c r="P437" s="25" t="str">
        <f aca="false">IF(AND(LEFT(D437,6)="XIV - ",LEFT(AX437,5)="AVISO"),"Pedimento (R 16): no va al SPPLD",AX437)</f>
        <v/>
      </c>
      <c r="Q437" s="23" t="str">
        <f aca="false">IF(LEFT(P437,5)="AVISO",IF(ISNUMBER(B437),DATE(YEAR(B437),MONTH(B437)+1,17),"Falta fecha"),"")</f>
        <v/>
      </c>
      <c r="R437" s="9" t="str">
        <f aca="false">IF(OR(F437="",F437=0),"",IF(ISNUMBER(AG437),IF(F437&gt;=AG437,"PROHIBIDO","Dentro del límite"),"No aplica"))</f>
        <v/>
      </c>
      <c r="S437" s="26" t="str">
        <f aca="false">IF(E437="","",MID(IF(AQ437=1," · Excede el perfil declarado","")&amp;IF(H437="Sí"," · Paga un tercero","")&amp;IF(J437="Alto"," · Cliente de riesgo alto: DDR (RCG 23 Ter 3 y 4)","")&amp;IF(AND(AS437&lt;&gt;"",AS437&lt;&gt;"No",AS437&lt;&gt;0)," · PEP","")&amp;IF(R437="PROHIBIDO"," · Efectivo prohibido: no lo recibas (Art. 32)","")&amp;IF(AR437=1," · ⚠ Fecha fuera de orden","")&amp;IF(LEFT(I437,1)="⚠"," · ⚠ Cliente no registrado","")&amp;IF(D437=""," · ⚠ Falta la actividad","")&amp;IF(AND(LEFT(P437,5)="AVISO",W437="")," · Captura la cifra total con IVA para el Aviso","")&amp;IF(AND(ISNUMBER(W437),W437&lt;E437)," · ⚠ La cifra con IVA es menor que el monto sin IVA",""),4,400))</f>
        <v/>
      </c>
      <c r="T437" s="21"/>
      <c r="U437" s="20"/>
      <c r="V437" s="9" t="str">
        <f aca="false">IF(LEFT(P437,5)&lt;&gt;"AVISO","",IF(T437="Presentado",IF(AND(ISNUMBER(U437),ISNUMBER(Q437),U437&gt;Q437),"Presentado tarde","Presentado"),IF(NOT(ISNUMBER(Q437)),"Falta fecha",IF(Q437&lt;CONFIG!$B$6,"VENCIDO","Vence en "&amp;(Q437-CONFIG!$B$6)&amp;" días"))))</f>
        <v/>
      </c>
      <c r="W437" s="22"/>
      <c r="X437" s="21"/>
      <c r="AA437" s="0" t="str">
        <f aca="false">IF(AM437="","",INDEX(CATÁLOGO!$D$5:$D$39,AM437))</f>
        <v/>
      </c>
      <c r="AB437" s="0" t="str">
        <f aca="false">IF(AM437="","",INDEX(CATÁLOGO!$E$5:$E$39,AM437))</f>
        <v/>
      </c>
      <c r="AC437" s="0" t="str">
        <f aca="false">IF(AB437="","",IF(ISNUMBER(AB437),AB437*AV437,AB437))</f>
        <v/>
      </c>
      <c r="AD437" s="0" t="str">
        <f aca="false">IF(AM437="","",INDEX(CATÁLOGO!$F$5:$F$39,AM437))</f>
        <v/>
      </c>
      <c r="AE437" s="0" t="str">
        <f aca="false">IF(AD437="","",IF(ISNUMBER(AD437),AD437*AV437,AD437))</f>
        <v/>
      </c>
      <c r="AF437" s="0" t="str">
        <f aca="false">IF(AM437="","",INDEX(CATÁLOGO!$G$5:$G$39,AM437))</f>
        <v/>
      </c>
      <c r="AG437" s="0" t="str">
        <f aca="false">IF(AF437="","",IF(ISNUMBER(AF437),AF437*AV437,AF437))</f>
        <v/>
      </c>
      <c r="AH437" s="0" t="str">
        <f aca="false">IF(E437="","",C437&amp;"|"&amp;D437)</f>
        <v/>
      </c>
      <c r="AI437" s="27" t="n">
        <f aca="false">IF(M437&lt;&gt;"Sí",0,SUMPRODUCT(MAX(($AH$5:AH436=AH437)*($M$5:M436="Sí")*ROW($AH$5:AH436))))</f>
        <v>0</v>
      </c>
      <c r="AJ437" s="0" t="str">
        <f aca="false">IF(M437&lt;&gt;"Sí","",IF(AL437=1,B437,INDEX($AJ:$AJ,AI437)))</f>
        <v/>
      </c>
      <c r="AK437" s="0" t="str">
        <f aca="false">IF(M437&lt;&gt;"Sí","",IF(AL437=1,E437,INDEX($AK:$AK,AI437)+E437))</f>
        <v/>
      </c>
      <c r="AL437" s="0" t="str">
        <f aca="false">IF(M437&lt;&gt;"Sí","",IF(AI437=0,1,IF(INDEX($AN:$AN,AI437)=0,1,IF(B437&gt;=EDATE(INDEX($AJ:$AJ,AI437),6),1,0))))</f>
        <v/>
      </c>
      <c r="AM437" s="0" t="str">
        <f aca="false">IF(D437="","",IFERROR(MATCH(D437,CATÁLOGO!$C$5:$C$39,0),""))</f>
        <v/>
      </c>
      <c r="AN437" s="0" t="str">
        <f aca="false">IF(M437&lt;&gt;"Sí","",IF(AND(ISNUMBER(AE437),AK437&gt;=AE437),0,1))</f>
        <v/>
      </c>
      <c r="AO437" s="0" t="str">
        <f aca="false">IF(OR(E437="",C437="",NOT(ISNUMBER(B437))),"",SUMIFS($E$6:$E$505,$C$6:$C$505,C437,$B$6:$B$505,"&gt;="&amp;DATE(YEAR(B437),MONTH(B437),1),$B$6:$B$505,"&lt;"&amp;DATE(YEAR(B437),MONTH(B437)+1,1)))</f>
        <v/>
      </c>
      <c r="AP437" s="0" t="str">
        <f aca="false">IF(C437="","",IFERROR(INDEX(CLIENTES!$M$6:$M$305,MATCH(C437,CLIENTES!$A$6:$A$305,0)),""))</f>
        <v/>
      </c>
      <c r="AQ437" s="27" t="n">
        <f aca="false">IF(AND(ISNUMBER(AO437),ISNUMBER(AP437)),IF(AND(AP437&gt;0,AO437&gt;AP437),1,0),0)</f>
        <v>0</v>
      </c>
      <c r="AR437" s="27" t="n">
        <f aca="false">IF(NOT(ISNUMBER(B437)),0,IF(B437&lt;MAX($B$5:B436),1,0))</f>
        <v>0</v>
      </c>
      <c r="AS437" s="0" t="str">
        <f aca="false">IF(C437="","",IFERROR(INDEX(CLIENTES!$H$6:$H$305,MATCH(C437,CLIENTES!$A$6:$A$305,0)),""))</f>
        <v/>
      </c>
      <c r="AT437" s="0" t="str">
        <f aca="false">IF(AND(LEFT(P437,5)="AVISO",T437&lt;&gt;"Presentado",ISNUMBER(Q437)),Q437,"")</f>
        <v/>
      </c>
      <c r="AU437" s="27" t="n">
        <f aca="false">IF(AND(D437="XVI - Activos virtuales (PSAV): operación de intercambio/transferencia",M437="Sí",ISNUMBER(AE437)),IF(AK437&gt;=AE437,1,0),0)</f>
        <v>0</v>
      </c>
      <c r="AV437" s="30" t="n">
        <f aca="false">IF(NOT(ISNUMBER(B437)),CONFIG!$B$4,IFERROR(INDEX(CONFIG!$I$5:$I$14,MATCH(IF(MONTH(B437)=1,YEAR(B437)-1,YEAR(B437)),CONFIG!$H$5:$H$14,0)),CONFIG!$B$4))</f>
        <v>117.31</v>
      </c>
      <c r="AW437" s="27" t="n">
        <f aca="false">IF(AND(LEFT(D437,4)="I - ",ISNUMBER(B437),C437&lt;&gt;""),SUMIFS($E$6:$E$505,$C$6:$C$505,C437,$D$6:$D$505,D437,$B$6:$B$505,"&gt;"&amp;(B437-1),$B$6:$B$505,"&lt;="&amp;B437),0)</f>
        <v>0</v>
      </c>
      <c r="AX437" s="0" t="str">
        <f aca="false">IF(E437="","",IF(AD437="Siempre","AVISO (siempre)",IF(AD437="No aplica","Sin Aviso (sólo preparas: Ley 17 XI)",IF(NOT(ISNUMBER(AE437)),"",IF(AA437&lt;&gt;"ACUMULA",IF(E437&gt;=AE437,IF(AND(D437="XVI - Activos virtuales (PSAV): cobro de contraprestación (comisión) por el servicio",COUNTIFS($C$6:$C$505,C437,$B$6:$B$505,"&gt;="&amp;INT(B437),$B$6:$B$505,"&lt;"&amp;(INT(B437)+1),$AU$6:$AU$505,1)&gt;0),"En el Aviso del inciso a) (R 31 Bis)","AVISO"),"—"),IF(M437&lt;&gt;"Sí","—",IF(AK437&gt;=AE437,IF(AK437=E437,"AVISO","AVISO (acumulado)"),"Acumulando")))))))</f>
        <v/>
      </c>
    </row>
    <row r="438" customFormat="false" ht="15" hidden="false" customHeight="false" outlineLevel="0" collapsed="false">
      <c r="A438" s="9" t="str">
        <f aca="false">IF(E438="","",ROW()-5)</f>
        <v/>
      </c>
      <c r="B438" s="20"/>
      <c r="C438" s="21"/>
      <c r="D438" s="21"/>
      <c r="E438" s="22"/>
      <c r="F438" s="22"/>
      <c r="G438" s="21"/>
      <c r="H438" s="21"/>
      <c r="I438" s="9" t="str">
        <f aca="false">IF(C438="","",IFERROR(INDEX(CLIENTES!$B$6:$B$305,MATCH(C438,CLIENTES!$A$6:$A$305,0)),"⚠ ID no registrado"))</f>
        <v/>
      </c>
      <c r="J438" s="9" t="str">
        <f aca="false">IF(C438="","",IFERROR(INDEX(CLIENTES!$Z$6:$Z$305,MATCH(C438,CLIENTES!$A$6:$A$305,0)),""))</f>
        <v/>
      </c>
      <c r="K438" s="9" t="str">
        <f aca="false">IF(E438="","",IF(AB438="Siempre","Sí",IF(ISNUMBER(AC438),IF(E438&gt;=AC438,"Sí",IF(AW438&gt;=AC438,"Sí (serie 24 h)","No")),"")))</f>
        <v/>
      </c>
      <c r="L438" s="9" t="str">
        <f aca="false">IF(E438="","",AA438)</f>
        <v/>
      </c>
      <c r="M438" s="9" t="str">
        <f aca="false">IF(E438="","",IF(AA438&lt;&gt;"ACUMULA","No aplica",IF(LEFT(K438,2)="Sí","Sí","No")))</f>
        <v/>
      </c>
      <c r="N438" s="23" t="str">
        <f aca="false">IF(M438="Sí",AJ438,"")</f>
        <v/>
      </c>
      <c r="O438" s="24" t="str">
        <f aca="false">IF(M438="Sí",AK438,"")</f>
        <v/>
      </c>
      <c r="P438" s="25" t="str">
        <f aca="false">IF(AND(LEFT(D438,6)="XIV - ",LEFT(AX438,5)="AVISO"),"Pedimento (R 16): no va al SPPLD",AX438)</f>
        <v/>
      </c>
      <c r="Q438" s="23" t="str">
        <f aca="false">IF(LEFT(P438,5)="AVISO",IF(ISNUMBER(B438),DATE(YEAR(B438),MONTH(B438)+1,17),"Falta fecha"),"")</f>
        <v/>
      </c>
      <c r="R438" s="9" t="str">
        <f aca="false">IF(OR(F438="",F438=0),"",IF(ISNUMBER(AG438),IF(F438&gt;=AG438,"PROHIBIDO","Dentro del límite"),"No aplica"))</f>
        <v/>
      </c>
      <c r="S438" s="26" t="str">
        <f aca="false">IF(E438="","",MID(IF(AQ438=1," · Excede el perfil declarado","")&amp;IF(H438="Sí"," · Paga un tercero","")&amp;IF(J438="Alto"," · Cliente de riesgo alto: DDR (RCG 23 Ter 3 y 4)","")&amp;IF(AND(AS438&lt;&gt;"",AS438&lt;&gt;"No",AS438&lt;&gt;0)," · PEP","")&amp;IF(R438="PROHIBIDO"," · Efectivo prohibido: no lo recibas (Art. 32)","")&amp;IF(AR438=1," · ⚠ Fecha fuera de orden","")&amp;IF(LEFT(I438,1)="⚠"," · ⚠ Cliente no registrado","")&amp;IF(D438=""," · ⚠ Falta la actividad","")&amp;IF(AND(LEFT(P438,5)="AVISO",W438="")," · Captura la cifra total con IVA para el Aviso","")&amp;IF(AND(ISNUMBER(W438),W438&lt;E438)," · ⚠ La cifra con IVA es menor que el monto sin IVA",""),4,400))</f>
        <v/>
      </c>
      <c r="T438" s="21"/>
      <c r="U438" s="20"/>
      <c r="V438" s="9" t="str">
        <f aca="false">IF(LEFT(P438,5)&lt;&gt;"AVISO","",IF(T438="Presentado",IF(AND(ISNUMBER(U438),ISNUMBER(Q438),U438&gt;Q438),"Presentado tarde","Presentado"),IF(NOT(ISNUMBER(Q438)),"Falta fecha",IF(Q438&lt;CONFIG!$B$6,"VENCIDO","Vence en "&amp;(Q438-CONFIG!$B$6)&amp;" días"))))</f>
        <v/>
      </c>
      <c r="W438" s="22"/>
      <c r="X438" s="21"/>
      <c r="AA438" s="0" t="str">
        <f aca="false">IF(AM438="","",INDEX(CATÁLOGO!$D$5:$D$39,AM438))</f>
        <v/>
      </c>
      <c r="AB438" s="0" t="str">
        <f aca="false">IF(AM438="","",INDEX(CATÁLOGO!$E$5:$E$39,AM438))</f>
        <v/>
      </c>
      <c r="AC438" s="0" t="str">
        <f aca="false">IF(AB438="","",IF(ISNUMBER(AB438),AB438*AV438,AB438))</f>
        <v/>
      </c>
      <c r="AD438" s="0" t="str">
        <f aca="false">IF(AM438="","",INDEX(CATÁLOGO!$F$5:$F$39,AM438))</f>
        <v/>
      </c>
      <c r="AE438" s="0" t="str">
        <f aca="false">IF(AD438="","",IF(ISNUMBER(AD438),AD438*AV438,AD438))</f>
        <v/>
      </c>
      <c r="AF438" s="0" t="str">
        <f aca="false">IF(AM438="","",INDEX(CATÁLOGO!$G$5:$G$39,AM438))</f>
        <v/>
      </c>
      <c r="AG438" s="0" t="str">
        <f aca="false">IF(AF438="","",IF(ISNUMBER(AF438),AF438*AV438,AF438))</f>
        <v/>
      </c>
      <c r="AH438" s="0" t="str">
        <f aca="false">IF(E438="","",C438&amp;"|"&amp;D438)</f>
        <v/>
      </c>
      <c r="AI438" s="27" t="n">
        <f aca="false">IF(M438&lt;&gt;"Sí",0,SUMPRODUCT(MAX(($AH$5:AH437=AH438)*($M$5:M437="Sí")*ROW($AH$5:AH437))))</f>
        <v>0</v>
      </c>
      <c r="AJ438" s="0" t="str">
        <f aca="false">IF(M438&lt;&gt;"Sí","",IF(AL438=1,B438,INDEX($AJ:$AJ,AI438)))</f>
        <v/>
      </c>
      <c r="AK438" s="0" t="str">
        <f aca="false">IF(M438&lt;&gt;"Sí","",IF(AL438=1,E438,INDEX($AK:$AK,AI438)+E438))</f>
        <v/>
      </c>
      <c r="AL438" s="0" t="str">
        <f aca="false">IF(M438&lt;&gt;"Sí","",IF(AI438=0,1,IF(INDEX($AN:$AN,AI438)=0,1,IF(B438&gt;=EDATE(INDEX($AJ:$AJ,AI438),6),1,0))))</f>
        <v/>
      </c>
      <c r="AM438" s="0" t="str">
        <f aca="false">IF(D438="","",IFERROR(MATCH(D438,CATÁLOGO!$C$5:$C$39,0),""))</f>
        <v/>
      </c>
      <c r="AN438" s="0" t="str">
        <f aca="false">IF(M438&lt;&gt;"Sí","",IF(AND(ISNUMBER(AE438),AK438&gt;=AE438),0,1))</f>
        <v/>
      </c>
      <c r="AO438" s="0" t="str">
        <f aca="false">IF(OR(E438="",C438="",NOT(ISNUMBER(B438))),"",SUMIFS($E$6:$E$505,$C$6:$C$505,C438,$B$6:$B$505,"&gt;="&amp;DATE(YEAR(B438),MONTH(B438),1),$B$6:$B$505,"&lt;"&amp;DATE(YEAR(B438),MONTH(B438)+1,1)))</f>
        <v/>
      </c>
      <c r="AP438" s="0" t="str">
        <f aca="false">IF(C438="","",IFERROR(INDEX(CLIENTES!$M$6:$M$305,MATCH(C438,CLIENTES!$A$6:$A$305,0)),""))</f>
        <v/>
      </c>
      <c r="AQ438" s="27" t="n">
        <f aca="false">IF(AND(ISNUMBER(AO438),ISNUMBER(AP438)),IF(AND(AP438&gt;0,AO438&gt;AP438),1,0),0)</f>
        <v>0</v>
      </c>
      <c r="AR438" s="27" t="n">
        <f aca="false">IF(NOT(ISNUMBER(B438)),0,IF(B438&lt;MAX($B$5:B437),1,0))</f>
        <v>0</v>
      </c>
      <c r="AS438" s="0" t="str">
        <f aca="false">IF(C438="","",IFERROR(INDEX(CLIENTES!$H$6:$H$305,MATCH(C438,CLIENTES!$A$6:$A$305,0)),""))</f>
        <v/>
      </c>
      <c r="AT438" s="0" t="str">
        <f aca="false">IF(AND(LEFT(P438,5)="AVISO",T438&lt;&gt;"Presentado",ISNUMBER(Q438)),Q438,"")</f>
        <v/>
      </c>
      <c r="AU438" s="27" t="n">
        <f aca="false">IF(AND(D438="XVI - Activos virtuales (PSAV): operación de intercambio/transferencia",M438="Sí",ISNUMBER(AE438)),IF(AK438&gt;=AE438,1,0),0)</f>
        <v>0</v>
      </c>
      <c r="AV438" s="30" t="n">
        <f aca="false">IF(NOT(ISNUMBER(B438)),CONFIG!$B$4,IFERROR(INDEX(CONFIG!$I$5:$I$14,MATCH(IF(MONTH(B438)=1,YEAR(B438)-1,YEAR(B438)),CONFIG!$H$5:$H$14,0)),CONFIG!$B$4))</f>
        <v>117.31</v>
      </c>
      <c r="AW438" s="27" t="n">
        <f aca="false">IF(AND(LEFT(D438,4)="I - ",ISNUMBER(B438),C438&lt;&gt;""),SUMIFS($E$6:$E$505,$C$6:$C$505,C438,$D$6:$D$505,D438,$B$6:$B$505,"&gt;"&amp;(B438-1),$B$6:$B$505,"&lt;="&amp;B438),0)</f>
        <v>0</v>
      </c>
      <c r="AX438" s="0" t="str">
        <f aca="false">IF(E438="","",IF(AD438="Siempre","AVISO (siempre)",IF(AD438="No aplica","Sin Aviso (sólo preparas: Ley 17 XI)",IF(NOT(ISNUMBER(AE438)),"",IF(AA438&lt;&gt;"ACUMULA",IF(E438&gt;=AE438,IF(AND(D438="XVI - Activos virtuales (PSAV): cobro de contraprestación (comisión) por el servicio",COUNTIFS($C$6:$C$505,C438,$B$6:$B$505,"&gt;="&amp;INT(B438),$B$6:$B$505,"&lt;"&amp;(INT(B438)+1),$AU$6:$AU$505,1)&gt;0),"En el Aviso del inciso a) (R 31 Bis)","AVISO"),"—"),IF(M438&lt;&gt;"Sí","—",IF(AK438&gt;=AE438,IF(AK438=E438,"AVISO","AVISO (acumulado)"),"Acumulando")))))))</f>
        <v/>
      </c>
    </row>
    <row r="439" customFormat="false" ht="15" hidden="false" customHeight="false" outlineLevel="0" collapsed="false">
      <c r="A439" s="9" t="str">
        <f aca="false">IF(E439="","",ROW()-5)</f>
        <v/>
      </c>
      <c r="B439" s="20"/>
      <c r="C439" s="21"/>
      <c r="D439" s="21"/>
      <c r="E439" s="22"/>
      <c r="F439" s="22"/>
      <c r="G439" s="21"/>
      <c r="H439" s="21"/>
      <c r="I439" s="9" t="str">
        <f aca="false">IF(C439="","",IFERROR(INDEX(CLIENTES!$B$6:$B$305,MATCH(C439,CLIENTES!$A$6:$A$305,0)),"⚠ ID no registrado"))</f>
        <v/>
      </c>
      <c r="J439" s="9" t="str">
        <f aca="false">IF(C439="","",IFERROR(INDEX(CLIENTES!$Z$6:$Z$305,MATCH(C439,CLIENTES!$A$6:$A$305,0)),""))</f>
        <v/>
      </c>
      <c r="K439" s="9" t="str">
        <f aca="false">IF(E439="","",IF(AB439="Siempre","Sí",IF(ISNUMBER(AC439),IF(E439&gt;=AC439,"Sí",IF(AW439&gt;=AC439,"Sí (serie 24 h)","No")),"")))</f>
        <v/>
      </c>
      <c r="L439" s="9" t="str">
        <f aca="false">IF(E439="","",AA439)</f>
        <v/>
      </c>
      <c r="M439" s="9" t="str">
        <f aca="false">IF(E439="","",IF(AA439&lt;&gt;"ACUMULA","No aplica",IF(LEFT(K439,2)="Sí","Sí","No")))</f>
        <v/>
      </c>
      <c r="N439" s="23" t="str">
        <f aca="false">IF(M439="Sí",AJ439,"")</f>
        <v/>
      </c>
      <c r="O439" s="24" t="str">
        <f aca="false">IF(M439="Sí",AK439,"")</f>
        <v/>
      </c>
      <c r="P439" s="25" t="str">
        <f aca="false">IF(AND(LEFT(D439,6)="XIV - ",LEFT(AX439,5)="AVISO"),"Pedimento (R 16): no va al SPPLD",AX439)</f>
        <v/>
      </c>
      <c r="Q439" s="23" t="str">
        <f aca="false">IF(LEFT(P439,5)="AVISO",IF(ISNUMBER(B439),DATE(YEAR(B439),MONTH(B439)+1,17),"Falta fecha"),"")</f>
        <v/>
      </c>
      <c r="R439" s="9" t="str">
        <f aca="false">IF(OR(F439="",F439=0),"",IF(ISNUMBER(AG439),IF(F439&gt;=AG439,"PROHIBIDO","Dentro del límite"),"No aplica"))</f>
        <v/>
      </c>
      <c r="S439" s="26" t="str">
        <f aca="false">IF(E439="","",MID(IF(AQ439=1," · Excede el perfil declarado","")&amp;IF(H439="Sí"," · Paga un tercero","")&amp;IF(J439="Alto"," · Cliente de riesgo alto: DDR (RCG 23 Ter 3 y 4)","")&amp;IF(AND(AS439&lt;&gt;"",AS439&lt;&gt;"No",AS439&lt;&gt;0)," · PEP","")&amp;IF(R439="PROHIBIDO"," · Efectivo prohibido: no lo recibas (Art. 32)","")&amp;IF(AR439=1," · ⚠ Fecha fuera de orden","")&amp;IF(LEFT(I439,1)="⚠"," · ⚠ Cliente no registrado","")&amp;IF(D439=""," · ⚠ Falta la actividad","")&amp;IF(AND(LEFT(P439,5)="AVISO",W439="")," · Captura la cifra total con IVA para el Aviso","")&amp;IF(AND(ISNUMBER(W439),W439&lt;E439)," · ⚠ La cifra con IVA es menor que el monto sin IVA",""),4,400))</f>
        <v/>
      </c>
      <c r="T439" s="21"/>
      <c r="U439" s="20"/>
      <c r="V439" s="9" t="str">
        <f aca="false">IF(LEFT(P439,5)&lt;&gt;"AVISO","",IF(T439="Presentado",IF(AND(ISNUMBER(U439),ISNUMBER(Q439),U439&gt;Q439),"Presentado tarde","Presentado"),IF(NOT(ISNUMBER(Q439)),"Falta fecha",IF(Q439&lt;CONFIG!$B$6,"VENCIDO","Vence en "&amp;(Q439-CONFIG!$B$6)&amp;" días"))))</f>
        <v/>
      </c>
      <c r="W439" s="22"/>
      <c r="X439" s="21"/>
      <c r="AA439" s="0" t="str">
        <f aca="false">IF(AM439="","",INDEX(CATÁLOGO!$D$5:$D$39,AM439))</f>
        <v/>
      </c>
      <c r="AB439" s="0" t="str">
        <f aca="false">IF(AM439="","",INDEX(CATÁLOGO!$E$5:$E$39,AM439))</f>
        <v/>
      </c>
      <c r="AC439" s="0" t="str">
        <f aca="false">IF(AB439="","",IF(ISNUMBER(AB439),AB439*AV439,AB439))</f>
        <v/>
      </c>
      <c r="AD439" s="0" t="str">
        <f aca="false">IF(AM439="","",INDEX(CATÁLOGO!$F$5:$F$39,AM439))</f>
        <v/>
      </c>
      <c r="AE439" s="0" t="str">
        <f aca="false">IF(AD439="","",IF(ISNUMBER(AD439),AD439*AV439,AD439))</f>
        <v/>
      </c>
      <c r="AF439" s="0" t="str">
        <f aca="false">IF(AM439="","",INDEX(CATÁLOGO!$G$5:$G$39,AM439))</f>
        <v/>
      </c>
      <c r="AG439" s="0" t="str">
        <f aca="false">IF(AF439="","",IF(ISNUMBER(AF439),AF439*AV439,AF439))</f>
        <v/>
      </c>
      <c r="AH439" s="0" t="str">
        <f aca="false">IF(E439="","",C439&amp;"|"&amp;D439)</f>
        <v/>
      </c>
      <c r="AI439" s="27" t="n">
        <f aca="false">IF(M439&lt;&gt;"Sí",0,SUMPRODUCT(MAX(($AH$5:AH438=AH439)*($M$5:M438="Sí")*ROW($AH$5:AH438))))</f>
        <v>0</v>
      </c>
      <c r="AJ439" s="0" t="str">
        <f aca="false">IF(M439&lt;&gt;"Sí","",IF(AL439=1,B439,INDEX($AJ:$AJ,AI439)))</f>
        <v/>
      </c>
      <c r="AK439" s="0" t="str">
        <f aca="false">IF(M439&lt;&gt;"Sí","",IF(AL439=1,E439,INDEX($AK:$AK,AI439)+E439))</f>
        <v/>
      </c>
      <c r="AL439" s="0" t="str">
        <f aca="false">IF(M439&lt;&gt;"Sí","",IF(AI439=0,1,IF(INDEX($AN:$AN,AI439)=0,1,IF(B439&gt;=EDATE(INDEX($AJ:$AJ,AI439),6),1,0))))</f>
        <v/>
      </c>
      <c r="AM439" s="0" t="str">
        <f aca="false">IF(D439="","",IFERROR(MATCH(D439,CATÁLOGO!$C$5:$C$39,0),""))</f>
        <v/>
      </c>
      <c r="AN439" s="0" t="str">
        <f aca="false">IF(M439&lt;&gt;"Sí","",IF(AND(ISNUMBER(AE439),AK439&gt;=AE439),0,1))</f>
        <v/>
      </c>
      <c r="AO439" s="0" t="str">
        <f aca="false">IF(OR(E439="",C439="",NOT(ISNUMBER(B439))),"",SUMIFS($E$6:$E$505,$C$6:$C$505,C439,$B$6:$B$505,"&gt;="&amp;DATE(YEAR(B439),MONTH(B439),1),$B$6:$B$505,"&lt;"&amp;DATE(YEAR(B439),MONTH(B439)+1,1)))</f>
        <v/>
      </c>
      <c r="AP439" s="0" t="str">
        <f aca="false">IF(C439="","",IFERROR(INDEX(CLIENTES!$M$6:$M$305,MATCH(C439,CLIENTES!$A$6:$A$305,0)),""))</f>
        <v/>
      </c>
      <c r="AQ439" s="27" t="n">
        <f aca="false">IF(AND(ISNUMBER(AO439),ISNUMBER(AP439)),IF(AND(AP439&gt;0,AO439&gt;AP439),1,0),0)</f>
        <v>0</v>
      </c>
      <c r="AR439" s="27" t="n">
        <f aca="false">IF(NOT(ISNUMBER(B439)),0,IF(B439&lt;MAX($B$5:B438),1,0))</f>
        <v>0</v>
      </c>
      <c r="AS439" s="0" t="str">
        <f aca="false">IF(C439="","",IFERROR(INDEX(CLIENTES!$H$6:$H$305,MATCH(C439,CLIENTES!$A$6:$A$305,0)),""))</f>
        <v/>
      </c>
      <c r="AT439" s="0" t="str">
        <f aca="false">IF(AND(LEFT(P439,5)="AVISO",T439&lt;&gt;"Presentado",ISNUMBER(Q439)),Q439,"")</f>
        <v/>
      </c>
      <c r="AU439" s="27" t="n">
        <f aca="false">IF(AND(D439="XVI - Activos virtuales (PSAV): operación de intercambio/transferencia",M439="Sí",ISNUMBER(AE439)),IF(AK439&gt;=AE439,1,0),0)</f>
        <v>0</v>
      </c>
      <c r="AV439" s="30" t="n">
        <f aca="false">IF(NOT(ISNUMBER(B439)),CONFIG!$B$4,IFERROR(INDEX(CONFIG!$I$5:$I$14,MATCH(IF(MONTH(B439)=1,YEAR(B439)-1,YEAR(B439)),CONFIG!$H$5:$H$14,0)),CONFIG!$B$4))</f>
        <v>117.31</v>
      </c>
      <c r="AW439" s="27" t="n">
        <f aca="false">IF(AND(LEFT(D439,4)="I - ",ISNUMBER(B439),C439&lt;&gt;""),SUMIFS($E$6:$E$505,$C$6:$C$505,C439,$D$6:$D$505,D439,$B$6:$B$505,"&gt;"&amp;(B439-1),$B$6:$B$505,"&lt;="&amp;B439),0)</f>
        <v>0</v>
      </c>
      <c r="AX439" s="0" t="str">
        <f aca="false">IF(E439="","",IF(AD439="Siempre","AVISO (siempre)",IF(AD439="No aplica","Sin Aviso (sólo preparas: Ley 17 XI)",IF(NOT(ISNUMBER(AE439)),"",IF(AA439&lt;&gt;"ACUMULA",IF(E439&gt;=AE439,IF(AND(D439="XVI - Activos virtuales (PSAV): cobro de contraprestación (comisión) por el servicio",COUNTIFS($C$6:$C$505,C439,$B$6:$B$505,"&gt;="&amp;INT(B439),$B$6:$B$505,"&lt;"&amp;(INT(B439)+1),$AU$6:$AU$505,1)&gt;0),"En el Aviso del inciso a) (R 31 Bis)","AVISO"),"—"),IF(M439&lt;&gt;"Sí","—",IF(AK439&gt;=AE439,IF(AK439=E439,"AVISO","AVISO (acumulado)"),"Acumulando")))))))</f>
        <v/>
      </c>
    </row>
    <row r="440" customFormat="false" ht="15" hidden="false" customHeight="false" outlineLevel="0" collapsed="false">
      <c r="A440" s="9" t="str">
        <f aca="false">IF(E440="","",ROW()-5)</f>
        <v/>
      </c>
      <c r="B440" s="20"/>
      <c r="C440" s="21"/>
      <c r="D440" s="21"/>
      <c r="E440" s="22"/>
      <c r="F440" s="22"/>
      <c r="G440" s="21"/>
      <c r="H440" s="21"/>
      <c r="I440" s="9" t="str">
        <f aca="false">IF(C440="","",IFERROR(INDEX(CLIENTES!$B$6:$B$305,MATCH(C440,CLIENTES!$A$6:$A$305,0)),"⚠ ID no registrado"))</f>
        <v/>
      </c>
      <c r="J440" s="9" t="str">
        <f aca="false">IF(C440="","",IFERROR(INDEX(CLIENTES!$Z$6:$Z$305,MATCH(C440,CLIENTES!$A$6:$A$305,0)),""))</f>
        <v/>
      </c>
      <c r="K440" s="9" t="str">
        <f aca="false">IF(E440="","",IF(AB440="Siempre","Sí",IF(ISNUMBER(AC440),IF(E440&gt;=AC440,"Sí",IF(AW440&gt;=AC440,"Sí (serie 24 h)","No")),"")))</f>
        <v/>
      </c>
      <c r="L440" s="9" t="str">
        <f aca="false">IF(E440="","",AA440)</f>
        <v/>
      </c>
      <c r="M440" s="9" t="str">
        <f aca="false">IF(E440="","",IF(AA440&lt;&gt;"ACUMULA","No aplica",IF(LEFT(K440,2)="Sí","Sí","No")))</f>
        <v/>
      </c>
      <c r="N440" s="23" t="str">
        <f aca="false">IF(M440="Sí",AJ440,"")</f>
        <v/>
      </c>
      <c r="O440" s="24" t="str">
        <f aca="false">IF(M440="Sí",AK440,"")</f>
        <v/>
      </c>
      <c r="P440" s="25" t="str">
        <f aca="false">IF(AND(LEFT(D440,6)="XIV - ",LEFT(AX440,5)="AVISO"),"Pedimento (R 16): no va al SPPLD",AX440)</f>
        <v/>
      </c>
      <c r="Q440" s="23" t="str">
        <f aca="false">IF(LEFT(P440,5)="AVISO",IF(ISNUMBER(B440),DATE(YEAR(B440),MONTH(B440)+1,17),"Falta fecha"),"")</f>
        <v/>
      </c>
      <c r="R440" s="9" t="str">
        <f aca="false">IF(OR(F440="",F440=0),"",IF(ISNUMBER(AG440),IF(F440&gt;=AG440,"PROHIBIDO","Dentro del límite"),"No aplica"))</f>
        <v/>
      </c>
      <c r="S440" s="26" t="str">
        <f aca="false">IF(E440="","",MID(IF(AQ440=1," · Excede el perfil declarado","")&amp;IF(H440="Sí"," · Paga un tercero","")&amp;IF(J440="Alto"," · Cliente de riesgo alto: DDR (RCG 23 Ter 3 y 4)","")&amp;IF(AND(AS440&lt;&gt;"",AS440&lt;&gt;"No",AS440&lt;&gt;0)," · PEP","")&amp;IF(R440="PROHIBIDO"," · Efectivo prohibido: no lo recibas (Art. 32)","")&amp;IF(AR440=1," · ⚠ Fecha fuera de orden","")&amp;IF(LEFT(I440,1)="⚠"," · ⚠ Cliente no registrado","")&amp;IF(D440=""," · ⚠ Falta la actividad","")&amp;IF(AND(LEFT(P440,5)="AVISO",W440="")," · Captura la cifra total con IVA para el Aviso","")&amp;IF(AND(ISNUMBER(W440),W440&lt;E440)," · ⚠ La cifra con IVA es menor que el monto sin IVA",""),4,400))</f>
        <v/>
      </c>
      <c r="T440" s="21"/>
      <c r="U440" s="20"/>
      <c r="V440" s="9" t="str">
        <f aca="false">IF(LEFT(P440,5)&lt;&gt;"AVISO","",IF(T440="Presentado",IF(AND(ISNUMBER(U440),ISNUMBER(Q440),U440&gt;Q440),"Presentado tarde","Presentado"),IF(NOT(ISNUMBER(Q440)),"Falta fecha",IF(Q440&lt;CONFIG!$B$6,"VENCIDO","Vence en "&amp;(Q440-CONFIG!$B$6)&amp;" días"))))</f>
        <v/>
      </c>
      <c r="W440" s="22"/>
      <c r="X440" s="21"/>
      <c r="AA440" s="0" t="str">
        <f aca="false">IF(AM440="","",INDEX(CATÁLOGO!$D$5:$D$39,AM440))</f>
        <v/>
      </c>
      <c r="AB440" s="0" t="str">
        <f aca="false">IF(AM440="","",INDEX(CATÁLOGO!$E$5:$E$39,AM440))</f>
        <v/>
      </c>
      <c r="AC440" s="0" t="str">
        <f aca="false">IF(AB440="","",IF(ISNUMBER(AB440),AB440*AV440,AB440))</f>
        <v/>
      </c>
      <c r="AD440" s="0" t="str">
        <f aca="false">IF(AM440="","",INDEX(CATÁLOGO!$F$5:$F$39,AM440))</f>
        <v/>
      </c>
      <c r="AE440" s="0" t="str">
        <f aca="false">IF(AD440="","",IF(ISNUMBER(AD440),AD440*AV440,AD440))</f>
        <v/>
      </c>
      <c r="AF440" s="0" t="str">
        <f aca="false">IF(AM440="","",INDEX(CATÁLOGO!$G$5:$G$39,AM440))</f>
        <v/>
      </c>
      <c r="AG440" s="0" t="str">
        <f aca="false">IF(AF440="","",IF(ISNUMBER(AF440),AF440*AV440,AF440))</f>
        <v/>
      </c>
      <c r="AH440" s="0" t="str">
        <f aca="false">IF(E440="","",C440&amp;"|"&amp;D440)</f>
        <v/>
      </c>
      <c r="AI440" s="27" t="n">
        <f aca="false">IF(M440&lt;&gt;"Sí",0,SUMPRODUCT(MAX(($AH$5:AH439=AH440)*($M$5:M439="Sí")*ROW($AH$5:AH439))))</f>
        <v>0</v>
      </c>
      <c r="AJ440" s="0" t="str">
        <f aca="false">IF(M440&lt;&gt;"Sí","",IF(AL440=1,B440,INDEX($AJ:$AJ,AI440)))</f>
        <v/>
      </c>
      <c r="AK440" s="0" t="str">
        <f aca="false">IF(M440&lt;&gt;"Sí","",IF(AL440=1,E440,INDEX($AK:$AK,AI440)+E440))</f>
        <v/>
      </c>
      <c r="AL440" s="0" t="str">
        <f aca="false">IF(M440&lt;&gt;"Sí","",IF(AI440=0,1,IF(INDEX($AN:$AN,AI440)=0,1,IF(B440&gt;=EDATE(INDEX($AJ:$AJ,AI440),6),1,0))))</f>
        <v/>
      </c>
      <c r="AM440" s="0" t="str">
        <f aca="false">IF(D440="","",IFERROR(MATCH(D440,CATÁLOGO!$C$5:$C$39,0),""))</f>
        <v/>
      </c>
      <c r="AN440" s="0" t="str">
        <f aca="false">IF(M440&lt;&gt;"Sí","",IF(AND(ISNUMBER(AE440),AK440&gt;=AE440),0,1))</f>
        <v/>
      </c>
      <c r="AO440" s="0" t="str">
        <f aca="false">IF(OR(E440="",C440="",NOT(ISNUMBER(B440))),"",SUMIFS($E$6:$E$505,$C$6:$C$505,C440,$B$6:$B$505,"&gt;="&amp;DATE(YEAR(B440),MONTH(B440),1),$B$6:$B$505,"&lt;"&amp;DATE(YEAR(B440),MONTH(B440)+1,1)))</f>
        <v/>
      </c>
      <c r="AP440" s="0" t="str">
        <f aca="false">IF(C440="","",IFERROR(INDEX(CLIENTES!$M$6:$M$305,MATCH(C440,CLIENTES!$A$6:$A$305,0)),""))</f>
        <v/>
      </c>
      <c r="AQ440" s="27" t="n">
        <f aca="false">IF(AND(ISNUMBER(AO440),ISNUMBER(AP440)),IF(AND(AP440&gt;0,AO440&gt;AP440),1,0),0)</f>
        <v>0</v>
      </c>
      <c r="AR440" s="27" t="n">
        <f aca="false">IF(NOT(ISNUMBER(B440)),0,IF(B440&lt;MAX($B$5:B439),1,0))</f>
        <v>0</v>
      </c>
      <c r="AS440" s="0" t="str">
        <f aca="false">IF(C440="","",IFERROR(INDEX(CLIENTES!$H$6:$H$305,MATCH(C440,CLIENTES!$A$6:$A$305,0)),""))</f>
        <v/>
      </c>
      <c r="AT440" s="0" t="str">
        <f aca="false">IF(AND(LEFT(P440,5)="AVISO",T440&lt;&gt;"Presentado",ISNUMBER(Q440)),Q440,"")</f>
        <v/>
      </c>
      <c r="AU440" s="27" t="n">
        <f aca="false">IF(AND(D440="XVI - Activos virtuales (PSAV): operación de intercambio/transferencia",M440="Sí",ISNUMBER(AE440)),IF(AK440&gt;=AE440,1,0),0)</f>
        <v>0</v>
      </c>
      <c r="AV440" s="30" t="n">
        <f aca="false">IF(NOT(ISNUMBER(B440)),CONFIG!$B$4,IFERROR(INDEX(CONFIG!$I$5:$I$14,MATCH(IF(MONTH(B440)=1,YEAR(B440)-1,YEAR(B440)),CONFIG!$H$5:$H$14,0)),CONFIG!$B$4))</f>
        <v>117.31</v>
      </c>
      <c r="AW440" s="27" t="n">
        <f aca="false">IF(AND(LEFT(D440,4)="I - ",ISNUMBER(B440),C440&lt;&gt;""),SUMIFS($E$6:$E$505,$C$6:$C$505,C440,$D$6:$D$505,D440,$B$6:$B$505,"&gt;"&amp;(B440-1),$B$6:$B$505,"&lt;="&amp;B440),0)</f>
        <v>0</v>
      </c>
      <c r="AX440" s="0" t="str">
        <f aca="false">IF(E440="","",IF(AD440="Siempre","AVISO (siempre)",IF(AD440="No aplica","Sin Aviso (sólo preparas: Ley 17 XI)",IF(NOT(ISNUMBER(AE440)),"",IF(AA440&lt;&gt;"ACUMULA",IF(E440&gt;=AE440,IF(AND(D440="XVI - Activos virtuales (PSAV): cobro de contraprestación (comisión) por el servicio",COUNTIFS($C$6:$C$505,C440,$B$6:$B$505,"&gt;="&amp;INT(B440),$B$6:$B$505,"&lt;"&amp;(INT(B440)+1),$AU$6:$AU$505,1)&gt;0),"En el Aviso del inciso a) (R 31 Bis)","AVISO"),"—"),IF(M440&lt;&gt;"Sí","—",IF(AK440&gt;=AE440,IF(AK440=E440,"AVISO","AVISO (acumulado)"),"Acumulando")))))))</f>
        <v/>
      </c>
    </row>
    <row r="441" customFormat="false" ht="15" hidden="false" customHeight="false" outlineLevel="0" collapsed="false">
      <c r="A441" s="9" t="str">
        <f aca="false">IF(E441="","",ROW()-5)</f>
        <v/>
      </c>
      <c r="B441" s="20"/>
      <c r="C441" s="21"/>
      <c r="D441" s="21"/>
      <c r="E441" s="22"/>
      <c r="F441" s="22"/>
      <c r="G441" s="21"/>
      <c r="H441" s="21"/>
      <c r="I441" s="9" t="str">
        <f aca="false">IF(C441="","",IFERROR(INDEX(CLIENTES!$B$6:$B$305,MATCH(C441,CLIENTES!$A$6:$A$305,0)),"⚠ ID no registrado"))</f>
        <v/>
      </c>
      <c r="J441" s="9" t="str">
        <f aca="false">IF(C441="","",IFERROR(INDEX(CLIENTES!$Z$6:$Z$305,MATCH(C441,CLIENTES!$A$6:$A$305,0)),""))</f>
        <v/>
      </c>
      <c r="K441" s="9" t="str">
        <f aca="false">IF(E441="","",IF(AB441="Siempre","Sí",IF(ISNUMBER(AC441),IF(E441&gt;=AC441,"Sí",IF(AW441&gt;=AC441,"Sí (serie 24 h)","No")),"")))</f>
        <v/>
      </c>
      <c r="L441" s="9" t="str">
        <f aca="false">IF(E441="","",AA441)</f>
        <v/>
      </c>
      <c r="M441" s="9" t="str">
        <f aca="false">IF(E441="","",IF(AA441&lt;&gt;"ACUMULA","No aplica",IF(LEFT(K441,2)="Sí","Sí","No")))</f>
        <v/>
      </c>
      <c r="N441" s="23" t="str">
        <f aca="false">IF(M441="Sí",AJ441,"")</f>
        <v/>
      </c>
      <c r="O441" s="24" t="str">
        <f aca="false">IF(M441="Sí",AK441,"")</f>
        <v/>
      </c>
      <c r="P441" s="25" t="str">
        <f aca="false">IF(AND(LEFT(D441,6)="XIV - ",LEFT(AX441,5)="AVISO"),"Pedimento (R 16): no va al SPPLD",AX441)</f>
        <v/>
      </c>
      <c r="Q441" s="23" t="str">
        <f aca="false">IF(LEFT(P441,5)="AVISO",IF(ISNUMBER(B441),DATE(YEAR(B441),MONTH(B441)+1,17),"Falta fecha"),"")</f>
        <v/>
      </c>
      <c r="R441" s="9" t="str">
        <f aca="false">IF(OR(F441="",F441=0),"",IF(ISNUMBER(AG441),IF(F441&gt;=AG441,"PROHIBIDO","Dentro del límite"),"No aplica"))</f>
        <v/>
      </c>
      <c r="S441" s="26" t="str">
        <f aca="false">IF(E441="","",MID(IF(AQ441=1," · Excede el perfil declarado","")&amp;IF(H441="Sí"," · Paga un tercero","")&amp;IF(J441="Alto"," · Cliente de riesgo alto: DDR (RCG 23 Ter 3 y 4)","")&amp;IF(AND(AS441&lt;&gt;"",AS441&lt;&gt;"No",AS441&lt;&gt;0)," · PEP","")&amp;IF(R441="PROHIBIDO"," · Efectivo prohibido: no lo recibas (Art. 32)","")&amp;IF(AR441=1," · ⚠ Fecha fuera de orden","")&amp;IF(LEFT(I441,1)="⚠"," · ⚠ Cliente no registrado","")&amp;IF(D441=""," · ⚠ Falta la actividad","")&amp;IF(AND(LEFT(P441,5)="AVISO",W441="")," · Captura la cifra total con IVA para el Aviso","")&amp;IF(AND(ISNUMBER(W441),W441&lt;E441)," · ⚠ La cifra con IVA es menor que el monto sin IVA",""),4,400))</f>
        <v/>
      </c>
      <c r="T441" s="21"/>
      <c r="U441" s="20"/>
      <c r="V441" s="9" t="str">
        <f aca="false">IF(LEFT(P441,5)&lt;&gt;"AVISO","",IF(T441="Presentado",IF(AND(ISNUMBER(U441),ISNUMBER(Q441),U441&gt;Q441),"Presentado tarde","Presentado"),IF(NOT(ISNUMBER(Q441)),"Falta fecha",IF(Q441&lt;CONFIG!$B$6,"VENCIDO","Vence en "&amp;(Q441-CONFIG!$B$6)&amp;" días"))))</f>
        <v/>
      </c>
      <c r="W441" s="22"/>
      <c r="X441" s="21"/>
      <c r="AA441" s="0" t="str">
        <f aca="false">IF(AM441="","",INDEX(CATÁLOGO!$D$5:$D$39,AM441))</f>
        <v/>
      </c>
      <c r="AB441" s="0" t="str">
        <f aca="false">IF(AM441="","",INDEX(CATÁLOGO!$E$5:$E$39,AM441))</f>
        <v/>
      </c>
      <c r="AC441" s="0" t="str">
        <f aca="false">IF(AB441="","",IF(ISNUMBER(AB441),AB441*AV441,AB441))</f>
        <v/>
      </c>
      <c r="AD441" s="0" t="str">
        <f aca="false">IF(AM441="","",INDEX(CATÁLOGO!$F$5:$F$39,AM441))</f>
        <v/>
      </c>
      <c r="AE441" s="0" t="str">
        <f aca="false">IF(AD441="","",IF(ISNUMBER(AD441),AD441*AV441,AD441))</f>
        <v/>
      </c>
      <c r="AF441" s="0" t="str">
        <f aca="false">IF(AM441="","",INDEX(CATÁLOGO!$G$5:$G$39,AM441))</f>
        <v/>
      </c>
      <c r="AG441" s="0" t="str">
        <f aca="false">IF(AF441="","",IF(ISNUMBER(AF441),AF441*AV441,AF441))</f>
        <v/>
      </c>
      <c r="AH441" s="0" t="str">
        <f aca="false">IF(E441="","",C441&amp;"|"&amp;D441)</f>
        <v/>
      </c>
      <c r="AI441" s="27" t="n">
        <f aca="false">IF(M441&lt;&gt;"Sí",0,SUMPRODUCT(MAX(($AH$5:AH440=AH441)*($M$5:M440="Sí")*ROW($AH$5:AH440))))</f>
        <v>0</v>
      </c>
      <c r="AJ441" s="0" t="str">
        <f aca="false">IF(M441&lt;&gt;"Sí","",IF(AL441=1,B441,INDEX($AJ:$AJ,AI441)))</f>
        <v/>
      </c>
      <c r="AK441" s="0" t="str">
        <f aca="false">IF(M441&lt;&gt;"Sí","",IF(AL441=1,E441,INDEX($AK:$AK,AI441)+E441))</f>
        <v/>
      </c>
      <c r="AL441" s="0" t="str">
        <f aca="false">IF(M441&lt;&gt;"Sí","",IF(AI441=0,1,IF(INDEX($AN:$AN,AI441)=0,1,IF(B441&gt;=EDATE(INDEX($AJ:$AJ,AI441),6),1,0))))</f>
        <v/>
      </c>
      <c r="AM441" s="0" t="str">
        <f aca="false">IF(D441="","",IFERROR(MATCH(D441,CATÁLOGO!$C$5:$C$39,0),""))</f>
        <v/>
      </c>
      <c r="AN441" s="0" t="str">
        <f aca="false">IF(M441&lt;&gt;"Sí","",IF(AND(ISNUMBER(AE441),AK441&gt;=AE441),0,1))</f>
        <v/>
      </c>
      <c r="AO441" s="0" t="str">
        <f aca="false">IF(OR(E441="",C441="",NOT(ISNUMBER(B441))),"",SUMIFS($E$6:$E$505,$C$6:$C$505,C441,$B$6:$B$505,"&gt;="&amp;DATE(YEAR(B441),MONTH(B441),1),$B$6:$B$505,"&lt;"&amp;DATE(YEAR(B441),MONTH(B441)+1,1)))</f>
        <v/>
      </c>
      <c r="AP441" s="0" t="str">
        <f aca="false">IF(C441="","",IFERROR(INDEX(CLIENTES!$M$6:$M$305,MATCH(C441,CLIENTES!$A$6:$A$305,0)),""))</f>
        <v/>
      </c>
      <c r="AQ441" s="27" t="n">
        <f aca="false">IF(AND(ISNUMBER(AO441),ISNUMBER(AP441)),IF(AND(AP441&gt;0,AO441&gt;AP441),1,0),0)</f>
        <v>0</v>
      </c>
      <c r="AR441" s="27" t="n">
        <f aca="false">IF(NOT(ISNUMBER(B441)),0,IF(B441&lt;MAX($B$5:B440),1,0))</f>
        <v>0</v>
      </c>
      <c r="AS441" s="0" t="str">
        <f aca="false">IF(C441="","",IFERROR(INDEX(CLIENTES!$H$6:$H$305,MATCH(C441,CLIENTES!$A$6:$A$305,0)),""))</f>
        <v/>
      </c>
      <c r="AT441" s="0" t="str">
        <f aca="false">IF(AND(LEFT(P441,5)="AVISO",T441&lt;&gt;"Presentado",ISNUMBER(Q441)),Q441,"")</f>
        <v/>
      </c>
      <c r="AU441" s="27" t="n">
        <f aca="false">IF(AND(D441="XVI - Activos virtuales (PSAV): operación de intercambio/transferencia",M441="Sí",ISNUMBER(AE441)),IF(AK441&gt;=AE441,1,0),0)</f>
        <v>0</v>
      </c>
      <c r="AV441" s="30" t="n">
        <f aca="false">IF(NOT(ISNUMBER(B441)),CONFIG!$B$4,IFERROR(INDEX(CONFIG!$I$5:$I$14,MATCH(IF(MONTH(B441)=1,YEAR(B441)-1,YEAR(B441)),CONFIG!$H$5:$H$14,0)),CONFIG!$B$4))</f>
        <v>117.31</v>
      </c>
      <c r="AW441" s="27" t="n">
        <f aca="false">IF(AND(LEFT(D441,4)="I - ",ISNUMBER(B441),C441&lt;&gt;""),SUMIFS($E$6:$E$505,$C$6:$C$505,C441,$D$6:$D$505,D441,$B$6:$B$505,"&gt;"&amp;(B441-1),$B$6:$B$505,"&lt;="&amp;B441),0)</f>
        <v>0</v>
      </c>
      <c r="AX441" s="0" t="str">
        <f aca="false">IF(E441="","",IF(AD441="Siempre","AVISO (siempre)",IF(AD441="No aplica","Sin Aviso (sólo preparas: Ley 17 XI)",IF(NOT(ISNUMBER(AE441)),"",IF(AA441&lt;&gt;"ACUMULA",IF(E441&gt;=AE441,IF(AND(D441="XVI - Activos virtuales (PSAV): cobro de contraprestación (comisión) por el servicio",COUNTIFS($C$6:$C$505,C441,$B$6:$B$505,"&gt;="&amp;INT(B441),$B$6:$B$505,"&lt;"&amp;(INT(B441)+1),$AU$6:$AU$505,1)&gt;0),"En el Aviso del inciso a) (R 31 Bis)","AVISO"),"—"),IF(M441&lt;&gt;"Sí","—",IF(AK441&gt;=AE441,IF(AK441=E441,"AVISO","AVISO (acumulado)"),"Acumulando")))))))</f>
        <v/>
      </c>
    </row>
    <row r="442" customFormat="false" ht="15" hidden="false" customHeight="false" outlineLevel="0" collapsed="false">
      <c r="A442" s="9" t="str">
        <f aca="false">IF(E442="","",ROW()-5)</f>
        <v/>
      </c>
      <c r="B442" s="20"/>
      <c r="C442" s="21"/>
      <c r="D442" s="21"/>
      <c r="E442" s="22"/>
      <c r="F442" s="22"/>
      <c r="G442" s="21"/>
      <c r="H442" s="21"/>
      <c r="I442" s="9" t="str">
        <f aca="false">IF(C442="","",IFERROR(INDEX(CLIENTES!$B$6:$B$305,MATCH(C442,CLIENTES!$A$6:$A$305,0)),"⚠ ID no registrado"))</f>
        <v/>
      </c>
      <c r="J442" s="9" t="str">
        <f aca="false">IF(C442="","",IFERROR(INDEX(CLIENTES!$Z$6:$Z$305,MATCH(C442,CLIENTES!$A$6:$A$305,0)),""))</f>
        <v/>
      </c>
      <c r="K442" s="9" t="str">
        <f aca="false">IF(E442="","",IF(AB442="Siempre","Sí",IF(ISNUMBER(AC442),IF(E442&gt;=AC442,"Sí",IF(AW442&gt;=AC442,"Sí (serie 24 h)","No")),"")))</f>
        <v/>
      </c>
      <c r="L442" s="9" t="str">
        <f aca="false">IF(E442="","",AA442)</f>
        <v/>
      </c>
      <c r="M442" s="9" t="str">
        <f aca="false">IF(E442="","",IF(AA442&lt;&gt;"ACUMULA","No aplica",IF(LEFT(K442,2)="Sí","Sí","No")))</f>
        <v/>
      </c>
      <c r="N442" s="23" t="str">
        <f aca="false">IF(M442="Sí",AJ442,"")</f>
        <v/>
      </c>
      <c r="O442" s="24" t="str">
        <f aca="false">IF(M442="Sí",AK442,"")</f>
        <v/>
      </c>
      <c r="P442" s="25" t="str">
        <f aca="false">IF(AND(LEFT(D442,6)="XIV - ",LEFT(AX442,5)="AVISO"),"Pedimento (R 16): no va al SPPLD",AX442)</f>
        <v/>
      </c>
      <c r="Q442" s="23" t="str">
        <f aca="false">IF(LEFT(P442,5)="AVISO",IF(ISNUMBER(B442),DATE(YEAR(B442),MONTH(B442)+1,17),"Falta fecha"),"")</f>
        <v/>
      </c>
      <c r="R442" s="9" t="str">
        <f aca="false">IF(OR(F442="",F442=0),"",IF(ISNUMBER(AG442),IF(F442&gt;=AG442,"PROHIBIDO","Dentro del límite"),"No aplica"))</f>
        <v/>
      </c>
      <c r="S442" s="26" t="str">
        <f aca="false">IF(E442="","",MID(IF(AQ442=1," · Excede el perfil declarado","")&amp;IF(H442="Sí"," · Paga un tercero","")&amp;IF(J442="Alto"," · Cliente de riesgo alto: DDR (RCG 23 Ter 3 y 4)","")&amp;IF(AND(AS442&lt;&gt;"",AS442&lt;&gt;"No",AS442&lt;&gt;0)," · PEP","")&amp;IF(R442="PROHIBIDO"," · Efectivo prohibido: no lo recibas (Art. 32)","")&amp;IF(AR442=1," · ⚠ Fecha fuera de orden","")&amp;IF(LEFT(I442,1)="⚠"," · ⚠ Cliente no registrado","")&amp;IF(D442=""," · ⚠ Falta la actividad","")&amp;IF(AND(LEFT(P442,5)="AVISO",W442="")," · Captura la cifra total con IVA para el Aviso","")&amp;IF(AND(ISNUMBER(W442),W442&lt;E442)," · ⚠ La cifra con IVA es menor que el monto sin IVA",""),4,400))</f>
        <v/>
      </c>
      <c r="T442" s="21"/>
      <c r="U442" s="20"/>
      <c r="V442" s="9" t="str">
        <f aca="false">IF(LEFT(P442,5)&lt;&gt;"AVISO","",IF(T442="Presentado",IF(AND(ISNUMBER(U442),ISNUMBER(Q442),U442&gt;Q442),"Presentado tarde","Presentado"),IF(NOT(ISNUMBER(Q442)),"Falta fecha",IF(Q442&lt;CONFIG!$B$6,"VENCIDO","Vence en "&amp;(Q442-CONFIG!$B$6)&amp;" días"))))</f>
        <v/>
      </c>
      <c r="W442" s="22"/>
      <c r="X442" s="21"/>
      <c r="AA442" s="0" t="str">
        <f aca="false">IF(AM442="","",INDEX(CATÁLOGO!$D$5:$D$39,AM442))</f>
        <v/>
      </c>
      <c r="AB442" s="0" t="str">
        <f aca="false">IF(AM442="","",INDEX(CATÁLOGO!$E$5:$E$39,AM442))</f>
        <v/>
      </c>
      <c r="AC442" s="0" t="str">
        <f aca="false">IF(AB442="","",IF(ISNUMBER(AB442),AB442*AV442,AB442))</f>
        <v/>
      </c>
      <c r="AD442" s="0" t="str">
        <f aca="false">IF(AM442="","",INDEX(CATÁLOGO!$F$5:$F$39,AM442))</f>
        <v/>
      </c>
      <c r="AE442" s="0" t="str">
        <f aca="false">IF(AD442="","",IF(ISNUMBER(AD442),AD442*AV442,AD442))</f>
        <v/>
      </c>
      <c r="AF442" s="0" t="str">
        <f aca="false">IF(AM442="","",INDEX(CATÁLOGO!$G$5:$G$39,AM442))</f>
        <v/>
      </c>
      <c r="AG442" s="0" t="str">
        <f aca="false">IF(AF442="","",IF(ISNUMBER(AF442),AF442*AV442,AF442))</f>
        <v/>
      </c>
      <c r="AH442" s="0" t="str">
        <f aca="false">IF(E442="","",C442&amp;"|"&amp;D442)</f>
        <v/>
      </c>
      <c r="AI442" s="27" t="n">
        <f aca="false">IF(M442&lt;&gt;"Sí",0,SUMPRODUCT(MAX(($AH$5:AH441=AH442)*($M$5:M441="Sí")*ROW($AH$5:AH441))))</f>
        <v>0</v>
      </c>
      <c r="AJ442" s="0" t="str">
        <f aca="false">IF(M442&lt;&gt;"Sí","",IF(AL442=1,B442,INDEX($AJ:$AJ,AI442)))</f>
        <v/>
      </c>
      <c r="AK442" s="0" t="str">
        <f aca="false">IF(M442&lt;&gt;"Sí","",IF(AL442=1,E442,INDEX($AK:$AK,AI442)+E442))</f>
        <v/>
      </c>
      <c r="AL442" s="0" t="str">
        <f aca="false">IF(M442&lt;&gt;"Sí","",IF(AI442=0,1,IF(INDEX($AN:$AN,AI442)=0,1,IF(B442&gt;=EDATE(INDEX($AJ:$AJ,AI442),6),1,0))))</f>
        <v/>
      </c>
      <c r="AM442" s="0" t="str">
        <f aca="false">IF(D442="","",IFERROR(MATCH(D442,CATÁLOGO!$C$5:$C$39,0),""))</f>
        <v/>
      </c>
      <c r="AN442" s="0" t="str">
        <f aca="false">IF(M442&lt;&gt;"Sí","",IF(AND(ISNUMBER(AE442),AK442&gt;=AE442),0,1))</f>
        <v/>
      </c>
      <c r="AO442" s="0" t="str">
        <f aca="false">IF(OR(E442="",C442="",NOT(ISNUMBER(B442))),"",SUMIFS($E$6:$E$505,$C$6:$C$505,C442,$B$6:$B$505,"&gt;="&amp;DATE(YEAR(B442),MONTH(B442),1),$B$6:$B$505,"&lt;"&amp;DATE(YEAR(B442),MONTH(B442)+1,1)))</f>
        <v/>
      </c>
      <c r="AP442" s="0" t="str">
        <f aca="false">IF(C442="","",IFERROR(INDEX(CLIENTES!$M$6:$M$305,MATCH(C442,CLIENTES!$A$6:$A$305,0)),""))</f>
        <v/>
      </c>
      <c r="AQ442" s="27" t="n">
        <f aca="false">IF(AND(ISNUMBER(AO442),ISNUMBER(AP442)),IF(AND(AP442&gt;0,AO442&gt;AP442),1,0),0)</f>
        <v>0</v>
      </c>
      <c r="AR442" s="27" t="n">
        <f aca="false">IF(NOT(ISNUMBER(B442)),0,IF(B442&lt;MAX($B$5:B441),1,0))</f>
        <v>0</v>
      </c>
      <c r="AS442" s="0" t="str">
        <f aca="false">IF(C442="","",IFERROR(INDEX(CLIENTES!$H$6:$H$305,MATCH(C442,CLIENTES!$A$6:$A$305,0)),""))</f>
        <v/>
      </c>
      <c r="AT442" s="0" t="str">
        <f aca="false">IF(AND(LEFT(P442,5)="AVISO",T442&lt;&gt;"Presentado",ISNUMBER(Q442)),Q442,"")</f>
        <v/>
      </c>
      <c r="AU442" s="27" t="n">
        <f aca="false">IF(AND(D442="XVI - Activos virtuales (PSAV): operación de intercambio/transferencia",M442="Sí",ISNUMBER(AE442)),IF(AK442&gt;=AE442,1,0),0)</f>
        <v>0</v>
      </c>
      <c r="AV442" s="30" t="n">
        <f aca="false">IF(NOT(ISNUMBER(B442)),CONFIG!$B$4,IFERROR(INDEX(CONFIG!$I$5:$I$14,MATCH(IF(MONTH(B442)=1,YEAR(B442)-1,YEAR(B442)),CONFIG!$H$5:$H$14,0)),CONFIG!$B$4))</f>
        <v>117.31</v>
      </c>
      <c r="AW442" s="27" t="n">
        <f aca="false">IF(AND(LEFT(D442,4)="I - ",ISNUMBER(B442),C442&lt;&gt;""),SUMIFS($E$6:$E$505,$C$6:$C$505,C442,$D$6:$D$505,D442,$B$6:$B$505,"&gt;"&amp;(B442-1),$B$6:$B$505,"&lt;="&amp;B442),0)</f>
        <v>0</v>
      </c>
      <c r="AX442" s="0" t="str">
        <f aca="false">IF(E442="","",IF(AD442="Siempre","AVISO (siempre)",IF(AD442="No aplica","Sin Aviso (sólo preparas: Ley 17 XI)",IF(NOT(ISNUMBER(AE442)),"",IF(AA442&lt;&gt;"ACUMULA",IF(E442&gt;=AE442,IF(AND(D442="XVI - Activos virtuales (PSAV): cobro de contraprestación (comisión) por el servicio",COUNTIFS($C$6:$C$505,C442,$B$6:$B$505,"&gt;="&amp;INT(B442),$B$6:$B$505,"&lt;"&amp;(INT(B442)+1),$AU$6:$AU$505,1)&gt;0),"En el Aviso del inciso a) (R 31 Bis)","AVISO"),"—"),IF(M442&lt;&gt;"Sí","—",IF(AK442&gt;=AE442,IF(AK442=E442,"AVISO","AVISO (acumulado)"),"Acumulando")))))))</f>
        <v/>
      </c>
    </row>
    <row r="443" customFormat="false" ht="15" hidden="false" customHeight="false" outlineLevel="0" collapsed="false">
      <c r="A443" s="9" t="str">
        <f aca="false">IF(E443="","",ROW()-5)</f>
        <v/>
      </c>
      <c r="B443" s="20"/>
      <c r="C443" s="21"/>
      <c r="D443" s="21"/>
      <c r="E443" s="22"/>
      <c r="F443" s="22"/>
      <c r="G443" s="21"/>
      <c r="H443" s="21"/>
      <c r="I443" s="9" t="str">
        <f aca="false">IF(C443="","",IFERROR(INDEX(CLIENTES!$B$6:$B$305,MATCH(C443,CLIENTES!$A$6:$A$305,0)),"⚠ ID no registrado"))</f>
        <v/>
      </c>
      <c r="J443" s="9" t="str">
        <f aca="false">IF(C443="","",IFERROR(INDEX(CLIENTES!$Z$6:$Z$305,MATCH(C443,CLIENTES!$A$6:$A$305,0)),""))</f>
        <v/>
      </c>
      <c r="K443" s="9" t="str">
        <f aca="false">IF(E443="","",IF(AB443="Siempre","Sí",IF(ISNUMBER(AC443),IF(E443&gt;=AC443,"Sí",IF(AW443&gt;=AC443,"Sí (serie 24 h)","No")),"")))</f>
        <v/>
      </c>
      <c r="L443" s="9" t="str">
        <f aca="false">IF(E443="","",AA443)</f>
        <v/>
      </c>
      <c r="M443" s="9" t="str">
        <f aca="false">IF(E443="","",IF(AA443&lt;&gt;"ACUMULA","No aplica",IF(LEFT(K443,2)="Sí","Sí","No")))</f>
        <v/>
      </c>
      <c r="N443" s="23" t="str">
        <f aca="false">IF(M443="Sí",AJ443,"")</f>
        <v/>
      </c>
      <c r="O443" s="24" t="str">
        <f aca="false">IF(M443="Sí",AK443,"")</f>
        <v/>
      </c>
      <c r="P443" s="25" t="str">
        <f aca="false">IF(AND(LEFT(D443,6)="XIV - ",LEFT(AX443,5)="AVISO"),"Pedimento (R 16): no va al SPPLD",AX443)</f>
        <v/>
      </c>
      <c r="Q443" s="23" t="str">
        <f aca="false">IF(LEFT(P443,5)="AVISO",IF(ISNUMBER(B443),DATE(YEAR(B443),MONTH(B443)+1,17),"Falta fecha"),"")</f>
        <v/>
      </c>
      <c r="R443" s="9" t="str">
        <f aca="false">IF(OR(F443="",F443=0),"",IF(ISNUMBER(AG443),IF(F443&gt;=AG443,"PROHIBIDO","Dentro del límite"),"No aplica"))</f>
        <v/>
      </c>
      <c r="S443" s="26" t="str">
        <f aca="false">IF(E443="","",MID(IF(AQ443=1," · Excede el perfil declarado","")&amp;IF(H443="Sí"," · Paga un tercero","")&amp;IF(J443="Alto"," · Cliente de riesgo alto: DDR (RCG 23 Ter 3 y 4)","")&amp;IF(AND(AS443&lt;&gt;"",AS443&lt;&gt;"No",AS443&lt;&gt;0)," · PEP","")&amp;IF(R443="PROHIBIDO"," · Efectivo prohibido: no lo recibas (Art. 32)","")&amp;IF(AR443=1," · ⚠ Fecha fuera de orden","")&amp;IF(LEFT(I443,1)="⚠"," · ⚠ Cliente no registrado","")&amp;IF(D443=""," · ⚠ Falta la actividad","")&amp;IF(AND(LEFT(P443,5)="AVISO",W443="")," · Captura la cifra total con IVA para el Aviso","")&amp;IF(AND(ISNUMBER(W443),W443&lt;E443)," · ⚠ La cifra con IVA es menor que el monto sin IVA",""),4,400))</f>
        <v/>
      </c>
      <c r="T443" s="21"/>
      <c r="U443" s="20"/>
      <c r="V443" s="9" t="str">
        <f aca="false">IF(LEFT(P443,5)&lt;&gt;"AVISO","",IF(T443="Presentado",IF(AND(ISNUMBER(U443),ISNUMBER(Q443),U443&gt;Q443),"Presentado tarde","Presentado"),IF(NOT(ISNUMBER(Q443)),"Falta fecha",IF(Q443&lt;CONFIG!$B$6,"VENCIDO","Vence en "&amp;(Q443-CONFIG!$B$6)&amp;" días"))))</f>
        <v/>
      </c>
      <c r="W443" s="22"/>
      <c r="X443" s="21"/>
      <c r="AA443" s="0" t="str">
        <f aca="false">IF(AM443="","",INDEX(CATÁLOGO!$D$5:$D$39,AM443))</f>
        <v/>
      </c>
      <c r="AB443" s="0" t="str">
        <f aca="false">IF(AM443="","",INDEX(CATÁLOGO!$E$5:$E$39,AM443))</f>
        <v/>
      </c>
      <c r="AC443" s="0" t="str">
        <f aca="false">IF(AB443="","",IF(ISNUMBER(AB443),AB443*AV443,AB443))</f>
        <v/>
      </c>
      <c r="AD443" s="0" t="str">
        <f aca="false">IF(AM443="","",INDEX(CATÁLOGO!$F$5:$F$39,AM443))</f>
        <v/>
      </c>
      <c r="AE443" s="0" t="str">
        <f aca="false">IF(AD443="","",IF(ISNUMBER(AD443),AD443*AV443,AD443))</f>
        <v/>
      </c>
      <c r="AF443" s="0" t="str">
        <f aca="false">IF(AM443="","",INDEX(CATÁLOGO!$G$5:$G$39,AM443))</f>
        <v/>
      </c>
      <c r="AG443" s="0" t="str">
        <f aca="false">IF(AF443="","",IF(ISNUMBER(AF443),AF443*AV443,AF443))</f>
        <v/>
      </c>
      <c r="AH443" s="0" t="str">
        <f aca="false">IF(E443="","",C443&amp;"|"&amp;D443)</f>
        <v/>
      </c>
      <c r="AI443" s="27" t="n">
        <f aca="false">IF(M443&lt;&gt;"Sí",0,SUMPRODUCT(MAX(($AH$5:AH442=AH443)*($M$5:M442="Sí")*ROW($AH$5:AH442))))</f>
        <v>0</v>
      </c>
      <c r="AJ443" s="0" t="str">
        <f aca="false">IF(M443&lt;&gt;"Sí","",IF(AL443=1,B443,INDEX($AJ:$AJ,AI443)))</f>
        <v/>
      </c>
      <c r="AK443" s="0" t="str">
        <f aca="false">IF(M443&lt;&gt;"Sí","",IF(AL443=1,E443,INDEX($AK:$AK,AI443)+E443))</f>
        <v/>
      </c>
      <c r="AL443" s="0" t="str">
        <f aca="false">IF(M443&lt;&gt;"Sí","",IF(AI443=0,1,IF(INDEX($AN:$AN,AI443)=0,1,IF(B443&gt;=EDATE(INDEX($AJ:$AJ,AI443),6),1,0))))</f>
        <v/>
      </c>
      <c r="AM443" s="0" t="str">
        <f aca="false">IF(D443="","",IFERROR(MATCH(D443,CATÁLOGO!$C$5:$C$39,0),""))</f>
        <v/>
      </c>
      <c r="AN443" s="0" t="str">
        <f aca="false">IF(M443&lt;&gt;"Sí","",IF(AND(ISNUMBER(AE443),AK443&gt;=AE443),0,1))</f>
        <v/>
      </c>
      <c r="AO443" s="0" t="str">
        <f aca="false">IF(OR(E443="",C443="",NOT(ISNUMBER(B443))),"",SUMIFS($E$6:$E$505,$C$6:$C$505,C443,$B$6:$B$505,"&gt;="&amp;DATE(YEAR(B443),MONTH(B443),1),$B$6:$B$505,"&lt;"&amp;DATE(YEAR(B443),MONTH(B443)+1,1)))</f>
        <v/>
      </c>
      <c r="AP443" s="0" t="str">
        <f aca="false">IF(C443="","",IFERROR(INDEX(CLIENTES!$M$6:$M$305,MATCH(C443,CLIENTES!$A$6:$A$305,0)),""))</f>
        <v/>
      </c>
      <c r="AQ443" s="27" t="n">
        <f aca="false">IF(AND(ISNUMBER(AO443),ISNUMBER(AP443)),IF(AND(AP443&gt;0,AO443&gt;AP443),1,0),0)</f>
        <v>0</v>
      </c>
      <c r="AR443" s="27" t="n">
        <f aca="false">IF(NOT(ISNUMBER(B443)),0,IF(B443&lt;MAX($B$5:B442),1,0))</f>
        <v>0</v>
      </c>
      <c r="AS443" s="0" t="str">
        <f aca="false">IF(C443="","",IFERROR(INDEX(CLIENTES!$H$6:$H$305,MATCH(C443,CLIENTES!$A$6:$A$305,0)),""))</f>
        <v/>
      </c>
      <c r="AT443" s="0" t="str">
        <f aca="false">IF(AND(LEFT(P443,5)="AVISO",T443&lt;&gt;"Presentado",ISNUMBER(Q443)),Q443,"")</f>
        <v/>
      </c>
      <c r="AU443" s="27" t="n">
        <f aca="false">IF(AND(D443="XVI - Activos virtuales (PSAV): operación de intercambio/transferencia",M443="Sí",ISNUMBER(AE443)),IF(AK443&gt;=AE443,1,0),0)</f>
        <v>0</v>
      </c>
      <c r="AV443" s="30" t="n">
        <f aca="false">IF(NOT(ISNUMBER(B443)),CONFIG!$B$4,IFERROR(INDEX(CONFIG!$I$5:$I$14,MATCH(IF(MONTH(B443)=1,YEAR(B443)-1,YEAR(B443)),CONFIG!$H$5:$H$14,0)),CONFIG!$B$4))</f>
        <v>117.31</v>
      </c>
      <c r="AW443" s="27" t="n">
        <f aca="false">IF(AND(LEFT(D443,4)="I - ",ISNUMBER(B443),C443&lt;&gt;""),SUMIFS($E$6:$E$505,$C$6:$C$505,C443,$D$6:$D$505,D443,$B$6:$B$505,"&gt;"&amp;(B443-1),$B$6:$B$505,"&lt;="&amp;B443),0)</f>
        <v>0</v>
      </c>
      <c r="AX443" s="0" t="str">
        <f aca="false">IF(E443="","",IF(AD443="Siempre","AVISO (siempre)",IF(AD443="No aplica","Sin Aviso (sólo preparas: Ley 17 XI)",IF(NOT(ISNUMBER(AE443)),"",IF(AA443&lt;&gt;"ACUMULA",IF(E443&gt;=AE443,IF(AND(D443="XVI - Activos virtuales (PSAV): cobro de contraprestación (comisión) por el servicio",COUNTIFS($C$6:$C$505,C443,$B$6:$B$505,"&gt;="&amp;INT(B443),$B$6:$B$505,"&lt;"&amp;(INT(B443)+1),$AU$6:$AU$505,1)&gt;0),"En el Aviso del inciso a) (R 31 Bis)","AVISO"),"—"),IF(M443&lt;&gt;"Sí","—",IF(AK443&gt;=AE443,IF(AK443=E443,"AVISO","AVISO (acumulado)"),"Acumulando")))))))</f>
        <v/>
      </c>
    </row>
    <row r="444" customFormat="false" ht="15" hidden="false" customHeight="false" outlineLevel="0" collapsed="false">
      <c r="A444" s="9" t="str">
        <f aca="false">IF(E444="","",ROW()-5)</f>
        <v/>
      </c>
      <c r="B444" s="20"/>
      <c r="C444" s="21"/>
      <c r="D444" s="21"/>
      <c r="E444" s="22"/>
      <c r="F444" s="22"/>
      <c r="G444" s="21"/>
      <c r="H444" s="21"/>
      <c r="I444" s="9" t="str">
        <f aca="false">IF(C444="","",IFERROR(INDEX(CLIENTES!$B$6:$B$305,MATCH(C444,CLIENTES!$A$6:$A$305,0)),"⚠ ID no registrado"))</f>
        <v/>
      </c>
      <c r="J444" s="9" t="str">
        <f aca="false">IF(C444="","",IFERROR(INDEX(CLIENTES!$Z$6:$Z$305,MATCH(C444,CLIENTES!$A$6:$A$305,0)),""))</f>
        <v/>
      </c>
      <c r="K444" s="9" t="str">
        <f aca="false">IF(E444="","",IF(AB444="Siempre","Sí",IF(ISNUMBER(AC444),IF(E444&gt;=AC444,"Sí",IF(AW444&gt;=AC444,"Sí (serie 24 h)","No")),"")))</f>
        <v/>
      </c>
      <c r="L444" s="9" t="str">
        <f aca="false">IF(E444="","",AA444)</f>
        <v/>
      </c>
      <c r="M444" s="9" t="str">
        <f aca="false">IF(E444="","",IF(AA444&lt;&gt;"ACUMULA","No aplica",IF(LEFT(K444,2)="Sí","Sí","No")))</f>
        <v/>
      </c>
      <c r="N444" s="23" t="str">
        <f aca="false">IF(M444="Sí",AJ444,"")</f>
        <v/>
      </c>
      <c r="O444" s="24" t="str">
        <f aca="false">IF(M444="Sí",AK444,"")</f>
        <v/>
      </c>
      <c r="P444" s="25" t="str">
        <f aca="false">IF(AND(LEFT(D444,6)="XIV - ",LEFT(AX444,5)="AVISO"),"Pedimento (R 16): no va al SPPLD",AX444)</f>
        <v/>
      </c>
      <c r="Q444" s="23" t="str">
        <f aca="false">IF(LEFT(P444,5)="AVISO",IF(ISNUMBER(B444),DATE(YEAR(B444),MONTH(B444)+1,17),"Falta fecha"),"")</f>
        <v/>
      </c>
      <c r="R444" s="9" t="str">
        <f aca="false">IF(OR(F444="",F444=0),"",IF(ISNUMBER(AG444),IF(F444&gt;=AG444,"PROHIBIDO","Dentro del límite"),"No aplica"))</f>
        <v/>
      </c>
      <c r="S444" s="26" t="str">
        <f aca="false">IF(E444="","",MID(IF(AQ444=1," · Excede el perfil declarado","")&amp;IF(H444="Sí"," · Paga un tercero","")&amp;IF(J444="Alto"," · Cliente de riesgo alto: DDR (RCG 23 Ter 3 y 4)","")&amp;IF(AND(AS444&lt;&gt;"",AS444&lt;&gt;"No",AS444&lt;&gt;0)," · PEP","")&amp;IF(R444="PROHIBIDO"," · Efectivo prohibido: no lo recibas (Art. 32)","")&amp;IF(AR444=1," · ⚠ Fecha fuera de orden","")&amp;IF(LEFT(I444,1)="⚠"," · ⚠ Cliente no registrado","")&amp;IF(D444=""," · ⚠ Falta la actividad","")&amp;IF(AND(LEFT(P444,5)="AVISO",W444="")," · Captura la cifra total con IVA para el Aviso","")&amp;IF(AND(ISNUMBER(W444),W444&lt;E444)," · ⚠ La cifra con IVA es menor que el monto sin IVA",""),4,400))</f>
        <v/>
      </c>
      <c r="T444" s="21"/>
      <c r="U444" s="20"/>
      <c r="V444" s="9" t="str">
        <f aca="false">IF(LEFT(P444,5)&lt;&gt;"AVISO","",IF(T444="Presentado",IF(AND(ISNUMBER(U444),ISNUMBER(Q444),U444&gt;Q444),"Presentado tarde","Presentado"),IF(NOT(ISNUMBER(Q444)),"Falta fecha",IF(Q444&lt;CONFIG!$B$6,"VENCIDO","Vence en "&amp;(Q444-CONFIG!$B$6)&amp;" días"))))</f>
        <v/>
      </c>
      <c r="W444" s="22"/>
      <c r="X444" s="21"/>
      <c r="AA444" s="0" t="str">
        <f aca="false">IF(AM444="","",INDEX(CATÁLOGO!$D$5:$D$39,AM444))</f>
        <v/>
      </c>
      <c r="AB444" s="0" t="str">
        <f aca="false">IF(AM444="","",INDEX(CATÁLOGO!$E$5:$E$39,AM444))</f>
        <v/>
      </c>
      <c r="AC444" s="0" t="str">
        <f aca="false">IF(AB444="","",IF(ISNUMBER(AB444),AB444*AV444,AB444))</f>
        <v/>
      </c>
      <c r="AD444" s="0" t="str">
        <f aca="false">IF(AM444="","",INDEX(CATÁLOGO!$F$5:$F$39,AM444))</f>
        <v/>
      </c>
      <c r="AE444" s="0" t="str">
        <f aca="false">IF(AD444="","",IF(ISNUMBER(AD444),AD444*AV444,AD444))</f>
        <v/>
      </c>
      <c r="AF444" s="0" t="str">
        <f aca="false">IF(AM444="","",INDEX(CATÁLOGO!$G$5:$G$39,AM444))</f>
        <v/>
      </c>
      <c r="AG444" s="0" t="str">
        <f aca="false">IF(AF444="","",IF(ISNUMBER(AF444),AF444*AV444,AF444))</f>
        <v/>
      </c>
      <c r="AH444" s="0" t="str">
        <f aca="false">IF(E444="","",C444&amp;"|"&amp;D444)</f>
        <v/>
      </c>
      <c r="AI444" s="27" t="n">
        <f aca="false">IF(M444&lt;&gt;"Sí",0,SUMPRODUCT(MAX(($AH$5:AH443=AH444)*($M$5:M443="Sí")*ROW($AH$5:AH443))))</f>
        <v>0</v>
      </c>
      <c r="AJ444" s="0" t="str">
        <f aca="false">IF(M444&lt;&gt;"Sí","",IF(AL444=1,B444,INDEX($AJ:$AJ,AI444)))</f>
        <v/>
      </c>
      <c r="AK444" s="0" t="str">
        <f aca="false">IF(M444&lt;&gt;"Sí","",IF(AL444=1,E444,INDEX($AK:$AK,AI444)+E444))</f>
        <v/>
      </c>
      <c r="AL444" s="0" t="str">
        <f aca="false">IF(M444&lt;&gt;"Sí","",IF(AI444=0,1,IF(INDEX($AN:$AN,AI444)=0,1,IF(B444&gt;=EDATE(INDEX($AJ:$AJ,AI444),6),1,0))))</f>
        <v/>
      </c>
      <c r="AM444" s="0" t="str">
        <f aca="false">IF(D444="","",IFERROR(MATCH(D444,CATÁLOGO!$C$5:$C$39,0),""))</f>
        <v/>
      </c>
      <c r="AN444" s="0" t="str">
        <f aca="false">IF(M444&lt;&gt;"Sí","",IF(AND(ISNUMBER(AE444),AK444&gt;=AE444),0,1))</f>
        <v/>
      </c>
      <c r="AO444" s="0" t="str">
        <f aca="false">IF(OR(E444="",C444="",NOT(ISNUMBER(B444))),"",SUMIFS($E$6:$E$505,$C$6:$C$505,C444,$B$6:$B$505,"&gt;="&amp;DATE(YEAR(B444),MONTH(B444),1),$B$6:$B$505,"&lt;"&amp;DATE(YEAR(B444),MONTH(B444)+1,1)))</f>
        <v/>
      </c>
      <c r="AP444" s="0" t="str">
        <f aca="false">IF(C444="","",IFERROR(INDEX(CLIENTES!$M$6:$M$305,MATCH(C444,CLIENTES!$A$6:$A$305,0)),""))</f>
        <v/>
      </c>
      <c r="AQ444" s="27" t="n">
        <f aca="false">IF(AND(ISNUMBER(AO444),ISNUMBER(AP444)),IF(AND(AP444&gt;0,AO444&gt;AP444),1,0),0)</f>
        <v>0</v>
      </c>
      <c r="AR444" s="27" t="n">
        <f aca="false">IF(NOT(ISNUMBER(B444)),0,IF(B444&lt;MAX($B$5:B443),1,0))</f>
        <v>0</v>
      </c>
      <c r="AS444" s="0" t="str">
        <f aca="false">IF(C444="","",IFERROR(INDEX(CLIENTES!$H$6:$H$305,MATCH(C444,CLIENTES!$A$6:$A$305,0)),""))</f>
        <v/>
      </c>
      <c r="AT444" s="0" t="str">
        <f aca="false">IF(AND(LEFT(P444,5)="AVISO",T444&lt;&gt;"Presentado",ISNUMBER(Q444)),Q444,"")</f>
        <v/>
      </c>
      <c r="AU444" s="27" t="n">
        <f aca="false">IF(AND(D444="XVI - Activos virtuales (PSAV): operación de intercambio/transferencia",M444="Sí",ISNUMBER(AE444)),IF(AK444&gt;=AE444,1,0),0)</f>
        <v>0</v>
      </c>
      <c r="AV444" s="30" t="n">
        <f aca="false">IF(NOT(ISNUMBER(B444)),CONFIG!$B$4,IFERROR(INDEX(CONFIG!$I$5:$I$14,MATCH(IF(MONTH(B444)=1,YEAR(B444)-1,YEAR(B444)),CONFIG!$H$5:$H$14,0)),CONFIG!$B$4))</f>
        <v>117.31</v>
      </c>
      <c r="AW444" s="27" t="n">
        <f aca="false">IF(AND(LEFT(D444,4)="I - ",ISNUMBER(B444),C444&lt;&gt;""),SUMIFS($E$6:$E$505,$C$6:$C$505,C444,$D$6:$D$505,D444,$B$6:$B$505,"&gt;"&amp;(B444-1),$B$6:$B$505,"&lt;="&amp;B444),0)</f>
        <v>0</v>
      </c>
      <c r="AX444" s="0" t="str">
        <f aca="false">IF(E444="","",IF(AD444="Siempre","AVISO (siempre)",IF(AD444="No aplica","Sin Aviso (sólo preparas: Ley 17 XI)",IF(NOT(ISNUMBER(AE444)),"",IF(AA444&lt;&gt;"ACUMULA",IF(E444&gt;=AE444,IF(AND(D444="XVI - Activos virtuales (PSAV): cobro de contraprestación (comisión) por el servicio",COUNTIFS($C$6:$C$505,C444,$B$6:$B$505,"&gt;="&amp;INT(B444),$B$6:$B$505,"&lt;"&amp;(INT(B444)+1),$AU$6:$AU$505,1)&gt;0),"En el Aviso del inciso a) (R 31 Bis)","AVISO"),"—"),IF(M444&lt;&gt;"Sí","—",IF(AK444&gt;=AE444,IF(AK444=E444,"AVISO","AVISO (acumulado)"),"Acumulando")))))))</f>
        <v/>
      </c>
    </row>
    <row r="445" customFormat="false" ht="15" hidden="false" customHeight="false" outlineLevel="0" collapsed="false">
      <c r="A445" s="9" t="str">
        <f aca="false">IF(E445="","",ROW()-5)</f>
        <v/>
      </c>
      <c r="B445" s="20"/>
      <c r="C445" s="21"/>
      <c r="D445" s="21"/>
      <c r="E445" s="22"/>
      <c r="F445" s="22"/>
      <c r="G445" s="21"/>
      <c r="H445" s="21"/>
      <c r="I445" s="9" t="str">
        <f aca="false">IF(C445="","",IFERROR(INDEX(CLIENTES!$B$6:$B$305,MATCH(C445,CLIENTES!$A$6:$A$305,0)),"⚠ ID no registrado"))</f>
        <v/>
      </c>
      <c r="J445" s="9" t="str">
        <f aca="false">IF(C445="","",IFERROR(INDEX(CLIENTES!$Z$6:$Z$305,MATCH(C445,CLIENTES!$A$6:$A$305,0)),""))</f>
        <v/>
      </c>
      <c r="K445" s="9" t="str">
        <f aca="false">IF(E445="","",IF(AB445="Siempre","Sí",IF(ISNUMBER(AC445),IF(E445&gt;=AC445,"Sí",IF(AW445&gt;=AC445,"Sí (serie 24 h)","No")),"")))</f>
        <v/>
      </c>
      <c r="L445" s="9" t="str">
        <f aca="false">IF(E445="","",AA445)</f>
        <v/>
      </c>
      <c r="M445" s="9" t="str">
        <f aca="false">IF(E445="","",IF(AA445&lt;&gt;"ACUMULA","No aplica",IF(LEFT(K445,2)="Sí","Sí","No")))</f>
        <v/>
      </c>
      <c r="N445" s="23" t="str">
        <f aca="false">IF(M445="Sí",AJ445,"")</f>
        <v/>
      </c>
      <c r="O445" s="24" t="str">
        <f aca="false">IF(M445="Sí",AK445,"")</f>
        <v/>
      </c>
      <c r="P445" s="25" t="str">
        <f aca="false">IF(AND(LEFT(D445,6)="XIV - ",LEFT(AX445,5)="AVISO"),"Pedimento (R 16): no va al SPPLD",AX445)</f>
        <v/>
      </c>
      <c r="Q445" s="23" t="str">
        <f aca="false">IF(LEFT(P445,5)="AVISO",IF(ISNUMBER(B445),DATE(YEAR(B445),MONTH(B445)+1,17),"Falta fecha"),"")</f>
        <v/>
      </c>
      <c r="R445" s="9" t="str">
        <f aca="false">IF(OR(F445="",F445=0),"",IF(ISNUMBER(AG445),IF(F445&gt;=AG445,"PROHIBIDO","Dentro del límite"),"No aplica"))</f>
        <v/>
      </c>
      <c r="S445" s="26" t="str">
        <f aca="false">IF(E445="","",MID(IF(AQ445=1," · Excede el perfil declarado","")&amp;IF(H445="Sí"," · Paga un tercero","")&amp;IF(J445="Alto"," · Cliente de riesgo alto: DDR (RCG 23 Ter 3 y 4)","")&amp;IF(AND(AS445&lt;&gt;"",AS445&lt;&gt;"No",AS445&lt;&gt;0)," · PEP","")&amp;IF(R445="PROHIBIDO"," · Efectivo prohibido: no lo recibas (Art. 32)","")&amp;IF(AR445=1," · ⚠ Fecha fuera de orden","")&amp;IF(LEFT(I445,1)="⚠"," · ⚠ Cliente no registrado","")&amp;IF(D445=""," · ⚠ Falta la actividad","")&amp;IF(AND(LEFT(P445,5)="AVISO",W445="")," · Captura la cifra total con IVA para el Aviso","")&amp;IF(AND(ISNUMBER(W445),W445&lt;E445)," · ⚠ La cifra con IVA es menor que el monto sin IVA",""),4,400))</f>
        <v/>
      </c>
      <c r="T445" s="21"/>
      <c r="U445" s="20"/>
      <c r="V445" s="9" t="str">
        <f aca="false">IF(LEFT(P445,5)&lt;&gt;"AVISO","",IF(T445="Presentado",IF(AND(ISNUMBER(U445),ISNUMBER(Q445),U445&gt;Q445),"Presentado tarde","Presentado"),IF(NOT(ISNUMBER(Q445)),"Falta fecha",IF(Q445&lt;CONFIG!$B$6,"VENCIDO","Vence en "&amp;(Q445-CONFIG!$B$6)&amp;" días"))))</f>
        <v/>
      </c>
      <c r="W445" s="22"/>
      <c r="X445" s="21"/>
      <c r="AA445" s="0" t="str">
        <f aca="false">IF(AM445="","",INDEX(CATÁLOGO!$D$5:$D$39,AM445))</f>
        <v/>
      </c>
      <c r="AB445" s="0" t="str">
        <f aca="false">IF(AM445="","",INDEX(CATÁLOGO!$E$5:$E$39,AM445))</f>
        <v/>
      </c>
      <c r="AC445" s="0" t="str">
        <f aca="false">IF(AB445="","",IF(ISNUMBER(AB445),AB445*AV445,AB445))</f>
        <v/>
      </c>
      <c r="AD445" s="0" t="str">
        <f aca="false">IF(AM445="","",INDEX(CATÁLOGO!$F$5:$F$39,AM445))</f>
        <v/>
      </c>
      <c r="AE445" s="0" t="str">
        <f aca="false">IF(AD445="","",IF(ISNUMBER(AD445),AD445*AV445,AD445))</f>
        <v/>
      </c>
      <c r="AF445" s="0" t="str">
        <f aca="false">IF(AM445="","",INDEX(CATÁLOGO!$G$5:$G$39,AM445))</f>
        <v/>
      </c>
      <c r="AG445" s="0" t="str">
        <f aca="false">IF(AF445="","",IF(ISNUMBER(AF445),AF445*AV445,AF445))</f>
        <v/>
      </c>
      <c r="AH445" s="0" t="str">
        <f aca="false">IF(E445="","",C445&amp;"|"&amp;D445)</f>
        <v/>
      </c>
      <c r="AI445" s="27" t="n">
        <f aca="false">IF(M445&lt;&gt;"Sí",0,SUMPRODUCT(MAX(($AH$5:AH444=AH445)*($M$5:M444="Sí")*ROW($AH$5:AH444))))</f>
        <v>0</v>
      </c>
      <c r="AJ445" s="0" t="str">
        <f aca="false">IF(M445&lt;&gt;"Sí","",IF(AL445=1,B445,INDEX($AJ:$AJ,AI445)))</f>
        <v/>
      </c>
      <c r="AK445" s="0" t="str">
        <f aca="false">IF(M445&lt;&gt;"Sí","",IF(AL445=1,E445,INDEX($AK:$AK,AI445)+E445))</f>
        <v/>
      </c>
      <c r="AL445" s="0" t="str">
        <f aca="false">IF(M445&lt;&gt;"Sí","",IF(AI445=0,1,IF(INDEX($AN:$AN,AI445)=0,1,IF(B445&gt;=EDATE(INDEX($AJ:$AJ,AI445),6),1,0))))</f>
        <v/>
      </c>
      <c r="AM445" s="0" t="str">
        <f aca="false">IF(D445="","",IFERROR(MATCH(D445,CATÁLOGO!$C$5:$C$39,0),""))</f>
        <v/>
      </c>
      <c r="AN445" s="0" t="str">
        <f aca="false">IF(M445&lt;&gt;"Sí","",IF(AND(ISNUMBER(AE445),AK445&gt;=AE445),0,1))</f>
        <v/>
      </c>
      <c r="AO445" s="0" t="str">
        <f aca="false">IF(OR(E445="",C445="",NOT(ISNUMBER(B445))),"",SUMIFS($E$6:$E$505,$C$6:$C$505,C445,$B$6:$B$505,"&gt;="&amp;DATE(YEAR(B445),MONTH(B445),1),$B$6:$B$505,"&lt;"&amp;DATE(YEAR(B445),MONTH(B445)+1,1)))</f>
        <v/>
      </c>
      <c r="AP445" s="0" t="str">
        <f aca="false">IF(C445="","",IFERROR(INDEX(CLIENTES!$M$6:$M$305,MATCH(C445,CLIENTES!$A$6:$A$305,0)),""))</f>
        <v/>
      </c>
      <c r="AQ445" s="27" t="n">
        <f aca="false">IF(AND(ISNUMBER(AO445),ISNUMBER(AP445)),IF(AND(AP445&gt;0,AO445&gt;AP445),1,0),0)</f>
        <v>0</v>
      </c>
      <c r="AR445" s="27" t="n">
        <f aca="false">IF(NOT(ISNUMBER(B445)),0,IF(B445&lt;MAX($B$5:B444),1,0))</f>
        <v>0</v>
      </c>
      <c r="AS445" s="0" t="str">
        <f aca="false">IF(C445="","",IFERROR(INDEX(CLIENTES!$H$6:$H$305,MATCH(C445,CLIENTES!$A$6:$A$305,0)),""))</f>
        <v/>
      </c>
      <c r="AT445" s="0" t="str">
        <f aca="false">IF(AND(LEFT(P445,5)="AVISO",T445&lt;&gt;"Presentado",ISNUMBER(Q445)),Q445,"")</f>
        <v/>
      </c>
      <c r="AU445" s="27" t="n">
        <f aca="false">IF(AND(D445="XVI - Activos virtuales (PSAV): operación de intercambio/transferencia",M445="Sí",ISNUMBER(AE445)),IF(AK445&gt;=AE445,1,0),0)</f>
        <v>0</v>
      </c>
      <c r="AV445" s="30" t="n">
        <f aca="false">IF(NOT(ISNUMBER(B445)),CONFIG!$B$4,IFERROR(INDEX(CONFIG!$I$5:$I$14,MATCH(IF(MONTH(B445)=1,YEAR(B445)-1,YEAR(B445)),CONFIG!$H$5:$H$14,0)),CONFIG!$B$4))</f>
        <v>117.31</v>
      </c>
      <c r="AW445" s="27" t="n">
        <f aca="false">IF(AND(LEFT(D445,4)="I - ",ISNUMBER(B445),C445&lt;&gt;""),SUMIFS($E$6:$E$505,$C$6:$C$505,C445,$D$6:$D$505,D445,$B$6:$B$505,"&gt;"&amp;(B445-1),$B$6:$B$505,"&lt;="&amp;B445),0)</f>
        <v>0</v>
      </c>
      <c r="AX445" s="0" t="str">
        <f aca="false">IF(E445="","",IF(AD445="Siempre","AVISO (siempre)",IF(AD445="No aplica","Sin Aviso (sólo preparas: Ley 17 XI)",IF(NOT(ISNUMBER(AE445)),"",IF(AA445&lt;&gt;"ACUMULA",IF(E445&gt;=AE445,IF(AND(D445="XVI - Activos virtuales (PSAV): cobro de contraprestación (comisión) por el servicio",COUNTIFS($C$6:$C$505,C445,$B$6:$B$505,"&gt;="&amp;INT(B445),$B$6:$B$505,"&lt;"&amp;(INT(B445)+1),$AU$6:$AU$505,1)&gt;0),"En el Aviso del inciso a) (R 31 Bis)","AVISO"),"—"),IF(M445&lt;&gt;"Sí","—",IF(AK445&gt;=AE445,IF(AK445=E445,"AVISO","AVISO (acumulado)"),"Acumulando")))))))</f>
        <v/>
      </c>
    </row>
    <row r="446" customFormat="false" ht="15" hidden="false" customHeight="false" outlineLevel="0" collapsed="false">
      <c r="A446" s="9" t="str">
        <f aca="false">IF(E446="","",ROW()-5)</f>
        <v/>
      </c>
      <c r="B446" s="20"/>
      <c r="C446" s="21"/>
      <c r="D446" s="21"/>
      <c r="E446" s="22"/>
      <c r="F446" s="22"/>
      <c r="G446" s="21"/>
      <c r="H446" s="21"/>
      <c r="I446" s="9" t="str">
        <f aca="false">IF(C446="","",IFERROR(INDEX(CLIENTES!$B$6:$B$305,MATCH(C446,CLIENTES!$A$6:$A$305,0)),"⚠ ID no registrado"))</f>
        <v/>
      </c>
      <c r="J446" s="9" t="str">
        <f aca="false">IF(C446="","",IFERROR(INDEX(CLIENTES!$Z$6:$Z$305,MATCH(C446,CLIENTES!$A$6:$A$305,0)),""))</f>
        <v/>
      </c>
      <c r="K446" s="9" t="str">
        <f aca="false">IF(E446="","",IF(AB446="Siempre","Sí",IF(ISNUMBER(AC446),IF(E446&gt;=AC446,"Sí",IF(AW446&gt;=AC446,"Sí (serie 24 h)","No")),"")))</f>
        <v/>
      </c>
      <c r="L446" s="9" t="str">
        <f aca="false">IF(E446="","",AA446)</f>
        <v/>
      </c>
      <c r="M446" s="9" t="str">
        <f aca="false">IF(E446="","",IF(AA446&lt;&gt;"ACUMULA","No aplica",IF(LEFT(K446,2)="Sí","Sí","No")))</f>
        <v/>
      </c>
      <c r="N446" s="23" t="str">
        <f aca="false">IF(M446="Sí",AJ446,"")</f>
        <v/>
      </c>
      <c r="O446" s="24" t="str">
        <f aca="false">IF(M446="Sí",AK446,"")</f>
        <v/>
      </c>
      <c r="P446" s="25" t="str">
        <f aca="false">IF(AND(LEFT(D446,6)="XIV - ",LEFT(AX446,5)="AVISO"),"Pedimento (R 16): no va al SPPLD",AX446)</f>
        <v/>
      </c>
      <c r="Q446" s="23" t="str">
        <f aca="false">IF(LEFT(P446,5)="AVISO",IF(ISNUMBER(B446),DATE(YEAR(B446),MONTH(B446)+1,17),"Falta fecha"),"")</f>
        <v/>
      </c>
      <c r="R446" s="9" t="str">
        <f aca="false">IF(OR(F446="",F446=0),"",IF(ISNUMBER(AG446),IF(F446&gt;=AG446,"PROHIBIDO","Dentro del límite"),"No aplica"))</f>
        <v/>
      </c>
      <c r="S446" s="26" t="str">
        <f aca="false">IF(E446="","",MID(IF(AQ446=1," · Excede el perfil declarado","")&amp;IF(H446="Sí"," · Paga un tercero","")&amp;IF(J446="Alto"," · Cliente de riesgo alto: DDR (RCG 23 Ter 3 y 4)","")&amp;IF(AND(AS446&lt;&gt;"",AS446&lt;&gt;"No",AS446&lt;&gt;0)," · PEP","")&amp;IF(R446="PROHIBIDO"," · Efectivo prohibido: no lo recibas (Art. 32)","")&amp;IF(AR446=1," · ⚠ Fecha fuera de orden","")&amp;IF(LEFT(I446,1)="⚠"," · ⚠ Cliente no registrado","")&amp;IF(D446=""," · ⚠ Falta la actividad","")&amp;IF(AND(LEFT(P446,5)="AVISO",W446="")," · Captura la cifra total con IVA para el Aviso","")&amp;IF(AND(ISNUMBER(W446),W446&lt;E446)," · ⚠ La cifra con IVA es menor que el monto sin IVA",""),4,400))</f>
        <v/>
      </c>
      <c r="T446" s="21"/>
      <c r="U446" s="20"/>
      <c r="V446" s="9" t="str">
        <f aca="false">IF(LEFT(P446,5)&lt;&gt;"AVISO","",IF(T446="Presentado",IF(AND(ISNUMBER(U446),ISNUMBER(Q446),U446&gt;Q446),"Presentado tarde","Presentado"),IF(NOT(ISNUMBER(Q446)),"Falta fecha",IF(Q446&lt;CONFIG!$B$6,"VENCIDO","Vence en "&amp;(Q446-CONFIG!$B$6)&amp;" días"))))</f>
        <v/>
      </c>
      <c r="W446" s="22"/>
      <c r="X446" s="21"/>
      <c r="AA446" s="0" t="str">
        <f aca="false">IF(AM446="","",INDEX(CATÁLOGO!$D$5:$D$39,AM446))</f>
        <v/>
      </c>
      <c r="AB446" s="0" t="str">
        <f aca="false">IF(AM446="","",INDEX(CATÁLOGO!$E$5:$E$39,AM446))</f>
        <v/>
      </c>
      <c r="AC446" s="0" t="str">
        <f aca="false">IF(AB446="","",IF(ISNUMBER(AB446),AB446*AV446,AB446))</f>
        <v/>
      </c>
      <c r="AD446" s="0" t="str">
        <f aca="false">IF(AM446="","",INDEX(CATÁLOGO!$F$5:$F$39,AM446))</f>
        <v/>
      </c>
      <c r="AE446" s="0" t="str">
        <f aca="false">IF(AD446="","",IF(ISNUMBER(AD446),AD446*AV446,AD446))</f>
        <v/>
      </c>
      <c r="AF446" s="0" t="str">
        <f aca="false">IF(AM446="","",INDEX(CATÁLOGO!$G$5:$G$39,AM446))</f>
        <v/>
      </c>
      <c r="AG446" s="0" t="str">
        <f aca="false">IF(AF446="","",IF(ISNUMBER(AF446),AF446*AV446,AF446))</f>
        <v/>
      </c>
      <c r="AH446" s="0" t="str">
        <f aca="false">IF(E446="","",C446&amp;"|"&amp;D446)</f>
        <v/>
      </c>
      <c r="AI446" s="27" t="n">
        <f aca="false">IF(M446&lt;&gt;"Sí",0,SUMPRODUCT(MAX(($AH$5:AH445=AH446)*($M$5:M445="Sí")*ROW($AH$5:AH445))))</f>
        <v>0</v>
      </c>
      <c r="AJ446" s="0" t="str">
        <f aca="false">IF(M446&lt;&gt;"Sí","",IF(AL446=1,B446,INDEX($AJ:$AJ,AI446)))</f>
        <v/>
      </c>
      <c r="AK446" s="0" t="str">
        <f aca="false">IF(M446&lt;&gt;"Sí","",IF(AL446=1,E446,INDEX($AK:$AK,AI446)+E446))</f>
        <v/>
      </c>
      <c r="AL446" s="0" t="str">
        <f aca="false">IF(M446&lt;&gt;"Sí","",IF(AI446=0,1,IF(INDEX($AN:$AN,AI446)=0,1,IF(B446&gt;=EDATE(INDEX($AJ:$AJ,AI446),6),1,0))))</f>
        <v/>
      </c>
      <c r="AM446" s="0" t="str">
        <f aca="false">IF(D446="","",IFERROR(MATCH(D446,CATÁLOGO!$C$5:$C$39,0),""))</f>
        <v/>
      </c>
      <c r="AN446" s="0" t="str">
        <f aca="false">IF(M446&lt;&gt;"Sí","",IF(AND(ISNUMBER(AE446),AK446&gt;=AE446),0,1))</f>
        <v/>
      </c>
      <c r="AO446" s="0" t="str">
        <f aca="false">IF(OR(E446="",C446="",NOT(ISNUMBER(B446))),"",SUMIFS($E$6:$E$505,$C$6:$C$505,C446,$B$6:$B$505,"&gt;="&amp;DATE(YEAR(B446),MONTH(B446),1),$B$6:$B$505,"&lt;"&amp;DATE(YEAR(B446),MONTH(B446)+1,1)))</f>
        <v/>
      </c>
      <c r="AP446" s="0" t="str">
        <f aca="false">IF(C446="","",IFERROR(INDEX(CLIENTES!$M$6:$M$305,MATCH(C446,CLIENTES!$A$6:$A$305,0)),""))</f>
        <v/>
      </c>
      <c r="AQ446" s="27" t="n">
        <f aca="false">IF(AND(ISNUMBER(AO446),ISNUMBER(AP446)),IF(AND(AP446&gt;0,AO446&gt;AP446),1,0),0)</f>
        <v>0</v>
      </c>
      <c r="AR446" s="27" t="n">
        <f aca="false">IF(NOT(ISNUMBER(B446)),0,IF(B446&lt;MAX($B$5:B445),1,0))</f>
        <v>0</v>
      </c>
      <c r="AS446" s="0" t="str">
        <f aca="false">IF(C446="","",IFERROR(INDEX(CLIENTES!$H$6:$H$305,MATCH(C446,CLIENTES!$A$6:$A$305,0)),""))</f>
        <v/>
      </c>
      <c r="AT446" s="0" t="str">
        <f aca="false">IF(AND(LEFT(P446,5)="AVISO",T446&lt;&gt;"Presentado",ISNUMBER(Q446)),Q446,"")</f>
        <v/>
      </c>
      <c r="AU446" s="27" t="n">
        <f aca="false">IF(AND(D446="XVI - Activos virtuales (PSAV): operación de intercambio/transferencia",M446="Sí",ISNUMBER(AE446)),IF(AK446&gt;=AE446,1,0),0)</f>
        <v>0</v>
      </c>
      <c r="AV446" s="30" t="n">
        <f aca="false">IF(NOT(ISNUMBER(B446)),CONFIG!$B$4,IFERROR(INDEX(CONFIG!$I$5:$I$14,MATCH(IF(MONTH(B446)=1,YEAR(B446)-1,YEAR(B446)),CONFIG!$H$5:$H$14,0)),CONFIG!$B$4))</f>
        <v>117.31</v>
      </c>
      <c r="AW446" s="27" t="n">
        <f aca="false">IF(AND(LEFT(D446,4)="I - ",ISNUMBER(B446),C446&lt;&gt;""),SUMIFS($E$6:$E$505,$C$6:$C$505,C446,$D$6:$D$505,D446,$B$6:$B$505,"&gt;"&amp;(B446-1),$B$6:$B$505,"&lt;="&amp;B446),0)</f>
        <v>0</v>
      </c>
      <c r="AX446" s="0" t="str">
        <f aca="false">IF(E446="","",IF(AD446="Siempre","AVISO (siempre)",IF(AD446="No aplica","Sin Aviso (sólo preparas: Ley 17 XI)",IF(NOT(ISNUMBER(AE446)),"",IF(AA446&lt;&gt;"ACUMULA",IF(E446&gt;=AE446,IF(AND(D446="XVI - Activos virtuales (PSAV): cobro de contraprestación (comisión) por el servicio",COUNTIFS($C$6:$C$505,C446,$B$6:$B$505,"&gt;="&amp;INT(B446),$B$6:$B$505,"&lt;"&amp;(INT(B446)+1),$AU$6:$AU$505,1)&gt;0),"En el Aviso del inciso a) (R 31 Bis)","AVISO"),"—"),IF(M446&lt;&gt;"Sí","—",IF(AK446&gt;=AE446,IF(AK446=E446,"AVISO","AVISO (acumulado)"),"Acumulando")))))))</f>
        <v/>
      </c>
    </row>
    <row r="447" customFormat="false" ht="15" hidden="false" customHeight="false" outlineLevel="0" collapsed="false">
      <c r="A447" s="9" t="str">
        <f aca="false">IF(E447="","",ROW()-5)</f>
        <v/>
      </c>
      <c r="B447" s="20"/>
      <c r="C447" s="21"/>
      <c r="D447" s="21"/>
      <c r="E447" s="22"/>
      <c r="F447" s="22"/>
      <c r="G447" s="21"/>
      <c r="H447" s="21"/>
      <c r="I447" s="9" t="str">
        <f aca="false">IF(C447="","",IFERROR(INDEX(CLIENTES!$B$6:$B$305,MATCH(C447,CLIENTES!$A$6:$A$305,0)),"⚠ ID no registrado"))</f>
        <v/>
      </c>
      <c r="J447" s="9" t="str">
        <f aca="false">IF(C447="","",IFERROR(INDEX(CLIENTES!$Z$6:$Z$305,MATCH(C447,CLIENTES!$A$6:$A$305,0)),""))</f>
        <v/>
      </c>
      <c r="K447" s="9" t="str">
        <f aca="false">IF(E447="","",IF(AB447="Siempre","Sí",IF(ISNUMBER(AC447),IF(E447&gt;=AC447,"Sí",IF(AW447&gt;=AC447,"Sí (serie 24 h)","No")),"")))</f>
        <v/>
      </c>
      <c r="L447" s="9" t="str">
        <f aca="false">IF(E447="","",AA447)</f>
        <v/>
      </c>
      <c r="M447" s="9" t="str">
        <f aca="false">IF(E447="","",IF(AA447&lt;&gt;"ACUMULA","No aplica",IF(LEFT(K447,2)="Sí","Sí","No")))</f>
        <v/>
      </c>
      <c r="N447" s="23" t="str">
        <f aca="false">IF(M447="Sí",AJ447,"")</f>
        <v/>
      </c>
      <c r="O447" s="24" t="str">
        <f aca="false">IF(M447="Sí",AK447,"")</f>
        <v/>
      </c>
      <c r="P447" s="25" t="str">
        <f aca="false">IF(AND(LEFT(D447,6)="XIV - ",LEFT(AX447,5)="AVISO"),"Pedimento (R 16): no va al SPPLD",AX447)</f>
        <v/>
      </c>
      <c r="Q447" s="23" t="str">
        <f aca="false">IF(LEFT(P447,5)="AVISO",IF(ISNUMBER(B447),DATE(YEAR(B447),MONTH(B447)+1,17),"Falta fecha"),"")</f>
        <v/>
      </c>
      <c r="R447" s="9" t="str">
        <f aca="false">IF(OR(F447="",F447=0),"",IF(ISNUMBER(AG447),IF(F447&gt;=AG447,"PROHIBIDO","Dentro del límite"),"No aplica"))</f>
        <v/>
      </c>
      <c r="S447" s="26" t="str">
        <f aca="false">IF(E447="","",MID(IF(AQ447=1," · Excede el perfil declarado","")&amp;IF(H447="Sí"," · Paga un tercero","")&amp;IF(J447="Alto"," · Cliente de riesgo alto: DDR (RCG 23 Ter 3 y 4)","")&amp;IF(AND(AS447&lt;&gt;"",AS447&lt;&gt;"No",AS447&lt;&gt;0)," · PEP","")&amp;IF(R447="PROHIBIDO"," · Efectivo prohibido: no lo recibas (Art. 32)","")&amp;IF(AR447=1," · ⚠ Fecha fuera de orden","")&amp;IF(LEFT(I447,1)="⚠"," · ⚠ Cliente no registrado","")&amp;IF(D447=""," · ⚠ Falta la actividad","")&amp;IF(AND(LEFT(P447,5)="AVISO",W447="")," · Captura la cifra total con IVA para el Aviso","")&amp;IF(AND(ISNUMBER(W447),W447&lt;E447)," · ⚠ La cifra con IVA es menor que el monto sin IVA",""),4,400))</f>
        <v/>
      </c>
      <c r="T447" s="21"/>
      <c r="U447" s="20"/>
      <c r="V447" s="9" t="str">
        <f aca="false">IF(LEFT(P447,5)&lt;&gt;"AVISO","",IF(T447="Presentado",IF(AND(ISNUMBER(U447),ISNUMBER(Q447),U447&gt;Q447),"Presentado tarde","Presentado"),IF(NOT(ISNUMBER(Q447)),"Falta fecha",IF(Q447&lt;CONFIG!$B$6,"VENCIDO","Vence en "&amp;(Q447-CONFIG!$B$6)&amp;" días"))))</f>
        <v/>
      </c>
      <c r="W447" s="22"/>
      <c r="X447" s="21"/>
      <c r="AA447" s="0" t="str">
        <f aca="false">IF(AM447="","",INDEX(CATÁLOGO!$D$5:$D$39,AM447))</f>
        <v/>
      </c>
      <c r="AB447" s="0" t="str">
        <f aca="false">IF(AM447="","",INDEX(CATÁLOGO!$E$5:$E$39,AM447))</f>
        <v/>
      </c>
      <c r="AC447" s="0" t="str">
        <f aca="false">IF(AB447="","",IF(ISNUMBER(AB447),AB447*AV447,AB447))</f>
        <v/>
      </c>
      <c r="AD447" s="0" t="str">
        <f aca="false">IF(AM447="","",INDEX(CATÁLOGO!$F$5:$F$39,AM447))</f>
        <v/>
      </c>
      <c r="AE447" s="0" t="str">
        <f aca="false">IF(AD447="","",IF(ISNUMBER(AD447),AD447*AV447,AD447))</f>
        <v/>
      </c>
      <c r="AF447" s="0" t="str">
        <f aca="false">IF(AM447="","",INDEX(CATÁLOGO!$G$5:$G$39,AM447))</f>
        <v/>
      </c>
      <c r="AG447" s="0" t="str">
        <f aca="false">IF(AF447="","",IF(ISNUMBER(AF447),AF447*AV447,AF447))</f>
        <v/>
      </c>
      <c r="AH447" s="0" t="str">
        <f aca="false">IF(E447="","",C447&amp;"|"&amp;D447)</f>
        <v/>
      </c>
      <c r="AI447" s="27" t="n">
        <f aca="false">IF(M447&lt;&gt;"Sí",0,SUMPRODUCT(MAX(($AH$5:AH446=AH447)*($M$5:M446="Sí")*ROW($AH$5:AH446))))</f>
        <v>0</v>
      </c>
      <c r="AJ447" s="0" t="str">
        <f aca="false">IF(M447&lt;&gt;"Sí","",IF(AL447=1,B447,INDEX($AJ:$AJ,AI447)))</f>
        <v/>
      </c>
      <c r="AK447" s="0" t="str">
        <f aca="false">IF(M447&lt;&gt;"Sí","",IF(AL447=1,E447,INDEX($AK:$AK,AI447)+E447))</f>
        <v/>
      </c>
      <c r="AL447" s="0" t="str">
        <f aca="false">IF(M447&lt;&gt;"Sí","",IF(AI447=0,1,IF(INDEX($AN:$AN,AI447)=0,1,IF(B447&gt;=EDATE(INDEX($AJ:$AJ,AI447),6),1,0))))</f>
        <v/>
      </c>
      <c r="AM447" s="0" t="str">
        <f aca="false">IF(D447="","",IFERROR(MATCH(D447,CATÁLOGO!$C$5:$C$39,0),""))</f>
        <v/>
      </c>
      <c r="AN447" s="0" t="str">
        <f aca="false">IF(M447&lt;&gt;"Sí","",IF(AND(ISNUMBER(AE447),AK447&gt;=AE447),0,1))</f>
        <v/>
      </c>
      <c r="AO447" s="0" t="str">
        <f aca="false">IF(OR(E447="",C447="",NOT(ISNUMBER(B447))),"",SUMIFS($E$6:$E$505,$C$6:$C$505,C447,$B$6:$B$505,"&gt;="&amp;DATE(YEAR(B447),MONTH(B447),1),$B$6:$B$505,"&lt;"&amp;DATE(YEAR(B447),MONTH(B447)+1,1)))</f>
        <v/>
      </c>
      <c r="AP447" s="0" t="str">
        <f aca="false">IF(C447="","",IFERROR(INDEX(CLIENTES!$M$6:$M$305,MATCH(C447,CLIENTES!$A$6:$A$305,0)),""))</f>
        <v/>
      </c>
      <c r="AQ447" s="27" t="n">
        <f aca="false">IF(AND(ISNUMBER(AO447),ISNUMBER(AP447)),IF(AND(AP447&gt;0,AO447&gt;AP447),1,0),0)</f>
        <v>0</v>
      </c>
      <c r="AR447" s="27" t="n">
        <f aca="false">IF(NOT(ISNUMBER(B447)),0,IF(B447&lt;MAX($B$5:B446),1,0))</f>
        <v>0</v>
      </c>
      <c r="AS447" s="0" t="str">
        <f aca="false">IF(C447="","",IFERROR(INDEX(CLIENTES!$H$6:$H$305,MATCH(C447,CLIENTES!$A$6:$A$305,0)),""))</f>
        <v/>
      </c>
      <c r="AT447" s="0" t="str">
        <f aca="false">IF(AND(LEFT(P447,5)="AVISO",T447&lt;&gt;"Presentado",ISNUMBER(Q447)),Q447,"")</f>
        <v/>
      </c>
      <c r="AU447" s="27" t="n">
        <f aca="false">IF(AND(D447="XVI - Activos virtuales (PSAV): operación de intercambio/transferencia",M447="Sí",ISNUMBER(AE447)),IF(AK447&gt;=AE447,1,0),0)</f>
        <v>0</v>
      </c>
      <c r="AV447" s="30" t="n">
        <f aca="false">IF(NOT(ISNUMBER(B447)),CONFIG!$B$4,IFERROR(INDEX(CONFIG!$I$5:$I$14,MATCH(IF(MONTH(B447)=1,YEAR(B447)-1,YEAR(B447)),CONFIG!$H$5:$H$14,0)),CONFIG!$B$4))</f>
        <v>117.31</v>
      </c>
      <c r="AW447" s="27" t="n">
        <f aca="false">IF(AND(LEFT(D447,4)="I - ",ISNUMBER(B447),C447&lt;&gt;""),SUMIFS($E$6:$E$505,$C$6:$C$505,C447,$D$6:$D$505,D447,$B$6:$B$505,"&gt;"&amp;(B447-1),$B$6:$B$505,"&lt;="&amp;B447),0)</f>
        <v>0</v>
      </c>
      <c r="AX447" s="0" t="str">
        <f aca="false">IF(E447="","",IF(AD447="Siempre","AVISO (siempre)",IF(AD447="No aplica","Sin Aviso (sólo preparas: Ley 17 XI)",IF(NOT(ISNUMBER(AE447)),"",IF(AA447&lt;&gt;"ACUMULA",IF(E447&gt;=AE447,IF(AND(D447="XVI - Activos virtuales (PSAV): cobro de contraprestación (comisión) por el servicio",COUNTIFS($C$6:$C$505,C447,$B$6:$B$505,"&gt;="&amp;INT(B447),$B$6:$B$505,"&lt;"&amp;(INT(B447)+1),$AU$6:$AU$505,1)&gt;0),"En el Aviso del inciso a) (R 31 Bis)","AVISO"),"—"),IF(M447&lt;&gt;"Sí","—",IF(AK447&gt;=AE447,IF(AK447=E447,"AVISO","AVISO (acumulado)"),"Acumulando")))))))</f>
        <v/>
      </c>
    </row>
    <row r="448" customFormat="false" ht="15" hidden="false" customHeight="false" outlineLevel="0" collapsed="false">
      <c r="A448" s="9" t="str">
        <f aca="false">IF(E448="","",ROW()-5)</f>
        <v/>
      </c>
      <c r="B448" s="20"/>
      <c r="C448" s="21"/>
      <c r="D448" s="21"/>
      <c r="E448" s="22"/>
      <c r="F448" s="22"/>
      <c r="G448" s="21"/>
      <c r="H448" s="21"/>
      <c r="I448" s="9" t="str">
        <f aca="false">IF(C448="","",IFERROR(INDEX(CLIENTES!$B$6:$B$305,MATCH(C448,CLIENTES!$A$6:$A$305,0)),"⚠ ID no registrado"))</f>
        <v/>
      </c>
      <c r="J448" s="9" t="str">
        <f aca="false">IF(C448="","",IFERROR(INDEX(CLIENTES!$Z$6:$Z$305,MATCH(C448,CLIENTES!$A$6:$A$305,0)),""))</f>
        <v/>
      </c>
      <c r="K448" s="9" t="str">
        <f aca="false">IF(E448="","",IF(AB448="Siempre","Sí",IF(ISNUMBER(AC448),IF(E448&gt;=AC448,"Sí",IF(AW448&gt;=AC448,"Sí (serie 24 h)","No")),"")))</f>
        <v/>
      </c>
      <c r="L448" s="9" t="str">
        <f aca="false">IF(E448="","",AA448)</f>
        <v/>
      </c>
      <c r="M448" s="9" t="str">
        <f aca="false">IF(E448="","",IF(AA448&lt;&gt;"ACUMULA","No aplica",IF(LEFT(K448,2)="Sí","Sí","No")))</f>
        <v/>
      </c>
      <c r="N448" s="23" t="str">
        <f aca="false">IF(M448="Sí",AJ448,"")</f>
        <v/>
      </c>
      <c r="O448" s="24" t="str">
        <f aca="false">IF(M448="Sí",AK448,"")</f>
        <v/>
      </c>
      <c r="P448" s="25" t="str">
        <f aca="false">IF(AND(LEFT(D448,6)="XIV - ",LEFT(AX448,5)="AVISO"),"Pedimento (R 16): no va al SPPLD",AX448)</f>
        <v/>
      </c>
      <c r="Q448" s="23" t="str">
        <f aca="false">IF(LEFT(P448,5)="AVISO",IF(ISNUMBER(B448),DATE(YEAR(B448),MONTH(B448)+1,17),"Falta fecha"),"")</f>
        <v/>
      </c>
      <c r="R448" s="9" t="str">
        <f aca="false">IF(OR(F448="",F448=0),"",IF(ISNUMBER(AG448),IF(F448&gt;=AG448,"PROHIBIDO","Dentro del límite"),"No aplica"))</f>
        <v/>
      </c>
      <c r="S448" s="26" t="str">
        <f aca="false">IF(E448="","",MID(IF(AQ448=1," · Excede el perfil declarado","")&amp;IF(H448="Sí"," · Paga un tercero","")&amp;IF(J448="Alto"," · Cliente de riesgo alto: DDR (RCG 23 Ter 3 y 4)","")&amp;IF(AND(AS448&lt;&gt;"",AS448&lt;&gt;"No",AS448&lt;&gt;0)," · PEP","")&amp;IF(R448="PROHIBIDO"," · Efectivo prohibido: no lo recibas (Art. 32)","")&amp;IF(AR448=1," · ⚠ Fecha fuera de orden","")&amp;IF(LEFT(I448,1)="⚠"," · ⚠ Cliente no registrado","")&amp;IF(D448=""," · ⚠ Falta la actividad","")&amp;IF(AND(LEFT(P448,5)="AVISO",W448="")," · Captura la cifra total con IVA para el Aviso","")&amp;IF(AND(ISNUMBER(W448),W448&lt;E448)," · ⚠ La cifra con IVA es menor que el monto sin IVA",""),4,400))</f>
        <v/>
      </c>
      <c r="T448" s="21"/>
      <c r="U448" s="20"/>
      <c r="V448" s="9" t="str">
        <f aca="false">IF(LEFT(P448,5)&lt;&gt;"AVISO","",IF(T448="Presentado",IF(AND(ISNUMBER(U448),ISNUMBER(Q448),U448&gt;Q448),"Presentado tarde","Presentado"),IF(NOT(ISNUMBER(Q448)),"Falta fecha",IF(Q448&lt;CONFIG!$B$6,"VENCIDO","Vence en "&amp;(Q448-CONFIG!$B$6)&amp;" días"))))</f>
        <v/>
      </c>
      <c r="W448" s="22"/>
      <c r="X448" s="21"/>
      <c r="AA448" s="0" t="str">
        <f aca="false">IF(AM448="","",INDEX(CATÁLOGO!$D$5:$D$39,AM448))</f>
        <v/>
      </c>
      <c r="AB448" s="0" t="str">
        <f aca="false">IF(AM448="","",INDEX(CATÁLOGO!$E$5:$E$39,AM448))</f>
        <v/>
      </c>
      <c r="AC448" s="0" t="str">
        <f aca="false">IF(AB448="","",IF(ISNUMBER(AB448),AB448*AV448,AB448))</f>
        <v/>
      </c>
      <c r="AD448" s="0" t="str">
        <f aca="false">IF(AM448="","",INDEX(CATÁLOGO!$F$5:$F$39,AM448))</f>
        <v/>
      </c>
      <c r="AE448" s="0" t="str">
        <f aca="false">IF(AD448="","",IF(ISNUMBER(AD448),AD448*AV448,AD448))</f>
        <v/>
      </c>
      <c r="AF448" s="0" t="str">
        <f aca="false">IF(AM448="","",INDEX(CATÁLOGO!$G$5:$G$39,AM448))</f>
        <v/>
      </c>
      <c r="AG448" s="0" t="str">
        <f aca="false">IF(AF448="","",IF(ISNUMBER(AF448),AF448*AV448,AF448))</f>
        <v/>
      </c>
      <c r="AH448" s="0" t="str">
        <f aca="false">IF(E448="","",C448&amp;"|"&amp;D448)</f>
        <v/>
      </c>
      <c r="AI448" s="27" t="n">
        <f aca="false">IF(M448&lt;&gt;"Sí",0,SUMPRODUCT(MAX(($AH$5:AH447=AH448)*($M$5:M447="Sí")*ROW($AH$5:AH447))))</f>
        <v>0</v>
      </c>
      <c r="AJ448" s="0" t="str">
        <f aca="false">IF(M448&lt;&gt;"Sí","",IF(AL448=1,B448,INDEX($AJ:$AJ,AI448)))</f>
        <v/>
      </c>
      <c r="AK448" s="0" t="str">
        <f aca="false">IF(M448&lt;&gt;"Sí","",IF(AL448=1,E448,INDEX($AK:$AK,AI448)+E448))</f>
        <v/>
      </c>
      <c r="AL448" s="0" t="str">
        <f aca="false">IF(M448&lt;&gt;"Sí","",IF(AI448=0,1,IF(INDEX($AN:$AN,AI448)=0,1,IF(B448&gt;=EDATE(INDEX($AJ:$AJ,AI448),6),1,0))))</f>
        <v/>
      </c>
      <c r="AM448" s="0" t="str">
        <f aca="false">IF(D448="","",IFERROR(MATCH(D448,CATÁLOGO!$C$5:$C$39,0),""))</f>
        <v/>
      </c>
      <c r="AN448" s="0" t="str">
        <f aca="false">IF(M448&lt;&gt;"Sí","",IF(AND(ISNUMBER(AE448),AK448&gt;=AE448),0,1))</f>
        <v/>
      </c>
      <c r="AO448" s="0" t="str">
        <f aca="false">IF(OR(E448="",C448="",NOT(ISNUMBER(B448))),"",SUMIFS($E$6:$E$505,$C$6:$C$505,C448,$B$6:$B$505,"&gt;="&amp;DATE(YEAR(B448),MONTH(B448),1),$B$6:$B$505,"&lt;"&amp;DATE(YEAR(B448),MONTH(B448)+1,1)))</f>
        <v/>
      </c>
      <c r="AP448" s="0" t="str">
        <f aca="false">IF(C448="","",IFERROR(INDEX(CLIENTES!$M$6:$M$305,MATCH(C448,CLIENTES!$A$6:$A$305,0)),""))</f>
        <v/>
      </c>
      <c r="AQ448" s="27" t="n">
        <f aca="false">IF(AND(ISNUMBER(AO448),ISNUMBER(AP448)),IF(AND(AP448&gt;0,AO448&gt;AP448),1,0),0)</f>
        <v>0</v>
      </c>
      <c r="AR448" s="27" t="n">
        <f aca="false">IF(NOT(ISNUMBER(B448)),0,IF(B448&lt;MAX($B$5:B447),1,0))</f>
        <v>0</v>
      </c>
      <c r="AS448" s="0" t="str">
        <f aca="false">IF(C448="","",IFERROR(INDEX(CLIENTES!$H$6:$H$305,MATCH(C448,CLIENTES!$A$6:$A$305,0)),""))</f>
        <v/>
      </c>
      <c r="AT448" s="0" t="str">
        <f aca="false">IF(AND(LEFT(P448,5)="AVISO",T448&lt;&gt;"Presentado",ISNUMBER(Q448)),Q448,"")</f>
        <v/>
      </c>
      <c r="AU448" s="27" t="n">
        <f aca="false">IF(AND(D448="XVI - Activos virtuales (PSAV): operación de intercambio/transferencia",M448="Sí",ISNUMBER(AE448)),IF(AK448&gt;=AE448,1,0),0)</f>
        <v>0</v>
      </c>
      <c r="AV448" s="30" t="n">
        <f aca="false">IF(NOT(ISNUMBER(B448)),CONFIG!$B$4,IFERROR(INDEX(CONFIG!$I$5:$I$14,MATCH(IF(MONTH(B448)=1,YEAR(B448)-1,YEAR(B448)),CONFIG!$H$5:$H$14,0)),CONFIG!$B$4))</f>
        <v>117.31</v>
      </c>
      <c r="AW448" s="27" t="n">
        <f aca="false">IF(AND(LEFT(D448,4)="I - ",ISNUMBER(B448),C448&lt;&gt;""),SUMIFS($E$6:$E$505,$C$6:$C$505,C448,$D$6:$D$505,D448,$B$6:$B$505,"&gt;"&amp;(B448-1),$B$6:$B$505,"&lt;="&amp;B448),0)</f>
        <v>0</v>
      </c>
      <c r="AX448" s="0" t="str">
        <f aca="false">IF(E448="","",IF(AD448="Siempre","AVISO (siempre)",IF(AD448="No aplica","Sin Aviso (sólo preparas: Ley 17 XI)",IF(NOT(ISNUMBER(AE448)),"",IF(AA448&lt;&gt;"ACUMULA",IF(E448&gt;=AE448,IF(AND(D448="XVI - Activos virtuales (PSAV): cobro de contraprestación (comisión) por el servicio",COUNTIFS($C$6:$C$505,C448,$B$6:$B$505,"&gt;="&amp;INT(B448),$B$6:$B$505,"&lt;"&amp;(INT(B448)+1),$AU$6:$AU$505,1)&gt;0),"En el Aviso del inciso a) (R 31 Bis)","AVISO"),"—"),IF(M448&lt;&gt;"Sí","—",IF(AK448&gt;=AE448,IF(AK448=E448,"AVISO","AVISO (acumulado)"),"Acumulando")))))))</f>
        <v/>
      </c>
    </row>
    <row r="449" customFormat="false" ht="15" hidden="false" customHeight="false" outlineLevel="0" collapsed="false">
      <c r="A449" s="9" t="str">
        <f aca="false">IF(E449="","",ROW()-5)</f>
        <v/>
      </c>
      <c r="B449" s="20"/>
      <c r="C449" s="21"/>
      <c r="D449" s="21"/>
      <c r="E449" s="22"/>
      <c r="F449" s="22"/>
      <c r="G449" s="21"/>
      <c r="H449" s="21"/>
      <c r="I449" s="9" t="str">
        <f aca="false">IF(C449="","",IFERROR(INDEX(CLIENTES!$B$6:$B$305,MATCH(C449,CLIENTES!$A$6:$A$305,0)),"⚠ ID no registrado"))</f>
        <v/>
      </c>
      <c r="J449" s="9" t="str">
        <f aca="false">IF(C449="","",IFERROR(INDEX(CLIENTES!$Z$6:$Z$305,MATCH(C449,CLIENTES!$A$6:$A$305,0)),""))</f>
        <v/>
      </c>
      <c r="K449" s="9" t="str">
        <f aca="false">IF(E449="","",IF(AB449="Siempre","Sí",IF(ISNUMBER(AC449),IF(E449&gt;=AC449,"Sí",IF(AW449&gt;=AC449,"Sí (serie 24 h)","No")),"")))</f>
        <v/>
      </c>
      <c r="L449" s="9" t="str">
        <f aca="false">IF(E449="","",AA449)</f>
        <v/>
      </c>
      <c r="M449" s="9" t="str">
        <f aca="false">IF(E449="","",IF(AA449&lt;&gt;"ACUMULA","No aplica",IF(LEFT(K449,2)="Sí","Sí","No")))</f>
        <v/>
      </c>
      <c r="N449" s="23" t="str">
        <f aca="false">IF(M449="Sí",AJ449,"")</f>
        <v/>
      </c>
      <c r="O449" s="24" t="str">
        <f aca="false">IF(M449="Sí",AK449,"")</f>
        <v/>
      </c>
      <c r="P449" s="25" t="str">
        <f aca="false">IF(AND(LEFT(D449,6)="XIV - ",LEFT(AX449,5)="AVISO"),"Pedimento (R 16): no va al SPPLD",AX449)</f>
        <v/>
      </c>
      <c r="Q449" s="23" t="str">
        <f aca="false">IF(LEFT(P449,5)="AVISO",IF(ISNUMBER(B449),DATE(YEAR(B449),MONTH(B449)+1,17),"Falta fecha"),"")</f>
        <v/>
      </c>
      <c r="R449" s="9" t="str">
        <f aca="false">IF(OR(F449="",F449=0),"",IF(ISNUMBER(AG449),IF(F449&gt;=AG449,"PROHIBIDO","Dentro del límite"),"No aplica"))</f>
        <v/>
      </c>
      <c r="S449" s="26" t="str">
        <f aca="false">IF(E449="","",MID(IF(AQ449=1," · Excede el perfil declarado","")&amp;IF(H449="Sí"," · Paga un tercero","")&amp;IF(J449="Alto"," · Cliente de riesgo alto: DDR (RCG 23 Ter 3 y 4)","")&amp;IF(AND(AS449&lt;&gt;"",AS449&lt;&gt;"No",AS449&lt;&gt;0)," · PEP","")&amp;IF(R449="PROHIBIDO"," · Efectivo prohibido: no lo recibas (Art. 32)","")&amp;IF(AR449=1," · ⚠ Fecha fuera de orden","")&amp;IF(LEFT(I449,1)="⚠"," · ⚠ Cliente no registrado","")&amp;IF(D449=""," · ⚠ Falta la actividad","")&amp;IF(AND(LEFT(P449,5)="AVISO",W449="")," · Captura la cifra total con IVA para el Aviso","")&amp;IF(AND(ISNUMBER(W449),W449&lt;E449)," · ⚠ La cifra con IVA es menor que el monto sin IVA",""),4,400))</f>
        <v/>
      </c>
      <c r="T449" s="21"/>
      <c r="U449" s="20"/>
      <c r="V449" s="9" t="str">
        <f aca="false">IF(LEFT(P449,5)&lt;&gt;"AVISO","",IF(T449="Presentado",IF(AND(ISNUMBER(U449),ISNUMBER(Q449),U449&gt;Q449),"Presentado tarde","Presentado"),IF(NOT(ISNUMBER(Q449)),"Falta fecha",IF(Q449&lt;CONFIG!$B$6,"VENCIDO","Vence en "&amp;(Q449-CONFIG!$B$6)&amp;" días"))))</f>
        <v/>
      </c>
      <c r="W449" s="22"/>
      <c r="X449" s="21"/>
      <c r="AA449" s="0" t="str">
        <f aca="false">IF(AM449="","",INDEX(CATÁLOGO!$D$5:$D$39,AM449))</f>
        <v/>
      </c>
      <c r="AB449" s="0" t="str">
        <f aca="false">IF(AM449="","",INDEX(CATÁLOGO!$E$5:$E$39,AM449))</f>
        <v/>
      </c>
      <c r="AC449" s="0" t="str">
        <f aca="false">IF(AB449="","",IF(ISNUMBER(AB449),AB449*AV449,AB449))</f>
        <v/>
      </c>
      <c r="AD449" s="0" t="str">
        <f aca="false">IF(AM449="","",INDEX(CATÁLOGO!$F$5:$F$39,AM449))</f>
        <v/>
      </c>
      <c r="AE449" s="0" t="str">
        <f aca="false">IF(AD449="","",IF(ISNUMBER(AD449),AD449*AV449,AD449))</f>
        <v/>
      </c>
      <c r="AF449" s="0" t="str">
        <f aca="false">IF(AM449="","",INDEX(CATÁLOGO!$G$5:$G$39,AM449))</f>
        <v/>
      </c>
      <c r="AG449" s="0" t="str">
        <f aca="false">IF(AF449="","",IF(ISNUMBER(AF449),AF449*AV449,AF449))</f>
        <v/>
      </c>
      <c r="AH449" s="0" t="str">
        <f aca="false">IF(E449="","",C449&amp;"|"&amp;D449)</f>
        <v/>
      </c>
      <c r="AI449" s="27" t="n">
        <f aca="false">IF(M449&lt;&gt;"Sí",0,SUMPRODUCT(MAX(($AH$5:AH448=AH449)*($M$5:M448="Sí")*ROW($AH$5:AH448))))</f>
        <v>0</v>
      </c>
      <c r="AJ449" s="0" t="str">
        <f aca="false">IF(M449&lt;&gt;"Sí","",IF(AL449=1,B449,INDEX($AJ:$AJ,AI449)))</f>
        <v/>
      </c>
      <c r="AK449" s="0" t="str">
        <f aca="false">IF(M449&lt;&gt;"Sí","",IF(AL449=1,E449,INDEX($AK:$AK,AI449)+E449))</f>
        <v/>
      </c>
      <c r="AL449" s="0" t="str">
        <f aca="false">IF(M449&lt;&gt;"Sí","",IF(AI449=0,1,IF(INDEX($AN:$AN,AI449)=0,1,IF(B449&gt;=EDATE(INDEX($AJ:$AJ,AI449),6),1,0))))</f>
        <v/>
      </c>
      <c r="AM449" s="0" t="str">
        <f aca="false">IF(D449="","",IFERROR(MATCH(D449,CATÁLOGO!$C$5:$C$39,0),""))</f>
        <v/>
      </c>
      <c r="AN449" s="0" t="str">
        <f aca="false">IF(M449&lt;&gt;"Sí","",IF(AND(ISNUMBER(AE449),AK449&gt;=AE449),0,1))</f>
        <v/>
      </c>
      <c r="AO449" s="0" t="str">
        <f aca="false">IF(OR(E449="",C449="",NOT(ISNUMBER(B449))),"",SUMIFS($E$6:$E$505,$C$6:$C$505,C449,$B$6:$B$505,"&gt;="&amp;DATE(YEAR(B449),MONTH(B449),1),$B$6:$B$505,"&lt;"&amp;DATE(YEAR(B449),MONTH(B449)+1,1)))</f>
        <v/>
      </c>
      <c r="AP449" s="0" t="str">
        <f aca="false">IF(C449="","",IFERROR(INDEX(CLIENTES!$M$6:$M$305,MATCH(C449,CLIENTES!$A$6:$A$305,0)),""))</f>
        <v/>
      </c>
      <c r="AQ449" s="27" t="n">
        <f aca="false">IF(AND(ISNUMBER(AO449),ISNUMBER(AP449)),IF(AND(AP449&gt;0,AO449&gt;AP449),1,0),0)</f>
        <v>0</v>
      </c>
      <c r="AR449" s="27" t="n">
        <f aca="false">IF(NOT(ISNUMBER(B449)),0,IF(B449&lt;MAX($B$5:B448),1,0))</f>
        <v>0</v>
      </c>
      <c r="AS449" s="0" t="str">
        <f aca="false">IF(C449="","",IFERROR(INDEX(CLIENTES!$H$6:$H$305,MATCH(C449,CLIENTES!$A$6:$A$305,0)),""))</f>
        <v/>
      </c>
      <c r="AT449" s="0" t="str">
        <f aca="false">IF(AND(LEFT(P449,5)="AVISO",T449&lt;&gt;"Presentado",ISNUMBER(Q449)),Q449,"")</f>
        <v/>
      </c>
      <c r="AU449" s="27" t="n">
        <f aca="false">IF(AND(D449="XVI - Activos virtuales (PSAV): operación de intercambio/transferencia",M449="Sí",ISNUMBER(AE449)),IF(AK449&gt;=AE449,1,0),0)</f>
        <v>0</v>
      </c>
      <c r="AV449" s="30" t="n">
        <f aca="false">IF(NOT(ISNUMBER(B449)),CONFIG!$B$4,IFERROR(INDEX(CONFIG!$I$5:$I$14,MATCH(IF(MONTH(B449)=1,YEAR(B449)-1,YEAR(B449)),CONFIG!$H$5:$H$14,0)),CONFIG!$B$4))</f>
        <v>117.31</v>
      </c>
      <c r="AW449" s="27" t="n">
        <f aca="false">IF(AND(LEFT(D449,4)="I - ",ISNUMBER(B449),C449&lt;&gt;""),SUMIFS($E$6:$E$505,$C$6:$C$505,C449,$D$6:$D$505,D449,$B$6:$B$505,"&gt;"&amp;(B449-1),$B$6:$B$505,"&lt;="&amp;B449),0)</f>
        <v>0</v>
      </c>
      <c r="AX449" s="0" t="str">
        <f aca="false">IF(E449="","",IF(AD449="Siempre","AVISO (siempre)",IF(AD449="No aplica","Sin Aviso (sólo preparas: Ley 17 XI)",IF(NOT(ISNUMBER(AE449)),"",IF(AA449&lt;&gt;"ACUMULA",IF(E449&gt;=AE449,IF(AND(D449="XVI - Activos virtuales (PSAV): cobro de contraprestación (comisión) por el servicio",COUNTIFS($C$6:$C$505,C449,$B$6:$B$505,"&gt;="&amp;INT(B449),$B$6:$B$505,"&lt;"&amp;(INT(B449)+1),$AU$6:$AU$505,1)&gt;0),"En el Aviso del inciso a) (R 31 Bis)","AVISO"),"—"),IF(M449&lt;&gt;"Sí","—",IF(AK449&gt;=AE449,IF(AK449=E449,"AVISO","AVISO (acumulado)"),"Acumulando")))))))</f>
        <v/>
      </c>
    </row>
    <row r="450" customFormat="false" ht="15" hidden="false" customHeight="false" outlineLevel="0" collapsed="false">
      <c r="A450" s="9" t="str">
        <f aca="false">IF(E450="","",ROW()-5)</f>
        <v/>
      </c>
      <c r="B450" s="20"/>
      <c r="C450" s="21"/>
      <c r="D450" s="21"/>
      <c r="E450" s="22"/>
      <c r="F450" s="22"/>
      <c r="G450" s="21"/>
      <c r="H450" s="21"/>
      <c r="I450" s="9" t="str">
        <f aca="false">IF(C450="","",IFERROR(INDEX(CLIENTES!$B$6:$B$305,MATCH(C450,CLIENTES!$A$6:$A$305,0)),"⚠ ID no registrado"))</f>
        <v/>
      </c>
      <c r="J450" s="9" t="str">
        <f aca="false">IF(C450="","",IFERROR(INDEX(CLIENTES!$Z$6:$Z$305,MATCH(C450,CLIENTES!$A$6:$A$305,0)),""))</f>
        <v/>
      </c>
      <c r="K450" s="9" t="str">
        <f aca="false">IF(E450="","",IF(AB450="Siempre","Sí",IF(ISNUMBER(AC450),IF(E450&gt;=AC450,"Sí",IF(AW450&gt;=AC450,"Sí (serie 24 h)","No")),"")))</f>
        <v/>
      </c>
      <c r="L450" s="9" t="str">
        <f aca="false">IF(E450="","",AA450)</f>
        <v/>
      </c>
      <c r="M450" s="9" t="str">
        <f aca="false">IF(E450="","",IF(AA450&lt;&gt;"ACUMULA","No aplica",IF(LEFT(K450,2)="Sí","Sí","No")))</f>
        <v/>
      </c>
      <c r="N450" s="23" t="str">
        <f aca="false">IF(M450="Sí",AJ450,"")</f>
        <v/>
      </c>
      <c r="O450" s="24" t="str">
        <f aca="false">IF(M450="Sí",AK450,"")</f>
        <v/>
      </c>
      <c r="P450" s="25" t="str">
        <f aca="false">IF(AND(LEFT(D450,6)="XIV - ",LEFT(AX450,5)="AVISO"),"Pedimento (R 16): no va al SPPLD",AX450)</f>
        <v/>
      </c>
      <c r="Q450" s="23" t="str">
        <f aca="false">IF(LEFT(P450,5)="AVISO",IF(ISNUMBER(B450),DATE(YEAR(B450),MONTH(B450)+1,17),"Falta fecha"),"")</f>
        <v/>
      </c>
      <c r="R450" s="9" t="str">
        <f aca="false">IF(OR(F450="",F450=0),"",IF(ISNUMBER(AG450),IF(F450&gt;=AG450,"PROHIBIDO","Dentro del límite"),"No aplica"))</f>
        <v/>
      </c>
      <c r="S450" s="26" t="str">
        <f aca="false">IF(E450="","",MID(IF(AQ450=1," · Excede el perfil declarado","")&amp;IF(H450="Sí"," · Paga un tercero","")&amp;IF(J450="Alto"," · Cliente de riesgo alto: DDR (RCG 23 Ter 3 y 4)","")&amp;IF(AND(AS450&lt;&gt;"",AS450&lt;&gt;"No",AS450&lt;&gt;0)," · PEP","")&amp;IF(R450="PROHIBIDO"," · Efectivo prohibido: no lo recibas (Art. 32)","")&amp;IF(AR450=1," · ⚠ Fecha fuera de orden","")&amp;IF(LEFT(I450,1)="⚠"," · ⚠ Cliente no registrado","")&amp;IF(D450=""," · ⚠ Falta la actividad","")&amp;IF(AND(LEFT(P450,5)="AVISO",W450="")," · Captura la cifra total con IVA para el Aviso","")&amp;IF(AND(ISNUMBER(W450),W450&lt;E450)," · ⚠ La cifra con IVA es menor que el monto sin IVA",""),4,400))</f>
        <v/>
      </c>
      <c r="T450" s="21"/>
      <c r="U450" s="20"/>
      <c r="V450" s="9" t="str">
        <f aca="false">IF(LEFT(P450,5)&lt;&gt;"AVISO","",IF(T450="Presentado",IF(AND(ISNUMBER(U450),ISNUMBER(Q450),U450&gt;Q450),"Presentado tarde","Presentado"),IF(NOT(ISNUMBER(Q450)),"Falta fecha",IF(Q450&lt;CONFIG!$B$6,"VENCIDO","Vence en "&amp;(Q450-CONFIG!$B$6)&amp;" días"))))</f>
        <v/>
      </c>
      <c r="W450" s="22"/>
      <c r="X450" s="21"/>
      <c r="AA450" s="0" t="str">
        <f aca="false">IF(AM450="","",INDEX(CATÁLOGO!$D$5:$D$39,AM450))</f>
        <v/>
      </c>
      <c r="AB450" s="0" t="str">
        <f aca="false">IF(AM450="","",INDEX(CATÁLOGO!$E$5:$E$39,AM450))</f>
        <v/>
      </c>
      <c r="AC450" s="0" t="str">
        <f aca="false">IF(AB450="","",IF(ISNUMBER(AB450),AB450*AV450,AB450))</f>
        <v/>
      </c>
      <c r="AD450" s="0" t="str">
        <f aca="false">IF(AM450="","",INDEX(CATÁLOGO!$F$5:$F$39,AM450))</f>
        <v/>
      </c>
      <c r="AE450" s="0" t="str">
        <f aca="false">IF(AD450="","",IF(ISNUMBER(AD450),AD450*AV450,AD450))</f>
        <v/>
      </c>
      <c r="AF450" s="0" t="str">
        <f aca="false">IF(AM450="","",INDEX(CATÁLOGO!$G$5:$G$39,AM450))</f>
        <v/>
      </c>
      <c r="AG450" s="0" t="str">
        <f aca="false">IF(AF450="","",IF(ISNUMBER(AF450),AF450*AV450,AF450))</f>
        <v/>
      </c>
      <c r="AH450" s="0" t="str">
        <f aca="false">IF(E450="","",C450&amp;"|"&amp;D450)</f>
        <v/>
      </c>
      <c r="AI450" s="27" t="n">
        <f aca="false">IF(M450&lt;&gt;"Sí",0,SUMPRODUCT(MAX(($AH$5:AH449=AH450)*($M$5:M449="Sí")*ROW($AH$5:AH449))))</f>
        <v>0</v>
      </c>
      <c r="AJ450" s="0" t="str">
        <f aca="false">IF(M450&lt;&gt;"Sí","",IF(AL450=1,B450,INDEX($AJ:$AJ,AI450)))</f>
        <v/>
      </c>
      <c r="AK450" s="0" t="str">
        <f aca="false">IF(M450&lt;&gt;"Sí","",IF(AL450=1,E450,INDEX($AK:$AK,AI450)+E450))</f>
        <v/>
      </c>
      <c r="AL450" s="0" t="str">
        <f aca="false">IF(M450&lt;&gt;"Sí","",IF(AI450=0,1,IF(INDEX($AN:$AN,AI450)=0,1,IF(B450&gt;=EDATE(INDEX($AJ:$AJ,AI450),6),1,0))))</f>
        <v/>
      </c>
      <c r="AM450" s="0" t="str">
        <f aca="false">IF(D450="","",IFERROR(MATCH(D450,CATÁLOGO!$C$5:$C$39,0),""))</f>
        <v/>
      </c>
      <c r="AN450" s="0" t="str">
        <f aca="false">IF(M450&lt;&gt;"Sí","",IF(AND(ISNUMBER(AE450),AK450&gt;=AE450),0,1))</f>
        <v/>
      </c>
      <c r="AO450" s="0" t="str">
        <f aca="false">IF(OR(E450="",C450="",NOT(ISNUMBER(B450))),"",SUMIFS($E$6:$E$505,$C$6:$C$505,C450,$B$6:$B$505,"&gt;="&amp;DATE(YEAR(B450),MONTH(B450),1),$B$6:$B$505,"&lt;"&amp;DATE(YEAR(B450),MONTH(B450)+1,1)))</f>
        <v/>
      </c>
      <c r="AP450" s="0" t="str">
        <f aca="false">IF(C450="","",IFERROR(INDEX(CLIENTES!$M$6:$M$305,MATCH(C450,CLIENTES!$A$6:$A$305,0)),""))</f>
        <v/>
      </c>
      <c r="AQ450" s="27" t="n">
        <f aca="false">IF(AND(ISNUMBER(AO450),ISNUMBER(AP450)),IF(AND(AP450&gt;0,AO450&gt;AP450),1,0),0)</f>
        <v>0</v>
      </c>
      <c r="AR450" s="27" t="n">
        <f aca="false">IF(NOT(ISNUMBER(B450)),0,IF(B450&lt;MAX($B$5:B449),1,0))</f>
        <v>0</v>
      </c>
      <c r="AS450" s="0" t="str">
        <f aca="false">IF(C450="","",IFERROR(INDEX(CLIENTES!$H$6:$H$305,MATCH(C450,CLIENTES!$A$6:$A$305,0)),""))</f>
        <v/>
      </c>
      <c r="AT450" s="0" t="str">
        <f aca="false">IF(AND(LEFT(P450,5)="AVISO",T450&lt;&gt;"Presentado",ISNUMBER(Q450)),Q450,"")</f>
        <v/>
      </c>
      <c r="AU450" s="27" t="n">
        <f aca="false">IF(AND(D450="XVI - Activos virtuales (PSAV): operación de intercambio/transferencia",M450="Sí",ISNUMBER(AE450)),IF(AK450&gt;=AE450,1,0),0)</f>
        <v>0</v>
      </c>
      <c r="AV450" s="30" t="n">
        <f aca="false">IF(NOT(ISNUMBER(B450)),CONFIG!$B$4,IFERROR(INDEX(CONFIG!$I$5:$I$14,MATCH(IF(MONTH(B450)=1,YEAR(B450)-1,YEAR(B450)),CONFIG!$H$5:$H$14,0)),CONFIG!$B$4))</f>
        <v>117.31</v>
      </c>
      <c r="AW450" s="27" t="n">
        <f aca="false">IF(AND(LEFT(D450,4)="I - ",ISNUMBER(B450),C450&lt;&gt;""),SUMIFS($E$6:$E$505,$C$6:$C$505,C450,$D$6:$D$505,D450,$B$6:$B$505,"&gt;"&amp;(B450-1),$B$6:$B$505,"&lt;="&amp;B450),0)</f>
        <v>0</v>
      </c>
      <c r="AX450" s="0" t="str">
        <f aca="false">IF(E450="","",IF(AD450="Siempre","AVISO (siempre)",IF(AD450="No aplica","Sin Aviso (sólo preparas: Ley 17 XI)",IF(NOT(ISNUMBER(AE450)),"",IF(AA450&lt;&gt;"ACUMULA",IF(E450&gt;=AE450,IF(AND(D450="XVI - Activos virtuales (PSAV): cobro de contraprestación (comisión) por el servicio",COUNTIFS($C$6:$C$505,C450,$B$6:$B$505,"&gt;="&amp;INT(B450),$B$6:$B$505,"&lt;"&amp;(INT(B450)+1),$AU$6:$AU$505,1)&gt;0),"En el Aviso del inciso a) (R 31 Bis)","AVISO"),"—"),IF(M450&lt;&gt;"Sí","—",IF(AK450&gt;=AE450,IF(AK450=E450,"AVISO","AVISO (acumulado)"),"Acumulando")))))))</f>
        <v/>
      </c>
    </row>
    <row r="451" customFormat="false" ht="15" hidden="false" customHeight="false" outlineLevel="0" collapsed="false">
      <c r="A451" s="9" t="str">
        <f aca="false">IF(E451="","",ROW()-5)</f>
        <v/>
      </c>
      <c r="B451" s="20"/>
      <c r="C451" s="21"/>
      <c r="D451" s="21"/>
      <c r="E451" s="22"/>
      <c r="F451" s="22"/>
      <c r="G451" s="21"/>
      <c r="H451" s="21"/>
      <c r="I451" s="9" t="str">
        <f aca="false">IF(C451="","",IFERROR(INDEX(CLIENTES!$B$6:$B$305,MATCH(C451,CLIENTES!$A$6:$A$305,0)),"⚠ ID no registrado"))</f>
        <v/>
      </c>
      <c r="J451" s="9" t="str">
        <f aca="false">IF(C451="","",IFERROR(INDEX(CLIENTES!$Z$6:$Z$305,MATCH(C451,CLIENTES!$A$6:$A$305,0)),""))</f>
        <v/>
      </c>
      <c r="K451" s="9" t="str">
        <f aca="false">IF(E451="","",IF(AB451="Siempre","Sí",IF(ISNUMBER(AC451),IF(E451&gt;=AC451,"Sí",IF(AW451&gt;=AC451,"Sí (serie 24 h)","No")),"")))</f>
        <v/>
      </c>
      <c r="L451" s="9" t="str">
        <f aca="false">IF(E451="","",AA451)</f>
        <v/>
      </c>
      <c r="M451" s="9" t="str">
        <f aca="false">IF(E451="","",IF(AA451&lt;&gt;"ACUMULA","No aplica",IF(LEFT(K451,2)="Sí","Sí","No")))</f>
        <v/>
      </c>
      <c r="N451" s="23" t="str">
        <f aca="false">IF(M451="Sí",AJ451,"")</f>
        <v/>
      </c>
      <c r="O451" s="24" t="str">
        <f aca="false">IF(M451="Sí",AK451,"")</f>
        <v/>
      </c>
      <c r="P451" s="25" t="str">
        <f aca="false">IF(AND(LEFT(D451,6)="XIV - ",LEFT(AX451,5)="AVISO"),"Pedimento (R 16): no va al SPPLD",AX451)</f>
        <v/>
      </c>
      <c r="Q451" s="23" t="str">
        <f aca="false">IF(LEFT(P451,5)="AVISO",IF(ISNUMBER(B451),DATE(YEAR(B451),MONTH(B451)+1,17),"Falta fecha"),"")</f>
        <v/>
      </c>
      <c r="R451" s="9" t="str">
        <f aca="false">IF(OR(F451="",F451=0),"",IF(ISNUMBER(AG451),IF(F451&gt;=AG451,"PROHIBIDO","Dentro del límite"),"No aplica"))</f>
        <v/>
      </c>
      <c r="S451" s="26" t="str">
        <f aca="false">IF(E451="","",MID(IF(AQ451=1," · Excede el perfil declarado","")&amp;IF(H451="Sí"," · Paga un tercero","")&amp;IF(J451="Alto"," · Cliente de riesgo alto: DDR (RCG 23 Ter 3 y 4)","")&amp;IF(AND(AS451&lt;&gt;"",AS451&lt;&gt;"No",AS451&lt;&gt;0)," · PEP","")&amp;IF(R451="PROHIBIDO"," · Efectivo prohibido: no lo recibas (Art. 32)","")&amp;IF(AR451=1," · ⚠ Fecha fuera de orden","")&amp;IF(LEFT(I451,1)="⚠"," · ⚠ Cliente no registrado","")&amp;IF(D451=""," · ⚠ Falta la actividad","")&amp;IF(AND(LEFT(P451,5)="AVISO",W451="")," · Captura la cifra total con IVA para el Aviso","")&amp;IF(AND(ISNUMBER(W451),W451&lt;E451)," · ⚠ La cifra con IVA es menor que el monto sin IVA",""),4,400))</f>
        <v/>
      </c>
      <c r="T451" s="21"/>
      <c r="U451" s="20"/>
      <c r="V451" s="9" t="str">
        <f aca="false">IF(LEFT(P451,5)&lt;&gt;"AVISO","",IF(T451="Presentado",IF(AND(ISNUMBER(U451),ISNUMBER(Q451),U451&gt;Q451),"Presentado tarde","Presentado"),IF(NOT(ISNUMBER(Q451)),"Falta fecha",IF(Q451&lt;CONFIG!$B$6,"VENCIDO","Vence en "&amp;(Q451-CONFIG!$B$6)&amp;" días"))))</f>
        <v/>
      </c>
      <c r="W451" s="22"/>
      <c r="X451" s="21"/>
      <c r="AA451" s="0" t="str">
        <f aca="false">IF(AM451="","",INDEX(CATÁLOGO!$D$5:$D$39,AM451))</f>
        <v/>
      </c>
      <c r="AB451" s="0" t="str">
        <f aca="false">IF(AM451="","",INDEX(CATÁLOGO!$E$5:$E$39,AM451))</f>
        <v/>
      </c>
      <c r="AC451" s="0" t="str">
        <f aca="false">IF(AB451="","",IF(ISNUMBER(AB451),AB451*AV451,AB451))</f>
        <v/>
      </c>
      <c r="AD451" s="0" t="str">
        <f aca="false">IF(AM451="","",INDEX(CATÁLOGO!$F$5:$F$39,AM451))</f>
        <v/>
      </c>
      <c r="AE451" s="0" t="str">
        <f aca="false">IF(AD451="","",IF(ISNUMBER(AD451),AD451*AV451,AD451))</f>
        <v/>
      </c>
      <c r="AF451" s="0" t="str">
        <f aca="false">IF(AM451="","",INDEX(CATÁLOGO!$G$5:$G$39,AM451))</f>
        <v/>
      </c>
      <c r="AG451" s="0" t="str">
        <f aca="false">IF(AF451="","",IF(ISNUMBER(AF451),AF451*AV451,AF451))</f>
        <v/>
      </c>
      <c r="AH451" s="0" t="str">
        <f aca="false">IF(E451="","",C451&amp;"|"&amp;D451)</f>
        <v/>
      </c>
      <c r="AI451" s="27" t="n">
        <f aca="false">IF(M451&lt;&gt;"Sí",0,SUMPRODUCT(MAX(($AH$5:AH450=AH451)*($M$5:M450="Sí")*ROW($AH$5:AH450))))</f>
        <v>0</v>
      </c>
      <c r="AJ451" s="0" t="str">
        <f aca="false">IF(M451&lt;&gt;"Sí","",IF(AL451=1,B451,INDEX($AJ:$AJ,AI451)))</f>
        <v/>
      </c>
      <c r="AK451" s="0" t="str">
        <f aca="false">IF(M451&lt;&gt;"Sí","",IF(AL451=1,E451,INDEX($AK:$AK,AI451)+E451))</f>
        <v/>
      </c>
      <c r="AL451" s="0" t="str">
        <f aca="false">IF(M451&lt;&gt;"Sí","",IF(AI451=0,1,IF(INDEX($AN:$AN,AI451)=0,1,IF(B451&gt;=EDATE(INDEX($AJ:$AJ,AI451),6),1,0))))</f>
        <v/>
      </c>
      <c r="AM451" s="0" t="str">
        <f aca="false">IF(D451="","",IFERROR(MATCH(D451,CATÁLOGO!$C$5:$C$39,0),""))</f>
        <v/>
      </c>
      <c r="AN451" s="0" t="str">
        <f aca="false">IF(M451&lt;&gt;"Sí","",IF(AND(ISNUMBER(AE451),AK451&gt;=AE451),0,1))</f>
        <v/>
      </c>
      <c r="AO451" s="0" t="str">
        <f aca="false">IF(OR(E451="",C451="",NOT(ISNUMBER(B451))),"",SUMIFS($E$6:$E$505,$C$6:$C$505,C451,$B$6:$B$505,"&gt;="&amp;DATE(YEAR(B451),MONTH(B451),1),$B$6:$B$505,"&lt;"&amp;DATE(YEAR(B451),MONTH(B451)+1,1)))</f>
        <v/>
      </c>
      <c r="AP451" s="0" t="str">
        <f aca="false">IF(C451="","",IFERROR(INDEX(CLIENTES!$M$6:$M$305,MATCH(C451,CLIENTES!$A$6:$A$305,0)),""))</f>
        <v/>
      </c>
      <c r="AQ451" s="27" t="n">
        <f aca="false">IF(AND(ISNUMBER(AO451),ISNUMBER(AP451)),IF(AND(AP451&gt;0,AO451&gt;AP451),1,0),0)</f>
        <v>0</v>
      </c>
      <c r="AR451" s="27" t="n">
        <f aca="false">IF(NOT(ISNUMBER(B451)),0,IF(B451&lt;MAX($B$5:B450),1,0))</f>
        <v>0</v>
      </c>
      <c r="AS451" s="0" t="str">
        <f aca="false">IF(C451="","",IFERROR(INDEX(CLIENTES!$H$6:$H$305,MATCH(C451,CLIENTES!$A$6:$A$305,0)),""))</f>
        <v/>
      </c>
      <c r="AT451" s="0" t="str">
        <f aca="false">IF(AND(LEFT(P451,5)="AVISO",T451&lt;&gt;"Presentado",ISNUMBER(Q451)),Q451,"")</f>
        <v/>
      </c>
      <c r="AU451" s="27" t="n">
        <f aca="false">IF(AND(D451="XVI - Activos virtuales (PSAV): operación de intercambio/transferencia",M451="Sí",ISNUMBER(AE451)),IF(AK451&gt;=AE451,1,0),0)</f>
        <v>0</v>
      </c>
      <c r="AV451" s="30" t="n">
        <f aca="false">IF(NOT(ISNUMBER(B451)),CONFIG!$B$4,IFERROR(INDEX(CONFIG!$I$5:$I$14,MATCH(IF(MONTH(B451)=1,YEAR(B451)-1,YEAR(B451)),CONFIG!$H$5:$H$14,0)),CONFIG!$B$4))</f>
        <v>117.31</v>
      </c>
      <c r="AW451" s="27" t="n">
        <f aca="false">IF(AND(LEFT(D451,4)="I - ",ISNUMBER(B451),C451&lt;&gt;""),SUMIFS($E$6:$E$505,$C$6:$C$505,C451,$D$6:$D$505,D451,$B$6:$B$505,"&gt;"&amp;(B451-1),$B$6:$B$505,"&lt;="&amp;B451),0)</f>
        <v>0</v>
      </c>
      <c r="AX451" s="0" t="str">
        <f aca="false">IF(E451="","",IF(AD451="Siempre","AVISO (siempre)",IF(AD451="No aplica","Sin Aviso (sólo preparas: Ley 17 XI)",IF(NOT(ISNUMBER(AE451)),"",IF(AA451&lt;&gt;"ACUMULA",IF(E451&gt;=AE451,IF(AND(D451="XVI - Activos virtuales (PSAV): cobro de contraprestación (comisión) por el servicio",COUNTIFS($C$6:$C$505,C451,$B$6:$B$505,"&gt;="&amp;INT(B451),$B$6:$B$505,"&lt;"&amp;(INT(B451)+1),$AU$6:$AU$505,1)&gt;0),"En el Aviso del inciso a) (R 31 Bis)","AVISO"),"—"),IF(M451&lt;&gt;"Sí","—",IF(AK451&gt;=AE451,IF(AK451=E451,"AVISO","AVISO (acumulado)"),"Acumulando")))))))</f>
        <v/>
      </c>
    </row>
    <row r="452" customFormat="false" ht="15" hidden="false" customHeight="false" outlineLevel="0" collapsed="false">
      <c r="A452" s="9" t="str">
        <f aca="false">IF(E452="","",ROW()-5)</f>
        <v/>
      </c>
      <c r="B452" s="20"/>
      <c r="C452" s="21"/>
      <c r="D452" s="21"/>
      <c r="E452" s="22"/>
      <c r="F452" s="22"/>
      <c r="G452" s="21"/>
      <c r="H452" s="21"/>
      <c r="I452" s="9" t="str">
        <f aca="false">IF(C452="","",IFERROR(INDEX(CLIENTES!$B$6:$B$305,MATCH(C452,CLIENTES!$A$6:$A$305,0)),"⚠ ID no registrado"))</f>
        <v/>
      </c>
      <c r="J452" s="9" t="str">
        <f aca="false">IF(C452="","",IFERROR(INDEX(CLIENTES!$Z$6:$Z$305,MATCH(C452,CLIENTES!$A$6:$A$305,0)),""))</f>
        <v/>
      </c>
      <c r="K452" s="9" t="str">
        <f aca="false">IF(E452="","",IF(AB452="Siempre","Sí",IF(ISNUMBER(AC452),IF(E452&gt;=AC452,"Sí",IF(AW452&gt;=AC452,"Sí (serie 24 h)","No")),"")))</f>
        <v/>
      </c>
      <c r="L452" s="9" t="str">
        <f aca="false">IF(E452="","",AA452)</f>
        <v/>
      </c>
      <c r="M452" s="9" t="str">
        <f aca="false">IF(E452="","",IF(AA452&lt;&gt;"ACUMULA","No aplica",IF(LEFT(K452,2)="Sí","Sí","No")))</f>
        <v/>
      </c>
      <c r="N452" s="23" t="str">
        <f aca="false">IF(M452="Sí",AJ452,"")</f>
        <v/>
      </c>
      <c r="O452" s="24" t="str">
        <f aca="false">IF(M452="Sí",AK452,"")</f>
        <v/>
      </c>
      <c r="P452" s="25" t="str">
        <f aca="false">IF(AND(LEFT(D452,6)="XIV - ",LEFT(AX452,5)="AVISO"),"Pedimento (R 16): no va al SPPLD",AX452)</f>
        <v/>
      </c>
      <c r="Q452" s="23" t="str">
        <f aca="false">IF(LEFT(P452,5)="AVISO",IF(ISNUMBER(B452),DATE(YEAR(B452),MONTH(B452)+1,17),"Falta fecha"),"")</f>
        <v/>
      </c>
      <c r="R452" s="9" t="str">
        <f aca="false">IF(OR(F452="",F452=0),"",IF(ISNUMBER(AG452),IF(F452&gt;=AG452,"PROHIBIDO","Dentro del límite"),"No aplica"))</f>
        <v/>
      </c>
      <c r="S452" s="26" t="str">
        <f aca="false">IF(E452="","",MID(IF(AQ452=1," · Excede el perfil declarado","")&amp;IF(H452="Sí"," · Paga un tercero","")&amp;IF(J452="Alto"," · Cliente de riesgo alto: DDR (RCG 23 Ter 3 y 4)","")&amp;IF(AND(AS452&lt;&gt;"",AS452&lt;&gt;"No",AS452&lt;&gt;0)," · PEP","")&amp;IF(R452="PROHIBIDO"," · Efectivo prohibido: no lo recibas (Art. 32)","")&amp;IF(AR452=1," · ⚠ Fecha fuera de orden","")&amp;IF(LEFT(I452,1)="⚠"," · ⚠ Cliente no registrado","")&amp;IF(D452=""," · ⚠ Falta la actividad","")&amp;IF(AND(LEFT(P452,5)="AVISO",W452="")," · Captura la cifra total con IVA para el Aviso","")&amp;IF(AND(ISNUMBER(W452),W452&lt;E452)," · ⚠ La cifra con IVA es menor que el monto sin IVA",""),4,400))</f>
        <v/>
      </c>
      <c r="T452" s="21"/>
      <c r="U452" s="20"/>
      <c r="V452" s="9" t="str">
        <f aca="false">IF(LEFT(P452,5)&lt;&gt;"AVISO","",IF(T452="Presentado",IF(AND(ISNUMBER(U452),ISNUMBER(Q452),U452&gt;Q452),"Presentado tarde","Presentado"),IF(NOT(ISNUMBER(Q452)),"Falta fecha",IF(Q452&lt;CONFIG!$B$6,"VENCIDO","Vence en "&amp;(Q452-CONFIG!$B$6)&amp;" días"))))</f>
        <v/>
      </c>
      <c r="W452" s="22"/>
      <c r="X452" s="21"/>
      <c r="AA452" s="0" t="str">
        <f aca="false">IF(AM452="","",INDEX(CATÁLOGO!$D$5:$D$39,AM452))</f>
        <v/>
      </c>
      <c r="AB452" s="0" t="str">
        <f aca="false">IF(AM452="","",INDEX(CATÁLOGO!$E$5:$E$39,AM452))</f>
        <v/>
      </c>
      <c r="AC452" s="0" t="str">
        <f aca="false">IF(AB452="","",IF(ISNUMBER(AB452),AB452*AV452,AB452))</f>
        <v/>
      </c>
      <c r="AD452" s="0" t="str">
        <f aca="false">IF(AM452="","",INDEX(CATÁLOGO!$F$5:$F$39,AM452))</f>
        <v/>
      </c>
      <c r="AE452" s="0" t="str">
        <f aca="false">IF(AD452="","",IF(ISNUMBER(AD452),AD452*AV452,AD452))</f>
        <v/>
      </c>
      <c r="AF452" s="0" t="str">
        <f aca="false">IF(AM452="","",INDEX(CATÁLOGO!$G$5:$G$39,AM452))</f>
        <v/>
      </c>
      <c r="AG452" s="0" t="str">
        <f aca="false">IF(AF452="","",IF(ISNUMBER(AF452),AF452*AV452,AF452))</f>
        <v/>
      </c>
      <c r="AH452" s="0" t="str">
        <f aca="false">IF(E452="","",C452&amp;"|"&amp;D452)</f>
        <v/>
      </c>
      <c r="AI452" s="27" t="n">
        <f aca="false">IF(M452&lt;&gt;"Sí",0,SUMPRODUCT(MAX(($AH$5:AH451=AH452)*($M$5:M451="Sí")*ROW($AH$5:AH451))))</f>
        <v>0</v>
      </c>
      <c r="AJ452" s="0" t="str">
        <f aca="false">IF(M452&lt;&gt;"Sí","",IF(AL452=1,B452,INDEX($AJ:$AJ,AI452)))</f>
        <v/>
      </c>
      <c r="AK452" s="0" t="str">
        <f aca="false">IF(M452&lt;&gt;"Sí","",IF(AL452=1,E452,INDEX($AK:$AK,AI452)+E452))</f>
        <v/>
      </c>
      <c r="AL452" s="0" t="str">
        <f aca="false">IF(M452&lt;&gt;"Sí","",IF(AI452=0,1,IF(INDEX($AN:$AN,AI452)=0,1,IF(B452&gt;=EDATE(INDEX($AJ:$AJ,AI452),6),1,0))))</f>
        <v/>
      </c>
      <c r="AM452" s="0" t="str">
        <f aca="false">IF(D452="","",IFERROR(MATCH(D452,CATÁLOGO!$C$5:$C$39,0),""))</f>
        <v/>
      </c>
      <c r="AN452" s="0" t="str">
        <f aca="false">IF(M452&lt;&gt;"Sí","",IF(AND(ISNUMBER(AE452),AK452&gt;=AE452),0,1))</f>
        <v/>
      </c>
      <c r="AO452" s="0" t="str">
        <f aca="false">IF(OR(E452="",C452="",NOT(ISNUMBER(B452))),"",SUMIFS($E$6:$E$505,$C$6:$C$505,C452,$B$6:$B$505,"&gt;="&amp;DATE(YEAR(B452),MONTH(B452),1),$B$6:$B$505,"&lt;"&amp;DATE(YEAR(B452),MONTH(B452)+1,1)))</f>
        <v/>
      </c>
      <c r="AP452" s="0" t="str">
        <f aca="false">IF(C452="","",IFERROR(INDEX(CLIENTES!$M$6:$M$305,MATCH(C452,CLIENTES!$A$6:$A$305,0)),""))</f>
        <v/>
      </c>
      <c r="AQ452" s="27" t="n">
        <f aca="false">IF(AND(ISNUMBER(AO452),ISNUMBER(AP452)),IF(AND(AP452&gt;0,AO452&gt;AP452),1,0),0)</f>
        <v>0</v>
      </c>
      <c r="AR452" s="27" t="n">
        <f aca="false">IF(NOT(ISNUMBER(B452)),0,IF(B452&lt;MAX($B$5:B451),1,0))</f>
        <v>0</v>
      </c>
      <c r="AS452" s="0" t="str">
        <f aca="false">IF(C452="","",IFERROR(INDEX(CLIENTES!$H$6:$H$305,MATCH(C452,CLIENTES!$A$6:$A$305,0)),""))</f>
        <v/>
      </c>
      <c r="AT452" s="0" t="str">
        <f aca="false">IF(AND(LEFT(P452,5)="AVISO",T452&lt;&gt;"Presentado",ISNUMBER(Q452)),Q452,"")</f>
        <v/>
      </c>
      <c r="AU452" s="27" t="n">
        <f aca="false">IF(AND(D452="XVI - Activos virtuales (PSAV): operación de intercambio/transferencia",M452="Sí",ISNUMBER(AE452)),IF(AK452&gt;=AE452,1,0),0)</f>
        <v>0</v>
      </c>
      <c r="AV452" s="30" t="n">
        <f aca="false">IF(NOT(ISNUMBER(B452)),CONFIG!$B$4,IFERROR(INDEX(CONFIG!$I$5:$I$14,MATCH(IF(MONTH(B452)=1,YEAR(B452)-1,YEAR(B452)),CONFIG!$H$5:$H$14,0)),CONFIG!$B$4))</f>
        <v>117.31</v>
      </c>
      <c r="AW452" s="27" t="n">
        <f aca="false">IF(AND(LEFT(D452,4)="I - ",ISNUMBER(B452),C452&lt;&gt;""),SUMIFS($E$6:$E$505,$C$6:$C$505,C452,$D$6:$D$505,D452,$B$6:$B$505,"&gt;"&amp;(B452-1),$B$6:$B$505,"&lt;="&amp;B452),0)</f>
        <v>0</v>
      </c>
      <c r="AX452" s="0" t="str">
        <f aca="false">IF(E452="","",IF(AD452="Siempre","AVISO (siempre)",IF(AD452="No aplica","Sin Aviso (sólo preparas: Ley 17 XI)",IF(NOT(ISNUMBER(AE452)),"",IF(AA452&lt;&gt;"ACUMULA",IF(E452&gt;=AE452,IF(AND(D452="XVI - Activos virtuales (PSAV): cobro de contraprestación (comisión) por el servicio",COUNTIFS($C$6:$C$505,C452,$B$6:$B$505,"&gt;="&amp;INT(B452),$B$6:$B$505,"&lt;"&amp;(INT(B452)+1),$AU$6:$AU$505,1)&gt;0),"En el Aviso del inciso a) (R 31 Bis)","AVISO"),"—"),IF(M452&lt;&gt;"Sí","—",IF(AK452&gt;=AE452,IF(AK452=E452,"AVISO","AVISO (acumulado)"),"Acumulando")))))))</f>
        <v/>
      </c>
    </row>
    <row r="453" customFormat="false" ht="15" hidden="false" customHeight="false" outlineLevel="0" collapsed="false">
      <c r="A453" s="9" t="str">
        <f aca="false">IF(E453="","",ROW()-5)</f>
        <v/>
      </c>
      <c r="B453" s="20"/>
      <c r="C453" s="21"/>
      <c r="D453" s="21"/>
      <c r="E453" s="22"/>
      <c r="F453" s="22"/>
      <c r="G453" s="21"/>
      <c r="H453" s="21"/>
      <c r="I453" s="9" t="str">
        <f aca="false">IF(C453="","",IFERROR(INDEX(CLIENTES!$B$6:$B$305,MATCH(C453,CLIENTES!$A$6:$A$305,0)),"⚠ ID no registrado"))</f>
        <v/>
      </c>
      <c r="J453" s="9" t="str">
        <f aca="false">IF(C453="","",IFERROR(INDEX(CLIENTES!$Z$6:$Z$305,MATCH(C453,CLIENTES!$A$6:$A$305,0)),""))</f>
        <v/>
      </c>
      <c r="K453" s="9" t="str">
        <f aca="false">IF(E453="","",IF(AB453="Siempre","Sí",IF(ISNUMBER(AC453),IF(E453&gt;=AC453,"Sí",IF(AW453&gt;=AC453,"Sí (serie 24 h)","No")),"")))</f>
        <v/>
      </c>
      <c r="L453" s="9" t="str">
        <f aca="false">IF(E453="","",AA453)</f>
        <v/>
      </c>
      <c r="M453" s="9" t="str">
        <f aca="false">IF(E453="","",IF(AA453&lt;&gt;"ACUMULA","No aplica",IF(LEFT(K453,2)="Sí","Sí","No")))</f>
        <v/>
      </c>
      <c r="N453" s="23" t="str">
        <f aca="false">IF(M453="Sí",AJ453,"")</f>
        <v/>
      </c>
      <c r="O453" s="24" t="str">
        <f aca="false">IF(M453="Sí",AK453,"")</f>
        <v/>
      </c>
      <c r="P453" s="25" t="str">
        <f aca="false">IF(AND(LEFT(D453,6)="XIV - ",LEFT(AX453,5)="AVISO"),"Pedimento (R 16): no va al SPPLD",AX453)</f>
        <v/>
      </c>
      <c r="Q453" s="23" t="str">
        <f aca="false">IF(LEFT(P453,5)="AVISO",IF(ISNUMBER(B453),DATE(YEAR(B453),MONTH(B453)+1,17),"Falta fecha"),"")</f>
        <v/>
      </c>
      <c r="R453" s="9" t="str">
        <f aca="false">IF(OR(F453="",F453=0),"",IF(ISNUMBER(AG453),IF(F453&gt;=AG453,"PROHIBIDO","Dentro del límite"),"No aplica"))</f>
        <v/>
      </c>
      <c r="S453" s="26" t="str">
        <f aca="false">IF(E453="","",MID(IF(AQ453=1," · Excede el perfil declarado","")&amp;IF(H453="Sí"," · Paga un tercero","")&amp;IF(J453="Alto"," · Cliente de riesgo alto: DDR (RCG 23 Ter 3 y 4)","")&amp;IF(AND(AS453&lt;&gt;"",AS453&lt;&gt;"No",AS453&lt;&gt;0)," · PEP","")&amp;IF(R453="PROHIBIDO"," · Efectivo prohibido: no lo recibas (Art. 32)","")&amp;IF(AR453=1," · ⚠ Fecha fuera de orden","")&amp;IF(LEFT(I453,1)="⚠"," · ⚠ Cliente no registrado","")&amp;IF(D453=""," · ⚠ Falta la actividad","")&amp;IF(AND(LEFT(P453,5)="AVISO",W453="")," · Captura la cifra total con IVA para el Aviso","")&amp;IF(AND(ISNUMBER(W453),W453&lt;E453)," · ⚠ La cifra con IVA es menor que el monto sin IVA",""),4,400))</f>
        <v/>
      </c>
      <c r="T453" s="21"/>
      <c r="U453" s="20"/>
      <c r="V453" s="9" t="str">
        <f aca="false">IF(LEFT(P453,5)&lt;&gt;"AVISO","",IF(T453="Presentado",IF(AND(ISNUMBER(U453),ISNUMBER(Q453),U453&gt;Q453),"Presentado tarde","Presentado"),IF(NOT(ISNUMBER(Q453)),"Falta fecha",IF(Q453&lt;CONFIG!$B$6,"VENCIDO","Vence en "&amp;(Q453-CONFIG!$B$6)&amp;" días"))))</f>
        <v/>
      </c>
      <c r="W453" s="22"/>
      <c r="X453" s="21"/>
      <c r="AA453" s="0" t="str">
        <f aca="false">IF(AM453="","",INDEX(CATÁLOGO!$D$5:$D$39,AM453))</f>
        <v/>
      </c>
      <c r="AB453" s="0" t="str">
        <f aca="false">IF(AM453="","",INDEX(CATÁLOGO!$E$5:$E$39,AM453))</f>
        <v/>
      </c>
      <c r="AC453" s="0" t="str">
        <f aca="false">IF(AB453="","",IF(ISNUMBER(AB453),AB453*AV453,AB453))</f>
        <v/>
      </c>
      <c r="AD453" s="0" t="str">
        <f aca="false">IF(AM453="","",INDEX(CATÁLOGO!$F$5:$F$39,AM453))</f>
        <v/>
      </c>
      <c r="AE453" s="0" t="str">
        <f aca="false">IF(AD453="","",IF(ISNUMBER(AD453),AD453*AV453,AD453))</f>
        <v/>
      </c>
      <c r="AF453" s="0" t="str">
        <f aca="false">IF(AM453="","",INDEX(CATÁLOGO!$G$5:$G$39,AM453))</f>
        <v/>
      </c>
      <c r="AG453" s="0" t="str">
        <f aca="false">IF(AF453="","",IF(ISNUMBER(AF453),AF453*AV453,AF453))</f>
        <v/>
      </c>
      <c r="AH453" s="0" t="str">
        <f aca="false">IF(E453="","",C453&amp;"|"&amp;D453)</f>
        <v/>
      </c>
      <c r="AI453" s="27" t="n">
        <f aca="false">IF(M453&lt;&gt;"Sí",0,SUMPRODUCT(MAX(($AH$5:AH452=AH453)*($M$5:M452="Sí")*ROW($AH$5:AH452))))</f>
        <v>0</v>
      </c>
      <c r="AJ453" s="0" t="str">
        <f aca="false">IF(M453&lt;&gt;"Sí","",IF(AL453=1,B453,INDEX($AJ:$AJ,AI453)))</f>
        <v/>
      </c>
      <c r="AK453" s="0" t="str">
        <f aca="false">IF(M453&lt;&gt;"Sí","",IF(AL453=1,E453,INDEX($AK:$AK,AI453)+E453))</f>
        <v/>
      </c>
      <c r="AL453" s="0" t="str">
        <f aca="false">IF(M453&lt;&gt;"Sí","",IF(AI453=0,1,IF(INDEX($AN:$AN,AI453)=0,1,IF(B453&gt;=EDATE(INDEX($AJ:$AJ,AI453),6),1,0))))</f>
        <v/>
      </c>
      <c r="AM453" s="0" t="str">
        <f aca="false">IF(D453="","",IFERROR(MATCH(D453,CATÁLOGO!$C$5:$C$39,0),""))</f>
        <v/>
      </c>
      <c r="AN453" s="0" t="str">
        <f aca="false">IF(M453&lt;&gt;"Sí","",IF(AND(ISNUMBER(AE453),AK453&gt;=AE453),0,1))</f>
        <v/>
      </c>
      <c r="AO453" s="0" t="str">
        <f aca="false">IF(OR(E453="",C453="",NOT(ISNUMBER(B453))),"",SUMIFS($E$6:$E$505,$C$6:$C$505,C453,$B$6:$B$505,"&gt;="&amp;DATE(YEAR(B453),MONTH(B453),1),$B$6:$B$505,"&lt;"&amp;DATE(YEAR(B453),MONTH(B453)+1,1)))</f>
        <v/>
      </c>
      <c r="AP453" s="0" t="str">
        <f aca="false">IF(C453="","",IFERROR(INDEX(CLIENTES!$M$6:$M$305,MATCH(C453,CLIENTES!$A$6:$A$305,0)),""))</f>
        <v/>
      </c>
      <c r="AQ453" s="27" t="n">
        <f aca="false">IF(AND(ISNUMBER(AO453),ISNUMBER(AP453)),IF(AND(AP453&gt;0,AO453&gt;AP453),1,0),0)</f>
        <v>0</v>
      </c>
      <c r="AR453" s="27" t="n">
        <f aca="false">IF(NOT(ISNUMBER(B453)),0,IF(B453&lt;MAX($B$5:B452),1,0))</f>
        <v>0</v>
      </c>
      <c r="AS453" s="0" t="str">
        <f aca="false">IF(C453="","",IFERROR(INDEX(CLIENTES!$H$6:$H$305,MATCH(C453,CLIENTES!$A$6:$A$305,0)),""))</f>
        <v/>
      </c>
      <c r="AT453" s="0" t="str">
        <f aca="false">IF(AND(LEFT(P453,5)="AVISO",T453&lt;&gt;"Presentado",ISNUMBER(Q453)),Q453,"")</f>
        <v/>
      </c>
      <c r="AU453" s="27" t="n">
        <f aca="false">IF(AND(D453="XVI - Activos virtuales (PSAV): operación de intercambio/transferencia",M453="Sí",ISNUMBER(AE453)),IF(AK453&gt;=AE453,1,0),0)</f>
        <v>0</v>
      </c>
      <c r="AV453" s="30" t="n">
        <f aca="false">IF(NOT(ISNUMBER(B453)),CONFIG!$B$4,IFERROR(INDEX(CONFIG!$I$5:$I$14,MATCH(IF(MONTH(B453)=1,YEAR(B453)-1,YEAR(B453)),CONFIG!$H$5:$H$14,0)),CONFIG!$B$4))</f>
        <v>117.31</v>
      </c>
      <c r="AW453" s="27" t="n">
        <f aca="false">IF(AND(LEFT(D453,4)="I - ",ISNUMBER(B453),C453&lt;&gt;""),SUMIFS($E$6:$E$505,$C$6:$C$505,C453,$D$6:$D$505,D453,$B$6:$B$505,"&gt;"&amp;(B453-1),$B$6:$B$505,"&lt;="&amp;B453),0)</f>
        <v>0</v>
      </c>
      <c r="AX453" s="0" t="str">
        <f aca="false">IF(E453="","",IF(AD453="Siempre","AVISO (siempre)",IF(AD453="No aplica","Sin Aviso (sólo preparas: Ley 17 XI)",IF(NOT(ISNUMBER(AE453)),"",IF(AA453&lt;&gt;"ACUMULA",IF(E453&gt;=AE453,IF(AND(D453="XVI - Activos virtuales (PSAV): cobro de contraprestación (comisión) por el servicio",COUNTIFS($C$6:$C$505,C453,$B$6:$B$505,"&gt;="&amp;INT(B453),$B$6:$B$505,"&lt;"&amp;(INT(B453)+1),$AU$6:$AU$505,1)&gt;0),"En el Aviso del inciso a) (R 31 Bis)","AVISO"),"—"),IF(M453&lt;&gt;"Sí","—",IF(AK453&gt;=AE453,IF(AK453=E453,"AVISO","AVISO (acumulado)"),"Acumulando")))))))</f>
        <v/>
      </c>
    </row>
    <row r="454" customFormat="false" ht="15" hidden="false" customHeight="false" outlineLevel="0" collapsed="false">
      <c r="A454" s="9" t="str">
        <f aca="false">IF(E454="","",ROW()-5)</f>
        <v/>
      </c>
      <c r="B454" s="20"/>
      <c r="C454" s="21"/>
      <c r="D454" s="21"/>
      <c r="E454" s="22"/>
      <c r="F454" s="22"/>
      <c r="G454" s="21"/>
      <c r="H454" s="21"/>
      <c r="I454" s="9" t="str">
        <f aca="false">IF(C454="","",IFERROR(INDEX(CLIENTES!$B$6:$B$305,MATCH(C454,CLIENTES!$A$6:$A$305,0)),"⚠ ID no registrado"))</f>
        <v/>
      </c>
      <c r="J454" s="9" t="str">
        <f aca="false">IF(C454="","",IFERROR(INDEX(CLIENTES!$Z$6:$Z$305,MATCH(C454,CLIENTES!$A$6:$A$305,0)),""))</f>
        <v/>
      </c>
      <c r="K454" s="9" t="str">
        <f aca="false">IF(E454="","",IF(AB454="Siempre","Sí",IF(ISNUMBER(AC454),IF(E454&gt;=AC454,"Sí",IF(AW454&gt;=AC454,"Sí (serie 24 h)","No")),"")))</f>
        <v/>
      </c>
      <c r="L454" s="9" t="str">
        <f aca="false">IF(E454="","",AA454)</f>
        <v/>
      </c>
      <c r="M454" s="9" t="str">
        <f aca="false">IF(E454="","",IF(AA454&lt;&gt;"ACUMULA","No aplica",IF(LEFT(K454,2)="Sí","Sí","No")))</f>
        <v/>
      </c>
      <c r="N454" s="23" t="str">
        <f aca="false">IF(M454="Sí",AJ454,"")</f>
        <v/>
      </c>
      <c r="O454" s="24" t="str">
        <f aca="false">IF(M454="Sí",AK454,"")</f>
        <v/>
      </c>
      <c r="P454" s="25" t="str">
        <f aca="false">IF(AND(LEFT(D454,6)="XIV - ",LEFT(AX454,5)="AVISO"),"Pedimento (R 16): no va al SPPLD",AX454)</f>
        <v/>
      </c>
      <c r="Q454" s="23" t="str">
        <f aca="false">IF(LEFT(P454,5)="AVISO",IF(ISNUMBER(B454),DATE(YEAR(B454),MONTH(B454)+1,17),"Falta fecha"),"")</f>
        <v/>
      </c>
      <c r="R454" s="9" t="str">
        <f aca="false">IF(OR(F454="",F454=0),"",IF(ISNUMBER(AG454),IF(F454&gt;=AG454,"PROHIBIDO","Dentro del límite"),"No aplica"))</f>
        <v/>
      </c>
      <c r="S454" s="26" t="str">
        <f aca="false">IF(E454="","",MID(IF(AQ454=1," · Excede el perfil declarado","")&amp;IF(H454="Sí"," · Paga un tercero","")&amp;IF(J454="Alto"," · Cliente de riesgo alto: DDR (RCG 23 Ter 3 y 4)","")&amp;IF(AND(AS454&lt;&gt;"",AS454&lt;&gt;"No",AS454&lt;&gt;0)," · PEP","")&amp;IF(R454="PROHIBIDO"," · Efectivo prohibido: no lo recibas (Art. 32)","")&amp;IF(AR454=1," · ⚠ Fecha fuera de orden","")&amp;IF(LEFT(I454,1)="⚠"," · ⚠ Cliente no registrado","")&amp;IF(D454=""," · ⚠ Falta la actividad","")&amp;IF(AND(LEFT(P454,5)="AVISO",W454="")," · Captura la cifra total con IVA para el Aviso","")&amp;IF(AND(ISNUMBER(W454),W454&lt;E454)," · ⚠ La cifra con IVA es menor que el monto sin IVA",""),4,400))</f>
        <v/>
      </c>
      <c r="T454" s="21"/>
      <c r="U454" s="20"/>
      <c r="V454" s="9" t="str">
        <f aca="false">IF(LEFT(P454,5)&lt;&gt;"AVISO","",IF(T454="Presentado",IF(AND(ISNUMBER(U454),ISNUMBER(Q454),U454&gt;Q454),"Presentado tarde","Presentado"),IF(NOT(ISNUMBER(Q454)),"Falta fecha",IF(Q454&lt;CONFIG!$B$6,"VENCIDO","Vence en "&amp;(Q454-CONFIG!$B$6)&amp;" días"))))</f>
        <v/>
      </c>
      <c r="W454" s="22"/>
      <c r="X454" s="21"/>
      <c r="AA454" s="0" t="str">
        <f aca="false">IF(AM454="","",INDEX(CATÁLOGO!$D$5:$D$39,AM454))</f>
        <v/>
      </c>
      <c r="AB454" s="0" t="str">
        <f aca="false">IF(AM454="","",INDEX(CATÁLOGO!$E$5:$E$39,AM454))</f>
        <v/>
      </c>
      <c r="AC454" s="0" t="str">
        <f aca="false">IF(AB454="","",IF(ISNUMBER(AB454),AB454*AV454,AB454))</f>
        <v/>
      </c>
      <c r="AD454" s="0" t="str">
        <f aca="false">IF(AM454="","",INDEX(CATÁLOGO!$F$5:$F$39,AM454))</f>
        <v/>
      </c>
      <c r="AE454" s="0" t="str">
        <f aca="false">IF(AD454="","",IF(ISNUMBER(AD454),AD454*AV454,AD454))</f>
        <v/>
      </c>
      <c r="AF454" s="0" t="str">
        <f aca="false">IF(AM454="","",INDEX(CATÁLOGO!$G$5:$G$39,AM454))</f>
        <v/>
      </c>
      <c r="AG454" s="0" t="str">
        <f aca="false">IF(AF454="","",IF(ISNUMBER(AF454),AF454*AV454,AF454))</f>
        <v/>
      </c>
      <c r="AH454" s="0" t="str">
        <f aca="false">IF(E454="","",C454&amp;"|"&amp;D454)</f>
        <v/>
      </c>
      <c r="AI454" s="27" t="n">
        <f aca="false">IF(M454&lt;&gt;"Sí",0,SUMPRODUCT(MAX(($AH$5:AH453=AH454)*($M$5:M453="Sí")*ROW($AH$5:AH453))))</f>
        <v>0</v>
      </c>
      <c r="AJ454" s="0" t="str">
        <f aca="false">IF(M454&lt;&gt;"Sí","",IF(AL454=1,B454,INDEX($AJ:$AJ,AI454)))</f>
        <v/>
      </c>
      <c r="AK454" s="0" t="str">
        <f aca="false">IF(M454&lt;&gt;"Sí","",IF(AL454=1,E454,INDEX($AK:$AK,AI454)+E454))</f>
        <v/>
      </c>
      <c r="AL454" s="0" t="str">
        <f aca="false">IF(M454&lt;&gt;"Sí","",IF(AI454=0,1,IF(INDEX($AN:$AN,AI454)=0,1,IF(B454&gt;=EDATE(INDEX($AJ:$AJ,AI454),6),1,0))))</f>
        <v/>
      </c>
      <c r="AM454" s="0" t="str">
        <f aca="false">IF(D454="","",IFERROR(MATCH(D454,CATÁLOGO!$C$5:$C$39,0),""))</f>
        <v/>
      </c>
      <c r="AN454" s="0" t="str">
        <f aca="false">IF(M454&lt;&gt;"Sí","",IF(AND(ISNUMBER(AE454),AK454&gt;=AE454),0,1))</f>
        <v/>
      </c>
      <c r="AO454" s="0" t="str">
        <f aca="false">IF(OR(E454="",C454="",NOT(ISNUMBER(B454))),"",SUMIFS($E$6:$E$505,$C$6:$C$505,C454,$B$6:$B$505,"&gt;="&amp;DATE(YEAR(B454),MONTH(B454),1),$B$6:$B$505,"&lt;"&amp;DATE(YEAR(B454),MONTH(B454)+1,1)))</f>
        <v/>
      </c>
      <c r="AP454" s="0" t="str">
        <f aca="false">IF(C454="","",IFERROR(INDEX(CLIENTES!$M$6:$M$305,MATCH(C454,CLIENTES!$A$6:$A$305,0)),""))</f>
        <v/>
      </c>
      <c r="AQ454" s="27" t="n">
        <f aca="false">IF(AND(ISNUMBER(AO454),ISNUMBER(AP454)),IF(AND(AP454&gt;0,AO454&gt;AP454),1,0),0)</f>
        <v>0</v>
      </c>
      <c r="AR454" s="27" t="n">
        <f aca="false">IF(NOT(ISNUMBER(B454)),0,IF(B454&lt;MAX($B$5:B453),1,0))</f>
        <v>0</v>
      </c>
      <c r="AS454" s="0" t="str">
        <f aca="false">IF(C454="","",IFERROR(INDEX(CLIENTES!$H$6:$H$305,MATCH(C454,CLIENTES!$A$6:$A$305,0)),""))</f>
        <v/>
      </c>
      <c r="AT454" s="0" t="str">
        <f aca="false">IF(AND(LEFT(P454,5)="AVISO",T454&lt;&gt;"Presentado",ISNUMBER(Q454)),Q454,"")</f>
        <v/>
      </c>
      <c r="AU454" s="27" t="n">
        <f aca="false">IF(AND(D454="XVI - Activos virtuales (PSAV): operación de intercambio/transferencia",M454="Sí",ISNUMBER(AE454)),IF(AK454&gt;=AE454,1,0),0)</f>
        <v>0</v>
      </c>
      <c r="AV454" s="30" t="n">
        <f aca="false">IF(NOT(ISNUMBER(B454)),CONFIG!$B$4,IFERROR(INDEX(CONFIG!$I$5:$I$14,MATCH(IF(MONTH(B454)=1,YEAR(B454)-1,YEAR(B454)),CONFIG!$H$5:$H$14,0)),CONFIG!$B$4))</f>
        <v>117.31</v>
      </c>
      <c r="AW454" s="27" t="n">
        <f aca="false">IF(AND(LEFT(D454,4)="I - ",ISNUMBER(B454),C454&lt;&gt;""),SUMIFS($E$6:$E$505,$C$6:$C$505,C454,$D$6:$D$505,D454,$B$6:$B$505,"&gt;"&amp;(B454-1),$B$6:$B$505,"&lt;="&amp;B454),0)</f>
        <v>0</v>
      </c>
      <c r="AX454" s="0" t="str">
        <f aca="false">IF(E454="","",IF(AD454="Siempre","AVISO (siempre)",IF(AD454="No aplica","Sin Aviso (sólo preparas: Ley 17 XI)",IF(NOT(ISNUMBER(AE454)),"",IF(AA454&lt;&gt;"ACUMULA",IF(E454&gt;=AE454,IF(AND(D454="XVI - Activos virtuales (PSAV): cobro de contraprestación (comisión) por el servicio",COUNTIFS($C$6:$C$505,C454,$B$6:$B$505,"&gt;="&amp;INT(B454),$B$6:$B$505,"&lt;"&amp;(INT(B454)+1),$AU$6:$AU$505,1)&gt;0),"En el Aviso del inciso a) (R 31 Bis)","AVISO"),"—"),IF(M454&lt;&gt;"Sí","—",IF(AK454&gt;=AE454,IF(AK454=E454,"AVISO","AVISO (acumulado)"),"Acumulando")))))))</f>
        <v/>
      </c>
    </row>
    <row r="455" customFormat="false" ht="15" hidden="false" customHeight="false" outlineLevel="0" collapsed="false">
      <c r="A455" s="9" t="str">
        <f aca="false">IF(E455="","",ROW()-5)</f>
        <v/>
      </c>
      <c r="B455" s="20"/>
      <c r="C455" s="21"/>
      <c r="D455" s="21"/>
      <c r="E455" s="22"/>
      <c r="F455" s="22"/>
      <c r="G455" s="21"/>
      <c r="H455" s="21"/>
      <c r="I455" s="9" t="str">
        <f aca="false">IF(C455="","",IFERROR(INDEX(CLIENTES!$B$6:$B$305,MATCH(C455,CLIENTES!$A$6:$A$305,0)),"⚠ ID no registrado"))</f>
        <v/>
      </c>
      <c r="J455" s="9" t="str">
        <f aca="false">IF(C455="","",IFERROR(INDEX(CLIENTES!$Z$6:$Z$305,MATCH(C455,CLIENTES!$A$6:$A$305,0)),""))</f>
        <v/>
      </c>
      <c r="K455" s="9" t="str">
        <f aca="false">IF(E455="","",IF(AB455="Siempre","Sí",IF(ISNUMBER(AC455),IF(E455&gt;=AC455,"Sí",IF(AW455&gt;=AC455,"Sí (serie 24 h)","No")),"")))</f>
        <v/>
      </c>
      <c r="L455" s="9" t="str">
        <f aca="false">IF(E455="","",AA455)</f>
        <v/>
      </c>
      <c r="M455" s="9" t="str">
        <f aca="false">IF(E455="","",IF(AA455&lt;&gt;"ACUMULA","No aplica",IF(LEFT(K455,2)="Sí","Sí","No")))</f>
        <v/>
      </c>
      <c r="N455" s="23" t="str">
        <f aca="false">IF(M455="Sí",AJ455,"")</f>
        <v/>
      </c>
      <c r="O455" s="24" t="str">
        <f aca="false">IF(M455="Sí",AK455,"")</f>
        <v/>
      </c>
      <c r="P455" s="25" t="str">
        <f aca="false">IF(AND(LEFT(D455,6)="XIV - ",LEFT(AX455,5)="AVISO"),"Pedimento (R 16): no va al SPPLD",AX455)</f>
        <v/>
      </c>
      <c r="Q455" s="23" t="str">
        <f aca="false">IF(LEFT(P455,5)="AVISO",IF(ISNUMBER(B455),DATE(YEAR(B455),MONTH(B455)+1,17),"Falta fecha"),"")</f>
        <v/>
      </c>
      <c r="R455" s="9" t="str">
        <f aca="false">IF(OR(F455="",F455=0),"",IF(ISNUMBER(AG455),IF(F455&gt;=AG455,"PROHIBIDO","Dentro del límite"),"No aplica"))</f>
        <v/>
      </c>
      <c r="S455" s="26" t="str">
        <f aca="false">IF(E455="","",MID(IF(AQ455=1," · Excede el perfil declarado","")&amp;IF(H455="Sí"," · Paga un tercero","")&amp;IF(J455="Alto"," · Cliente de riesgo alto: DDR (RCG 23 Ter 3 y 4)","")&amp;IF(AND(AS455&lt;&gt;"",AS455&lt;&gt;"No",AS455&lt;&gt;0)," · PEP","")&amp;IF(R455="PROHIBIDO"," · Efectivo prohibido: no lo recibas (Art. 32)","")&amp;IF(AR455=1," · ⚠ Fecha fuera de orden","")&amp;IF(LEFT(I455,1)="⚠"," · ⚠ Cliente no registrado","")&amp;IF(D455=""," · ⚠ Falta la actividad","")&amp;IF(AND(LEFT(P455,5)="AVISO",W455="")," · Captura la cifra total con IVA para el Aviso","")&amp;IF(AND(ISNUMBER(W455),W455&lt;E455)," · ⚠ La cifra con IVA es menor que el monto sin IVA",""),4,400))</f>
        <v/>
      </c>
      <c r="T455" s="21"/>
      <c r="U455" s="20"/>
      <c r="V455" s="9" t="str">
        <f aca="false">IF(LEFT(P455,5)&lt;&gt;"AVISO","",IF(T455="Presentado",IF(AND(ISNUMBER(U455),ISNUMBER(Q455),U455&gt;Q455),"Presentado tarde","Presentado"),IF(NOT(ISNUMBER(Q455)),"Falta fecha",IF(Q455&lt;CONFIG!$B$6,"VENCIDO","Vence en "&amp;(Q455-CONFIG!$B$6)&amp;" días"))))</f>
        <v/>
      </c>
      <c r="W455" s="22"/>
      <c r="X455" s="21"/>
      <c r="AA455" s="0" t="str">
        <f aca="false">IF(AM455="","",INDEX(CATÁLOGO!$D$5:$D$39,AM455))</f>
        <v/>
      </c>
      <c r="AB455" s="0" t="str">
        <f aca="false">IF(AM455="","",INDEX(CATÁLOGO!$E$5:$E$39,AM455))</f>
        <v/>
      </c>
      <c r="AC455" s="0" t="str">
        <f aca="false">IF(AB455="","",IF(ISNUMBER(AB455),AB455*AV455,AB455))</f>
        <v/>
      </c>
      <c r="AD455" s="0" t="str">
        <f aca="false">IF(AM455="","",INDEX(CATÁLOGO!$F$5:$F$39,AM455))</f>
        <v/>
      </c>
      <c r="AE455" s="0" t="str">
        <f aca="false">IF(AD455="","",IF(ISNUMBER(AD455),AD455*AV455,AD455))</f>
        <v/>
      </c>
      <c r="AF455" s="0" t="str">
        <f aca="false">IF(AM455="","",INDEX(CATÁLOGO!$G$5:$G$39,AM455))</f>
        <v/>
      </c>
      <c r="AG455" s="0" t="str">
        <f aca="false">IF(AF455="","",IF(ISNUMBER(AF455),AF455*AV455,AF455))</f>
        <v/>
      </c>
      <c r="AH455" s="0" t="str">
        <f aca="false">IF(E455="","",C455&amp;"|"&amp;D455)</f>
        <v/>
      </c>
      <c r="AI455" s="27" t="n">
        <f aca="false">IF(M455&lt;&gt;"Sí",0,SUMPRODUCT(MAX(($AH$5:AH454=AH455)*($M$5:M454="Sí")*ROW($AH$5:AH454))))</f>
        <v>0</v>
      </c>
      <c r="AJ455" s="0" t="str">
        <f aca="false">IF(M455&lt;&gt;"Sí","",IF(AL455=1,B455,INDEX($AJ:$AJ,AI455)))</f>
        <v/>
      </c>
      <c r="AK455" s="0" t="str">
        <f aca="false">IF(M455&lt;&gt;"Sí","",IF(AL455=1,E455,INDEX($AK:$AK,AI455)+E455))</f>
        <v/>
      </c>
      <c r="AL455" s="0" t="str">
        <f aca="false">IF(M455&lt;&gt;"Sí","",IF(AI455=0,1,IF(INDEX($AN:$AN,AI455)=0,1,IF(B455&gt;=EDATE(INDEX($AJ:$AJ,AI455),6),1,0))))</f>
        <v/>
      </c>
      <c r="AM455" s="0" t="str">
        <f aca="false">IF(D455="","",IFERROR(MATCH(D455,CATÁLOGO!$C$5:$C$39,0),""))</f>
        <v/>
      </c>
      <c r="AN455" s="0" t="str">
        <f aca="false">IF(M455&lt;&gt;"Sí","",IF(AND(ISNUMBER(AE455),AK455&gt;=AE455),0,1))</f>
        <v/>
      </c>
      <c r="AO455" s="0" t="str">
        <f aca="false">IF(OR(E455="",C455="",NOT(ISNUMBER(B455))),"",SUMIFS($E$6:$E$505,$C$6:$C$505,C455,$B$6:$B$505,"&gt;="&amp;DATE(YEAR(B455),MONTH(B455),1),$B$6:$B$505,"&lt;"&amp;DATE(YEAR(B455),MONTH(B455)+1,1)))</f>
        <v/>
      </c>
      <c r="AP455" s="0" t="str">
        <f aca="false">IF(C455="","",IFERROR(INDEX(CLIENTES!$M$6:$M$305,MATCH(C455,CLIENTES!$A$6:$A$305,0)),""))</f>
        <v/>
      </c>
      <c r="AQ455" s="27" t="n">
        <f aca="false">IF(AND(ISNUMBER(AO455),ISNUMBER(AP455)),IF(AND(AP455&gt;0,AO455&gt;AP455),1,0),0)</f>
        <v>0</v>
      </c>
      <c r="AR455" s="27" t="n">
        <f aca="false">IF(NOT(ISNUMBER(B455)),0,IF(B455&lt;MAX($B$5:B454),1,0))</f>
        <v>0</v>
      </c>
      <c r="AS455" s="0" t="str">
        <f aca="false">IF(C455="","",IFERROR(INDEX(CLIENTES!$H$6:$H$305,MATCH(C455,CLIENTES!$A$6:$A$305,0)),""))</f>
        <v/>
      </c>
      <c r="AT455" s="0" t="str">
        <f aca="false">IF(AND(LEFT(P455,5)="AVISO",T455&lt;&gt;"Presentado",ISNUMBER(Q455)),Q455,"")</f>
        <v/>
      </c>
      <c r="AU455" s="27" t="n">
        <f aca="false">IF(AND(D455="XVI - Activos virtuales (PSAV): operación de intercambio/transferencia",M455="Sí",ISNUMBER(AE455)),IF(AK455&gt;=AE455,1,0),0)</f>
        <v>0</v>
      </c>
      <c r="AV455" s="30" t="n">
        <f aca="false">IF(NOT(ISNUMBER(B455)),CONFIG!$B$4,IFERROR(INDEX(CONFIG!$I$5:$I$14,MATCH(IF(MONTH(B455)=1,YEAR(B455)-1,YEAR(B455)),CONFIG!$H$5:$H$14,0)),CONFIG!$B$4))</f>
        <v>117.31</v>
      </c>
      <c r="AW455" s="27" t="n">
        <f aca="false">IF(AND(LEFT(D455,4)="I - ",ISNUMBER(B455),C455&lt;&gt;""),SUMIFS($E$6:$E$505,$C$6:$C$505,C455,$D$6:$D$505,D455,$B$6:$B$505,"&gt;"&amp;(B455-1),$B$6:$B$505,"&lt;="&amp;B455),0)</f>
        <v>0</v>
      </c>
      <c r="AX455" s="0" t="str">
        <f aca="false">IF(E455="","",IF(AD455="Siempre","AVISO (siempre)",IF(AD455="No aplica","Sin Aviso (sólo preparas: Ley 17 XI)",IF(NOT(ISNUMBER(AE455)),"",IF(AA455&lt;&gt;"ACUMULA",IF(E455&gt;=AE455,IF(AND(D455="XVI - Activos virtuales (PSAV): cobro de contraprestación (comisión) por el servicio",COUNTIFS($C$6:$C$505,C455,$B$6:$B$505,"&gt;="&amp;INT(B455),$B$6:$B$505,"&lt;"&amp;(INT(B455)+1),$AU$6:$AU$505,1)&gt;0),"En el Aviso del inciso a) (R 31 Bis)","AVISO"),"—"),IF(M455&lt;&gt;"Sí","—",IF(AK455&gt;=AE455,IF(AK455=E455,"AVISO","AVISO (acumulado)"),"Acumulando")))))))</f>
        <v/>
      </c>
    </row>
    <row r="456" customFormat="false" ht="15" hidden="false" customHeight="false" outlineLevel="0" collapsed="false">
      <c r="A456" s="9" t="str">
        <f aca="false">IF(E456="","",ROW()-5)</f>
        <v/>
      </c>
      <c r="B456" s="20"/>
      <c r="C456" s="21"/>
      <c r="D456" s="21"/>
      <c r="E456" s="22"/>
      <c r="F456" s="22"/>
      <c r="G456" s="21"/>
      <c r="H456" s="21"/>
      <c r="I456" s="9" t="str">
        <f aca="false">IF(C456="","",IFERROR(INDEX(CLIENTES!$B$6:$B$305,MATCH(C456,CLIENTES!$A$6:$A$305,0)),"⚠ ID no registrado"))</f>
        <v/>
      </c>
      <c r="J456" s="9" t="str">
        <f aca="false">IF(C456="","",IFERROR(INDEX(CLIENTES!$Z$6:$Z$305,MATCH(C456,CLIENTES!$A$6:$A$305,0)),""))</f>
        <v/>
      </c>
      <c r="K456" s="9" t="str">
        <f aca="false">IF(E456="","",IF(AB456="Siempre","Sí",IF(ISNUMBER(AC456),IF(E456&gt;=AC456,"Sí",IF(AW456&gt;=AC456,"Sí (serie 24 h)","No")),"")))</f>
        <v/>
      </c>
      <c r="L456" s="9" t="str">
        <f aca="false">IF(E456="","",AA456)</f>
        <v/>
      </c>
      <c r="M456" s="9" t="str">
        <f aca="false">IF(E456="","",IF(AA456&lt;&gt;"ACUMULA","No aplica",IF(LEFT(K456,2)="Sí","Sí","No")))</f>
        <v/>
      </c>
      <c r="N456" s="23" t="str">
        <f aca="false">IF(M456="Sí",AJ456,"")</f>
        <v/>
      </c>
      <c r="O456" s="24" t="str">
        <f aca="false">IF(M456="Sí",AK456,"")</f>
        <v/>
      </c>
      <c r="P456" s="25" t="str">
        <f aca="false">IF(AND(LEFT(D456,6)="XIV - ",LEFT(AX456,5)="AVISO"),"Pedimento (R 16): no va al SPPLD",AX456)</f>
        <v/>
      </c>
      <c r="Q456" s="23" t="str">
        <f aca="false">IF(LEFT(P456,5)="AVISO",IF(ISNUMBER(B456),DATE(YEAR(B456),MONTH(B456)+1,17),"Falta fecha"),"")</f>
        <v/>
      </c>
      <c r="R456" s="9" t="str">
        <f aca="false">IF(OR(F456="",F456=0),"",IF(ISNUMBER(AG456),IF(F456&gt;=AG456,"PROHIBIDO","Dentro del límite"),"No aplica"))</f>
        <v/>
      </c>
      <c r="S456" s="26" t="str">
        <f aca="false">IF(E456="","",MID(IF(AQ456=1," · Excede el perfil declarado","")&amp;IF(H456="Sí"," · Paga un tercero","")&amp;IF(J456="Alto"," · Cliente de riesgo alto: DDR (RCG 23 Ter 3 y 4)","")&amp;IF(AND(AS456&lt;&gt;"",AS456&lt;&gt;"No",AS456&lt;&gt;0)," · PEP","")&amp;IF(R456="PROHIBIDO"," · Efectivo prohibido: no lo recibas (Art. 32)","")&amp;IF(AR456=1," · ⚠ Fecha fuera de orden","")&amp;IF(LEFT(I456,1)="⚠"," · ⚠ Cliente no registrado","")&amp;IF(D456=""," · ⚠ Falta la actividad","")&amp;IF(AND(LEFT(P456,5)="AVISO",W456="")," · Captura la cifra total con IVA para el Aviso","")&amp;IF(AND(ISNUMBER(W456),W456&lt;E456)," · ⚠ La cifra con IVA es menor que el monto sin IVA",""),4,400))</f>
        <v/>
      </c>
      <c r="T456" s="21"/>
      <c r="U456" s="20"/>
      <c r="V456" s="9" t="str">
        <f aca="false">IF(LEFT(P456,5)&lt;&gt;"AVISO","",IF(T456="Presentado",IF(AND(ISNUMBER(U456),ISNUMBER(Q456),U456&gt;Q456),"Presentado tarde","Presentado"),IF(NOT(ISNUMBER(Q456)),"Falta fecha",IF(Q456&lt;CONFIG!$B$6,"VENCIDO","Vence en "&amp;(Q456-CONFIG!$B$6)&amp;" días"))))</f>
        <v/>
      </c>
      <c r="W456" s="22"/>
      <c r="X456" s="21"/>
      <c r="AA456" s="0" t="str">
        <f aca="false">IF(AM456="","",INDEX(CATÁLOGO!$D$5:$D$39,AM456))</f>
        <v/>
      </c>
      <c r="AB456" s="0" t="str">
        <f aca="false">IF(AM456="","",INDEX(CATÁLOGO!$E$5:$E$39,AM456))</f>
        <v/>
      </c>
      <c r="AC456" s="0" t="str">
        <f aca="false">IF(AB456="","",IF(ISNUMBER(AB456),AB456*AV456,AB456))</f>
        <v/>
      </c>
      <c r="AD456" s="0" t="str">
        <f aca="false">IF(AM456="","",INDEX(CATÁLOGO!$F$5:$F$39,AM456))</f>
        <v/>
      </c>
      <c r="AE456" s="0" t="str">
        <f aca="false">IF(AD456="","",IF(ISNUMBER(AD456),AD456*AV456,AD456))</f>
        <v/>
      </c>
      <c r="AF456" s="0" t="str">
        <f aca="false">IF(AM456="","",INDEX(CATÁLOGO!$G$5:$G$39,AM456))</f>
        <v/>
      </c>
      <c r="AG456" s="0" t="str">
        <f aca="false">IF(AF456="","",IF(ISNUMBER(AF456),AF456*AV456,AF456))</f>
        <v/>
      </c>
      <c r="AH456" s="0" t="str">
        <f aca="false">IF(E456="","",C456&amp;"|"&amp;D456)</f>
        <v/>
      </c>
      <c r="AI456" s="27" t="n">
        <f aca="false">IF(M456&lt;&gt;"Sí",0,SUMPRODUCT(MAX(($AH$5:AH455=AH456)*($M$5:M455="Sí")*ROW($AH$5:AH455))))</f>
        <v>0</v>
      </c>
      <c r="AJ456" s="0" t="str">
        <f aca="false">IF(M456&lt;&gt;"Sí","",IF(AL456=1,B456,INDEX($AJ:$AJ,AI456)))</f>
        <v/>
      </c>
      <c r="AK456" s="0" t="str">
        <f aca="false">IF(M456&lt;&gt;"Sí","",IF(AL456=1,E456,INDEX($AK:$AK,AI456)+E456))</f>
        <v/>
      </c>
      <c r="AL456" s="0" t="str">
        <f aca="false">IF(M456&lt;&gt;"Sí","",IF(AI456=0,1,IF(INDEX($AN:$AN,AI456)=0,1,IF(B456&gt;=EDATE(INDEX($AJ:$AJ,AI456),6),1,0))))</f>
        <v/>
      </c>
      <c r="AM456" s="0" t="str">
        <f aca="false">IF(D456="","",IFERROR(MATCH(D456,CATÁLOGO!$C$5:$C$39,0),""))</f>
        <v/>
      </c>
      <c r="AN456" s="0" t="str">
        <f aca="false">IF(M456&lt;&gt;"Sí","",IF(AND(ISNUMBER(AE456),AK456&gt;=AE456),0,1))</f>
        <v/>
      </c>
      <c r="AO456" s="0" t="str">
        <f aca="false">IF(OR(E456="",C456="",NOT(ISNUMBER(B456))),"",SUMIFS($E$6:$E$505,$C$6:$C$505,C456,$B$6:$B$505,"&gt;="&amp;DATE(YEAR(B456),MONTH(B456),1),$B$6:$B$505,"&lt;"&amp;DATE(YEAR(B456),MONTH(B456)+1,1)))</f>
        <v/>
      </c>
      <c r="AP456" s="0" t="str">
        <f aca="false">IF(C456="","",IFERROR(INDEX(CLIENTES!$M$6:$M$305,MATCH(C456,CLIENTES!$A$6:$A$305,0)),""))</f>
        <v/>
      </c>
      <c r="AQ456" s="27" t="n">
        <f aca="false">IF(AND(ISNUMBER(AO456),ISNUMBER(AP456)),IF(AND(AP456&gt;0,AO456&gt;AP456),1,0),0)</f>
        <v>0</v>
      </c>
      <c r="AR456" s="27" t="n">
        <f aca="false">IF(NOT(ISNUMBER(B456)),0,IF(B456&lt;MAX($B$5:B455),1,0))</f>
        <v>0</v>
      </c>
      <c r="AS456" s="0" t="str">
        <f aca="false">IF(C456="","",IFERROR(INDEX(CLIENTES!$H$6:$H$305,MATCH(C456,CLIENTES!$A$6:$A$305,0)),""))</f>
        <v/>
      </c>
      <c r="AT456" s="0" t="str">
        <f aca="false">IF(AND(LEFT(P456,5)="AVISO",T456&lt;&gt;"Presentado",ISNUMBER(Q456)),Q456,"")</f>
        <v/>
      </c>
      <c r="AU456" s="27" t="n">
        <f aca="false">IF(AND(D456="XVI - Activos virtuales (PSAV): operación de intercambio/transferencia",M456="Sí",ISNUMBER(AE456)),IF(AK456&gt;=AE456,1,0),0)</f>
        <v>0</v>
      </c>
      <c r="AV456" s="30" t="n">
        <f aca="false">IF(NOT(ISNUMBER(B456)),CONFIG!$B$4,IFERROR(INDEX(CONFIG!$I$5:$I$14,MATCH(IF(MONTH(B456)=1,YEAR(B456)-1,YEAR(B456)),CONFIG!$H$5:$H$14,0)),CONFIG!$B$4))</f>
        <v>117.31</v>
      </c>
      <c r="AW456" s="27" t="n">
        <f aca="false">IF(AND(LEFT(D456,4)="I - ",ISNUMBER(B456),C456&lt;&gt;""),SUMIFS($E$6:$E$505,$C$6:$C$505,C456,$D$6:$D$505,D456,$B$6:$B$505,"&gt;"&amp;(B456-1),$B$6:$B$505,"&lt;="&amp;B456),0)</f>
        <v>0</v>
      </c>
      <c r="AX456" s="0" t="str">
        <f aca="false">IF(E456="","",IF(AD456="Siempre","AVISO (siempre)",IF(AD456="No aplica","Sin Aviso (sólo preparas: Ley 17 XI)",IF(NOT(ISNUMBER(AE456)),"",IF(AA456&lt;&gt;"ACUMULA",IF(E456&gt;=AE456,IF(AND(D456="XVI - Activos virtuales (PSAV): cobro de contraprestación (comisión) por el servicio",COUNTIFS($C$6:$C$505,C456,$B$6:$B$505,"&gt;="&amp;INT(B456),$B$6:$B$505,"&lt;"&amp;(INT(B456)+1),$AU$6:$AU$505,1)&gt;0),"En el Aviso del inciso a) (R 31 Bis)","AVISO"),"—"),IF(M456&lt;&gt;"Sí","—",IF(AK456&gt;=AE456,IF(AK456=E456,"AVISO","AVISO (acumulado)"),"Acumulando")))))))</f>
        <v/>
      </c>
    </row>
    <row r="457" customFormat="false" ht="15" hidden="false" customHeight="false" outlineLevel="0" collapsed="false">
      <c r="A457" s="9" t="str">
        <f aca="false">IF(E457="","",ROW()-5)</f>
        <v/>
      </c>
      <c r="B457" s="20"/>
      <c r="C457" s="21"/>
      <c r="D457" s="21"/>
      <c r="E457" s="22"/>
      <c r="F457" s="22"/>
      <c r="G457" s="21"/>
      <c r="H457" s="21"/>
      <c r="I457" s="9" t="str">
        <f aca="false">IF(C457="","",IFERROR(INDEX(CLIENTES!$B$6:$B$305,MATCH(C457,CLIENTES!$A$6:$A$305,0)),"⚠ ID no registrado"))</f>
        <v/>
      </c>
      <c r="J457" s="9" t="str">
        <f aca="false">IF(C457="","",IFERROR(INDEX(CLIENTES!$Z$6:$Z$305,MATCH(C457,CLIENTES!$A$6:$A$305,0)),""))</f>
        <v/>
      </c>
      <c r="K457" s="9" t="str">
        <f aca="false">IF(E457="","",IF(AB457="Siempre","Sí",IF(ISNUMBER(AC457),IF(E457&gt;=AC457,"Sí",IF(AW457&gt;=AC457,"Sí (serie 24 h)","No")),"")))</f>
        <v/>
      </c>
      <c r="L457" s="9" t="str">
        <f aca="false">IF(E457="","",AA457)</f>
        <v/>
      </c>
      <c r="M457" s="9" t="str">
        <f aca="false">IF(E457="","",IF(AA457&lt;&gt;"ACUMULA","No aplica",IF(LEFT(K457,2)="Sí","Sí","No")))</f>
        <v/>
      </c>
      <c r="N457" s="23" t="str">
        <f aca="false">IF(M457="Sí",AJ457,"")</f>
        <v/>
      </c>
      <c r="O457" s="24" t="str">
        <f aca="false">IF(M457="Sí",AK457,"")</f>
        <v/>
      </c>
      <c r="P457" s="25" t="str">
        <f aca="false">IF(AND(LEFT(D457,6)="XIV - ",LEFT(AX457,5)="AVISO"),"Pedimento (R 16): no va al SPPLD",AX457)</f>
        <v/>
      </c>
      <c r="Q457" s="23" t="str">
        <f aca="false">IF(LEFT(P457,5)="AVISO",IF(ISNUMBER(B457),DATE(YEAR(B457),MONTH(B457)+1,17),"Falta fecha"),"")</f>
        <v/>
      </c>
      <c r="R457" s="9" t="str">
        <f aca="false">IF(OR(F457="",F457=0),"",IF(ISNUMBER(AG457),IF(F457&gt;=AG457,"PROHIBIDO","Dentro del límite"),"No aplica"))</f>
        <v/>
      </c>
      <c r="S457" s="26" t="str">
        <f aca="false">IF(E457="","",MID(IF(AQ457=1," · Excede el perfil declarado","")&amp;IF(H457="Sí"," · Paga un tercero","")&amp;IF(J457="Alto"," · Cliente de riesgo alto: DDR (RCG 23 Ter 3 y 4)","")&amp;IF(AND(AS457&lt;&gt;"",AS457&lt;&gt;"No",AS457&lt;&gt;0)," · PEP","")&amp;IF(R457="PROHIBIDO"," · Efectivo prohibido: no lo recibas (Art. 32)","")&amp;IF(AR457=1," · ⚠ Fecha fuera de orden","")&amp;IF(LEFT(I457,1)="⚠"," · ⚠ Cliente no registrado","")&amp;IF(D457=""," · ⚠ Falta la actividad","")&amp;IF(AND(LEFT(P457,5)="AVISO",W457="")," · Captura la cifra total con IVA para el Aviso","")&amp;IF(AND(ISNUMBER(W457),W457&lt;E457)," · ⚠ La cifra con IVA es menor que el monto sin IVA",""),4,400))</f>
        <v/>
      </c>
      <c r="T457" s="21"/>
      <c r="U457" s="20"/>
      <c r="V457" s="9" t="str">
        <f aca="false">IF(LEFT(P457,5)&lt;&gt;"AVISO","",IF(T457="Presentado",IF(AND(ISNUMBER(U457),ISNUMBER(Q457),U457&gt;Q457),"Presentado tarde","Presentado"),IF(NOT(ISNUMBER(Q457)),"Falta fecha",IF(Q457&lt;CONFIG!$B$6,"VENCIDO","Vence en "&amp;(Q457-CONFIG!$B$6)&amp;" días"))))</f>
        <v/>
      </c>
      <c r="W457" s="22"/>
      <c r="X457" s="21"/>
      <c r="AA457" s="0" t="str">
        <f aca="false">IF(AM457="","",INDEX(CATÁLOGO!$D$5:$D$39,AM457))</f>
        <v/>
      </c>
      <c r="AB457" s="0" t="str">
        <f aca="false">IF(AM457="","",INDEX(CATÁLOGO!$E$5:$E$39,AM457))</f>
        <v/>
      </c>
      <c r="AC457" s="0" t="str">
        <f aca="false">IF(AB457="","",IF(ISNUMBER(AB457),AB457*AV457,AB457))</f>
        <v/>
      </c>
      <c r="AD457" s="0" t="str">
        <f aca="false">IF(AM457="","",INDEX(CATÁLOGO!$F$5:$F$39,AM457))</f>
        <v/>
      </c>
      <c r="AE457" s="0" t="str">
        <f aca="false">IF(AD457="","",IF(ISNUMBER(AD457),AD457*AV457,AD457))</f>
        <v/>
      </c>
      <c r="AF457" s="0" t="str">
        <f aca="false">IF(AM457="","",INDEX(CATÁLOGO!$G$5:$G$39,AM457))</f>
        <v/>
      </c>
      <c r="AG457" s="0" t="str">
        <f aca="false">IF(AF457="","",IF(ISNUMBER(AF457),AF457*AV457,AF457))</f>
        <v/>
      </c>
      <c r="AH457" s="0" t="str">
        <f aca="false">IF(E457="","",C457&amp;"|"&amp;D457)</f>
        <v/>
      </c>
      <c r="AI457" s="27" t="n">
        <f aca="false">IF(M457&lt;&gt;"Sí",0,SUMPRODUCT(MAX(($AH$5:AH456=AH457)*($M$5:M456="Sí")*ROW($AH$5:AH456))))</f>
        <v>0</v>
      </c>
      <c r="AJ457" s="0" t="str">
        <f aca="false">IF(M457&lt;&gt;"Sí","",IF(AL457=1,B457,INDEX($AJ:$AJ,AI457)))</f>
        <v/>
      </c>
      <c r="AK457" s="0" t="str">
        <f aca="false">IF(M457&lt;&gt;"Sí","",IF(AL457=1,E457,INDEX($AK:$AK,AI457)+E457))</f>
        <v/>
      </c>
      <c r="AL457" s="0" t="str">
        <f aca="false">IF(M457&lt;&gt;"Sí","",IF(AI457=0,1,IF(INDEX($AN:$AN,AI457)=0,1,IF(B457&gt;=EDATE(INDEX($AJ:$AJ,AI457),6),1,0))))</f>
        <v/>
      </c>
      <c r="AM457" s="0" t="str">
        <f aca="false">IF(D457="","",IFERROR(MATCH(D457,CATÁLOGO!$C$5:$C$39,0),""))</f>
        <v/>
      </c>
      <c r="AN457" s="0" t="str">
        <f aca="false">IF(M457&lt;&gt;"Sí","",IF(AND(ISNUMBER(AE457),AK457&gt;=AE457),0,1))</f>
        <v/>
      </c>
      <c r="AO457" s="0" t="str">
        <f aca="false">IF(OR(E457="",C457="",NOT(ISNUMBER(B457))),"",SUMIFS($E$6:$E$505,$C$6:$C$505,C457,$B$6:$B$505,"&gt;="&amp;DATE(YEAR(B457),MONTH(B457),1),$B$6:$B$505,"&lt;"&amp;DATE(YEAR(B457),MONTH(B457)+1,1)))</f>
        <v/>
      </c>
      <c r="AP457" s="0" t="str">
        <f aca="false">IF(C457="","",IFERROR(INDEX(CLIENTES!$M$6:$M$305,MATCH(C457,CLIENTES!$A$6:$A$305,0)),""))</f>
        <v/>
      </c>
      <c r="AQ457" s="27" t="n">
        <f aca="false">IF(AND(ISNUMBER(AO457),ISNUMBER(AP457)),IF(AND(AP457&gt;0,AO457&gt;AP457),1,0),0)</f>
        <v>0</v>
      </c>
      <c r="AR457" s="27" t="n">
        <f aca="false">IF(NOT(ISNUMBER(B457)),0,IF(B457&lt;MAX($B$5:B456),1,0))</f>
        <v>0</v>
      </c>
      <c r="AS457" s="0" t="str">
        <f aca="false">IF(C457="","",IFERROR(INDEX(CLIENTES!$H$6:$H$305,MATCH(C457,CLIENTES!$A$6:$A$305,0)),""))</f>
        <v/>
      </c>
      <c r="AT457" s="0" t="str">
        <f aca="false">IF(AND(LEFT(P457,5)="AVISO",T457&lt;&gt;"Presentado",ISNUMBER(Q457)),Q457,"")</f>
        <v/>
      </c>
      <c r="AU457" s="27" t="n">
        <f aca="false">IF(AND(D457="XVI - Activos virtuales (PSAV): operación de intercambio/transferencia",M457="Sí",ISNUMBER(AE457)),IF(AK457&gt;=AE457,1,0),0)</f>
        <v>0</v>
      </c>
      <c r="AV457" s="30" t="n">
        <f aca="false">IF(NOT(ISNUMBER(B457)),CONFIG!$B$4,IFERROR(INDEX(CONFIG!$I$5:$I$14,MATCH(IF(MONTH(B457)=1,YEAR(B457)-1,YEAR(B457)),CONFIG!$H$5:$H$14,0)),CONFIG!$B$4))</f>
        <v>117.31</v>
      </c>
      <c r="AW457" s="27" t="n">
        <f aca="false">IF(AND(LEFT(D457,4)="I - ",ISNUMBER(B457),C457&lt;&gt;""),SUMIFS($E$6:$E$505,$C$6:$C$505,C457,$D$6:$D$505,D457,$B$6:$B$505,"&gt;"&amp;(B457-1),$B$6:$B$505,"&lt;="&amp;B457),0)</f>
        <v>0</v>
      </c>
      <c r="AX457" s="0" t="str">
        <f aca="false">IF(E457="","",IF(AD457="Siempre","AVISO (siempre)",IF(AD457="No aplica","Sin Aviso (sólo preparas: Ley 17 XI)",IF(NOT(ISNUMBER(AE457)),"",IF(AA457&lt;&gt;"ACUMULA",IF(E457&gt;=AE457,IF(AND(D457="XVI - Activos virtuales (PSAV): cobro de contraprestación (comisión) por el servicio",COUNTIFS($C$6:$C$505,C457,$B$6:$B$505,"&gt;="&amp;INT(B457),$B$6:$B$505,"&lt;"&amp;(INT(B457)+1),$AU$6:$AU$505,1)&gt;0),"En el Aviso del inciso a) (R 31 Bis)","AVISO"),"—"),IF(M457&lt;&gt;"Sí","—",IF(AK457&gt;=AE457,IF(AK457=E457,"AVISO","AVISO (acumulado)"),"Acumulando")))))))</f>
        <v/>
      </c>
    </row>
    <row r="458" customFormat="false" ht="15" hidden="false" customHeight="false" outlineLevel="0" collapsed="false">
      <c r="A458" s="9" t="str">
        <f aca="false">IF(E458="","",ROW()-5)</f>
        <v/>
      </c>
      <c r="B458" s="20"/>
      <c r="C458" s="21"/>
      <c r="D458" s="21"/>
      <c r="E458" s="22"/>
      <c r="F458" s="22"/>
      <c r="G458" s="21"/>
      <c r="H458" s="21"/>
      <c r="I458" s="9" t="str">
        <f aca="false">IF(C458="","",IFERROR(INDEX(CLIENTES!$B$6:$B$305,MATCH(C458,CLIENTES!$A$6:$A$305,0)),"⚠ ID no registrado"))</f>
        <v/>
      </c>
      <c r="J458" s="9" t="str">
        <f aca="false">IF(C458="","",IFERROR(INDEX(CLIENTES!$Z$6:$Z$305,MATCH(C458,CLIENTES!$A$6:$A$305,0)),""))</f>
        <v/>
      </c>
      <c r="K458" s="9" t="str">
        <f aca="false">IF(E458="","",IF(AB458="Siempre","Sí",IF(ISNUMBER(AC458),IF(E458&gt;=AC458,"Sí",IF(AW458&gt;=AC458,"Sí (serie 24 h)","No")),"")))</f>
        <v/>
      </c>
      <c r="L458" s="9" t="str">
        <f aca="false">IF(E458="","",AA458)</f>
        <v/>
      </c>
      <c r="M458" s="9" t="str">
        <f aca="false">IF(E458="","",IF(AA458&lt;&gt;"ACUMULA","No aplica",IF(LEFT(K458,2)="Sí","Sí","No")))</f>
        <v/>
      </c>
      <c r="N458" s="23" t="str">
        <f aca="false">IF(M458="Sí",AJ458,"")</f>
        <v/>
      </c>
      <c r="O458" s="24" t="str">
        <f aca="false">IF(M458="Sí",AK458,"")</f>
        <v/>
      </c>
      <c r="P458" s="25" t="str">
        <f aca="false">IF(AND(LEFT(D458,6)="XIV - ",LEFT(AX458,5)="AVISO"),"Pedimento (R 16): no va al SPPLD",AX458)</f>
        <v/>
      </c>
      <c r="Q458" s="23" t="str">
        <f aca="false">IF(LEFT(P458,5)="AVISO",IF(ISNUMBER(B458),DATE(YEAR(B458),MONTH(B458)+1,17),"Falta fecha"),"")</f>
        <v/>
      </c>
      <c r="R458" s="9" t="str">
        <f aca="false">IF(OR(F458="",F458=0),"",IF(ISNUMBER(AG458),IF(F458&gt;=AG458,"PROHIBIDO","Dentro del límite"),"No aplica"))</f>
        <v/>
      </c>
      <c r="S458" s="26" t="str">
        <f aca="false">IF(E458="","",MID(IF(AQ458=1," · Excede el perfil declarado","")&amp;IF(H458="Sí"," · Paga un tercero","")&amp;IF(J458="Alto"," · Cliente de riesgo alto: DDR (RCG 23 Ter 3 y 4)","")&amp;IF(AND(AS458&lt;&gt;"",AS458&lt;&gt;"No",AS458&lt;&gt;0)," · PEP","")&amp;IF(R458="PROHIBIDO"," · Efectivo prohibido: no lo recibas (Art. 32)","")&amp;IF(AR458=1," · ⚠ Fecha fuera de orden","")&amp;IF(LEFT(I458,1)="⚠"," · ⚠ Cliente no registrado","")&amp;IF(D458=""," · ⚠ Falta la actividad","")&amp;IF(AND(LEFT(P458,5)="AVISO",W458="")," · Captura la cifra total con IVA para el Aviso","")&amp;IF(AND(ISNUMBER(W458),W458&lt;E458)," · ⚠ La cifra con IVA es menor que el monto sin IVA",""),4,400))</f>
        <v/>
      </c>
      <c r="T458" s="21"/>
      <c r="U458" s="20"/>
      <c r="V458" s="9" t="str">
        <f aca="false">IF(LEFT(P458,5)&lt;&gt;"AVISO","",IF(T458="Presentado",IF(AND(ISNUMBER(U458),ISNUMBER(Q458),U458&gt;Q458),"Presentado tarde","Presentado"),IF(NOT(ISNUMBER(Q458)),"Falta fecha",IF(Q458&lt;CONFIG!$B$6,"VENCIDO","Vence en "&amp;(Q458-CONFIG!$B$6)&amp;" días"))))</f>
        <v/>
      </c>
      <c r="W458" s="22"/>
      <c r="X458" s="21"/>
      <c r="AA458" s="0" t="str">
        <f aca="false">IF(AM458="","",INDEX(CATÁLOGO!$D$5:$D$39,AM458))</f>
        <v/>
      </c>
      <c r="AB458" s="0" t="str">
        <f aca="false">IF(AM458="","",INDEX(CATÁLOGO!$E$5:$E$39,AM458))</f>
        <v/>
      </c>
      <c r="AC458" s="0" t="str">
        <f aca="false">IF(AB458="","",IF(ISNUMBER(AB458),AB458*AV458,AB458))</f>
        <v/>
      </c>
      <c r="AD458" s="0" t="str">
        <f aca="false">IF(AM458="","",INDEX(CATÁLOGO!$F$5:$F$39,AM458))</f>
        <v/>
      </c>
      <c r="AE458" s="0" t="str">
        <f aca="false">IF(AD458="","",IF(ISNUMBER(AD458),AD458*AV458,AD458))</f>
        <v/>
      </c>
      <c r="AF458" s="0" t="str">
        <f aca="false">IF(AM458="","",INDEX(CATÁLOGO!$G$5:$G$39,AM458))</f>
        <v/>
      </c>
      <c r="AG458" s="0" t="str">
        <f aca="false">IF(AF458="","",IF(ISNUMBER(AF458),AF458*AV458,AF458))</f>
        <v/>
      </c>
      <c r="AH458" s="0" t="str">
        <f aca="false">IF(E458="","",C458&amp;"|"&amp;D458)</f>
        <v/>
      </c>
      <c r="AI458" s="27" t="n">
        <f aca="false">IF(M458&lt;&gt;"Sí",0,SUMPRODUCT(MAX(($AH$5:AH457=AH458)*($M$5:M457="Sí")*ROW($AH$5:AH457))))</f>
        <v>0</v>
      </c>
      <c r="AJ458" s="0" t="str">
        <f aca="false">IF(M458&lt;&gt;"Sí","",IF(AL458=1,B458,INDEX($AJ:$AJ,AI458)))</f>
        <v/>
      </c>
      <c r="AK458" s="0" t="str">
        <f aca="false">IF(M458&lt;&gt;"Sí","",IF(AL458=1,E458,INDEX($AK:$AK,AI458)+E458))</f>
        <v/>
      </c>
      <c r="AL458" s="0" t="str">
        <f aca="false">IF(M458&lt;&gt;"Sí","",IF(AI458=0,1,IF(INDEX($AN:$AN,AI458)=0,1,IF(B458&gt;=EDATE(INDEX($AJ:$AJ,AI458),6),1,0))))</f>
        <v/>
      </c>
      <c r="AM458" s="0" t="str">
        <f aca="false">IF(D458="","",IFERROR(MATCH(D458,CATÁLOGO!$C$5:$C$39,0),""))</f>
        <v/>
      </c>
      <c r="AN458" s="0" t="str">
        <f aca="false">IF(M458&lt;&gt;"Sí","",IF(AND(ISNUMBER(AE458),AK458&gt;=AE458),0,1))</f>
        <v/>
      </c>
      <c r="AO458" s="0" t="str">
        <f aca="false">IF(OR(E458="",C458="",NOT(ISNUMBER(B458))),"",SUMIFS($E$6:$E$505,$C$6:$C$505,C458,$B$6:$B$505,"&gt;="&amp;DATE(YEAR(B458),MONTH(B458),1),$B$6:$B$505,"&lt;"&amp;DATE(YEAR(B458),MONTH(B458)+1,1)))</f>
        <v/>
      </c>
      <c r="AP458" s="0" t="str">
        <f aca="false">IF(C458="","",IFERROR(INDEX(CLIENTES!$M$6:$M$305,MATCH(C458,CLIENTES!$A$6:$A$305,0)),""))</f>
        <v/>
      </c>
      <c r="AQ458" s="27" t="n">
        <f aca="false">IF(AND(ISNUMBER(AO458),ISNUMBER(AP458)),IF(AND(AP458&gt;0,AO458&gt;AP458),1,0),0)</f>
        <v>0</v>
      </c>
      <c r="AR458" s="27" t="n">
        <f aca="false">IF(NOT(ISNUMBER(B458)),0,IF(B458&lt;MAX($B$5:B457),1,0))</f>
        <v>0</v>
      </c>
      <c r="AS458" s="0" t="str">
        <f aca="false">IF(C458="","",IFERROR(INDEX(CLIENTES!$H$6:$H$305,MATCH(C458,CLIENTES!$A$6:$A$305,0)),""))</f>
        <v/>
      </c>
      <c r="AT458" s="0" t="str">
        <f aca="false">IF(AND(LEFT(P458,5)="AVISO",T458&lt;&gt;"Presentado",ISNUMBER(Q458)),Q458,"")</f>
        <v/>
      </c>
      <c r="AU458" s="27" t="n">
        <f aca="false">IF(AND(D458="XVI - Activos virtuales (PSAV): operación de intercambio/transferencia",M458="Sí",ISNUMBER(AE458)),IF(AK458&gt;=AE458,1,0),0)</f>
        <v>0</v>
      </c>
      <c r="AV458" s="30" t="n">
        <f aca="false">IF(NOT(ISNUMBER(B458)),CONFIG!$B$4,IFERROR(INDEX(CONFIG!$I$5:$I$14,MATCH(IF(MONTH(B458)=1,YEAR(B458)-1,YEAR(B458)),CONFIG!$H$5:$H$14,0)),CONFIG!$B$4))</f>
        <v>117.31</v>
      </c>
      <c r="AW458" s="27" t="n">
        <f aca="false">IF(AND(LEFT(D458,4)="I - ",ISNUMBER(B458),C458&lt;&gt;""),SUMIFS($E$6:$E$505,$C$6:$C$505,C458,$D$6:$D$505,D458,$B$6:$B$505,"&gt;"&amp;(B458-1),$B$6:$B$505,"&lt;="&amp;B458),0)</f>
        <v>0</v>
      </c>
      <c r="AX458" s="0" t="str">
        <f aca="false">IF(E458="","",IF(AD458="Siempre","AVISO (siempre)",IF(AD458="No aplica","Sin Aviso (sólo preparas: Ley 17 XI)",IF(NOT(ISNUMBER(AE458)),"",IF(AA458&lt;&gt;"ACUMULA",IF(E458&gt;=AE458,IF(AND(D458="XVI - Activos virtuales (PSAV): cobro de contraprestación (comisión) por el servicio",COUNTIFS($C$6:$C$505,C458,$B$6:$B$505,"&gt;="&amp;INT(B458),$B$6:$B$505,"&lt;"&amp;(INT(B458)+1),$AU$6:$AU$505,1)&gt;0),"En el Aviso del inciso a) (R 31 Bis)","AVISO"),"—"),IF(M458&lt;&gt;"Sí","—",IF(AK458&gt;=AE458,IF(AK458=E458,"AVISO","AVISO (acumulado)"),"Acumulando")))))))</f>
        <v/>
      </c>
    </row>
    <row r="459" customFormat="false" ht="15" hidden="false" customHeight="false" outlineLevel="0" collapsed="false">
      <c r="A459" s="9" t="str">
        <f aca="false">IF(E459="","",ROW()-5)</f>
        <v/>
      </c>
      <c r="B459" s="20"/>
      <c r="C459" s="21"/>
      <c r="D459" s="21"/>
      <c r="E459" s="22"/>
      <c r="F459" s="22"/>
      <c r="G459" s="21"/>
      <c r="H459" s="21"/>
      <c r="I459" s="9" t="str">
        <f aca="false">IF(C459="","",IFERROR(INDEX(CLIENTES!$B$6:$B$305,MATCH(C459,CLIENTES!$A$6:$A$305,0)),"⚠ ID no registrado"))</f>
        <v/>
      </c>
      <c r="J459" s="9" t="str">
        <f aca="false">IF(C459="","",IFERROR(INDEX(CLIENTES!$Z$6:$Z$305,MATCH(C459,CLIENTES!$A$6:$A$305,0)),""))</f>
        <v/>
      </c>
      <c r="K459" s="9" t="str">
        <f aca="false">IF(E459="","",IF(AB459="Siempre","Sí",IF(ISNUMBER(AC459),IF(E459&gt;=AC459,"Sí",IF(AW459&gt;=AC459,"Sí (serie 24 h)","No")),"")))</f>
        <v/>
      </c>
      <c r="L459" s="9" t="str">
        <f aca="false">IF(E459="","",AA459)</f>
        <v/>
      </c>
      <c r="M459" s="9" t="str">
        <f aca="false">IF(E459="","",IF(AA459&lt;&gt;"ACUMULA","No aplica",IF(LEFT(K459,2)="Sí","Sí","No")))</f>
        <v/>
      </c>
      <c r="N459" s="23" t="str">
        <f aca="false">IF(M459="Sí",AJ459,"")</f>
        <v/>
      </c>
      <c r="O459" s="24" t="str">
        <f aca="false">IF(M459="Sí",AK459,"")</f>
        <v/>
      </c>
      <c r="P459" s="25" t="str">
        <f aca="false">IF(AND(LEFT(D459,6)="XIV - ",LEFT(AX459,5)="AVISO"),"Pedimento (R 16): no va al SPPLD",AX459)</f>
        <v/>
      </c>
      <c r="Q459" s="23" t="str">
        <f aca="false">IF(LEFT(P459,5)="AVISO",IF(ISNUMBER(B459),DATE(YEAR(B459),MONTH(B459)+1,17),"Falta fecha"),"")</f>
        <v/>
      </c>
      <c r="R459" s="9" t="str">
        <f aca="false">IF(OR(F459="",F459=0),"",IF(ISNUMBER(AG459),IF(F459&gt;=AG459,"PROHIBIDO","Dentro del límite"),"No aplica"))</f>
        <v/>
      </c>
      <c r="S459" s="26" t="str">
        <f aca="false">IF(E459="","",MID(IF(AQ459=1," · Excede el perfil declarado","")&amp;IF(H459="Sí"," · Paga un tercero","")&amp;IF(J459="Alto"," · Cliente de riesgo alto: DDR (RCG 23 Ter 3 y 4)","")&amp;IF(AND(AS459&lt;&gt;"",AS459&lt;&gt;"No",AS459&lt;&gt;0)," · PEP","")&amp;IF(R459="PROHIBIDO"," · Efectivo prohibido: no lo recibas (Art. 32)","")&amp;IF(AR459=1," · ⚠ Fecha fuera de orden","")&amp;IF(LEFT(I459,1)="⚠"," · ⚠ Cliente no registrado","")&amp;IF(D459=""," · ⚠ Falta la actividad","")&amp;IF(AND(LEFT(P459,5)="AVISO",W459="")," · Captura la cifra total con IVA para el Aviso","")&amp;IF(AND(ISNUMBER(W459),W459&lt;E459)," · ⚠ La cifra con IVA es menor que el monto sin IVA",""),4,400))</f>
        <v/>
      </c>
      <c r="T459" s="21"/>
      <c r="U459" s="20"/>
      <c r="V459" s="9" t="str">
        <f aca="false">IF(LEFT(P459,5)&lt;&gt;"AVISO","",IF(T459="Presentado",IF(AND(ISNUMBER(U459),ISNUMBER(Q459),U459&gt;Q459),"Presentado tarde","Presentado"),IF(NOT(ISNUMBER(Q459)),"Falta fecha",IF(Q459&lt;CONFIG!$B$6,"VENCIDO","Vence en "&amp;(Q459-CONFIG!$B$6)&amp;" días"))))</f>
        <v/>
      </c>
      <c r="W459" s="22"/>
      <c r="X459" s="21"/>
      <c r="AA459" s="0" t="str">
        <f aca="false">IF(AM459="","",INDEX(CATÁLOGO!$D$5:$D$39,AM459))</f>
        <v/>
      </c>
      <c r="AB459" s="0" t="str">
        <f aca="false">IF(AM459="","",INDEX(CATÁLOGO!$E$5:$E$39,AM459))</f>
        <v/>
      </c>
      <c r="AC459" s="0" t="str">
        <f aca="false">IF(AB459="","",IF(ISNUMBER(AB459),AB459*AV459,AB459))</f>
        <v/>
      </c>
      <c r="AD459" s="0" t="str">
        <f aca="false">IF(AM459="","",INDEX(CATÁLOGO!$F$5:$F$39,AM459))</f>
        <v/>
      </c>
      <c r="AE459" s="0" t="str">
        <f aca="false">IF(AD459="","",IF(ISNUMBER(AD459),AD459*AV459,AD459))</f>
        <v/>
      </c>
      <c r="AF459" s="0" t="str">
        <f aca="false">IF(AM459="","",INDEX(CATÁLOGO!$G$5:$G$39,AM459))</f>
        <v/>
      </c>
      <c r="AG459" s="0" t="str">
        <f aca="false">IF(AF459="","",IF(ISNUMBER(AF459),AF459*AV459,AF459))</f>
        <v/>
      </c>
      <c r="AH459" s="0" t="str">
        <f aca="false">IF(E459="","",C459&amp;"|"&amp;D459)</f>
        <v/>
      </c>
      <c r="AI459" s="27" t="n">
        <f aca="false">IF(M459&lt;&gt;"Sí",0,SUMPRODUCT(MAX(($AH$5:AH458=AH459)*($M$5:M458="Sí")*ROW($AH$5:AH458))))</f>
        <v>0</v>
      </c>
      <c r="AJ459" s="0" t="str">
        <f aca="false">IF(M459&lt;&gt;"Sí","",IF(AL459=1,B459,INDEX($AJ:$AJ,AI459)))</f>
        <v/>
      </c>
      <c r="AK459" s="0" t="str">
        <f aca="false">IF(M459&lt;&gt;"Sí","",IF(AL459=1,E459,INDEX($AK:$AK,AI459)+E459))</f>
        <v/>
      </c>
      <c r="AL459" s="0" t="str">
        <f aca="false">IF(M459&lt;&gt;"Sí","",IF(AI459=0,1,IF(INDEX($AN:$AN,AI459)=0,1,IF(B459&gt;=EDATE(INDEX($AJ:$AJ,AI459),6),1,0))))</f>
        <v/>
      </c>
      <c r="AM459" s="0" t="str">
        <f aca="false">IF(D459="","",IFERROR(MATCH(D459,CATÁLOGO!$C$5:$C$39,0),""))</f>
        <v/>
      </c>
      <c r="AN459" s="0" t="str">
        <f aca="false">IF(M459&lt;&gt;"Sí","",IF(AND(ISNUMBER(AE459),AK459&gt;=AE459),0,1))</f>
        <v/>
      </c>
      <c r="AO459" s="0" t="str">
        <f aca="false">IF(OR(E459="",C459="",NOT(ISNUMBER(B459))),"",SUMIFS($E$6:$E$505,$C$6:$C$505,C459,$B$6:$B$505,"&gt;="&amp;DATE(YEAR(B459),MONTH(B459),1),$B$6:$B$505,"&lt;"&amp;DATE(YEAR(B459),MONTH(B459)+1,1)))</f>
        <v/>
      </c>
      <c r="AP459" s="0" t="str">
        <f aca="false">IF(C459="","",IFERROR(INDEX(CLIENTES!$M$6:$M$305,MATCH(C459,CLIENTES!$A$6:$A$305,0)),""))</f>
        <v/>
      </c>
      <c r="AQ459" s="27" t="n">
        <f aca="false">IF(AND(ISNUMBER(AO459),ISNUMBER(AP459)),IF(AND(AP459&gt;0,AO459&gt;AP459),1,0),0)</f>
        <v>0</v>
      </c>
      <c r="AR459" s="27" t="n">
        <f aca="false">IF(NOT(ISNUMBER(B459)),0,IF(B459&lt;MAX($B$5:B458),1,0))</f>
        <v>0</v>
      </c>
      <c r="AS459" s="0" t="str">
        <f aca="false">IF(C459="","",IFERROR(INDEX(CLIENTES!$H$6:$H$305,MATCH(C459,CLIENTES!$A$6:$A$305,0)),""))</f>
        <v/>
      </c>
      <c r="AT459" s="0" t="str">
        <f aca="false">IF(AND(LEFT(P459,5)="AVISO",T459&lt;&gt;"Presentado",ISNUMBER(Q459)),Q459,"")</f>
        <v/>
      </c>
      <c r="AU459" s="27" t="n">
        <f aca="false">IF(AND(D459="XVI - Activos virtuales (PSAV): operación de intercambio/transferencia",M459="Sí",ISNUMBER(AE459)),IF(AK459&gt;=AE459,1,0),0)</f>
        <v>0</v>
      </c>
      <c r="AV459" s="30" t="n">
        <f aca="false">IF(NOT(ISNUMBER(B459)),CONFIG!$B$4,IFERROR(INDEX(CONFIG!$I$5:$I$14,MATCH(IF(MONTH(B459)=1,YEAR(B459)-1,YEAR(B459)),CONFIG!$H$5:$H$14,0)),CONFIG!$B$4))</f>
        <v>117.31</v>
      </c>
      <c r="AW459" s="27" t="n">
        <f aca="false">IF(AND(LEFT(D459,4)="I - ",ISNUMBER(B459),C459&lt;&gt;""),SUMIFS($E$6:$E$505,$C$6:$C$505,C459,$D$6:$D$505,D459,$B$6:$B$505,"&gt;"&amp;(B459-1),$B$6:$B$505,"&lt;="&amp;B459),0)</f>
        <v>0</v>
      </c>
      <c r="AX459" s="0" t="str">
        <f aca="false">IF(E459="","",IF(AD459="Siempre","AVISO (siempre)",IF(AD459="No aplica","Sin Aviso (sólo preparas: Ley 17 XI)",IF(NOT(ISNUMBER(AE459)),"",IF(AA459&lt;&gt;"ACUMULA",IF(E459&gt;=AE459,IF(AND(D459="XVI - Activos virtuales (PSAV): cobro de contraprestación (comisión) por el servicio",COUNTIFS($C$6:$C$505,C459,$B$6:$B$505,"&gt;="&amp;INT(B459),$B$6:$B$505,"&lt;"&amp;(INT(B459)+1),$AU$6:$AU$505,1)&gt;0),"En el Aviso del inciso a) (R 31 Bis)","AVISO"),"—"),IF(M459&lt;&gt;"Sí","—",IF(AK459&gt;=AE459,IF(AK459=E459,"AVISO","AVISO (acumulado)"),"Acumulando")))))))</f>
        <v/>
      </c>
    </row>
    <row r="460" customFormat="false" ht="15" hidden="false" customHeight="false" outlineLevel="0" collapsed="false">
      <c r="A460" s="9" t="str">
        <f aca="false">IF(E460="","",ROW()-5)</f>
        <v/>
      </c>
      <c r="B460" s="20"/>
      <c r="C460" s="21"/>
      <c r="D460" s="21"/>
      <c r="E460" s="22"/>
      <c r="F460" s="22"/>
      <c r="G460" s="21"/>
      <c r="H460" s="21"/>
      <c r="I460" s="9" t="str">
        <f aca="false">IF(C460="","",IFERROR(INDEX(CLIENTES!$B$6:$B$305,MATCH(C460,CLIENTES!$A$6:$A$305,0)),"⚠ ID no registrado"))</f>
        <v/>
      </c>
      <c r="J460" s="9" t="str">
        <f aca="false">IF(C460="","",IFERROR(INDEX(CLIENTES!$Z$6:$Z$305,MATCH(C460,CLIENTES!$A$6:$A$305,0)),""))</f>
        <v/>
      </c>
      <c r="K460" s="9" t="str">
        <f aca="false">IF(E460="","",IF(AB460="Siempre","Sí",IF(ISNUMBER(AC460),IF(E460&gt;=AC460,"Sí",IF(AW460&gt;=AC460,"Sí (serie 24 h)","No")),"")))</f>
        <v/>
      </c>
      <c r="L460" s="9" t="str">
        <f aca="false">IF(E460="","",AA460)</f>
        <v/>
      </c>
      <c r="M460" s="9" t="str">
        <f aca="false">IF(E460="","",IF(AA460&lt;&gt;"ACUMULA","No aplica",IF(LEFT(K460,2)="Sí","Sí","No")))</f>
        <v/>
      </c>
      <c r="N460" s="23" t="str">
        <f aca="false">IF(M460="Sí",AJ460,"")</f>
        <v/>
      </c>
      <c r="O460" s="24" t="str">
        <f aca="false">IF(M460="Sí",AK460,"")</f>
        <v/>
      </c>
      <c r="P460" s="25" t="str">
        <f aca="false">IF(AND(LEFT(D460,6)="XIV - ",LEFT(AX460,5)="AVISO"),"Pedimento (R 16): no va al SPPLD",AX460)</f>
        <v/>
      </c>
      <c r="Q460" s="23" t="str">
        <f aca="false">IF(LEFT(P460,5)="AVISO",IF(ISNUMBER(B460),DATE(YEAR(B460),MONTH(B460)+1,17),"Falta fecha"),"")</f>
        <v/>
      </c>
      <c r="R460" s="9" t="str">
        <f aca="false">IF(OR(F460="",F460=0),"",IF(ISNUMBER(AG460),IF(F460&gt;=AG460,"PROHIBIDO","Dentro del límite"),"No aplica"))</f>
        <v/>
      </c>
      <c r="S460" s="26" t="str">
        <f aca="false">IF(E460="","",MID(IF(AQ460=1," · Excede el perfil declarado","")&amp;IF(H460="Sí"," · Paga un tercero","")&amp;IF(J460="Alto"," · Cliente de riesgo alto: DDR (RCG 23 Ter 3 y 4)","")&amp;IF(AND(AS460&lt;&gt;"",AS460&lt;&gt;"No",AS460&lt;&gt;0)," · PEP","")&amp;IF(R460="PROHIBIDO"," · Efectivo prohibido: no lo recibas (Art. 32)","")&amp;IF(AR460=1," · ⚠ Fecha fuera de orden","")&amp;IF(LEFT(I460,1)="⚠"," · ⚠ Cliente no registrado","")&amp;IF(D460=""," · ⚠ Falta la actividad","")&amp;IF(AND(LEFT(P460,5)="AVISO",W460="")," · Captura la cifra total con IVA para el Aviso","")&amp;IF(AND(ISNUMBER(W460),W460&lt;E460)," · ⚠ La cifra con IVA es menor que el monto sin IVA",""),4,400))</f>
        <v/>
      </c>
      <c r="T460" s="21"/>
      <c r="U460" s="20"/>
      <c r="V460" s="9" t="str">
        <f aca="false">IF(LEFT(P460,5)&lt;&gt;"AVISO","",IF(T460="Presentado",IF(AND(ISNUMBER(U460),ISNUMBER(Q460),U460&gt;Q460),"Presentado tarde","Presentado"),IF(NOT(ISNUMBER(Q460)),"Falta fecha",IF(Q460&lt;CONFIG!$B$6,"VENCIDO","Vence en "&amp;(Q460-CONFIG!$B$6)&amp;" días"))))</f>
        <v/>
      </c>
      <c r="W460" s="22"/>
      <c r="X460" s="21"/>
      <c r="AA460" s="0" t="str">
        <f aca="false">IF(AM460="","",INDEX(CATÁLOGO!$D$5:$D$39,AM460))</f>
        <v/>
      </c>
      <c r="AB460" s="0" t="str">
        <f aca="false">IF(AM460="","",INDEX(CATÁLOGO!$E$5:$E$39,AM460))</f>
        <v/>
      </c>
      <c r="AC460" s="0" t="str">
        <f aca="false">IF(AB460="","",IF(ISNUMBER(AB460),AB460*AV460,AB460))</f>
        <v/>
      </c>
      <c r="AD460" s="0" t="str">
        <f aca="false">IF(AM460="","",INDEX(CATÁLOGO!$F$5:$F$39,AM460))</f>
        <v/>
      </c>
      <c r="AE460" s="0" t="str">
        <f aca="false">IF(AD460="","",IF(ISNUMBER(AD460),AD460*AV460,AD460))</f>
        <v/>
      </c>
      <c r="AF460" s="0" t="str">
        <f aca="false">IF(AM460="","",INDEX(CATÁLOGO!$G$5:$G$39,AM460))</f>
        <v/>
      </c>
      <c r="AG460" s="0" t="str">
        <f aca="false">IF(AF460="","",IF(ISNUMBER(AF460),AF460*AV460,AF460))</f>
        <v/>
      </c>
      <c r="AH460" s="0" t="str">
        <f aca="false">IF(E460="","",C460&amp;"|"&amp;D460)</f>
        <v/>
      </c>
      <c r="AI460" s="27" t="n">
        <f aca="false">IF(M460&lt;&gt;"Sí",0,SUMPRODUCT(MAX(($AH$5:AH459=AH460)*($M$5:M459="Sí")*ROW($AH$5:AH459))))</f>
        <v>0</v>
      </c>
      <c r="AJ460" s="0" t="str">
        <f aca="false">IF(M460&lt;&gt;"Sí","",IF(AL460=1,B460,INDEX($AJ:$AJ,AI460)))</f>
        <v/>
      </c>
      <c r="AK460" s="0" t="str">
        <f aca="false">IF(M460&lt;&gt;"Sí","",IF(AL460=1,E460,INDEX($AK:$AK,AI460)+E460))</f>
        <v/>
      </c>
      <c r="AL460" s="0" t="str">
        <f aca="false">IF(M460&lt;&gt;"Sí","",IF(AI460=0,1,IF(INDEX($AN:$AN,AI460)=0,1,IF(B460&gt;=EDATE(INDEX($AJ:$AJ,AI460),6),1,0))))</f>
        <v/>
      </c>
      <c r="AM460" s="0" t="str">
        <f aca="false">IF(D460="","",IFERROR(MATCH(D460,CATÁLOGO!$C$5:$C$39,0),""))</f>
        <v/>
      </c>
      <c r="AN460" s="0" t="str">
        <f aca="false">IF(M460&lt;&gt;"Sí","",IF(AND(ISNUMBER(AE460),AK460&gt;=AE460),0,1))</f>
        <v/>
      </c>
      <c r="AO460" s="0" t="str">
        <f aca="false">IF(OR(E460="",C460="",NOT(ISNUMBER(B460))),"",SUMIFS($E$6:$E$505,$C$6:$C$505,C460,$B$6:$B$505,"&gt;="&amp;DATE(YEAR(B460),MONTH(B460),1),$B$6:$B$505,"&lt;"&amp;DATE(YEAR(B460),MONTH(B460)+1,1)))</f>
        <v/>
      </c>
      <c r="AP460" s="0" t="str">
        <f aca="false">IF(C460="","",IFERROR(INDEX(CLIENTES!$M$6:$M$305,MATCH(C460,CLIENTES!$A$6:$A$305,0)),""))</f>
        <v/>
      </c>
      <c r="AQ460" s="27" t="n">
        <f aca="false">IF(AND(ISNUMBER(AO460),ISNUMBER(AP460)),IF(AND(AP460&gt;0,AO460&gt;AP460),1,0),0)</f>
        <v>0</v>
      </c>
      <c r="AR460" s="27" t="n">
        <f aca="false">IF(NOT(ISNUMBER(B460)),0,IF(B460&lt;MAX($B$5:B459),1,0))</f>
        <v>0</v>
      </c>
      <c r="AS460" s="0" t="str">
        <f aca="false">IF(C460="","",IFERROR(INDEX(CLIENTES!$H$6:$H$305,MATCH(C460,CLIENTES!$A$6:$A$305,0)),""))</f>
        <v/>
      </c>
      <c r="AT460" s="0" t="str">
        <f aca="false">IF(AND(LEFT(P460,5)="AVISO",T460&lt;&gt;"Presentado",ISNUMBER(Q460)),Q460,"")</f>
        <v/>
      </c>
      <c r="AU460" s="27" t="n">
        <f aca="false">IF(AND(D460="XVI - Activos virtuales (PSAV): operación de intercambio/transferencia",M460="Sí",ISNUMBER(AE460)),IF(AK460&gt;=AE460,1,0),0)</f>
        <v>0</v>
      </c>
      <c r="AV460" s="30" t="n">
        <f aca="false">IF(NOT(ISNUMBER(B460)),CONFIG!$B$4,IFERROR(INDEX(CONFIG!$I$5:$I$14,MATCH(IF(MONTH(B460)=1,YEAR(B460)-1,YEAR(B460)),CONFIG!$H$5:$H$14,0)),CONFIG!$B$4))</f>
        <v>117.31</v>
      </c>
      <c r="AW460" s="27" t="n">
        <f aca="false">IF(AND(LEFT(D460,4)="I - ",ISNUMBER(B460),C460&lt;&gt;""),SUMIFS($E$6:$E$505,$C$6:$C$505,C460,$D$6:$D$505,D460,$B$6:$B$505,"&gt;"&amp;(B460-1),$B$6:$B$505,"&lt;="&amp;B460),0)</f>
        <v>0</v>
      </c>
      <c r="AX460" s="0" t="str">
        <f aca="false">IF(E460="","",IF(AD460="Siempre","AVISO (siempre)",IF(AD460="No aplica","Sin Aviso (sólo preparas: Ley 17 XI)",IF(NOT(ISNUMBER(AE460)),"",IF(AA460&lt;&gt;"ACUMULA",IF(E460&gt;=AE460,IF(AND(D460="XVI - Activos virtuales (PSAV): cobro de contraprestación (comisión) por el servicio",COUNTIFS($C$6:$C$505,C460,$B$6:$B$505,"&gt;="&amp;INT(B460),$B$6:$B$505,"&lt;"&amp;(INT(B460)+1),$AU$6:$AU$505,1)&gt;0),"En el Aviso del inciso a) (R 31 Bis)","AVISO"),"—"),IF(M460&lt;&gt;"Sí","—",IF(AK460&gt;=AE460,IF(AK460=E460,"AVISO","AVISO (acumulado)"),"Acumulando")))))))</f>
        <v/>
      </c>
    </row>
    <row r="461" customFormat="false" ht="15" hidden="false" customHeight="false" outlineLevel="0" collapsed="false">
      <c r="A461" s="9" t="str">
        <f aca="false">IF(E461="","",ROW()-5)</f>
        <v/>
      </c>
      <c r="B461" s="20"/>
      <c r="C461" s="21"/>
      <c r="D461" s="21"/>
      <c r="E461" s="22"/>
      <c r="F461" s="22"/>
      <c r="G461" s="21"/>
      <c r="H461" s="21"/>
      <c r="I461" s="9" t="str">
        <f aca="false">IF(C461="","",IFERROR(INDEX(CLIENTES!$B$6:$B$305,MATCH(C461,CLIENTES!$A$6:$A$305,0)),"⚠ ID no registrado"))</f>
        <v/>
      </c>
      <c r="J461" s="9" t="str">
        <f aca="false">IF(C461="","",IFERROR(INDEX(CLIENTES!$Z$6:$Z$305,MATCH(C461,CLIENTES!$A$6:$A$305,0)),""))</f>
        <v/>
      </c>
      <c r="K461" s="9" t="str">
        <f aca="false">IF(E461="","",IF(AB461="Siempre","Sí",IF(ISNUMBER(AC461),IF(E461&gt;=AC461,"Sí",IF(AW461&gt;=AC461,"Sí (serie 24 h)","No")),"")))</f>
        <v/>
      </c>
      <c r="L461" s="9" t="str">
        <f aca="false">IF(E461="","",AA461)</f>
        <v/>
      </c>
      <c r="M461" s="9" t="str">
        <f aca="false">IF(E461="","",IF(AA461&lt;&gt;"ACUMULA","No aplica",IF(LEFT(K461,2)="Sí","Sí","No")))</f>
        <v/>
      </c>
      <c r="N461" s="23" t="str">
        <f aca="false">IF(M461="Sí",AJ461,"")</f>
        <v/>
      </c>
      <c r="O461" s="24" t="str">
        <f aca="false">IF(M461="Sí",AK461,"")</f>
        <v/>
      </c>
      <c r="P461" s="25" t="str">
        <f aca="false">IF(AND(LEFT(D461,6)="XIV - ",LEFT(AX461,5)="AVISO"),"Pedimento (R 16): no va al SPPLD",AX461)</f>
        <v/>
      </c>
      <c r="Q461" s="23" t="str">
        <f aca="false">IF(LEFT(P461,5)="AVISO",IF(ISNUMBER(B461),DATE(YEAR(B461),MONTH(B461)+1,17),"Falta fecha"),"")</f>
        <v/>
      </c>
      <c r="R461" s="9" t="str">
        <f aca="false">IF(OR(F461="",F461=0),"",IF(ISNUMBER(AG461),IF(F461&gt;=AG461,"PROHIBIDO","Dentro del límite"),"No aplica"))</f>
        <v/>
      </c>
      <c r="S461" s="26" t="str">
        <f aca="false">IF(E461="","",MID(IF(AQ461=1," · Excede el perfil declarado","")&amp;IF(H461="Sí"," · Paga un tercero","")&amp;IF(J461="Alto"," · Cliente de riesgo alto: DDR (RCG 23 Ter 3 y 4)","")&amp;IF(AND(AS461&lt;&gt;"",AS461&lt;&gt;"No",AS461&lt;&gt;0)," · PEP","")&amp;IF(R461="PROHIBIDO"," · Efectivo prohibido: no lo recibas (Art. 32)","")&amp;IF(AR461=1," · ⚠ Fecha fuera de orden","")&amp;IF(LEFT(I461,1)="⚠"," · ⚠ Cliente no registrado","")&amp;IF(D461=""," · ⚠ Falta la actividad","")&amp;IF(AND(LEFT(P461,5)="AVISO",W461="")," · Captura la cifra total con IVA para el Aviso","")&amp;IF(AND(ISNUMBER(W461),W461&lt;E461)," · ⚠ La cifra con IVA es menor que el monto sin IVA",""),4,400))</f>
        <v/>
      </c>
      <c r="T461" s="21"/>
      <c r="U461" s="20"/>
      <c r="V461" s="9" t="str">
        <f aca="false">IF(LEFT(P461,5)&lt;&gt;"AVISO","",IF(T461="Presentado",IF(AND(ISNUMBER(U461),ISNUMBER(Q461),U461&gt;Q461),"Presentado tarde","Presentado"),IF(NOT(ISNUMBER(Q461)),"Falta fecha",IF(Q461&lt;CONFIG!$B$6,"VENCIDO","Vence en "&amp;(Q461-CONFIG!$B$6)&amp;" días"))))</f>
        <v/>
      </c>
      <c r="W461" s="22"/>
      <c r="X461" s="21"/>
      <c r="AA461" s="0" t="str">
        <f aca="false">IF(AM461="","",INDEX(CATÁLOGO!$D$5:$D$39,AM461))</f>
        <v/>
      </c>
      <c r="AB461" s="0" t="str">
        <f aca="false">IF(AM461="","",INDEX(CATÁLOGO!$E$5:$E$39,AM461))</f>
        <v/>
      </c>
      <c r="AC461" s="0" t="str">
        <f aca="false">IF(AB461="","",IF(ISNUMBER(AB461),AB461*AV461,AB461))</f>
        <v/>
      </c>
      <c r="AD461" s="0" t="str">
        <f aca="false">IF(AM461="","",INDEX(CATÁLOGO!$F$5:$F$39,AM461))</f>
        <v/>
      </c>
      <c r="AE461" s="0" t="str">
        <f aca="false">IF(AD461="","",IF(ISNUMBER(AD461),AD461*AV461,AD461))</f>
        <v/>
      </c>
      <c r="AF461" s="0" t="str">
        <f aca="false">IF(AM461="","",INDEX(CATÁLOGO!$G$5:$G$39,AM461))</f>
        <v/>
      </c>
      <c r="AG461" s="0" t="str">
        <f aca="false">IF(AF461="","",IF(ISNUMBER(AF461),AF461*AV461,AF461))</f>
        <v/>
      </c>
      <c r="AH461" s="0" t="str">
        <f aca="false">IF(E461="","",C461&amp;"|"&amp;D461)</f>
        <v/>
      </c>
      <c r="AI461" s="27" t="n">
        <f aca="false">IF(M461&lt;&gt;"Sí",0,SUMPRODUCT(MAX(($AH$5:AH460=AH461)*($M$5:M460="Sí")*ROW($AH$5:AH460))))</f>
        <v>0</v>
      </c>
      <c r="AJ461" s="0" t="str">
        <f aca="false">IF(M461&lt;&gt;"Sí","",IF(AL461=1,B461,INDEX($AJ:$AJ,AI461)))</f>
        <v/>
      </c>
      <c r="AK461" s="0" t="str">
        <f aca="false">IF(M461&lt;&gt;"Sí","",IF(AL461=1,E461,INDEX($AK:$AK,AI461)+E461))</f>
        <v/>
      </c>
      <c r="AL461" s="0" t="str">
        <f aca="false">IF(M461&lt;&gt;"Sí","",IF(AI461=0,1,IF(INDEX($AN:$AN,AI461)=0,1,IF(B461&gt;=EDATE(INDEX($AJ:$AJ,AI461),6),1,0))))</f>
        <v/>
      </c>
      <c r="AM461" s="0" t="str">
        <f aca="false">IF(D461="","",IFERROR(MATCH(D461,CATÁLOGO!$C$5:$C$39,0),""))</f>
        <v/>
      </c>
      <c r="AN461" s="0" t="str">
        <f aca="false">IF(M461&lt;&gt;"Sí","",IF(AND(ISNUMBER(AE461),AK461&gt;=AE461),0,1))</f>
        <v/>
      </c>
      <c r="AO461" s="0" t="str">
        <f aca="false">IF(OR(E461="",C461="",NOT(ISNUMBER(B461))),"",SUMIFS($E$6:$E$505,$C$6:$C$505,C461,$B$6:$B$505,"&gt;="&amp;DATE(YEAR(B461),MONTH(B461),1),$B$6:$B$505,"&lt;"&amp;DATE(YEAR(B461),MONTH(B461)+1,1)))</f>
        <v/>
      </c>
      <c r="AP461" s="0" t="str">
        <f aca="false">IF(C461="","",IFERROR(INDEX(CLIENTES!$M$6:$M$305,MATCH(C461,CLIENTES!$A$6:$A$305,0)),""))</f>
        <v/>
      </c>
      <c r="AQ461" s="27" t="n">
        <f aca="false">IF(AND(ISNUMBER(AO461),ISNUMBER(AP461)),IF(AND(AP461&gt;0,AO461&gt;AP461),1,0),0)</f>
        <v>0</v>
      </c>
      <c r="AR461" s="27" t="n">
        <f aca="false">IF(NOT(ISNUMBER(B461)),0,IF(B461&lt;MAX($B$5:B460),1,0))</f>
        <v>0</v>
      </c>
      <c r="AS461" s="0" t="str">
        <f aca="false">IF(C461="","",IFERROR(INDEX(CLIENTES!$H$6:$H$305,MATCH(C461,CLIENTES!$A$6:$A$305,0)),""))</f>
        <v/>
      </c>
      <c r="AT461" s="0" t="str">
        <f aca="false">IF(AND(LEFT(P461,5)="AVISO",T461&lt;&gt;"Presentado",ISNUMBER(Q461)),Q461,"")</f>
        <v/>
      </c>
      <c r="AU461" s="27" t="n">
        <f aca="false">IF(AND(D461="XVI - Activos virtuales (PSAV): operación de intercambio/transferencia",M461="Sí",ISNUMBER(AE461)),IF(AK461&gt;=AE461,1,0),0)</f>
        <v>0</v>
      </c>
      <c r="AV461" s="30" t="n">
        <f aca="false">IF(NOT(ISNUMBER(B461)),CONFIG!$B$4,IFERROR(INDEX(CONFIG!$I$5:$I$14,MATCH(IF(MONTH(B461)=1,YEAR(B461)-1,YEAR(B461)),CONFIG!$H$5:$H$14,0)),CONFIG!$B$4))</f>
        <v>117.31</v>
      </c>
      <c r="AW461" s="27" t="n">
        <f aca="false">IF(AND(LEFT(D461,4)="I - ",ISNUMBER(B461),C461&lt;&gt;""),SUMIFS($E$6:$E$505,$C$6:$C$505,C461,$D$6:$D$505,D461,$B$6:$B$505,"&gt;"&amp;(B461-1),$B$6:$B$505,"&lt;="&amp;B461),0)</f>
        <v>0</v>
      </c>
      <c r="AX461" s="0" t="str">
        <f aca="false">IF(E461="","",IF(AD461="Siempre","AVISO (siempre)",IF(AD461="No aplica","Sin Aviso (sólo preparas: Ley 17 XI)",IF(NOT(ISNUMBER(AE461)),"",IF(AA461&lt;&gt;"ACUMULA",IF(E461&gt;=AE461,IF(AND(D461="XVI - Activos virtuales (PSAV): cobro de contraprestación (comisión) por el servicio",COUNTIFS($C$6:$C$505,C461,$B$6:$B$505,"&gt;="&amp;INT(B461),$B$6:$B$505,"&lt;"&amp;(INT(B461)+1),$AU$6:$AU$505,1)&gt;0),"En el Aviso del inciso a) (R 31 Bis)","AVISO"),"—"),IF(M461&lt;&gt;"Sí","—",IF(AK461&gt;=AE461,IF(AK461=E461,"AVISO","AVISO (acumulado)"),"Acumulando")))))))</f>
        <v/>
      </c>
    </row>
    <row r="462" customFormat="false" ht="15" hidden="false" customHeight="false" outlineLevel="0" collapsed="false">
      <c r="A462" s="9" t="str">
        <f aca="false">IF(E462="","",ROW()-5)</f>
        <v/>
      </c>
      <c r="B462" s="20"/>
      <c r="C462" s="21"/>
      <c r="D462" s="21"/>
      <c r="E462" s="22"/>
      <c r="F462" s="22"/>
      <c r="G462" s="21"/>
      <c r="H462" s="21"/>
      <c r="I462" s="9" t="str">
        <f aca="false">IF(C462="","",IFERROR(INDEX(CLIENTES!$B$6:$B$305,MATCH(C462,CLIENTES!$A$6:$A$305,0)),"⚠ ID no registrado"))</f>
        <v/>
      </c>
      <c r="J462" s="9" t="str">
        <f aca="false">IF(C462="","",IFERROR(INDEX(CLIENTES!$Z$6:$Z$305,MATCH(C462,CLIENTES!$A$6:$A$305,0)),""))</f>
        <v/>
      </c>
      <c r="K462" s="9" t="str">
        <f aca="false">IF(E462="","",IF(AB462="Siempre","Sí",IF(ISNUMBER(AC462),IF(E462&gt;=AC462,"Sí",IF(AW462&gt;=AC462,"Sí (serie 24 h)","No")),"")))</f>
        <v/>
      </c>
      <c r="L462" s="9" t="str">
        <f aca="false">IF(E462="","",AA462)</f>
        <v/>
      </c>
      <c r="M462" s="9" t="str">
        <f aca="false">IF(E462="","",IF(AA462&lt;&gt;"ACUMULA","No aplica",IF(LEFT(K462,2)="Sí","Sí","No")))</f>
        <v/>
      </c>
      <c r="N462" s="23" t="str">
        <f aca="false">IF(M462="Sí",AJ462,"")</f>
        <v/>
      </c>
      <c r="O462" s="24" t="str">
        <f aca="false">IF(M462="Sí",AK462,"")</f>
        <v/>
      </c>
      <c r="P462" s="25" t="str">
        <f aca="false">IF(AND(LEFT(D462,6)="XIV - ",LEFT(AX462,5)="AVISO"),"Pedimento (R 16): no va al SPPLD",AX462)</f>
        <v/>
      </c>
      <c r="Q462" s="23" t="str">
        <f aca="false">IF(LEFT(P462,5)="AVISO",IF(ISNUMBER(B462),DATE(YEAR(B462),MONTH(B462)+1,17),"Falta fecha"),"")</f>
        <v/>
      </c>
      <c r="R462" s="9" t="str">
        <f aca="false">IF(OR(F462="",F462=0),"",IF(ISNUMBER(AG462),IF(F462&gt;=AG462,"PROHIBIDO","Dentro del límite"),"No aplica"))</f>
        <v/>
      </c>
      <c r="S462" s="26" t="str">
        <f aca="false">IF(E462="","",MID(IF(AQ462=1," · Excede el perfil declarado","")&amp;IF(H462="Sí"," · Paga un tercero","")&amp;IF(J462="Alto"," · Cliente de riesgo alto: DDR (RCG 23 Ter 3 y 4)","")&amp;IF(AND(AS462&lt;&gt;"",AS462&lt;&gt;"No",AS462&lt;&gt;0)," · PEP","")&amp;IF(R462="PROHIBIDO"," · Efectivo prohibido: no lo recibas (Art. 32)","")&amp;IF(AR462=1," · ⚠ Fecha fuera de orden","")&amp;IF(LEFT(I462,1)="⚠"," · ⚠ Cliente no registrado","")&amp;IF(D462=""," · ⚠ Falta la actividad","")&amp;IF(AND(LEFT(P462,5)="AVISO",W462="")," · Captura la cifra total con IVA para el Aviso","")&amp;IF(AND(ISNUMBER(W462),W462&lt;E462)," · ⚠ La cifra con IVA es menor que el monto sin IVA",""),4,400))</f>
        <v/>
      </c>
      <c r="T462" s="21"/>
      <c r="U462" s="20"/>
      <c r="V462" s="9" t="str">
        <f aca="false">IF(LEFT(P462,5)&lt;&gt;"AVISO","",IF(T462="Presentado",IF(AND(ISNUMBER(U462),ISNUMBER(Q462),U462&gt;Q462),"Presentado tarde","Presentado"),IF(NOT(ISNUMBER(Q462)),"Falta fecha",IF(Q462&lt;CONFIG!$B$6,"VENCIDO","Vence en "&amp;(Q462-CONFIG!$B$6)&amp;" días"))))</f>
        <v/>
      </c>
      <c r="W462" s="22"/>
      <c r="X462" s="21"/>
      <c r="AA462" s="0" t="str">
        <f aca="false">IF(AM462="","",INDEX(CATÁLOGO!$D$5:$D$39,AM462))</f>
        <v/>
      </c>
      <c r="AB462" s="0" t="str">
        <f aca="false">IF(AM462="","",INDEX(CATÁLOGO!$E$5:$E$39,AM462))</f>
        <v/>
      </c>
      <c r="AC462" s="0" t="str">
        <f aca="false">IF(AB462="","",IF(ISNUMBER(AB462),AB462*AV462,AB462))</f>
        <v/>
      </c>
      <c r="AD462" s="0" t="str">
        <f aca="false">IF(AM462="","",INDEX(CATÁLOGO!$F$5:$F$39,AM462))</f>
        <v/>
      </c>
      <c r="AE462" s="0" t="str">
        <f aca="false">IF(AD462="","",IF(ISNUMBER(AD462),AD462*AV462,AD462))</f>
        <v/>
      </c>
      <c r="AF462" s="0" t="str">
        <f aca="false">IF(AM462="","",INDEX(CATÁLOGO!$G$5:$G$39,AM462))</f>
        <v/>
      </c>
      <c r="AG462" s="0" t="str">
        <f aca="false">IF(AF462="","",IF(ISNUMBER(AF462),AF462*AV462,AF462))</f>
        <v/>
      </c>
      <c r="AH462" s="0" t="str">
        <f aca="false">IF(E462="","",C462&amp;"|"&amp;D462)</f>
        <v/>
      </c>
      <c r="AI462" s="27" t="n">
        <f aca="false">IF(M462&lt;&gt;"Sí",0,SUMPRODUCT(MAX(($AH$5:AH461=AH462)*($M$5:M461="Sí")*ROW($AH$5:AH461))))</f>
        <v>0</v>
      </c>
      <c r="AJ462" s="0" t="str">
        <f aca="false">IF(M462&lt;&gt;"Sí","",IF(AL462=1,B462,INDEX($AJ:$AJ,AI462)))</f>
        <v/>
      </c>
      <c r="AK462" s="0" t="str">
        <f aca="false">IF(M462&lt;&gt;"Sí","",IF(AL462=1,E462,INDEX($AK:$AK,AI462)+E462))</f>
        <v/>
      </c>
      <c r="AL462" s="0" t="str">
        <f aca="false">IF(M462&lt;&gt;"Sí","",IF(AI462=0,1,IF(INDEX($AN:$AN,AI462)=0,1,IF(B462&gt;=EDATE(INDEX($AJ:$AJ,AI462),6),1,0))))</f>
        <v/>
      </c>
      <c r="AM462" s="0" t="str">
        <f aca="false">IF(D462="","",IFERROR(MATCH(D462,CATÁLOGO!$C$5:$C$39,0),""))</f>
        <v/>
      </c>
      <c r="AN462" s="0" t="str">
        <f aca="false">IF(M462&lt;&gt;"Sí","",IF(AND(ISNUMBER(AE462),AK462&gt;=AE462),0,1))</f>
        <v/>
      </c>
      <c r="AO462" s="0" t="str">
        <f aca="false">IF(OR(E462="",C462="",NOT(ISNUMBER(B462))),"",SUMIFS($E$6:$E$505,$C$6:$C$505,C462,$B$6:$B$505,"&gt;="&amp;DATE(YEAR(B462),MONTH(B462),1),$B$6:$B$505,"&lt;"&amp;DATE(YEAR(B462),MONTH(B462)+1,1)))</f>
        <v/>
      </c>
      <c r="AP462" s="0" t="str">
        <f aca="false">IF(C462="","",IFERROR(INDEX(CLIENTES!$M$6:$M$305,MATCH(C462,CLIENTES!$A$6:$A$305,0)),""))</f>
        <v/>
      </c>
      <c r="AQ462" s="27" t="n">
        <f aca="false">IF(AND(ISNUMBER(AO462),ISNUMBER(AP462)),IF(AND(AP462&gt;0,AO462&gt;AP462),1,0),0)</f>
        <v>0</v>
      </c>
      <c r="AR462" s="27" t="n">
        <f aca="false">IF(NOT(ISNUMBER(B462)),0,IF(B462&lt;MAX($B$5:B461),1,0))</f>
        <v>0</v>
      </c>
      <c r="AS462" s="0" t="str">
        <f aca="false">IF(C462="","",IFERROR(INDEX(CLIENTES!$H$6:$H$305,MATCH(C462,CLIENTES!$A$6:$A$305,0)),""))</f>
        <v/>
      </c>
      <c r="AT462" s="0" t="str">
        <f aca="false">IF(AND(LEFT(P462,5)="AVISO",T462&lt;&gt;"Presentado",ISNUMBER(Q462)),Q462,"")</f>
        <v/>
      </c>
      <c r="AU462" s="27" t="n">
        <f aca="false">IF(AND(D462="XVI - Activos virtuales (PSAV): operación de intercambio/transferencia",M462="Sí",ISNUMBER(AE462)),IF(AK462&gt;=AE462,1,0),0)</f>
        <v>0</v>
      </c>
      <c r="AV462" s="30" t="n">
        <f aca="false">IF(NOT(ISNUMBER(B462)),CONFIG!$B$4,IFERROR(INDEX(CONFIG!$I$5:$I$14,MATCH(IF(MONTH(B462)=1,YEAR(B462)-1,YEAR(B462)),CONFIG!$H$5:$H$14,0)),CONFIG!$B$4))</f>
        <v>117.31</v>
      </c>
      <c r="AW462" s="27" t="n">
        <f aca="false">IF(AND(LEFT(D462,4)="I - ",ISNUMBER(B462),C462&lt;&gt;""),SUMIFS($E$6:$E$505,$C$6:$C$505,C462,$D$6:$D$505,D462,$B$6:$B$505,"&gt;"&amp;(B462-1),$B$6:$B$505,"&lt;="&amp;B462),0)</f>
        <v>0</v>
      </c>
      <c r="AX462" s="0" t="str">
        <f aca="false">IF(E462="","",IF(AD462="Siempre","AVISO (siempre)",IF(AD462="No aplica","Sin Aviso (sólo preparas: Ley 17 XI)",IF(NOT(ISNUMBER(AE462)),"",IF(AA462&lt;&gt;"ACUMULA",IF(E462&gt;=AE462,IF(AND(D462="XVI - Activos virtuales (PSAV): cobro de contraprestación (comisión) por el servicio",COUNTIFS($C$6:$C$505,C462,$B$6:$B$505,"&gt;="&amp;INT(B462),$B$6:$B$505,"&lt;"&amp;(INT(B462)+1),$AU$6:$AU$505,1)&gt;0),"En el Aviso del inciso a) (R 31 Bis)","AVISO"),"—"),IF(M462&lt;&gt;"Sí","—",IF(AK462&gt;=AE462,IF(AK462=E462,"AVISO","AVISO (acumulado)"),"Acumulando")))))))</f>
        <v/>
      </c>
    </row>
    <row r="463" customFormat="false" ht="15" hidden="false" customHeight="false" outlineLevel="0" collapsed="false">
      <c r="A463" s="9" t="str">
        <f aca="false">IF(E463="","",ROW()-5)</f>
        <v/>
      </c>
      <c r="B463" s="20"/>
      <c r="C463" s="21"/>
      <c r="D463" s="21"/>
      <c r="E463" s="22"/>
      <c r="F463" s="22"/>
      <c r="G463" s="21"/>
      <c r="H463" s="21"/>
      <c r="I463" s="9" t="str">
        <f aca="false">IF(C463="","",IFERROR(INDEX(CLIENTES!$B$6:$B$305,MATCH(C463,CLIENTES!$A$6:$A$305,0)),"⚠ ID no registrado"))</f>
        <v/>
      </c>
      <c r="J463" s="9" t="str">
        <f aca="false">IF(C463="","",IFERROR(INDEX(CLIENTES!$Z$6:$Z$305,MATCH(C463,CLIENTES!$A$6:$A$305,0)),""))</f>
        <v/>
      </c>
      <c r="K463" s="9" t="str">
        <f aca="false">IF(E463="","",IF(AB463="Siempre","Sí",IF(ISNUMBER(AC463),IF(E463&gt;=AC463,"Sí",IF(AW463&gt;=AC463,"Sí (serie 24 h)","No")),"")))</f>
        <v/>
      </c>
      <c r="L463" s="9" t="str">
        <f aca="false">IF(E463="","",AA463)</f>
        <v/>
      </c>
      <c r="M463" s="9" t="str">
        <f aca="false">IF(E463="","",IF(AA463&lt;&gt;"ACUMULA","No aplica",IF(LEFT(K463,2)="Sí","Sí","No")))</f>
        <v/>
      </c>
      <c r="N463" s="23" t="str">
        <f aca="false">IF(M463="Sí",AJ463,"")</f>
        <v/>
      </c>
      <c r="O463" s="24" t="str">
        <f aca="false">IF(M463="Sí",AK463,"")</f>
        <v/>
      </c>
      <c r="P463" s="25" t="str">
        <f aca="false">IF(AND(LEFT(D463,6)="XIV - ",LEFT(AX463,5)="AVISO"),"Pedimento (R 16): no va al SPPLD",AX463)</f>
        <v/>
      </c>
      <c r="Q463" s="23" t="str">
        <f aca="false">IF(LEFT(P463,5)="AVISO",IF(ISNUMBER(B463),DATE(YEAR(B463),MONTH(B463)+1,17),"Falta fecha"),"")</f>
        <v/>
      </c>
      <c r="R463" s="9" t="str">
        <f aca="false">IF(OR(F463="",F463=0),"",IF(ISNUMBER(AG463),IF(F463&gt;=AG463,"PROHIBIDO","Dentro del límite"),"No aplica"))</f>
        <v/>
      </c>
      <c r="S463" s="26" t="str">
        <f aca="false">IF(E463="","",MID(IF(AQ463=1," · Excede el perfil declarado","")&amp;IF(H463="Sí"," · Paga un tercero","")&amp;IF(J463="Alto"," · Cliente de riesgo alto: DDR (RCG 23 Ter 3 y 4)","")&amp;IF(AND(AS463&lt;&gt;"",AS463&lt;&gt;"No",AS463&lt;&gt;0)," · PEP","")&amp;IF(R463="PROHIBIDO"," · Efectivo prohibido: no lo recibas (Art. 32)","")&amp;IF(AR463=1," · ⚠ Fecha fuera de orden","")&amp;IF(LEFT(I463,1)="⚠"," · ⚠ Cliente no registrado","")&amp;IF(D463=""," · ⚠ Falta la actividad","")&amp;IF(AND(LEFT(P463,5)="AVISO",W463="")," · Captura la cifra total con IVA para el Aviso","")&amp;IF(AND(ISNUMBER(W463),W463&lt;E463)," · ⚠ La cifra con IVA es menor que el monto sin IVA",""),4,400))</f>
        <v/>
      </c>
      <c r="T463" s="21"/>
      <c r="U463" s="20"/>
      <c r="V463" s="9" t="str">
        <f aca="false">IF(LEFT(P463,5)&lt;&gt;"AVISO","",IF(T463="Presentado",IF(AND(ISNUMBER(U463),ISNUMBER(Q463),U463&gt;Q463),"Presentado tarde","Presentado"),IF(NOT(ISNUMBER(Q463)),"Falta fecha",IF(Q463&lt;CONFIG!$B$6,"VENCIDO","Vence en "&amp;(Q463-CONFIG!$B$6)&amp;" días"))))</f>
        <v/>
      </c>
      <c r="W463" s="22"/>
      <c r="X463" s="21"/>
      <c r="AA463" s="0" t="str">
        <f aca="false">IF(AM463="","",INDEX(CATÁLOGO!$D$5:$D$39,AM463))</f>
        <v/>
      </c>
      <c r="AB463" s="0" t="str">
        <f aca="false">IF(AM463="","",INDEX(CATÁLOGO!$E$5:$E$39,AM463))</f>
        <v/>
      </c>
      <c r="AC463" s="0" t="str">
        <f aca="false">IF(AB463="","",IF(ISNUMBER(AB463),AB463*AV463,AB463))</f>
        <v/>
      </c>
      <c r="AD463" s="0" t="str">
        <f aca="false">IF(AM463="","",INDEX(CATÁLOGO!$F$5:$F$39,AM463))</f>
        <v/>
      </c>
      <c r="AE463" s="0" t="str">
        <f aca="false">IF(AD463="","",IF(ISNUMBER(AD463),AD463*AV463,AD463))</f>
        <v/>
      </c>
      <c r="AF463" s="0" t="str">
        <f aca="false">IF(AM463="","",INDEX(CATÁLOGO!$G$5:$G$39,AM463))</f>
        <v/>
      </c>
      <c r="AG463" s="0" t="str">
        <f aca="false">IF(AF463="","",IF(ISNUMBER(AF463),AF463*AV463,AF463))</f>
        <v/>
      </c>
      <c r="AH463" s="0" t="str">
        <f aca="false">IF(E463="","",C463&amp;"|"&amp;D463)</f>
        <v/>
      </c>
      <c r="AI463" s="27" t="n">
        <f aca="false">IF(M463&lt;&gt;"Sí",0,SUMPRODUCT(MAX(($AH$5:AH462=AH463)*($M$5:M462="Sí")*ROW($AH$5:AH462))))</f>
        <v>0</v>
      </c>
      <c r="AJ463" s="0" t="str">
        <f aca="false">IF(M463&lt;&gt;"Sí","",IF(AL463=1,B463,INDEX($AJ:$AJ,AI463)))</f>
        <v/>
      </c>
      <c r="AK463" s="0" t="str">
        <f aca="false">IF(M463&lt;&gt;"Sí","",IF(AL463=1,E463,INDEX($AK:$AK,AI463)+E463))</f>
        <v/>
      </c>
      <c r="AL463" s="0" t="str">
        <f aca="false">IF(M463&lt;&gt;"Sí","",IF(AI463=0,1,IF(INDEX($AN:$AN,AI463)=0,1,IF(B463&gt;=EDATE(INDEX($AJ:$AJ,AI463),6),1,0))))</f>
        <v/>
      </c>
      <c r="AM463" s="0" t="str">
        <f aca="false">IF(D463="","",IFERROR(MATCH(D463,CATÁLOGO!$C$5:$C$39,0),""))</f>
        <v/>
      </c>
      <c r="AN463" s="0" t="str">
        <f aca="false">IF(M463&lt;&gt;"Sí","",IF(AND(ISNUMBER(AE463),AK463&gt;=AE463),0,1))</f>
        <v/>
      </c>
      <c r="AO463" s="0" t="str">
        <f aca="false">IF(OR(E463="",C463="",NOT(ISNUMBER(B463))),"",SUMIFS($E$6:$E$505,$C$6:$C$505,C463,$B$6:$B$505,"&gt;="&amp;DATE(YEAR(B463),MONTH(B463),1),$B$6:$B$505,"&lt;"&amp;DATE(YEAR(B463),MONTH(B463)+1,1)))</f>
        <v/>
      </c>
      <c r="AP463" s="0" t="str">
        <f aca="false">IF(C463="","",IFERROR(INDEX(CLIENTES!$M$6:$M$305,MATCH(C463,CLIENTES!$A$6:$A$305,0)),""))</f>
        <v/>
      </c>
      <c r="AQ463" s="27" t="n">
        <f aca="false">IF(AND(ISNUMBER(AO463),ISNUMBER(AP463)),IF(AND(AP463&gt;0,AO463&gt;AP463),1,0),0)</f>
        <v>0</v>
      </c>
      <c r="AR463" s="27" t="n">
        <f aca="false">IF(NOT(ISNUMBER(B463)),0,IF(B463&lt;MAX($B$5:B462),1,0))</f>
        <v>0</v>
      </c>
      <c r="AS463" s="0" t="str">
        <f aca="false">IF(C463="","",IFERROR(INDEX(CLIENTES!$H$6:$H$305,MATCH(C463,CLIENTES!$A$6:$A$305,0)),""))</f>
        <v/>
      </c>
      <c r="AT463" s="0" t="str">
        <f aca="false">IF(AND(LEFT(P463,5)="AVISO",T463&lt;&gt;"Presentado",ISNUMBER(Q463)),Q463,"")</f>
        <v/>
      </c>
      <c r="AU463" s="27" t="n">
        <f aca="false">IF(AND(D463="XVI - Activos virtuales (PSAV): operación de intercambio/transferencia",M463="Sí",ISNUMBER(AE463)),IF(AK463&gt;=AE463,1,0),0)</f>
        <v>0</v>
      </c>
      <c r="AV463" s="30" t="n">
        <f aca="false">IF(NOT(ISNUMBER(B463)),CONFIG!$B$4,IFERROR(INDEX(CONFIG!$I$5:$I$14,MATCH(IF(MONTH(B463)=1,YEAR(B463)-1,YEAR(B463)),CONFIG!$H$5:$H$14,0)),CONFIG!$B$4))</f>
        <v>117.31</v>
      </c>
      <c r="AW463" s="27" t="n">
        <f aca="false">IF(AND(LEFT(D463,4)="I - ",ISNUMBER(B463),C463&lt;&gt;""),SUMIFS($E$6:$E$505,$C$6:$C$505,C463,$D$6:$D$505,D463,$B$6:$B$505,"&gt;"&amp;(B463-1),$B$6:$B$505,"&lt;="&amp;B463),0)</f>
        <v>0</v>
      </c>
      <c r="AX463" s="0" t="str">
        <f aca="false">IF(E463="","",IF(AD463="Siempre","AVISO (siempre)",IF(AD463="No aplica","Sin Aviso (sólo preparas: Ley 17 XI)",IF(NOT(ISNUMBER(AE463)),"",IF(AA463&lt;&gt;"ACUMULA",IF(E463&gt;=AE463,IF(AND(D463="XVI - Activos virtuales (PSAV): cobro de contraprestación (comisión) por el servicio",COUNTIFS($C$6:$C$505,C463,$B$6:$B$505,"&gt;="&amp;INT(B463),$B$6:$B$505,"&lt;"&amp;(INT(B463)+1),$AU$6:$AU$505,1)&gt;0),"En el Aviso del inciso a) (R 31 Bis)","AVISO"),"—"),IF(M463&lt;&gt;"Sí","—",IF(AK463&gt;=AE463,IF(AK463=E463,"AVISO","AVISO (acumulado)"),"Acumulando")))))))</f>
        <v/>
      </c>
    </row>
    <row r="464" customFormat="false" ht="15" hidden="false" customHeight="false" outlineLevel="0" collapsed="false">
      <c r="A464" s="9" t="str">
        <f aca="false">IF(E464="","",ROW()-5)</f>
        <v/>
      </c>
      <c r="B464" s="20"/>
      <c r="C464" s="21"/>
      <c r="D464" s="21"/>
      <c r="E464" s="22"/>
      <c r="F464" s="22"/>
      <c r="G464" s="21"/>
      <c r="H464" s="21"/>
      <c r="I464" s="9" t="str">
        <f aca="false">IF(C464="","",IFERROR(INDEX(CLIENTES!$B$6:$B$305,MATCH(C464,CLIENTES!$A$6:$A$305,0)),"⚠ ID no registrado"))</f>
        <v/>
      </c>
      <c r="J464" s="9" t="str">
        <f aca="false">IF(C464="","",IFERROR(INDEX(CLIENTES!$Z$6:$Z$305,MATCH(C464,CLIENTES!$A$6:$A$305,0)),""))</f>
        <v/>
      </c>
      <c r="K464" s="9" t="str">
        <f aca="false">IF(E464="","",IF(AB464="Siempre","Sí",IF(ISNUMBER(AC464),IF(E464&gt;=AC464,"Sí",IF(AW464&gt;=AC464,"Sí (serie 24 h)","No")),"")))</f>
        <v/>
      </c>
      <c r="L464" s="9" t="str">
        <f aca="false">IF(E464="","",AA464)</f>
        <v/>
      </c>
      <c r="M464" s="9" t="str">
        <f aca="false">IF(E464="","",IF(AA464&lt;&gt;"ACUMULA","No aplica",IF(LEFT(K464,2)="Sí","Sí","No")))</f>
        <v/>
      </c>
      <c r="N464" s="23" t="str">
        <f aca="false">IF(M464="Sí",AJ464,"")</f>
        <v/>
      </c>
      <c r="O464" s="24" t="str">
        <f aca="false">IF(M464="Sí",AK464,"")</f>
        <v/>
      </c>
      <c r="P464" s="25" t="str">
        <f aca="false">IF(AND(LEFT(D464,6)="XIV - ",LEFT(AX464,5)="AVISO"),"Pedimento (R 16): no va al SPPLD",AX464)</f>
        <v/>
      </c>
      <c r="Q464" s="23" t="str">
        <f aca="false">IF(LEFT(P464,5)="AVISO",IF(ISNUMBER(B464),DATE(YEAR(B464),MONTH(B464)+1,17),"Falta fecha"),"")</f>
        <v/>
      </c>
      <c r="R464" s="9" t="str">
        <f aca="false">IF(OR(F464="",F464=0),"",IF(ISNUMBER(AG464),IF(F464&gt;=AG464,"PROHIBIDO","Dentro del límite"),"No aplica"))</f>
        <v/>
      </c>
      <c r="S464" s="26" t="str">
        <f aca="false">IF(E464="","",MID(IF(AQ464=1," · Excede el perfil declarado","")&amp;IF(H464="Sí"," · Paga un tercero","")&amp;IF(J464="Alto"," · Cliente de riesgo alto: DDR (RCG 23 Ter 3 y 4)","")&amp;IF(AND(AS464&lt;&gt;"",AS464&lt;&gt;"No",AS464&lt;&gt;0)," · PEP","")&amp;IF(R464="PROHIBIDO"," · Efectivo prohibido: no lo recibas (Art. 32)","")&amp;IF(AR464=1," · ⚠ Fecha fuera de orden","")&amp;IF(LEFT(I464,1)="⚠"," · ⚠ Cliente no registrado","")&amp;IF(D464=""," · ⚠ Falta la actividad","")&amp;IF(AND(LEFT(P464,5)="AVISO",W464="")," · Captura la cifra total con IVA para el Aviso","")&amp;IF(AND(ISNUMBER(W464),W464&lt;E464)," · ⚠ La cifra con IVA es menor que el monto sin IVA",""),4,400))</f>
        <v/>
      </c>
      <c r="T464" s="21"/>
      <c r="U464" s="20"/>
      <c r="V464" s="9" t="str">
        <f aca="false">IF(LEFT(P464,5)&lt;&gt;"AVISO","",IF(T464="Presentado",IF(AND(ISNUMBER(U464),ISNUMBER(Q464),U464&gt;Q464),"Presentado tarde","Presentado"),IF(NOT(ISNUMBER(Q464)),"Falta fecha",IF(Q464&lt;CONFIG!$B$6,"VENCIDO","Vence en "&amp;(Q464-CONFIG!$B$6)&amp;" días"))))</f>
        <v/>
      </c>
      <c r="W464" s="22"/>
      <c r="X464" s="21"/>
      <c r="AA464" s="0" t="str">
        <f aca="false">IF(AM464="","",INDEX(CATÁLOGO!$D$5:$D$39,AM464))</f>
        <v/>
      </c>
      <c r="AB464" s="0" t="str">
        <f aca="false">IF(AM464="","",INDEX(CATÁLOGO!$E$5:$E$39,AM464))</f>
        <v/>
      </c>
      <c r="AC464" s="0" t="str">
        <f aca="false">IF(AB464="","",IF(ISNUMBER(AB464),AB464*AV464,AB464))</f>
        <v/>
      </c>
      <c r="AD464" s="0" t="str">
        <f aca="false">IF(AM464="","",INDEX(CATÁLOGO!$F$5:$F$39,AM464))</f>
        <v/>
      </c>
      <c r="AE464" s="0" t="str">
        <f aca="false">IF(AD464="","",IF(ISNUMBER(AD464),AD464*AV464,AD464))</f>
        <v/>
      </c>
      <c r="AF464" s="0" t="str">
        <f aca="false">IF(AM464="","",INDEX(CATÁLOGO!$G$5:$G$39,AM464))</f>
        <v/>
      </c>
      <c r="AG464" s="0" t="str">
        <f aca="false">IF(AF464="","",IF(ISNUMBER(AF464),AF464*AV464,AF464))</f>
        <v/>
      </c>
      <c r="AH464" s="0" t="str">
        <f aca="false">IF(E464="","",C464&amp;"|"&amp;D464)</f>
        <v/>
      </c>
      <c r="AI464" s="27" t="n">
        <f aca="false">IF(M464&lt;&gt;"Sí",0,SUMPRODUCT(MAX(($AH$5:AH463=AH464)*($M$5:M463="Sí")*ROW($AH$5:AH463))))</f>
        <v>0</v>
      </c>
      <c r="AJ464" s="0" t="str">
        <f aca="false">IF(M464&lt;&gt;"Sí","",IF(AL464=1,B464,INDEX($AJ:$AJ,AI464)))</f>
        <v/>
      </c>
      <c r="AK464" s="0" t="str">
        <f aca="false">IF(M464&lt;&gt;"Sí","",IF(AL464=1,E464,INDEX($AK:$AK,AI464)+E464))</f>
        <v/>
      </c>
      <c r="AL464" s="0" t="str">
        <f aca="false">IF(M464&lt;&gt;"Sí","",IF(AI464=0,1,IF(INDEX($AN:$AN,AI464)=0,1,IF(B464&gt;=EDATE(INDEX($AJ:$AJ,AI464),6),1,0))))</f>
        <v/>
      </c>
      <c r="AM464" s="0" t="str">
        <f aca="false">IF(D464="","",IFERROR(MATCH(D464,CATÁLOGO!$C$5:$C$39,0),""))</f>
        <v/>
      </c>
      <c r="AN464" s="0" t="str">
        <f aca="false">IF(M464&lt;&gt;"Sí","",IF(AND(ISNUMBER(AE464),AK464&gt;=AE464),0,1))</f>
        <v/>
      </c>
      <c r="AO464" s="0" t="str">
        <f aca="false">IF(OR(E464="",C464="",NOT(ISNUMBER(B464))),"",SUMIFS($E$6:$E$505,$C$6:$C$505,C464,$B$6:$B$505,"&gt;="&amp;DATE(YEAR(B464),MONTH(B464),1),$B$6:$B$505,"&lt;"&amp;DATE(YEAR(B464),MONTH(B464)+1,1)))</f>
        <v/>
      </c>
      <c r="AP464" s="0" t="str">
        <f aca="false">IF(C464="","",IFERROR(INDEX(CLIENTES!$M$6:$M$305,MATCH(C464,CLIENTES!$A$6:$A$305,0)),""))</f>
        <v/>
      </c>
      <c r="AQ464" s="27" t="n">
        <f aca="false">IF(AND(ISNUMBER(AO464),ISNUMBER(AP464)),IF(AND(AP464&gt;0,AO464&gt;AP464),1,0),0)</f>
        <v>0</v>
      </c>
      <c r="AR464" s="27" t="n">
        <f aca="false">IF(NOT(ISNUMBER(B464)),0,IF(B464&lt;MAX($B$5:B463),1,0))</f>
        <v>0</v>
      </c>
      <c r="AS464" s="0" t="str">
        <f aca="false">IF(C464="","",IFERROR(INDEX(CLIENTES!$H$6:$H$305,MATCH(C464,CLIENTES!$A$6:$A$305,0)),""))</f>
        <v/>
      </c>
      <c r="AT464" s="0" t="str">
        <f aca="false">IF(AND(LEFT(P464,5)="AVISO",T464&lt;&gt;"Presentado",ISNUMBER(Q464)),Q464,"")</f>
        <v/>
      </c>
      <c r="AU464" s="27" t="n">
        <f aca="false">IF(AND(D464="XVI - Activos virtuales (PSAV): operación de intercambio/transferencia",M464="Sí",ISNUMBER(AE464)),IF(AK464&gt;=AE464,1,0),0)</f>
        <v>0</v>
      </c>
      <c r="AV464" s="30" t="n">
        <f aca="false">IF(NOT(ISNUMBER(B464)),CONFIG!$B$4,IFERROR(INDEX(CONFIG!$I$5:$I$14,MATCH(IF(MONTH(B464)=1,YEAR(B464)-1,YEAR(B464)),CONFIG!$H$5:$H$14,0)),CONFIG!$B$4))</f>
        <v>117.31</v>
      </c>
      <c r="AW464" s="27" t="n">
        <f aca="false">IF(AND(LEFT(D464,4)="I - ",ISNUMBER(B464),C464&lt;&gt;""),SUMIFS($E$6:$E$505,$C$6:$C$505,C464,$D$6:$D$505,D464,$B$6:$B$505,"&gt;"&amp;(B464-1),$B$6:$B$505,"&lt;="&amp;B464),0)</f>
        <v>0</v>
      </c>
      <c r="AX464" s="0" t="str">
        <f aca="false">IF(E464="","",IF(AD464="Siempre","AVISO (siempre)",IF(AD464="No aplica","Sin Aviso (sólo preparas: Ley 17 XI)",IF(NOT(ISNUMBER(AE464)),"",IF(AA464&lt;&gt;"ACUMULA",IF(E464&gt;=AE464,IF(AND(D464="XVI - Activos virtuales (PSAV): cobro de contraprestación (comisión) por el servicio",COUNTIFS($C$6:$C$505,C464,$B$6:$B$505,"&gt;="&amp;INT(B464),$B$6:$B$505,"&lt;"&amp;(INT(B464)+1),$AU$6:$AU$505,1)&gt;0),"En el Aviso del inciso a) (R 31 Bis)","AVISO"),"—"),IF(M464&lt;&gt;"Sí","—",IF(AK464&gt;=AE464,IF(AK464=E464,"AVISO","AVISO (acumulado)"),"Acumulando")))))))</f>
        <v/>
      </c>
    </row>
    <row r="465" customFormat="false" ht="15" hidden="false" customHeight="false" outlineLevel="0" collapsed="false">
      <c r="A465" s="9" t="str">
        <f aca="false">IF(E465="","",ROW()-5)</f>
        <v/>
      </c>
      <c r="B465" s="20"/>
      <c r="C465" s="21"/>
      <c r="D465" s="21"/>
      <c r="E465" s="22"/>
      <c r="F465" s="22"/>
      <c r="G465" s="21"/>
      <c r="H465" s="21"/>
      <c r="I465" s="9" t="str">
        <f aca="false">IF(C465="","",IFERROR(INDEX(CLIENTES!$B$6:$B$305,MATCH(C465,CLIENTES!$A$6:$A$305,0)),"⚠ ID no registrado"))</f>
        <v/>
      </c>
      <c r="J465" s="9" t="str">
        <f aca="false">IF(C465="","",IFERROR(INDEX(CLIENTES!$Z$6:$Z$305,MATCH(C465,CLIENTES!$A$6:$A$305,0)),""))</f>
        <v/>
      </c>
      <c r="K465" s="9" t="str">
        <f aca="false">IF(E465="","",IF(AB465="Siempre","Sí",IF(ISNUMBER(AC465),IF(E465&gt;=AC465,"Sí",IF(AW465&gt;=AC465,"Sí (serie 24 h)","No")),"")))</f>
        <v/>
      </c>
      <c r="L465" s="9" t="str">
        <f aca="false">IF(E465="","",AA465)</f>
        <v/>
      </c>
      <c r="M465" s="9" t="str">
        <f aca="false">IF(E465="","",IF(AA465&lt;&gt;"ACUMULA","No aplica",IF(LEFT(K465,2)="Sí","Sí","No")))</f>
        <v/>
      </c>
      <c r="N465" s="23" t="str">
        <f aca="false">IF(M465="Sí",AJ465,"")</f>
        <v/>
      </c>
      <c r="O465" s="24" t="str">
        <f aca="false">IF(M465="Sí",AK465,"")</f>
        <v/>
      </c>
      <c r="P465" s="25" t="str">
        <f aca="false">IF(AND(LEFT(D465,6)="XIV - ",LEFT(AX465,5)="AVISO"),"Pedimento (R 16): no va al SPPLD",AX465)</f>
        <v/>
      </c>
      <c r="Q465" s="23" t="str">
        <f aca="false">IF(LEFT(P465,5)="AVISO",IF(ISNUMBER(B465),DATE(YEAR(B465),MONTH(B465)+1,17),"Falta fecha"),"")</f>
        <v/>
      </c>
      <c r="R465" s="9" t="str">
        <f aca="false">IF(OR(F465="",F465=0),"",IF(ISNUMBER(AG465),IF(F465&gt;=AG465,"PROHIBIDO","Dentro del límite"),"No aplica"))</f>
        <v/>
      </c>
      <c r="S465" s="26" t="str">
        <f aca="false">IF(E465="","",MID(IF(AQ465=1," · Excede el perfil declarado","")&amp;IF(H465="Sí"," · Paga un tercero","")&amp;IF(J465="Alto"," · Cliente de riesgo alto: DDR (RCG 23 Ter 3 y 4)","")&amp;IF(AND(AS465&lt;&gt;"",AS465&lt;&gt;"No",AS465&lt;&gt;0)," · PEP","")&amp;IF(R465="PROHIBIDO"," · Efectivo prohibido: no lo recibas (Art. 32)","")&amp;IF(AR465=1," · ⚠ Fecha fuera de orden","")&amp;IF(LEFT(I465,1)="⚠"," · ⚠ Cliente no registrado","")&amp;IF(D465=""," · ⚠ Falta la actividad","")&amp;IF(AND(LEFT(P465,5)="AVISO",W465="")," · Captura la cifra total con IVA para el Aviso","")&amp;IF(AND(ISNUMBER(W465),W465&lt;E465)," · ⚠ La cifra con IVA es menor que el monto sin IVA",""),4,400))</f>
        <v/>
      </c>
      <c r="T465" s="21"/>
      <c r="U465" s="20"/>
      <c r="V465" s="9" t="str">
        <f aca="false">IF(LEFT(P465,5)&lt;&gt;"AVISO","",IF(T465="Presentado",IF(AND(ISNUMBER(U465),ISNUMBER(Q465),U465&gt;Q465),"Presentado tarde","Presentado"),IF(NOT(ISNUMBER(Q465)),"Falta fecha",IF(Q465&lt;CONFIG!$B$6,"VENCIDO","Vence en "&amp;(Q465-CONFIG!$B$6)&amp;" días"))))</f>
        <v/>
      </c>
      <c r="W465" s="22"/>
      <c r="X465" s="21"/>
      <c r="AA465" s="0" t="str">
        <f aca="false">IF(AM465="","",INDEX(CATÁLOGO!$D$5:$D$39,AM465))</f>
        <v/>
      </c>
      <c r="AB465" s="0" t="str">
        <f aca="false">IF(AM465="","",INDEX(CATÁLOGO!$E$5:$E$39,AM465))</f>
        <v/>
      </c>
      <c r="AC465" s="0" t="str">
        <f aca="false">IF(AB465="","",IF(ISNUMBER(AB465),AB465*AV465,AB465))</f>
        <v/>
      </c>
      <c r="AD465" s="0" t="str">
        <f aca="false">IF(AM465="","",INDEX(CATÁLOGO!$F$5:$F$39,AM465))</f>
        <v/>
      </c>
      <c r="AE465" s="0" t="str">
        <f aca="false">IF(AD465="","",IF(ISNUMBER(AD465),AD465*AV465,AD465))</f>
        <v/>
      </c>
      <c r="AF465" s="0" t="str">
        <f aca="false">IF(AM465="","",INDEX(CATÁLOGO!$G$5:$G$39,AM465))</f>
        <v/>
      </c>
      <c r="AG465" s="0" t="str">
        <f aca="false">IF(AF465="","",IF(ISNUMBER(AF465),AF465*AV465,AF465))</f>
        <v/>
      </c>
      <c r="AH465" s="0" t="str">
        <f aca="false">IF(E465="","",C465&amp;"|"&amp;D465)</f>
        <v/>
      </c>
      <c r="AI465" s="27" t="n">
        <f aca="false">IF(M465&lt;&gt;"Sí",0,SUMPRODUCT(MAX(($AH$5:AH464=AH465)*($M$5:M464="Sí")*ROW($AH$5:AH464))))</f>
        <v>0</v>
      </c>
      <c r="AJ465" s="0" t="str">
        <f aca="false">IF(M465&lt;&gt;"Sí","",IF(AL465=1,B465,INDEX($AJ:$AJ,AI465)))</f>
        <v/>
      </c>
      <c r="AK465" s="0" t="str">
        <f aca="false">IF(M465&lt;&gt;"Sí","",IF(AL465=1,E465,INDEX($AK:$AK,AI465)+E465))</f>
        <v/>
      </c>
      <c r="AL465" s="0" t="str">
        <f aca="false">IF(M465&lt;&gt;"Sí","",IF(AI465=0,1,IF(INDEX($AN:$AN,AI465)=0,1,IF(B465&gt;=EDATE(INDEX($AJ:$AJ,AI465),6),1,0))))</f>
        <v/>
      </c>
      <c r="AM465" s="0" t="str">
        <f aca="false">IF(D465="","",IFERROR(MATCH(D465,CATÁLOGO!$C$5:$C$39,0),""))</f>
        <v/>
      </c>
      <c r="AN465" s="0" t="str">
        <f aca="false">IF(M465&lt;&gt;"Sí","",IF(AND(ISNUMBER(AE465),AK465&gt;=AE465),0,1))</f>
        <v/>
      </c>
      <c r="AO465" s="0" t="str">
        <f aca="false">IF(OR(E465="",C465="",NOT(ISNUMBER(B465))),"",SUMIFS($E$6:$E$505,$C$6:$C$505,C465,$B$6:$B$505,"&gt;="&amp;DATE(YEAR(B465),MONTH(B465),1),$B$6:$B$505,"&lt;"&amp;DATE(YEAR(B465),MONTH(B465)+1,1)))</f>
        <v/>
      </c>
      <c r="AP465" s="0" t="str">
        <f aca="false">IF(C465="","",IFERROR(INDEX(CLIENTES!$M$6:$M$305,MATCH(C465,CLIENTES!$A$6:$A$305,0)),""))</f>
        <v/>
      </c>
      <c r="AQ465" s="27" t="n">
        <f aca="false">IF(AND(ISNUMBER(AO465),ISNUMBER(AP465)),IF(AND(AP465&gt;0,AO465&gt;AP465),1,0),0)</f>
        <v>0</v>
      </c>
      <c r="AR465" s="27" t="n">
        <f aca="false">IF(NOT(ISNUMBER(B465)),0,IF(B465&lt;MAX($B$5:B464),1,0))</f>
        <v>0</v>
      </c>
      <c r="AS465" s="0" t="str">
        <f aca="false">IF(C465="","",IFERROR(INDEX(CLIENTES!$H$6:$H$305,MATCH(C465,CLIENTES!$A$6:$A$305,0)),""))</f>
        <v/>
      </c>
      <c r="AT465" s="0" t="str">
        <f aca="false">IF(AND(LEFT(P465,5)="AVISO",T465&lt;&gt;"Presentado",ISNUMBER(Q465)),Q465,"")</f>
        <v/>
      </c>
      <c r="AU465" s="27" t="n">
        <f aca="false">IF(AND(D465="XVI - Activos virtuales (PSAV): operación de intercambio/transferencia",M465="Sí",ISNUMBER(AE465)),IF(AK465&gt;=AE465,1,0),0)</f>
        <v>0</v>
      </c>
      <c r="AV465" s="30" t="n">
        <f aca="false">IF(NOT(ISNUMBER(B465)),CONFIG!$B$4,IFERROR(INDEX(CONFIG!$I$5:$I$14,MATCH(IF(MONTH(B465)=1,YEAR(B465)-1,YEAR(B465)),CONFIG!$H$5:$H$14,0)),CONFIG!$B$4))</f>
        <v>117.31</v>
      </c>
      <c r="AW465" s="27" t="n">
        <f aca="false">IF(AND(LEFT(D465,4)="I - ",ISNUMBER(B465),C465&lt;&gt;""),SUMIFS($E$6:$E$505,$C$6:$C$505,C465,$D$6:$D$505,D465,$B$6:$B$505,"&gt;"&amp;(B465-1),$B$6:$B$505,"&lt;="&amp;B465),0)</f>
        <v>0</v>
      </c>
      <c r="AX465" s="0" t="str">
        <f aca="false">IF(E465="","",IF(AD465="Siempre","AVISO (siempre)",IF(AD465="No aplica","Sin Aviso (sólo preparas: Ley 17 XI)",IF(NOT(ISNUMBER(AE465)),"",IF(AA465&lt;&gt;"ACUMULA",IF(E465&gt;=AE465,IF(AND(D465="XVI - Activos virtuales (PSAV): cobro de contraprestación (comisión) por el servicio",COUNTIFS($C$6:$C$505,C465,$B$6:$B$505,"&gt;="&amp;INT(B465),$B$6:$B$505,"&lt;"&amp;(INT(B465)+1),$AU$6:$AU$505,1)&gt;0),"En el Aviso del inciso a) (R 31 Bis)","AVISO"),"—"),IF(M465&lt;&gt;"Sí","—",IF(AK465&gt;=AE465,IF(AK465=E465,"AVISO","AVISO (acumulado)"),"Acumulando")))))))</f>
        <v/>
      </c>
    </row>
    <row r="466" customFormat="false" ht="15" hidden="false" customHeight="false" outlineLevel="0" collapsed="false">
      <c r="A466" s="9" t="str">
        <f aca="false">IF(E466="","",ROW()-5)</f>
        <v/>
      </c>
      <c r="B466" s="20"/>
      <c r="C466" s="21"/>
      <c r="D466" s="21"/>
      <c r="E466" s="22"/>
      <c r="F466" s="22"/>
      <c r="G466" s="21"/>
      <c r="H466" s="21"/>
      <c r="I466" s="9" t="str">
        <f aca="false">IF(C466="","",IFERROR(INDEX(CLIENTES!$B$6:$B$305,MATCH(C466,CLIENTES!$A$6:$A$305,0)),"⚠ ID no registrado"))</f>
        <v/>
      </c>
      <c r="J466" s="9" t="str">
        <f aca="false">IF(C466="","",IFERROR(INDEX(CLIENTES!$Z$6:$Z$305,MATCH(C466,CLIENTES!$A$6:$A$305,0)),""))</f>
        <v/>
      </c>
      <c r="K466" s="9" t="str">
        <f aca="false">IF(E466="","",IF(AB466="Siempre","Sí",IF(ISNUMBER(AC466),IF(E466&gt;=AC466,"Sí",IF(AW466&gt;=AC466,"Sí (serie 24 h)","No")),"")))</f>
        <v/>
      </c>
      <c r="L466" s="9" t="str">
        <f aca="false">IF(E466="","",AA466)</f>
        <v/>
      </c>
      <c r="M466" s="9" t="str">
        <f aca="false">IF(E466="","",IF(AA466&lt;&gt;"ACUMULA","No aplica",IF(LEFT(K466,2)="Sí","Sí","No")))</f>
        <v/>
      </c>
      <c r="N466" s="23" t="str">
        <f aca="false">IF(M466="Sí",AJ466,"")</f>
        <v/>
      </c>
      <c r="O466" s="24" t="str">
        <f aca="false">IF(M466="Sí",AK466,"")</f>
        <v/>
      </c>
      <c r="P466" s="25" t="str">
        <f aca="false">IF(AND(LEFT(D466,6)="XIV - ",LEFT(AX466,5)="AVISO"),"Pedimento (R 16): no va al SPPLD",AX466)</f>
        <v/>
      </c>
      <c r="Q466" s="23" t="str">
        <f aca="false">IF(LEFT(P466,5)="AVISO",IF(ISNUMBER(B466),DATE(YEAR(B466),MONTH(B466)+1,17),"Falta fecha"),"")</f>
        <v/>
      </c>
      <c r="R466" s="9" t="str">
        <f aca="false">IF(OR(F466="",F466=0),"",IF(ISNUMBER(AG466),IF(F466&gt;=AG466,"PROHIBIDO","Dentro del límite"),"No aplica"))</f>
        <v/>
      </c>
      <c r="S466" s="26" t="str">
        <f aca="false">IF(E466="","",MID(IF(AQ466=1," · Excede el perfil declarado","")&amp;IF(H466="Sí"," · Paga un tercero","")&amp;IF(J466="Alto"," · Cliente de riesgo alto: DDR (RCG 23 Ter 3 y 4)","")&amp;IF(AND(AS466&lt;&gt;"",AS466&lt;&gt;"No",AS466&lt;&gt;0)," · PEP","")&amp;IF(R466="PROHIBIDO"," · Efectivo prohibido: no lo recibas (Art. 32)","")&amp;IF(AR466=1," · ⚠ Fecha fuera de orden","")&amp;IF(LEFT(I466,1)="⚠"," · ⚠ Cliente no registrado","")&amp;IF(D466=""," · ⚠ Falta la actividad","")&amp;IF(AND(LEFT(P466,5)="AVISO",W466="")," · Captura la cifra total con IVA para el Aviso","")&amp;IF(AND(ISNUMBER(W466),W466&lt;E466)," · ⚠ La cifra con IVA es menor que el monto sin IVA",""),4,400))</f>
        <v/>
      </c>
      <c r="T466" s="21"/>
      <c r="U466" s="20"/>
      <c r="V466" s="9" t="str">
        <f aca="false">IF(LEFT(P466,5)&lt;&gt;"AVISO","",IF(T466="Presentado",IF(AND(ISNUMBER(U466),ISNUMBER(Q466),U466&gt;Q466),"Presentado tarde","Presentado"),IF(NOT(ISNUMBER(Q466)),"Falta fecha",IF(Q466&lt;CONFIG!$B$6,"VENCIDO","Vence en "&amp;(Q466-CONFIG!$B$6)&amp;" días"))))</f>
        <v/>
      </c>
      <c r="W466" s="22"/>
      <c r="X466" s="21"/>
      <c r="AA466" s="0" t="str">
        <f aca="false">IF(AM466="","",INDEX(CATÁLOGO!$D$5:$D$39,AM466))</f>
        <v/>
      </c>
      <c r="AB466" s="0" t="str">
        <f aca="false">IF(AM466="","",INDEX(CATÁLOGO!$E$5:$E$39,AM466))</f>
        <v/>
      </c>
      <c r="AC466" s="0" t="str">
        <f aca="false">IF(AB466="","",IF(ISNUMBER(AB466),AB466*AV466,AB466))</f>
        <v/>
      </c>
      <c r="AD466" s="0" t="str">
        <f aca="false">IF(AM466="","",INDEX(CATÁLOGO!$F$5:$F$39,AM466))</f>
        <v/>
      </c>
      <c r="AE466" s="0" t="str">
        <f aca="false">IF(AD466="","",IF(ISNUMBER(AD466),AD466*AV466,AD466))</f>
        <v/>
      </c>
      <c r="AF466" s="0" t="str">
        <f aca="false">IF(AM466="","",INDEX(CATÁLOGO!$G$5:$G$39,AM466))</f>
        <v/>
      </c>
      <c r="AG466" s="0" t="str">
        <f aca="false">IF(AF466="","",IF(ISNUMBER(AF466),AF466*AV466,AF466))</f>
        <v/>
      </c>
      <c r="AH466" s="0" t="str">
        <f aca="false">IF(E466="","",C466&amp;"|"&amp;D466)</f>
        <v/>
      </c>
      <c r="AI466" s="27" t="n">
        <f aca="false">IF(M466&lt;&gt;"Sí",0,SUMPRODUCT(MAX(($AH$5:AH465=AH466)*($M$5:M465="Sí")*ROW($AH$5:AH465))))</f>
        <v>0</v>
      </c>
      <c r="AJ466" s="0" t="str">
        <f aca="false">IF(M466&lt;&gt;"Sí","",IF(AL466=1,B466,INDEX($AJ:$AJ,AI466)))</f>
        <v/>
      </c>
      <c r="AK466" s="0" t="str">
        <f aca="false">IF(M466&lt;&gt;"Sí","",IF(AL466=1,E466,INDEX($AK:$AK,AI466)+E466))</f>
        <v/>
      </c>
      <c r="AL466" s="0" t="str">
        <f aca="false">IF(M466&lt;&gt;"Sí","",IF(AI466=0,1,IF(INDEX($AN:$AN,AI466)=0,1,IF(B466&gt;=EDATE(INDEX($AJ:$AJ,AI466),6),1,0))))</f>
        <v/>
      </c>
      <c r="AM466" s="0" t="str">
        <f aca="false">IF(D466="","",IFERROR(MATCH(D466,CATÁLOGO!$C$5:$C$39,0),""))</f>
        <v/>
      </c>
      <c r="AN466" s="0" t="str">
        <f aca="false">IF(M466&lt;&gt;"Sí","",IF(AND(ISNUMBER(AE466),AK466&gt;=AE466),0,1))</f>
        <v/>
      </c>
      <c r="AO466" s="0" t="str">
        <f aca="false">IF(OR(E466="",C466="",NOT(ISNUMBER(B466))),"",SUMIFS($E$6:$E$505,$C$6:$C$505,C466,$B$6:$B$505,"&gt;="&amp;DATE(YEAR(B466),MONTH(B466),1),$B$6:$B$505,"&lt;"&amp;DATE(YEAR(B466),MONTH(B466)+1,1)))</f>
        <v/>
      </c>
      <c r="AP466" s="0" t="str">
        <f aca="false">IF(C466="","",IFERROR(INDEX(CLIENTES!$M$6:$M$305,MATCH(C466,CLIENTES!$A$6:$A$305,0)),""))</f>
        <v/>
      </c>
      <c r="AQ466" s="27" t="n">
        <f aca="false">IF(AND(ISNUMBER(AO466),ISNUMBER(AP466)),IF(AND(AP466&gt;0,AO466&gt;AP466),1,0),0)</f>
        <v>0</v>
      </c>
      <c r="AR466" s="27" t="n">
        <f aca="false">IF(NOT(ISNUMBER(B466)),0,IF(B466&lt;MAX($B$5:B465),1,0))</f>
        <v>0</v>
      </c>
      <c r="AS466" s="0" t="str">
        <f aca="false">IF(C466="","",IFERROR(INDEX(CLIENTES!$H$6:$H$305,MATCH(C466,CLIENTES!$A$6:$A$305,0)),""))</f>
        <v/>
      </c>
      <c r="AT466" s="0" t="str">
        <f aca="false">IF(AND(LEFT(P466,5)="AVISO",T466&lt;&gt;"Presentado",ISNUMBER(Q466)),Q466,"")</f>
        <v/>
      </c>
      <c r="AU466" s="27" t="n">
        <f aca="false">IF(AND(D466="XVI - Activos virtuales (PSAV): operación de intercambio/transferencia",M466="Sí",ISNUMBER(AE466)),IF(AK466&gt;=AE466,1,0),0)</f>
        <v>0</v>
      </c>
      <c r="AV466" s="30" t="n">
        <f aca="false">IF(NOT(ISNUMBER(B466)),CONFIG!$B$4,IFERROR(INDEX(CONFIG!$I$5:$I$14,MATCH(IF(MONTH(B466)=1,YEAR(B466)-1,YEAR(B466)),CONFIG!$H$5:$H$14,0)),CONFIG!$B$4))</f>
        <v>117.31</v>
      </c>
      <c r="AW466" s="27" t="n">
        <f aca="false">IF(AND(LEFT(D466,4)="I - ",ISNUMBER(B466),C466&lt;&gt;""),SUMIFS($E$6:$E$505,$C$6:$C$505,C466,$D$6:$D$505,D466,$B$6:$B$505,"&gt;"&amp;(B466-1),$B$6:$B$505,"&lt;="&amp;B466),0)</f>
        <v>0</v>
      </c>
      <c r="AX466" s="0" t="str">
        <f aca="false">IF(E466="","",IF(AD466="Siempre","AVISO (siempre)",IF(AD466="No aplica","Sin Aviso (sólo preparas: Ley 17 XI)",IF(NOT(ISNUMBER(AE466)),"",IF(AA466&lt;&gt;"ACUMULA",IF(E466&gt;=AE466,IF(AND(D466="XVI - Activos virtuales (PSAV): cobro de contraprestación (comisión) por el servicio",COUNTIFS($C$6:$C$505,C466,$B$6:$B$505,"&gt;="&amp;INT(B466),$B$6:$B$505,"&lt;"&amp;(INT(B466)+1),$AU$6:$AU$505,1)&gt;0),"En el Aviso del inciso a) (R 31 Bis)","AVISO"),"—"),IF(M466&lt;&gt;"Sí","—",IF(AK466&gt;=AE466,IF(AK466=E466,"AVISO","AVISO (acumulado)"),"Acumulando")))))))</f>
        <v/>
      </c>
    </row>
    <row r="467" customFormat="false" ht="15" hidden="false" customHeight="false" outlineLevel="0" collapsed="false">
      <c r="A467" s="9" t="str">
        <f aca="false">IF(E467="","",ROW()-5)</f>
        <v/>
      </c>
      <c r="B467" s="20"/>
      <c r="C467" s="21"/>
      <c r="D467" s="21"/>
      <c r="E467" s="22"/>
      <c r="F467" s="22"/>
      <c r="G467" s="21"/>
      <c r="H467" s="21"/>
      <c r="I467" s="9" t="str">
        <f aca="false">IF(C467="","",IFERROR(INDEX(CLIENTES!$B$6:$B$305,MATCH(C467,CLIENTES!$A$6:$A$305,0)),"⚠ ID no registrado"))</f>
        <v/>
      </c>
      <c r="J467" s="9" t="str">
        <f aca="false">IF(C467="","",IFERROR(INDEX(CLIENTES!$Z$6:$Z$305,MATCH(C467,CLIENTES!$A$6:$A$305,0)),""))</f>
        <v/>
      </c>
      <c r="K467" s="9" t="str">
        <f aca="false">IF(E467="","",IF(AB467="Siempre","Sí",IF(ISNUMBER(AC467),IF(E467&gt;=AC467,"Sí",IF(AW467&gt;=AC467,"Sí (serie 24 h)","No")),"")))</f>
        <v/>
      </c>
      <c r="L467" s="9" t="str">
        <f aca="false">IF(E467="","",AA467)</f>
        <v/>
      </c>
      <c r="M467" s="9" t="str">
        <f aca="false">IF(E467="","",IF(AA467&lt;&gt;"ACUMULA","No aplica",IF(LEFT(K467,2)="Sí","Sí","No")))</f>
        <v/>
      </c>
      <c r="N467" s="23" t="str">
        <f aca="false">IF(M467="Sí",AJ467,"")</f>
        <v/>
      </c>
      <c r="O467" s="24" t="str">
        <f aca="false">IF(M467="Sí",AK467,"")</f>
        <v/>
      </c>
      <c r="P467" s="25" t="str">
        <f aca="false">IF(AND(LEFT(D467,6)="XIV - ",LEFT(AX467,5)="AVISO"),"Pedimento (R 16): no va al SPPLD",AX467)</f>
        <v/>
      </c>
      <c r="Q467" s="23" t="str">
        <f aca="false">IF(LEFT(P467,5)="AVISO",IF(ISNUMBER(B467),DATE(YEAR(B467),MONTH(B467)+1,17),"Falta fecha"),"")</f>
        <v/>
      </c>
      <c r="R467" s="9" t="str">
        <f aca="false">IF(OR(F467="",F467=0),"",IF(ISNUMBER(AG467),IF(F467&gt;=AG467,"PROHIBIDO","Dentro del límite"),"No aplica"))</f>
        <v/>
      </c>
      <c r="S467" s="26" t="str">
        <f aca="false">IF(E467="","",MID(IF(AQ467=1," · Excede el perfil declarado","")&amp;IF(H467="Sí"," · Paga un tercero","")&amp;IF(J467="Alto"," · Cliente de riesgo alto: DDR (RCG 23 Ter 3 y 4)","")&amp;IF(AND(AS467&lt;&gt;"",AS467&lt;&gt;"No",AS467&lt;&gt;0)," · PEP","")&amp;IF(R467="PROHIBIDO"," · Efectivo prohibido: no lo recibas (Art. 32)","")&amp;IF(AR467=1," · ⚠ Fecha fuera de orden","")&amp;IF(LEFT(I467,1)="⚠"," · ⚠ Cliente no registrado","")&amp;IF(D467=""," · ⚠ Falta la actividad","")&amp;IF(AND(LEFT(P467,5)="AVISO",W467="")," · Captura la cifra total con IVA para el Aviso","")&amp;IF(AND(ISNUMBER(W467),W467&lt;E467)," · ⚠ La cifra con IVA es menor que el monto sin IVA",""),4,400))</f>
        <v/>
      </c>
      <c r="T467" s="21"/>
      <c r="U467" s="20"/>
      <c r="V467" s="9" t="str">
        <f aca="false">IF(LEFT(P467,5)&lt;&gt;"AVISO","",IF(T467="Presentado",IF(AND(ISNUMBER(U467),ISNUMBER(Q467),U467&gt;Q467),"Presentado tarde","Presentado"),IF(NOT(ISNUMBER(Q467)),"Falta fecha",IF(Q467&lt;CONFIG!$B$6,"VENCIDO","Vence en "&amp;(Q467-CONFIG!$B$6)&amp;" días"))))</f>
        <v/>
      </c>
      <c r="W467" s="22"/>
      <c r="X467" s="21"/>
      <c r="AA467" s="0" t="str">
        <f aca="false">IF(AM467="","",INDEX(CATÁLOGO!$D$5:$D$39,AM467))</f>
        <v/>
      </c>
      <c r="AB467" s="0" t="str">
        <f aca="false">IF(AM467="","",INDEX(CATÁLOGO!$E$5:$E$39,AM467))</f>
        <v/>
      </c>
      <c r="AC467" s="0" t="str">
        <f aca="false">IF(AB467="","",IF(ISNUMBER(AB467),AB467*AV467,AB467))</f>
        <v/>
      </c>
      <c r="AD467" s="0" t="str">
        <f aca="false">IF(AM467="","",INDEX(CATÁLOGO!$F$5:$F$39,AM467))</f>
        <v/>
      </c>
      <c r="AE467" s="0" t="str">
        <f aca="false">IF(AD467="","",IF(ISNUMBER(AD467),AD467*AV467,AD467))</f>
        <v/>
      </c>
      <c r="AF467" s="0" t="str">
        <f aca="false">IF(AM467="","",INDEX(CATÁLOGO!$G$5:$G$39,AM467))</f>
        <v/>
      </c>
      <c r="AG467" s="0" t="str">
        <f aca="false">IF(AF467="","",IF(ISNUMBER(AF467),AF467*AV467,AF467))</f>
        <v/>
      </c>
      <c r="AH467" s="0" t="str">
        <f aca="false">IF(E467="","",C467&amp;"|"&amp;D467)</f>
        <v/>
      </c>
      <c r="AI467" s="27" t="n">
        <f aca="false">IF(M467&lt;&gt;"Sí",0,SUMPRODUCT(MAX(($AH$5:AH466=AH467)*($M$5:M466="Sí")*ROW($AH$5:AH466))))</f>
        <v>0</v>
      </c>
      <c r="AJ467" s="0" t="str">
        <f aca="false">IF(M467&lt;&gt;"Sí","",IF(AL467=1,B467,INDEX($AJ:$AJ,AI467)))</f>
        <v/>
      </c>
      <c r="AK467" s="0" t="str">
        <f aca="false">IF(M467&lt;&gt;"Sí","",IF(AL467=1,E467,INDEX($AK:$AK,AI467)+E467))</f>
        <v/>
      </c>
      <c r="AL467" s="0" t="str">
        <f aca="false">IF(M467&lt;&gt;"Sí","",IF(AI467=0,1,IF(INDEX($AN:$AN,AI467)=0,1,IF(B467&gt;=EDATE(INDEX($AJ:$AJ,AI467),6),1,0))))</f>
        <v/>
      </c>
      <c r="AM467" s="0" t="str">
        <f aca="false">IF(D467="","",IFERROR(MATCH(D467,CATÁLOGO!$C$5:$C$39,0),""))</f>
        <v/>
      </c>
      <c r="AN467" s="0" t="str">
        <f aca="false">IF(M467&lt;&gt;"Sí","",IF(AND(ISNUMBER(AE467),AK467&gt;=AE467),0,1))</f>
        <v/>
      </c>
      <c r="AO467" s="0" t="str">
        <f aca="false">IF(OR(E467="",C467="",NOT(ISNUMBER(B467))),"",SUMIFS($E$6:$E$505,$C$6:$C$505,C467,$B$6:$B$505,"&gt;="&amp;DATE(YEAR(B467),MONTH(B467),1),$B$6:$B$505,"&lt;"&amp;DATE(YEAR(B467),MONTH(B467)+1,1)))</f>
        <v/>
      </c>
      <c r="AP467" s="0" t="str">
        <f aca="false">IF(C467="","",IFERROR(INDEX(CLIENTES!$M$6:$M$305,MATCH(C467,CLIENTES!$A$6:$A$305,0)),""))</f>
        <v/>
      </c>
      <c r="AQ467" s="27" t="n">
        <f aca="false">IF(AND(ISNUMBER(AO467),ISNUMBER(AP467)),IF(AND(AP467&gt;0,AO467&gt;AP467),1,0),0)</f>
        <v>0</v>
      </c>
      <c r="AR467" s="27" t="n">
        <f aca="false">IF(NOT(ISNUMBER(B467)),0,IF(B467&lt;MAX($B$5:B466),1,0))</f>
        <v>0</v>
      </c>
      <c r="AS467" s="0" t="str">
        <f aca="false">IF(C467="","",IFERROR(INDEX(CLIENTES!$H$6:$H$305,MATCH(C467,CLIENTES!$A$6:$A$305,0)),""))</f>
        <v/>
      </c>
      <c r="AT467" s="0" t="str">
        <f aca="false">IF(AND(LEFT(P467,5)="AVISO",T467&lt;&gt;"Presentado",ISNUMBER(Q467)),Q467,"")</f>
        <v/>
      </c>
      <c r="AU467" s="27" t="n">
        <f aca="false">IF(AND(D467="XVI - Activos virtuales (PSAV): operación de intercambio/transferencia",M467="Sí",ISNUMBER(AE467)),IF(AK467&gt;=AE467,1,0),0)</f>
        <v>0</v>
      </c>
      <c r="AV467" s="30" t="n">
        <f aca="false">IF(NOT(ISNUMBER(B467)),CONFIG!$B$4,IFERROR(INDEX(CONFIG!$I$5:$I$14,MATCH(IF(MONTH(B467)=1,YEAR(B467)-1,YEAR(B467)),CONFIG!$H$5:$H$14,0)),CONFIG!$B$4))</f>
        <v>117.31</v>
      </c>
      <c r="AW467" s="27" t="n">
        <f aca="false">IF(AND(LEFT(D467,4)="I - ",ISNUMBER(B467),C467&lt;&gt;""),SUMIFS($E$6:$E$505,$C$6:$C$505,C467,$D$6:$D$505,D467,$B$6:$B$505,"&gt;"&amp;(B467-1),$B$6:$B$505,"&lt;="&amp;B467),0)</f>
        <v>0</v>
      </c>
      <c r="AX467" s="0" t="str">
        <f aca="false">IF(E467="","",IF(AD467="Siempre","AVISO (siempre)",IF(AD467="No aplica","Sin Aviso (sólo preparas: Ley 17 XI)",IF(NOT(ISNUMBER(AE467)),"",IF(AA467&lt;&gt;"ACUMULA",IF(E467&gt;=AE467,IF(AND(D467="XVI - Activos virtuales (PSAV): cobro de contraprestación (comisión) por el servicio",COUNTIFS($C$6:$C$505,C467,$B$6:$B$505,"&gt;="&amp;INT(B467),$B$6:$B$505,"&lt;"&amp;(INT(B467)+1),$AU$6:$AU$505,1)&gt;0),"En el Aviso del inciso a) (R 31 Bis)","AVISO"),"—"),IF(M467&lt;&gt;"Sí","—",IF(AK467&gt;=AE467,IF(AK467=E467,"AVISO","AVISO (acumulado)"),"Acumulando")))))))</f>
        <v/>
      </c>
    </row>
    <row r="468" customFormat="false" ht="15" hidden="false" customHeight="false" outlineLevel="0" collapsed="false">
      <c r="A468" s="9" t="str">
        <f aca="false">IF(E468="","",ROW()-5)</f>
        <v/>
      </c>
      <c r="B468" s="20"/>
      <c r="C468" s="21"/>
      <c r="D468" s="21"/>
      <c r="E468" s="22"/>
      <c r="F468" s="22"/>
      <c r="G468" s="21"/>
      <c r="H468" s="21"/>
      <c r="I468" s="9" t="str">
        <f aca="false">IF(C468="","",IFERROR(INDEX(CLIENTES!$B$6:$B$305,MATCH(C468,CLIENTES!$A$6:$A$305,0)),"⚠ ID no registrado"))</f>
        <v/>
      </c>
      <c r="J468" s="9" t="str">
        <f aca="false">IF(C468="","",IFERROR(INDEX(CLIENTES!$Z$6:$Z$305,MATCH(C468,CLIENTES!$A$6:$A$305,0)),""))</f>
        <v/>
      </c>
      <c r="K468" s="9" t="str">
        <f aca="false">IF(E468="","",IF(AB468="Siempre","Sí",IF(ISNUMBER(AC468),IF(E468&gt;=AC468,"Sí",IF(AW468&gt;=AC468,"Sí (serie 24 h)","No")),"")))</f>
        <v/>
      </c>
      <c r="L468" s="9" t="str">
        <f aca="false">IF(E468="","",AA468)</f>
        <v/>
      </c>
      <c r="M468" s="9" t="str">
        <f aca="false">IF(E468="","",IF(AA468&lt;&gt;"ACUMULA","No aplica",IF(LEFT(K468,2)="Sí","Sí","No")))</f>
        <v/>
      </c>
      <c r="N468" s="23" t="str">
        <f aca="false">IF(M468="Sí",AJ468,"")</f>
        <v/>
      </c>
      <c r="O468" s="24" t="str">
        <f aca="false">IF(M468="Sí",AK468,"")</f>
        <v/>
      </c>
      <c r="P468" s="25" t="str">
        <f aca="false">IF(AND(LEFT(D468,6)="XIV - ",LEFT(AX468,5)="AVISO"),"Pedimento (R 16): no va al SPPLD",AX468)</f>
        <v/>
      </c>
      <c r="Q468" s="23" t="str">
        <f aca="false">IF(LEFT(P468,5)="AVISO",IF(ISNUMBER(B468),DATE(YEAR(B468),MONTH(B468)+1,17),"Falta fecha"),"")</f>
        <v/>
      </c>
      <c r="R468" s="9" t="str">
        <f aca="false">IF(OR(F468="",F468=0),"",IF(ISNUMBER(AG468),IF(F468&gt;=AG468,"PROHIBIDO","Dentro del límite"),"No aplica"))</f>
        <v/>
      </c>
      <c r="S468" s="26" t="str">
        <f aca="false">IF(E468="","",MID(IF(AQ468=1," · Excede el perfil declarado","")&amp;IF(H468="Sí"," · Paga un tercero","")&amp;IF(J468="Alto"," · Cliente de riesgo alto: DDR (RCG 23 Ter 3 y 4)","")&amp;IF(AND(AS468&lt;&gt;"",AS468&lt;&gt;"No",AS468&lt;&gt;0)," · PEP","")&amp;IF(R468="PROHIBIDO"," · Efectivo prohibido: no lo recibas (Art. 32)","")&amp;IF(AR468=1," · ⚠ Fecha fuera de orden","")&amp;IF(LEFT(I468,1)="⚠"," · ⚠ Cliente no registrado","")&amp;IF(D468=""," · ⚠ Falta la actividad","")&amp;IF(AND(LEFT(P468,5)="AVISO",W468="")," · Captura la cifra total con IVA para el Aviso","")&amp;IF(AND(ISNUMBER(W468),W468&lt;E468)," · ⚠ La cifra con IVA es menor que el monto sin IVA",""),4,400))</f>
        <v/>
      </c>
      <c r="T468" s="21"/>
      <c r="U468" s="20"/>
      <c r="V468" s="9" t="str">
        <f aca="false">IF(LEFT(P468,5)&lt;&gt;"AVISO","",IF(T468="Presentado",IF(AND(ISNUMBER(U468),ISNUMBER(Q468),U468&gt;Q468),"Presentado tarde","Presentado"),IF(NOT(ISNUMBER(Q468)),"Falta fecha",IF(Q468&lt;CONFIG!$B$6,"VENCIDO","Vence en "&amp;(Q468-CONFIG!$B$6)&amp;" días"))))</f>
        <v/>
      </c>
      <c r="W468" s="22"/>
      <c r="X468" s="21"/>
      <c r="AA468" s="0" t="str">
        <f aca="false">IF(AM468="","",INDEX(CATÁLOGO!$D$5:$D$39,AM468))</f>
        <v/>
      </c>
      <c r="AB468" s="0" t="str">
        <f aca="false">IF(AM468="","",INDEX(CATÁLOGO!$E$5:$E$39,AM468))</f>
        <v/>
      </c>
      <c r="AC468" s="0" t="str">
        <f aca="false">IF(AB468="","",IF(ISNUMBER(AB468),AB468*AV468,AB468))</f>
        <v/>
      </c>
      <c r="AD468" s="0" t="str">
        <f aca="false">IF(AM468="","",INDEX(CATÁLOGO!$F$5:$F$39,AM468))</f>
        <v/>
      </c>
      <c r="AE468" s="0" t="str">
        <f aca="false">IF(AD468="","",IF(ISNUMBER(AD468),AD468*AV468,AD468))</f>
        <v/>
      </c>
      <c r="AF468" s="0" t="str">
        <f aca="false">IF(AM468="","",INDEX(CATÁLOGO!$G$5:$G$39,AM468))</f>
        <v/>
      </c>
      <c r="AG468" s="0" t="str">
        <f aca="false">IF(AF468="","",IF(ISNUMBER(AF468),AF468*AV468,AF468))</f>
        <v/>
      </c>
      <c r="AH468" s="0" t="str">
        <f aca="false">IF(E468="","",C468&amp;"|"&amp;D468)</f>
        <v/>
      </c>
      <c r="AI468" s="27" t="n">
        <f aca="false">IF(M468&lt;&gt;"Sí",0,SUMPRODUCT(MAX(($AH$5:AH467=AH468)*($M$5:M467="Sí")*ROW($AH$5:AH467))))</f>
        <v>0</v>
      </c>
      <c r="AJ468" s="0" t="str">
        <f aca="false">IF(M468&lt;&gt;"Sí","",IF(AL468=1,B468,INDEX($AJ:$AJ,AI468)))</f>
        <v/>
      </c>
      <c r="AK468" s="0" t="str">
        <f aca="false">IF(M468&lt;&gt;"Sí","",IF(AL468=1,E468,INDEX($AK:$AK,AI468)+E468))</f>
        <v/>
      </c>
      <c r="AL468" s="0" t="str">
        <f aca="false">IF(M468&lt;&gt;"Sí","",IF(AI468=0,1,IF(INDEX($AN:$AN,AI468)=0,1,IF(B468&gt;=EDATE(INDEX($AJ:$AJ,AI468),6),1,0))))</f>
        <v/>
      </c>
      <c r="AM468" s="0" t="str">
        <f aca="false">IF(D468="","",IFERROR(MATCH(D468,CATÁLOGO!$C$5:$C$39,0),""))</f>
        <v/>
      </c>
      <c r="AN468" s="0" t="str">
        <f aca="false">IF(M468&lt;&gt;"Sí","",IF(AND(ISNUMBER(AE468),AK468&gt;=AE468),0,1))</f>
        <v/>
      </c>
      <c r="AO468" s="0" t="str">
        <f aca="false">IF(OR(E468="",C468="",NOT(ISNUMBER(B468))),"",SUMIFS($E$6:$E$505,$C$6:$C$505,C468,$B$6:$B$505,"&gt;="&amp;DATE(YEAR(B468),MONTH(B468),1),$B$6:$B$505,"&lt;"&amp;DATE(YEAR(B468),MONTH(B468)+1,1)))</f>
        <v/>
      </c>
      <c r="AP468" s="0" t="str">
        <f aca="false">IF(C468="","",IFERROR(INDEX(CLIENTES!$M$6:$M$305,MATCH(C468,CLIENTES!$A$6:$A$305,0)),""))</f>
        <v/>
      </c>
      <c r="AQ468" s="27" t="n">
        <f aca="false">IF(AND(ISNUMBER(AO468),ISNUMBER(AP468)),IF(AND(AP468&gt;0,AO468&gt;AP468),1,0),0)</f>
        <v>0</v>
      </c>
      <c r="AR468" s="27" t="n">
        <f aca="false">IF(NOT(ISNUMBER(B468)),0,IF(B468&lt;MAX($B$5:B467),1,0))</f>
        <v>0</v>
      </c>
      <c r="AS468" s="0" t="str">
        <f aca="false">IF(C468="","",IFERROR(INDEX(CLIENTES!$H$6:$H$305,MATCH(C468,CLIENTES!$A$6:$A$305,0)),""))</f>
        <v/>
      </c>
      <c r="AT468" s="0" t="str">
        <f aca="false">IF(AND(LEFT(P468,5)="AVISO",T468&lt;&gt;"Presentado",ISNUMBER(Q468)),Q468,"")</f>
        <v/>
      </c>
      <c r="AU468" s="27" t="n">
        <f aca="false">IF(AND(D468="XVI - Activos virtuales (PSAV): operación de intercambio/transferencia",M468="Sí",ISNUMBER(AE468)),IF(AK468&gt;=AE468,1,0),0)</f>
        <v>0</v>
      </c>
      <c r="AV468" s="30" t="n">
        <f aca="false">IF(NOT(ISNUMBER(B468)),CONFIG!$B$4,IFERROR(INDEX(CONFIG!$I$5:$I$14,MATCH(IF(MONTH(B468)=1,YEAR(B468)-1,YEAR(B468)),CONFIG!$H$5:$H$14,0)),CONFIG!$B$4))</f>
        <v>117.31</v>
      </c>
      <c r="AW468" s="27" t="n">
        <f aca="false">IF(AND(LEFT(D468,4)="I - ",ISNUMBER(B468),C468&lt;&gt;""),SUMIFS($E$6:$E$505,$C$6:$C$505,C468,$D$6:$D$505,D468,$B$6:$B$505,"&gt;"&amp;(B468-1),$B$6:$B$505,"&lt;="&amp;B468),0)</f>
        <v>0</v>
      </c>
      <c r="AX468" s="0" t="str">
        <f aca="false">IF(E468="","",IF(AD468="Siempre","AVISO (siempre)",IF(AD468="No aplica","Sin Aviso (sólo preparas: Ley 17 XI)",IF(NOT(ISNUMBER(AE468)),"",IF(AA468&lt;&gt;"ACUMULA",IF(E468&gt;=AE468,IF(AND(D468="XVI - Activos virtuales (PSAV): cobro de contraprestación (comisión) por el servicio",COUNTIFS($C$6:$C$505,C468,$B$6:$B$505,"&gt;="&amp;INT(B468),$B$6:$B$505,"&lt;"&amp;(INT(B468)+1),$AU$6:$AU$505,1)&gt;0),"En el Aviso del inciso a) (R 31 Bis)","AVISO"),"—"),IF(M468&lt;&gt;"Sí","—",IF(AK468&gt;=AE468,IF(AK468=E468,"AVISO","AVISO (acumulado)"),"Acumulando")))))))</f>
        <v/>
      </c>
    </row>
    <row r="469" customFormat="false" ht="15" hidden="false" customHeight="false" outlineLevel="0" collapsed="false">
      <c r="A469" s="9" t="str">
        <f aca="false">IF(E469="","",ROW()-5)</f>
        <v/>
      </c>
      <c r="B469" s="20"/>
      <c r="C469" s="21"/>
      <c r="D469" s="21"/>
      <c r="E469" s="22"/>
      <c r="F469" s="22"/>
      <c r="G469" s="21"/>
      <c r="H469" s="21"/>
      <c r="I469" s="9" t="str">
        <f aca="false">IF(C469="","",IFERROR(INDEX(CLIENTES!$B$6:$B$305,MATCH(C469,CLIENTES!$A$6:$A$305,0)),"⚠ ID no registrado"))</f>
        <v/>
      </c>
      <c r="J469" s="9" t="str">
        <f aca="false">IF(C469="","",IFERROR(INDEX(CLIENTES!$Z$6:$Z$305,MATCH(C469,CLIENTES!$A$6:$A$305,0)),""))</f>
        <v/>
      </c>
      <c r="K469" s="9" t="str">
        <f aca="false">IF(E469="","",IF(AB469="Siempre","Sí",IF(ISNUMBER(AC469),IF(E469&gt;=AC469,"Sí",IF(AW469&gt;=AC469,"Sí (serie 24 h)","No")),"")))</f>
        <v/>
      </c>
      <c r="L469" s="9" t="str">
        <f aca="false">IF(E469="","",AA469)</f>
        <v/>
      </c>
      <c r="M469" s="9" t="str">
        <f aca="false">IF(E469="","",IF(AA469&lt;&gt;"ACUMULA","No aplica",IF(LEFT(K469,2)="Sí","Sí","No")))</f>
        <v/>
      </c>
      <c r="N469" s="23" t="str">
        <f aca="false">IF(M469="Sí",AJ469,"")</f>
        <v/>
      </c>
      <c r="O469" s="24" t="str">
        <f aca="false">IF(M469="Sí",AK469,"")</f>
        <v/>
      </c>
      <c r="P469" s="25" t="str">
        <f aca="false">IF(AND(LEFT(D469,6)="XIV - ",LEFT(AX469,5)="AVISO"),"Pedimento (R 16): no va al SPPLD",AX469)</f>
        <v/>
      </c>
      <c r="Q469" s="23" t="str">
        <f aca="false">IF(LEFT(P469,5)="AVISO",IF(ISNUMBER(B469),DATE(YEAR(B469),MONTH(B469)+1,17),"Falta fecha"),"")</f>
        <v/>
      </c>
      <c r="R469" s="9" t="str">
        <f aca="false">IF(OR(F469="",F469=0),"",IF(ISNUMBER(AG469),IF(F469&gt;=AG469,"PROHIBIDO","Dentro del límite"),"No aplica"))</f>
        <v/>
      </c>
      <c r="S469" s="26" t="str">
        <f aca="false">IF(E469="","",MID(IF(AQ469=1," · Excede el perfil declarado","")&amp;IF(H469="Sí"," · Paga un tercero","")&amp;IF(J469="Alto"," · Cliente de riesgo alto: DDR (RCG 23 Ter 3 y 4)","")&amp;IF(AND(AS469&lt;&gt;"",AS469&lt;&gt;"No",AS469&lt;&gt;0)," · PEP","")&amp;IF(R469="PROHIBIDO"," · Efectivo prohibido: no lo recibas (Art. 32)","")&amp;IF(AR469=1," · ⚠ Fecha fuera de orden","")&amp;IF(LEFT(I469,1)="⚠"," · ⚠ Cliente no registrado","")&amp;IF(D469=""," · ⚠ Falta la actividad","")&amp;IF(AND(LEFT(P469,5)="AVISO",W469="")," · Captura la cifra total con IVA para el Aviso","")&amp;IF(AND(ISNUMBER(W469),W469&lt;E469)," · ⚠ La cifra con IVA es menor que el monto sin IVA",""),4,400))</f>
        <v/>
      </c>
      <c r="T469" s="21"/>
      <c r="U469" s="20"/>
      <c r="V469" s="9" t="str">
        <f aca="false">IF(LEFT(P469,5)&lt;&gt;"AVISO","",IF(T469="Presentado",IF(AND(ISNUMBER(U469),ISNUMBER(Q469),U469&gt;Q469),"Presentado tarde","Presentado"),IF(NOT(ISNUMBER(Q469)),"Falta fecha",IF(Q469&lt;CONFIG!$B$6,"VENCIDO","Vence en "&amp;(Q469-CONFIG!$B$6)&amp;" días"))))</f>
        <v/>
      </c>
      <c r="W469" s="22"/>
      <c r="X469" s="21"/>
      <c r="AA469" s="0" t="str">
        <f aca="false">IF(AM469="","",INDEX(CATÁLOGO!$D$5:$D$39,AM469))</f>
        <v/>
      </c>
      <c r="AB469" s="0" t="str">
        <f aca="false">IF(AM469="","",INDEX(CATÁLOGO!$E$5:$E$39,AM469))</f>
        <v/>
      </c>
      <c r="AC469" s="0" t="str">
        <f aca="false">IF(AB469="","",IF(ISNUMBER(AB469),AB469*AV469,AB469))</f>
        <v/>
      </c>
      <c r="AD469" s="0" t="str">
        <f aca="false">IF(AM469="","",INDEX(CATÁLOGO!$F$5:$F$39,AM469))</f>
        <v/>
      </c>
      <c r="AE469" s="0" t="str">
        <f aca="false">IF(AD469="","",IF(ISNUMBER(AD469),AD469*AV469,AD469))</f>
        <v/>
      </c>
      <c r="AF469" s="0" t="str">
        <f aca="false">IF(AM469="","",INDEX(CATÁLOGO!$G$5:$G$39,AM469))</f>
        <v/>
      </c>
      <c r="AG469" s="0" t="str">
        <f aca="false">IF(AF469="","",IF(ISNUMBER(AF469),AF469*AV469,AF469))</f>
        <v/>
      </c>
      <c r="AH469" s="0" t="str">
        <f aca="false">IF(E469="","",C469&amp;"|"&amp;D469)</f>
        <v/>
      </c>
      <c r="AI469" s="27" t="n">
        <f aca="false">IF(M469&lt;&gt;"Sí",0,SUMPRODUCT(MAX(($AH$5:AH468=AH469)*($M$5:M468="Sí")*ROW($AH$5:AH468))))</f>
        <v>0</v>
      </c>
      <c r="AJ469" s="0" t="str">
        <f aca="false">IF(M469&lt;&gt;"Sí","",IF(AL469=1,B469,INDEX($AJ:$AJ,AI469)))</f>
        <v/>
      </c>
      <c r="AK469" s="0" t="str">
        <f aca="false">IF(M469&lt;&gt;"Sí","",IF(AL469=1,E469,INDEX($AK:$AK,AI469)+E469))</f>
        <v/>
      </c>
      <c r="AL469" s="0" t="str">
        <f aca="false">IF(M469&lt;&gt;"Sí","",IF(AI469=0,1,IF(INDEX($AN:$AN,AI469)=0,1,IF(B469&gt;=EDATE(INDEX($AJ:$AJ,AI469),6),1,0))))</f>
        <v/>
      </c>
      <c r="AM469" s="0" t="str">
        <f aca="false">IF(D469="","",IFERROR(MATCH(D469,CATÁLOGO!$C$5:$C$39,0),""))</f>
        <v/>
      </c>
      <c r="AN469" s="0" t="str">
        <f aca="false">IF(M469&lt;&gt;"Sí","",IF(AND(ISNUMBER(AE469),AK469&gt;=AE469),0,1))</f>
        <v/>
      </c>
      <c r="AO469" s="0" t="str">
        <f aca="false">IF(OR(E469="",C469="",NOT(ISNUMBER(B469))),"",SUMIFS($E$6:$E$505,$C$6:$C$505,C469,$B$6:$B$505,"&gt;="&amp;DATE(YEAR(B469),MONTH(B469),1),$B$6:$B$505,"&lt;"&amp;DATE(YEAR(B469),MONTH(B469)+1,1)))</f>
        <v/>
      </c>
      <c r="AP469" s="0" t="str">
        <f aca="false">IF(C469="","",IFERROR(INDEX(CLIENTES!$M$6:$M$305,MATCH(C469,CLIENTES!$A$6:$A$305,0)),""))</f>
        <v/>
      </c>
      <c r="AQ469" s="27" t="n">
        <f aca="false">IF(AND(ISNUMBER(AO469),ISNUMBER(AP469)),IF(AND(AP469&gt;0,AO469&gt;AP469),1,0),0)</f>
        <v>0</v>
      </c>
      <c r="AR469" s="27" t="n">
        <f aca="false">IF(NOT(ISNUMBER(B469)),0,IF(B469&lt;MAX($B$5:B468),1,0))</f>
        <v>0</v>
      </c>
      <c r="AS469" s="0" t="str">
        <f aca="false">IF(C469="","",IFERROR(INDEX(CLIENTES!$H$6:$H$305,MATCH(C469,CLIENTES!$A$6:$A$305,0)),""))</f>
        <v/>
      </c>
      <c r="AT469" s="0" t="str">
        <f aca="false">IF(AND(LEFT(P469,5)="AVISO",T469&lt;&gt;"Presentado",ISNUMBER(Q469)),Q469,"")</f>
        <v/>
      </c>
      <c r="AU469" s="27" t="n">
        <f aca="false">IF(AND(D469="XVI - Activos virtuales (PSAV): operación de intercambio/transferencia",M469="Sí",ISNUMBER(AE469)),IF(AK469&gt;=AE469,1,0),0)</f>
        <v>0</v>
      </c>
      <c r="AV469" s="30" t="n">
        <f aca="false">IF(NOT(ISNUMBER(B469)),CONFIG!$B$4,IFERROR(INDEX(CONFIG!$I$5:$I$14,MATCH(IF(MONTH(B469)=1,YEAR(B469)-1,YEAR(B469)),CONFIG!$H$5:$H$14,0)),CONFIG!$B$4))</f>
        <v>117.31</v>
      </c>
      <c r="AW469" s="27" t="n">
        <f aca="false">IF(AND(LEFT(D469,4)="I - ",ISNUMBER(B469),C469&lt;&gt;""),SUMIFS($E$6:$E$505,$C$6:$C$505,C469,$D$6:$D$505,D469,$B$6:$B$505,"&gt;"&amp;(B469-1),$B$6:$B$505,"&lt;="&amp;B469),0)</f>
        <v>0</v>
      </c>
      <c r="AX469" s="0" t="str">
        <f aca="false">IF(E469="","",IF(AD469="Siempre","AVISO (siempre)",IF(AD469="No aplica","Sin Aviso (sólo preparas: Ley 17 XI)",IF(NOT(ISNUMBER(AE469)),"",IF(AA469&lt;&gt;"ACUMULA",IF(E469&gt;=AE469,IF(AND(D469="XVI - Activos virtuales (PSAV): cobro de contraprestación (comisión) por el servicio",COUNTIFS($C$6:$C$505,C469,$B$6:$B$505,"&gt;="&amp;INT(B469),$B$6:$B$505,"&lt;"&amp;(INT(B469)+1),$AU$6:$AU$505,1)&gt;0),"En el Aviso del inciso a) (R 31 Bis)","AVISO"),"—"),IF(M469&lt;&gt;"Sí","—",IF(AK469&gt;=AE469,IF(AK469=E469,"AVISO","AVISO (acumulado)"),"Acumulando")))))))</f>
        <v/>
      </c>
    </row>
    <row r="470" customFormat="false" ht="15" hidden="false" customHeight="false" outlineLevel="0" collapsed="false">
      <c r="A470" s="9" t="str">
        <f aca="false">IF(E470="","",ROW()-5)</f>
        <v/>
      </c>
      <c r="B470" s="20"/>
      <c r="C470" s="21"/>
      <c r="D470" s="21"/>
      <c r="E470" s="22"/>
      <c r="F470" s="22"/>
      <c r="G470" s="21"/>
      <c r="H470" s="21"/>
      <c r="I470" s="9" t="str">
        <f aca="false">IF(C470="","",IFERROR(INDEX(CLIENTES!$B$6:$B$305,MATCH(C470,CLIENTES!$A$6:$A$305,0)),"⚠ ID no registrado"))</f>
        <v/>
      </c>
      <c r="J470" s="9" t="str">
        <f aca="false">IF(C470="","",IFERROR(INDEX(CLIENTES!$Z$6:$Z$305,MATCH(C470,CLIENTES!$A$6:$A$305,0)),""))</f>
        <v/>
      </c>
      <c r="K470" s="9" t="str">
        <f aca="false">IF(E470="","",IF(AB470="Siempre","Sí",IF(ISNUMBER(AC470),IF(E470&gt;=AC470,"Sí",IF(AW470&gt;=AC470,"Sí (serie 24 h)","No")),"")))</f>
        <v/>
      </c>
      <c r="L470" s="9" t="str">
        <f aca="false">IF(E470="","",AA470)</f>
        <v/>
      </c>
      <c r="M470" s="9" t="str">
        <f aca="false">IF(E470="","",IF(AA470&lt;&gt;"ACUMULA","No aplica",IF(LEFT(K470,2)="Sí","Sí","No")))</f>
        <v/>
      </c>
      <c r="N470" s="23" t="str">
        <f aca="false">IF(M470="Sí",AJ470,"")</f>
        <v/>
      </c>
      <c r="O470" s="24" t="str">
        <f aca="false">IF(M470="Sí",AK470,"")</f>
        <v/>
      </c>
      <c r="P470" s="25" t="str">
        <f aca="false">IF(AND(LEFT(D470,6)="XIV - ",LEFT(AX470,5)="AVISO"),"Pedimento (R 16): no va al SPPLD",AX470)</f>
        <v/>
      </c>
      <c r="Q470" s="23" t="str">
        <f aca="false">IF(LEFT(P470,5)="AVISO",IF(ISNUMBER(B470),DATE(YEAR(B470),MONTH(B470)+1,17),"Falta fecha"),"")</f>
        <v/>
      </c>
      <c r="R470" s="9" t="str">
        <f aca="false">IF(OR(F470="",F470=0),"",IF(ISNUMBER(AG470),IF(F470&gt;=AG470,"PROHIBIDO","Dentro del límite"),"No aplica"))</f>
        <v/>
      </c>
      <c r="S470" s="26" t="str">
        <f aca="false">IF(E470="","",MID(IF(AQ470=1," · Excede el perfil declarado","")&amp;IF(H470="Sí"," · Paga un tercero","")&amp;IF(J470="Alto"," · Cliente de riesgo alto: DDR (RCG 23 Ter 3 y 4)","")&amp;IF(AND(AS470&lt;&gt;"",AS470&lt;&gt;"No",AS470&lt;&gt;0)," · PEP","")&amp;IF(R470="PROHIBIDO"," · Efectivo prohibido: no lo recibas (Art. 32)","")&amp;IF(AR470=1," · ⚠ Fecha fuera de orden","")&amp;IF(LEFT(I470,1)="⚠"," · ⚠ Cliente no registrado","")&amp;IF(D470=""," · ⚠ Falta la actividad","")&amp;IF(AND(LEFT(P470,5)="AVISO",W470="")," · Captura la cifra total con IVA para el Aviso","")&amp;IF(AND(ISNUMBER(W470),W470&lt;E470)," · ⚠ La cifra con IVA es menor que el monto sin IVA",""),4,400))</f>
        <v/>
      </c>
      <c r="T470" s="21"/>
      <c r="U470" s="20"/>
      <c r="V470" s="9" t="str">
        <f aca="false">IF(LEFT(P470,5)&lt;&gt;"AVISO","",IF(T470="Presentado",IF(AND(ISNUMBER(U470),ISNUMBER(Q470),U470&gt;Q470),"Presentado tarde","Presentado"),IF(NOT(ISNUMBER(Q470)),"Falta fecha",IF(Q470&lt;CONFIG!$B$6,"VENCIDO","Vence en "&amp;(Q470-CONFIG!$B$6)&amp;" días"))))</f>
        <v/>
      </c>
      <c r="W470" s="22"/>
      <c r="X470" s="21"/>
      <c r="AA470" s="0" t="str">
        <f aca="false">IF(AM470="","",INDEX(CATÁLOGO!$D$5:$D$39,AM470))</f>
        <v/>
      </c>
      <c r="AB470" s="0" t="str">
        <f aca="false">IF(AM470="","",INDEX(CATÁLOGO!$E$5:$E$39,AM470))</f>
        <v/>
      </c>
      <c r="AC470" s="0" t="str">
        <f aca="false">IF(AB470="","",IF(ISNUMBER(AB470),AB470*AV470,AB470))</f>
        <v/>
      </c>
      <c r="AD470" s="0" t="str">
        <f aca="false">IF(AM470="","",INDEX(CATÁLOGO!$F$5:$F$39,AM470))</f>
        <v/>
      </c>
      <c r="AE470" s="0" t="str">
        <f aca="false">IF(AD470="","",IF(ISNUMBER(AD470),AD470*AV470,AD470))</f>
        <v/>
      </c>
      <c r="AF470" s="0" t="str">
        <f aca="false">IF(AM470="","",INDEX(CATÁLOGO!$G$5:$G$39,AM470))</f>
        <v/>
      </c>
      <c r="AG470" s="0" t="str">
        <f aca="false">IF(AF470="","",IF(ISNUMBER(AF470),AF470*AV470,AF470))</f>
        <v/>
      </c>
      <c r="AH470" s="0" t="str">
        <f aca="false">IF(E470="","",C470&amp;"|"&amp;D470)</f>
        <v/>
      </c>
      <c r="AI470" s="27" t="n">
        <f aca="false">IF(M470&lt;&gt;"Sí",0,SUMPRODUCT(MAX(($AH$5:AH469=AH470)*($M$5:M469="Sí")*ROW($AH$5:AH469))))</f>
        <v>0</v>
      </c>
      <c r="AJ470" s="0" t="str">
        <f aca="false">IF(M470&lt;&gt;"Sí","",IF(AL470=1,B470,INDEX($AJ:$AJ,AI470)))</f>
        <v/>
      </c>
      <c r="AK470" s="0" t="str">
        <f aca="false">IF(M470&lt;&gt;"Sí","",IF(AL470=1,E470,INDEX($AK:$AK,AI470)+E470))</f>
        <v/>
      </c>
      <c r="AL470" s="0" t="str">
        <f aca="false">IF(M470&lt;&gt;"Sí","",IF(AI470=0,1,IF(INDEX($AN:$AN,AI470)=0,1,IF(B470&gt;=EDATE(INDEX($AJ:$AJ,AI470),6),1,0))))</f>
        <v/>
      </c>
      <c r="AM470" s="0" t="str">
        <f aca="false">IF(D470="","",IFERROR(MATCH(D470,CATÁLOGO!$C$5:$C$39,0),""))</f>
        <v/>
      </c>
      <c r="AN470" s="0" t="str">
        <f aca="false">IF(M470&lt;&gt;"Sí","",IF(AND(ISNUMBER(AE470),AK470&gt;=AE470),0,1))</f>
        <v/>
      </c>
      <c r="AO470" s="0" t="str">
        <f aca="false">IF(OR(E470="",C470="",NOT(ISNUMBER(B470))),"",SUMIFS($E$6:$E$505,$C$6:$C$505,C470,$B$6:$B$505,"&gt;="&amp;DATE(YEAR(B470),MONTH(B470),1),$B$6:$B$505,"&lt;"&amp;DATE(YEAR(B470),MONTH(B470)+1,1)))</f>
        <v/>
      </c>
      <c r="AP470" s="0" t="str">
        <f aca="false">IF(C470="","",IFERROR(INDEX(CLIENTES!$M$6:$M$305,MATCH(C470,CLIENTES!$A$6:$A$305,0)),""))</f>
        <v/>
      </c>
      <c r="AQ470" s="27" t="n">
        <f aca="false">IF(AND(ISNUMBER(AO470),ISNUMBER(AP470)),IF(AND(AP470&gt;0,AO470&gt;AP470),1,0),0)</f>
        <v>0</v>
      </c>
      <c r="AR470" s="27" t="n">
        <f aca="false">IF(NOT(ISNUMBER(B470)),0,IF(B470&lt;MAX($B$5:B469),1,0))</f>
        <v>0</v>
      </c>
      <c r="AS470" s="0" t="str">
        <f aca="false">IF(C470="","",IFERROR(INDEX(CLIENTES!$H$6:$H$305,MATCH(C470,CLIENTES!$A$6:$A$305,0)),""))</f>
        <v/>
      </c>
      <c r="AT470" s="0" t="str">
        <f aca="false">IF(AND(LEFT(P470,5)="AVISO",T470&lt;&gt;"Presentado",ISNUMBER(Q470)),Q470,"")</f>
        <v/>
      </c>
      <c r="AU470" s="27" t="n">
        <f aca="false">IF(AND(D470="XVI - Activos virtuales (PSAV): operación de intercambio/transferencia",M470="Sí",ISNUMBER(AE470)),IF(AK470&gt;=AE470,1,0),0)</f>
        <v>0</v>
      </c>
      <c r="AV470" s="30" t="n">
        <f aca="false">IF(NOT(ISNUMBER(B470)),CONFIG!$B$4,IFERROR(INDEX(CONFIG!$I$5:$I$14,MATCH(IF(MONTH(B470)=1,YEAR(B470)-1,YEAR(B470)),CONFIG!$H$5:$H$14,0)),CONFIG!$B$4))</f>
        <v>117.31</v>
      </c>
      <c r="AW470" s="27" t="n">
        <f aca="false">IF(AND(LEFT(D470,4)="I - ",ISNUMBER(B470),C470&lt;&gt;""),SUMIFS($E$6:$E$505,$C$6:$C$505,C470,$D$6:$D$505,D470,$B$6:$B$505,"&gt;"&amp;(B470-1),$B$6:$B$505,"&lt;="&amp;B470),0)</f>
        <v>0</v>
      </c>
      <c r="AX470" s="0" t="str">
        <f aca="false">IF(E470="","",IF(AD470="Siempre","AVISO (siempre)",IF(AD470="No aplica","Sin Aviso (sólo preparas: Ley 17 XI)",IF(NOT(ISNUMBER(AE470)),"",IF(AA470&lt;&gt;"ACUMULA",IF(E470&gt;=AE470,IF(AND(D470="XVI - Activos virtuales (PSAV): cobro de contraprestación (comisión) por el servicio",COUNTIFS($C$6:$C$505,C470,$B$6:$B$505,"&gt;="&amp;INT(B470),$B$6:$B$505,"&lt;"&amp;(INT(B470)+1),$AU$6:$AU$505,1)&gt;0),"En el Aviso del inciso a) (R 31 Bis)","AVISO"),"—"),IF(M470&lt;&gt;"Sí","—",IF(AK470&gt;=AE470,IF(AK470=E470,"AVISO","AVISO (acumulado)"),"Acumulando")))))))</f>
        <v/>
      </c>
    </row>
    <row r="471" customFormat="false" ht="15" hidden="false" customHeight="false" outlineLevel="0" collapsed="false">
      <c r="A471" s="9" t="str">
        <f aca="false">IF(E471="","",ROW()-5)</f>
        <v/>
      </c>
      <c r="B471" s="20"/>
      <c r="C471" s="21"/>
      <c r="D471" s="21"/>
      <c r="E471" s="22"/>
      <c r="F471" s="22"/>
      <c r="G471" s="21"/>
      <c r="H471" s="21"/>
      <c r="I471" s="9" t="str">
        <f aca="false">IF(C471="","",IFERROR(INDEX(CLIENTES!$B$6:$B$305,MATCH(C471,CLIENTES!$A$6:$A$305,0)),"⚠ ID no registrado"))</f>
        <v/>
      </c>
      <c r="J471" s="9" t="str">
        <f aca="false">IF(C471="","",IFERROR(INDEX(CLIENTES!$Z$6:$Z$305,MATCH(C471,CLIENTES!$A$6:$A$305,0)),""))</f>
        <v/>
      </c>
      <c r="K471" s="9" t="str">
        <f aca="false">IF(E471="","",IF(AB471="Siempre","Sí",IF(ISNUMBER(AC471),IF(E471&gt;=AC471,"Sí",IF(AW471&gt;=AC471,"Sí (serie 24 h)","No")),"")))</f>
        <v/>
      </c>
      <c r="L471" s="9" t="str">
        <f aca="false">IF(E471="","",AA471)</f>
        <v/>
      </c>
      <c r="M471" s="9" t="str">
        <f aca="false">IF(E471="","",IF(AA471&lt;&gt;"ACUMULA","No aplica",IF(LEFT(K471,2)="Sí","Sí","No")))</f>
        <v/>
      </c>
      <c r="N471" s="23" t="str">
        <f aca="false">IF(M471="Sí",AJ471,"")</f>
        <v/>
      </c>
      <c r="O471" s="24" t="str">
        <f aca="false">IF(M471="Sí",AK471,"")</f>
        <v/>
      </c>
      <c r="P471" s="25" t="str">
        <f aca="false">IF(AND(LEFT(D471,6)="XIV - ",LEFT(AX471,5)="AVISO"),"Pedimento (R 16): no va al SPPLD",AX471)</f>
        <v/>
      </c>
      <c r="Q471" s="23" t="str">
        <f aca="false">IF(LEFT(P471,5)="AVISO",IF(ISNUMBER(B471),DATE(YEAR(B471),MONTH(B471)+1,17),"Falta fecha"),"")</f>
        <v/>
      </c>
      <c r="R471" s="9" t="str">
        <f aca="false">IF(OR(F471="",F471=0),"",IF(ISNUMBER(AG471),IF(F471&gt;=AG471,"PROHIBIDO","Dentro del límite"),"No aplica"))</f>
        <v/>
      </c>
      <c r="S471" s="26" t="str">
        <f aca="false">IF(E471="","",MID(IF(AQ471=1," · Excede el perfil declarado","")&amp;IF(H471="Sí"," · Paga un tercero","")&amp;IF(J471="Alto"," · Cliente de riesgo alto: DDR (RCG 23 Ter 3 y 4)","")&amp;IF(AND(AS471&lt;&gt;"",AS471&lt;&gt;"No",AS471&lt;&gt;0)," · PEP","")&amp;IF(R471="PROHIBIDO"," · Efectivo prohibido: no lo recibas (Art. 32)","")&amp;IF(AR471=1," · ⚠ Fecha fuera de orden","")&amp;IF(LEFT(I471,1)="⚠"," · ⚠ Cliente no registrado","")&amp;IF(D471=""," · ⚠ Falta la actividad","")&amp;IF(AND(LEFT(P471,5)="AVISO",W471="")," · Captura la cifra total con IVA para el Aviso","")&amp;IF(AND(ISNUMBER(W471),W471&lt;E471)," · ⚠ La cifra con IVA es menor que el monto sin IVA",""),4,400))</f>
        <v/>
      </c>
      <c r="T471" s="21"/>
      <c r="U471" s="20"/>
      <c r="V471" s="9" t="str">
        <f aca="false">IF(LEFT(P471,5)&lt;&gt;"AVISO","",IF(T471="Presentado",IF(AND(ISNUMBER(U471),ISNUMBER(Q471),U471&gt;Q471),"Presentado tarde","Presentado"),IF(NOT(ISNUMBER(Q471)),"Falta fecha",IF(Q471&lt;CONFIG!$B$6,"VENCIDO","Vence en "&amp;(Q471-CONFIG!$B$6)&amp;" días"))))</f>
        <v/>
      </c>
      <c r="W471" s="22"/>
      <c r="X471" s="21"/>
      <c r="AA471" s="0" t="str">
        <f aca="false">IF(AM471="","",INDEX(CATÁLOGO!$D$5:$D$39,AM471))</f>
        <v/>
      </c>
      <c r="AB471" s="0" t="str">
        <f aca="false">IF(AM471="","",INDEX(CATÁLOGO!$E$5:$E$39,AM471))</f>
        <v/>
      </c>
      <c r="AC471" s="0" t="str">
        <f aca="false">IF(AB471="","",IF(ISNUMBER(AB471),AB471*AV471,AB471))</f>
        <v/>
      </c>
      <c r="AD471" s="0" t="str">
        <f aca="false">IF(AM471="","",INDEX(CATÁLOGO!$F$5:$F$39,AM471))</f>
        <v/>
      </c>
      <c r="AE471" s="0" t="str">
        <f aca="false">IF(AD471="","",IF(ISNUMBER(AD471),AD471*AV471,AD471))</f>
        <v/>
      </c>
      <c r="AF471" s="0" t="str">
        <f aca="false">IF(AM471="","",INDEX(CATÁLOGO!$G$5:$G$39,AM471))</f>
        <v/>
      </c>
      <c r="AG471" s="0" t="str">
        <f aca="false">IF(AF471="","",IF(ISNUMBER(AF471),AF471*AV471,AF471))</f>
        <v/>
      </c>
      <c r="AH471" s="0" t="str">
        <f aca="false">IF(E471="","",C471&amp;"|"&amp;D471)</f>
        <v/>
      </c>
      <c r="AI471" s="27" t="n">
        <f aca="false">IF(M471&lt;&gt;"Sí",0,SUMPRODUCT(MAX(($AH$5:AH470=AH471)*($M$5:M470="Sí")*ROW($AH$5:AH470))))</f>
        <v>0</v>
      </c>
      <c r="AJ471" s="0" t="str">
        <f aca="false">IF(M471&lt;&gt;"Sí","",IF(AL471=1,B471,INDEX($AJ:$AJ,AI471)))</f>
        <v/>
      </c>
      <c r="AK471" s="0" t="str">
        <f aca="false">IF(M471&lt;&gt;"Sí","",IF(AL471=1,E471,INDEX($AK:$AK,AI471)+E471))</f>
        <v/>
      </c>
      <c r="AL471" s="0" t="str">
        <f aca="false">IF(M471&lt;&gt;"Sí","",IF(AI471=0,1,IF(INDEX($AN:$AN,AI471)=0,1,IF(B471&gt;=EDATE(INDEX($AJ:$AJ,AI471),6),1,0))))</f>
        <v/>
      </c>
      <c r="AM471" s="0" t="str">
        <f aca="false">IF(D471="","",IFERROR(MATCH(D471,CATÁLOGO!$C$5:$C$39,0),""))</f>
        <v/>
      </c>
      <c r="AN471" s="0" t="str">
        <f aca="false">IF(M471&lt;&gt;"Sí","",IF(AND(ISNUMBER(AE471),AK471&gt;=AE471),0,1))</f>
        <v/>
      </c>
      <c r="AO471" s="0" t="str">
        <f aca="false">IF(OR(E471="",C471="",NOT(ISNUMBER(B471))),"",SUMIFS($E$6:$E$505,$C$6:$C$505,C471,$B$6:$B$505,"&gt;="&amp;DATE(YEAR(B471),MONTH(B471),1),$B$6:$B$505,"&lt;"&amp;DATE(YEAR(B471),MONTH(B471)+1,1)))</f>
        <v/>
      </c>
      <c r="AP471" s="0" t="str">
        <f aca="false">IF(C471="","",IFERROR(INDEX(CLIENTES!$M$6:$M$305,MATCH(C471,CLIENTES!$A$6:$A$305,0)),""))</f>
        <v/>
      </c>
      <c r="AQ471" s="27" t="n">
        <f aca="false">IF(AND(ISNUMBER(AO471),ISNUMBER(AP471)),IF(AND(AP471&gt;0,AO471&gt;AP471),1,0),0)</f>
        <v>0</v>
      </c>
      <c r="AR471" s="27" t="n">
        <f aca="false">IF(NOT(ISNUMBER(B471)),0,IF(B471&lt;MAX($B$5:B470),1,0))</f>
        <v>0</v>
      </c>
      <c r="AS471" s="0" t="str">
        <f aca="false">IF(C471="","",IFERROR(INDEX(CLIENTES!$H$6:$H$305,MATCH(C471,CLIENTES!$A$6:$A$305,0)),""))</f>
        <v/>
      </c>
      <c r="AT471" s="0" t="str">
        <f aca="false">IF(AND(LEFT(P471,5)="AVISO",T471&lt;&gt;"Presentado",ISNUMBER(Q471)),Q471,"")</f>
        <v/>
      </c>
      <c r="AU471" s="27" t="n">
        <f aca="false">IF(AND(D471="XVI - Activos virtuales (PSAV): operación de intercambio/transferencia",M471="Sí",ISNUMBER(AE471)),IF(AK471&gt;=AE471,1,0),0)</f>
        <v>0</v>
      </c>
      <c r="AV471" s="30" t="n">
        <f aca="false">IF(NOT(ISNUMBER(B471)),CONFIG!$B$4,IFERROR(INDEX(CONFIG!$I$5:$I$14,MATCH(IF(MONTH(B471)=1,YEAR(B471)-1,YEAR(B471)),CONFIG!$H$5:$H$14,0)),CONFIG!$B$4))</f>
        <v>117.31</v>
      </c>
      <c r="AW471" s="27" t="n">
        <f aca="false">IF(AND(LEFT(D471,4)="I - ",ISNUMBER(B471),C471&lt;&gt;""),SUMIFS($E$6:$E$505,$C$6:$C$505,C471,$D$6:$D$505,D471,$B$6:$B$505,"&gt;"&amp;(B471-1),$B$6:$B$505,"&lt;="&amp;B471),0)</f>
        <v>0</v>
      </c>
      <c r="AX471" s="0" t="str">
        <f aca="false">IF(E471="","",IF(AD471="Siempre","AVISO (siempre)",IF(AD471="No aplica","Sin Aviso (sólo preparas: Ley 17 XI)",IF(NOT(ISNUMBER(AE471)),"",IF(AA471&lt;&gt;"ACUMULA",IF(E471&gt;=AE471,IF(AND(D471="XVI - Activos virtuales (PSAV): cobro de contraprestación (comisión) por el servicio",COUNTIFS($C$6:$C$505,C471,$B$6:$B$505,"&gt;="&amp;INT(B471),$B$6:$B$505,"&lt;"&amp;(INT(B471)+1),$AU$6:$AU$505,1)&gt;0),"En el Aviso del inciso a) (R 31 Bis)","AVISO"),"—"),IF(M471&lt;&gt;"Sí","—",IF(AK471&gt;=AE471,IF(AK471=E471,"AVISO","AVISO (acumulado)"),"Acumulando")))))))</f>
        <v/>
      </c>
    </row>
    <row r="472" customFormat="false" ht="15" hidden="false" customHeight="false" outlineLevel="0" collapsed="false">
      <c r="A472" s="9" t="str">
        <f aca="false">IF(E472="","",ROW()-5)</f>
        <v/>
      </c>
      <c r="B472" s="20"/>
      <c r="C472" s="21"/>
      <c r="D472" s="21"/>
      <c r="E472" s="22"/>
      <c r="F472" s="22"/>
      <c r="G472" s="21"/>
      <c r="H472" s="21"/>
      <c r="I472" s="9" t="str">
        <f aca="false">IF(C472="","",IFERROR(INDEX(CLIENTES!$B$6:$B$305,MATCH(C472,CLIENTES!$A$6:$A$305,0)),"⚠ ID no registrado"))</f>
        <v/>
      </c>
      <c r="J472" s="9" t="str">
        <f aca="false">IF(C472="","",IFERROR(INDEX(CLIENTES!$Z$6:$Z$305,MATCH(C472,CLIENTES!$A$6:$A$305,0)),""))</f>
        <v/>
      </c>
      <c r="K472" s="9" t="str">
        <f aca="false">IF(E472="","",IF(AB472="Siempre","Sí",IF(ISNUMBER(AC472),IF(E472&gt;=AC472,"Sí",IF(AW472&gt;=AC472,"Sí (serie 24 h)","No")),"")))</f>
        <v/>
      </c>
      <c r="L472" s="9" t="str">
        <f aca="false">IF(E472="","",AA472)</f>
        <v/>
      </c>
      <c r="M472" s="9" t="str">
        <f aca="false">IF(E472="","",IF(AA472&lt;&gt;"ACUMULA","No aplica",IF(LEFT(K472,2)="Sí","Sí","No")))</f>
        <v/>
      </c>
      <c r="N472" s="23" t="str">
        <f aca="false">IF(M472="Sí",AJ472,"")</f>
        <v/>
      </c>
      <c r="O472" s="24" t="str">
        <f aca="false">IF(M472="Sí",AK472,"")</f>
        <v/>
      </c>
      <c r="P472" s="25" t="str">
        <f aca="false">IF(AND(LEFT(D472,6)="XIV - ",LEFT(AX472,5)="AVISO"),"Pedimento (R 16): no va al SPPLD",AX472)</f>
        <v/>
      </c>
      <c r="Q472" s="23" t="str">
        <f aca="false">IF(LEFT(P472,5)="AVISO",IF(ISNUMBER(B472),DATE(YEAR(B472),MONTH(B472)+1,17),"Falta fecha"),"")</f>
        <v/>
      </c>
      <c r="R472" s="9" t="str">
        <f aca="false">IF(OR(F472="",F472=0),"",IF(ISNUMBER(AG472),IF(F472&gt;=AG472,"PROHIBIDO","Dentro del límite"),"No aplica"))</f>
        <v/>
      </c>
      <c r="S472" s="26" t="str">
        <f aca="false">IF(E472="","",MID(IF(AQ472=1," · Excede el perfil declarado","")&amp;IF(H472="Sí"," · Paga un tercero","")&amp;IF(J472="Alto"," · Cliente de riesgo alto: DDR (RCG 23 Ter 3 y 4)","")&amp;IF(AND(AS472&lt;&gt;"",AS472&lt;&gt;"No",AS472&lt;&gt;0)," · PEP","")&amp;IF(R472="PROHIBIDO"," · Efectivo prohibido: no lo recibas (Art. 32)","")&amp;IF(AR472=1," · ⚠ Fecha fuera de orden","")&amp;IF(LEFT(I472,1)="⚠"," · ⚠ Cliente no registrado","")&amp;IF(D472=""," · ⚠ Falta la actividad","")&amp;IF(AND(LEFT(P472,5)="AVISO",W472="")," · Captura la cifra total con IVA para el Aviso","")&amp;IF(AND(ISNUMBER(W472),W472&lt;E472)," · ⚠ La cifra con IVA es menor que el monto sin IVA",""),4,400))</f>
        <v/>
      </c>
      <c r="T472" s="21"/>
      <c r="U472" s="20"/>
      <c r="V472" s="9" t="str">
        <f aca="false">IF(LEFT(P472,5)&lt;&gt;"AVISO","",IF(T472="Presentado",IF(AND(ISNUMBER(U472),ISNUMBER(Q472),U472&gt;Q472),"Presentado tarde","Presentado"),IF(NOT(ISNUMBER(Q472)),"Falta fecha",IF(Q472&lt;CONFIG!$B$6,"VENCIDO","Vence en "&amp;(Q472-CONFIG!$B$6)&amp;" días"))))</f>
        <v/>
      </c>
      <c r="W472" s="22"/>
      <c r="X472" s="21"/>
      <c r="AA472" s="0" t="str">
        <f aca="false">IF(AM472="","",INDEX(CATÁLOGO!$D$5:$D$39,AM472))</f>
        <v/>
      </c>
      <c r="AB472" s="0" t="str">
        <f aca="false">IF(AM472="","",INDEX(CATÁLOGO!$E$5:$E$39,AM472))</f>
        <v/>
      </c>
      <c r="AC472" s="0" t="str">
        <f aca="false">IF(AB472="","",IF(ISNUMBER(AB472),AB472*AV472,AB472))</f>
        <v/>
      </c>
      <c r="AD472" s="0" t="str">
        <f aca="false">IF(AM472="","",INDEX(CATÁLOGO!$F$5:$F$39,AM472))</f>
        <v/>
      </c>
      <c r="AE472" s="0" t="str">
        <f aca="false">IF(AD472="","",IF(ISNUMBER(AD472),AD472*AV472,AD472))</f>
        <v/>
      </c>
      <c r="AF472" s="0" t="str">
        <f aca="false">IF(AM472="","",INDEX(CATÁLOGO!$G$5:$G$39,AM472))</f>
        <v/>
      </c>
      <c r="AG472" s="0" t="str">
        <f aca="false">IF(AF472="","",IF(ISNUMBER(AF472),AF472*AV472,AF472))</f>
        <v/>
      </c>
      <c r="AH472" s="0" t="str">
        <f aca="false">IF(E472="","",C472&amp;"|"&amp;D472)</f>
        <v/>
      </c>
      <c r="AI472" s="27" t="n">
        <f aca="false">IF(M472&lt;&gt;"Sí",0,SUMPRODUCT(MAX(($AH$5:AH471=AH472)*($M$5:M471="Sí")*ROW($AH$5:AH471))))</f>
        <v>0</v>
      </c>
      <c r="AJ472" s="0" t="str">
        <f aca="false">IF(M472&lt;&gt;"Sí","",IF(AL472=1,B472,INDEX($AJ:$AJ,AI472)))</f>
        <v/>
      </c>
      <c r="AK472" s="0" t="str">
        <f aca="false">IF(M472&lt;&gt;"Sí","",IF(AL472=1,E472,INDEX($AK:$AK,AI472)+E472))</f>
        <v/>
      </c>
      <c r="AL472" s="0" t="str">
        <f aca="false">IF(M472&lt;&gt;"Sí","",IF(AI472=0,1,IF(INDEX($AN:$AN,AI472)=0,1,IF(B472&gt;=EDATE(INDEX($AJ:$AJ,AI472),6),1,0))))</f>
        <v/>
      </c>
      <c r="AM472" s="0" t="str">
        <f aca="false">IF(D472="","",IFERROR(MATCH(D472,CATÁLOGO!$C$5:$C$39,0),""))</f>
        <v/>
      </c>
      <c r="AN472" s="0" t="str">
        <f aca="false">IF(M472&lt;&gt;"Sí","",IF(AND(ISNUMBER(AE472),AK472&gt;=AE472),0,1))</f>
        <v/>
      </c>
      <c r="AO472" s="0" t="str">
        <f aca="false">IF(OR(E472="",C472="",NOT(ISNUMBER(B472))),"",SUMIFS($E$6:$E$505,$C$6:$C$505,C472,$B$6:$B$505,"&gt;="&amp;DATE(YEAR(B472),MONTH(B472),1),$B$6:$B$505,"&lt;"&amp;DATE(YEAR(B472),MONTH(B472)+1,1)))</f>
        <v/>
      </c>
      <c r="AP472" s="0" t="str">
        <f aca="false">IF(C472="","",IFERROR(INDEX(CLIENTES!$M$6:$M$305,MATCH(C472,CLIENTES!$A$6:$A$305,0)),""))</f>
        <v/>
      </c>
      <c r="AQ472" s="27" t="n">
        <f aca="false">IF(AND(ISNUMBER(AO472),ISNUMBER(AP472)),IF(AND(AP472&gt;0,AO472&gt;AP472),1,0),0)</f>
        <v>0</v>
      </c>
      <c r="AR472" s="27" t="n">
        <f aca="false">IF(NOT(ISNUMBER(B472)),0,IF(B472&lt;MAX($B$5:B471),1,0))</f>
        <v>0</v>
      </c>
      <c r="AS472" s="0" t="str">
        <f aca="false">IF(C472="","",IFERROR(INDEX(CLIENTES!$H$6:$H$305,MATCH(C472,CLIENTES!$A$6:$A$305,0)),""))</f>
        <v/>
      </c>
      <c r="AT472" s="0" t="str">
        <f aca="false">IF(AND(LEFT(P472,5)="AVISO",T472&lt;&gt;"Presentado",ISNUMBER(Q472)),Q472,"")</f>
        <v/>
      </c>
      <c r="AU472" s="27" t="n">
        <f aca="false">IF(AND(D472="XVI - Activos virtuales (PSAV): operación de intercambio/transferencia",M472="Sí",ISNUMBER(AE472)),IF(AK472&gt;=AE472,1,0),0)</f>
        <v>0</v>
      </c>
      <c r="AV472" s="30" t="n">
        <f aca="false">IF(NOT(ISNUMBER(B472)),CONFIG!$B$4,IFERROR(INDEX(CONFIG!$I$5:$I$14,MATCH(IF(MONTH(B472)=1,YEAR(B472)-1,YEAR(B472)),CONFIG!$H$5:$H$14,0)),CONFIG!$B$4))</f>
        <v>117.31</v>
      </c>
      <c r="AW472" s="27" t="n">
        <f aca="false">IF(AND(LEFT(D472,4)="I - ",ISNUMBER(B472),C472&lt;&gt;""),SUMIFS($E$6:$E$505,$C$6:$C$505,C472,$D$6:$D$505,D472,$B$6:$B$505,"&gt;"&amp;(B472-1),$B$6:$B$505,"&lt;="&amp;B472),0)</f>
        <v>0</v>
      </c>
      <c r="AX472" s="0" t="str">
        <f aca="false">IF(E472="","",IF(AD472="Siempre","AVISO (siempre)",IF(AD472="No aplica","Sin Aviso (sólo preparas: Ley 17 XI)",IF(NOT(ISNUMBER(AE472)),"",IF(AA472&lt;&gt;"ACUMULA",IF(E472&gt;=AE472,IF(AND(D472="XVI - Activos virtuales (PSAV): cobro de contraprestación (comisión) por el servicio",COUNTIFS($C$6:$C$505,C472,$B$6:$B$505,"&gt;="&amp;INT(B472),$B$6:$B$505,"&lt;"&amp;(INT(B472)+1),$AU$6:$AU$505,1)&gt;0),"En el Aviso del inciso a) (R 31 Bis)","AVISO"),"—"),IF(M472&lt;&gt;"Sí","—",IF(AK472&gt;=AE472,IF(AK472=E472,"AVISO","AVISO (acumulado)"),"Acumulando")))))))</f>
        <v/>
      </c>
    </row>
    <row r="473" customFormat="false" ht="15" hidden="false" customHeight="false" outlineLevel="0" collapsed="false">
      <c r="A473" s="9" t="str">
        <f aca="false">IF(E473="","",ROW()-5)</f>
        <v/>
      </c>
      <c r="B473" s="20"/>
      <c r="C473" s="21"/>
      <c r="D473" s="21"/>
      <c r="E473" s="22"/>
      <c r="F473" s="22"/>
      <c r="G473" s="21"/>
      <c r="H473" s="21"/>
      <c r="I473" s="9" t="str">
        <f aca="false">IF(C473="","",IFERROR(INDEX(CLIENTES!$B$6:$B$305,MATCH(C473,CLIENTES!$A$6:$A$305,0)),"⚠ ID no registrado"))</f>
        <v/>
      </c>
      <c r="J473" s="9" t="str">
        <f aca="false">IF(C473="","",IFERROR(INDEX(CLIENTES!$Z$6:$Z$305,MATCH(C473,CLIENTES!$A$6:$A$305,0)),""))</f>
        <v/>
      </c>
      <c r="K473" s="9" t="str">
        <f aca="false">IF(E473="","",IF(AB473="Siempre","Sí",IF(ISNUMBER(AC473),IF(E473&gt;=AC473,"Sí",IF(AW473&gt;=AC473,"Sí (serie 24 h)","No")),"")))</f>
        <v/>
      </c>
      <c r="L473" s="9" t="str">
        <f aca="false">IF(E473="","",AA473)</f>
        <v/>
      </c>
      <c r="M473" s="9" t="str">
        <f aca="false">IF(E473="","",IF(AA473&lt;&gt;"ACUMULA","No aplica",IF(LEFT(K473,2)="Sí","Sí","No")))</f>
        <v/>
      </c>
      <c r="N473" s="23" t="str">
        <f aca="false">IF(M473="Sí",AJ473,"")</f>
        <v/>
      </c>
      <c r="O473" s="24" t="str">
        <f aca="false">IF(M473="Sí",AK473,"")</f>
        <v/>
      </c>
      <c r="P473" s="25" t="str">
        <f aca="false">IF(AND(LEFT(D473,6)="XIV - ",LEFT(AX473,5)="AVISO"),"Pedimento (R 16): no va al SPPLD",AX473)</f>
        <v/>
      </c>
      <c r="Q473" s="23" t="str">
        <f aca="false">IF(LEFT(P473,5)="AVISO",IF(ISNUMBER(B473),DATE(YEAR(B473),MONTH(B473)+1,17),"Falta fecha"),"")</f>
        <v/>
      </c>
      <c r="R473" s="9" t="str">
        <f aca="false">IF(OR(F473="",F473=0),"",IF(ISNUMBER(AG473),IF(F473&gt;=AG473,"PROHIBIDO","Dentro del límite"),"No aplica"))</f>
        <v/>
      </c>
      <c r="S473" s="26" t="str">
        <f aca="false">IF(E473="","",MID(IF(AQ473=1," · Excede el perfil declarado","")&amp;IF(H473="Sí"," · Paga un tercero","")&amp;IF(J473="Alto"," · Cliente de riesgo alto: DDR (RCG 23 Ter 3 y 4)","")&amp;IF(AND(AS473&lt;&gt;"",AS473&lt;&gt;"No",AS473&lt;&gt;0)," · PEP","")&amp;IF(R473="PROHIBIDO"," · Efectivo prohibido: no lo recibas (Art. 32)","")&amp;IF(AR473=1," · ⚠ Fecha fuera de orden","")&amp;IF(LEFT(I473,1)="⚠"," · ⚠ Cliente no registrado","")&amp;IF(D473=""," · ⚠ Falta la actividad","")&amp;IF(AND(LEFT(P473,5)="AVISO",W473="")," · Captura la cifra total con IVA para el Aviso","")&amp;IF(AND(ISNUMBER(W473),W473&lt;E473)," · ⚠ La cifra con IVA es menor que el monto sin IVA",""),4,400))</f>
        <v/>
      </c>
      <c r="T473" s="21"/>
      <c r="U473" s="20"/>
      <c r="V473" s="9" t="str">
        <f aca="false">IF(LEFT(P473,5)&lt;&gt;"AVISO","",IF(T473="Presentado",IF(AND(ISNUMBER(U473),ISNUMBER(Q473),U473&gt;Q473),"Presentado tarde","Presentado"),IF(NOT(ISNUMBER(Q473)),"Falta fecha",IF(Q473&lt;CONFIG!$B$6,"VENCIDO","Vence en "&amp;(Q473-CONFIG!$B$6)&amp;" días"))))</f>
        <v/>
      </c>
      <c r="W473" s="22"/>
      <c r="X473" s="21"/>
      <c r="AA473" s="0" t="str">
        <f aca="false">IF(AM473="","",INDEX(CATÁLOGO!$D$5:$D$39,AM473))</f>
        <v/>
      </c>
      <c r="AB473" s="0" t="str">
        <f aca="false">IF(AM473="","",INDEX(CATÁLOGO!$E$5:$E$39,AM473))</f>
        <v/>
      </c>
      <c r="AC473" s="0" t="str">
        <f aca="false">IF(AB473="","",IF(ISNUMBER(AB473),AB473*AV473,AB473))</f>
        <v/>
      </c>
      <c r="AD473" s="0" t="str">
        <f aca="false">IF(AM473="","",INDEX(CATÁLOGO!$F$5:$F$39,AM473))</f>
        <v/>
      </c>
      <c r="AE473" s="0" t="str">
        <f aca="false">IF(AD473="","",IF(ISNUMBER(AD473),AD473*AV473,AD473))</f>
        <v/>
      </c>
      <c r="AF473" s="0" t="str">
        <f aca="false">IF(AM473="","",INDEX(CATÁLOGO!$G$5:$G$39,AM473))</f>
        <v/>
      </c>
      <c r="AG473" s="0" t="str">
        <f aca="false">IF(AF473="","",IF(ISNUMBER(AF473),AF473*AV473,AF473))</f>
        <v/>
      </c>
      <c r="AH473" s="0" t="str">
        <f aca="false">IF(E473="","",C473&amp;"|"&amp;D473)</f>
        <v/>
      </c>
      <c r="AI473" s="27" t="n">
        <f aca="false">IF(M473&lt;&gt;"Sí",0,SUMPRODUCT(MAX(($AH$5:AH472=AH473)*($M$5:M472="Sí")*ROW($AH$5:AH472))))</f>
        <v>0</v>
      </c>
      <c r="AJ473" s="0" t="str">
        <f aca="false">IF(M473&lt;&gt;"Sí","",IF(AL473=1,B473,INDEX($AJ:$AJ,AI473)))</f>
        <v/>
      </c>
      <c r="AK473" s="0" t="str">
        <f aca="false">IF(M473&lt;&gt;"Sí","",IF(AL473=1,E473,INDEX($AK:$AK,AI473)+E473))</f>
        <v/>
      </c>
      <c r="AL473" s="0" t="str">
        <f aca="false">IF(M473&lt;&gt;"Sí","",IF(AI473=0,1,IF(INDEX($AN:$AN,AI473)=0,1,IF(B473&gt;=EDATE(INDEX($AJ:$AJ,AI473),6),1,0))))</f>
        <v/>
      </c>
      <c r="AM473" s="0" t="str">
        <f aca="false">IF(D473="","",IFERROR(MATCH(D473,CATÁLOGO!$C$5:$C$39,0),""))</f>
        <v/>
      </c>
      <c r="AN473" s="0" t="str">
        <f aca="false">IF(M473&lt;&gt;"Sí","",IF(AND(ISNUMBER(AE473),AK473&gt;=AE473),0,1))</f>
        <v/>
      </c>
      <c r="AO473" s="0" t="str">
        <f aca="false">IF(OR(E473="",C473="",NOT(ISNUMBER(B473))),"",SUMIFS($E$6:$E$505,$C$6:$C$505,C473,$B$6:$B$505,"&gt;="&amp;DATE(YEAR(B473),MONTH(B473),1),$B$6:$B$505,"&lt;"&amp;DATE(YEAR(B473),MONTH(B473)+1,1)))</f>
        <v/>
      </c>
      <c r="AP473" s="0" t="str">
        <f aca="false">IF(C473="","",IFERROR(INDEX(CLIENTES!$M$6:$M$305,MATCH(C473,CLIENTES!$A$6:$A$305,0)),""))</f>
        <v/>
      </c>
      <c r="AQ473" s="27" t="n">
        <f aca="false">IF(AND(ISNUMBER(AO473),ISNUMBER(AP473)),IF(AND(AP473&gt;0,AO473&gt;AP473),1,0),0)</f>
        <v>0</v>
      </c>
      <c r="AR473" s="27" t="n">
        <f aca="false">IF(NOT(ISNUMBER(B473)),0,IF(B473&lt;MAX($B$5:B472),1,0))</f>
        <v>0</v>
      </c>
      <c r="AS473" s="0" t="str">
        <f aca="false">IF(C473="","",IFERROR(INDEX(CLIENTES!$H$6:$H$305,MATCH(C473,CLIENTES!$A$6:$A$305,0)),""))</f>
        <v/>
      </c>
      <c r="AT473" s="0" t="str">
        <f aca="false">IF(AND(LEFT(P473,5)="AVISO",T473&lt;&gt;"Presentado",ISNUMBER(Q473)),Q473,"")</f>
        <v/>
      </c>
      <c r="AU473" s="27" t="n">
        <f aca="false">IF(AND(D473="XVI - Activos virtuales (PSAV): operación de intercambio/transferencia",M473="Sí",ISNUMBER(AE473)),IF(AK473&gt;=AE473,1,0),0)</f>
        <v>0</v>
      </c>
      <c r="AV473" s="30" t="n">
        <f aca="false">IF(NOT(ISNUMBER(B473)),CONFIG!$B$4,IFERROR(INDEX(CONFIG!$I$5:$I$14,MATCH(IF(MONTH(B473)=1,YEAR(B473)-1,YEAR(B473)),CONFIG!$H$5:$H$14,0)),CONFIG!$B$4))</f>
        <v>117.31</v>
      </c>
      <c r="AW473" s="27" t="n">
        <f aca="false">IF(AND(LEFT(D473,4)="I - ",ISNUMBER(B473),C473&lt;&gt;""),SUMIFS($E$6:$E$505,$C$6:$C$505,C473,$D$6:$D$505,D473,$B$6:$B$505,"&gt;"&amp;(B473-1),$B$6:$B$505,"&lt;="&amp;B473),0)</f>
        <v>0</v>
      </c>
      <c r="AX473" s="0" t="str">
        <f aca="false">IF(E473="","",IF(AD473="Siempre","AVISO (siempre)",IF(AD473="No aplica","Sin Aviso (sólo preparas: Ley 17 XI)",IF(NOT(ISNUMBER(AE473)),"",IF(AA473&lt;&gt;"ACUMULA",IF(E473&gt;=AE473,IF(AND(D473="XVI - Activos virtuales (PSAV): cobro de contraprestación (comisión) por el servicio",COUNTIFS($C$6:$C$505,C473,$B$6:$B$505,"&gt;="&amp;INT(B473),$B$6:$B$505,"&lt;"&amp;(INT(B473)+1),$AU$6:$AU$505,1)&gt;0),"En el Aviso del inciso a) (R 31 Bis)","AVISO"),"—"),IF(M473&lt;&gt;"Sí","—",IF(AK473&gt;=AE473,IF(AK473=E473,"AVISO","AVISO (acumulado)"),"Acumulando")))))))</f>
        <v/>
      </c>
    </row>
    <row r="474" customFormat="false" ht="15" hidden="false" customHeight="false" outlineLevel="0" collapsed="false">
      <c r="A474" s="9" t="str">
        <f aca="false">IF(E474="","",ROW()-5)</f>
        <v/>
      </c>
      <c r="B474" s="20"/>
      <c r="C474" s="21"/>
      <c r="D474" s="21"/>
      <c r="E474" s="22"/>
      <c r="F474" s="22"/>
      <c r="G474" s="21"/>
      <c r="H474" s="21"/>
      <c r="I474" s="9" t="str">
        <f aca="false">IF(C474="","",IFERROR(INDEX(CLIENTES!$B$6:$B$305,MATCH(C474,CLIENTES!$A$6:$A$305,0)),"⚠ ID no registrado"))</f>
        <v/>
      </c>
      <c r="J474" s="9" t="str">
        <f aca="false">IF(C474="","",IFERROR(INDEX(CLIENTES!$Z$6:$Z$305,MATCH(C474,CLIENTES!$A$6:$A$305,0)),""))</f>
        <v/>
      </c>
      <c r="K474" s="9" t="str">
        <f aca="false">IF(E474="","",IF(AB474="Siempre","Sí",IF(ISNUMBER(AC474),IF(E474&gt;=AC474,"Sí",IF(AW474&gt;=AC474,"Sí (serie 24 h)","No")),"")))</f>
        <v/>
      </c>
      <c r="L474" s="9" t="str">
        <f aca="false">IF(E474="","",AA474)</f>
        <v/>
      </c>
      <c r="M474" s="9" t="str">
        <f aca="false">IF(E474="","",IF(AA474&lt;&gt;"ACUMULA","No aplica",IF(LEFT(K474,2)="Sí","Sí","No")))</f>
        <v/>
      </c>
      <c r="N474" s="23" t="str">
        <f aca="false">IF(M474="Sí",AJ474,"")</f>
        <v/>
      </c>
      <c r="O474" s="24" t="str">
        <f aca="false">IF(M474="Sí",AK474,"")</f>
        <v/>
      </c>
      <c r="P474" s="25" t="str">
        <f aca="false">IF(AND(LEFT(D474,6)="XIV - ",LEFT(AX474,5)="AVISO"),"Pedimento (R 16): no va al SPPLD",AX474)</f>
        <v/>
      </c>
      <c r="Q474" s="23" t="str">
        <f aca="false">IF(LEFT(P474,5)="AVISO",IF(ISNUMBER(B474),DATE(YEAR(B474),MONTH(B474)+1,17),"Falta fecha"),"")</f>
        <v/>
      </c>
      <c r="R474" s="9" t="str">
        <f aca="false">IF(OR(F474="",F474=0),"",IF(ISNUMBER(AG474),IF(F474&gt;=AG474,"PROHIBIDO","Dentro del límite"),"No aplica"))</f>
        <v/>
      </c>
      <c r="S474" s="26" t="str">
        <f aca="false">IF(E474="","",MID(IF(AQ474=1," · Excede el perfil declarado","")&amp;IF(H474="Sí"," · Paga un tercero","")&amp;IF(J474="Alto"," · Cliente de riesgo alto: DDR (RCG 23 Ter 3 y 4)","")&amp;IF(AND(AS474&lt;&gt;"",AS474&lt;&gt;"No",AS474&lt;&gt;0)," · PEP","")&amp;IF(R474="PROHIBIDO"," · Efectivo prohibido: no lo recibas (Art. 32)","")&amp;IF(AR474=1," · ⚠ Fecha fuera de orden","")&amp;IF(LEFT(I474,1)="⚠"," · ⚠ Cliente no registrado","")&amp;IF(D474=""," · ⚠ Falta la actividad","")&amp;IF(AND(LEFT(P474,5)="AVISO",W474="")," · Captura la cifra total con IVA para el Aviso","")&amp;IF(AND(ISNUMBER(W474),W474&lt;E474)," · ⚠ La cifra con IVA es menor que el monto sin IVA",""),4,400))</f>
        <v/>
      </c>
      <c r="T474" s="21"/>
      <c r="U474" s="20"/>
      <c r="V474" s="9" t="str">
        <f aca="false">IF(LEFT(P474,5)&lt;&gt;"AVISO","",IF(T474="Presentado",IF(AND(ISNUMBER(U474),ISNUMBER(Q474),U474&gt;Q474),"Presentado tarde","Presentado"),IF(NOT(ISNUMBER(Q474)),"Falta fecha",IF(Q474&lt;CONFIG!$B$6,"VENCIDO","Vence en "&amp;(Q474-CONFIG!$B$6)&amp;" días"))))</f>
        <v/>
      </c>
      <c r="W474" s="22"/>
      <c r="X474" s="21"/>
      <c r="AA474" s="0" t="str">
        <f aca="false">IF(AM474="","",INDEX(CATÁLOGO!$D$5:$D$39,AM474))</f>
        <v/>
      </c>
      <c r="AB474" s="0" t="str">
        <f aca="false">IF(AM474="","",INDEX(CATÁLOGO!$E$5:$E$39,AM474))</f>
        <v/>
      </c>
      <c r="AC474" s="0" t="str">
        <f aca="false">IF(AB474="","",IF(ISNUMBER(AB474),AB474*AV474,AB474))</f>
        <v/>
      </c>
      <c r="AD474" s="0" t="str">
        <f aca="false">IF(AM474="","",INDEX(CATÁLOGO!$F$5:$F$39,AM474))</f>
        <v/>
      </c>
      <c r="AE474" s="0" t="str">
        <f aca="false">IF(AD474="","",IF(ISNUMBER(AD474),AD474*AV474,AD474))</f>
        <v/>
      </c>
      <c r="AF474" s="0" t="str">
        <f aca="false">IF(AM474="","",INDEX(CATÁLOGO!$G$5:$G$39,AM474))</f>
        <v/>
      </c>
      <c r="AG474" s="0" t="str">
        <f aca="false">IF(AF474="","",IF(ISNUMBER(AF474),AF474*AV474,AF474))</f>
        <v/>
      </c>
      <c r="AH474" s="0" t="str">
        <f aca="false">IF(E474="","",C474&amp;"|"&amp;D474)</f>
        <v/>
      </c>
      <c r="AI474" s="27" t="n">
        <f aca="false">IF(M474&lt;&gt;"Sí",0,SUMPRODUCT(MAX(($AH$5:AH473=AH474)*($M$5:M473="Sí")*ROW($AH$5:AH473))))</f>
        <v>0</v>
      </c>
      <c r="AJ474" s="0" t="str">
        <f aca="false">IF(M474&lt;&gt;"Sí","",IF(AL474=1,B474,INDEX($AJ:$AJ,AI474)))</f>
        <v/>
      </c>
      <c r="AK474" s="0" t="str">
        <f aca="false">IF(M474&lt;&gt;"Sí","",IF(AL474=1,E474,INDEX($AK:$AK,AI474)+E474))</f>
        <v/>
      </c>
      <c r="AL474" s="0" t="str">
        <f aca="false">IF(M474&lt;&gt;"Sí","",IF(AI474=0,1,IF(INDEX($AN:$AN,AI474)=0,1,IF(B474&gt;=EDATE(INDEX($AJ:$AJ,AI474),6),1,0))))</f>
        <v/>
      </c>
      <c r="AM474" s="0" t="str">
        <f aca="false">IF(D474="","",IFERROR(MATCH(D474,CATÁLOGO!$C$5:$C$39,0),""))</f>
        <v/>
      </c>
      <c r="AN474" s="0" t="str">
        <f aca="false">IF(M474&lt;&gt;"Sí","",IF(AND(ISNUMBER(AE474),AK474&gt;=AE474),0,1))</f>
        <v/>
      </c>
      <c r="AO474" s="0" t="str">
        <f aca="false">IF(OR(E474="",C474="",NOT(ISNUMBER(B474))),"",SUMIFS($E$6:$E$505,$C$6:$C$505,C474,$B$6:$B$505,"&gt;="&amp;DATE(YEAR(B474),MONTH(B474),1),$B$6:$B$505,"&lt;"&amp;DATE(YEAR(B474),MONTH(B474)+1,1)))</f>
        <v/>
      </c>
      <c r="AP474" s="0" t="str">
        <f aca="false">IF(C474="","",IFERROR(INDEX(CLIENTES!$M$6:$M$305,MATCH(C474,CLIENTES!$A$6:$A$305,0)),""))</f>
        <v/>
      </c>
      <c r="AQ474" s="27" t="n">
        <f aca="false">IF(AND(ISNUMBER(AO474),ISNUMBER(AP474)),IF(AND(AP474&gt;0,AO474&gt;AP474),1,0),0)</f>
        <v>0</v>
      </c>
      <c r="AR474" s="27" t="n">
        <f aca="false">IF(NOT(ISNUMBER(B474)),0,IF(B474&lt;MAX($B$5:B473),1,0))</f>
        <v>0</v>
      </c>
      <c r="AS474" s="0" t="str">
        <f aca="false">IF(C474="","",IFERROR(INDEX(CLIENTES!$H$6:$H$305,MATCH(C474,CLIENTES!$A$6:$A$305,0)),""))</f>
        <v/>
      </c>
      <c r="AT474" s="0" t="str">
        <f aca="false">IF(AND(LEFT(P474,5)="AVISO",T474&lt;&gt;"Presentado",ISNUMBER(Q474)),Q474,"")</f>
        <v/>
      </c>
      <c r="AU474" s="27" t="n">
        <f aca="false">IF(AND(D474="XVI - Activos virtuales (PSAV): operación de intercambio/transferencia",M474="Sí",ISNUMBER(AE474)),IF(AK474&gt;=AE474,1,0),0)</f>
        <v>0</v>
      </c>
      <c r="AV474" s="30" t="n">
        <f aca="false">IF(NOT(ISNUMBER(B474)),CONFIG!$B$4,IFERROR(INDEX(CONFIG!$I$5:$I$14,MATCH(IF(MONTH(B474)=1,YEAR(B474)-1,YEAR(B474)),CONFIG!$H$5:$H$14,0)),CONFIG!$B$4))</f>
        <v>117.31</v>
      </c>
      <c r="AW474" s="27" t="n">
        <f aca="false">IF(AND(LEFT(D474,4)="I - ",ISNUMBER(B474),C474&lt;&gt;""),SUMIFS($E$6:$E$505,$C$6:$C$505,C474,$D$6:$D$505,D474,$B$6:$B$505,"&gt;"&amp;(B474-1),$B$6:$B$505,"&lt;="&amp;B474),0)</f>
        <v>0</v>
      </c>
      <c r="AX474" s="0" t="str">
        <f aca="false">IF(E474="","",IF(AD474="Siempre","AVISO (siempre)",IF(AD474="No aplica","Sin Aviso (sólo preparas: Ley 17 XI)",IF(NOT(ISNUMBER(AE474)),"",IF(AA474&lt;&gt;"ACUMULA",IF(E474&gt;=AE474,IF(AND(D474="XVI - Activos virtuales (PSAV): cobro de contraprestación (comisión) por el servicio",COUNTIFS($C$6:$C$505,C474,$B$6:$B$505,"&gt;="&amp;INT(B474),$B$6:$B$505,"&lt;"&amp;(INT(B474)+1),$AU$6:$AU$505,1)&gt;0),"En el Aviso del inciso a) (R 31 Bis)","AVISO"),"—"),IF(M474&lt;&gt;"Sí","—",IF(AK474&gt;=AE474,IF(AK474=E474,"AVISO","AVISO (acumulado)"),"Acumulando")))))))</f>
        <v/>
      </c>
    </row>
    <row r="475" customFormat="false" ht="15" hidden="false" customHeight="false" outlineLevel="0" collapsed="false">
      <c r="A475" s="9" t="str">
        <f aca="false">IF(E475="","",ROW()-5)</f>
        <v/>
      </c>
      <c r="B475" s="20"/>
      <c r="C475" s="21"/>
      <c r="D475" s="21"/>
      <c r="E475" s="22"/>
      <c r="F475" s="22"/>
      <c r="G475" s="21"/>
      <c r="H475" s="21"/>
      <c r="I475" s="9" t="str">
        <f aca="false">IF(C475="","",IFERROR(INDEX(CLIENTES!$B$6:$B$305,MATCH(C475,CLIENTES!$A$6:$A$305,0)),"⚠ ID no registrado"))</f>
        <v/>
      </c>
      <c r="J475" s="9" t="str">
        <f aca="false">IF(C475="","",IFERROR(INDEX(CLIENTES!$Z$6:$Z$305,MATCH(C475,CLIENTES!$A$6:$A$305,0)),""))</f>
        <v/>
      </c>
      <c r="K475" s="9" t="str">
        <f aca="false">IF(E475="","",IF(AB475="Siempre","Sí",IF(ISNUMBER(AC475),IF(E475&gt;=AC475,"Sí",IF(AW475&gt;=AC475,"Sí (serie 24 h)","No")),"")))</f>
        <v/>
      </c>
      <c r="L475" s="9" t="str">
        <f aca="false">IF(E475="","",AA475)</f>
        <v/>
      </c>
      <c r="M475" s="9" t="str">
        <f aca="false">IF(E475="","",IF(AA475&lt;&gt;"ACUMULA","No aplica",IF(LEFT(K475,2)="Sí","Sí","No")))</f>
        <v/>
      </c>
      <c r="N475" s="23" t="str">
        <f aca="false">IF(M475="Sí",AJ475,"")</f>
        <v/>
      </c>
      <c r="O475" s="24" t="str">
        <f aca="false">IF(M475="Sí",AK475,"")</f>
        <v/>
      </c>
      <c r="P475" s="25" t="str">
        <f aca="false">IF(AND(LEFT(D475,6)="XIV - ",LEFT(AX475,5)="AVISO"),"Pedimento (R 16): no va al SPPLD",AX475)</f>
        <v/>
      </c>
      <c r="Q475" s="23" t="str">
        <f aca="false">IF(LEFT(P475,5)="AVISO",IF(ISNUMBER(B475),DATE(YEAR(B475),MONTH(B475)+1,17),"Falta fecha"),"")</f>
        <v/>
      </c>
      <c r="R475" s="9" t="str">
        <f aca="false">IF(OR(F475="",F475=0),"",IF(ISNUMBER(AG475),IF(F475&gt;=AG475,"PROHIBIDO","Dentro del límite"),"No aplica"))</f>
        <v/>
      </c>
      <c r="S475" s="26" t="str">
        <f aca="false">IF(E475="","",MID(IF(AQ475=1," · Excede el perfil declarado","")&amp;IF(H475="Sí"," · Paga un tercero","")&amp;IF(J475="Alto"," · Cliente de riesgo alto: DDR (RCG 23 Ter 3 y 4)","")&amp;IF(AND(AS475&lt;&gt;"",AS475&lt;&gt;"No",AS475&lt;&gt;0)," · PEP","")&amp;IF(R475="PROHIBIDO"," · Efectivo prohibido: no lo recibas (Art. 32)","")&amp;IF(AR475=1," · ⚠ Fecha fuera de orden","")&amp;IF(LEFT(I475,1)="⚠"," · ⚠ Cliente no registrado","")&amp;IF(D475=""," · ⚠ Falta la actividad","")&amp;IF(AND(LEFT(P475,5)="AVISO",W475="")," · Captura la cifra total con IVA para el Aviso","")&amp;IF(AND(ISNUMBER(W475),W475&lt;E475)," · ⚠ La cifra con IVA es menor que el monto sin IVA",""),4,400))</f>
        <v/>
      </c>
      <c r="T475" s="21"/>
      <c r="U475" s="20"/>
      <c r="V475" s="9" t="str">
        <f aca="false">IF(LEFT(P475,5)&lt;&gt;"AVISO","",IF(T475="Presentado",IF(AND(ISNUMBER(U475),ISNUMBER(Q475),U475&gt;Q475),"Presentado tarde","Presentado"),IF(NOT(ISNUMBER(Q475)),"Falta fecha",IF(Q475&lt;CONFIG!$B$6,"VENCIDO","Vence en "&amp;(Q475-CONFIG!$B$6)&amp;" días"))))</f>
        <v/>
      </c>
      <c r="W475" s="22"/>
      <c r="X475" s="21"/>
      <c r="AA475" s="0" t="str">
        <f aca="false">IF(AM475="","",INDEX(CATÁLOGO!$D$5:$D$39,AM475))</f>
        <v/>
      </c>
      <c r="AB475" s="0" t="str">
        <f aca="false">IF(AM475="","",INDEX(CATÁLOGO!$E$5:$E$39,AM475))</f>
        <v/>
      </c>
      <c r="AC475" s="0" t="str">
        <f aca="false">IF(AB475="","",IF(ISNUMBER(AB475),AB475*AV475,AB475))</f>
        <v/>
      </c>
      <c r="AD475" s="0" t="str">
        <f aca="false">IF(AM475="","",INDEX(CATÁLOGO!$F$5:$F$39,AM475))</f>
        <v/>
      </c>
      <c r="AE475" s="0" t="str">
        <f aca="false">IF(AD475="","",IF(ISNUMBER(AD475),AD475*AV475,AD475))</f>
        <v/>
      </c>
      <c r="AF475" s="0" t="str">
        <f aca="false">IF(AM475="","",INDEX(CATÁLOGO!$G$5:$G$39,AM475))</f>
        <v/>
      </c>
      <c r="AG475" s="0" t="str">
        <f aca="false">IF(AF475="","",IF(ISNUMBER(AF475),AF475*AV475,AF475))</f>
        <v/>
      </c>
      <c r="AH475" s="0" t="str">
        <f aca="false">IF(E475="","",C475&amp;"|"&amp;D475)</f>
        <v/>
      </c>
      <c r="AI475" s="27" t="n">
        <f aca="false">IF(M475&lt;&gt;"Sí",0,SUMPRODUCT(MAX(($AH$5:AH474=AH475)*($M$5:M474="Sí")*ROW($AH$5:AH474))))</f>
        <v>0</v>
      </c>
      <c r="AJ475" s="0" t="str">
        <f aca="false">IF(M475&lt;&gt;"Sí","",IF(AL475=1,B475,INDEX($AJ:$AJ,AI475)))</f>
        <v/>
      </c>
      <c r="AK475" s="0" t="str">
        <f aca="false">IF(M475&lt;&gt;"Sí","",IF(AL475=1,E475,INDEX($AK:$AK,AI475)+E475))</f>
        <v/>
      </c>
      <c r="AL475" s="0" t="str">
        <f aca="false">IF(M475&lt;&gt;"Sí","",IF(AI475=0,1,IF(INDEX($AN:$AN,AI475)=0,1,IF(B475&gt;=EDATE(INDEX($AJ:$AJ,AI475),6),1,0))))</f>
        <v/>
      </c>
      <c r="AM475" s="0" t="str">
        <f aca="false">IF(D475="","",IFERROR(MATCH(D475,CATÁLOGO!$C$5:$C$39,0),""))</f>
        <v/>
      </c>
      <c r="AN475" s="0" t="str">
        <f aca="false">IF(M475&lt;&gt;"Sí","",IF(AND(ISNUMBER(AE475),AK475&gt;=AE475),0,1))</f>
        <v/>
      </c>
      <c r="AO475" s="0" t="str">
        <f aca="false">IF(OR(E475="",C475="",NOT(ISNUMBER(B475))),"",SUMIFS($E$6:$E$505,$C$6:$C$505,C475,$B$6:$B$505,"&gt;="&amp;DATE(YEAR(B475),MONTH(B475),1),$B$6:$B$505,"&lt;"&amp;DATE(YEAR(B475),MONTH(B475)+1,1)))</f>
        <v/>
      </c>
      <c r="AP475" s="0" t="str">
        <f aca="false">IF(C475="","",IFERROR(INDEX(CLIENTES!$M$6:$M$305,MATCH(C475,CLIENTES!$A$6:$A$305,0)),""))</f>
        <v/>
      </c>
      <c r="AQ475" s="27" t="n">
        <f aca="false">IF(AND(ISNUMBER(AO475),ISNUMBER(AP475)),IF(AND(AP475&gt;0,AO475&gt;AP475),1,0),0)</f>
        <v>0</v>
      </c>
      <c r="AR475" s="27" t="n">
        <f aca="false">IF(NOT(ISNUMBER(B475)),0,IF(B475&lt;MAX($B$5:B474),1,0))</f>
        <v>0</v>
      </c>
      <c r="AS475" s="0" t="str">
        <f aca="false">IF(C475="","",IFERROR(INDEX(CLIENTES!$H$6:$H$305,MATCH(C475,CLIENTES!$A$6:$A$305,0)),""))</f>
        <v/>
      </c>
      <c r="AT475" s="0" t="str">
        <f aca="false">IF(AND(LEFT(P475,5)="AVISO",T475&lt;&gt;"Presentado",ISNUMBER(Q475)),Q475,"")</f>
        <v/>
      </c>
      <c r="AU475" s="27" t="n">
        <f aca="false">IF(AND(D475="XVI - Activos virtuales (PSAV): operación de intercambio/transferencia",M475="Sí",ISNUMBER(AE475)),IF(AK475&gt;=AE475,1,0),0)</f>
        <v>0</v>
      </c>
      <c r="AV475" s="30" t="n">
        <f aca="false">IF(NOT(ISNUMBER(B475)),CONFIG!$B$4,IFERROR(INDEX(CONFIG!$I$5:$I$14,MATCH(IF(MONTH(B475)=1,YEAR(B475)-1,YEAR(B475)),CONFIG!$H$5:$H$14,0)),CONFIG!$B$4))</f>
        <v>117.31</v>
      </c>
      <c r="AW475" s="27" t="n">
        <f aca="false">IF(AND(LEFT(D475,4)="I - ",ISNUMBER(B475),C475&lt;&gt;""),SUMIFS($E$6:$E$505,$C$6:$C$505,C475,$D$6:$D$505,D475,$B$6:$B$505,"&gt;"&amp;(B475-1),$B$6:$B$505,"&lt;="&amp;B475),0)</f>
        <v>0</v>
      </c>
      <c r="AX475" s="0" t="str">
        <f aca="false">IF(E475="","",IF(AD475="Siempre","AVISO (siempre)",IF(AD475="No aplica","Sin Aviso (sólo preparas: Ley 17 XI)",IF(NOT(ISNUMBER(AE475)),"",IF(AA475&lt;&gt;"ACUMULA",IF(E475&gt;=AE475,IF(AND(D475="XVI - Activos virtuales (PSAV): cobro de contraprestación (comisión) por el servicio",COUNTIFS($C$6:$C$505,C475,$B$6:$B$505,"&gt;="&amp;INT(B475),$B$6:$B$505,"&lt;"&amp;(INT(B475)+1),$AU$6:$AU$505,1)&gt;0),"En el Aviso del inciso a) (R 31 Bis)","AVISO"),"—"),IF(M475&lt;&gt;"Sí","—",IF(AK475&gt;=AE475,IF(AK475=E475,"AVISO","AVISO (acumulado)"),"Acumulando")))))))</f>
        <v/>
      </c>
    </row>
    <row r="476" customFormat="false" ht="15" hidden="false" customHeight="false" outlineLevel="0" collapsed="false">
      <c r="A476" s="9" t="str">
        <f aca="false">IF(E476="","",ROW()-5)</f>
        <v/>
      </c>
      <c r="B476" s="20"/>
      <c r="C476" s="21"/>
      <c r="D476" s="21"/>
      <c r="E476" s="22"/>
      <c r="F476" s="22"/>
      <c r="G476" s="21"/>
      <c r="H476" s="21"/>
      <c r="I476" s="9" t="str">
        <f aca="false">IF(C476="","",IFERROR(INDEX(CLIENTES!$B$6:$B$305,MATCH(C476,CLIENTES!$A$6:$A$305,0)),"⚠ ID no registrado"))</f>
        <v/>
      </c>
      <c r="J476" s="9" t="str">
        <f aca="false">IF(C476="","",IFERROR(INDEX(CLIENTES!$Z$6:$Z$305,MATCH(C476,CLIENTES!$A$6:$A$305,0)),""))</f>
        <v/>
      </c>
      <c r="K476" s="9" t="str">
        <f aca="false">IF(E476="","",IF(AB476="Siempre","Sí",IF(ISNUMBER(AC476),IF(E476&gt;=AC476,"Sí",IF(AW476&gt;=AC476,"Sí (serie 24 h)","No")),"")))</f>
        <v/>
      </c>
      <c r="L476" s="9" t="str">
        <f aca="false">IF(E476="","",AA476)</f>
        <v/>
      </c>
      <c r="M476" s="9" t="str">
        <f aca="false">IF(E476="","",IF(AA476&lt;&gt;"ACUMULA","No aplica",IF(LEFT(K476,2)="Sí","Sí","No")))</f>
        <v/>
      </c>
      <c r="N476" s="23" t="str">
        <f aca="false">IF(M476="Sí",AJ476,"")</f>
        <v/>
      </c>
      <c r="O476" s="24" t="str">
        <f aca="false">IF(M476="Sí",AK476,"")</f>
        <v/>
      </c>
      <c r="P476" s="25" t="str">
        <f aca="false">IF(AND(LEFT(D476,6)="XIV - ",LEFT(AX476,5)="AVISO"),"Pedimento (R 16): no va al SPPLD",AX476)</f>
        <v/>
      </c>
      <c r="Q476" s="23" t="str">
        <f aca="false">IF(LEFT(P476,5)="AVISO",IF(ISNUMBER(B476),DATE(YEAR(B476),MONTH(B476)+1,17),"Falta fecha"),"")</f>
        <v/>
      </c>
      <c r="R476" s="9" t="str">
        <f aca="false">IF(OR(F476="",F476=0),"",IF(ISNUMBER(AG476),IF(F476&gt;=AG476,"PROHIBIDO","Dentro del límite"),"No aplica"))</f>
        <v/>
      </c>
      <c r="S476" s="26" t="str">
        <f aca="false">IF(E476="","",MID(IF(AQ476=1," · Excede el perfil declarado","")&amp;IF(H476="Sí"," · Paga un tercero","")&amp;IF(J476="Alto"," · Cliente de riesgo alto: DDR (RCG 23 Ter 3 y 4)","")&amp;IF(AND(AS476&lt;&gt;"",AS476&lt;&gt;"No",AS476&lt;&gt;0)," · PEP","")&amp;IF(R476="PROHIBIDO"," · Efectivo prohibido: no lo recibas (Art. 32)","")&amp;IF(AR476=1," · ⚠ Fecha fuera de orden","")&amp;IF(LEFT(I476,1)="⚠"," · ⚠ Cliente no registrado","")&amp;IF(D476=""," · ⚠ Falta la actividad","")&amp;IF(AND(LEFT(P476,5)="AVISO",W476="")," · Captura la cifra total con IVA para el Aviso","")&amp;IF(AND(ISNUMBER(W476),W476&lt;E476)," · ⚠ La cifra con IVA es menor que el monto sin IVA",""),4,400))</f>
        <v/>
      </c>
      <c r="T476" s="21"/>
      <c r="U476" s="20"/>
      <c r="V476" s="9" t="str">
        <f aca="false">IF(LEFT(P476,5)&lt;&gt;"AVISO","",IF(T476="Presentado",IF(AND(ISNUMBER(U476),ISNUMBER(Q476),U476&gt;Q476),"Presentado tarde","Presentado"),IF(NOT(ISNUMBER(Q476)),"Falta fecha",IF(Q476&lt;CONFIG!$B$6,"VENCIDO","Vence en "&amp;(Q476-CONFIG!$B$6)&amp;" días"))))</f>
        <v/>
      </c>
      <c r="W476" s="22"/>
      <c r="X476" s="21"/>
      <c r="AA476" s="0" t="str">
        <f aca="false">IF(AM476="","",INDEX(CATÁLOGO!$D$5:$D$39,AM476))</f>
        <v/>
      </c>
      <c r="AB476" s="0" t="str">
        <f aca="false">IF(AM476="","",INDEX(CATÁLOGO!$E$5:$E$39,AM476))</f>
        <v/>
      </c>
      <c r="AC476" s="0" t="str">
        <f aca="false">IF(AB476="","",IF(ISNUMBER(AB476),AB476*AV476,AB476))</f>
        <v/>
      </c>
      <c r="AD476" s="0" t="str">
        <f aca="false">IF(AM476="","",INDEX(CATÁLOGO!$F$5:$F$39,AM476))</f>
        <v/>
      </c>
      <c r="AE476" s="0" t="str">
        <f aca="false">IF(AD476="","",IF(ISNUMBER(AD476),AD476*AV476,AD476))</f>
        <v/>
      </c>
      <c r="AF476" s="0" t="str">
        <f aca="false">IF(AM476="","",INDEX(CATÁLOGO!$G$5:$G$39,AM476))</f>
        <v/>
      </c>
      <c r="AG476" s="0" t="str">
        <f aca="false">IF(AF476="","",IF(ISNUMBER(AF476),AF476*AV476,AF476))</f>
        <v/>
      </c>
      <c r="AH476" s="0" t="str">
        <f aca="false">IF(E476="","",C476&amp;"|"&amp;D476)</f>
        <v/>
      </c>
      <c r="AI476" s="27" t="n">
        <f aca="false">IF(M476&lt;&gt;"Sí",0,SUMPRODUCT(MAX(($AH$5:AH475=AH476)*($M$5:M475="Sí")*ROW($AH$5:AH475))))</f>
        <v>0</v>
      </c>
      <c r="AJ476" s="0" t="str">
        <f aca="false">IF(M476&lt;&gt;"Sí","",IF(AL476=1,B476,INDEX($AJ:$AJ,AI476)))</f>
        <v/>
      </c>
      <c r="AK476" s="0" t="str">
        <f aca="false">IF(M476&lt;&gt;"Sí","",IF(AL476=1,E476,INDEX($AK:$AK,AI476)+E476))</f>
        <v/>
      </c>
      <c r="AL476" s="0" t="str">
        <f aca="false">IF(M476&lt;&gt;"Sí","",IF(AI476=0,1,IF(INDEX($AN:$AN,AI476)=0,1,IF(B476&gt;=EDATE(INDEX($AJ:$AJ,AI476),6),1,0))))</f>
        <v/>
      </c>
      <c r="AM476" s="0" t="str">
        <f aca="false">IF(D476="","",IFERROR(MATCH(D476,CATÁLOGO!$C$5:$C$39,0),""))</f>
        <v/>
      </c>
      <c r="AN476" s="0" t="str">
        <f aca="false">IF(M476&lt;&gt;"Sí","",IF(AND(ISNUMBER(AE476),AK476&gt;=AE476),0,1))</f>
        <v/>
      </c>
      <c r="AO476" s="0" t="str">
        <f aca="false">IF(OR(E476="",C476="",NOT(ISNUMBER(B476))),"",SUMIFS($E$6:$E$505,$C$6:$C$505,C476,$B$6:$B$505,"&gt;="&amp;DATE(YEAR(B476),MONTH(B476),1),$B$6:$B$505,"&lt;"&amp;DATE(YEAR(B476),MONTH(B476)+1,1)))</f>
        <v/>
      </c>
      <c r="AP476" s="0" t="str">
        <f aca="false">IF(C476="","",IFERROR(INDEX(CLIENTES!$M$6:$M$305,MATCH(C476,CLIENTES!$A$6:$A$305,0)),""))</f>
        <v/>
      </c>
      <c r="AQ476" s="27" t="n">
        <f aca="false">IF(AND(ISNUMBER(AO476),ISNUMBER(AP476)),IF(AND(AP476&gt;0,AO476&gt;AP476),1,0),0)</f>
        <v>0</v>
      </c>
      <c r="AR476" s="27" t="n">
        <f aca="false">IF(NOT(ISNUMBER(B476)),0,IF(B476&lt;MAX($B$5:B475),1,0))</f>
        <v>0</v>
      </c>
      <c r="AS476" s="0" t="str">
        <f aca="false">IF(C476="","",IFERROR(INDEX(CLIENTES!$H$6:$H$305,MATCH(C476,CLIENTES!$A$6:$A$305,0)),""))</f>
        <v/>
      </c>
      <c r="AT476" s="0" t="str">
        <f aca="false">IF(AND(LEFT(P476,5)="AVISO",T476&lt;&gt;"Presentado",ISNUMBER(Q476)),Q476,"")</f>
        <v/>
      </c>
      <c r="AU476" s="27" t="n">
        <f aca="false">IF(AND(D476="XVI - Activos virtuales (PSAV): operación de intercambio/transferencia",M476="Sí",ISNUMBER(AE476)),IF(AK476&gt;=AE476,1,0),0)</f>
        <v>0</v>
      </c>
      <c r="AV476" s="30" t="n">
        <f aca="false">IF(NOT(ISNUMBER(B476)),CONFIG!$B$4,IFERROR(INDEX(CONFIG!$I$5:$I$14,MATCH(IF(MONTH(B476)=1,YEAR(B476)-1,YEAR(B476)),CONFIG!$H$5:$H$14,0)),CONFIG!$B$4))</f>
        <v>117.31</v>
      </c>
      <c r="AW476" s="27" t="n">
        <f aca="false">IF(AND(LEFT(D476,4)="I - ",ISNUMBER(B476),C476&lt;&gt;""),SUMIFS($E$6:$E$505,$C$6:$C$505,C476,$D$6:$D$505,D476,$B$6:$B$505,"&gt;"&amp;(B476-1),$B$6:$B$505,"&lt;="&amp;B476),0)</f>
        <v>0</v>
      </c>
      <c r="AX476" s="0" t="str">
        <f aca="false">IF(E476="","",IF(AD476="Siempre","AVISO (siempre)",IF(AD476="No aplica","Sin Aviso (sólo preparas: Ley 17 XI)",IF(NOT(ISNUMBER(AE476)),"",IF(AA476&lt;&gt;"ACUMULA",IF(E476&gt;=AE476,IF(AND(D476="XVI - Activos virtuales (PSAV): cobro de contraprestación (comisión) por el servicio",COUNTIFS($C$6:$C$505,C476,$B$6:$B$505,"&gt;="&amp;INT(B476),$B$6:$B$505,"&lt;"&amp;(INT(B476)+1),$AU$6:$AU$505,1)&gt;0),"En el Aviso del inciso a) (R 31 Bis)","AVISO"),"—"),IF(M476&lt;&gt;"Sí","—",IF(AK476&gt;=AE476,IF(AK476=E476,"AVISO","AVISO (acumulado)"),"Acumulando")))))))</f>
        <v/>
      </c>
    </row>
    <row r="477" customFormat="false" ht="15" hidden="false" customHeight="false" outlineLevel="0" collapsed="false">
      <c r="A477" s="9" t="str">
        <f aca="false">IF(E477="","",ROW()-5)</f>
        <v/>
      </c>
      <c r="B477" s="20"/>
      <c r="C477" s="21"/>
      <c r="D477" s="21"/>
      <c r="E477" s="22"/>
      <c r="F477" s="22"/>
      <c r="G477" s="21"/>
      <c r="H477" s="21"/>
      <c r="I477" s="9" t="str">
        <f aca="false">IF(C477="","",IFERROR(INDEX(CLIENTES!$B$6:$B$305,MATCH(C477,CLIENTES!$A$6:$A$305,0)),"⚠ ID no registrado"))</f>
        <v/>
      </c>
      <c r="J477" s="9" t="str">
        <f aca="false">IF(C477="","",IFERROR(INDEX(CLIENTES!$Z$6:$Z$305,MATCH(C477,CLIENTES!$A$6:$A$305,0)),""))</f>
        <v/>
      </c>
      <c r="K477" s="9" t="str">
        <f aca="false">IF(E477="","",IF(AB477="Siempre","Sí",IF(ISNUMBER(AC477),IF(E477&gt;=AC477,"Sí",IF(AW477&gt;=AC477,"Sí (serie 24 h)","No")),"")))</f>
        <v/>
      </c>
      <c r="L477" s="9" t="str">
        <f aca="false">IF(E477="","",AA477)</f>
        <v/>
      </c>
      <c r="M477" s="9" t="str">
        <f aca="false">IF(E477="","",IF(AA477&lt;&gt;"ACUMULA","No aplica",IF(LEFT(K477,2)="Sí","Sí","No")))</f>
        <v/>
      </c>
      <c r="N477" s="23" t="str">
        <f aca="false">IF(M477="Sí",AJ477,"")</f>
        <v/>
      </c>
      <c r="O477" s="24" t="str">
        <f aca="false">IF(M477="Sí",AK477,"")</f>
        <v/>
      </c>
      <c r="P477" s="25" t="str">
        <f aca="false">IF(AND(LEFT(D477,6)="XIV - ",LEFT(AX477,5)="AVISO"),"Pedimento (R 16): no va al SPPLD",AX477)</f>
        <v/>
      </c>
      <c r="Q477" s="23" t="str">
        <f aca="false">IF(LEFT(P477,5)="AVISO",IF(ISNUMBER(B477),DATE(YEAR(B477),MONTH(B477)+1,17),"Falta fecha"),"")</f>
        <v/>
      </c>
      <c r="R477" s="9" t="str">
        <f aca="false">IF(OR(F477="",F477=0),"",IF(ISNUMBER(AG477),IF(F477&gt;=AG477,"PROHIBIDO","Dentro del límite"),"No aplica"))</f>
        <v/>
      </c>
      <c r="S477" s="26" t="str">
        <f aca="false">IF(E477="","",MID(IF(AQ477=1," · Excede el perfil declarado","")&amp;IF(H477="Sí"," · Paga un tercero","")&amp;IF(J477="Alto"," · Cliente de riesgo alto: DDR (RCG 23 Ter 3 y 4)","")&amp;IF(AND(AS477&lt;&gt;"",AS477&lt;&gt;"No",AS477&lt;&gt;0)," · PEP","")&amp;IF(R477="PROHIBIDO"," · Efectivo prohibido: no lo recibas (Art. 32)","")&amp;IF(AR477=1," · ⚠ Fecha fuera de orden","")&amp;IF(LEFT(I477,1)="⚠"," · ⚠ Cliente no registrado","")&amp;IF(D477=""," · ⚠ Falta la actividad","")&amp;IF(AND(LEFT(P477,5)="AVISO",W477="")," · Captura la cifra total con IVA para el Aviso","")&amp;IF(AND(ISNUMBER(W477),W477&lt;E477)," · ⚠ La cifra con IVA es menor que el monto sin IVA",""),4,400))</f>
        <v/>
      </c>
      <c r="T477" s="21"/>
      <c r="U477" s="20"/>
      <c r="V477" s="9" t="str">
        <f aca="false">IF(LEFT(P477,5)&lt;&gt;"AVISO","",IF(T477="Presentado",IF(AND(ISNUMBER(U477),ISNUMBER(Q477),U477&gt;Q477),"Presentado tarde","Presentado"),IF(NOT(ISNUMBER(Q477)),"Falta fecha",IF(Q477&lt;CONFIG!$B$6,"VENCIDO","Vence en "&amp;(Q477-CONFIG!$B$6)&amp;" días"))))</f>
        <v/>
      </c>
      <c r="W477" s="22"/>
      <c r="X477" s="21"/>
      <c r="AA477" s="0" t="str">
        <f aca="false">IF(AM477="","",INDEX(CATÁLOGO!$D$5:$D$39,AM477))</f>
        <v/>
      </c>
      <c r="AB477" s="0" t="str">
        <f aca="false">IF(AM477="","",INDEX(CATÁLOGO!$E$5:$E$39,AM477))</f>
        <v/>
      </c>
      <c r="AC477" s="0" t="str">
        <f aca="false">IF(AB477="","",IF(ISNUMBER(AB477),AB477*AV477,AB477))</f>
        <v/>
      </c>
      <c r="AD477" s="0" t="str">
        <f aca="false">IF(AM477="","",INDEX(CATÁLOGO!$F$5:$F$39,AM477))</f>
        <v/>
      </c>
      <c r="AE477" s="0" t="str">
        <f aca="false">IF(AD477="","",IF(ISNUMBER(AD477),AD477*AV477,AD477))</f>
        <v/>
      </c>
      <c r="AF477" s="0" t="str">
        <f aca="false">IF(AM477="","",INDEX(CATÁLOGO!$G$5:$G$39,AM477))</f>
        <v/>
      </c>
      <c r="AG477" s="0" t="str">
        <f aca="false">IF(AF477="","",IF(ISNUMBER(AF477),AF477*AV477,AF477))</f>
        <v/>
      </c>
      <c r="AH477" s="0" t="str">
        <f aca="false">IF(E477="","",C477&amp;"|"&amp;D477)</f>
        <v/>
      </c>
      <c r="AI477" s="27" t="n">
        <f aca="false">IF(M477&lt;&gt;"Sí",0,SUMPRODUCT(MAX(($AH$5:AH476=AH477)*($M$5:M476="Sí")*ROW($AH$5:AH476))))</f>
        <v>0</v>
      </c>
      <c r="AJ477" s="0" t="str">
        <f aca="false">IF(M477&lt;&gt;"Sí","",IF(AL477=1,B477,INDEX($AJ:$AJ,AI477)))</f>
        <v/>
      </c>
      <c r="AK477" s="0" t="str">
        <f aca="false">IF(M477&lt;&gt;"Sí","",IF(AL477=1,E477,INDEX($AK:$AK,AI477)+E477))</f>
        <v/>
      </c>
      <c r="AL477" s="0" t="str">
        <f aca="false">IF(M477&lt;&gt;"Sí","",IF(AI477=0,1,IF(INDEX($AN:$AN,AI477)=0,1,IF(B477&gt;=EDATE(INDEX($AJ:$AJ,AI477),6),1,0))))</f>
        <v/>
      </c>
      <c r="AM477" s="0" t="str">
        <f aca="false">IF(D477="","",IFERROR(MATCH(D477,CATÁLOGO!$C$5:$C$39,0),""))</f>
        <v/>
      </c>
      <c r="AN477" s="0" t="str">
        <f aca="false">IF(M477&lt;&gt;"Sí","",IF(AND(ISNUMBER(AE477),AK477&gt;=AE477),0,1))</f>
        <v/>
      </c>
      <c r="AO477" s="0" t="str">
        <f aca="false">IF(OR(E477="",C477="",NOT(ISNUMBER(B477))),"",SUMIFS($E$6:$E$505,$C$6:$C$505,C477,$B$6:$B$505,"&gt;="&amp;DATE(YEAR(B477),MONTH(B477),1),$B$6:$B$505,"&lt;"&amp;DATE(YEAR(B477),MONTH(B477)+1,1)))</f>
        <v/>
      </c>
      <c r="AP477" s="0" t="str">
        <f aca="false">IF(C477="","",IFERROR(INDEX(CLIENTES!$M$6:$M$305,MATCH(C477,CLIENTES!$A$6:$A$305,0)),""))</f>
        <v/>
      </c>
      <c r="AQ477" s="27" t="n">
        <f aca="false">IF(AND(ISNUMBER(AO477),ISNUMBER(AP477)),IF(AND(AP477&gt;0,AO477&gt;AP477),1,0),0)</f>
        <v>0</v>
      </c>
      <c r="AR477" s="27" t="n">
        <f aca="false">IF(NOT(ISNUMBER(B477)),0,IF(B477&lt;MAX($B$5:B476),1,0))</f>
        <v>0</v>
      </c>
      <c r="AS477" s="0" t="str">
        <f aca="false">IF(C477="","",IFERROR(INDEX(CLIENTES!$H$6:$H$305,MATCH(C477,CLIENTES!$A$6:$A$305,0)),""))</f>
        <v/>
      </c>
      <c r="AT477" s="0" t="str">
        <f aca="false">IF(AND(LEFT(P477,5)="AVISO",T477&lt;&gt;"Presentado",ISNUMBER(Q477)),Q477,"")</f>
        <v/>
      </c>
      <c r="AU477" s="27" t="n">
        <f aca="false">IF(AND(D477="XVI - Activos virtuales (PSAV): operación de intercambio/transferencia",M477="Sí",ISNUMBER(AE477)),IF(AK477&gt;=AE477,1,0),0)</f>
        <v>0</v>
      </c>
      <c r="AV477" s="30" t="n">
        <f aca="false">IF(NOT(ISNUMBER(B477)),CONFIG!$B$4,IFERROR(INDEX(CONFIG!$I$5:$I$14,MATCH(IF(MONTH(B477)=1,YEAR(B477)-1,YEAR(B477)),CONFIG!$H$5:$H$14,0)),CONFIG!$B$4))</f>
        <v>117.31</v>
      </c>
      <c r="AW477" s="27" t="n">
        <f aca="false">IF(AND(LEFT(D477,4)="I - ",ISNUMBER(B477),C477&lt;&gt;""),SUMIFS($E$6:$E$505,$C$6:$C$505,C477,$D$6:$D$505,D477,$B$6:$B$505,"&gt;"&amp;(B477-1),$B$6:$B$505,"&lt;="&amp;B477),0)</f>
        <v>0</v>
      </c>
      <c r="AX477" s="0" t="str">
        <f aca="false">IF(E477="","",IF(AD477="Siempre","AVISO (siempre)",IF(AD477="No aplica","Sin Aviso (sólo preparas: Ley 17 XI)",IF(NOT(ISNUMBER(AE477)),"",IF(AA477&lt;&gt;"ACUMULA",IF(E477&gt;=AE477,IF(AND(D477="XVI - Activos virtuales (PSAV): cobro de contraprestación (comisión) por el servicio",COUNTIFS($C$6:$C$505,C477,$B$6:$B$505,"&gt;="&amp;INT(B477),$B$6:$B$505,"&lt;"&amp;(INT(B477)+1),$AU$6:$AU$505,1)&gt;0),"En el Aviso del inciso a) (R 31 Bis)","AVISO"),"—"),IF(M477&lt;&gt;"Sí","—",IF(AK477&gt;=AE477,IF(AK477=E477,"AVISO","AVISO (acumulado)"),"Acumulando")))))))</f>
        <v/>
      </c>
    </row>
    <row r="478" customFormat="false" ht="15" hidden="false" customHeight="false" outlineLevel="0" collapsed="false">
      <c r="A478" s="9" t="str">
        <f aca="false">IF(E478="","",ROW()-5)</f>
        <v/>
      </c>
      <c r="B478" s="20"/>
      <c r="C478" s="21"/>
      <c r="D478" s="21"/>
      <c r="E478" s="22"/>
      <c r="F478" s="22"/>
      <c r="G478" s="21"/>
      <c r="H478" s="21"/>
      <c r="I478" s="9" t="str">
        <f aca="false">IF(C478="","",IFERROR(INDEX(CLIENTES!$B$6:$B$305,MATCH(C478,CLIENTES!$A$6:$A$305,0)),"⚠ ID no registrado"))</f>
        <v/>
      </c>
      <c r="J478" s="9" t="str">
        <f aca="false">IF(C478="","",IFERROR(INDEX(CLIENTES!$Z$6:$Z$305,MATCH(C478,CLIENTES!$A$6:$A$305,0)),""))</f>
        <v/>
      </c>
      <c r="K478" s="9" t="str">
        <f aca="false">IF(E478="","",IF(AB478="Siempre","Sí",IF(ISNUMBER(AC478),IF(E478&gt;=AC478,"Sí",IF(AW478&gt;=AC478,"Sí (serie 24 h)","No")),"")))</f>
        <v/>
      </c>
      <c r="L478" s="9" t="str">
        <f aca="false">IF(E478="","",AA478)</f>
        <v/>
      </c>
      <c r="M478" s="9" t="str">
        <f aca="false">IF(E478="","",IF(AA478&lt;&gt;"ACUMULA","No aplica",IF(LEFT(K478,2)="Sí","Sí","No")))</f>
        <v/>
      </c>
      <c r="N478" s="23" t="str">
        <f aca="false">IF(M478="Sí",AJ478,"")</f>
        <v/>
      </c>
      <c r="O478" s="24" t="str">
        <f aca="false">IF(M478="Sí",AK478,"")</f>
        <v/>
      </c>
      <c r="P478" s="25" t="str">
        <f aca="false">IF(AND(LEFT(D478,6)="XIV - ",LEFT(AX478,5)="AVISO"),"Pedimento (R 16): no va al SPPLD",AX478)</f>
        <v/>
      </c>
      <c r="Q478" s="23" t="str">
        <f aca="false">IF(LEFT(P478,5)="AVISO",IF(ISNUMBER(B478),DATE(YEAR(B478),MONTH(B478)+1,17),"Falta fecha"),"")</f>
        <v/>
      </c>
      <c r="R478" s="9" t="str">
        <f aca="false">IF(OR(F478="",F478=0),"",IF(ISNUMBER(AG478),IF(F478&gt;=AG478,"PROHIBIDO","Dentro del límite"),"No aplica"))</f>
        <v/>
      </c>
      <c r="S478" s="26" t="str">
        <f aca="false">IF(E478="","",MID(IF(AQ478=1," · Excede el perfil declarado","")&amp;IF(H478="Sí"," · Paga un tercero","")&amp;IF(J478="Alto"," · Cliente de riesgo alto: DDR (RCG 23 Ter 3 y 4)","")&amp;IF(AND(AS478&lt;&gt;"",AS478&lt;&gt;"No",AS478&lt;&gt;0)," · PEP","")&amp;IF(R478="PROHIBIDO"," · Efectivo prohibido: no lo recibas (Art. 32)","")&amp;IF(AR478=1," · ⚠ Fecha fuera de orden","")&amp;IF(LEFT(I478,1)="⚠"," · ⚠ Cliente no registrado","")&amp;IF(D478=""," · ⚠ Falta la actividad","")&amp;IF(AND(LEFT(P478,5)="AVISO",W478="")," · Captura la cifra total con IVA para el Aviso","")&amp;IF(AND(ISNUMBER(W478),W478&lt;E478)," · ⚠ La cifra con IVA es menor que el monto sin IVA",""),4,400))</f>
        <v/>
      </c>
      <c r="T478" s="21"/>
      <c r="U478" s="20"/>
      <c r="V478" s="9" t="str">
        <f aca="false">IF(LEFT(P478,5)&lt;&gt;"AVISO","",IF(T478="Presentado",IF(AND(ISNUMBER(U478),ISNUMBER(Q478),U478&gt;Q478),"Presentado tarde","Presentado"),IF(NOT(ISNUMBER(Q478)),"Falta fecha",IF(Q478&lt;CONFIG!$B$6,"VENCIDO","Vence en "&amp;(Q478-CONFIG!$B$6)&amp;" días"))))</f>
        <v/>
      </c>
      <c r="W478" s="22"/>
      <c r="X478" s="21"/>
      <c r="AA478" s="0" t="str">
        <f aca="false">IF(AM478="","",INDEX(CATÁLOGO!$D$5:$D$39,AM478))</f>
        <v/>
      </c>
      <c r="AB478" s="0" t="str">
        <f aca="false">IF(AM478="","",INDEX(CATÁLOGO!$E$5:$E$39,AM478))</f>
        <v/>
      </c>
      <c r="AC478" s="0" t="str">
        <f aca="false">IF(AB478="","",IF(ISNUMBER(AB478),AB478*AV478,AB478))</f>
        <v/>
      </c>
      <c r="AD478" s="0" t="str">
        <f aca="false">IF(AM478="","",INDEX(CATÁLOGO!$F$5:$F$39,AM478))</f>
        <v/>
      </c>
      <c r="AE478" s="0" t="str">
        <f aca="false">IF(AD478="","",IF(ISNUMBER(AD478),AD478*AV478,AD478))</f>
        <v/>
      </c>
      <c r="AF478" s="0" t="str">
        <f aca="false">IF(AM478="","",INDEX(CATÁLOGO!$G$5:$G$39,AM478))</f>
        <v/>
      </c>
      <c r="AG478" s="0" t="str">
        <f aca="false">IF(AF478="","",IF(ISNUMBER(AF478),AF478*AV478,AF478))</f>
        <v/>
      </c>
      <c r="AH478" s="0" t="str">
        <f aca="false">IF(E478="","",C478&amp;"|"&amp;D478)</f>
        <v/>
      </c>
      <c r="AI478" s="27" t="n">
        <f aca="false">IF(M478&lt;&gt;"Sí",0,SUMPRODUCT(MAX(($AH$5:AH477=AH478)*($M$5:M477="Sí")*ROW($AH$5:AH477))))</f>
        <v>0</v>
      </c>
      <c r="AJ478" s="0" t="str">
        <f aca="false">IF(M478&lt;&gt;"Sí","",IF(AL478=1,B478,INDEX($AJ:$AJ,AI478)))</f>
        <v/>
      </c>
      <c r="AK478" s="0" t="str">
        <f aca="false">IF(M478&lt;&gt;"Sí","",IF(AL478=1,E478,INDEX($AK:$AK,AI478)+E478))</f>
        <v/>
      </c>
      <c r="AL478" s="0" t="str">
        <f aca="false">IF(M478&lt;&gt;"Sí","",IF(AI478=0,1,IF(INDEX($AN:$AN,AI478)=0,1,IF(B478&gt;=EDATE(INDEX($AJ:$AJ,AI478),6),1,0))))</f>
        <v/>
      </c>
      <c r="AM478" s="0" t="str">
        <f aca="false">IF(D478="","",IFERROR(MATCH(D478,CATÁLOGO!$C$5:$C$39,0),""))</f>
        <v/>
      </c>
      <c r="AN478" s="0" t="str">
        <f aca="false">IF(M478&lt;&gt;"Sí","",IF(AND(ISNUMBER(AE478),AK478&gt;=AE478),0,1))</f>
        <v/>
      </c>
      <c r="AO478" s="0" t="str">
        <f aca="false">IF(OR(E478="",C478="",NOT(ISNUMBER(B478))),"",SUMIFS($E$6:$E$505,$C$6:$C$505,C478,$B$6:$B$505,"&gt;="&amp;DATE(YEAR(B478),MONTH(B478),1),$B$6:$B$505,"&lt;"&amp;DATE(YEAR(B478),MONTH(B478)+1,1)))</f>
        <v/>
      </c>
      <c r="AP478" s="0" t="str">
        <f aca="false">IF(C478="","",IFERROR(INDEX(CLIENTES!$M$6:$M$305,MATCH(C478,CLIENTES!$A$6:$A$305,0)),""))</f>
        <v/>
      </c>
      <c r="AQ478" s="27" t="n">
        <f aca="false">IF(AND(ISNUMBER(AO478),ISNUMBER(AP478)),IF(AND(AP478&gt;0,AO478&gt;AP478),1,0),0)</f>
        <v>0</v>
      </c>
      <c r="AR478" s="27" t="n">
        <f aca="false">IF(NOT(ISNUMBER(B478)),0,IF(B478&lt;MAX($B$5:B477),1,0))</f>
        <v>0</v>
      </c>
      <c r="AS478" s="0" t="str">
        <f aca="false">IF(C478="","",IFERROR(INDEX(CLIENTES!$H$6:$H$305,MATCH(C478,CLIENTES!$A$6:$A$305,0)),""))</f>
        <v/>
      </c>
      <c r="AT478" s="0" t="str">
        <f aca="false">IF(AND(LEFT(P478,5)="AVISO",T478&lt;&gt;"Presentado",ISNUMBER(Q478)),Q478,"")</f>
        <v/>
      </c>
      <c r="AU478" s="27" t="n">
        <f aca="false">IF(AND(D478="XVI - Activos virtuales (PSAV): operación de intercambio/transferencia",M478="Sí",ISNUMBER(AE478)),IF(AK478&gt;=AE478,1,0),0)</f>
        <v>0</v>
      </c>
      <c r="AV478" s="30" t="n">
        <f aca="false">IF(NOT(ISNUMBER(B478)),CONFIG!$B$4,IFERROR(INDEX(CONFIG!$I$5:$I$14,MATCH(IF(MONTH(B478)=1,YEAR(B478)-1,YEAR(B478)),CONFIG!$H$5:$H$14,0)),CONFIG!$B$4))</f>
        <v>117.31</v>
      </c>
      <c r="AW478" s="27" t="n">
        <f aca="false">IF(AND(LEFT(D478,4)="I - ",ISNUMBER(B478),C478&lt;&gt;""),SUMIFS($E$6:$E$505,$C$6:$C$505,C478,$D$6:$D$505,D478,$B$6:$B$505,"&gt;"&amp;(B478-1),$B$6:$B$505,"&lt;="&amp;B478),0)</f>
        <v>0</v>
      </c>
      <c r="AX478" s="0" t="str">
        <f aca="false">IF(E478="","",IF(AD478="Siempre","AVISO (siempre)",IF(AD478="No aplica","Sin Aviso (sólo preparas: Ley 17 XI)",IF(NOT(ISNUMBER(AE478)),"",IF(AA478&lt;&gt;"ACUMULA",IF(E478&gt;=AE478,IF(AND(D478="XVI - Activos virtuales (PSAV): cobro de contraprestación (comisión) por el servicio",COUNTIFS($C$6:$C$505,C478,$B$6:$B$505,"&gt;="&amp;INT(B478),$B$6:$B$505,"&lt;"&amp;(INT(B478)+1),$AU$6:$AU$505,1)&gt;0),"En el Aviso del inciso a) (R 31 Bis)","AVISO"),"—"),IF(M478&lt;&gt;"Sí","—",IF(AK478&gt;=AE478,IF(AK478=E478,"AVISO","AVISO (acumulado)"),"Acumulando")))))))</f>
        <v/>
      </c>
    </row>
    <row r="479" customFormat="false" ht="15" hidden="false" customHeight="false" outlineLevel="0" collapsed="false">
      <c r="A479" s="9" t="str">
        <f aca="false">IF(E479="","",ROW()-5)</f>
        <v/>
      </c>
      <c r="B479" s="20"/>
      <c r="C479" s="21"/>
      <c r="D479" s="21"/>
      <c r="E479" s="22"/>
      <c r="F479" s="22"/>
      <c r="G479" s="21"/>
      <c r="H479" s="21"/>
      <c r="I479" s="9" t="str">
        <f aca="false">IF(C479="","",IFERROR(INDEX(CLIENTES!$B$6:$B$305,MATCH(C479,CLIENTES!$A$6:$A$305,0)),"⚠ ID no registrado"))</f>
        <v/>
      </c>
      <c r="J479" s="9" t="str">
        <f aca="false">IF(C479="","",IFERROR(INDEX(CLIENTES!$Z$6:$Z$305,MATCH(C479,CLIENTES!$A$6:$A$305,0)),""))</f>
        <v/>
      </c>
      <c r="K479" s="9" t="str">
        <f aca="false">IF(E479="","",IF(AB479="Siempre","Sí",IF(ISNUMBER(AC479),IF(E479&gt;=AC479,"Sí",IF(AW479&gt;=AC479,"Sí (serie 24 h)","No")),"")))</f>
        <v/>
      </c>
      <c r="L479" s="9" t="str">
        <f aca="false">IF(E479="","",AA479)</f>
        <v/>
      </c>
      <c r="M479" s="9" t="str">
        <f aca="false">IF(E479="","",IF(AA479&lt;&gt;"ACUMULA","No aplica",IF(LEFT(K479,2)="Sí","Sí","No")))</f>
        <v/>
      </c>
      <c r="N479" s="23" t="str">
        <f aca="false">IF(M479="Sí",AJ479,"")</f>
        <v/>
      </c>
      <c r="O479" s="24" t="str">
        <f aca="false">IF(M479="Sí",AK479,"")</f>
        <v/>
      </c>
      <c r="P479" s="25" t="str">
        <f aca="false">IF(AND(LEFT(D479,6)="XIV - ",LEFT(AX479,5)="AVISO"),"Pedimento (R 16): no va al SPPLD",AX479)</f>
        <v/>
      </c>
      <c r="Q479" s="23" t="str">
        <f aca="false">IF(LEFT(P479,5)="AVISO",IF(ISNUMBER(B479),DATE(YEAR(B479),MONTH(B479)+1,17),"Falta fecha"),"")</f>
        <v/>
      </c>
      <c r="R479" s="9" t="str">
        <f aca="false">IF(OR(F479="",F479=0),"",IF(ISNUMBER(AG479),IF(F479&gt;=AG479,"PROHIBIDO","Dentro del límite"),"No aplica"))</f>
        <v/>
      </c>
      <c r="S479" s="26" t="str">
        <f aca="false">IF(E479="","",MID(IF(AQ479=1," · Excede el perfil declarado","")&amp;IF(H479="Sí"," · Paga un tercero","")&amp;IF(J479="Alto"," · Cliente de riesgo alto: DDR (RCG 23 Ter 3 y 4)","")&amp;IF(AND(AS479&lt;&gt;"",AS479&lt;&gt;"No",AS479&lt;&gt;0)," · PEP","")&amp;IF(R479="PROHIBIDO"," · Efectivo prohibido: no lo recibas (Art. 32)","")&amp;IF(AR479=1," · ⚠ Fecha fuera de orden","")&amp;IF(LEFT(I479,1)="⚠"," · ⚠ Cliente no registrado","")&amp;IF(D479=""," · ⚠ Falta la actividad","")&amp;IF(AND(LEFT(P479,5)="AVISO",W479="")," · Captura la cifra total con IVA para el Aviso","")&amp;IF(AND(ISNUMBER(W479),W479&lt;E479)," · ⚠ La cifra con IVA es menor que el monto sin IVA",""),4,400))</f>
        <v/>
      </c>
      <c r="T479" s="21"/>
      <c r="U479" s="20"/>
      <c r="V479" s="9" t="str">
        <f aca="false">IF(LEFT(P479,5)&lt;&gt;"AVISO","",IF(T479="Presentado",IF(AND(ISNUMBER(U479),ISNUMBER(Q479),U479&gt;Q479),"Presentado tarde","Presentado"),IF(NOT(ISNUMBER(Q479)),"Falta fecha",IF(Q479&lt;CONFIG!$B$6,"VENCIDO","Vence en "&amp;(Q479-CONFIG!$B$6)&amp;" días"))))</f>
        <v/>
      </c>
      <c r="W479" s="22"/>
      <c r="X479" s="21"/>
      <c r="AA479" s="0" t="str">
        <f aca="false">IF(AM479="","",INDEX(CATÁLOGO!$D$5:$D$39,AM479))</f>
        <v/>
      </c>
      <c r="AB479" s="0" t="str">
        <f aca="false">IF(AM479="","",INDEX(CATÁLOGO!$E$5:$E$39,AM479))</f>
        <v/>
      </c>
      <c r="AC479" s="0" t="str">
        <f aca="false">IF(AB479="","",IF(ISNUMBER(AB479),AB479*AV479,AB479))</f>
        <v/>
      </c>
      <c r="AD479" s="0" t="str">
        <f aca="false">IF(AM479="","",INDEX(CATÁLOGO!$F$5:$F$39,AM479))</f>
        <v/>
      </c>
      <c r="AE479" s="0" t="str">
        <f aca="false">IF(AD479="","",IF(ISNUMBER(AD479),AD479*AV479,AD479))</f>
        <v/>
      </c>
      <c r="AF479" s="0" t="str">
        <f aca="false">IF(AM479="","",INDEX(CATÁLOGO!$G$5:$G$39,AM479))</f>
        <v/>
      </c>
      <c r="AG479" s="0" t="str">
        <f aca="false">IF(AF479="","",IF(ISNUMBER(AF479),AF479*AV479,AF479))</f>
        <v/>
      </c>
      <c r="AH479" s="0" t="str">
        <f aca="false">IF(E479="","",C479&amp;"|"&amp;D479)</f>
        <v/>
      </c>
      <c r="AI479" s="27" t="n">
        <f aca="false">IF(M479&lt;&gt;"Sí",0,SUMPRODUCT(MAX(($AH$5:AH478=AH479)*($M$5:M478="Sí")*ROW($AH$5:AH478))))</f>
        <v>0</v>
      </c>
      <c r="AJ479" s="0" t="str">
        <f aca="false">IF(M479&lt;&gt;"Sí","",IF(AL479=1,B479,INDEX($AJ:$AJ,AI479)))</f>
        <v/>
      </c>
      <c r="AK479" s="0" t="str">
        <f aca="false">IF(M479&lt;&gt;"Sí","",IF(AL479=1,E479,INDEX($AK:$AK,AI479)+E479))</f>
        <v/>
      </c>
      <c r="AL479" s="0" t="str">
        <f aca="false">IF(M479&lt;&gt;"Sí","",IF(AI479=0,1,IF(INDEX($AN:$AN,AI479)=0,1,IF(B479&gt;=EDATE(INDEX($AJ:$AJ,AI479),6),1,0))))</f>
        <v/>
      </c>
      <c r="AM479" s="0" t="str">
        <f aca="false">IF(D479="","",IFERROR(MATCH(D479,CATÁLOGO!$C$5:$C$39,0),""))</f>
        <v/>
      </c>
      <c r="AN479" s="0" t="str">
        <f aca="false">IF(M479&lt;&gt;"Sí","",IF(AND(ISNUMBER(AE479),AK479&gt;=AE479),0,1))</f>
        <v/>
      </c>
      <c r="AO479" s="0" t="str">
        <f aca="false">IF(OR(E479="",C479="",NOT(ISNUMBER(B479))),"",SUMIFS($E$6:$E$505,$C$6:$C$505,C479,$B$6:$B$505,"&gt;="&amp;DATE(YEAR(B479),MONTH(B479),1),$B$6:$B$505,"&lt;"&amp;DATE(YEAR(B479),MONTH(B479)+1,1)))</f>
        <v/>
      </c>
      <c r="AP479" s="0" t="str">
        <f aca="false">IF(C479="","",IFERROR(INDEX(CLIENTES!$M$6:$M$305,MATCH(C479,CLIENTES!$A$6:$A$305,0)),""))</f>
        <v/>
      </c>
      <c r="AQ479" s="27" t="n">
        <f aca="false">IF(AND(ISNUMBER(AO479),ISNUMBER(AP479)),IF(AND(AP479&gt;0,AO479&gt;AP479),1,0),0)</f>
        <v>0</v>
      </c>
      <c r="AR479" s="27" t="n">
        <f aca="false">IF(NOT(ISNUMBER(B479)),0,IF(B479&lt;MAX($B$5:B478),1,0))</f>
        <v>0</v>
      </c>
      <c r="AS479" s="0" t="str">
        <f aca="false">IF(C479="","",IFERROR(INDEX(CLIENTES!$H$6:$H$305,MATCH(C479,CLIENTES!$A$6:$A$305,0)),""))</f>
        <v/>
      </c>
      <c r="AT479" s="0" t="str">
        <f aca="false">IF(AND(LEFT(P479,5)="AVISO",T479&lt;&gt;"Presentado",ISNUMBER(Q479)),Q479,"")</f>
        <v/>
      </c>
      <c r="AU479" s="27" t="n">
        <f aca="false">IF(AND(D479="XVI - Activos virtuales (PSAV): operación de intercambio/transferencia",M479="Sí",ISNUMBER(AE479)),IF(AK479&gt;=AE479,1,0),0)</f>
        <v>0</v>
      </c>
      <c r="AV479" s="30" t="n">
        <f aca="false">IF(NOT(ISNUMBER(B479)),CONFIG!$B$4,IFERROR(INDEX(CONFIG!$I$5:$I$14,MATCH(IF(MONTH(B479)=1,YEAR(B479)-1,YEAR(B479)),CONFIG!$H$5:$H$14,0)),CONFIG!$B$4))</f>
        <v>117.31</v>
      </c>
      <c r="AW479" s="27" t="n">
        <f aca="false">IF(AND(LEFT(D479,4)="I - ",ISNUMBER(B479),C479&lt;&gt;""),SUMIFS($E$6:$E$505,$C$6:$C$505,C479,$D$6:$D$505,D479,$B$6:$B$505,"&gt;"&amp;(B479-1),$B$6:$B$505,"&lt;="&amp;B479),0)</f>
        <v>0</v>
      </c>
      <c r="AX479" s="0" t="str">
        <f aca="false">IF(E479="","",IF(AD479="Siempre","AVISO (siempre)",IF(AD479="No aplica","Sin Aviso (sólo preparas: Ley 17 XI)",IF(NOT(ISNUMBER(AE479)),"",IF(AA479&lt;&gt;"ACUMULA",IF(E479&gt;=AE479,IF(AND(D479="XVI - Activos virtuales (PSAV): cobro de contraprestación (comisión) por el servicio",COUNTIFS($C$6:$C$505,C479,$B$6:$B$505,"&gt;="&amp;INT(B479),$B$6:$B$505,"&lt;"&amp;(INT(B479)+1),$AU$6:$AU$505,1)&gt;0),"En el Aviso del inciso a) (R 31 Bis)","AVISO"),"—"),IF(M479&lt;&gt;"Sí","—",IF(AK479&gt;=AE479,IF(AK479=E479,"AVISO","AVISO (acumulado)"),"Acumulando")))))))</f>
        <v/>
      </c>
    </row>
    <row r="480" customFormat="false" ht="15" hidden="false" customHeight="false" outlineLevel="0" collapsed="false">
      <c r="A480" s="9" t="str">
        <f aca="false">IF(E480="","",ROW()-5)</f>
        <v/>
      </c>
      <c r="B480" s="20"/>
      <c r="C480" s="21"/>
      <c r="D480" s="21"/>
      <c r="E480" s="22"/>
      <c r="F480" s="22"/>
      <c r="G480" s="21"/>
      <c r="H480" s="21"/>
      <c r="I480" s="9" t="str">
        <f aca="false">IF(C480="","",IFERROR(INDEX(CLIENTES!$B$6:$B$305,MATCH(C480,CLIENTES!$A$6:$A$305,0)),"⚠ ID no registrado"))</f>
        <v/>
      </c>
      <c r="J480" s="9" t="str">
        <f aca="false">IF(C480="","",IFERROR(INDEX(CLIENTES!$Z$6:$Z$305,MATCH(C480,CLIENTES!$A$6:$A$305,0)),""))</f>
        <v/>
      </c>
      <c r="K480" s="9" t="str">
        <f aca="false">IF(E480="","",IF(AB480="Siempre","Sí",IF(ISNUMBER(AC480),IF(E480&gt;=AC480,"Sí",IF(AW480&gt;=AC480,"Sí (serie 24 h)","No")),"")))</f>
        <v/>
      </c>
      <c r="L480" s="9" t="str">
        <f aca="false">IF(E480="","",AA480)</f>
        <v/>
      </c>
      <c r="M480" s="9" t="str">
        <f aca="false">IF(E480="","",IF(AA480&lt;&gt;"ACUMULA","No aplica",IF(LEFT(K480,2)="Sí","Sí","No")))</f>
        <v/>
      </c>
      <c r="N480" s="23" t="str">
        <f aca="false">IF(M480="Sí",AJ480,"")</f>
        <v/>
      </c>
      <c r="O480" s="24" t="str">
        <f aca="false">IF(M480="Sí",AK480,"")</f>
        <v/>
      </c>
      <c r="P480" s="25" t="str">
        <f aca="false">IF(AND(LEFT(D480,6)="XIV - ",LEFT(AX480,5)="AVISO"),"Pedimento (R 16): no va al SPPLD",AX480)</f>
        <v/>
      </c>
      <c r="Q480" s="23" t="str">
        <f aca="false">IF(LEFT(P480,5)="AVISO",IF(ISNUMBER(B480),DATE(YEAR(B480),MONTH(B480)+1,17),"Falta fecha"),"")</f>
        <v/>
      </c>
      <c r="R480" s="9" t="str">
        <f aca="false">IF(OR(F480="",F480=0),"",IF(ISNUMBER(AG480),IF(F480&gt;=AG480,"PROHIBIDO","Dentro del límite"),"No aplica"))</f>
        <v/>
      </c>
      <c r="S480" s="26" t="str">
        <f aca="false">IF(E480="","",MID(IF(AQ480=1," · Excede el perfil declarado","")&amp;IF(H480="Sí"," · Paga un tercero","")&amp;IF(J480="Alto"," · Cliente de riesgo alto: DDR (RCG 23 Ter 3 y 4)","")&amp;IF(AND(AS480&lt;&gt;"",AS480&lt;&gt;"No",AS480&lt;&gt;0)," · PEP","")&amp;IF(R480="PROHIBIDO"," · Efectivo prohibido: no lo recibas (Art. 32)","")&amp;IF(AR480=1," · ⚠ Fecha fuera de orden","")&amp;IF(LEFT(I480,1)="⚠"," · ⚠ Cliente no registrado","")&amp;IF(D480=""," · ⚠ Falta la actividad","")&amp;IF(AND(LEFT(P480,5)="AVISO",W480="")," · Captura la cifra total con IVA para el Aviso","")&amp;IF(AND(ISNUMBER(W480),W480&lt;E480)," · ⚠ La cifra con IVA es menor que el monto sin IVA",""),4,400))</f>
        <v/>
      </c>
      <c r="T480" s="21"/>
      <c r="U480" s="20"/>
      <c r="V480" s="9" t="str">
        <f aca="false">IF(LEFT(P480,5)&lt;&gt;"AVISO","",IF(T480="Presentado",IF(AND(ISNUMBER(U480),ISNUMBER(Q480),U480&gt;Q480),"Presentado tarde","Presentado"),IF(NOT(ISNUMBER(Q480)),"Falta fecha",IF(Q480&lt;CONFIG!$B$6,"VENCIDO","Vence en "&amp;(Q480-CONFIG!$B$6)&amp;" días"))))</f>
        <v/>
      </c>
      <c r="W480" s="22"/>
      <c r="X480" s="21"/>
      <c r="AA480" s="0" t="str">
        <f aca="false">IF(AM480="","",INDEX(CATÁLOGO!$D$5:$D$39,AM480))</f>
        <v/>
      </c>
      <c r="AB480" s="0" t="str">
        <f aca="false">IF(AM480="","",INDEX(CATÁLOGO!$E$5:$E$39,AM480))</f>
        <v/>
      </c>
      <c r="AC480" s="0" t="str">
        <f aca="false">IF(AB480="","",IF(ISNUMBER(AB480),AB480*AV480,AB480))</f>
        <v/>
      </c>
      <c r="AD480" s="0" t="str">
        <f aca="false">IF(AM480="","",INDEX(CATÁLOGO!$F$5:$F$39,AM480))</f>
        <v/>
      </c>
      <c r="AE480" s="0" t="str">
        <f aca="false">IF(AD480="","",IF(ISNUMBER(AD480),AD480*AV480,AD480))</f>
        <v/>
      </c>
      <c r="AF480" s="0" t="str">
        <f aca="false">IF(AM480="","",INDEX(CATÁLOGO!$G$5:$G$39,AM480))</f>
        <v/>
      </c>
      <c r="AG480" s="0" t="str">
        <f aca="false">IF(AF480="","",IF(ISNUMBER(AF480),AF480*AV480,AF480))</f>
        <v/>
      </c>
      <c r="AH480" s="0" t="str">
        <f aca="false">IF(E480="","",C480&amp;"|"&amp;D480)</f>
        <v/>
      </c>
      <c r="AI480" s="27" t="n">
        <f aca="false">IF(M480&lt;&gt;"Sí",0,SUMPRODUCT(MAX(($AH$5:AH479=AH480)*($M$5:M479="Sí")*ROW($AH$5:AH479))))</f>
        <v>0</v>
      </c>
      <c r="AJ480" s="0" t="str">
        <f aca="false">IF(M480&lt;&gt;"Sí","",IF(AL480=1,B480,INDEX($AJ:$AJ,AI480)))</f>
        <v/>
      </c>
      <c r="AK480" s="0" t="str">
        <f aca="false">IF(M480&lt;&gt;"Sí","",IF(AL480=1,E480,INDEX($AK:$AK,AI480)+E480))</f>
        <v/>
      </c>
      <c r="AL480" s="0" t="str">
        <f aca="false">IF(M480&lt;&gt;"Sí","",IF(AI480=0,1,IF(INDEX($AN:$AN,AI480)=0,1,IF(B480&gt;=EDATE(INDEX($AJ:$AJ,AI480),6),1,0))))</f>
        <v/>
      </c>
      <c r="AM480" s="0" t="str">
        <f aca="false">IF(D480="","",IFERROR(MATCH(D480,CATÁLOGO!$C$5:$C$39,0),""))</f>
        <v/>
      </c>
      <c r="AN480" s="0" t="str">
        <f aca="false">IF(M480&lt;&gt;"Sí","",IF(AND(ISNUMBER(AE480),AK480&gt;=AE480),0,1))</f>
        <v/>
      </c>
      <c r="AO480" s="0" t="str">
        <f aca="false">IF(OR(E480="",C480="",NOT(ISNUMBER(B480))),"",SUMIFS($E$6:$E$505,$C$6:$C$505,C480,$B$6:$B$505,"&gt;="&amp;DATE(YEAR(B480),MONTH(B480),1),$B$6:$B$505,"&lt;"&amp;DATE(YEAR(B480),MONTH(B480)+1,1)))</f>
        <v/>
      </c>
      <c r="AP480" s="0" t="str">
        <f aca="false">IF(C480="","",IFERROR(INDEX(CLIENTES!$M$6:$M$305,MATCH(C480,CLIENTES!$A$6:$A$305,0)),""))</f>
        <v/>
      </c>
      <c r="AQ480" s="27" t="n">
        <f aca="false">IF(AND(ISNUMBER(AO480),ISNUMBER(AP480)),IF(AND(AP480&gt;0,AO480&gt;AP480),1,0),0)</f>
        <v>0</v>
      </c>
      <c r="AR480" s="27" t="n">
        <f aca="false">IF(NOT(ISNUMBER(B480)),0,IF(B480&lt;MAX($B$5:B479),1,0))</f>
        <v>0</v>
      </c>
      <c r="AS480" s="0" t="str">
        <f aca="false">IF(C480="","",IFERROR(INDEX(CLIENTES!$H$6:$H$305,MATCH(C480,CLIENTES!$A$6:$A$305,0)),""))</f>
        <v/>
      </c>
      <c r="AT480" s="0" t="str">
        <f aca="false">IF(AND(LEFT(P480,5)="AVISO",T480&lt;&gt;"Presentado",ISNUMBER(Q480)),Q480,"")</f>
        <v/>
      </c>
      <c r="AU480" s="27" t="n">
        <f aca="false">IF(AND(D480="XVI - Activos virtuales (PSAV): operación de intercambio/transferencia",M480="Sí",ISNUMBER(AE480)),IF(AK480&gt;=AE480,1,0),0)</f>
        <v>0</v>
      </c>
      <c r="AV480" s="30" t="n">
        <f aca="false">IF(NOT(ISNUMBER(B480)),CONFIG!$B$4,IFERROR(INDEX(CONFIG!$I$5:$I$14,MATCH(IF(MONTH(B480)=1,YEAR(B480)-1,YEAR(B480)),CONFIG!$H$5:$H$14,0)),CONFIG!$B$4))</f>
        <v>117.31</v>
      </c>
      <c r="AW480" s="27" t="n">
        <f aca="false">IF(AND(LEFT(D480,4)="I - ",ISNUMBER(B480),C480&lt;&gt;""),SUMIFS($E$6:$E$505,$C$6:$C$505,C480,$D$6:$D$505,D480,$B$6:$B$505,"&gt;"&amp;(B480-1),$B$6:$B$505,"&lt;="&amp;B480),0)</f>
        <v>0</v>
      </c>
      <c r="AX480" s="0" t="str">
        <f aca="false">IF(E480="","",IF(AD480="Siempre","AVISO (siempre)",IF(AD480="No aplica","Sin Aviso (sólo preparas: Ley 17 XI)",IF(NOT(ISNUMBER(AE480)),"",IF(AA480&lt;&gt;"ACUMULA",IF(E480&gt;=AE480,IF(AND(D480="XVI - Activos virtuales (PSAV): cobro de contraprestación (comisión) por el servicio",COUNTIFS($C$6:$C$505,C480,$B$6:$B$505,"&gt;="&amp;INT(B480),$B$6:$B$505,"&lt;"&amp;(INT(B480)+1),$AU$6:$AU$505,1)&gt;0),"En el Aviso del inciso a) (R 31 Bis)","AVISO"),"—"),IF(M480&lt;&gt;"Sí","—",IF(AK480&gt;=AE480,IF(AK480=E480,"AVISO","AVISO (acumulado)"),"Acumulando")))))))</f>
        <v/>
      </c>
    </row>
    <row r="481" customFormat="false" ht="15" hidden="false" customHeight="false" outlineLevel="0" collapsed="false">
      <c r="A481" s="9" t="str">
        <f aca="false">IF(E481="","",ROW()-5)</f>
        <v/>
      </c>
      <c r="B481" s="20"/>
      <c r="C481" s="21"/>
      <c r="D481" s="21"/>
      <c r="E481" s="22"/>
      <c r="F481" s="22"/>
      <c r="G481" s="21"/>
      <c r="H481" s="21"/>
      <c r="I481" s="9" t="str">
        <f aca="false">IF(C481="","",IFERROR(INDEX(CLIENTES!$B$6:$B$305,MATCH(C481,CLIENTES!$A$6:$A$305,0)),"⚠ ID no registrado"))</f>
        <v/>
      </c>
      <c r="J481" s="9" t="str">
        <f aca="false">IF(C481="","",IFERROR(INDEX(CLIENTES!$Z$6:$Z$305,MATCH(C481,CLIENTES!$A$6:$A$305,0)),""))</f>
        <v/>
      </c>
      <c r="K481" s="9" t="str">
        <f aca="false">IF(E481="","",IF(AB481="Siempre","Sí",IF(ISNUMBER(AC481),IF(E481&gt;=AC481,"Sí",IF(AW481&gt;=AC481,"Sí (serie 24 h)","No")),"")))</f>
        <v/>
      </c>
      <c r="L481" s="9" t="str">
        <f aca="false">IF(E481="","",AA481)</f>
        <v/>
      </c>
      <c r="M481" s="9" t="str">
        <f aca="false">IF(E481="","",IF(AA481&lt;&gt;"ACUMULA","No aplica",IF(LEFT(K481,2)="Sí","Sí","No")))</f>
        <v/>
      </c>
      <c r="N481" s="23" t="str">
        <f aca="false">IF(M481="Sí",AJ481,"")</f>
        <v/>
      </c>
      <c r="O481" s="24" t="str">
        <f aca="false">IF(M481="Sí",AK481,"")</f>
        <v/>
      </c>
      <c r="P481" s="25" t="str">
        <f aca="false">IF(AND(LEFT(D481,6)="XIV - ",LEFT(AX481,5)="AVISO"),"Pedimento (R 16): no va al SPPLD",AX481)</f>
        <v/>
      </c>
      <c r="Q481" s="23" t="str">
        <f aca="false">IF(LEFT(P481,5)="AVISO",IF(ISNUMBER(B481),DATE(YEAR(B481),MONTH(B481)+1,17),"Falta fecha"),"")</f>
        <v/>
      </c>
      <c r="R481" s="9" t="str">
        <f aca="false">IF(OR(F481="",F481=0),"",IF(ISNUMBER(AG481),IF(F481&gt;=AG481,"PROHIBIDO","Dentro del límite"),"No aplica"))</f>
        <v/>
      </c>
      <c r="S481" s="26" t="str">
        <f aca="false">IF(E481="","",MID(IF(AQ481=1," · Excede el perfil declarado","")&amp;IF(H481="Sí"," · Paga un tercero","")&amp;IF(J481="Alto"," · Cliente de riesgo alto: DDR (RCG 23 Ter 3 y 4)","")&amp;IF(AND(AS481&lt;&gt;"",AS481&lt;&gt;"No",AS481&lt;&gt;0)," · PEP","")&amp;IF(R481="PROHIBIDO"," · Efectivo prohibido: no lo recibas (Art. 32)","")&amp;IF(AR481=1," · ⚠ Fecha fuera de orden","")&amp;IF(LEFT(I481,1)="⚠"," · ⚠ Cliente no registrado","")&amp;IF(D481=""," · ⚠ Falta la actividad","")&amp;IF(AND(LEFT(P481,5)="AVISO",W481="")," · Captura la cifra total con IVA para el Aviso","")&amp;IF(AND(ISNUMBER(W481),W481&lt;E481)," · ⚠ La cifra con IVA es menor que el monto sin IVA",""),4,400))</f>
        <v/>
      </c>
      <c r="T481" s="21"/>
      <c r="U481" s="20"/>
      <c r="V481" s="9" t="str">
        <f aca="false">IF(LEFT(P481,5)&lt;&gt;"AVISO","",IF(T481="Presentado",IF(AND(ISNUMBER(U481),ISNUMBER(Q481),U481&gt;Q481),"Presentado tarde","Presentado"),IF(NOT(ISNUMBER(Q481)),"Falta fecha",IF(Q481&lt;CONFIG!$B$6,"VENCIDO","Vence en "&amp;(Q481-CONFIG!$B$6)&amp;" días"))))</f>
        <v/>
      </c>
      <c r="W481" s="22"/>
      <c r="X481" s="21"/>
      <c r="AA481" s="0" t="str">
        <f aca="false">IF(AM481="","",INDEX(CATÁLOGO!$D$5:$D$39,AM481))</f>
        <v/>
      </c>
      <c r="AB481" s="0" t="str">
        <f aca="false">IF(AM481="","",INDEX(CATÁLOGO!$E$5:$E$39,AM481))</f>
        <v/>
      </c>
      <c r="AC481" s="0" t="str">
        <f aca="false">IF(AB481="","",IF(ISNUMBER(AB481),AB481*AV481,AB481))</f>
        <v/>
      </c>
      <c r="AD481" s="0" t="str">
        <f aca="false">IF(AM481="","",INDEX(CATÁLOGO!$F$5:$F$39,AM481))</f>
        <v/>
      </c>
      <c r="AE481" s="0" t="str">
        <f aca="false">IF(AD481="","",IF(ISNUMBER(AD481),AD481*AV481,AD481))</f>
        <v/>
      </c>
      <c r="AF481" s="0" t="str">
        <f aca="false">IF(AM481="","",INDEX(CATÁLOGO!$G$5:$G$39,AM481))</f>
        <v/>
      </c>
      <c r="AG481" s="0" t="str">
        <f aca="false">IF(AF481="","",IF(ISNUMBER(AF481),AF481*AV481,AF481))</f>
        <v/>
      </c>
      <c r="AH481" s="0" t="str">
        <f aca="false">IF(E481="","",C481&amp;"|"&amp;D481)</f>
        <v/>
      </c>
      <c r="AI481" s="27" t="n">
        <f aca="false">IF(M481&lt;&gt;"Sí",0,SUMPRODUCT(MAX(($AH$5:AH480=AH481)*($M$5:M480="Sí")*ROW($AH$5:AH480))))</f>
        <v>0</v>
      </c>
      <c r="AJ481" s="0" t="str">
        <f aca="false">IF(M481&lt;&gt;"Sí","",IF(AL481=1,B481,INDEX($AJ:$AJ,AI481)))</f>
        <v/>
      </c>
      <c r="AK481" s="0" t="str">
        <f aca="false">IF(M481&lt;&gt;"Sí","",IF(AL481=1,E481,INDEX($AK:$AK,AI481)+E481))</f>
        <v/>
      </c>
      <c r="AL481" s="0" t="str">
        <f aca="false">IF(M481&lt;&gt;"Sí","",IF(AI481=0,1,IF(INDEX($AN:$AN,AI481)=0,1,IF(B481&gt;=EDATE(INDEX($AJ:$AJ,AI481),6),1,0))))</f>
        <v/>
      </c>
      <c r="AM481" s="0" t="str">
        <f aca="false">IF(D481="","",IFERROR(MATCH(D481,CATÁLOGO!$C$5:$C$39,0),""))</f>
        <v/>
      </c>
      <c r="AN481" s="0" t="str">
        <f aca="false">IF(M481&lt;&gt;"Sí","",IF(AND(ISNUMBER(AE481),AK481&gt;=AE481),0,1))</f>
        <v/>
      </c>
      <c r="AO481" s="0" t="str">
        <f aca="false">IF(OR(E481="",C481="",NOT(ISNUMBER(B481))),"",SUMIFS($E$6:$E$505,$C$6:$C$505,C481,$B$6:$B$505,"&gt;="&amp;DATE(YEAR(B481),MONTH(B481),1),$B$6:$B$505,"&lt;"&amp;DATE(YEAR(B481),MONTH(B481)+1,1)))</f>
        <v/>
      </c>
      <c r="AP481" s="0" t="str">
        <f aca="false">IF(C481="","",IFERROR(INDEX(CLIENTES!$M$6:$M$305,MATCH(C481,CLIENTES!$A$6:$A$305,0)),""))</f>
        <v/>
      </c>
      <c r="AQ481" s="27" t="n">
        <f aca="false">IF(AND(ISNUMBER(AO481),ISNUMBER(AP481)),IF(AND(AP481&gt;0,AO481&gt;AP481),1,0),0)</f>
        <v>0</v>
      </c>
      <c r="AR481" s="27" t="n">
        <f aca="false">IF(NOT(ISNUMBER(B481)),0,IF(B481&lt;MAX($B$5:B480),1,0))</f>
        <v>0</v>
      </c>
      <c r="AS481" s="0" t="str">
        <f aca="false">IF(C481="","",IFERROR(INDEX(CLIENTES!$H$6:$H$305,MATCH(C481,CLIENTES!$A$6:$A$305,0)),""))</f>
        <v/>
      </c>
      <c r="AT481" s="0" t="str">
        <f aca="false">IF(AND(LEFT(P481,5)="AVISO",T481&lt;&gt;"Presentado",ISNUMBER(Q481)),Q481,"")</f>
        <v/>
      </c>
      <c r="AU481" s="27" t="n">
        <f aca="false">IF(AND(D481="XVI - Activos virtuales (PSAV): operación de intercambio/transferencia",M481="Sí",ISNUMBER(AE481)),IF(AK481&gt;=AE481,1,0),0)</f>
        <v>0</v>
      </c>
      <c r="AV481" s="30" t="n">
        <f aca="false">IF(NOT(ISNUMBER(B481)),CONFIG!$B$4,IFERROR(INDEX(CONFIG!$I$5:$I$14,MATCH(IF(MONTH(B481)=1,YEAR(B481)-1,YEAR(B481)),CONFIG!$H$5:$H$14,0)),CONFIG!$B$4))</f>
        <v>117.31</v>
      </c>
      <c r="AW481" s="27" t="n">
        <f aca="false">IF(AND(LEFT(D481,4)="I - ",ISNUMBER(B481),C481&lt;&gt;""),SUMIFS($E$6:$E$505,$C$6:$C$505,C481,$D$6:$D$505,D481,$B$6:$B$505,"&gt;"&amp;(B481-1),$B$6:$B$505,"&lt;="&amp;B481),0)</f>
        <v>0</v>
      </c>
      <c r="AX481" s="0" t="str">
        <f aca="false">IF(E481="","",IF(AD481="Siempre","AVISO (siempre)",IF(AD481="No aplica","Sin Aviso (sólo preparas: Ley 17 XI)",IF(NOT(ISNUMBER(AE481)),"",IF(AA481&lt;&gt;"ACUMULA",IF(E481&gt;=AE481,IF(AND(D481="XVI - Activos virtuales (PSAV): cobro de contraprestación (comisión) por el servicio",COUNTIFS($C$6:$C$505,C481,$B$6:$B$505,"&gt;="&amp;INT(B481),$B$6:$B$505,"&lt;"&amp;(INT(B481)+1),$AU$6:$AU$505,1)&gt;0),"En el Aviso del inciso a) (R 31 Bis)","AVISO"),"—"),IF(M481&lt;&gt;"Sí","—",IF(AK481&gt;=AE481,IF(AK481=E481,"AVISO","AVISO (acumulado)"),"Acumulando")))))))</f>
        <v/>
      </c>
    </row>
    <row r="482" customFormat="false" ht="15" hidden="false" customHeight="false" outlineLevel="0" collapsed="false">
      <c r="A482" s="9" t="str">
        <f aca="false">IF(E482="","",ROW()-5)</f>
        <v/>
      </c>
      <c r="B482" s="20"/>
      <c r="C482" s="21"/>
      <c r="D482" s="21"/>
      <c r="E482" s="22"/>
      <c r="F482" s="22"/>
      <c r="G482" s="21"/>
      <c r="H482" s="21"/>
      <c r="I482" s="9" t="str">
        <f aca="false">IF(C482="","",IFERROR(INDEX(CLIENTES!$B$6:$B$305,MATCH(C482,CLIENTES!$A$6:$A$305,0)),"⚠ ID no registrado"))</f>
        <v/>
      </c>
      <c r="J482" s="9" t="str">
        <f aca="false">IF(C482="","",IFERROR(INDEX(CLIENTES!$Z$6:$Z$305,MATCH(C482,CLIENTES!$A$6:$A$305,0)),""))</f>
        <v/>
      </c>
      <c r="K482" s="9" t="str">
        <f aca="false">IF(E482="","",IF(AB482="Siempre","Sí",IF(ISNUMBER(AC482),IF(E482&gt;=AC482,"Sí",IF(AW482&gt;=AC482,"Sí (serie 24 h)","No")),"")))</f>
        <v/>
      </c>
      <c r="L482" s="9" t="str">
        <f aca="false">IF(E482="","",AA482)</f>
        <v/>
      </c>
      <c r="M482" s="9" t="str">
        <f aca="false">IF(E482="","",IF(AA482&lt;&gt;"ACUMULA","No aplica",IF(LEFT(K482,2)="Sí","Sí","No")))</f>
        <v/>
      </c>
      <c r="N482" s="23" t="str">
        <f aca="false">IF(M482="Sí",AJ482,"")</f>
        <v/>
      </c>
      <c r="O482" s="24" t="str">
        <f aca="false">IF(M482="Sí",AK482,"")</f>
        <v/>
      </c>
      <c r="P482" s="25" t="str">
        <f aca="false">IF(AND(LEFT(D482,6)="XIV - ",LEFT(AX482,5)="AVISO"),"Pedimento (R 16): no va al SPPLD",AX482)</f>
        <v/>
      </c>
      <c r="Q482" s="23" t="str">
        <f aca="false">IF(LEFT(P482,5)="AVISO",IF(ISNUMBER(B482),DATE(YEAR(B482),MONTH(B482)+1,17),"Falta fecha"),"")</f>
        <v/>
      </c>
      <c r="R482" s="9" t="str">
        <f aca="false">IF(OR(F482="",F482=0),"",IF(ISNUMBER(AG482),IF(F482&gt;=AG482,"PROHIBIDO","Dentro del límite"),"No aplica"))</f>
        <v/>
      </c>
      <c r="S482" s="26" t="str">
        <f aca="false">IF(E482="","",MID(IF(AQ482=1," · Excede el perfil declarado","")&amp;IF(H482="Sí"," · Paga un tercero","")&amp;IF(J482="Alto"," · Cliente de riesgo alto: DDR (RCG 23 Ter 3 y 4)","")&amp;IF(AND(AS482&lt;&gt;"",AS482&lt;&gt;"No",AS482&lt;&gt;0)," · PEP","")&amp;IF(R482="PROHIBIDO"," · Efectivo prohibido: no lo recibas (Art. 32)","")&amp;IF(AR482=1," · ⚠ Fecha fuera de orden","")&amp;IF(LEFT(I482,1)="⚠"," · ⚠ Cliente no registrado","")&amp;IF(D482=""," · ⚠ Falta la actividad","")&amp;IF(AND(LEFT(P482,5)="AVISO",W482="")," · Captura la cifra total con IVA para el Aviso","")&amp;IF(AND(ISNUMBER(W482),W482&lt;E482)," · ⚠ La cifra con IVA es menor que el monto sin IVA",""),4,400))</f>
        <v/>
      </c>
      <c r="T482" s="21"/>
      <c r="U482" s="20"/>
      <c r="V482" s="9" t="str">
        <f aca="false">IF(LEFT(P482,5)&lt;&gt;"AVISO","",IF(T482="Presentado",IF(AND(ISNUMBER(U482),ISNUMBER(Q482),U482&gt;Q482),"Presentado tarde","Presentado"),IF(NOT(ISNUMBER(Q482)),"Falta fecha",IF(Q482&lt;CONFIG!$B$6,"VENCIDO","Vence en "&amp;(Q482-CONFIG!$B$6)&amp;" días"))))</f>
        <v/>
      </c>
      <c r="W482" s="22"/>
      <c r="X482" s="21"/>
      <c r="AA482" s="0" t="str">
        <f aca="false">IF(AM482="","",INDEX(CATÁLOGO!$D$5:$D$39,AM482))</f>
        <v/>
      </c>
      <c r="AB482" s="0" t="str">
        <f aca="false">IF(AM482="","",INDEX(CATÁLOGO!$E$5:$E$39,AM482))</f>
        <v/>
      </c>
      <c r="AC482" s="0" t="str">
        <f aca="false">IF(AB482="","",IF(ISNUMBER(AB482),AB482*AV482,AB482))</f>
        <v/>
      </c>
      <c r="AD482" s="0" t="str">
        <f aca="false">IF(AM482="","",INDEX(CATÁLOGO!$F$5:$F$39,AM482))</f>
        <v/>
      </c>
      <c r="AE482" s="0" t="str">
        <f aca="false">IF(AD482="","",IF(ISNUMBER(AD482),AD482*AV482,AD482))</f>
        <v/>
      </c>
      <c r="AF482" s="0" t="str">
        <f aca="false">IF(AM482="","",INDEX(CATÁLOGO!$G$5:$G$39,AM482))</f>
        <v/>
      </c>
      <c r="AG482" s="0" t="str">
        <f aca="false">IF(AF482="","",IF(ISNUMBER(AF482),AF482*AV482,AF482))</f>
        <v/>
      </c>
      <c r="AH482" s="0" t="str">
        <f aca="false">IF(E482="","",C482&amp;"|"&amp;D482)</f>
        <v/>
      </c>
      <c r="AI482" s="27" t="n">
        <f aca="false">IF(M482&lt;&gt;"Sí",0,SUMPRODUCT(MAX(($AH$5:AH481=AH482)*($M$5:M481="Sí")*ROW($AH$5:AH481))))</f>
        <v>0</v>
      </c>
      <c r="AJ482" s="0" t="str">
        <f aca="false">IF(M482&lt;&gt;"Sí","",IF(AL482=1,B482,INDEX($AJ:$AJ,AI482)))</f>
        <v/>
      </c>
      <c r="AK482" s="0" t="str">
        <f aca="false">IF(M482&lt;&gt;"Sí","",IF(AL482=1,E482,INDEX($AK:$AK,AI482)+E482))</f>
        <v/>
      </c>
      <c r="AL482" s="0" t="str">
        <f aca="false">IF(M482&lt;&gt;"Sí","",IF(AI482=0,1,IF(INDEX($AN:$AN,AI482)=0,1,IF(B482&gt;=EDATE(INDEX($AJ:$AJ,AI482),6),1,0))))</f>
        <v/>
      </c>
      <c r="AM482" s="0" t="str">
        <f aca="false">IF(D482="","",IFERROR(MATCH(D482,CATÁLOGO!$C$5:$C$39,0),""))</f>
        <v/>
      </c>
      <c r="AN482" s="0" t="str">
        <f aca="false">IF(M482&lt;&gt;"Sí","",IF(AND(ISNUMBER(AE482),AK482&gt;=AE482),0,1))</f>
        <v/>
      </c>
      <c r="AO482" s="0" t="str">
        <f aca="false">IF(OR(E482="",C482="",NOT(ISNUMBER(B482))),"",SUMIFS($E$6:$E$505,$C$6:$C$505,C482,$B$6:$B$505,"&gt;="&amp;DATE(YEAR(B482),MONTH(B482),1),$B$6:$B$505,"&lt;"&amp;DATE(YEAR(B482),MONTH(B482)+1,1)))</f>
        <v/>
      </c>
      <c r="AP482" s="0" t="str">
        <f aca="false">IF(C482="","",IFERROR(INDEX(CLIENTES!$M$6:$M$305,MATCH(C482,CLIENTES!$A$6:$A$305,0)),""))</f>
        <v/>
      </c>
      <c r="AQ482" s="27" t="n">
        <f aca="false">IF(AND(ISNUMBER(AO482),ISNUMBER(AP482)),IF(AND(AP482&gt;0,AO482&gt;AP482),1,0),0)</f>
        <v>0</v>
      </c>
      <c r="AR482" s="27" t="n">
        <f aca="false">IF(NOT(ISNUMBER(B482)),0,IF(B482&lt;MAX($B$5:B481),1,0))</f>
        <v>0</v>
      </c>
      <c r="AS482" s="0" t="str">
        <f aca="false">IF(C482="","",IFERROR(INDEX(CLIENTES!$H$6:$H$305,MATCH(C482,CLIENTES!$A$6:$A$305,0)),""))</f>
        <v/>
      </c>
      <c r="AT482" s="0" t="str">
        <f aca="false">IF(AND(LEFT(P482,5)="AVISO",T482&lt;&gt;"Presentado",ISNUMBER(Q482)),Q482,"")</f>
        <v/>
      </c>
      <c r="AU482" s="27" t="n">
        <f aca="false">IF(AND(D482="XVI - Activos virtuales (PSAV): operación de intercambio/transferencia",M482="Sí",ISNUMBER(AE482)),IF(AK482&gt;=AE482,1,0),0)</f>
        <v>0</v>
      </c>
      <c r="AV482" s="30" t="n">
        <f aca="false">IF(NOT(ISNUMBER(B482)),CONFIG!$B$4,IFERROR(INDEX(CONFIG!$I$5:$I$14,MATCH(IF(MONTH(B482)=1,YEAR(B482)-1,YEAR(B482)),CONFIG!$H$5:$H$14,0)),CONFIG!$B$4))</f>
        <v>117.31</v>
      </c>
      <c r="AW482" s="27" t="n">
        <f aca="false">IF(AND(LEFT(D482,4)="I - ",ISNUMBER(B482),C482&lt;&gt;""),SUMIFS($E$6:$E$505,$C$6:$C$505,C482,$D$6:$D$505,D482,$B$6:$B$505,"&gt;"&amp;(B482-1),$B$6:$B$505,"&lt;="&amp;B482),0)</f>
        <v>0</v>
      </c>
      <c r="AX482" s="0" t="str">
        <f aca="false">IF(E482="","",IF(AD482="Siempre","AVISO (siempre)",IF(AD482="No aplica","Sin Aviso (sólo preparas: Ley 17 XI)",IF(NOT(ISNUMBER(AE482)),"",IF(AA482&lt;&gt;"ACUMULA",IF(E482&gt;=AE482,IF(AND(D482="XVI - Activos virtuales (PSAV): cobro de contraprestación (comisión) por el servicio",COUNTIFS($C$6:$C$505,C482,$B$6:$B$505,"&gt;="&amp;INT(B482),$B$6:$B$505,"&lt;"&amp;(INT(B482)+1),$AU$6:$AU$505,1)&gt;0),"En el Aviso del inciso a) (R 31 Bis)","AVISO"),"—"),IF(M482&lt;&gt;"Sí","—",IF(AK482&gt;=AE482,IF(AK482=E482,"AVISO","AVISO (acumulado)"),"Acumulando")))))))</f>
        <v/>
      </c>
    </row>
    <row r="483" customFormat="false" ht="15" hidden="false" customHeight="false" outlineLevel="0" collapsed="false">
      <c r="A483" s="9" t="str">
        <f aca="false">IF(E483="","",ROW()-5)</f>
        <v/>
      </c>
      <c r="B483" s="20"/>
      <c r="C483" s="21"/>
      <c r="D483" s="21"/>
      <c r="E483" s="22"/>
      <c r="F483" s="22"/>
      <c r="G483" s="21"/>
      <c r="H483" s="21"/>
      <c r="I483" s="9" t="str">
        <f aca="false">IF(C483="","",IFERROR(INDEX(CLIENTES!$B$6:$B$305,MATCH(C483,CLIENTES!$A$6:$A$305,0)),"⚠ ID no registrado"))</f>
        <v/>
      </c>
      <c r="J483" s="9" t="str">
        <f aca="false">IF(C483="","",IFERROR(INDEX(CLIENTES!$Z$6:$Z$305,MATCH(C483,CLIENTES!$A$6:$A$305,0)),""))</f>
        <v/>
      </c>
      <c r="K483" s="9" t="str">
        <f aca="false">IF(E483="","",IF(AB483="Siempre","Sí",IF(ISNUMBER(AC483),IF(E483&gt;=AC483,"Sí",IF(AW483&gt;=AC483,"Sí (serie 24 h)","No")),"")))</f>
        <v/>
      </c>
      <c r="L483" s="9" t="str">
        <f aca="false">IF(E483="","",AA483)</f>
        <v/>
      </c>
      <c r="M483" s="9" t="str">
        <f aca="false">IF(E483="","",IF(AA483&lt;&gt;"ACUMULA","No aplica",IF(LEFT(K483,2)="Sí","Sí","No")))</f>
        <v/>
      </c>
      <c r="N483" s="23" t="str">
        <f aca="false">IF(M483="Sí",AJ483,"")</f>
        <v/>
      </c>
      <c r="O483" s="24" t="str">
        <f aca="false">IF(M483="Sí",AK483,"")</f>
        <v/>
      </c>
      <c r="P483" s="25" t="str">
        <f aca="false">IF(AND(LEFT(D483,6)="XIV - ",LEFT(AX483,5)="AVISO"),"Pedimento (R 16): no va al SPPLD",AX483)</f>
        <v/>
      </c>
      <c r="Q483" s="23" t="str">
        <f aca="false">IF(LEFT(P483,5)="AVISO",IF(ISNUMBER(B483),DATE(YEAR(B483),MONTH(B483)+1,17),"Falta fecha"),"")</f>
        <v/>
      </c>
      <c r="R483" s="9" t="str">
        <f aca="false">IF(OR(F483="",F483=0),"",IF(ISNUMBER(AG483),IF(F483&gt;=AG483,"PROHIBIDO","Dentro del límite"),"No aplica"))</f>
        <v/>
      </c>
      <c r="S483" s="26" t="str">
        <f aca="false">IF(E483="","",MID(IF(AQ483=1," · Excede el perfil declarado","")&amp;IF(H483="Sí"," · Paga un tercero","")&amp;IF(J483="Alto"," · Cliente de riesgo alto: DDR (RCG 23 Ter 3 y 4)","")&amp;IF(AND(AS483&lt;&gt;"",AS483&lt;&gt;"No",AS483&lt;&gt;0)," · PEP","")&amp;IF(R483="PROHIBIDO"," · Efectivo prohibido: no lo recibas (Art. 32)","")&amp;IF(AR483=1," · ⚠ Fecha fuera de orden","")&amp;IF(LEFT(I483,1)="⚠"," · ⚠ Cliente no registrado","")&amp;IF(D483=""," · ⚠ Falta la actividad","")&amp;IF(AND(LEFT(P483,5)="AVISO",W483="")," · Captura la cifra total con IVA para el Aviso","")&amp;IF(AND(ISNUMBER(W483),W483&lt;E483)," · ⚠ La cifra con IVA es menor que el monto sin IVA",""),4,400))</f>
        <v/>
      </c>
      <c r="T483" s="21"/>
      <c r="U483" s="20"/>
      <c r="V483" s="9" t="str">
        <f aca="false">IF(LEFT(P483,5)&lt;&gt;"AVISO","",IF(T483="Presentado",IF(AND(ISNUMBER(U483),ISNUMBER(Q483),U483&gt;Q483),"Presentado tarde","Presentado"),IF(NOT(ISNUMBER(Q483)),"Falta fecha",IF(Q483&lt;CONFIG!$B$6,"VENCIDO","Vence en "&amp;(Q483-CONFIG!$B$6)&amp;" días"))))</f>
        <v/>
      </c>
      <c r="W483" s="22"/>
      <c r="X483" s="21"/>
      <c r="AA483" s="0" t="str">
        <f aca="false">IF(AM483="","",INDEX(CATÁLOGO!$D$5:$D$39,AM483))</f>
        <v/>
      </c>
      <c r="AB483" s="0" t="str">
        <f aca="false">IF(AM483="","",INDEX(CATÁLOGO!$E$5:$E$39,AM483))</f>
        <v/>
      </c>
      <c r="AC483" s="0" t="str">
        <f aca="false">IF(AB483="","",IF(ISNUMBER(AB483),AB483*AV483,AB483))</f>
        <v/>
      </c>
      <c r="AD483" s="0" t="str">
        <f aca="false">IF(AM483="","",INDEX(CATÁLOGO!$F$5:$F$39,AM483))</f>
        <v/>
      </c>
      <c r="AE483" s="0" t="str">
        <f aca="false">IF(AD483="","",IF(ISNUMBER(AD483),AD483*AV483,AD483))</f>
        <v/>
      </c>
      <c r="AF483" s="0" t="str">
        <f aca="false">IF(AM483="","",INDEX(CATÁLOGO!$G$5:$G$39,AM483))</f>
        <v/>
      </c>
      <c r="AG483" s="0" t="str">
        <f aca="false">IF(AF483="","",IF(ISNUMBER(AF483),AF483*AV483,AF483))</f>
        <v/>
      </c>
      <c r="AH483" s="0" t="str">
        <f aca="false">IF(E483="","",C483&amp;"|"&amp;D483)</f>
        <v/>
      </c>
      <c r="AI483" s="27" t="n">
        <f aca="false">IF(M483&lt;&gt;"Sí",0,SUMPRODUCT(MAX(($AH$5:AH482=AH483)*($M$5:M482="Sí")*ROW($AH$5:AH482))))</f>
        <v>0</v>
      </c>
      <c r="AJ483" s="0" t="str">
        <f aca="false">IF(M483&lt;&gt;"Sí","",IF(AL483=1,B483,INDEX($AJ:$AJ,AI483)))</f>
        <v/>
      </c>
      <c r="AK483" s="0" t="str">
        <f aca="false">IF(M483&lt;&gt;"Sí","",IF(AL483=1,E483,INDEX($AK:$AK,AI483)+E483))</f>
        <v/>
      </c>
      <c r="AL483" s="0" t="str">
        <f aca="false">IF(M483&lt;&gt;"Sí","",IF(AI483=0,1,IF(INDEX($AN:$AN,AI483)=0,1,IF(B483&gt;=EDATE(INDEX($AJ:$AJ,AI483),6),1,0))))</f>
        <v/>
      </c>
      <c r="AM483" s="0" t="str">
        <f aca="false">IF(D483="","",IFERROR(MATCH(D483,CATÁLOGO!$C$5:$C$39,0),""))</f>
        <v/>
      </c>
      <c r="AN483" s="0" t="str">
        <f aca="false">IF(M483&lt;&gt;"Sí","",IF(AND(ISNUMBER(AE483),AK483&gt;=AE483),0,1))</f>
        <v/>
      </c>
      <c r="AO483" s="0" t="str">
        <f aca="false">IF(OR(E483="",C483="",NOT(ISNUMBER(B483))),"",SUMIFS($E$6:$E$505,$C$6:$C$505,C483,$B$6:$B$505,"&gt;="&amp;DATE(YEAR(B483),MONTH(B483),1),$B$6:$B$505,"&lt;"&amp;DATE(YEAR(B483),MONTH(B483)+1,1)))</f>
        <v/>
      </c>
      <c r="AP483" s="0" t="str">
        <f aca="false">IF(C483="","",IFERROR(INDEX(CLIENTES!$M$6:$M$305,MATCH(C483,CLIENTES!$A$6:$A$305,0)),""))</f>
        <v/>
      </c>
      <c r="AQ483" s="27" t="n">
        <f aca="false">IF(AND(ISNUMBER(AO483),ISNUMBER(AP483)),IF(AND(AP483&gt;0,AO483&gt;AP483),1,0),0)</f>
        <v>0</v>
      </c>
      <c r="AR483" s="27" t="n">
        <f aca="false">IF(NOT(ISNUMBER(B483)),0,IF(B483&lt;MAX($B$5:B482),1,0))</f>
        <v>0</v>
      </c>
      <c r="AS483" s="0" t="str">
        <f aca="false">IF(C483="","",IFERROR(INDEX(CLIENTES!$H$6:$H$305,MATCH(C483,CLIENTES!$A$6:$A$305,0)),""))</f>
        <v/>
      </c>
      <c r="AT483" s="0" t="str">
        <f aca="false">IF(AND(LEFT(P483,5)="AVISO",T483&lt;&gt;"Presentado",ISNUMBER(Q483)),Q483,"")</f>
        <v/>
      </c>
      <c r="AU483" s="27" t="n">
        <f aca="false">IF(AND(D483="XVI - Activos virtuales (PSAV): operación de intercambio/transferencia",M483="Sí",ISNUMBER(AE483)),IF(AK483&gt;=AE483,1,0),0)</f>
        <v>0</v>
      </c>
      <c r="AV483" s="30" t="n">
        <f aca="false">IF(NOT(ISNUMBER(B483)),CONFIG!$B$4,IFERROR(INDEX(CONFIG!$I$5:$I$14,MATCH(IF(MONTH(B483)=1,YEAR(B483)-1,YEAR(B483)),CONFIG!$H$5:$H$14,0)),CONFIG!$B$4))</f>
        <v>117.31</v>
      </c>
      <c r="AW483" s="27" t="n">
        <f aca="false">IF(AND(LEFT(D483,4)="I - ",ISNUMBER(B483),C483&lt;&gt;""),SUMIFS($E$6:$E$505,$C$6:$C$505,C483,$D$6:$D$505,D483,$B$6:$B$505,"&gt;"&amp;(B483-1),$B$6:$B$505,"&lt;="&amp;B483),0)</f>
        <v>0</v>
      </c>
      <c r="AX483" s="0" t="str">
        <f aca="false">IF(E483="","",IF(AD483="Siempre","AVISO (siempre)",IF(AD483="No aplica","Sin Aviso (sólo preparas: Ley 17 XI)",IF(NOT(ISNUMBER(AE483)),"",IF(AA483&lt;&gt;"ACUMULA",IF(E483&gt;=AE483,IF(AND(D483="XVI - Activos virtuales (PSAV): cobro de contraprestación (comisión) por el servicio",COUNTIFS($C$6:$C$505,C483,$B$6:$B$505,"&gt;="&amp;INT(B483),$B$6:$B$505,"&lt;"&amp;(INT(B483)+1),$AU$6:$AU$505,1)&gt;0),"En el Aviso del inciso a) (R 31 Bis)","AVISO"),"—"),IF(M483&lt;&gt;"Sí","—",IF(AK483&gt;=AE483,IF(AK483=E483,"AVISO","AVISO (acumulado)"),"Acumulando")))))))</f>
        <v/>
      </c>
    </row>
    <row r="484" customFormat="false" ht="15" hidden="false" customHeight="false" outlineLevel="0" collapsed="false">
      <c r="A484" s="9" t="str">
        <f aca="false">IF(E484="","",ROW()-5)</f>
        <v/>
      </c>
      <c r="B484" s="20"/>
      <c r="C484" s="21"/>
      <c r="D484" s="21"/>
      <c r="E484" s="22"/>
      <c r="F484" s="22"/>
      <c r="G484" s="21"/>
      <c r="H484" s="21"/>
      <c r="I484" s="9" t="str">
        <f aca="false">IF(C484="","",IFERROR(INDEX(CLIENTES!$B$6:$B$305,MATCH(C484,CLIENTES!$A$6:$A$305,0)),"⚠ ID no registrado"))</f>
        <v/>
      </c>
      <c r="J484" s="9" t="str">
        <f aca="false">IF(C484="","",IFERROR(INDEX(CLIENTES!$Z$6:$Z$305,MATCH(C484,CLIENTES!$A$6:$A$305,0)),""))</f>
        <v/>
      </c>
      <c r="K484" s="9" t="str">
        <f aca="false">IF(E484="","",IF(AB484="Siempre","Sí",IF(ISNUMBER(AC484),IF(E484&gt;=AC484,"Sí",IF(AW484&gt;=AC484,"Sí (serie 24 h)","No")),"")))</f>
        <v/>
      </c>
      <c r="L484" s="9" t="str">
        <f aca="false">IF(E484="","",AA484)</f>
        <v/>
      </c>
      <c r="M484" s="9" t="str">
        <f aca="false">IF(E484="","",IF(AA484&lt;&gt;"ACUMULA","No aplica",IF(LEFT(K484,2)="Sí","Sí","No")))</f>
        <v/>
      </c>
      <c r="N484" s="23" t="str">
        <f aca="false">IF(M484="Sí",AJ484,"")</f>
        <v/>
      </c>
      <c r="O484" s="24" t="str">
        <f aca="false">IF(M484="Sí",AK484,"")</f>
        <v/>
      </c>
      <c r="P484" s="25" t="str">
        <f aca="false">IF(AND(LEFT(D484,6)="XIV - ",LEFT(AX484,5)="AVISO"),"Pedimento (R 16): no va al SPPLD",AX484)</f>
        <v/>
      </c>
      <c r="Q484" s="23" t="str">
        <f aca="false">IF(LEFT(P484,5)="AVISO",IF(ISNUMBER(B484),DATE(YEAR(B484),MONTH(B484)+1,17),"Falta fecha"),"")</f>
        <v/>
      </c>
      <c r="R484" s="9" t="str">
        <f aca="false">IF(OR(F484="",F484=0),"",IF(ISNUMBER(AG484),IF(F484&gt;=AG484,"PROHIBIDO","Dentro del límite"),"No aplica"))</f>
        <v/>
      </c>
      <c r="S484" s="26" t="str">
        <f aca="false">IF(E484="","",MID(IF(AQ484=1," · Excede el perfil declarado","")&amp;IF(H484="Sí"," · Paga un tercero","")&amp;IF(J484="Alto"," · Cliente de riesgo alto: DDR (RCG 23 Ter 3 y 4)","")&amp;IF(AND(AS484&lt;&gt;"",AS484&lt;&gt;"No",AS484&lt;&gt;0)," · PEP","")&amp;IF(R484="PROHIBIDO"," · Efectivo prohibido: no lo recibas (Art. 32)","")&amp;IF(AR484=1," · ⚠ Fecha fuera de orden","")&amp;IF(LEFT(I484,1)="⚠"," · ⚠ Cliente no registrado","")&amp;IF(D484=""," · ⚠ Falta la actividad","")&amp;IF(AND(LEFT(P484,5)="AVISO",W484="")," · Captura la cifra total con IVA para el Aviso","")&amp;IF(AND(ISNUMBER(W484),W484&lt;E484)," · ⚠ La cifra con IVA es menor que el monto sin IVA",""),4,400))</f>
        <v/>
      </c>
      <c r="T484" s="21"/>
      <c r="U484" s="20"/>
      <c r="V484" s="9" t="str">
        <f aca="false">IF(LEFT(P484,5)&lt;&gt;"AVISO","",IF(T484="Presentado",IF(AND(ISNUMBER(U484),ISNUMBER(Q484),U484&gt;Q484),"Presentado tarde","Presentado"),IF(NOT(ISNUMBER(Q484)),"Falta fecha",IF(Q484&lt;CONFIG!$B$6,"VENCIDO","Vence en "&amp;(Q484-CONFIG!$B$6)&amp;" días"))))</f>
        <v/>
      </c>
      <c r="W484" s="22"/>
      <c r="X484" s="21"/>
      <c r="AA484" s="0" t="str">
        <f aca="false">IF(AM484="","",INDEX(CATÁLOGO!$D$5:$D$39,AM484))</f>
        <v/>
      </c>
      <c r="AB484" s="0" t="str">
        <f aca="false">IF(AM484="","",INDEX(CATÁLOGO!$E$5:$E$39,AM484))</f>
        <v/>
      </c>
      <c r="AC484" s="0" t="str">
        <f aca="false">IF(AB484="","",IF(ISNUMBER(AB484),AB484*AV484,AB484))</f>
        <v/>
      </c>
      <c r="AD484" s="0" t="str">
        <f aca="false">IF(AM484="","",INDEX(CATÁLOGO!$F$5:$F$39,AM484))</f>
        <v/>
      </c>
      <c r="AE484" s="0" t="str">
        <f aca="false">IF(AD484="","",IF(ISNUMBER(AD484),AD484*AV484,AD484))</f>
        <v/>
      </c>
      <c r="AF484" s="0" t="str">
        <f aca="false">IF(AM484="","",INDEX(CATÁLOGO!$G$5:$G$39,AM484))</f>
        <v/>
      </c>
      <c r="AG484" s="0" t="str">
        <f aca="false">IF(AF484="","",IF(ISNUMBER(AF484),AF484*AV484,AF484))</f>
        <v/>
      </c>
      <c r="AH484" s="0" t="str">
        <f aca="false">IF(E484="","",C484&amp;"|"&amp;D484)</f>
        <v/>
      </c>
      <c r="AI484" s="27" t="n">
        <f aca="false">IF(M484&lt;&gt;"Sí",0,SUMPRODUCT(MAX(($AH$5:AH483=AH484)*($M$5:M483="Sí")*ROW($AH$5:AH483))))</f>
        <v>0</v>
      </c>
      <c r="AJ484" s="0" t="str">
        <f aca="false">IF(M484&lt;&gt;"Sí","",IF(AL484=1,B484,INDEX($AJ:$AJ,AI484)))</f>
        <v/>
      </c>
      <c r="AK484" s="0" t="str">
        <f aca="false">IF(M484&lt;&gt;"Sí","",IF(AL484=1,E484,INDEX($AK:$AK,AI484)+E484))</f>
        <v/>
      </c>
      <c r="AL484" s="0" t="str">
        <f aca="false">IF(M484&lt;&gt;"Sí","",IF(AI484=0,1,IF(INDEX($AN:$AN,AI484)=0,1,IF(B484&gt;=EDATE(INDEX($AJ:$AJ,AI484),6),1,0))))</f>
        <v/>
      </c>
      <c r="AM484" s="0" t="str">
        <f aca="false">IF(D484="","",IFERROR(MATCH(D484,CATÁLOGO!$C$5:$C$39,0),""))</f>
        <v/>
      </c>
      <c r="AN484" s="0" t="str">
        <f aca="false">IF(M484&lt;&gt;"Sí","",IF(AND(ISNUMBER(AE484),AK484&gt;=AE484),0,1))</f>
        <v/>
      </c>
      <c r="AO484" s="0" t="str">
        <f aca="false">IF(OR(E484="",C484="",NOT(ISNUMBER(B484))),"",SUMIFS($E$6:$E$505,$C$6:$C$505,C484,$B$6:$B$505,"&gt;="&amp;DATE(YEAR(B484),MONTH(B484),1),$B$6:$B$505,"&lt;"&amp;DATE(YEAR(B484),MONTH(B484)+1,1)))</f>
        <v/>
      </c>
      <c r="AP484" s="0" t="str">
        <f aca="false">IF(C484="","",IFERROR(INDEX(CLIENTES!$M$6:$M$305,MATCH(C484,CLIENTES!$A$6:$A$305,0)),""))</f>
        <v/>
      </c>
      <c r="AQ484" s="27" t="n">
        <f aca="false">IF(AND(ISNUMBER(AO484),ISNUMBER(AP484)),IF(AND(AP484&gt;0,AO484&gt;AP484),1,0),0)</f>
        <v>0</v>
      </c>
      <c r="AR484" s="27" t="n">
        <f aca="false">IF(NOT(ISNUMBER(B484)),0,IF(B484&lt;MAX($B$5:B483),1,0))</f>
        <v>0</v>
      </c>
      <c r="AS484" s="0" t="str">
        <f aca="false">IF(C484="","",IFERROR(INDEX(CLIENTES!$H$6:$H$305,MATCH(C484,CLIENTES!$A$6:$A$305,0)),""))</f>
        <v/>
      </c>
      <c r="AT484" s="0" t="str">
        <f aca="false">IF(AND(LEFT(P484,5)="AVISO",T484&lt;&gt;"Presentado",ISNUMBER(Q484)),Q484,"")</f>
        <v/>
      </c>
      <c r="AU484" s="27" t="n">
        <f aca="false">IF(AND(D484="XVI - Activos virtuales (PSAV): operación de intercambio/transferencia",M484="Sí",ISNUMBER(AE484)),IF(AK484&gt;=AE484,1,0),0)</f>
        <v>0</v>
      </c>
      <c r="AV484" s="30" t="n">
        <f aca="false">IF(NOT(ISNUMBER(B484)),CONFIG!$B$4,IFERROR(INDEX(CONFIG!$I$5:$I$14,MATCH(IF(MONTH(B484)=1,YEAR(B484)-1,YEAR(B484)),CONFIG!$H$5:$H$14,0)),CONFIG!$B$4))</f>
        <v>117.31</v>
      </c>
      <c r="AW484" s="27" t="n">
        <f aca="false">IF(AND(LEFT(D484,4)="I - ",ISNUMBER(B484),C484&lt;&gt;""),SUMIFS($E$6:$E$505,$C$6:$C$505,C484,$D$6:$D$505,D484,$B$6:$B$505,"&gt;"&amp;(B484-1),$B$6:$B$505,"&lt;="&amp;B484),0)</f>
        <v>0</v>
      </c>
      <c r="AX484" s="0" t="str">
        <f aca="false">IF(E484="","",IF(AD484="Siempre","AVISO (siempre)",IF(AD484="No aplica","Sin Aviso (sólo preparas: Ley 17 XI)",IF(NOT(ISNUMBER(AE484)),"",IF(AA484&lt;&gt;"ACUMULA",IF(E484&gt;=AE484,IF(AND(D484="XVI - Activos virtuales (PSAV): cobro de contraprestación (comisión) por el servicio",COUNTIFS($C$6:$C$505,C484,$B$6:$B$505,"&gt;="&amp;INT(B484),$B$6:$B$505,"&lt;"&amp;(INT(B484)+1),$AU$6:$AU$505,1)&gt;0),"En el Aviso del inciso a) (R 31 Bis)","AVISO"),"—"),IF(M484&lt;&gt;"Sí","—",IF(AK484&gt;=AE484,IF(AK484=E484,"AVISO","AVISO (acumulado)"),"Acumulando")))))))</f>
        <v/>
      </c>
    </row>
    <row r="485" customFormat="false" ht="15" hidden="false" customHeight="false" outlineLevel="0" collapsed="false">
      <c r="A485" s="9" t="str">
        <f aca="false">IF(E485="","",ROW()-5)</f>
        <v/>
      </c>
      <c r="B485" s="20"/>
      <c r="C485" s="21"/>
      <c r="D485" s="21"/>
      <c r="E485" s="22"/>
      <c r="F485" s="22"/>
      <c r="G485" s="21"/>
      <c r="H485" s="21"/>
      <c r="I485" s="9" t="str">
        <f aca="false">IF(C485="","",IFERROR(INDEX(CLIENTES!$B$6:$B$305,MATCH(C485,CLIENTES!$A$6:$A$305,0)),"⚠ ID no registrado"))</f>
        <v/>
      </c>
      <c r="J485" s="9" t="str">
        <f aca="false">IF(C485="","",IFERROR(INDEX(CLIENTES!$Z$6:$Z$305,MATCH(C485,CLIENTES!$A$6:$A$305,0)),""))</f>
        <v/>
      </c>
      <c r="K485" s="9" t="str">
        <f aca="false">IF(E485="","",IF(AB485="Siempre","Sí",IF(ISNUMBER(AC485),IF(E485&gt;=AC485,"Sí",IF(AW485&gt;=AC485,"Sí (serie 24 h)","No")),"")))</f>
        <v/>
      </c>
      <c r="L485" s="9" t="str">
        <f aca="false">IF(E485="","",AA485)</f>
        <v/>
      </c>
      <c r="M485" s="9" t="str">
        <f aca="false">IF(E485="","",IF(AA485&lt;&gt;"ACUMULA","No aplica",IF(LEFT(K485,2)="Sí","Sí","No")))</f>
        <v/>
      </c>
      <c r="N485" s="23" t="str">
        <f aca="false">IF(M485="Sí",AJ485,"")</f>
        <v/>
      </c>
      <c r="O485" s="24" t="str">
        <f aca="false">IF(M485="Sí",AK485,"")</f>
        <v/>
      </c>
      <c r="P485" s="25" t="str">
        <f aca="false">IF(AND(LEFT(D485,6)="XIV - ",LEFT(AX485,5)="AVISO"),"Pedimento (R 16): no va al SPPLD",AX485)</f>
        <v/>
      </c>
      <c r="Q485" s="23" t="str">
        <f aca="false">IF(LEFT(P485,5)="AVISO",IF(ISNUMBER(B485),DATE(YEAR(B485),MONTH(B485)+1,17),"Falta fecha"),"")</f>
        <v/>
      </c>
      <c r="R485" s="9" t="str">
        <f aca="false">IF(OR(F485="",F485=0),"",IF(ISNUMBER(AG485),IF(F485&gt;=AG485,"PROHIBIDO","Dentro del límite"),"No aplica"))</f>
        <v/>
      </c>
      <c r="S485" s="26" t="str">
        <f aca="false">IF(E485="","",MID(IF(AQ485=1," · Excede el perfil declarado","")&amp;IF(H485="Sí"," · Paga un tercero","")&amp;IF(J485="Alto"," · Cliente de riesgo alto: DDR (RCG 23 Ter 3 y 4)","")&amp;IF(AND(AS485&lt;&gt;"",AS485&lt;&gt;"No",AS485&lt;&gt;0)," · PEP","")&amp;IF(R485="PROHIBIDO"," · Efectivo prohibido: no lo recibas (Art. 32)","")&amp;IF(AR485=1," · ⚠ Fecha fuera de orden","")&amp;IF(LEFT(I485,1)="⚠"," · ⚠ Cliente no registrado","")&amp;IF(D485=""," · ⚠ Falta la actividad","")&amp;IF(AND(LEFT(P485,5)="AVISO",W485="")," · Captura la cifra total con IVA para el Aviso","")&amp;IF(AND(ISNUMBER(W485),W485&lt;E485)," · ⚠ La cifra con IVA es menor que el monto sin IVA",""),4,400))</f>
        <v/>
      </c>
      <c r="T485" s="21"/>
      <c r="U485" s="20"/>
      <c r="V485" s="9" t="str">
        <f aca="false">IF(LEFT(P485,5)&lt;&gt;"AVISO","",IF(T485="Presentado",IF(AND(ISNUMBER(U485),ISNUMBER(Q485),U485&gt;Q485),"Presentado tarde","Presentado"),IF(NOT(ISNUMBER(Q485)),"Falta fecha",IF(Q485&lt;CONFIG!$B$6,"VENCIDO","Vence en "&amp;(Q485-CONFIG!$B$6)&amp;" días"))))</f>
        <v/>
      </c>
      <c r="W485" s="22"/>
      <c r="X485" s="21"/>
      <c r="AA485" s="0" t="str">
        <f aca="false">IF(AM485="","",INDEX(CATÁLOGO!$D$5:$D$39,AM485))</f>
        <v/>
      </c>
      <c r="AB485" s="0" t="str">
        <f aca="false">IF(AM485="","",INDEX(CATÁLOGO!$E$5:$E$39,AM485))</f>
        <v/>
      </c>
      <c r="AC485" s="0" t="str">
        <f aca="false">IF(AB485="","",IF(ISNUMBER(AB485),AB485*AV485,AB485))</f>
        <v/>
      </c>
      <c r="AD485" s="0" t="str">
        <f aca="false">IF(AM485="","",INDEX(CATÁLOGO!$F$5:$F$39,AM485))</f>
        <v/>
      </c>
      <c r="AE485" s="0" t="str">
        <f aca="false">IF(AD485="","",IF(ISNUMBER(AD485),AD485*AV485,AD485))</f>
        <v/>
      </c>
      <c r="AF485" s="0" t="str">
        <f aca="false">IF(AM485="","",INDEX(CATÁLOGO!$G$5:$G$39,AM485))</f>
        <v/>
      </c>
      <c r="AG485" s="0" t="str">
        <f aca="false">IF(AF485="","",IF(ISNUMBER(AF485),AF485*AV485,AF485))</f>
        <v/>
      </c>
      <c r="AH485" s="0" t="str">
        <f aca="false">IF(E485="","",C485&amp;"|"&amp;D485)</f>
        <v/>
      </c>
      <c r="AI485" s="27" t="n">
        <f aca="false">IF(M485&lt;&gt;"Sí",0,SUMPRODUCT(MAX(($AH$5:AH484=AH485)*($M$5:M484="Sí")*ROW($AH$5:AH484))))</f>
        <v>0</v>
      </c>
      <c r="AJ485" s="0" t="str">
        <f aca="false">IF(M485&lt;&gt;"Sí","",IF(AL485=1,B485,INDEX($AJ:$AJ,AI485)))</f>
        <v/>
      </c>
      <c r="AK485" s="0" t="str">
        <f aca="false">IF(M485&lt;&gt;"Sí","",IF(AL485=1,E485,INDEX($AK:$AK,AI485)+E485))</f>
        <v/>
      </c>
      <c r="AL485" s="0" t="str">
        <f aca="false">IF(M485&lt;&gt;"Sí","",IF(AI485=0,1,IF(INDEX($AN:$AN,AI485)=0,1,IF(B485&gt;=EDATE(INDEX($AJ:$AJ,AI485),6),1,0))))</f>
        <v/>
      </c>
      <c r="AM485" s="0" t="str">
        <f aca="false">IF(D485="","",IFERROR(MATCH(D485,CATÁLOGO!$C$5:$C$39,0),""))</f>
        <v/>
      </c>
      <c r="AN485" s="0" t="str">
        <f aca="false">IF(M485&lt;&gt;"Sí","",IF(AND(ISNUMBER(AE485),AK485&gt;=AE485),0,1))</f>
        <v/>
      </c>
      <c r="AO485" s="0" t="str">
        <f aca="false">IF(OR(E485="",C485="",NOT(ISNUMBER(B485))),"",SUMIFS($E$6:$E$505,$C$6:$C$505,C485,$B$6:$B$505,"&gt;="&amp;DATE(YEAR(B485),MONTH(B485),1),$B$6:$B$505,"&lt;"&amp;DATE(YEAR(B485),MONTH(B485)+1,1)))</f>
        <v/>
      </c>
      <c r="AP485" s="0" t="str">
        <f aca="false">IF(C485="","",IFERROR(INDEX(CLIENTES!$M$6:$M$305,MATCH(C485,CLIENTES!$A$6:$A$305,0)),""))</f>
        <v/>
      </c>
      <c r="AQ485" s="27" t="n">
        <f aca="false">IF(AND(ISNUMBER(AO485),ISNUMBER(AP485)),IF(AND(AP485&gt;0,AO485&gt;AP485),1,0),0)</f>
        <v>0</v>
      </c>
      <c r="AR485" s="27" t="n">
        <f aca="false">IF(NOT(ISNUMBER(B485)),0,IF(B485&lt;MAX($B$5:B484),1,0))</f>
        <v>0</v>
      </c>
      <c r="AS485" s="0" t="str">
        <f aca="false">IF(C485="","",IFERROR(INDEX(CLIENTES!$H$6:$H$305,MATCH(C485,CLIENTES!$A$6:$A$305,0)),""))</f>
        <v/>
      </c>
      <c r="AT485" s="0" t="str">
        <f aca="false">IF(AND(LEFT(P485,5)="AVISO",T485&lt;&gt;"Presentado",ISNUMBER(Q485)),Q485,"")</f>
        <v/>
      </c>
      <c r="AU485" s="27" t="n">
        <f aca="false">IF(AND(D485="XVI - Activos virtuales (PSAV): operación de intercambio/transferencia",M485="Sí",ISNUMBER(AE485)),IF(AK485&gt;=AE485,1,0),0)</f>
        <v>0</v>
      </c>
      <c r="AV485" s="30" t="n">
        <f aca="false">IF(NOT(ISNUMBER(B485)),CONFIG!$B$4,IFERROR(INDEX(CONFIG!$I$5:$I$14,MATCH(IF(MONTH(B485)=1,YEAR(B485)-1,YEAR(B485)),CONFIG!$H$5:$H$14,0)),CONFIG!$B$4))</f>
        <v>117.31</v>
      </c>
      <c r="AW485" s="27" t="n">
        <f aca="false">IF(AND(LEFT(D485,4)="I - ",ISNUMBER(B485),C485&lt;&gt;""),SUMIFS($E$6:$E$505,$C$6:$C$505,C485,$D$6:$D$505,D485,$B$6:$B$505,"&gt;"&amp;(B485-1),$B$6:$B$505,"&lt;="&amp;B485),0)</f>
        <v>0</v>
      </c>
      <c r="AX485" s="0" t="str">
        <f aca="false">IF(E485="","",IF(AD485="Siempre","AVISO (siempre)",IF(AD485="No aplica","Sin Aviso (sólo preparas: Ley 17 XI)",IF(NOT(ISNUMBER(AE485)),"",IF(AA485&lt;&gt;"ACUMULA",IF(E485&gt;=AE485,IF(AND(D485="XVI - Activos virtuales (PSAV): cobro de contraprestación (comisión) por el servicio",COUNTIFS($C$6:$C$505,C485,$B$6:$B$505,"&gt;="&amp;INT(B485),$B$6:$B$505,"&lt;"&amp;(INT(B485)+1),$AU$6:$AU$505,1)&gt;0),"En el Aviso del inciso a) (R 31 Bis)","AVISO"),"—"),IF(M485&lt;&gt;"Sí","—",IF(AK485&gt;=AE485,IF(AK485=E485,"AVISO","AVISO (acumulado)"),"Acumulando")))))))</f>
        <v/>
      </c>
    </row>
    <row r="486" customFormat="false" ht="15" hidden="false" customHeight="false" outlineLevel="0" collapsed="false">
      <c r="A486" s="9" t="str">
        <f aca="false">IF(E486="","",ROW()-5)</f>
        <v/>
      </c>
      <c r="B486" s="20"/>
      <c r="C486" s="21"/>
      <c r="D486" s="21"/>
      <c r="E486" s="22"/>
      <c r="F486" s="22"/>
      <c r="G486" s="21"/>
      <c r="H486" s="21"/>
      <c r="I486" s="9" t="str">
        <f aca="false">IF(C486="","",IFERROR(INDEX(CLIENTES!$B$6:$B$305,MATCH(C486,CLIENTES!$A$6:$A$305,0)),"⚠ ID no registrado"))</f>
        <v/>
      </c>
      <c r="J486" s="9" t="str">
        <f aca="false">IF(C486="","",IFERROR(INDEX(CLIENTES!$Z$6:$Z$305,MATCH(C486,CLIENTES!$A$6:$A$305,0)),""))</f>
        <v/>
      </c>
      <c r="K486" s="9" t="str">
        <f aca="false">IF(E486="","",IF(AB486="Siempre","Sí",IF(ISNUMBER(AC486),IF(E486&gt;=AC486,"Sí",IF(AW486&gt;=AC486,"Sí (serie 24 h)","No")),"")))</f>
        <v/>
      </c>
      <c r="L486" s="9" t="str">
        <f aca="false">IF(E486="","",AA486)</f>
        <v/>
      </c>
      <c r="M486" s="9" t="str">
        <f aca="false">IF(E486="","",IF(AA486&lt;&gt;"ACUMULA","No aplica",IF(LEFT(K486,2)="Sí","Sí","No")))</f>
        <v/>
      </c>
      <c r="N486" s="23" t="str">
        <f aca="false">IF(M486="Sí",AJ486,"")</f>
        <v/>
      </c>
      <c r="O486" s="24" t="str">
        <f aca="false">IF(M486="Sí",AK486,"")</f>
        <v/>
      </c>
      <c r="P486" s="25" t="str">
        <f aca="false">IF(AND(LEFT(D486,6)="XIV - ",LEFT(AX486,5)="AVISO"),"Pedimento (R 16): no va al SPPLD",AX486)</f>
        <v/>
      </c>
      <c r="Q486" s="23" t="str">
        <f aca="false">IF(LEFT(P486,5)="AVISO",IF(ISNUMBER(B486),DATE(YEAR(B486),MONTH(B486)+1,17),"Falta fecha"),"")</f>
        <v/>
      </c>
      <c r="R486" s="9" t="str">
        <f aca="false">IF(OR(F486="",F486=0),"",IF(ISNUMBER(AG486),IF(F486&gt;=AG486,"PROHIBIDO","Dentro del límite"),"No aplica"))</f>
        <v/>
      </c>
      <c r="S486" s="26" t="str">
        <f aca="false">IF(E486="","",MID(IF(AQ486=1," · Excede el perfil declarado","")&amp;IF(H486="Sí"," · Paga un tercero","")&amp;IF(J486="Alto"," · Cliente de riesgo alto: DDR (RCG 23 Ter 3 y 4)","")&amp;IF(AND(AS486&lt;&gt;"",AS486&lt;&gt;"No",AS486&lt;&gt;0)," · PEP","")&amp;IF(R486="PROHIBIDO"," · Efectivo prohibido: no lo recibas (Art. 32)","")&amp;IF(AR486=1," · ⚠ Fecha fuera de orden","")&amp;IF(LEFT(I486,1)="⚠"," · ⚠ Cliente no registrado","")&amp;IF(D486=""," · ⚠ Falta la actividad","")&amp;IF(AND(LEFT(P486,5)="AVISO",W486="")," · Captura la cifra total con IVA para el Aviso","")&amp;IF(AND(ISNUMBER(W486),W486&lt;E486)," · ⚠ La cifra con IVA es menor que el monto sin IVA",""),4,400))</f>
        <v/>
      </c>
      <c r="T486" s="21"/>
      <c r="U486" s="20"/>
      <c r="V486" s="9" t="str">
        <f aca="false">IF(LEFT(P486,5)&lt;&gt;"AVISO","",IF(T486="Presentado",IF(AND(ISNUMBER(U486),ISNUMBER(Q486),U486&gt;Q486),"Presentado tarde","Presentado"),IF(NOT(ISNUMBER(Q486)),"Falta fecha",IF(Q486&lt;CONFIG!$B$6,"VENCIDO","Vence en "&amp;(Q486-CONFIG!$B$6)&amp;" días"))))</f>
        <v/>
      </c>
      <c r="W486" s="22"/>
      <c r="X486" s="21"/>
      <c r="AA486" s="0" t="str">
        <f aca="false">IF(AM486="","",INDEX(CATÁLOGO!$D$5:$D$39,AM486))</f>
        <v/>
      </c>
      <c r="AB486" s="0" t="str">
        <f aca="false">IF(AM486="","",INDEX(CATÁLOGO!$E$5:$E$39,AM486))</f>
        <v/>
      </c>
      <c r="AC486" s="0" t="str">
        <f aca="false">IF(AB486="","",IF(ISNUMBER(AB486),AB486*AV486,AB486))</f>
        <v/>
      </c>
      <c r="AD486" s="0" t="str">
        <f aca="false">IF(AM486="","",INDEX(CATÁLOGO!$F$5:$F$39,AM486))</f>
        <v/>
      </c>
      <c r="AE486" s="0" t="str">
        <f aca="false">IF(AD486="","",IF(ISNUMBER(AD486),AD486*AV486,AD486))</f>
        <v/>
      </c>
      <c r="AF486" s="0" t="str">
        <f aca="false">IF(AM486="","",INDEX(CATÁLOGO!$G$5:$G$39,AM486))</f>
        <v/>
      </c>
      <c r="AG486" s="0" t="str">
        <f aca="false">IF(AF486="","",IF(ISNUMBER(AF486),AF486*AV486,AF486))</f>
        <v/>
      </c>
      <c r="AH486" s="0" t="str">
        <f aca="false">IF(E486="","",C486&amp;"|"&amp;D486)</f>
        <v/>
      </c>
      <c r="AI486" s="27" t="n">
        <f aca="false">IF(M486&lt;&gt;"Sí",0,SUMPRODUCT(MAX(($AH$5:AH485=AH486)*($M$5:M485="Sí")*ROW($AH$5:AH485))))</f>
        <v>0</v>
      </c>
      <c r="AJ486" s="0" t="str">
        <f aca="false">IF(M486&lt;&gt;"Sí","",IF(AL486=1,B486,INDEX($AJ:$AJ,AI486)))</f>
        <v/>
      </c>
      <c r="AK486" s="0" t="str">
        <f aca="false">IF(M486&lt;&gt;"Sí","",IF(AL486=1,E486,INDEX($AK:$AK,AI486)+E486))</f>
        <v/>
      </c>
      <c r="AL486" s="0" t="str">
        <f aca="false">IF(M486&lt;&gt;"Sí","",IF(AI486=0,1,IF(INDEX($AN:$AN,AI486)=0,1,IF(B486&gt;=EDATE(INDEX($AJ:$AJ,AI486),6),1,0))))</f>
        <v/>
      </c>
      <c r="AM486" s="0" t="str">
        <f aca="false">IF(D486="","",IFERROR(MATCH(D486,CATÁLOGO!$C$5:$C$39,0),""))</f>
        <v/>
      </c>
      <c r="AN486" s="0" t="str">
        <f aca="false">IF(M486&lt;&gt;"Sí","",IF(AND(ISNUMBER(AE486),AK486&gt;=AE486),0,1))</f>
        <v/>
      </c>
      <c r="AO486" s="0" t="str">
        <f aca="false">IF(OR(E486="",C486="",NOT(ISNUMBER(B486))),"",SUMIFS($E$6:$E$505,$C$6:$C$505,C486,$B$6:$B$505,"&gt;="&amp;DATE(YEAR(B486),MONTH(B486),1),$B$6:$B$505,"&lt;"&amp;DATE(YEAR(B486),MONTH(B486)+1,1)))</f>
        <v/>
      </c>
      <c r="AP486" s="0" t="str">
        <f aca="false">IF(C486="","",IFERROR(INDEX(CLIENTES!$M$6:$M$305,MATCH(C486,CLIENTES!$A$6:$A$305,0)),""))</f>
        <v/>
      </c>
      <c r="AQ486" s="27" t="n">
        <f aca="false">IF(AND(ISNUMBER(AO486),ISNUMBER(AP486)),IF(AND(AP486&gt;0,AO486&gt;AP486),1,0),0)</f>
        <v>0</v>
      </c>
      <c r="AR486" s="27" t="n">
        <f aca="false">IF(NOT(ISNUMBER(B486)),0,IF(B486&lt;MAX($B$5:B485),1,0))</f>
        <v>0</v>
      </c>
      <c r="AS486" s="0" t="str">
        <f aca="false">IF(C486="","",IFERROR(INDEX(CLIENTES!$H$6:$H$305,MATCH(C486,CLIENTES!$A$6:$A$305,0)),""))</f>
        <v/>
      </c>
      <c r="AT486" s="0" t="str">
        <f aca="false">IF(AND(LEFT(P486,5)="AVISO",T486&lt;&gt;"Presentado",ISNUMBER(Q486)),Q486,"")</f>
        <v/>
      </c>
      <c r="AU486" s="27" t="n">
        <f aca="false">IF(AND(D486="XVI - Activos virtuales (PSAV): operación de intercambio/transferencia",M486="Sí",ISNUMBER(AE486)),IF(AK486&gt;=AE486,1,0),0)</f>
        <v>0</v>
      </c>
      <c r="AV486" s="30" t="n">
        <f aca="false">IF(NOT(ISNUMBER(B486)),CONFIG!$B$4,IFERROR(INDEX(CONFIG!$I$5:$I$14,MATCH(IF(MONTH(B486)=1,YEAR(B486)-1,YEAR(B486)),CONFIG!$H$5:$H$14,0)),CONFIG!$B$4))</f>
        <v>117.31</v>
      </c>
      <c r="AW486" s="27" t="n">
        <f aca="false">IF(AND(LEFT(D486,4)="I - ",ISNUMBER(B486),C486&lt;&gt;""),SUMIFS($E$6:$E$505,$C$6:$C$505,C486,$D$6:$D$505,D486,$B$6:$B$505,"&gt;"&amp;(B486-1),$B$6:$B$505,"&lt;="&amp;B486),0)</f>
        <v>0</v>
      </c>
      <c r="AX486" s="0" t="str">
        <f aca="false">IF(E486="","",IF(AD486="Siempre","AVISO (siempre)",IF(AD486="No aplica","Sin Aviso (sólo preparas: Ley 17 XI)",IF(NOT(ISNUMBER(AE486)),"",IF(AA486&lt;&gt;"ACUMULA",IF(E486&gt;=AE486,IF(AND(D486="XVI - Activos virtuales (PSAV): cobro de contraprestación (comisión) por el servicio",COUNTIFS($C$6:$C$505,C486,$B$6:$B$505,"&gt;="&amp;INT(B486),$B$6:$B$505,"&lt;"&amp;(INT(B486)+1),$AU$6:$AU$505,1)&gt;0),"En el Aviso del inciso a) (R 31 Bis)","AVISO"),"—"),IF(M486&lt;&gt;"Sí","—",IF(AK486&gt;=AE486,IF(AK486=E486,"AVISO","AVISO (acumulado)"),"Acumulando")))))))</f>
        <v/>
      </c>
    </row>
    <row r="487" customFormat="false" ht="15" hidden="false" customHeight="false" outlineLevel="0" collapsed="false">
      <c r="A487" s="9" t="str">
        <f aca="false">IF(E487="","",ROW()-5)</f>
        <v/>
      </c>
      <c r="B487" s="20"/>
      <c r="C487" s="21"/>
      <c r="D487" s="21"/>
      <c r="E487" s="22"/>
      <c r="F487" s="22"/>
      <c r="G487" s="21"/>
      <c r="H487" s="21"/>
      <c r="I487" s="9" t="str">
        <f aca="false">IF(C487="","",IFERROR(INDEX(CLIENTES!$B$6:$B$305,MATCH(C487,CLIENTES!$A$6:$A$305,0)),"⚠ ID no registrado"))</f>
        <v/>
      </c>
      <c r="J487" s="9" t="str">
        <f aca="false">IF(C487="","",IFERROR(INDEX(CLIENTES!$Z$6:$Z$305,MATCH(C487,CLIENTES!$A$6:$A$305,0)),""))</f>
        <v/>
      </c>
      <c r="K487" s="9" t="str">
        <f aca="false">IF(E487="","",IF(AB487="Siempre","Sí",IF(ISNUMBER(AC487),IF(E487&gt;=AC487,"Sí",IF(AW487&gt;=AC487,"Sí (serie 24 h)","No")),"")))</f>
        <v/>
      </c>
      <c r="L487" s="9" t="str">
        <f aca="false">IF(E487="","",AA487)</f>
        <v/>
      </c>
      <c r="M487" s="9" t="str">
        <f aca="false">IF(E487="","",IF(AA487&lt;&gt;"ACUMULA","No aplica",IF(LEFT(K487,2)="Sí","Sí","No")))</f>
        <v/>
      </c>
      <c r="N487" s="23" t="str">
        <f aca="false">IF(M487="Sí",AJ487,"")</f>
        <v/>
      </c>
      <c r="O487" s="24" t="str">
        <f aca="false">IF(M487="Sí",AK487,"")</f>
        <v/>
      </c>
      <c r="P487" s="25" t="str">
        <f aca="false">IF(AND(LEFT(D487,6)="XIV - ",LEFT(AX487,5)="AVISO"),"Pedimento (R 16): no va al SPPLD",AX487)</f>
        <v/>
      </c>
      <c r="Q487" s="23" t="str">
        <f aca="false">IF(LEFT(P487,5)="AVISO",IF(ISNUMBER(B487),DATE(YEAR(B487),MONTH(B487)+1,17),"Falta fecha"),"")</f>
        <v/>
      </c>
      <c r="R487" s="9" t="str">
        <f aca="false">IF(OR(F487="",F487=0),"",IF(ISNUMBER(AG487),IF(F487&gt;=AG487,"PROHIBIDO","Dentro del límite"),"No aplica"))</f>
        <v/>
      </c>
      <c r="S487" s="26" t="str">
        <f aca="false">IF(E487="","",MID(IF(AQ487=1," · Excede el perfil declarado","")&amp;IF(H487="Sí"," · Paga un tercero","")&amp;IF(J487="Alto"," · Cliente de riesgo alto: DDR (RCG 23 Ter 3 y 4)","")&amp;IF(AND(AS487&lt;&gt;"",AS487&lt;&gt;"No",AS487&lt;&gt;0)," · PEP","")&amp;IF(R487="PROHIBIDO"," · Efectivo prohibido: no lo recibas (Art. 32)","")&amp;IF(AR487=1," · ⚠ Fecha fuera de orden","")&amp;IF(LEFT(I487,1)="⚠"," · ⚠ Cliente no registrado","")&amp;IF(D487=""," · ⚠ Falta la actividad","")&amp;IF(AND(LEFT(P487,5)="AVISO",W487="")," · Captura la cifra total con IVA para el Aviso","")&amp;IF(AND(ISNUMBER(W487),W487&lt;E487)," · ⚠ La cifra con IVA es menor que el monto sin IVA",""),4,400))</f>
        <v/>
      </c>
      <c r="T487" s="21"/>
      <c r="U487" s="20"/>
      <c r="V487" s="9" t="str">
        <f aca="false">IF(LEFT(P487,5)&lt;&gt;"AVISO","",IF(T487="Presentado",IF(AND(ISNUMBER(U487),ISNUMBER(Q487),U487&gt;Q487),"Presentado tarde","Presentado"),IF(NOT(ISNUMBER(Q487)),"Falta fecha",IF(Q487&lt;CONFIG!$B$6,"VENCIDO","Vence en "&amp;(Q487-CONFIG!$B$6)&amp;" días"))))</f>
        <v/>
      </c>
      <c r="W487" s="22"/>
      <c r="X487" s="21"/>
      <c r="AA487" s="0" t="str">
        <f aca="false">IF(AM487="","",INDEX(CATÁLOGO!$D$5:$D$39,AM487))</f>
        <v/>
      </c>
      <c r="AB487" s="0" t="str">
        <f aca="false">IF(AM487="","",INDEX(CATÁLOGO!$E$5:$E$39,AM487))</f>
        <v/>
      </c>
      <c r="AC487" s="0" t="str">
        <f aca="false">IF(AB487="","",IF(ISNUMBER(AB487),AB487*AV487,AB487))</f>
        <v/>
      </c>
      <c r="AD487" s="0" t="str">
        <f aca="false">IF(AM487="","",INDEX(CATÁLOGO!$F$5:$F$39,AM487))</f>
        <v/>
      </c>
      <c r="AE487" s="0" t="str">
        <f aca="false">IF(AD487="","",IF(ISNUMBER(AD487),AD487*AV487,AD487))</f>
        <v/>
      </c>
      <c r="AF487" s="0" t="str">
        <f aca="false">IF(AM487="","",INDEX(CATÁLOGO!$G$5:$G$39,AM487))</f>
        <v/>
      </c>
      <c r="AG487" s="0" t="str">
        <f aca="false">IF(AF487="","",IF(ISNUMBER(AF487),AF487*AV487,AF487))</f>
        <v/>
      </c>
      <c r="AH487" s="0" t="str">
        <f aca="false">IF(E487="","",C487&amp;"|"&amp;D487)</f>
        <v/>
      </c>
      <c r="AI487" s="27" t="n">
        <f aca="false">IF(M487&lt;&gt;"Sí",0,SUMPRODUCT(MAX(($AH$5:AH486=AH487)*($M$5:M486="Sí")*ROW($AH$5:AH486))))</f>
        <v>0</v>
      </c>
      <c r="AJ487" s="0" t="str">
        <f aca="false">IF(M487&lt;&gt;"Sí","",IF(AL487=1,B487,INDEX($AJ:$AJ,AI487)))</f>
        <v/>
      </c>
      <c r="AK487" s="0" t="str">
        <f aca="false">IF(M487&lt;&gt;"Sí","",IF(AL487=1,E487,INDEX($AK:$AK,AI487)+E487))</f>
        <v/>
      </c>
      <c r="AL487" s="0" t="str">
        <f aca="false">IF(M487&lt;&gt;"Sí","",IF(AI487=0,1,IF(INDEX($AN:$AN,AI487)=0,1,IF(B487&gt;=EDATE(INDEX($AJ:$AJ,AI487),6),1,0))))</f>
        <v/>
      </c>
      <c r="AM487" s="0" t="str">
        <f aca="false">IF(D487="","",IFERROR(MATCH(D487,CATÁLOGO!$C$5:$C$39,0),""))</f>
        <v/>
      </c>
      <c r="AN487" s="0" t="str">
        <f aca="false">IF(M487&lt;&gt;"Sí","",IF(AND(ISNUMBER(AE487),AK487&gt;=AE487),0,1))</f>
        <v/>
      </c>
      <c r="AO487" s="0" t="str">
        <f aca="false">IF(OR(E487="",C487="",NOT(ISNUMBER(B487))),"",SUMIFS($E$6:$E$505,$C$6:$C$505,C487,$B$6:$B$505,"&gt;="&amp;DATE(YEAR(B487),MONTH(B487),1),$B$6:$B$505,"&lt;"&amp;DATE(YEAR(B487),MONTH(B487)+1,1)))</f>
        <v/>
      </c>
      <c r="AP487" s="0" t="str">
        <f aca="false">IF(C487="","",IFERROR(INDEX(CLIENTES!$M$6:$M$305,MATCH(C487,CLIENTES!$A$6:$A$305,0)),""))</f>
        <v/>
      </c>
      <c r="AQ487" s="27" t="n">
        <f aca="false">IF(AND(ISNUMBER(AO487),ISNUMBER(AP487)),IF(AND(AP487&gt;0,AO487&gt;AP487),1,0),0)</f>
        <v>0</v>
      </c>
      <c r="AR487" s="27" t="n">
        <f aca="false">IF(NOT(ISNUMBER(B487)),0,IF(B487&lt;MAX($B$5:B486),1,0))</f>
        <v>0</v>
      </c>
      <c r="AS487" s="0" t="str">
        <f aca="false">IF(C487="","",IFERROR(INDEX(CLIENTES!$H$6:$H$305,MATCH(C487,CLIENTES!$A$6:$A$305,0)),""))</f>
        <v/>
      </c>
      <c r="AT487" s="0" t="str">
        <f aca="false">IF(AND(LEFT(P487,5)="AVISO",T487&lt;&gt;"Presentado",ISNUMBER(Q487)),Q487,"")</f>
        <v/>
      </c>
      <c r="AU487" s="27" t="n">
        <f aca="false">IF(AND(D487="XVI - Activos virtuales (PSAV): operación de intercambio/transferencia",M487="Sí",ISNUMBER(AE487)),IF(AK487&gt;=AE487,1,0),0)</f>
        <v>0</v>
      </c>
      <c r="AV487" s="30" t="n">
        <f aca="false">IF(NOT(ISNUMBER(B487)),CONFIG!$B$4,IFERROR(INDEX(CONFIG!$I$5:$I$14,MATCH(IF(MONTH(B487)=1,YEAR(B487)-1,YEAR(B487)),CONFIG!$H$5:$H$14,0)),CONFIG!$B$4))</f>
        <v>117.31</v>
      </c>
      <c r="AW487" s="27" t="n">
        <f aca="false">IF(AND(LEFT(D487,4)="I - ",ISNUMBER(B487),C487&lt;&gt;""),SUMIFS($E$6:$E$505,$C$6:$C$505,C487,$D$6:$D$505,D487,$B$6:$B$505,"&gt;"&amp;(B487-1),$B$6:$B$505,"&lt;="&amp;B487),0)</f>
        <v>0</v>
      </c>
      <c r="AX487" s="0" t="str">
        <f aca="false">IF(E487="","",IF(AD487="Siempre","AVISO (siempre)",IF(AD487="No aplica","Sin Aviso (sólo preparas: Ley 17 XI)",IF(NOT(ISNUMBER(AE487)),"",IF(AA487&lt;&gt;"ACUMULA",IF(E487&gt;=AE487,IF(AND(D487="XVI - Activos virtuales (PSAV): cobro de contraprestación (comisión) por el servicio",COUNTIFS($C$6:$C$505,C487,$B$6:$B$505,"&gt;="&amp;INT(B487),$B$6:$B$505,"&lt;"&amp;(INT(B487)+1),$AU$6:$AU$505,1)&gt;0),"En el Aviso del inciso a) (R 31 Bis)","AVISO"),"—"),IF(M487&lt;&gt;"Sí","—",IF(AK487&gt;=AE487,IF(AK487=E487,"AVISO","AVISO (acumulado)"),"Acumulando")))))))</f>
        <v/>
      </c>
    </row>
    <row r="488" customFormat="false" ht="15" hidden="false" customHeight="false" outlineLevel="0" collapsed="false">
      <c r="A488" s="9" t="str">
        <f aca="false">IF(E488="","",ROW()-5)</f>
        <v/>
      </c>
      <c r="B488" s="20"/>
      <c r="C488" s="21"/>
      <c r="D488" s="21"/>
      <c r="E488" s="22"/>
      <c r="F488" s="22"/>
      <c r="G488" s="21"/>
      <c r="H488" s="21"/>
      <c r="I488" s="9" t="str">
        <f aca="false">IF(C488="","",IFERROR(INDEX(CLIENTES!$B$6:$B$305,MATCH(C488,CLIENTES!$A$6:$A$305,0)),"⚠ ID no registrado"))</f>
        <v/>
      </c>
      <c r="J488" s="9" t="str">
        <f aca="false">IF(C488="","",IFERROR(INDEX(CLIENTES!$Z$6:$Z$305,MATCH(C488,CLIENTES!$A$6:$A$305,0)),""))</f>
        <v/>
      </c>
      <c r="K488" s="9" t="str">
        <f aca="false">IF(E488="","",IF(AB488="Siempre","Sí",IF(ISNUMBER(AC488),IF(E488&gt;=AC488,"Sí",IF(AW488&gt;=AC488,"Sí (serie 24 h)","No")),"")))</f>
        <v/>
      </c>
      <c r="L488" s="9" t="str">
        <f aca="false">IF(E488="","",AA488)</f>
        <v/>
      </c>
      <c r="M488" s="9" t="str">
        <f aca="false">IF(E488="","",IF(AA488&lt;&gt;"ACUMULA","No aplica",IF(LEFT(K488,2)="Sí","Sí","No")))</f>
        <v/>
      </c>
      <c r="N488" s="23" t="str">
        <f aca="false">IF(M488="Sí",AJ488,"")</f>
        <v/>
      </c>
      <c r="O488" s="24" t="str">
        <f aca="false">IF(M488="Sí",AK488,"")</f>
        <v/>
      </c>
      <c r="P488" s="25" t="str">
        <f aca="false">IF(AND(LEFT(D488,6)="XIV - ",LEFT(AX488,5)="AVISO"),"Pedimento (R 16): no va al SPPLD",AX488)</f>
        <v/>
      </c>
      <c r="Q488" s="23" t="str">
        <f aca="false">IF(LEFT(P488,5)="AVISO",IF(ISNUMBER(B488),DATE(YEAR(B488),MONTH(B488)+1,17),"Falta fecha"),"")</f>
        <v/>
      </c>
      <c r="R488" s="9" t="str">
        <f aca="false">IF(OR(F488="",F488=0),"",IF(ISNUMBER(AG488),IF(F488&gt;=AG488,"PROHIBIDO","Dentro del límite"),"No aplica"))</f>
        <v/>
      </c>
      <c r="S488" s="26" t="str">
        <f aca="false">IF(E488="","",MID(IF(AQ488=1," · Excede el perfil declarado","")&amp;IF(H488="Sí"," · Paga un tercero","")&amp;IF(J488="Alto"," · Cliente de riesgo alto: DDR (RCG 23 Ter 3 y 4)","")&amp;IF(AND(AS488&lt;&gt;"",AS488&lt;&gt;"No",AS488&lt;&gt;0)," · PEP","")&amp;IF(R488="PROHIBIDO"," · Efectivo prohibido: no lo recibas (Art. 32)","")&amp;IF(AR488=1," · ⚠ Fecha fuera de orden","")&amp;IF(LEFT(I488,1)="⚠"," · ⚠ Cliente no registrado","")&amp;IF(D488=""," · ⚠ Falta la actividad","")&amp;IF(AND(LEFT(P488,5)="AVISO",W488="")," · Captura la cifra total con IVA para el Aviso","")&amp;IF(AND(ISNUMBER(W488),W488&lt;E488)," · ⚠ La cifra con IVA es menor que el monto sin IVA",""),4,400))</f>
        <v/>
      </c>
      <c r="T488" s="21"/>
      <c r="U488" s="20"/>
      <c r="V488" s="9" t="str">
        <f aca="false">IF(LEFT(P488,5)&lt;&gt;"AVISO","",IF(T488="Presentado",IF(AND(ISNUMBER(U488),ISNUMBER(Q488),U488&gt;Q488),"Presentado tarde","Presentado"),IF(NOT(ISNUMBER(Q488)),"Falta fecha",IF(Q488&lt;CONFIG!$B$6,"VENCIDO","Vence en "&amp;(Q488-CONFIG!$B$6)&amp;" días"))))</f>
        <v/>
      </c>
      <c r="W488" s="22"/>
      <c r="X488" s="21"/>
      <c r="AA488" s="0" t="str">
        <f aca="false">IF(AM488="","",INDEX(CATÁLOGO!$D$5:$D$39,AM488))</f>
        <v/>
      </c>
      <c r="AB488" s="0" t="str">
        <f aca="false">IF(AM488="","",INDEX(CATÁLOGO!$E$5:$E$39,AM488))</f>
        <v/>
      </c>
      <c r="AC488" s="0" t="str">
        <f aca="false">IF(AB488="","",IF(ISNUMBER(AB488),AB488*AV488,AB488))</f>
        <v/>
      </c>
      <c r="AD488" s="0" t="str">
        <f aca="false">IF(AM488="","",INDEX(CATÁLOGO!$F$5:$F$39,AM488))</f>
        <v/>
      </c>
      <c r="AE488" s="0" t="str">
        <f aca="false">IF(AD488="","",IF(ISNUMBER(AD488),AD488*AV488,AD488))</f>
        <v/>
      </c>
      <c r="AF488" s="0" t="str">
        <f aca="false">IF(AM488="","",INDEX(CATÁLOGO!$G$5:$G$39,AM488))</f>
        <v/>
      </c>
      <c r="AG488" s="0" t="str">
        <f aca="false">IF(AF488="","",IF(ISNUMBER(AF488),AF488*AV488,AF488))</f>
        <v/>
      </c>
      <c r="AH488" s="0" t="str">
        <f aca="false">IF(E488="","",C488&amp;"|"&amp;D488)</f>
        <v/>
      </c>
      <c r="AI488" s="27" t="n">
        <f aca="false">IF(M488&lt;&gt;"Sí",0,SUMPRODUCT(MAX(($AH$5:AH487=AH488)*($M$5:M487="Sí")*ROW($AH$5:AH487))))</f>
        <v>0</v>
      </c>
      <c r="AJ488" s="0" t="str">
        <f aca="false">IF(M488&lt;&gt;"Sí","",IF(AL488=1,B488,INDEX($AJ:$AJ,AI488)))</f>
        <v/>
      </c>
      <c r="AK488" s="0" t="str">
        <f aca="false">IF(M488&lt;&gt;"Sí","",IF(AL488=1,E488,INDEX($AK:$AK,AI488)+E488))</f>
        <v/>
      </c>
      <c r="AL488" s="0" t="str">
        <f aca="false">IF(M488&lt;&gt;"Sí","",IF(AI488=0,1,IF(INDEX($AN:$AN,AI488)=0,1,IF(B488&gt;=EDATE(INDEX($AJ:$AJ,AI488),6),1,0))))</f>
        <v/>
      </c>
      <c r="AM488" s="0" t="str">
        <f aca="false">IF(D488="","",IFERROR(MATCH(D488,CATÁLOGO!$C$5:$C$39,0),""))</f>
        <v/>
      </c>
      <c r="AN488" s="0" t="str">
        <f aca="false">IF(M488&lt;&gt;"Sí","",IF(AND(ISNUMBER(AE488),AK488&gt;=AE488),0,1))</f>
        <v/>
      </c>
      <c r="AO488" s="0" t="str">
        <f aca="false">IF(OR(E488="",C488="",NOT(ISNUMBER(B488))),"",SUMIFS($E$6:$E$505,$C$6:$C$505,C488,$B$6:$B$505,"&gt;="&amp;DATE(YEAR(B488),MONTH(B488),1),$B$6:$B$505,"&lt;"&amp;DATE(YEAR(B488),MONTH(B488)+1,1)))</f>
        <v/>
      </c>
      <c r="AP488" s="0" t="str">
        <f aca="false">IF(C488="","",IFERROR(INDEX(CLIENTES!$M$6:$M$305,MATCH(C488,CLIENTES!$A$6:$A$305,0)),""))</f>
        <v/>
      </c>
      <c r="AQ488" s="27" t="n">
        <f aca="false">IF(AND(ISNUMBER(AO488),ISNUMBER(AP488)),IF(AND(AP488&gt;0,AO488&gt;AP488),1,0),0)</f>
        <v>0</v>
      </c>
      <c r="AR488" s="27" t="n">
        <f aca="false">IF(NOT(ISNUMBER(B488)),0,IF(B488&lt;MAX($B$5:B487),1,0))</f>
        <v>0</v>
      </c>
      <c r="AS488" s="0" t="str">
        <f aca="false">IF(C488="","",IFERROR(INDEX(CLIENTES!$H$6:$H$305,MATCH(C488,CLIENTES!$A$6:$A$305,0)),""))</f>
        <v/>
      </c>
      <c r="AT488" s="0" t="str">
        <f aca="false">IF(AND(LEFT(P488,5)="AVISO",T488&lt;&gt;"Presentado",ISNUMBER(Q488)),Q488,"")</f>
        <v/>
      </c>
      <c r="AU488" s="27" t="n">
        <f aca="false">IF(AND(D488="XVI - Activos virtuales (PSAV): operación de intercambio/transferencia",M488="Sí",ISNUMBER(AE488)),IF(AK488&gt;=AE488,1,0),0)</f>
        <v>0</v>
      </c>
      <c r="AV488" s="30" t="n">
        <f aca="false">IF(NOT(ISNUMBER(B488)),CONFIG!$B$4,IFERROR(INDEX(CONFIG!$I$5:$I$14,MATCH(IF(MONTH(B488)=1,YEAR(B488)-1,YEAR(B488)),CONFIG!$H$5:$H$14,0)),CONFIG!$B$4))</f>
        <v>117.31</v>
      </c>
      <c r="AW488" s="27" t="n">
        <f aca="false">IF(AND(LEFT(D488,4)="I - ",ISNUMBER(B488),C488&lt;&gt;""),SUMIFS($E$6:$E$505,$C$6:$C$505,C488,$D$6:$D$505,D488,$B$6:$B$505,"&gt;"&amp;(B488-1),$B$6:$B$505,"&lt;="&amp;B488),0)</f>
        <v>0</v>
      </c>
      <c r="AX488" s="0" t="str">
        <f aca="false">IF(E488="","",IF(AD488="Siempre","AVISO (siempre)",IF(AD488="No aplica","Sin Aviso (sólo preparas: Ley 17 XI)",IF(NOT(ISNUMBER(AE488)),"",IF(AA488&lt;&gt;"ACUMULA",IF(E488&gt;=AE488,IF(AND(D488="XVI - Activos virtuales (PSAV): cobro de contraprestación (comisión) por el servicio",COUNTIFS($C$6:$C$505,C488,$B$6:$B$505,"&gt;="&amp;INT(B488),$B$6:$B$505,"&lt;"&amp;(INT(B488)+1),$AU$6:$AU$505,1)&gt;0),"En el Aviso del inciso a) (R 31 Bis)","AVISO"),"—"),IF(M488&lt;&gt;"Sí","—",IF(AK488&gt;=AE488,IF(AK488=E488,"AVISO","AVISO (acumulado)"),"Acumulando")))))))</f>
        <v/>
      </c>
    </row>
    <row r="489" customFormat="false" ht="15" hidden="false" customHeight="false" outlineLevel="0" collapsed="false">
      <c r="A489" s="9" t="str">
        <f aca="false">IF(E489="","",ROW()-5)</f>
        <v/>
      </c>
      <c r="B489" s="20"/>
      <c r="C489" s="21"/>
      <c r="D489" s="21"/>
      <c r="E489" s="22"/>
      <c r="F489" s="22"/>
      <c r="G489" s="21"/>
      <c r="H489" s="21"/>
      <c r="I489" s="9" t="str">
        <f aca="false">IF(C489="","",IFERROR(INDEX(CLIENTES!$B$6:$B$305,MATCH(C489,CLIENTES!$A$6:$A$305,0)),"⚠ ID no registrado"))</f>
        <v/>
      </c>
      <c r="J489" s="9" t="str">
        <f aca="false">IF(C489="","",IFERROR(INDEX(CLIENTES!$Z$6:$Z$305,MATCH(C489,CLIENTES!$A$6:$A$305,0)),""))</f>
        <v/>
      </c>
      <c r="K489" s="9" t="str">
        <f aca="false">IF(E489="","",IF(AB489="Siempre","Sí",IF(ISNUMBER(AC489),IF(E489&gt;=AC489,"Sí",IF(AW489&gt;=AC489,"Sí (serie 24 h)","No")),"")))</f>
        <v/>
      </c>
      <c r="L489" s="9" t="str">
        <f aca="false">IF(E489="","",AA489)</f>
        <v/>
      </c>
      <c r="M489" s="9" t="str">
        <f aca="false">IF(E489="","",IF(AA489&lt;&gt;"ACUMULA","No aplica",IF(LEFT(K489,2)="Sí","Sí","No")))</f>
        <v/>
      </c>
      <c r="N489" s="23" t="str">
        <f aca="false">IF(M489="Sí",AJ489,"")</f>
        <v/>
      </c>
      <c r="O489" s="24" t="str">
        <f aca="false">IF(M489="Sí",AK489,"")</f>
        <v/>
      </c>
      <c r="P489" s="25" t="str">
        <f aca="false">IF(AND(LEFT(D489,6)="XIV - ",LEFT(AX489,5)="AVISO"),"Pedimento (R 16): no va al SPPLD",AX489)</f>
        <v/>
      </c>
      <c r="Q489" s="23" t="str">
        <f aca="false">IF(LEFT(P489,5)="AVISO",IF(ISNUMBER(B489),DATE(YEAR(B489),MONTH(B489)+1,17),"Falta fecha"),"")</f>
        <v/>
      </c>
      <c r="R489" s="9" t="str">
        <f aca="false">IF(OR(F489="",F489=0),"",IF(ISNUMBER(AG489),IF(F489&gt;=AG489,"PROHIBIDO","Dentro del límite"),"No aplica"))</f>
        <v/>
      </c>
      <c r="S489" s="26" t="str">
        <f aca="false">IF(E489="","",MID(IF(AQ489=1," · Excede el perfil declarado","")&amp;IF(H489="Sí"," · Paga un tercero","")&amp;IF(J489="Alto"," · Cliente de riesgo alto: DDR (RCG 23 Ter 3 y 4)","")&amp;IF(AND(AS489&lt;&gt;"",AS489&lt;&gt;"No",AS489&lt;&gt;0)," · PEP","")&amp;IF(R489="PROHIBIDO"," · Efectivo prohibido: no lo recibas (Art. 32)","")&amp;IF(AR489=1," · ⚠ Fecha fuera de orden","")&amp;IF(LEFT(I489,1)="⚠"," · ⚠ Cliente no registrado","")&amp;IF(D489=""," · ⚠ Falta la actividad","")&amp;IF(AND(LEFT(P489,5)="AVISO",W489="")," · Captura la cifra total con IVA para el Aviso","")&amp;IF(AND(ISNUMBER(W489),W489&lt;E489)," · ⚠ La cifra con IVA es menor que el monto sin IVA",""),4,400))</f>
        <v/>
      </c>
      <c r="T489" s="21"/>
      <c r="U489" s="20"/>
      <c r="V489" s="9" t="str">
        <f aca="false">IF(LEFT(P489,5)&lt;&gt;"AVISO","",IF(T489="Presentado",IF(AND(ISNUMBER(U489),ISNUMBER(Q489),U489&gt;Q489),"Presentado tarde","Presentado"),IF(NOT(ISNUMBER(Q489)),"Falta fecha",IF(Q489&lt;CONFIG!$B$6,"VENCIDO","Vence en "&amp;(Q489-CONFIG!$B$6)&amp;" días"))))</f>
        <v/>
      </c>
      <c r="W489" s="22"/>
      <c r="X489" s="21"/>
      <c r="AA489" s="0" t="str">
        <f aca="false">IF(AM489="","",INDEX(CATÁLOGO!$D$5:$D$39,AM489))</f>
        <v/>
      </c>
      <c r="AB489" s="0" t="str">
        <f aca="false">IF(AM489="","",INDEX(CATÁLOGO!$E$5:$E$39,AM489))</f>
        <v/>
      </c>
      <c r="AC489" s="0" t="str">
        <f aca="false">IF(AB489="","",IF(ISNUMBER(AB489),AB489*AV489,AB489))</f>
        <v/>
      </c>
      <c r="AD489" s="0" t="str">
        <f aca="false">IF(AM489="","",INDEX(CATÁLOGO!$F$5:$F$39,AM489))</f>
        <v/>
      </c>
      <c r="AE489" s="0" t="str">
        <f aca="false">IF(AD489="","",IF(ISNUMBER(AD489),AD489*AV489,AD489))</f>
        <v/>
      </c>
      <c r="AF489" s="0" t="str">
        <f aca="false">IF(AM489="","",INDEX(CATÁLOGO!$G$5:$G$39,AM489))</f>
        <v/>
      </c>
      <c r="AG489" s="0" t="str">
        <f aca="false">IF(AF489="","",IF(ISNUMBER(AF489),AF489*AV489,AF489))</f>
        <v/>
      </c>
      <c r="AH489" s="0" t="str">
        <f aca="false">IF(E489="","",C489&amp;"|"&amp;D489)</f>
        <v/>
      </c>
      <c r="AI489" s="27" t="n">
        <f aca="false">IF(M489&lt;&gt;"Sí",0,SUMPRODUCT(MAX(($AH$5:AH488=AH489)*($M$5:M488="Sí")*ROW($AH$5:AH488))))</f>
        <v>0</v>
      </c>
      <c r="AJ489" s="0" t="str">
        <f aca="false">IF(M489&lt;&gt;"Sí","",IF(AL489=1,B489,INDEX($AJ:$AJ,AI489)))</f>
        <v/>
      </c>
      <c r="AK489" s="0" t="str">
        <f aca="false">IF(M489&lt;&gt;"Sí","",IF(AL489=1,E489,INDEX($AK:$AK,AI489)+E489))</f>
        <v/>
      </c>
      <c r="AL489" s="0" t="str">
        <f aca="false">IF(M489&lt;&gt;"Sí","",IF(AI489=0,1,IF(INDEX($AN:$AN,AI489)=0,1,IF(B489&gt;=EDATE(INDEX($AJ:$AJ,AI489),6),1,0))))</f>
        <v/>
      </c>
      <c r="AM489" s="0" t="str">
        <f aca="false">IF(D489="","",IFERROR(MATCH(D489,CATÁLOGO!$C$5:$C$39,0),""))</f>
        <v/>
      </c>
      <c r="AN489" s="0" t="str">
        <f aca="false">IF(M489&lt;&gt;"Sí","",IF(AND(ISNUMBER(AE489),AK489&gt;=AE489),0,1))</f>
        <v/>
      </c>
      <c r="AO489" s="0" t="str">
        <f aca="false">IF(OR(E489="",C489="",NOT(ISNUMBER(B489))),"",SUMIFS($E$6:$E$505,$C$6:$C$505,C489,$B$6:$B$505,"&gt;="&amp;DATE(YEAR(B489),MONTH(B489),1),$B$6:$B$505,"&lt;"&amp;DATE(YEAR(B489),MONTH(B489)+1,1)))</f>
        <v/>
      </c>
      <c r="AP489" s="0" t="str">
        <f aca="false">IF(C489="","",IFERROR(INDEX(CLIENTES!$M$6:$M$305,MATCH(C489,CLIENTES!$A$6:$A$305,0)),""))</f>
        <v/>
      </c>
      <c r="AQ489" s="27" t="n">
        <f aca="false">IF(AND(ISNUMBER(AO489),ISNUMBER(AP489)),IF(AND(AP489&gt;0,AO489&gt;AP489),1,0),0)</f>
        <v>0</v>
      </c>
      <c r="AR489" s="27" t="n">
        <f aca="false">IF(NOT(ISNUMBER(B489)),0,IF(B489&lt;MAX($B$5:B488),1,0))</f>
        <v>0</v>
      </c>
      <c r="AS489" s="0" t="str">
        <f aca="false">IF(C489="","",IFERROR(INDEX(CLIENTES!$H$6:$H$305,MATCH(C489,CLIENTES!$A$6:$A$305,0)),""))</f>
        <v/>
      </c>
      <c r="AT489" s="0" t="str">
        <f aca="false">IF(AND(LEFT(P489,5)="AVISO",T489&lt;&gt;"Presentado",ISNUMBER(Q489)),Q489,"")</f>
        <v/>
      </c>
      <c r="AU489" s="27" t="n">
        <f aca="false">IF(AND(D489="XVI - Activos virtuales (PSAV): operación de intercambio/transferencia",M489="Sí",ISNUMBER(AE489)),IF(AK489&gt;=AE489,1,0),0)</f>
        <v>0</v>
      </c>
      <c r="AV489" s="30" t="n">
        <f aca="false">IF(NOT(ISNUMBER(B489)),CONFIG!$B$4,IFERROR(INDEX(CONFIG!$I$5:$I$14,MATCH(IF(MONTH(B489)=1,YEAR(B489)-1,YEAR(B489)),CONFIG!$H$5:$H$14,0)),CONFIG!$B$4))</f>
        <v>117.31</v>
      </c>
      <c r="AW489" s="27" t="n">
        <f aca="false">IF(AND(LEFT(D489,4)="I - ",ISNUMBER(B489),C489&lt;&gt;""),SUMIFS($E$6:$E$505,$C$6:$C$505,C489,$D$6:$D$505,D489,$B$6:$B$505,"&gt;"&amp;(B489-1),$B$6:$B$505,"&lt;="&amp;B489),0)</f>
        <v>0</v>
      </c>
      <c r="AX489" s="0" t="str">
        <f aca="false">IF(E489="","",IF(AD489="Siempre","AVISO (siempre)",IF(AD489="No aplica","Sin Aviso (sólo preparas: Ley 17 XI)",IF(NOT(ISNUMBER(AE489)),"",IF(AA489&lt;&gt;"ACUMULA",IF(E489&gt;=AE489,IF(AND(D489="XVI - Activos virtuales (PSAV): cobro de contraprestación (comisión) por el servicio",COUNTIFS($C$6:$C$505,C489,$B$6:$B$505,"&gt;="&amp;INT(B489),$B$6:$B$505,"&lt;"&amp;(INT(B489)+1),$AU$6:$AU$505,1)&gt;0),"En el Aviso del inciso a) (R 31 Bis)","AVISO"),"—"),IF(M489&lt;&gt;"Sí","—",IF(AK489&gt;=AE489,IF(AK489=E489,"AVISO","AVISO (acumulado)"),"Acumulando")))))))</f>
        <v/>
      </c>
    </row>
    <row r="490" customFormat="false" ht="15" hidden="false" customHeight="false" outlineLevel="0" collapsed="false">
      <c r="A490" s="9" t="str">
        <f aca="false">IF(E490="","",ROW()-5)</f>
        <v/>
      </c>
      <c r="B490" s="20"/>
      <c r="C490" s="21"/>
      <c r="D490" s="21"/>
      <c r="E490" s="22"/>
      <c r="F490" s="22"/>
      <c r="G490" s="21"/>
      <c r="H490" s="21"/>
      <c r="I490" s="9" t="str">
        <f aca="false">IF(C490="","",IFERROR(INDEX(CLIENTES!$B$6:$B$305,MATCH(C490,CLIENTES!$A$6:$A$305,0)),"⚠ ID no registrado"))</f>
        <v/>
      </c>
      <c r="J490" s="9" t="str">
        <f aca="false">IF(C490="","",IFERROR(INDEX(CLIENTES!$Z$6:$Z$305,MATCH(C490,CLIENTES!$A$6:$A$305,0)),""))</f>
        <v/>
      </c>
      <c r="K490" s="9" t="str">
        <f aca="false">IF(E490="","",IF(AB490="Siempre","Sí",IF(ISNUMBER(AC490),IF(E490&gt;=AC490,"Sí",IF(AW490&gt;=AC490,"Sí (serie 24 h)","No")),"")))</f>
        <v/>
      </c>
      <c r="L490" s="9" t="str">
        <f aca="false">IF(E490="","",AA490)</f>
        <v/>
      </c>
      <c r="M490" s="9" t="str">
        <f aca="false">IF(E490="","",IF(AA490&lt;&gt;"ACUMULA","No aplica",IF(LEFT(K490,2)="Sí","Sí","No")))</f>
        <v/>
      </c>
      <c r="N490" s="23" t="str">
        <f aca="false">IF(M490="Sí",AJ490,"")</f>
        <v/>
      </c>
      <c r="O490" s="24" t="str">
        <f aca="false">IF(M490="Sí",AK490,"")</f>
        <v/>
      </c>
      <c r="P490" s="25" t="str">
        <f aca="false">IF(AND(LEFT(D490,6)="XIV - ",LEFT(AX490,5)="AVISO"),"Pedimento (R 16): no va al SPPLD",AX490)</f>
        <v/>
      </c>
      <c r="Q490" s="23" t="str">
        <f aca="false">IF(LEFT(P490,5)="AVISO",IF(ISNUMBER(B490),DATE(YEAR(B490),MONTH(B490)+1,17),"Falta fecha"),"")</f>
        <v/>
      </c>
      <c r="R490" s="9" t="str">
        <f aca="false">IF(OR(F490="",F490=0),"",IF(ISNUMBER(AG490),IF(F490&gt;=AG490,"PROHIBIDO","Dentro del límite"),"No aplica"))</f>
        <v/>
      </c>
      <c r="S490" s="26" t="str">
        <f aca="false">IF(E490="","",MID(IF(AQ490=1," · Excede el perfil declarado","")&amp;IF(H490="Sí"," · Paga un tercero","")&amp;IF(J490="Alto"," · Cliente de riesgo alto: DDR (RCG 23 Ter 3 y 4)","")&amp;IF(AND(AS490&lt;&gt;"",AS490&lt;&gt;"No",AS490&lt;&gt;0)," · PEP","")&amp;IF(R490="PROHIBIDO"," · Efectivo prohibido: no lo recibas (Art. 32)","")&amp;IF(AR490=1," · ⚠ Fecha fuera de orden","")&amp;IF(LEFT(I490,1)="⚠"," · ⚠ Cliente no registrado","")&amp;IF(D490=""," · ⚠ Falta la actividad","")&amp;IF(AND(LEFT(P490,5)="AVISO",W490="")," · Captura la cifra total con IVA para el Aviso","")&amp;IF(AND(ISNUMBER(W490),W490&lt;E490)," · ⚠ La cifra con IVA es menor que el monto sin IVA",""),4,400))</f>
        <v/>
      </c>
      <c r="T490" s="21"/>
      <c r="U490" s="20"/>
      <c r="V490" s="9" t="str">
        <f aca="false">IF(LEFT(P490,5)&lt;&gt;"AVISO","",IF(T490="Presentado",IF(AND(ISNUMBER(U490),ISNUMBER(Q490),U490&gt;Q490),"Presentado tarde","Presentado"),IF(NOT(ISNUMBER(Q490)),"Falta fecha",IF(Q490&lt;CONFIG!$B$6,"VENCIDO","Vence en "&amp;(Q490-CONFIG!$B$6)&amp;" días"))))</f>
        <v/>
      </c>
      <c r="W490" s="22"/>
      <c r="X490" s="21"/>
      <c r="AA490" s="0" t="str">
        <f aca="false">IF(AM490="","",INDEX(CATÁLOGO!$D$5:$D$39,AM490))</f>
        <v/>
      </c>
      <c r="AB490" s="0" t="str">
        <f aca="false">IF(AM490="","",INDEX(CATÁLOGO!$E$5:$E$39,AM490))</f>
        <v/>
      </c>
      <c r="AC490" s="0" t="str">
        <f aca="false">IF(AB490="","",IF(ISNUMBER(AB490),AB490*AV490,AB490))</f>
        <v/>
      </c>
      <c r="AD490" s="0" t="str">
        <f aca="false">IF(AM490="","",INDEX(CATÁLOGO!$F$5:$F$39,AM490))</f>
        <v/>
      </c>
      <c r="AE490" s="0" t="str">
        <f aca="false">IF(AD490="","",IF(ISNUMBER(AD490),AD490*AV490,AD490))</f>
        <v/>
      </c>
      <c r="AF490" s="0" t="str">
        <f aca="false">IF(AM490="","",INDEX(CATÁLOGO!$G$5:$G$39,AM490))</f>
        <v/>
      </c>
      <c r="AG490" s="0" t="str">
        <f aca="false">IF(AF490="","",IF(ISNUMBER(AF490),AF490*AV490,AF490))</f>
        <v/>
      </c>
      <c r="AH490" s="0" t="str">
        <f aca="false">IF(E490="","",C490&amp;"|"&amp;D490)</f>
        <v/>
      </c>
      <c r="AI490" s="27" t="n">
        <f aca="false">IF(M490&lt;&gt;"Sí",0,SUMPRODUCT(MAX(($AH$5:AH489=AH490)*($M$5:M489="Sí")*ROW($AH$5:AH489))))</f>
        <v>0</v>
      </c>
      <c r="AJ490" s="0" t="str">
        <f aca="false">IF(M490&lt;&gt;"Sí","",IF(AL490=1,B490,INDEX($AJ:$AJ,AI490)))</f>
        <v/>
      </c>
      <c r="AK490" s="0" t="str">
        <f aca="false">IF(M490&lt;&gt;"Sí","",IF(AL490=1,E490,INDEX($AK:$AK,AI490)+E490))</f>
        <v/>
      </c>
      <c r="AL490" s="0" t="str">
        <f aca="false">IF(M490&lt;&gt;"Sí","",IF(AI490=0,1,IF(INDEX($AN:$AN,AI490)=0,1,IF(B490&gt;=EDATE(INDEX($AJ:$AJ,AI490),6),1,0))))</f>
        <v/>
      </c>
      <c r="AM490" s="0" t="str">
        <f aca="false">IF(D490="","",IFERROR(MATCH(D490,CATÁLOGO!$C$5:$C$39,0),""))</f>
        <v/>
      </c>
      <c r="AN490" s="0" t="str">
        <f aca="false">IF(M490&lt;&gt;"Sí","",IF(AND(ISNUMBER(AE490),AK490&gt;=AE490),0,1))</f>
        <v/>
      </c>
      <c r="AO490" s="0" t="str">
        <f aca="false">IF(OR(E490="",C490="",NOT(ISNUMBER(B490))),"",SUMIFS($E$6:$E$505,$C$6:$C$505,C490,$B$6:$B$505,"&gt;="&amp;DATE(YEAR(B490),MONTH(B490),1),$B$6:$B$505,"&lt;"&amp;DATE(YEAR(B490),MONTH(B490)+1,1)))</f>
        <v/>
      </c>
      <c r="AP490" s="0" t="str">
        <f aca="false">IF(C490="","",IFERROR(INDEX(CLIENTES!$M$6:$M$305,MATCH(C490,CLIENTES!$A$6:$A$305,0)),""))</f>
        <v/>
      </c>
      <c r="AQ490" s="27" t="n">
        <f aca="false">IF(AND(ISNUMBER(AO490),ISNUMBER(AP490)),IF(AND(AP490&gt;0,AO490&gt;AP490),1,0),0)</f>
        <v>0</v>
      </c>
      <c r="AR490" s="27" t="n">
        <f aca="false">IF(NOT(ISNUMBER(B490)),0,IF(B490&lt;MAX($B$5:B489),1,0))</f>
        <v>0</v>
      </c>
      <c r="AS490" s="0" t="str">
        <f aca="false">IF(C490="","",IFERROR(INDEX(CLIENTES!$H$6:$H$305,MATCH(C490,CLIENTES!$A$6:$A$305,0)),""))</f>
        <v/>
      </c>
      <c r="AT490" s="0" t="str">
        <f aca="false">IF(AND(LEFT(P490,5)="AVISO",T490&lt;&gt;"Presentado",ISNUMBER(Q490)),Q490,"")</f>
        <v/>
      </c>
      <c r="AU490" s="27" t="n">
        <f aca="false">IF(AND(D490="XVI - Activos virtuales (PSAV): operación de intercambio/transferencia",M490="Sí",ISNUMBER(AE490)),IF(AK490&gt;=AE490,1,0),0)</f>
        <v>0</v>
      </c>
      <c r="AV490" s="30" t="n">
        <f aca="false">IF(NOT(ISNUMBER(B490)),CONFIG!$B$4,IFERROR(INDEX(CONFIG!$I$5:$I$14,MATCH(IF(MONTH(B490)=1,YEAR(B490)-1,YEAR(B490)),CONFIG!$H$5:$H$14,0)),CONFIG!$B$4))</f>
        <v>117.31</v>
      </c>
      <c r="AW490" s="27" t="n">
        <f aca="false">IF(AND(LEFT(D490,4)="I - ",ISNUMBER(B490),C490&lt;&gt;""),SUMIFS($E$6:$E$505,$C$6:$C$505,C490,$D$6:$D$505,D490,$B$6:$B$505,"&gt;"&amp;(B490-1),$B$6:$B$505,"&lt;="&amp;B490),0)</f>
        <v>0</v>
      </c>
      <c r="AX490" s="0" t="str">
        <f aca="false">IF(E490="","",IF(AD490="Siempre","AVISO (siempre)",IF(AD490="No aplica","Sin Aviso (sólo preparas: Ley 17 XI)",IF(NOT(ISNUMBER(AE490)),"",IF(AA490&lt;&gt;"ACUMULA",IF(E490&gt;=AE490,IF(AND(D490="XVI - Activos virtuales (PSAV): cobro de contraprestación (comisión) por el servicio",COUNTIFS($C$6:$C$505,C490,$B$6:$B$505,"&gt;="&amp;INT(B490),$B$6:$B$505,"&lt;"&amp;(INT(B490)+1),$AU$6:$AU$505,1)&gt;0),"En el Aviso del inciso a) (R 31 Bis)","AVISO"),"—"),IF(M490&lt;&gt;"Sí","—",IF(AK490&gt;=AE490,IF(AK490=E490,"AVISO","AVISO (acumulado)"),"Acumulando")))))))</f>
        <v/>
      </c>
    </row>
    <row r="491" customFormat="false" ht="15" hidden="false" customHeight="false" outlineLevel="0" collapsed="false">
      <c r="A491" s="9" t="str">
        <f aca="false">IF(E491="","",ROW()-5)</f>
        <v/>
      </c>
      <c r="B491" s="20"/>
      <c r="C491" s="21"/>
      <c r="D491" s="21"/>
      <c r="E491" s="22"/>
      <c r="F491" s="22"/>
      <c r="G491" s="21"/>
      <c r="H491" s="21"/>
      <c r="I491" s="9" t="str">
        <f aca="false">IF(C491="","",IFERROR(INDEX(CLIENTES!$B$6:$B$305,MATCH(C491,CLIENTES!$A$6:$A$305,0)),"⚠ ID no registrado"))</f>
        <v/>
      </c>
      <c r="J491" s="9" t="str">
        <f aca="false">IF(C491="","",IFERROR(INDEX(CLIENTES!$Z$6:$Z$305,MATCH(C491,CLIENTES!$A$6:$A$305,0)),""))</f>
        <v/>
      </c>
      <c r="K491" s="9" t="str">
        <f aca="false">IF(E491="","",IF(AB491="Siempre","Sí",IF(ISNUMBER(AC491),IF(E491&gt;=AC491,"Sí",IF(AW491&gt;=AC491,"Sí (serie 24 h)","No")),"")))</f>
        <v/>
      </c>
      <c r="L491" s="9" t="str">
        <f aca="false">IF(E491="","",AA491)</f>
        <v/>
      </c>
      <c r="M491" s="9" t="str">
        <f aca="false">IF(E491="","",IF(AA491&lt;&gt;"ACUMULA","No aplica",IF(LEFT(K491,2)="Sí","Sí","No")))</f>
        <v/>
      </c>
      <c r="N491" s="23" t="str">
        <f aca="false">IF(M491="Sí",AJ491,"")</f>
        <v/>
      </c>
      <c r="O491" s="24" t="str">
        <f aca="false">IF(M491="Sí",AK491,"")</f>
        <v/>
      </c>
      <c r="P491" s="25" t="str">
        <f aca="false">IF(AND(LEFT(D491,6)="XIV - ",LEFT(AX491,5)="AVISO"),"Pedimento (R 16): no va al SPPLD",AX491)</f>
        <v/>
      </c>
      <c r="Q491" s="23" t="str">
        <f aca="false">IF(LEFT(P491,5)="AVISO",IF(ISNUMBER(B491),DATE(YEAR(B491),MONTH(B491)+1,17),"Falta fecha"),"")</f>
        <v/>
      </c>
      <c r="R491" s="9" t="str">
        <f aca="false">IF(OR(F491="",F491=0),"",IF(ISNUMBER(AG491),IF(F491&gt;=AG491,"PROHIBIDO","Dentro del límite"),"No aplica"))</f>
        <v/>
      </c>
      <c r="S491" s="26" t="str">
        <f aca="false">IF(E491="","",MID(IF(AQ491=1," · Excede el perfil declarado","")&amp;IF(H491="Sí"," · Paga un tercero","")&amp;IF(J491="Alto"," · Cliente de riesgo alto: DDR (RCG 23 Ter 3 y 4)","")&amp;IF(AND(AS491&lt;&gt;"",AS491&lt;&gt;"No",AS491&lt;&gt;0)," · PEP","")&amp;IF(R491="PROHIBIDO"," · Efectivo prohibido: no lo recibas (Art. 32)","")&amp;IF(AR491=1," · ⚠ Fecha fuera de orden","")&amp;IF(LEFT(I491,1)="⚠"," · ⚠ Cliente no registrado","")&amp;IF(D491=""," · ⚠ Falta la actividad","")&amp;IF(AND(LEFT(P491,5)="AVISO",W491="")," · Captura la cifra total con IVA para el Aviso","")&amp;IF(AND(ISNUMBER(W491),W491&lt;E491)," · ⚠ La cifra con IVA es menor que el monto sin IVA",""),4,400))</f>
        <v/>
      </c>
      <c r="T491" s="21"/>
      <c r="U491" s="20"/>
      <c r="V491" s="9" t="str">
        <f aca="false">IF(LEFT(P491,5)&lt;&gt;"AVISO","",IF(T491="Presentado",IF(AND(ISNUMBER(U491),ISNUMBER(Q491),U491&gt;Q491),"Presentado tarde","Presentado"),IF(NOT(ISNUMBER(Q491)),"Falta fecha",IF(Q491&lt;CONFIG!$B$6,"VENCIDO","Vence en "&amp;(Q491-CONFIG!$B$6)&amp;" días"))))</f>
        <v/>
      </c>
      <c r="W491" s="22"/>
      <c r="X491" s="21"/>
      <c r="AA491" s="0" t="str">
        <f aca="false">IF(AM491="","",INDEX(CATÁLOGO!$D$5:$D$39,AM491))</f>
        <v/>
      </c>
      <c r="AB491" s="0" t="str">
        <f aca="false">IF(AM491="","",INDEX(CATÁLOGO!$E$5:$E$39,AM491))</f>
        <v/>
      </c>
      <c r="AC491" s="0" t="str">
        <f aca="false">IF(AB491="","",IF(ISNUMBER(AB491),AB491*AV491,AB491))</f>
        <v/>
      </c>
      <c r="AD491" s="0" t="str">
        <f aca="false">IF(AM491="","",INDEX(CATÁLOGO!$F$5:$F$39,AM491))</f>
        <v/>
      </c>
      <c r="AE491" s="0" t="str">
        <f aca="false">IF(AD491="","",IF(ISNUMBER(AD491),AD491*AV491,AD491))</f>
        <v/>
      </c>
      <c r="AF491" s="0" t="str">
        <f aca="false">IF(AM491="","",INDEX(CATÁLOGO!$G$5:$G$39,AM491))</f>
        <v/>
      </c>
      <c r="AG491" s="0" t="str">
        <f aca="false">IF(AF491="","",IF(ISNUMBER(AF491),AF491*AV491,AF491))</f>
        <v/>
      </c>
      <c r="AH491" s="0" t="str">
        <f aca="false">IF(E491="","",C491&amp;"|"&amp;D491)</f>
        <v/>
      </c>
      <c r="AI491" s="27" t="n">
        <f aca="false">IF(M491&lt;&gt;"Sí",0,SUMPRODUCT(MAX(($AH$5:AH490=AH491)*($M$5:M490="Sí")*ROW($AH$5:AH490))))</f>
        <v>0</v>
      </c>
      <c r="AJ491" s="0" t="str">
        <f aca="false">IF(M491&lt;&gt;"Sí","",IF(AL491=1,B491,INDEX($AJ:$AJ,AI491)))</f>
        <v/>
      </c>
      <c r="AK491" s="0" t="str">
        <f aca="false">IF(M491&lt;&gt;"Sí","",IF(AL491=1,E491,INDEX($AK:$AK,AI491)+E491))</f>
        <v/>
      </c>
      <c r="AL491" s="0" t="str">
        <f aca="false">IF(M491&lt;&gt;"Sí","",IF(AI491=0,1,IF(INDEX($AN:$AN,AI491)=0,1,IF(B491&gt;=EDATE(INDEX($AJ:$AJ,AI491),6),1,0))))</f>
        <v/>
      </c>
      <c r="AM491" s="0" t="str">
        <f aca="false">IF(D491="","",IFERROR(MATCH(D491,CATÁLOGO!$C$5:$C$39,0),""))</f>
        <v/>
      </c>
      <c r="AN491" s="0" t="str">
        <f aca="false">IF(M491&lt;&gt;"Sí","",IF(AND(ISNUMBER(AE491),AK491&gt;=AE491),0,1))</f>
        <v/>
      </c>
      <c r="AO491" s="0" t="str">
        <f aca="false">IF(OR(E491="",C491="",NOT(ISNUMBER(B491))),"",SUMIFS($E$6:$E$505,$C$6:$C$505,C491,$B$6:$B$505,"&gt;="&amp;DATE(YEAR(B491),MONTH(B491),1),$B$6:$B$505,"&lt;"&amp;DATE(YEAR(B491),MONTH(B491)+1,1)))</f>
        <v/>
      </c>
      <c r="AP491" s="0" t="str">
        <f aca="false">IF(C491="","",IFERROR(INDEX(CLIENTES!$M$6:$M$305,MATCH(C491,CLIENTES!$A$6:$A$305,0)),""))</f>
        <v/>
      </c>
      <c r="AQ491" s="27" t="n">
        <f aca="false">IF(AND(ISNUMBER(AO491),ISNUMBER(AP491)),IF(AND(AP491&gt;0,AO491&gt;AP491),1,0),0)</f>
        <v>0</v>
      </c>
      <c r="AR491" s="27" t="n">
        <f aca="false">IF(NOT(ISNUMBER(B491)),0,IF(B491&lt;MAX($B$5:B490),1,0))</f>
        <v>0</v>
      </c>
      <c r="AS491" s="0" t="str">
        <f aca="false">IF(C491="","",IFERROR(INDEX(CLIENTES!$H$6:$H$305,MATCH(C491,CLIENTES!$A$6:$A$305,0)),""))</f>
        <v/>
      </c>
      <c r="AT491" s="0" t="str">
        <f aca="false">IF(AND(LEFT(P491,5)="AVISO",T491&lt;&gt;"Presentado",ISNUMBER(Q491)),Q491,"")</f>
        <v/>
      </c>
      <c r="AU491" s="27" t="n">
        <f aca="false">IF(AND(D491="XVI - Activos virtuales (PSAV): operación de intercambio/transferencia",M491="Sí",ISNUMBER(AE491)),IF(AK491&gt;=AE491,1,0),0)</f>
        <v>0</v>
      </c>
      <c r="AV491" s="30" t="n">
        <f aca="false">IF(NOT(ISNUMBER(B491)),CONFIG!$B$4,IFERROR(INDEX(CONFIG!$I$5:$I$14,MATCH(IF(MONTH(B491)=1,YEAR(B491)-1,YEAR(B491)),CONFIG!$H$5:$H$14,0)),CONFIG!$B$4))</f>
        <v>117.31</v>
      </c>
      <c r="AW491" s="27" t="n">
        <f aca="false">IF(AND(LEFT(D491,4)="I - ",ISNUMBER(B491),C491&lt;&gt;""),SUMIFS($E$6:$E$505,$C$6:$C$505,C491,$D$6:$D$505,D491,$B$6:$B$505,"&gt;"&amp;(B491-1),$B$6:$B$505,"&lt;="&amp;B491),0)</f>
        <v>0</v>
      </c>
      <c r="AX491" s="0" t="str">
        <f aca="false">IF(E491="","",IF(AD491="Siempre","AVISO (siempre)",IF(AD491="No aplica","Sin Aviso (sólo preparas: Ley 17 XI)",IF(NOT(ISNUMBER(AE491)),"",IF(AA491&lt;&gt;"ACUMULA",IF(E491&gt;=AE491,IF(AND(D491="XVI - Activos virtuales (PSAV): cobro de contraprestación (comisión) por el servicio",COUNTIFS($C$6:$C$505,C491,$B$6:$B$505,"&gt;="&amp;INT(B491),$B$6:$B$505,"&lt;"&amp;(INT(B491)+1),$AU$6:$AU$505,1)&gt;0),"En el Aviso del inciso a) (R 31 Bis)","AVISO"),"—"),IF(M491&lt;&gt;"Sí","—",IF(AK491&gt;=AE491,IF(AK491=E491,"AVISO","AVISO (acumulado)"),"Acumulando")))))))</f>
        <v/>
      </c>
    </row>
    <row r="492" customFormat="false" ht="15" hidden="false" customHeight="false" outlineLevel="0" collapsed="false">
      <c r="A492" s="9" t="str">
        <f aca="false">IF(E492="","",ROW()-5)</f>
        <v/>
      </c>
      <c r="B492" s="20"/>
      <c r="C492" s="21"/>
      <c r="D492" s="21"/>
      <c r="E492" s="22"/>
      <c r="F492" s="22"/>
      <c r="G492" s="21"/>
      <c r="H492" s="21"/>
      <c r="I492" s="9" t="str">
        <f aca="false">IF(C492="","",IFERROR(INDEX(CLIENTES!$B$6:$B$305,MATCH(C492,CLIENTES!$A$6:$A$305,0)),"⚠ ID no registrado"))</f>
        <v/>
      </c>
      <c r="J492" s="9" t="str">
        <f aca="false">IF(C492="","",IFERROR(INDEX(CLIENTES!$Z$6:$Z$305,MATCH(C492,CLIENTES!$A$6:$A$305,0)),""))</f>
        <v/>
      </c>
      <c r="K492" s="9" t="str">
        <f aca="false">IF(E492="","",IF(AB492="Siempre","Sí",IF(ISNUMBER(AC492),IF(E492&gt;=AC492,"Sí",IF(AW492&gt;=AC492,"Sí (serie 24 h)","No")),"")))</f>
        <v/>
      </c>
      <c r="L492" s="9" t="str">
        <f aca="false">IF(E492="","",AA492)</f>
        <v/>
      </c>
      <c r="M492" s="9" t="str">
        <f aca="false">IF(E492="","",IF(AA492&lt;&gt;"ACUMULA","No aplica",IF(LEFT(K492,2)="Sí","Sí","No")))</f>
        <v/>
      </c>
      <c r="N492" s="23" t="str">
        <f aca="false">IF(M492="Sí",AJ492,"")</f>
        <v/>
      </c>
      <c r="O492" s="24" t="str">
        <f aca="false">IF(M492="Sí",AK492,"")</f>
        <v/>
      </c>
      <c r="P492" s="25" t="str">
        <f aca="false">IF(AND(LEFT(D492,6)="XIV - ",LEFT(AX492,5)="AVISO"),"Pedimento (R 16): no va al SPPLD",AX492)</f>
        <v/>
      </c>
      <c r="Q492" s="23" t="str">
        <f aca="false">IF(LEFT(P492,5)="AVISO",IF(ISNUMBER(B492),DATE(YEAR(B492),MONTH(B492)+1,17),"Falta fecha"),"")</f>
        <v/>
      </c>
      <c r="R492" s="9" t="str">
        <f aca="false">IF(OR(F492="",F492=0),"",IF(ISNUMBER(AG492),IF(F492&gt;=AG492,"PROHIBIDO","Dentro del límite"),"No aplica"))</f>
        <v/>
      </c>
      <c r="S492" s="26" t="str">
        <f aca="false">IF(E492="","",MID(IF(AQ492=1," · Excede el perfil declarado","")&amp;IF(H492="Sí"," · Paga un tercero","")&amp;IF(J492="Alto"," · Cliente de riesgo alto: DDR (RCG 23 Ter 3 y 4)","")&amp;IF(AND(AS492&lt;&gt;"",AS492&lt;&gt;"No",AS492&lt;&gt;0)," · PEP","")&amp;IF(R492="PROHIBIDO"," · Efectivo prohibido: no lo recibas (Art. 32)","")&amp;IF(AR492=1," · ⚠ Fecha fuera de orden","")&amp;IF(LEFT(I492,1)="⚠"," · ⚠ Cliente no registrado","")&amp;IF(D492=""," · ⚠ Falta la actividad","")&amp;IF(AND(LEFT(P492,5)="AVISO",W492="")," · Captura la cifra total con IVA para el Aviso","")&amp;IF(AND(ISNUMBER(W492),W492&lt;E492)," · ⚠ La cifra con IVA es menor que el monto sin IVA",""),4,400))</f>
        <v/>
      </c>
      <c r="T492" s="21"/>
      <c r="U492" s="20"/>
      <c r="V492" s="9" t="str">
        <f aca="false">IF(LEFT(P492,5)&lt;&gt;"AVISO","",IF(T492="Presentado",IF(AND(ISNUMBER(U492),ISNUMBER(Q492),U492&gt;Q492),"Presentado tarde","Presentado"),IF(NOT(ISNUMBER(Q492)),"Falta fecha",IF(Q492&lt;CONFIG!$B$6,"VENCIDO","Vence en "&amp;(Q492-CONFIG!$B$6)&amp;" días"))))</f>
        <v/>
      </c>
      <c r="W492" s="22"/>
      <c r="X492" s="21"/>
      <c r="AA492" s="0" t="str">
        <f aca="false">IF(AM492="","",INDEX(CATÁLOGO!$D$5:$D$39,AM492))</f>
        <v/>
      </c>
      <c r="AB492" s="0" t="str">
        <f aca="false">IF(AM492="","",INDEX(CATÁLOGO!$E$5:$E$39,AM492))</f>
        <v/>
      </c>
      <c r="AC492" s="0" t="str">
        <f aca="false">IF(AB492="","",IF(ISNUMBER(AB492),AB492*AV492,AB492))</f>
        <v/>
      </c>
      <c r="AD492" s="0" t="str">
        <f aca="false">IF(AM492="","",INDEX(CATÁLOGO!$F$5:$F$39,AM492))</f>
        <v/>
      </c>
      <c r="AE492" s="0" t="str">
        <f aca="false">IF(AD492="","",IF(ISNUMBER(AD492),AD492*AV492,AD492))</f>
        <v/>
      </c>
      <c r="AF492" s="0" t="str">
        <f aca="false">IF(AM492="","",INDEX(CATÁLOGO!$G$5:$G$39,AM492))</f>
        <v/>
      </c>
      <c r="AG492" s="0" t="str">
        <f aca="false">IF(AF492="","",IF(ISNUMBER(AF492),AF492*AV492,AF492))</f>
        <v/>
      </c>
      <c r="AH492" s="0" t="str">
        <f aca="false">IF(E492="","",C492&amp;"|"&amp;D492)</f>
        <v/>
      </c>
      <c r="AI492" s="27" t="n">
        <f aca="false">IF(M492&lt;&gt;"Sí",0,SUMPRODUCT(MAX(($AH$5:AH491=AH492)*($M$5:M491="Sí")*ROW($AH$5:AH491))))</f>
        <v>0</v>
      </c>
      <c r="AJ492" s="0" t="str">
        <f aca="false">IF(M492&lt;&gt;"Sí","",IF(AL492=1,B492,INDEX($AJ:$AJ,AI492)))</f>
        <v/>
      </c>
      <c r="AK492" s="0" t="str">
        <f aca="false">IF(M492&lt;&gt;"Sí","",IF(AL492=1,E492,INDEX($AK:$AK,AI492)+E492))</f>
        <v/>
      </c>
      <c r="AL492" s="0" t="str">
        <f aca="false">IF(M492&lt;&gt;"Sí","",IF(AI492=0,1,IF(INDEX($AN:$AN,AI492)=0,1,IF(B492&gt;=EDATE(INDEX($AJ:$AJ,AI492),6),1,0))))</f>
        <v/>
      </c>
      <c r="AM492" s="0" t="str">
        <f aca="false">IF(D492="","",IFERROR(MATCH(D492,CATÁLOGO!$C$5:$C$39,0),""))</f>
        <v/>
      </c>
      <c r="AN492" s="0" t="str">
        <f aca="false">IF(M492&lt;&gt;"Sí","",IF(AND(ISNUMBER(AE492),AK492&gt;=AE492),0,1))</f>
        <v/>
      </c>
      <c r="AO492" s="0" t="str">
        <f aca="false">IF(OR(E492="",C492="",NOT(ISNUMBER(B492))),"",SUMIFS($E$6:$E$505,$C$6:$C$505,C492,$B$6:$B$505,"&gt;="&amp;DATE(YEAR(B492),MONTH(B492),1),$B$6:$B$505,"&lt;"&amp;DATE(YEAR(B492),MONTH(B492)+1,1)))</f>
        <v/>
      </c>
      <c r="AP492" s="0" t="str">
        <f aca="false">IF(C492="","",IFERROR(INDEX(CLIENTES!$M$6:$M$305,MATCH(C492,CLIENTES!$A$6:$A$305,0)),""))</f>
        <v/>
      </c>
      <c r="AQ492" s="27" t="n">
        <f aca="false">IF(AND(ISNUMBER(AO492),ISNUMBER(AP492)),IF(AND(AP492&gt;0,AO492&gt;AP492),1,0),0)</f>
        <v>0</v>
      </c>
      <c r="AR492" s="27" t="n">
        <f aca="false">IF(NOT(ISNUMBER(B492)),0,IF(B492&lt;MAX($B$5:B491),1,0))</f>
        <v>0</v>
      </c>
      <c r="AS492" s="0" t="str">
        <f aca="false">IF(C492="","",IFERROR(INDEX(CLIENTES!$H$6:$H$305,MATCH(C492,CLIENTES!$A$6:$A$305,0)),""))</f>
        <v/>
      </c>
      <c r="AT492" s="0" t="str">
        <f aca="false">IF(AND(LEFT(P492,5)="AVISO",T492&lt;&gt;"Presentado",ISNUMBER(Q492)),Q492,"")</f>
        <v/>
      </c>
      <c r="AU492" s="27" t="n">
        <f aca="false">IF(AND(D492="XVI - Activos virtuales (PSAV): operación de intercambio/transferencia",M492="Sí",ISNUMBER(AE492)),IF(AK492&gt;=AE492,1,0),0)</f>
        <v>0</v>
      </c>
      <c r="AV492" s="30" t="n">
        <f aca="false">IF(NOT(ISNUMBER(B492)),CONFIG!$B$4,IFERROR(INDEX(CONFIG!$I$5:$I$14,MATCH(IF(MONTH(B492)=1,YEAR(B492)-1,YEAR(B492)),CONFIG!$H$5:$H$14,0)),CONFIG!$B$4))</f>
        <v>117.31</v>
      </c>
      <c r="AW492" s="27" t="n">
        <f aca="false">IF(AND(LEFT(D492,4)="I - ",ISNUMBER(B492),C492&lt;&gt;""),SUMIFS($E$6:$E$505,$C$6:$C$505,C492,$D$6:$D$505,D492,$B$6:$B$505,"&gt;"&amp;(B492-1),$B$6:$B$505,"&lt;="&amp;B492),0)</f>
        <v>0</v>
      </c>
      <c r="AX492" s="0" t="str">
        <f aca="false">IF(E492="","",IF(AD492="Siempre","AVISO (siempre)",IF(AD492="No aplica","Sin Aviso (sólo preparas: Ley 17 XI)",IF(NOT(ISNUMBER(AE492)),"",IF(AA492&lt;&gt;"ACUMULA",IF(E492&gt;=AE492,IF(AND(D492="XVI - Activos virtuales (PSAV): cobro de contraprestación (comisión) por el servicio",COUNTIFS($C$6:$C$505,C492,$B$6:$B$505,"&gt;="&amp;INT(B492),$B$6:$B$505,"&lt;"&amp;(INT(B492)+1),$AU$6:$AU$505,1)&gt;0),"En el Aviso del inciso a) (R 31 Bis)","AVISO"),"—"),IF(M492&lt;&gt;"Sí","—",IF(AK492&gt;=AE492,IF(AK492=E492,"AVISO","AVISO (acumulado)"),"Acumulando")))))))</f>
        <v/>
      </c>
    </row>
    <row r="493" customFormat="false" ht="15" hidden="false" customHeight="false" outlineLevel="0" collapsed="false">
      <c r="A493" s="9" t="str">
        <f aca="false">IF(E493="","",ROW()-5)</f>
        <v/>
      </c>
      <c r="B493" s="20"/>
      <c r="C493" s="21"/>
      <c r="D493" s="21"/>
      <c r="E493" s="22"/>
      <c r="F493" s="22"/>
      <c r="G493" s="21"/>
      <c r="H493" s="21"/>
      <c r="I493" s="9" t="str">
        <f aca="false">IF(C493="","",IFERROR(INDEX(CLIENTES!$B$6:$B$305,MATCH(C493,CLIENTES!$A$6:$A$305,0)),"⚠ ID no registrado"))</f>
        <v/>
      </c>
      <c r="J493" s="9" t="str">
        <f aca="false">IF(C493="","",IFERROR(INDEX(CLIENTES!$Z$6:$Z$305,MATCH(C493,CLIENTES!$A$6:$A$305,0)),""))</f>
        <v/>
      </c>
      <c r="K493" s="9" t="str">
        <f aca="false">IF(E493="","",IF(AB493="Siempre","Sí",IF(ISNUMBER(AC493),IF(E493&gt;=AC493,"Sí",IF(AW493&gt;=AC493,"Sí (serie 24 h)","No")),"")))</f>
        <v/>
      </c>
      <c r="L493" s="9" t="str">
        <f aca="false">IF(E493="","",AA493)</f>
        <v/>
      </c>
      <c r="M493" s="9" t="str">
        <f aca="false">IF(E493="","",IF(AA493&lt;&gt;"ACUMULA","No aplica",IF(LEFT(K493,2)="Sí","Sí","No")))</f>
        <v/>
      </c>
      <c r="N493" s="23" t="str">
        <f aca="false">IF(M493="Sí",AJ493,"")</f>
        <v/>
      </c>
      <c r="O493" s="24" t="str">
        <f aca="false">IF(M493="Sí",AK493,"")</f>
        <v/>
      </c>
      <c r="P493" s="25" t="str">
        <f aca="false">IF(AND(LEFT(D493,6)="XIV - ",LEFT(AX493,5)="AVISO"),"Pedimento (R 16): no va al SPPLD",AX493)</f>
        <v/>
      </c>
      <c r="Q493" s="23" t="str">
        <f aca="false">IF(LEFT(P493,5)="AVISO",IF(ISNUMBER(B493),DATE(YEAR(B493),MONTH(B493)+1,17),"Falta fecha"),"")</f>
        <v/>
      </c>
      <c r="R493" s="9" t="str">
        <f aca="false">IF(OR(F493="",F493=0),"",IF(ISNUMBER(AG493),IF(F493&gt;=AG493,"PROHIBIDO","Dentro del límite"),"No aplica"))</f>
        <v/>
      </c>
      <c r="S493" s="26" t="str">
        <f aca="false">IF(E493="","",MID(IF(AQ493=1," · Excede el perfil declarado","")&amp;IF(H493="Sí"," · Paga un tercero","")&amp;IF(J493="Alto"," · Cliente de riesgo alto: DDR (RCG 23 Ter 3 y 4)","")&amp;IF(AND(AS493&lt;&gt;"",AS493&lt;&gt;"No",AS493&lt;&gt;0)," · PEP","")&amp;IF(R493="PROHIBIDO"," · Efectivo prohibido: no lo recibas (Art. 32)","")&amp;IF(AR493=1," · ⚠ Fecha fuera de orden","")&amp;IF(LEFT(I493,1)="⚠"," · ⚠ Cliente no registrado","")&amp;IF(D493=""," · ⚠ Falta la actividad","")&amp;IF(AND(LEFT(P493,5)="AVISO",W493="")," · Captura la cifra total con IVA para el Aviso","")&amp;IF(AND(ISNUMBER(W493),W493&lt;E493)," · ⚠ La cifra con IVA es menor que el monto sin IVA",""),4,400))</f>
        <v/>
      </c>
      <c r="T493" s="21"/>
      <c r="U493" s="20"/>
      <c r="V493" s="9" t="str">
        <f aca="false">IF(LEFT(P493,5)&lt;&gt;"AVISO","",IF(T493="Presentado",IF(AND(ISNUMBER(U493),ISNUMBER(Q493),U493&gt;Q493),"Presentado tarde","Presentado"),IF(NOT(ISNUMBER(Q493)),"Falta fecha",IF(Q493&lt;CONFIG!$B$6,"VENCIDO","Vence en "&amp;(Q493-CONFIG!$B$6)&amp;" días"))))</f>
        <v/>
      </c>
      <c r="W493" s="22"/>
      <c r="X493" s="21"/>
      <c r="AA493" s="0" t="str">
        <f aca="false">IF(AM493="","",INDEX(CATÁLOGO!$D$5:$D$39,AM493))</f>
        <v/>
      </c>
      <c r="AB493" s="0" t="str">
        <f aca="false">IF(AM493="","",INDEX(CATÁLOGO!$E$5:$E$39,AM493))</f>
        <v/>
      </c>
      <c r="AC493" s="0" t="str">
        <f aca="false">IF(AB493="","",IF(ISNUMBER(AB493),AB493*AV493,AB493))</f>
        <v/>
      </c>
      <c r="AD493" s="0" t="str">
        <f aca="false">IF(AM493="","",INDEX(CATÁLOGO!$F$5:$F$39,AM493))</f>
        <v/>
      </c>
      <c r="AE493" s="0" t="str">
        <f aca="false">IF(AD493="","",IF(ISNUMBER(AD493),AD493*AV493,AD493))</f>
        <v/>
      </c>
      <c r="AF493" s="0" t="str">
        <f aca="false">IF(AM493="","",INDEX(CATÁLOGO!$G$5:$G$39,AM493))</f>
        <v/>
      </c>
      <c r="AG493" s="0" t="str">
        <f aca="false">IF(AF493="","",IF(ISNUMBER(AF493),AF493*AV493,AF493))</f>
        <v/>
      </c>
      <c r="AH493" s="0" t="str">
        <f aca="false">IF(E493="","",C493&amp;"|"&amp;D493)</f>
        <v/>
      </c>
      <c r="AI493" s="27" t="n">
        <f aca="false">IF(M493&lt;&gt;"Sí",0,SUMPRODUCT(MAX(($AH$5:AH492=AH493)*($M$5:M492="Sí")*ROW($AH$5:AH492))))</f>
        <v>0</v>
      </c>
      <c r="AJ493" s="0" t="str">
        <f aca="false">IF(M493&lt;&gt;"Sí","",IF(AL493=1,B493,INDEX($AJ:$AJ,AI493)))</f>
        <v/>
      </c>
      <c r="AK493" s="0" t="str">
        <f aca="false">IF(M493&lt;&gt;"Sí","",IF(AL493=1,E493,INDEX($AK:$AK,AI493)+E493))</f>
        <v/>
      </c>
      <c r="AL493" s="0" t="str">
        <f aca="false">IF(M493&lt;&gt;"Sí","",IF(AI493=0,1,IF(INDEX($AN:$AN,AI493)=0,1,IF(B493&gt;=EDATE(INDEX($AJ:$AJ,AI493),6),1,0))))</f>
        <v/>
      </c>
      <c r="AM493" s="0" t="str">
        <f aca="false">IF(D493="","",IFERROR(MATCH(D493,CATÁLOGO!$C$5:$C$39,0),""))</f>
        <v/>
      </c>
      <c r="AN493" s="0" t="str">
        <f aca="false">IF(M493&lt;&gt;"Sí","",IF(AND(ISNUMBER(AE493),AK493&gt;=AE493),0,1))</f>
        <v/>
      </c>
      <c r="AO493" s="0" t="str">
        <f aca="false">IF(OR(E493="",C493="",NOT(ISNUMBER(B493))),"",SUMIFS($E$6:$E$505,$C$6:$C$505,C493,$B$6:$B$505,"&gt;="&amp;DATE(YEAR(B493),MONTH(B493),1),$B$6:$B$505,"&lt;"&amp;DATE(YEAR(B493),MONTH(B493)+1,1)))</f>
        <v/>
      </c>
      <c r="AP493" s="0" t="str">
        <f aca="false">IF(C493="","",IFERROR(INDEX(CLIENTES!$M$6:$M$305,MATCH(C493,CLIENTES!$A$6:$A$305,0)),""))</f>
        <v/>
      </c>
      <c r="AQ493" s="27" t="n">
        <f aca="false">IF(AND(ISNUMBER(AO493),ISNUMBER(AP493)),IF(AND(AP493&gt;0,AO493&gt;AP493),1,0),0)</f>
        <v>0</v>
      </c>
      <c r="AR493" s="27" t="n">
        <f aca="false">IF(NOT(ISNUMBER(B493)),0,IF(B493&lt;MAX($B$5:B492),1,0))</f>
        <v>0</v>
      </c>
      <c r="AS493" s="0" t="str">
        <f aca="false">IF(C493="","",IFERROR(INDEX(CLIENTES!$H$6:$H$305,MATCH(C493,CLIENTES!$A$6:$A$305,0)),""))</f>
        <v/>
      </c>
      <c r="AT493" s="0" t="str">
        <f aca="false">IF(AND(LEFT(P493,5)="AVISO",T493&lt;&gt;"Presentado",ISNUMBER(Q493)),Q493,"")</f>
        <v/>
      </c>
      <c r="AU493" s="27" t="n">
        <f aca="false">IF(AND(D493="XVI - Activos virtuales (PSAV): operación de intercambio/transferencia",M493="Sí",ISNUMBER(AE493)),IF(AK493&gt;=AE493,1,0),0)</f>
        <v>0</v>
      </c>
      <c r="AV493" s="30" t="n">
        <f aca="false">IF(NOT(ISNUMBER(B493)),CONFIG!$B$4,IFERROR(INDEX(CONFIG!$I$5:$I$14,MATCH(IF(MONTH(B493)=1,YEAR(B493)-1,YEAR(B493)),CONFIG!$H$5:$H$14,0)),CONFIG!$B$4))</f>
        <v>117.31</v>
      </c>
      <c r="AW493" s="27" t="n">
        <f aca="false">IF(AND(LEFT(D493,4)="I - ",ISNUMBER(B493),C493&lt;&gt;""),SUMIFS($E$6:$E$505,$C$6:$C$505,C493,$D$6:$D$505,D493,$B$6:$B$505,"&gt;"&amp;(B493-1),$B$6:$B$505,"&lt;="&amp;B493),0)</f>
        <v>0</v>
      </c>
      <c r="AX493" s="0" t="str">
        <f aca="false">IF(E493="","",IF(AD493="Siempre","AVISO (siempre)",IF(AD493="No aplica","Sin Aviso (sólo preparas: Ley 17 XI)",IF(NOT(ISNUMBER(AE493)),"",IF(AA493&lt;&gt;"ACUMULA",IF(E493&gt;=AE493,IF(AND(D493="XVI - Activos virtuales (PSAV): cobro de contraprestación (comisión) por el servicio",COUNTIFS($C$6:$C$505,C493,$B$6:$B$505,"&gt;="&amp;INT(B493),$B$6:$B$505,"&lt;"&amp;(INT(B493)+1),$AU$6:$AU$505,1)&gt;0),"En el Aviso del inciso a) (R 31 Bis)","AVISO"),"—"),IF(M493&lt;&gt;"Sí","—",IF(AK493&gt;=AE493,IF(AK493=E493,"AVISO","AVISO (acumulado)"),"Acumulando")))))))</f>
        <v/>
      </c>
    </row>
    <row r="494" customFormat="false" ht="15" hidden="false" customHeight="false" outlineLevel="0" collapsed="false">
      <c r="A494" s="9" t="str">
        <f aca="false">IF(E494="","",ROW()-5)</f>
        <v/>
      </c>
      <c r="B494" s="20"/>
      <c r="C494" s="21"/>
      <c r="D494" s="21"/>
      <c r="E494" s="22"/>
      <c r="F494" s="22"/>
      <c r="G494" s="21"/>
      <c r="H494" s="21"/>
      <c r="I494" s="9" t="str">
        <f aca="false">IF(C494="","",IFERROR(INDEX(CLIENTES!$B$6:$B$305,MATCH(C494,CLIENTES!$A$6:$A$305,0)),"⚠ ID no registrado"))</f>
        <v/>
      </c>
      <c r="J494" s="9" t="str">
        <f aca="false">IF(C494="","",IFERROR(INDEX(CLIENTES!$Z$6:$Z$305,MATCH(C494,CLIENTES!$A$6:$A$305,0)),""))</f>
        <v/>
      </c>
      <c r="K494" s="9" t="str">
        <f aca="false">IF(E494="","",IF(AB494="Siempre","Sí",IF(ISNUMBER(AC494),IF(E494&gt;=AC494,"Sí",IF(AW494&gt;=AC494,"Sí (serie 24 h)","No")),"")))</f>
        <v/>
      </c>
      <c r="L494" s="9" t="str">
        <f aca="false">IF(E494="","",AA494)</f>
        <v/>
      </c>
      <c r="M494" s="9" t="str">
        <f aca="false">IF(E494="","",IF(AA494&lt;&gt;"ACUMULA","No aplica",IF(LEFT(K494,2)="Sí","Sí","No")))</f>
        <v/>
      </c>
      <c r="N494" s="23" t="str">
        <f aca="false">IF(M494="Sí",AJ494,"")</f>
        <v/>
      </c>
      <c r="O494" s="24" t="str">
        <f aca="false">IF(M494="Sí",AK494,"")</f>
        <v/>
      </c>
      <c r="P494" s="25" t="str">
        <f aca="false">IF(AND(LEFT(D494,6)="XIV - ",LEFT(AX494,5)="AVISO"),"Pedimento (R 16): no va al SPPLD",AX494)</f>
        <v/>
      </c>
      <c r="Q494" s="23" t="str">
        <f aca="false">IF(LEFT(P494,5)="AVISO",IF(ISNUMBER(B494),DATE(YEAR(B494),MONTH(B494)+1,17),"Falta fecha"),"")</f>
        <v/>
      </c>
      <c r="R494" s="9" t="str">
        <f aca="false">IF(OR(F494="",F494=0),"",IF(ISNUMBER(AG494),IF(F494&gt;=AG494,"PROHIBIDO","Dentro del límite"),"No aplica"))</f>
        <v/>
      </c>
      <c r="S494" s="26" t="str">
        <f aca="false">IF(E494="","",MID(IF(AQ494=1," · Excede el perfil declarado","")&amp;IF(H494="Sí"," · Paga un tercero","")&amp;IF(J494="Alto"," · Cliente de riesgo alto: DDR (RCG 23 Ter 3 y 4)","")&amp;IF(AND(AS494&lt;&gt;"",AS494&lt;&gt;"No",AS494&lt;&gt;0)," · PEP","")&amp;IF(R494="PROHIBIDO"," · Efectivo prohibido: no lo recibas (Art. 32)","")&amp;IF(AR494=1," · ⚠ Fecha fuera de orden","")&amp;IF(LEFT(I494,1)="⚠"," · ⚠ Cliente no registrado","")&amp;IF(D494=""," · ⚠ Falta la actividad","")&amp;IF(AND(LEFT(P494,5)="AVISO",W494="")," · Captura la cifra total con IVA para el Aviso","")&amp;IF(AND(ISNUMBER(W494),W494&lt;E494)," · ⚠ La cifra con IVA es menor que el monto sin IVA",""),4,400))</f>
        <v/>
      </c>
      <c r="T494" s="21"/>
      <c r="U494" s="20"/>
      <c r="V494" s="9" t="str">
        <f aca="false">IF(LEFT(P494,5)&lt;&gt;"AVISO","",IF(T494="Presentado",IF(AND(ISNUMBER(U494),ISNUMBER(Q494),U494&gt;Q494),"Presentado tarde","Presentado"),IF(NOT(ISNUMBER(Q494)),"Falta fecha",IF(Q494&lt;CONFIG!$B$6,"VENCIDO","Vence en "&amp;(Q494-CONFIG!$B$6)&amp;" días"))))</f>
        <v/>
      </c>
      <c r="W494" s="22"/>
      <c r="X494" s="21"/>
      <c r="AA494" s="0" t="str">
        <f aca="false">IF(AM494="","",INDEX(CATÁLOGO!$D$5:$D$39,AM494))</f>
        <v/>
      </c>
      <c r="AB494" s="0" t="str">
        <f aca="false">IF(AM494="","",INDEX(CATÁLOGO!$E$5:$E$39,AM494))</f>
        <v/>
      </c>
      <c r="AC494" s="0" t="str">
        <f aca="false">IF(AB494="","",IF(ISNUMBER(AB494),AB494*AV494,AB494))</f>
        <v/>
      </c>
      <c r="AD494" s="0" t="str">
        <f aca="false">IF(AM494="","",INDEX(CATÁLOGO!$F$5:$F$39,AM494))</f>
        <v/>
      </c>
      <c r="AE494" s="0" t="str">
        <f aca="false">IF(AD494="","",IF(ISNUMBER(AD494),AD494*AV494,AD494))</f>
        <v/>
      </c>
      <c r="AF494" s="0" t="str">
        <f aca="false">IF(AM494="","",INDEX(CATÁLOGO!$G$5:$G$39,AM494))</f>
        <v/>
      </c>
      <c r="AG494" s="0" t="str">
        <f aca="false">IF(AF494="","",IF(ISNUMBER(AF494),AF494*AV494,AF494))</f>
        <v/>
      </c>
      <c r="AH494" s="0" t="str">
        <f aca="false">IF(E494="","",C494&amp;"|"&amp;D494)</f>
        <v/>
      </c>
      <c r="AI494" s="27" t="n">
        <f aca="false">IF(M494&lt;&gt;"Sí",0,SUMPRODUCT(MAX(($AH$5:AH493=AH494)*($M$5:M493="Sí")*ROW($AH$5:AH493))))</f>
        <v>0</v>
      </c>
      <c r="AJ494" s="0" t="str">
        <f aca="false">IF(M494&lt;&gt;"Sí","",IF(AL494=1,B494,INDEX($AJ:$AJ,AI494)))</f>
        <v/>
      </c>
      <c r="AK494" s="0" t="str">
        <f aca="false">IF(M494&lt;&gt;"Sí","",IF(AL494=1,E494,INDEX($AK:$AK,AI494)+E494))</f>
        <v/>
      </c>
      <c r="AL494" s="0" t="str">
        <f aca="false">IF(M494&lt;&gt;"Sí","",IF(AI494=0,1,IF(INDEX($AN:$AN,AI494)=0,1,IF(B494&gt;=EDATE(INDEX($AJ:$AJ,AI494),6),1,0))))</f>
        <v/>
      </c>
      <c r="AM494" s="0" t="str">
        <f aca="false">IF(D494="","",IFERROR(MATCH(D494,CATÁLOGO!$C$5:$C$39,0),""))</f>
        <v/>
      </c>
      <c r="AN494" s="0" t="str">
        <f aca="false">IF(M494&lt;&gt;"Sí","",IF(AND(ISNUMBER(AE494),AK494&gt;=AE494),0,1))</f>
        <v/>
      </c>
      <c r="AO494" s="0" t="str">
        <f aca="false">IF(OR(E494="",C494="",NOT(ISNUMBER(B494))),"",SUMIFS($E$6:$E$505,$C$6:$C$505,C494,$B$6:$B$505,"&gt;="&amp;DATE(YEAR(B494),MONTH(B494),1),$B$6:$B$505,"&lt;"&amp;DATE(YEAR(B494),MONTH(B494)+1,1)))</f>
        <v/>
      </c>
      <c r="AP494" s="0" t="str">
        <f aca="false">IF(C494="","",IFERROR(INDEX(CLIENTES!$M$6:$M$305,MATCH(C494,CLIENTES!$A$6:$A$305,0)),""))</f>
        <v/>
      </c>
      <c r="AQ494" s="27" t="n">
        <f aca="false">IF(AND(ISNUMBER(AO494),ISNUMBER(AP494)),IF(AND(AP494&gt;0,AO494&gt;AP494),1,0),0)</f>
        <v>0</v>
      </c>
      <c r="AR494" s="27" t="n">
        <f aca="false">IF(NOT(ISNUMBER(B494)),0,IF(B494&lt;MAX($B$5:B493),1,0))</f>
        <v>0</v>
      </c>
      <c r="AS494" s="0" t="str">
        <f aca="false">IF(C494="","",IFERROR(INDEX(CLIENTES!$H$6:$H$305,MATCH(C494,CLIENTES!$A$6:$A$305,0)),""))</f>
        <v/>
      </c>
      <c r="AT494" s="0" t="str">
        <f aca="false">IF(AND(LEFT(P494,5)="AVISO",T494&lt;&gt;"Presentado",ISNUMBER(Q494)),Q494,"")</f>
        <v/>
      </c>
      <c r="AU494" s="27" t="n">
        <f aca="false">IF(AND(D494="XVI - Activos virtuales (PSAV): operación de intercambio/transferencia",M494="Sí",ISNUMBER(AE494)),IF(AK494&gt;=AE494,1,0),0)</f>
        <v>0</v>
      </c>
      <c r="AV494" s="30" t="n">
        <f aca="false">IF(NOT(ISNUMBER(B494)),CONFIG!$B$4,IFERROR(INDEX(CONFIG!$I$5:$I$14,MATCH(IF(MONTH(B494)=1,YEAR(B494)-1,YEAR(B494)),CONFIG!$H$5:$H$14,0)),CONFIG!$B$4))</f>
        <v>117.31</v>
      </c>
      <c r="AW494" s="27" t="n">
        <f aca="false">IF(AND(LEFT(D494,4)="I - ",ISNUMBER(B494),C494&lt;&gt;""),SUMIFS($E$6:$E$505,$C$6:$C$505,C494,$D$6:$D$505,D494,$B$6:$B$505,"&gt;"&amp;(B494-1),$B$6:$B$505,"&lt;="&amp;B494),0)</f>
        <v>0</v>
      </c>
      <c r="AX494" s="0" t="str">
        <f aca="false">IF(E494="","",IF(AD494="Siempre","AVISO (siempre)",IF(AD494="No aplica","Sin Aviso (sólo preparas: Ley 17 XI)",IF(NOT(ISNUMBER(AE494)),"",IF(AA494&lt;&gt;"ACUMULA",IF(E494&gt;=AE494,IF(AND(D494="XVI - Activos virtuales (PSAV): cobro de contraprestación (comisión) por el servicio",COUNTIFS($C$6:$C$505,C494,$B$6:$B$505,"&gt;="&amp;INT(B494),$B$6:$B$505,"&lt;"&amp;(INT(B494)+1),$AU$6:$AU$505,1)&gt;0),"En el Aviso del inciso a) (R 31 Bis)","AVISO"),"—"),IF(M494&lt;&gt;"Sí","—",IF(AK494&gt;=AE494,IF(AK494=E494,"AVISO","AVISO (acumulado)"),"Acumulando")))))))</f>
        <v/>
      </c>
    </row>
    <row r="495" customFormat="false" ht="15" hidden="false" customHeight="false" outlineLevel="0" collapsed="false">
      <c r="A495" s="9" t="str">
        <f aca="false">IF(E495="","",ROW()-5)</f>
        <v/>
      </c>
      <c r="B495" s="20"/>
      <c r="C495" s="21"/>
      <c r="D495" s="21"/>
      <c r="E495" s="22"/>
      <c r="F495" s="22"/>
      <c r="G495" s="21"/>
      <c r="H495" s="21"/>
      <c r="I495" s="9" t="str">
        <f aca="false">IF(C495="","",IFERROR(INDEX(CLIENTES!$B$6:$B$305,MATCH(C495,CLIENTES!$A$6:$A$305,0)),"⚠ ID no registrado"))</f>
        <v/>
      </c>
      <c r="J495" s="9" t="str">
        <f aca="false">IF(C495="","",IFERROR(INDEX(CLIENTES!$Z$6:$Z$305,MATCH(C495,CLIENTES!$A$6:$A$305,0)),""))</f>
        <v/>
      </c>
      <c r="K495" s="9" t="str">
        <f aca="false">IF(E495="","",IF(AB495="Siempre","Sí",IF(ISNUMBER(AC495),IF(E495&gt;=AC495,"Sí",IF(AW495&gt;=AC495,"Sí (serie 24 h)","No")),"")))</f>
        <v/>
      </c>
      <c r="L495" s="9" t="str">
        <f aca="false">IF(E495="","",AA495)</f>
        <v/>
      </c>
      <c r="M495" s="9" t="str">
        <f aca="false">IF(E495="","",IF(AA495&lt;&gt;"ACUMULA","No aplica",IF(LEFT(K495,2)="Sí","Sí","No")))</f>
        <v/>
      </c>
      <c r="N495" s="23" t="str">
        <f aca="false">IF(M495="Sí",AJ495,"")</f>
        <v/>
      </c>
      <c r="O495" s="24" t="str">
        <f aca="false">IF(M495="Sí",AK495,"")</f>
        <v/>
      </c>
      <c r="P495" s="25" t="str">
        <f aca="false">IF(AND(LEFT(D495,6)="XIV - ",LEFT(AX495,5)="AVISO"),"Pedimento (R 16): no va al SPPLD",AX495)</f>
        <v/>
      </c>
      <c r="Q495" s="23" t="str">
        <f aca="false">IF(LEFT(P495,5)="AVISO",IF(ISNUMBER(B495),DATE(YEAR(B495),MONTH(B495)+1,17),"Falta fecha"),"")</f>
        <v/>
      </c>
      <c r="R495" s="9" t="str">
        <f aca="false">IF(OR(F495="",F495=0),"",IF(ISNUMBER(AG495),IF(F495&gt;=AG495,"PROHIBIDO","Dentro del límite"),"No aplica"))</f>
        <v/>
      </c>
      <c r="S495" s="26" t="str">
        <f aca="false">IF(E495="","",MID(IF(AQ495=1," · Excede el perfil declarado","")&amp;IF(H495="Sí"," · Paga un tercero","")&amp;IF(J495="Alto"," · Cliente de riesgo alto: DDR (RCG 23 Ter 3 y 4)","")&amp;IF(AND(AS495&lt;&gt;"",AS495&lt;&gt;"No",AS495&lt;&gt;0)," · PEP","")&amp;IF(R495="PROHIBIDO"," · Efectivo prohibido: no lo recibas (Art. 32)","")&amp;IF(AR495=1," · ⚠ Fecha fuera de orden","")&amp;IF(LEFT(I495,1)="⚠"," · ⚠ Cliente no registrado","")&amp;IF(D495=""," · ⚠ Falta la actividad","")&amp;IF(AND(LEFT(P495,5)="AVISO",W495="")," · Captura la cifra total con IVA para el Aviso","")&amp;IF(AND(ISNUMBER(W495),W495&lt;E495)," · ⚠ La cifra con IVA es menor que el monto sin IVA",""),4,400))</f>
        <v/>
      </c>
      <c r="T495" s="21"/>
      <c r="U495" s="20"/>
      <c r="V495" s="9" t="str">
        <f aca="false">IF(LEFT(P495,5)&lt;&gt;"AVISO","",IF(T495="Presentado",IF(AND(ISNUMBER(U495),ISNUMBER(Q495),U495&gt;Q495),"Presentado tarde","Presentado"),IF(NOT(ISNUMBER(Q495)),"Falta fecha",IF(Q495&lt;CONFIG!$B$6,"VENCIDO","Vence en "&amp;(Q495-CONFIG!$B$6)&amp;" días"))))</f>
        <v/>
      </c>
      <c r="W495" s="22"/>
      <c r="X495" s="21"/>
      <c r="AA495" s="0" t="str">
        <f aca="false">IF(AM495="","",INDEX(CATÁLOGO!$D$5:$D$39,AM495))</f>
        <v/>
      </c>
      <c r="AB495" s="0" t="str">
        <f aca="false">IF(AM495="","",INDEX(CATÁLOGO!$E$5:$E$39,AM495))</f>
        <v/>
      </c>
      <c r="AC495" s="0" t="str">
        <f aca="false">IF(AB495="","",IF(ISNUMBER(AB495),AB495*AV495,AB495))</f>
        <v/>
      </c>
      <c r="AD495" s="0" t="str">
        <f aca="false">IF(AM495="","",INDEX(CATÁLOGO!$F$5:$F$39,AM495))</f>
        <v/>
      </c>
      <c r="AE495" s="0" t="str">
        <f aca="false">IF(AD495="","",IF(ISNUMBER(AD495),AD495*AV495,AD495))</f>
        <v/>
      </c>
      <c r="AF495" s="0" t="str">
        <f aca="false">IF(AM495="","",INDEX(CATÁLOGO!$G$5:$G$39,AM495))</f>
        <v/>
      </c>
      <c r="AG495" s="0" t="str">
        <f aca="false">IF(AF495="","",IF(ISNUMBER(AF495),AF495*AV495,AF495))</f>
        <v/>
      </c>
      <c r="AH495" s="0" t="str">
        <f aca="false">IF(E495="","",C495&amp;"|"&amp;D495)</f>
        <v/>
      </c>
      <c r="AI495" s="27" t="n">
        <f aca="false">IF(M495&lt;&gt;"Sí",0,SUMPRODUCT(MAX(($AH$5:AH494=AH495)*($M$5:M494="Sí")*ROW($AH$5:AH494))))</f>
        <v>0</v>
      </c>
      <c r="AJ495" s="0" t="str">
        <f aca="false">IF(M495&lt;&gt;"Sí","",IF(AL495=1,B495,INDEX($AJ:$AJ,AI495)))</f>
        <v/>
      </c>
      <c r="AK495" s="0" t="str">
        <f aca="false">IF(M495&lt;&gt;"Sí","",IF(AL495=1,E495,INDEX($AK:$AK,AI495)+E495))</f>
        <v/>
      </c>
      <c r="AL495" s="0" t="str">
        <f aca="false">IF(M495&lt;&gt;"Sí","",IF(AI495=0,1,IF(INDEX($AN:$AN,AI495)=0,1,IF(B495&gt;=EDATE(INDEX($AJ:$AJ,AI495),6),1,0))))</f>
        <v/>
      </c>
      <c r="AM495" s="0" t="str">
        <f aca="false">IF(D495="","",IFERROR(MATCH(D495,CATÁLOGO!$C$5:$C$39,0),""))</f>
        <v/>
      </c>
      <c r="AN495" s="0" t="str">
        <f aca="false">IF(M495&lt;&gt;"Sí","",IF(AND(ISNUMBER(AE495),AK495&gt;=AE495),0,1))</f>
        <v/>
      </c>
      <c r="AO495" s="0" t="str">
        <f aca="false">IF(OR(E495="",C495="",NOT(ISNUMBER(B495))),"",SUMIFS($E$6:$E$505,$C$6:$C$505,C495,$B$6:$B$505,"&gt;="&amp;DATE(YEAR(B495),MONTH(B495),1),$B$6:$B$505,"&lt;"&amp;DATE(YEAR(B495),MONTH(B495)+1,1)))</f>
        <v/>
      </c>
      <c r="AP495" s="0" t="str">
        <f aca="false">IF(C495="","",IFERROR(INDEX(CLIENTES!$M$6:$M$305,MATCH(C495,CLIENTES!$A$6:$A$305,0)),""))</f>
        <v/>
      </c>
      <c r="AQ495" s="27" t="n">
        <f aca="false">IF(AND(ISNUMBER(AO495),ISNUMBER(AP495)),IF(AND(AP495&gt;0,AO495&gt;AP495),1,0),0)</f>
        <v>0</v>
      </c>
      <c r="AR495" s="27" t="n">
        <f aca="false">IF(NOT(ISNUMBER(B495)),0,IF(B495&lt;MAX($B$5:B494),1,0))</f>
        <v>0</v>
      </c>
      <c r="AS495" s="0" t="str">
        <f aca="false">IF(C495="","",IFERROR(INDEX(CLIENTES!$H$6:$H$305,MATCH(C495,CLIENTES!$A$6:$A$305,0)),""))</f>
        <v/>
      </c>
      <c r="AT495" s="0" t="str">
        <f aca="false">IF(AND(LEFT(P495,5)="AVISO",T495&lt;&gt;"Presentado",ISNUMBER(Q495)),Q495,"")</f>
        <v/>
      </c>
      <c r="AU495" s="27" t="n">
        <f aca="false">IF(AND(D495="XVI - Activos virtuales (PSAV): operación de intercambio/transferencia",M495="Sí",ISNUMBER(AE495)),IF(AK495&gt;=AE495,1,0),0)</f>
        <v>0</v>
      </c>
      <c r="AV495" s="30" t="n">
        <f aca="false">IF(NOT(ISNUMBER(B495)),CONFIG!$B$4,IFERROR(INDEX(CONFIG!$I$5:$I$14,MATCH(IF(MONTH(B495)=1,YEAR(B495)-1,YEAR(B495)),CONFIG!$H$5:$H$14,0)),CONFIG!$B$4))</f>
        <v>117.31</v>
      </c>
      <c r="AW495" s="27" t="n">
        <f aca="false">IF(AND(LEFT(D495,4)="I - ",ISNUMBER(B495),C495&lt;&gt;""),SUMIFS($E$6:$E$505,$C$6:$C$505,C495,$D$6:$D$505,D495,$B$6:$B$505,"&gt;"&amp;(B495-1),$B$6:$B$505,"&lt;="&amp;B495),0)</f>
        <v>0</v>
      </c>
      <c r="AX495" s="0" t="str">
        <f aca="false">IF(E495="","",IF(AD495="Siempre","AVISO (siempre)",IF(AD495="No aplica","Sin Aviso (sólo preparas: Ley 17 XI)",IF(NOT(ISNUMBER(AE495)),"",IF(AA495&lt;&gt;"ACUMULA",IF(E495&gt;=AE495,IF(AND(D495="XVI - Activos virtuales (PSAV): cobro de contraprestación (comisión) por el servicio",COUNTIFS($C$6:$C$505,C495,$B$6:$B$505,"&gt;="&amp;INT(B495),$B$6:$B$505,"&lt;"&amp;(INT(B495)+1),$AU$6:$AU$505,1)&gt;0),"En el Aviso del inciso a) (R 31 Bis)","AVISO"),"—"),IF(M495&lt;&gt;"Sí","—",IF(AK495&gt;=AE495,IF(AK495=E495,"AVISO","AVISO (acumulado)"),"Acumulando")))))))</f>
        <v/>
      </c>
    </row>
    <row r="496" customFormat="false" ht="15" hidden="false" customHeight="false" outlineLevel="0" collapsed="false">
      <c r="A496" s="9" t="str">
        <f aca="false">IF(E496="","",ROW()-5)</f>
        <v/>
      </c>
      <c r="B496" s="20"/>
      <c r="C496" s="21"/>
      <c r="D496" s="21"/>
      <c r="E496" s="22"/>
      <c r="F496" s="22"/>
      <c r="G496" s="21"/>
      <c r="H496" s="21"/>
      <c r="I496" s="9" t="str">
        <f aca="false">IF(C496="","",IFERROR(INDEX(CLIENTES!$B$6:$B$305,MATCH(C496,CLIENTES!$A$6:$A$305,0)),"⚠ ID no registrado"))</f>
        <v/>
      </c>
      <c r="J496" s="9" t="str">
        <f aca="false">IF(C496="","",IFERROR(INDEX(CLIENTES!$Z$6:$Z$305,MATCH(C496,CLIENTES!$A$6:$A$305,0)),""))</f>
        <v/>
      </c>
      <c r="K496" s="9" t="str">
        <f aca="false">IF(E496="","",IF(AB496="Siempre","Sí",IF(ISNUMBER(AC496),IF(E496&gt;=AC496,"Sí",IF(AW496&gt;=AC496,"Sí (serie 24 h)","No")),"")))</f>
        <v/>
      </c>
      <c r="L496" s="9" t="str">
        <f aca="false">IF(E496="","",AA496)</f>
        <v/>
      </c>
      <c r="M496" s="9" t="str">
        <f aca="false">IF(E496="","",IF(AA496&lt;&gt;"ACUMULA","No aplica",IF(LEFT(K496,2)="Sí","Sí","No")))</f>
        <v/>
      </c>
      <c r="N496" s="23" t="str">
        <f aca="false">IF(M496="Sí",AJ496,"")</f>
        <v/>
      </c>
      <c r="O496" s="24" t="str">
        <f aca="false">IF(M496="Sí",AK496,"")</f>
        <v/>
      </c>
      <c r="P496" s="25" t="str">
        <f aca="false">IF(AND(LEFT(D496,6)="XIV - ",LEFT(AX496,5)="AVISO"),"Pedimento (R 16): no va al SPPLD",AX496)</f>
        <v/>
      </c>
      <c r="Q496" s="23" t="str">
        <f aca="false">IF(LEFT(P496,5)="AVISO",IF(ISNUMBER(B496),DATE(YEAR(B496),MONTH(B496)+1,17),"Falta fecha"),"")</f>
        <v/>
      </c>
      <c r="R496" s="9" t="str">
        <f aca="false">IF(OR(F496="",F496=0),"",IF(ISNUMBER(AG496),IF(F496&gt;=AG496,"PROHIBIDO","Dentro del límite"),"No aplica"))</f>
        <v/>
      </c>
      <c r="S496" s="26" t="str">
        <f aca="false">IF(E496="","",MID(IF(AQ496=1," · Excede el perfil declarado","")&amp;IF(H496="Sí"," · Paga un tercero","")&amp;IF(J496="Alto"," · Cliente de riesgo alto: DDR (RCG 23 Ter 3 y 4)","")&amp;IF(AND(AS496&lt;&gt;"",AS496&lt;&gt;"No",AS496&lt;&gt;0)," · PEP","")&amp;IF(R496="PROHIBIDO"," · Efectivo prohibido: no lo recibas (Art. 32)","")&amp;IF(AR496=1," · ⚠ Fecha fuera de orden","")&amp;IF(LEFT(I496,1)="⚠"," · ⚠ Cliente no registrado","")&amp;IF(D496=""," · ⚠ Falta la actividad","")&amp;IF(AND(LEFT(P496,5)="AVISO",W496="")," · Captura la cifra total con IVA para el Aviso","")&amp;IF(AND(ISNUMBER(W496),W496&lt;E496)," · ⚠ La cifra con IVA es menor que el monto sin IVA",""),4,400))</f>
        <v/>
      </c>
      <c r="T496" s="21"/>
      <c r="U496" s="20"/>
      <c r="V496" s="9" t="str">
        <f aca="false">IF(LEFT(P496,5)&lt;&gt;"AVISO","",IF(T496="Presentado",IF(AND(ISNUMBER(U496),ISNUMBER(Q496),U496&gt;Q496),"Presentado tarde","Presentado"),IF(NOT(ISNUMBER(Q496)),"Falta fecha",IF(Q496&lt;CONFIG!$B$6,"VENCIDO","Vence en "&amp;(Q496-CONFIG!$B$6)&amp;" días"))))</f>
        <v/>
      </c>
      <c r="W496" s="22"/>
      <c r="X496" s="21"/>
      <c r="AA496" s="0" t="str">
        <f aca="false">IF(AM496="","",INDEX(CATÁLOGO!$D$5:$D$39,AM496))</f>
        <v/>
      </c>
      <c r="AB496" s="0" t="str">
        <f aca="false">IF(AM496="","",INDEX(CATÁLOGO!$E$5:$E$39,AM496))</f>
        <v/>
      </c>
      <c r="AC496" s="0" t="str">
        <f aca="false">IF(AB496="","",IF(ISNUMBER(AB496),AB496*AV496,AB496))</f>
        <v/>
      </c>
      <c r="AD496" s="0" t="str">
        <f aca="false">IF(AM496="","",INDEX(CATÁLOGO!$F$5:$F$39,AM496))</f>
        <v/>
      </c>
      <c r="AE496" s="0" t="str">
        <f aca="false">IF(AD496="","",IF(ISNUMBER(AD496),AD496*AV496,AD496))</f>
        <v/>
      </c>
      <c r="AF496" s="0" t="str">
        <f aca="false">IF(AM496="","",INDEX(CATÁLOGO!$G$5:$G$39,AM496))</f>
        <v/>
      </c>
      <c r="AG496" s="0" t="str">
        <f aca="false">IF(AF496="","",IF(ISNUMBER(AF496),AF496*AV496,AF496))</f>
        <v/>
      </c>
      <c r="AH496" s="0" t="str">
        <f aca="false">IF(E496="","",C496&amp;"|"&amp;D496)</f>
        <v/>
      </c>
      <c r="AI496" s="27" t="n">
        <f aca="false">IF(M496&lt;&gt;"Sí",0,SUMPRODUCT(MAX(($AH$5:AH495=AH496)*($M$5:M495="Sí")*ROW($AH$5:AH495))))</f>
        <v>0</v>
      </c>
      <c r="AJ496" s="0" t="str">
        <f aca="false">IF(M496&lt;&gt;"Sí","",IF(AL496=1,B496,INDEX($AJ:$AJ,AI496)))</f>
        <v/>
      </c>
      <c r="AK496" s="0" t="str">
        <f aca="false">IF(M496&lt;&gt;"Sí","",IF(AL496=1,E496,INDEX($AK:$AK,AI496)+E496))</f>
        <v/>
      </c>
      <c r="AL496" s="0" t="str">
        <f aca="false">IF(M496&lt;&gt;"Sí","",IF(AI496=0,1,IF(INDEX($AN:$AN,AI496)=0,1,IF(B496&gt;=EDATE(INDEX($AJ:$AJ,AI496),6),1,0))))</f>
        <v/>
      </c>
      <c r="AM496" s="0" t="str">
        <f aca="false">IF(D496="","",IFERROR(MATCH(D496,CATÁLOGO!$C$5:$C$39,0),""))</f>
        <v/>
      </c>
      <c r="AN496" s="0" t="str">
        <f aca="false">IF(M496&lt;&gt;"Sí","",IF(AND(ISNUMBER(AE496),AK496&gt;=AE496),0,1))</f>
        <v/>
      </c>
      <c r="AO496" s="0" t="str">
        <f aca="false">IF(OR(E496="",C496="",NOT(ISNUMBER(B496))),"",SUMIFS($E$6:$E$505,$C$6:$C$505,C496,$B$6:$B$505,"&gt;="&amp;DATE(YEAR(B496),MONTH(B496),1),$B$6:$B$505,"&lt;"&amp;DATE(YEAR(B496),MONTH(B496)+1,1)))</f>
        <v/>
      </c>
      <c r="AP496" s="0" t="str">
        <f aca="false">IF(C496="","",IFERROR(INDEX(CLIENTES!$M$6:$M$305,MATCH(C496,CLIENTES!$A$6:$A$305,0)),""))</f>
        <v/>
      </c>
      <c r="AQ496" s="27" t="n">
        <f aca="false">IF(AND(ISNUMBER(AO496),ISNUMBER(AP496)),IF(AND(AP496&gt;0,AO496&gt;AP496),1,0),0)</f>
        <v>0</v>
      </c>
      <c r="AR496" s="27" t="n">
        <f aca="false">IF(NOT(ISNUMBER(B496)),0,IF(B496&lt;MAX($B$5:B495),1,0))</f>
        <v>0</v>
      </c>
      <c r="AS496" s="0" t="str">
        <f aca="false">IF(C496="","",IFERROR(INDEX(CLIENTES!$H$6:$H$305,MATCH(C496,CLIENTES!$A$6:$A$305,0)),""))</f>
        <v/>
      </c>
      <c r="AT496" s="0" t="str">
        <f aca="false">IF(AND(LEFT(P496,5)="AVISO",T496&lt;&gt;"Presentado",ISNUMBER(Q496)),Q496,"")</f>
        <v/>
      </c>
      <c r="AU496" s="27" t="n">
        <f aca="false">IF(AND(D496="XVI - Activos virtuales (PSAV): operación de intercambio/transferencia",M496="Sí",ISNUMBER(AE496)),IF(AK496&gt;=AE496,1,0),0)</f>
        <v>0</v>
      </c>
      <c r="AV496" s="30" t="n">
        <f aca="false">IF(NOT(ISNUMBER(B496)),CONFIG!$B$4,IFERROR(INDEX(CONFIG!$I$5:$I$14,MATCH(IF(MONTH(B496)=1,YEAR(B496)-1,YEAR(B496)),CONFIG!$H$5:$H$14,0)),CONFIG!$B$4))</f>
        <v>117.31</v>
      </c>
      <c r="AW496" s="27" t="n">
        <f aca="false">IF(AND(LEFT(D496,4)="I - ",ISNUMBER(B496),C496&lt;&gt;""),SUMIFS($E$6:$E$505,$C$6:$C$505,C496,$D$6:$D$505,D496,$B$6:$B$505,"&gt;"&amp;(B496-1),$B$6:$B$505,"&lt;="&amp;B496),0)</f>
        <v>0</v>
      </c>
      <c r="AX496" s="0" t="str">
        <f aca="false">IF(E496="","",IF(AD496="Siempre","AVISO (siempre)",IF(AD496="No aplica","Sin Aviso (sólo preparas: Ley 17 XI)",IF(NOT(ISNUMBER(AE496)),"",IF(AA496&lt;&gt;"ACUMULA",IF(E496&gt;=AE496,IF(AND(D496="XVI - Activos virtuales (PSAV): cobro de contraprestación (comisión) por el servicio",COUNTIFS($C$6:$C$505,C496,$B$6:$B$505,"&gt;="&amp;INT(B496),$B$6:$B$505,"&lt;"&amp;(INT(B496)+1),$AU$6:$AU$505,1)&gt;0),"En el Aviso del inciso a) (R 31 Bis)","AVISO"),"—"),IF(M496&lt;&gt;"Sí","—",IF(AK496&gt;=AE496,IF(AK496=E496,"AVISO","AVISO (acumulado)"),"Acumulando")))))))</f>
        <v/>
      </c>
    </row>
    <row r="497" customFormat="false" ht="15" hidden="false" customHeight="false" outlineLevel="0" collapsed="false">
      <c r="A497" s="9" t="str">
        <f aca="false">IF(E497="","",ROW()-5)</f>
        <v/>
      </c>
      <c r="B497" s="20"/>
      <c r="C497" s="21"/>
      <c r="D497" s="21"/>
      <c r="E497" s="22"/>
      <c r="F497" s="22"/>
      <c r="G497" s="21"/>
      <c r="H497" s="21"/>
      <c r="I497" s="9" t="str">
        <f aca="false">IF(C497="","",IFERROR(INDEX(CLIENTES!$B$6:$B$305,MATCH(C497,CLIENTES!$A$6:$A$305,0)),"⚠ ID no registrado"))</f>
        <v/>
      </c>
      <c r="J497" s="9" t="str">
        <f aca="false">IF(C497="","",IFERROR(INDEX(CLIENTES!$Z$6:$Z$305,MATCH(C497,CLIENTES!$A$6:$A$305,0)),""))</f>
        <v/>
      </c>
      <c r="K497" s="9" t="str">
        <f aca="false">IF(E497="","",IF(AB497="Siempre","Sí",IF(ISNUMBER(AC497),IF(E497&gt;=AC497,"Sí",IF(AW497&gt;=AC497,"Sí (serie 24 h)","No")),"")))</f>
        <v/>
      </c>
      <c r="L497" s="9" t="str">
        <f aca="false">IF(E497="","",AA497)</f>
        <v/>
      </c>
      <c r="M497" s="9" t="str">
        <f aca="false">IF(E497="","",IF(AA497&lt;&gt;"ACUMULA","No aplica",IF(LEFT(K497,2)="Sí","Sí","No")))</f>
        <v/>
      </c>
      <c r="N497" s="23" t="str">
        <f aca="false">IF(M497="Sí",AJ497,"")</f>
        <v/>
      </c>
      <c r="O497" s="24" t="str">
        <f aca="false">IF(M497="Sí",AK497,"")</f>
        <v/>
      </c>
      <c r="P497" s="25" t="str">
        <f aca="false">IF(AND(LEFT(D497,6)="XIV - ",LEFT(AX497,5)="AVISO"),"Pedimento (R 16): no va al SPPLD",AX497)</f>
        <v/>
      </c>
      <c r="Q497" s="23" t="str">
        <f aca="false">IF(LEFT(P497,5)="AVISO",IF(ISNUMBER(B497),DATE(YEAR(B497),MONTH(B497)+1,17),"Falta fecha"),"")</f>
        <v/>
      </c>
      <c r="R497" s="9" t="str">
        <f aca="false">IF(OR(F497="",F497=0),"",IF(ISNUMBER(AG497),IF(F497&gt;=AG497,"PROHIBIDO","Dentro del límite"),"No aplica"))</f>
        <v/>
      </c>
      <c r="S497" s="26" t="str">
        <f aca="false">IF(E497="","",MID(IF(AQ497=1," · Excede el perfil declarado","")&amp;IF(H497="Sí"," · Paga un tercero","")&amp;IF(J497="Alto"," · Cliente de riesgo alto: DDR (RCG 23 Ter 3 y 4)","")&amp;IF(AND(AS497&lt;&gt;"",AS497&lt;&gt;"No",AS497&lt;&gt;0)," · PEP","")&amp;IF(R497="PROHIBIDO"," · Efectivo prohibido: no lo recibas (Art. 32)","")&amp;IF(AR497=1," · ⚠ Fecha fuera de orden","")&amp;IF(LEFT(I497,1)="⚠"," · ⚠ Cliente no registrado","")&amp;IF(D497=""," · ⚠ Falta la actividad","")&amp;IF(AND(LEFT(P497,5)="AVISO",W497="")," · Captura la cifra total con IVA para el Aviso","")&amp;IF(AND(ISNUMBER(W497),W497&lt;E497)," · ⚠ La cifra con IVA es menor que el monto sin IVA",""),4,400))</f>
        <v/>
      </c>
      <c r="T497" s="21"/>
      <c r="U497" s="20"/>
      <c r="V497" s="9" t="str">
        <f aca="false">IF(LEFT(P497,5)&lt;&gt;"AVISO","",IF(T497="Presentado",IF(AND(ISNUMBER(U497),ISNUMBER(Q497),U497&gt;Q497),"Presentado tarde","Presentado"),IF(NOT(ISNUMBER(Q497)),"Falta fecha",IF(Q497&lt;CONFIG!$B$6,"VENCIDO","Vence en "&amp;(Q497-CONFIG!$B$6)&amp;" días"))))</f>
        <v/>
      </c>
      <c r="W497" s="22"/>
      <c r="X497" s="21"/>
      <c r="AA497" s="0" t="str">
        <f aca="false">IF(AM497="","",INDEX(CATÁLOGO!$D$5:$D$39,AM497))</f>
        <v/>
      </c>
      <c r="AB497" s="0" t="str">
        <f aca="false">IF(AM497="","",INDEX(CATÁLOGO!$E$5:$E$39,AM497))</f>
        <v/>
      </c>
      <c r="AC497" s="0" t="str">
        <f aca="false">IF(AB497="","",IF(ISNUMBER(AB497),AB497*AV497,AB497))</f>
        <v/>
      </c>
      <c r="AD497" s="0" t="str">
        <f aca="false">IF(AM497="","",INDEX(CATÁLOGO!$F$5:$F$39,AM497))</f>
        <v/>
      </c>
      <c r="AE497" s="0" t="str">
        <f aca="false">IF(AD497="","",IF(ISNUMBER(AD497),AD497*AV497,AD497))</f>
        <v/>
      </c>
      <c r="AF497" s="0" t="str">
        <f aca="false">IF(AM497="","",INDEX(CATÁLOGO!$G$5:$G$39,AM497))</f>
        <v/>
      </c>
      <c r="AG497" s="0" t="str">
        <f aca="false">IF(AF497="","",IF(ISNUMBER(AF497),AF497*AV497,AF497))</f>
        <v/>
      </c>
      <c r="AH497" s="0" t="str">
        <f aca="false">IF(E497="","",C497&amp;"|"&amp;D497)</f>
        <v/>
      </c>
      <c r="AI497" s="27" t="n">
        <f aca="false">IF(M497&lt;&gt;"Sí",0,SUMPRODUCT(MAX(($AH$5:AH496=AH497)*($M$5:M496="Sí")*ROW($AH$5:AH496))))</f>
        <v>0</v>
      </c>
      <c r="AJ497" s="0" t="str">
        <f aca="false">IF(M497&lt;&gt;"Sí","",IF(AL497=1,B497,INDEX($AJ:$AJ,AI497)))</f>
        <v/>
      </c>
      <c r="AK497" s="0" t="str">
        <f aca="false">IF(M497&lt;&gt;"Sí","",IF(AL497=1,E497,INDEX($AK:$AK,AI497)+E497))</f>
        <v/>
      </c>
      <c r="AL497" s="0" t="str">
        <f aca="false">IF(M497&lt;&gt;"Sí","",IF(AI497=0,1,IF(INDEX($AN:$AN,AI497)=0,1,IF(B497&gt;=EDATE(INDEX($AJ:$AJ,AI497),6),1,0))))</f>
        <v/>
      </c>
      <c r="AM497" s="0" t="str">
        <f aca="false">IF(D497="","",IFERROR(MATCH(D497,CATÁLOGO!$C$5:$C$39,0),""))</f>
        <v/>
      </c>
      <c r="AN497" s="0" t="str">
        <f aca="false">IF(M497&lt;&gt;"Sí","",IF(AND(ISNUMBER(AE497),AK497&gt;=AE497),0,1))</f>
        <v/>
      </c>
      <c r="AO497" s="0" t="str">
        <f aca="false">IF(OR(E497="",C497="",NOT(ISNUMBER(B497))),"",SUMIFS($E$6:$E$505,$C$6:$C$505,C497,$B$6:$B$505,"&gt;="&amp;DATE(YEAR(B497),MONTH(B497),1),$B$6:$B$505,"&lt;"&amp;DATE(YEAR(B497),MONTH(B497)+1,1)))</f>
        <v/>
      </c>
      <c r="AP497" s="0" t="str">
        <f aca="false">IF(C497="","",IFERROR(INDEX(CLIENTES!$M$6:$M$305,MATCH(C497,CLIENTES!$A$6:$A$305,0)),""))</f>
        <v/>
      </c>
      <c r="AQ497" s="27" t="n">
        <f aca="false">IF(AND(ISNUMBER(AO497),ISNUMBER(AP497)),IF(AND(AP497&gt;0,AO497&gt;AP497),1,0),0)</f>
        <v>0</v>
      </c>
      <c r="AR497" s="27" t="n">
        <f aca="false">IF(NOT(ISNUMBER(B497)),0,IF(B497&lt;MAX($B$5:B496),1,0))</f>
        <v>0</v>
      </c>
      <c r="AS497" s="0" t="str">
        <f aca="false">IF(C497="","",IFERROR(INDEX(CLIENTES!$H$6:$H$305,MATCH(C497,CLIENTES!$A$6:$A$305,0)),""))</f>
        <v/>
      </c>
      <c r="AT497" s="0" t="str">
        <f aca="false">IF(AND(LEFT(P497,5)="AVISO",T497&lt;&gt;"Presentado",ISNUMBER(Q497)),Q497,"")</f>
        <v/>
      </c>
      <c r="AU497" s="27" t="n">
        <f aca="false">IF(AND(D497="XVI - Activos virtuales (PSAV): operación de intercambio/transferencia",M497="Sí",ISNUMBER(AE497)),IF(AK497&gt;=AE497,1,0),0)</f>
        <v>0</v>
      </c>
      <c r="AV497" s="30" t="n">
        <f aca="false">IF(NOT(ISNUMBER(B497)),CONFIG!$B$4,IFERROR(INDEX(CONFIG!$I$5:$I$14,MATCH(IF(MONTH(B497)=1,YEAR(B497)-1,YEAR(B497)),CONFIG!$H$5:$H$14,0)),CONFIG!$B$4))</f>
        <v>117.31</v>
      </c>
      <c r="AW497" s="27" t="n">
        <f aca="false">IF(AND(LEFT(D497,4)="I - ",ISNUMBER(B497),C497&lt;&gt;""),SUMIFS($E$6:$E$505,$C$6:$C$505,C497,$D$6:$D$505,D497,$B$6:$B$505,"&gt;"&amp;(B497-1),$B$6:$B$505,"&lt;="&amp;B497),0)</f>
        <v>0</v>
      </c>
      <c r="AX497" s="0" t="str">
        <f aca="false">IF(E497="","",IF(AD497="Siempre","AVISO (siempre)",IF(AD497="No aplica","Sin Aviso (sólo preparas: Ley 17 XI)",IF(NOT(ISNUMBER(AE497)),"",IF(AA497&lt;&gt;"ACUMULA",IF(E497&gt;=AE497,IF(AND(D497="XVI - Activos virtuales (PSAV): cobro de contraprestación (comisión) por el servicio",COUNTIFS($C$6:$C$505,C497,$B$6:$B$505,"&gt;="&amp;INT(B497),$B$6:$B$505,"&lt;"&amp;(INT(B497)+1),$AU$6:$AU$505,1)&gt;0),"En el Aviso del inciso a) (R 31 Bis)","AVISO"),"—"),IF(M497&lt;&gt;"Sí","—",IF(AK497&gt;=AE497,IF(AK497=E497,"AVISO","AVISO (acumulado)"),"Acumulando")))))))</f>
        <v/>
      </c>
    </row>
    <row r="498" customFormat="false" ht="15" hidden="false" customHeight="false" outlineLevel="0" collapsed="false">
      <c r="A498" s="9" t="str">
        <f aca="false">IF(E498="","",ROW()-5)</f>
        <v/>
      </c>
      <c r="B498" s="20"/>
      <c r="C498" s="21"/>
      <c r="D498" s="21"/>
      <c r="E498" s="22"/>
      <c r="F498" s="22"/>
      <c r="G498" s="21"/>
      <c r="H498" s="21"/>
      <c r="I498" s="9" t="str">
        <f aca="false">IF(C498="","",IFERROR(INDEX(CLIENTES!$B$6:$B$305,MATCH(C498,CLIENTES!$A$6:$A$305,0)),"⚠ ID no registrado"))</f>
        <v/>
      </c>
      <c r="J498" s="9" t="str">
        <f aca="false">IF(C498="","",IFERROR(INDEX(CLIENTES!$Z$6:$Z$305,MATCH(C498,CLIENTES!$A$6:$A$305,0)),""))</f>
        <v/>
      </c>
      <c r="K498" s="9" t="str">
        <f aca="false">IF(E498="","",IF(AB498="Siempre","Sí",IF(ISNUMBER(AC498),IF(E498&gt;=AC498,"Sí",IF(AW498&gt;=AC498,"Sí (serie 24 h)","No")),"")))</f>
        <v/>
      </c>
      <c r="L498" s="9" t="str">
        <f aca="false">IF(E498="","",AA498)</f>
        <v/>
      </c>
      <c r="M498" s="9" t="str">
        <f aca="false">IF(E498="","",IF(AA498&lt;&gt;"ACUMULA","No aplica",IF(LEFT(K498,2)="Sí","Sí","No")))</f>
        <v/>
      </c>
      <c r="N498" s="23" t="str">
        <f aca="false">IF(M498="Sí",AJ498,"")</f>
        <v/>
      </c>
      <c r="O498" s="24" t="str">
        <f aca="false">IF(M498="Sí",AK498,"")</f>
        <v/>
      </c>
      <c r="P498" s="25" t="str">
        <f aca="false">IF(AND(LEFT(D498,6)="XIV - ",LEFT(AX498,5)="AVISO"),"Pedimento (R 16): no va al SPPLD",AX498)</f>
        <v/>
      </c>
      <c r="Q498" s="23" t="str">
        <f aca="false">IF(LEFT(P498,5)="AVISO",IF(ISNUMBER(B498),DATE(YEAR(B498),MONTH(B498)+1,17),"Falta fecha"),"")</f>
        <v/>
      </c>
      <c r="R498" s="9" t="str">
        <f aca="false">IF(OR(F498="",F498=0),"",IF(ISNUMBER(AG498),IF(F498&gt;=AG498,"PROHIBIDO","Dentro del límite"),"No aplica"))</f>
        <v/>
      </c>
      <c r="S498" s="26" t="str">
        <f aca="false">IF(E498="","",MID(IF(AQ498=1," · Excede el perfil declarado","")&amp;IF(H498="Sí"," · Paga un tercero","")&amp;IF(J498="Alto"," · Cliente de riesgo alto: DDR (RCG 23 Ter 3 y 4)","")&amp;IF(AND(AS498&lt;&gt;"",AS498&lt;&gt;"No",AS498&lt;&gt;0)," · PEP","")&amp;IF(R498="PROHIBIDO"," · Efectivo prohibido: no lo recibas (Art. 32)","")&amp;IF(AR498=1," · ⚠ Fecha fuera de orden","")&amp;IF(LEFT(I498,1)="⚠"," · ⚠ Cliente no registrado","")&amp;IF(D498=""," · ⚠ Falta la actividad","")&amp;IF(AND(LEFT(P498,5)="AVISO",W498="")," · Captura la cifra total con IVA para el Aviso","")&amp;IF(AND(ISNUMBER(W498),W498&lt;E498)," · ⚠ La cifra con IVA es menor que el monto sin IVA",""),4,400))</f>
        <v/>
      </c>
      <c r="T498" s="21"/>
      <c r="U498" s="20"/>
      <c r="V498" s="9" t="str">
        <f aca="false">IF(LEFT(P498,5)&lt;&gt;"AVISO","",IF(T498="Presentado",IF(AND(ISNUMBER(U498),ISNUMBER(Q498),U498&gt;Q498),"Presentado tarde","Presentado"),IF(NOT(ISNUMBER(Q498)),"Falta fecha",IF(Q498&lt;CONFIG!$B$6,"VENCIDO","Vence en "&amp;(Q498-CONFIG!$B$6)&amp;" días"))))</f>
        <v/>
      </c>
      <c r="W498" s="22"/>
      <c r="X498" s="21"/>
      <c r="AA498" s="0" t="str">
        <f aca="false">IF(AM498="","",INDEX(CATÁLOGO!$D$5:$D$39,AM498))</f>
        <v/>
      </c>
      <c r="AB498" s="0" t="str">
        <f aca="false">IF(AM498="","",INDEX(CATÁLOGO!$E$5:$E$39,AM498))</f>
        <v/>
      </c>
      <c r="AC498" s="0" t="str">
        <f aca="false">IF(AB498="","",IF(ISNUMBER(AB498),AB498*AV498,AB498))</f>
        <v/>
      </c>
      <c r="AD498" s="0" t="str">
        <f aca="false">IF(AM498="","",INDEX(CATÁLOGO!$F$5:$F$39,AM498))</f>
        <v/>
      </c>
      <c r="AE498" s="0" t="str">
        <f aca="false">IF(AD498="","",IF(ISNUMBER(AD498),AD498*AV498,AD498))</f>
        <v/>
      </c>
      <c r="AF498" s="0" t="str">
        <f aca="false">IF(AM498="","",INDEX(CATÁLOGO!$G$5:$G$39,AM498))</f>
        <v/>
      </c>
      <c r="AG498" s="0" t="str">
        <f aca="false">IF(AF498="","",IF(ISNUMBER(AF498),AF498*AV498,AF498))</f>
        <v/>
      </c>
      <c r="AH498" s="0" t="str">
        <f aca="false">IF(E498="","",C498&amp;"|"&amp;D498)</f>
        <v/>
      </c>
      <c r="AI498" s="27" t="n">
        <f aca="false">IF(M498&lt;&gt;"Sí",0,SUMPRODUCT(MAX(($AH$5:AH497=AH498)*($M$5:M497="Sí")*ROW($AH$5:AH497))))</f>
        <v>0</v>
      </c>
      <c r="AJ498" s="0" t="str">
        <f aca="false">IF(M498&lt;&gt;"Sí","",IF(AL498=1,B498,INDEX($AJ:$AJ,AI498)))</f>
        <v/>
      </c>
      <c r="AK498" s="0" t="str">
        <f aca="false">IF(M498&lt;&gt;"Sí","",IF(AL498=1,E498,INDEX($AK:$AK,AI498)+E498))</f>
        <v/>
      </c>
      <c r="AL498" s="0" t="str">
        <f aca="false">IF(M498&lt;&gt;"Sí","",IF(AI498=0,1,IF(INDEX($AN:$AN,AI498)=0,1,IF(B498&gt;=EDATE(INDEX($AJ:$AJ,AI498),6),1,0))))</f>
        <v/>
      </c>
      <c r="AM498" s="0" t="str">
        <f aca="false">IF(D498="","",IFERROR(MATCH(D498,CATÁLOGO!$C$5:$C$39,0),""))</f>
        <v/>
      </c>
      <c r="AN498" s="0" t="str">
        <f aca="false">IF(M498&lt;&gt;"Sí","",IF(AND(ISNUMBER(AE498),AK498&gt;=AE498),0,1))</f>
        <v/>
      </c>
      <c r="AO498" s="0" t="str">
        <f aca="false">IF(OR(E498="",C498="",NOT(ISNUMBER(B498))),"",SUMIFS($E$6:$E$505,$C$6:$C$505,C498,$B$6:$B$505,"&gt;="&amp;DATE(YEAR(B498),MONTH(B498),1),$B$6:$B$505,"&lt;"&amp;DATE(YEAR(B498),MONTH(B498)+1,1)))</f>
        <v/>
      </c>
      <c r="AP498" s="0" t="str">
        <f aca="false">IF(C498="","",IFERROR(INDEX(CLIENTES!$M$6:$M$305,MATCH(C498,CLIENTES!$A$6:$A$305,0)),""))</f>
        <v/>
      </c>
      <c r="AQ498" s="27" t="n">
        <f aca="false">IF(AND(ISNUMBER(AO498),ISNUMBER(AP498)),IF(AND(AP498&gt;0,AO498&gt;AP498),1,0),0)</f>
        <v>0</v>
      </c>
      <c r="AR498" s="27" t="n">
        <f aca="false">IF(NOT(ISNUMBER(B498)),0,IF(B498&lt;MAX($B$5:B497),1,0))</f>
        <v>0</v>
      </c>
      <c r="AS498" s="0" t="str">
        <f aca="false">IF(C498="","",IFERROR(INDEX(CLIENTES!$H$6:$H$305,MATCH(C498,CLIENTES!$A$6:$A$305,0)),""))</f>
        <v/>
      </c>
      <c r="AT498" s="0" t="str">
        <f aca="false">IF(AND(LEFT(P498,5)="AVISO",T498&lt;&gt;"Presentado",ISNUMBER(Q498)),Q498,"")</f>
        <v/>
      </c>
      <c r="AU498" s="27" t="n">
        <f aca="false">IF(AND(D498="XVI - Activos virtuales (PSAV): operación de intercambio/transferencia",M498="Sí",ISNUMBER(AE498)),IF(AK498&gt;=AE498,1,0),0)</f>
        <v>0</v>
      </c>
      <c r="AV498" s="30" t="n">
        <f aca="false">IF(NOT(ISNUMBER(B498)),CONFIG!$B$4,IFERROR(INDEX(CONFIG!$I$5:$I$14,MATCH(IF(MONTH(B498)=1,YEAR(B498)-1,YEAR(B498)),CONFIG!$H$5:$H$14,0)),CONFIG!$B$4))</f>
        <v>117.31</v>
      </c>
      <c r="AW498" s="27" t="n">
        <f aca="false">IF(AND(LEFT(D498,4)="I - ",ISNUMBER(B498),C498&lt;&gt;""),SUMIFS($E$6:$E$505,$C$6:$C$505,C498,$D$6:$D$505,D498,$B$6:$B$505,"&gt;"&amp;(B498-1),$B$6:$B$505,"&lt;="&amp;B498),0)</f>
        <v>0</v>
      </c>
      <c r="AX498" s="0" t="str">
        <f aca="false">IF(E498="","",IF(AD498="Siempre","AVISO (siempre)",IF(AD498="No aplica","Sin Aviso (sólo preparas: Ley 17 XI)",IF(NOT(ISNUMBER(AE498)),"",IF(AA498&lt;&gt;"ACUMULA",IF(E498&gt;=AE498,IF(AND(D498="XVI - Activos virtuales (PSAV): cobro de contraprestación (comisión) por el servicio",COUNTIFS($C$6:$C$505,C498,$B$6:$B$505,"&gt;="&amp;INT(B498),$B$6:$B$505,"&lt;"&amp;(INT(B498)+1),$AU$6:$AU$505,1)&gt;0),"En el Aviso del inciso a) (R 31 Bis)","AVISO"),"—"),IF(M498&lt;&gt;"Sí","—",IF(AK498&gt;=AE498,IF(AK498=E498,"AVISO","AVISO (acumulado)"),"Acumulando")))))))</f>
        <v/>
      </c>
    </row>
    <row r="499" customFormat="false" ht="15" hidden="false" customHeight="false" outlineLevel="0" collapsed="false">
      <c r="A499" s="9" t="str">
        <f aca="false">IF(E499="","",ROW()-5)</f>
        <v/>
      </c>
      <c r="B499" s="20"/>
      <c r="C499" s="21"/>
      <c r="D499" s="21"/>
      <c r="E499" s="22"/>
      <c r="F499" s="22"/>
      <c r="G499" s="21"/>
      <c r="H499" s="21"/>
      <c r="I499" s="9" t="str">
        <f aca="false">IF(C499="","",IFERROR(INDEX(CLIENTES!$B$6:$B$305,MATCH(C499,CLIENTES!$A$6:$A$305,0)),"⚠ ID no registrado"))</f>
        <v/>
      </c>
      <c r="J499" s="9" t="str">
        <f aca="false">IF(C499="","",IFERROR(INDEX(CLIENTES!$Z$6:$Z$305,MATCH(C499,CLIENTES!$A$6:$A$305,0)),""))</f>
        <v/>
      </c>
      <c r="K499" s="9" t="str">
        <f aca="false">IF(E499="","",IF(AB499="Siempre","Sí",IF(ISNUMBER(AC499),IF(E499&gt;=AC499,"Sí",IF(AW499&gt;=AC499,"Sí (serie 24 h)","No")),"")))</f>
        <v/>
      </c>
      <c r="L499" s="9" t="str">
        <f aca="false">IF(E499="","",AA499)</f>
        <v/>
      </c>
      <c r="M499" s="9" t="str">
        <f aca="false">IF(E499="","",IF(AA499&lt;&gt;"ACUMULA","No aplica",IF(LEFT(K499,2)="Sí","Sí","No")))</f>
        <v/>
      </c>
      <c r="N499" s="23" t="str">
        <f aca="false">IF(M499="Sí",AJ499,"")</f>
        <v/>
      </c>
      <c r="O499" s="24" t="str">
        <f aca="false">IF(M499="Sí",AK499,"")</f>
        <v/>
      </c>
      <c r="P499" s="25" t="str">
        <f aca="false">IF(AND(LEFT(D499,6)="XIV - ",LEFT(AX499,5)="AVISO"),"Pedimento (R 16): no va al SPPLD",AX499)</f>
        <v/>
      </c>
      <c r="Q499" s="23" t="str">
        <f aca="false">IF(LEFT(P499,5)="AVISO",IF(ISNUMBER(B499),DATE(YEAR(B499),MONTH(B499)+1,17),"Falta fecha"),"")</f>
        <v/>
      </c>
      <c r="R499" s="9" t="str">
        <f aca="false">IF(OR(F499="",F499=0),"",IF(ISNUMBER(AG499),IF(F499&gt;=AG499,"PROHIBIDO","Dentro del límite"),"No aplica"))</f>
        <v/>
      </c>
      <c r="S499" s="26" t="str">
        <f aca="false">IF(E499="","",MID(IF(AQ499=1," · Excede el perfil declarado","")&amp;IF(H499="Sí"," · Paga un tercero","")&amp;IF(J499="Alto"," · Cliente de riesgo alto: DDR (RCG 23 Ter 3 y 4)","")&amp;IF(AND(AS499&lt;&gt;"",AS499&lt;&gt;"No",AS499&lt;&gt;0)," · PEP","")&amp;IF(R499="PROHIBIDO"," · Efectivo prohibido: no lo recibas (Art. 32)","")&amp;IF(AR499=1," · ⚠ Fecha fuera de orden","")&amp;IF(LEFT(I499,1)="⚠"," · ⚠ Cliente no registrado","")&amp;IF(D499=""," · ⚠ Falta la actividad","")&amp;IF(AND(LEFT(P499,5)="AVISO",W499="")," · Captura la cifra total con IVA para el Aviso","")&amp;IF(AND(ISNUMBER(W499),W499&lt;E499)," · ⚠ La cifra con IVA es menor que el monto sin IVA",""),4,400))</f>
        <v/>
      </c>
      <c r="T499" s="21"/>
      <c r="U499" s="20"/>
      <c r="V499" s="9" t="str">
        <f aca="false">IF(LEFT(P499,5)&lt;&gt;"AVISO","",IF(T499="Presentado",IF(AND(ISNUMBER(U499),ISNUMBER(Q499),U499&gt;Q499),"Presentado tarde","Presentado"),IF(NOT(ISNUMBER(Q499)),"Falta fecha",IF(Q499&lt;CONFIG!$B$6,"VENCIDO","Vence en "&amp;(Q499-CONFIG!$B$6)&amp;" días"))))</f>
        <v/>
      </c>
      <c r="W499" s="22"/>
      <c r="X499" s="21"/>
      <c r="AA499" s="0" t="str">
        <f aca="false">IF(AM499="","",INDEX(CATÁLOGO!$D$5:$D$39,AM499))</f>
        <v/>
      </c>
      <c r="AB499" s="0" t="str">
        <f aca="false">IF(AM499="","",INDEX(CATÁLOGO!$E$5:$E$39,AM499))</f>
        <v/>
      </c>
      <c r="AC499" s="0" t="str">
        <f aca="false">IF(AB499="","",IF(ISNUMBER(AB499),AB499*AV499,AB499))</f>
        <v/>
      </c>
      <c r="AD499" s="0" t="str">
        <f aca="false">IF(AM499="","",INDEX(CATÁLOGO!$F$5:$F$39,AM499))</f>
        <v/>
      </c>
      <c r="AE499" s="0" t="str">
        <f aca="false">IF(AD499="","",IF(ISNUMBER(AD499),AD499*AV499,AD499))</f>
        <v/>
      </c>
      <c r="AF499" s="0" t="str">
        <f aca="false">IF(AM499="","",INDEX(CATÁLOGO!$G$5:$G$39,AM499))</f>
        <v/>
      </c>
      <c r="AG499" s="0" t="str">
        <f aca="false">IF(AF499="","",IF(ISNUMBER(AF499),AF499*AV499,AF499))</f>
        <v/>
      </c>
      <c r="AH499" s="0" t="str">
        <f aca="false">IF(E499="","",C499&amp;"|"&amp;D499)</f>
        <v/>
      </c>
      <c r="AI499" s="27" t="n">
        <f aca="false">IF(M499&lt;&gt;"Sí",0,SUMPRODUCT(MAX(($AH$5:AH498=AH499)*($M$5:M498="Sí")*ROW($AH$5:AH498))))</f>
        <v>0</v>
      </c>
      <c r="AJ499" s="0" t="str">
        <f aca="false">IF(M499&lt;&gt;"Sí","",IF(AL499=1,B499,INDEX($AJ:$AJ,AI499)))</f>
        <v/>
      </c>
      <c r="AK499" s="0" t="str">
        <f aca="false">IF(M499&lt;&gt;"Sí","",IF(AL499=1,E499,INDEX($AK:$AK,AI499)+E499))</f>
        <v/>
      </c>
      <c r="AL499" s="0" t="str">
        <f aca="false">IF(M499&lt;&gt;"Sí","",IF(AI499=0,1,IF(INDEX($AN:$AN,AI499)=0,1,IF(B499&gt;=EDATE(INDEX($AJ:$AJ,AI499),6),1,0))))</f>
        <v/>
      </c>
      <c r="AM499" s="0" t="str">
        <f aca="false">IF(D499="","",IFERROR(MATCH(D499,CATÁLOGO!$C$5:$C$39,0),""))</f>
        <v/>
      </c>
      <c r="AN499" s="0" t="str">
        <f aca="false">IF(M499&lt;&gt;"Sí","",IF(AND(ISNUMBER(AE499),AK499&gt;=AE499),0,1))</f>
        <v/>
      </c>
      <c r="AO499" s="0" t="str">
        <f aca="false">IF(OR(E499="",C499="",NOT(ISNUMBER(B499))),"",SUMIFS($E$6:$E$505,$C$6:$C$505,C499,$B$6:$B$505,"&gt;="&amp;DATE(YEAR(B499),MONTH(B499),1),$B$6:$B$505,"&lt;"&amp;DATE(YEAR(B499),MONTH(B499)+1,1)))</f>
        <v/>
      </c>
      <c r="AP499" s="0" t="str">
        <f aca="false">IF(C499="","",IFERROR(INDEX(CLIENTES!$M$6:$M$305,MATCH(C499,CLIENTES!$A$6:$A$305,0)),""))</f>
        <v/>
      </c>
      <c r="AQ499" s="27" t="n">
        <f aca="false">IF(AND(ISNUMBER(AO499),ISNUMBER(AP499)),IF(AND(AP499&gt;0,AO499&gt;AP499),1,0),0)</f>
        <v>0</v>
      </c>
      <c r="AR499" s="27" t="n">
        <f aca="false">IF(NOT(ISNUMBER(B499)),0,IF(B499&lt;MAX($B$5:B498),1,0))</f>
        <v>0</v>
      </c>
      <c r="AS499" s="0" t="str">
        <f aca="false">IF(C499="","",IFERROR(INDEX(CLIENTES!$H$6:$H$305,MATCH(C499,CLIENTES!$A$6:$A$305,0)),""))</f>
        <v/>
      </c>
      <c r="AT499" s="0" t="str">
        <f aca="false">IF(AND(LEFT(P499,5)="AVISO",T499&lt;&gt;"Presentado",ISNUMBER(Q499)),Q499,"")</f>
        <v/>
      </c>
      <c r="AU499" s="27" t="n">
        <f aca="false">IF(AND(D499="XVI - Activos virtuales (PSAV): operación de intercambio/transferencia",M499="Sí",ISNUMBER(AE499)),IF(AK499&gt;=AE499,1,0),0)</f>
        <v>0</v>
      </c>
      <c r="AV499" s="30" t="n">
        <f aca="false">IF(NOT(ISNUMBER(B499)),CONFIG!$B$4,IFERROR(INDEX(CONFIG!$I$5:$I$14,MATCH(IF(MONTH(B499)=1,YEAR(B499)-1,YEAR(B499)),CONFIG!$H$5:$H$14,0)),CONFIG!$B$4))</f>
        <v>117.31</v>
      </c>
      <c r="AW499" s="27" t="n">
        <f aca="false">IF(AND(LEFT(D499,4)="I - ",ISNUMBER(B499),C499&lt;&gt;""),SUMIFS($E$6:$E$505,$C$6:$C$505,C499,$D$6:$D$505,D499,$B$6:$B$505,"&gt;"&amp;(B499-1),$B$6:$B$505,"&lt;="&amp;B499),0)</f>
        <v>0</v>
      </c>
      <c r="AX499" s="0" t="str">
        <f aca="false">IF(E499="","",IF(AD499="Siempre","AVISO (siempre)",IF(AD499="No aplica","Sin Aviso (sólo preparas: Ley 17 XI)",IF(NOT(ISNUMBER(AE499)),"",IF(AA499&lt;&gt;"ACUMULA",IF(E499&gt;=AE499,IF(AND(D499="XVI - Activos virtuales (PSAV): cobro de contraprestación (comisión) por el servicio",COUNTIFS($C$6:$C$505,C499,$B$6:$B$505,"&gt;="&amp;INT(B499),$B$6:$B$505,"&lt;"&amp;(INT(B499)+1),$AU$6:$AU$505,1)&gt;0),"En el Aviso del inciso a) (R 31 Bis)","AVISO"),"—"),IF(M499&lt;&gt;"Sí","—",IF(AK499&gt;=AE499,IF(AK499=E499,"AVISO","AVISO (acumulado)"),"Acumulando")))))))</f>
        <v/>
      </c>
    </row>
    <row r="500" customFormat="false" ht="15" hidden="false" customHeight="false" outlineLevel="0" collapsed="false">
      <c r="A500" s="9" t="str">
        <f aca="false">IF(E500="","",ROW()-5)</f>
        <v/>
      </c>
      <c r="B500" s="20"/>
      <c r="C500" s="21"/>
      <c r="D500" s="21"/>
      <c r="E500" s="22"/>
      <c r="F500" s="22"/>
      <c r="G500" s="21"/>
      <c r="H500" s="21"/>
      <c r="I500" s="9" t="str">
        <f aca="false">IF(C500="","",IFERROR(INDEX(CLIENTES!$B$6:$B$305,MATCH(C500,CLIENTES!$A$6:$A$305,0)),"⚠ ID no registrado"))</f>
        <v/>
      </c>
      <c r="J500" s="9" t="str">
        <f aca="false">IF(C500="","",IFERROR(INDEX(CLIENTES!$Z$6:$Z$305,MATCH(C500,CLIENTES!$A$6:$A$305,0)),""))</f>
        <v/>
      </c>
      <c r="K500" s="9" t="str">
        <f aca="false">IF(E500="","",IF(AB500="Siempre","Sí",IF(ISNUMBER(AC500),IF(E500&gt;=AC500,"Sí",IF(AW500&gt;=AC500,"Sí (serie 24 h)","No")),"")))</f>
        <v/>
      </c>
      <c r="L500" s="9" t="str">
        <f aca="false">IF(E500="","",AA500)</f>
        <v/>
      </c>
      <c r="M500" s="9" t="str">
        <f aca="false">IF(E500="","",IF(AA500&lt;&gt;"ACUMULA","No aplica",IF(LEFT(K500,2)="Sí","Sí","No")))</f>
        <v/>
      </c>
      <c r="N500" s="23" t="str">
        <f aca="false">IF(M500="Sí",AJ500,"")</f>
        <v/>
      </c>
      <c r="O500" s="24" t="str">
        <f aca="false">IF(M500="Sí",AK500,"")</f>
        <v/>
      </c>
      <c r="P500" s="25" t="str">
        <f aca="false">IF(AND(LEFT(D500,6)="XIV - ",LEFT(AX500,5)="AVISO"),"Pedimento (R 16): no va al SPPLD",AX500)</f>
        <v/>
      </c>
      <c r="Q500" s="23" t="str">
        <f aca="false">IF(LEFT(P500,5)="AVISO",IF(ISNUMBER(B500),DATE(YEAR(B500),MONTH(B500)+1,17),"Falta fecha"),"")</f>
        <v/>
      </c>
      <c r="R500" s="9" t="str">
        <f aca="false">IF(OR(F500="",F500=0),"",IF(ISNUMBER(AG500),IF(F500&gt;=AG500,"PROHIBIDO","Dentro del límite"),"No aplica"))</f>
        <v/>
      </c>
      <c r="S500" s="26" t="str">
        <f aca="false">IF(E500="","",MID(IF(AQ500=1," · Excede el perfil declarado","")&amp;IF(H500="Sí"," · Paga un tercero","")&amp;IF(J500="Alto"," · Cliente de riesgo alto: DDR (RCG 23 Ter 3 y 4)","")&amp;IF(AND(AS500&lt;&gt;"",AS500&lt;&gt;"No",AS500&lt;&gt;0)," · PEP","")&amp;IF(R500="PROHIBIDO"," · Efectivo prohibido: no lo recibas (Art. 32)","")&amp;IF(AR500=1," · ⚠ Fecha fuera de orden","")&amp;IF(LEFT(I500,1)="⚠"," · ⚠ Cliente no registrado","")&amp;IF(D500=""," · ⚠ Falta la actividad","")&amp;IF(AND(LEFT(P500,5)="AVISO",W500="")," · Captura la cifra total con IVA para el Aviso","")&amp;IF(AND(ISNUMBER(W500),W500&lt;E500)," · ⚠ La cifra con IVA es menor que el monto sin IVA",""),4,400))</f>
        <v/>
      </c>
      <c r="T500" s="21"/>
      <c r="U500" s="20"/>
      <c r="V500" s="9" t="str">
        <f aca="false">IF(LEFT(P500,5)&lt;&gt;"AVISO","",IF(T500="Presentado",IF(AND(ISNUMBER(U500),ISNUMBER(Q500),U500&gt;Q500),"Presentado tarde","Presentado"),IF(NOT(ISNUMBER(Q500)),"Falta fecha",IF(Q500&lt;CONFIG!$B$6,"VENCIDO","Vence en "&amp;(Q500-CONFIG!$B$6)&amp;" días"))))</f>
        <v/>
      </c>
      <c r="W500" s="22"/>
      <c r="X500" s="21"/>
      <c r="AA500" s="0" t="str">
        <f aca="false">IF(AM500="","",INDEX(CATÁLOGO!$D$5:$D$39,AM500))</f>
        <v/>
      </c>
      <c r="AB500" s="0" t="str">
        <f aca="false">IF(AM500="","",INDEX(CATÁLOGO!$E$5:$E$39,AM500))</f>
        <v/>
      </c>
      <c r="AC500" s="0" t="str">
        <f aca="false">IF(AB500="","",IF(ISNUMBER(AB500),AB500*AV500,AB500))</f>
        <v/>
      </c>
      <c r="AD500" s="0" t="str">
        <f aca="false">IF(AM500="","",INDEX(CATÁLOGO!$F$5:$F$39,AM500))</f>
        <v/>
      </c>
      <c r="AE500" s="0" t="str">
        <f aca="false">IF(AD500="","",IF(ISNUMBER(AD500),AD500*AV500,AD500))</f>
        <v/>
      </c>
      <c r="AF500" s="0" t="str">
        <f aca="false">IF(AM500="","",INDEX(CATÁLOGO!$G$5:$G$39,AM500))</f>
        <v/>
      </c>
      <c r="AG500" s="0" t="str">
        <f aca="false">IF(AF500="","",IF(ISNUMBER(AF500),AF500*AV500,AF500))</f>
        <v/>
      </c>
      <c r="AH500" s="0" t="str">
        <f aca="false">IF(E500="","",C500&amp;"|"&amp;D500)</f>
        <v/>
      </c>
      <c r="AI500" s="27" t="n">
        <f aca="false">IF(M500&lt;&gt;"Sí",0,SUMPRODUCT(MAX(($AH$5:AH499=AH500)*($M$5:M499="Sí")*ROW($AH$5:AH499))))</f>
        <v>0</v>
      </c>
      <c r="AJ500" s="0" t="str">
        <f aca="false">IF(M500&lt;&gt;"Sí","",IF(AL500=1,B500,INDEX($AJ:$AJ,AI500)))</f>
        <v/>
      </c>
      <c r="AK500" s="0" t="str">
        <f aca="false">IF(M500&lt;&gt;"Sí","",IF(AL500=1,E500,INDEX($AK:$AK,AI500)+E500))</f>
        <v/>
      </c>
      <c r="AL500" s="0" t="str">
        <f aca="false">IF(M500&lt;&gt;"Sí","",IF(AI500=0,1,IF(INDEX($AN:$AN,AI500)=0,1,IF(B500&gt;=EDATE(INDEX($AJ:$AJ,AI500),6),1,0))))</f>
        <v/>
      </c>
      <c r="AM500" s="0" t="str">
        <f aca="false">IF(D500="","",IFERROR(MATCH(D500,CATÁLOGO!$C$5:$C$39,0),""))</f>
        <v/>
      </c>
      <c r="AN500" s="0" t="str">
        <f aca="false">IF(M500&lt;&gt;"Sí","",IF(AND(ISNUMBER(AE500),AK500&gt;=AE500),0,1))</f>
        <v/>
      </c>
      <c r="AO500" s="0" t="str">
        <f aca="false">IF(OR(E500="",C500="",NOT(ISNUMBER(B500))),"",SUMIFS($E$6:$E$505,$C$6:$C$505,C500,$B$6:$B$505,"&gt;="&amp;DATE(YEAR(B500),MONTH(B500),1),$B$6:$B$505,"&lt;"&amp;DATE(YEAR(B500),MONTH(B500)+1,1)))</f>
        <v/>
      </c>
      <c r="AP500" s="0" t="str">
        <f aca="false">IF(C500="","",IFERROR(INDEX(CLIENTES!$M$6:$M$305,MATCH(C500,CLIENTES!$A$6:$A$305,0)),""))</f>
        <v/>
      </c>
      <c r="AQ500" s="27" t="n">
        <f aca="false">IF(AND(ISNUMBER(AO500),ISNUMBER(AP500)),IF(AND(AP500&gt;0,AO500&gt;AP500),1,0),0)</f>
        <v>0</v>
      </c>
      <c r="AR500" s="27" t="n">
        <f aca="false">IF(NOT(ISNUMBER(B500)),0,IF(B500&lt;MAX($B$5:B499),1,0))</f>
        <v>0</v>
      </c>
      <c r="AS500" s="0" t="str">
        <f aca="false">IF(C500="","",IFERROR(INDEX(CLIENTES!$H$6:$H$305,MATCH(C500,CLIENTES!$A$6:$A$305,0)),""))</f>
        <v/>
      </c>
      <c r="AT500" s="0" t="str">
        <f aca="false">IF(AND(LEFT(P500,5)="AVISO",T500&lt;&gt;"Presentado",ISNUMBER(Q500)),Q500,"")</f>
        <v/>
      </c>
      <c r="AU500" s="27" t="n">
        <f aca="false">IF(AND(D500="XVI - Activos virtuales (PSAV): operación de intercambio/transferencia",M500="Sí",ISNUMBER(AE500)),IF(AK500&gt;=AE500,1,0),0)</f>
        <v>0</v>
      </c>
      <c r="AV500" s="30" t="n">
        <f aca="false">IF(NOT(ISNUMBER(B500)),CONFIG!$B$4,IFERROR(INDEX(CONFIG!$I$5:$I$14,MATCH(IF(MONTH(B500)=1,YEAR(B500)-1,YEAR(B500)),CONFIG!$H$5:$H$14,0)),CONFIG!$B$4))</f>
        <v>117.31</v>
      </c>
      <c r="AW500" s="27" t="n">
        <f aca="false">IF(AND(LEFT(D500,4)="I - ",ISNUMBER(B500),C500&lt;&gt;""),SUMIFS($E$6:$E$505,$C$6:$C$505,C500,$D$6:$D$505,D500,$B$6:$B$505,"&gt;"&amp;(B500-1),$B$6:$B$505,"&lt;="&amp;B500),0)</f>
        <v>0</v>
      </c>
      <c r="AX500" s="0" t="str">
        <f aca="false">IF(E500="","",IF(AD500="Siempre","AVISO (siempre)",IF(AD500="No aplica","Sin Aviso (sólo preparas: Ley 17 XI)",IF(NOT(ISNUMBER(AE500)),"",IF(AA500&lt;&gt;"ACUMULA",IF(E500&gt;=AE500,IF(AND(D500="XVI - Activos virtuales (PSAV): cobro de contraprestación (comisión) por el servicio",COUNTIFS($C$6:$C$505,C500,$B$6:$B$505,"&gt;="&amp;INT(B500),$B$6:$B$505,"&lt;"&amp;(INT(B500)+1),$AU$6:$AU$505,1)&gt;0),"En el Aviso del inciso a) (R 31 Bis)","AVISO"),"—"),IF(M500&lt;&gt;"Sí","—",IF(AK500&gt;=AE500,IF(AK500=E500,"AVISO","AVISO (acumulado)"),"Acumulando")))))))</f>
        <v/>
      </c>
    </row>
    <row r="501" customFormat="false" ht="15" hidden="false" customHeight="false" outlineLevel="0" collapsed="false">
      <c r="A501" s="9" t="str">
        <f aca="false">IF(E501="","",ROW()-5)</f>
        <v/>
      </c>
      <c r="B501" s="20"/>
      <c r="C501" s="21"/>
      <c r="D501" s="21"/>
      <c r="E501" s="22"/>
      <c r="F501" s="22"/>
      <c r="G501" s="21"/>
      <c r="H501" s="21"/>
      <c r="I501" s="9" t="str">
        <f aca="false">IF(C501="","",IFERROR(INDEX(CLIENTES!$B$6:$B$305,MATCH(C501,CLIENTES!$A$6:$A$305,0)),"⚠ ID no registrado"))</f>
        <v/>
      </c>
      <c r="J501" s="9" t="str">
        <f aca="false">IF(C501="","",IFERROR(INDEX(CLIENTES!$Z$6:$Z$305,MATCH(C501,CLIENTES!$A$6:$A$305,0)),""))</f>
        <v/>
      </c>
      <c r="K501" s="9" t="str">
        <f aca="false">IF(E501="","",IF(AB501="Siempre","Sí",IF(ISNUMBER(AC501),IF(E501&gt;=AC501,"Sí",IF(AW501&gt;=AC501,"Sí (serie 24 h)","No")),"")))</f>
        <v/>
      </c>
      <c r="L501" s="9" t="str">
        <f aca="false">IF(E501="","",AA501)</f>
        <v/>
      </c>
      <c r="M501" s="9" t="str">
        <f aca="false">IF(E501="","",IF(AA501&lt;&gt;"ACUMULA","No aplica",IF(LEFT(K501,2)="Sí","Sí","No")))</f>
        <v/>
      </c>
      <c r="N501" s="23" t="str">
        <f aca="false">IF(M501="Sí",AJ501,"")</f>
        <v/>
      </c>
      <c r="O501" s="24" t="str">
        <f aca="false">IF(M501="Sí",AK501,"")</f>
        <v/>
      </c>
      <c r="P501" s="25" t="str">
        <f aca="false">IF(AND(LEFT(D501,6)="XIV - ",LEFT(AX501,5)="AVISO"),"Pedimento (R 16): no va al SPPLD",AX501)</f>
        <v/>
      </c>
      <c r="Q501" s="23" t="str">
        <f aca="false">IF(LEFT(P501,5)="AVISO",IF(ISNUMBER(B501),DATE(YEAR(B501),MONTH(B501)+1,17),"Falta fecha"),"")</f>
        <v/>
      </c>
      <c r="R501" s="9" t="str">
        <f aca="false">IF(OR(F501="",F501=0),"",IF(ISNUMBER(AG501),IF(F501&gt;=AG501,"PROHIBIDO","Dentro del límite"),"No aplica"))</f>
        <v/>
      </c>
      <c r="S501" s="26" t="str">
        <f aca="false">IF(E501="","",MID(IF(AQ501=1," · Excede el perfil declarado","")&amp;IF(H501="Sí"," · Paga un tercero","")&amp;IF(J501="Alto"," · Cliente de riesgo alto: DDR (RCG 23 Ter 3 y 4)","")&amp;IF(AND(AS501&lt;&gt;"",AS501&lt;&gt;"No",AS501&lt;&gt;0)," · PEP","")&amp;IF(R501="PROHIBIDO"," · Efectivo prohibido: no lo recibas (Art. 32)","")&amp;IF(AR501=1," · ⚠ Fecha fuera de orden","")&amp;IF(LEFT(I501,1)="⚠"," · ⚠ Cliente no registrado","")&amp;IF(D501=""," · ⚠ Falta la actividad","")&amp;IF(AND(LEFT(P501,5)="AVISO",W501="")," · Captura la cifra total con IVA para el Aviso","")&amp;IF(AND(ISNUMBER(W501),W501&lt;E501)," · ⚠ La cifra con IVA es menor que el monto sin IVA",""),4,400))</f>
        <v/>
      </c>
      <c r="T501" s="21"/>
      <c r="U501" s="20"/>
      <c r="V501" s="9" t="str">
        <f aca="false">IF(LEFT(P501,5)&lt;&gt;"AVISO","",IF(T501="Presentado",IF(AND(ISNUMBER(U501),ISNUMBER(Q501),U501&gt;Q501),"Presentado tarde","Presentado"),IF(NOT(ISNUMBER(Q501)),"Falta fecha",IF(Q501&lt;CONFIG!$B$6,"VENCIDO","Vence en "&amp;(Q501-CONFIG!$B$6)&amp;" días"))))</f>
        <v/>
      </c>
      <c r="W501" s="22"/>
      <c r="X501" s="21"/>
      <c r="AA501" s="0" t="str">
        <f aca="false">IF(AM501="","",INDEX(CATÁLOGO!$D$5:$D$39,AM501))</f>
        <v/>
      </c>
      <c r="AB501" s="0" t="str">
        <f aca="false">IF(AM501="","",INDEX(CATÁLOGO!$E$5:$E$39,AM501))</f>
        <v/>
      </c>
      <c r="AC501" s="0" t="str">
        <f aca="false">IF(AB501="","",IF(ISNUMBER(AB501),AB501*AV501,AB501))</f>
        <v/>
      </c>
      <c r="AD501" s="0" t="str">
        <f aca="false">IF(AM501="","",INDEX(CATÁLOGO!$F$5:$F$39,AM501))</f>
        <v/>
      </c>
      <c r="AE501" s="0" t="str">
        <f aca="false">IF(AD501="","",IF(ISNUMBER(AD501),AD501*AV501,AD501))</f>
        <v/>
      </c>
      <c r="AF501" s="0" t="str">
        <f aca="false">IF(AM501="","",INDEX(CATÁLOGO!$G$5:$G$39,AM501))</f>
        <v/>
      </c>
      <c r="AG501" s="0" t="str">
        <f aca="false">IF(AF501="","",IF(ISNUMBER(AF501),AF501*AV501,AF501))</f>
        <v/>
      </c>
      <c r="AH501" s="0" t="str">
        <f aca="false">IF(E501="","",C501&amp;"|"&amp;D501)</f>
        <v/>
      </c>
      <c r="AI501" s="27" t="n">
        <f aca="false">IF(M501&lt;&gt;"Sí",0,SUMPRODUCT(MAX(($AH$5:AH500=AH501)*($M$5:M500="Sí")*ROW($AH$5:AH500))))</f>
        <v>0</v>
      </c>
      <c r="AJ501" s="0" t="str">
        <f aca="false">IF(M501&lt;&gt;"Sí","",IF(AL501=1,B501,INDEX($AJ:$AJ,AI501)))</f>
        <v/>
      </c>
      <c r="AK501" s="0" t="str">
        <f aca="false">IF(M501&lt;&gt;"Sí","",IF(AL501=1,E501,INDEX($AK:$AK,AI501)+E501))</f>
        <v/>
      </c>
      <c r="AL501" s="0" t="str">
        <f aca="false">IF(M501&lt;&gt;"Sí","",IF(AI501=0,1,IF(INDEX($AN:$AN,AI501)=0,1,IF(B501&gt;=EDATE(INDEX($AJ:$AJ,AI501),6),1,0))))</f>
        <v/>
      </c>
      <c r="AM501" s="0" t="str">
        <f aca="false">IF(D501="","",IFERROR(MATCH(D501,CATÁLOGO!$C$5:$C$39,0),""))</f>
        <v/>
      </c>
      <c r="AN501" s="0" t="str">
        <f aca="false">IF(M501&lt;&gt;"Sí","",IF(AND(ISNUMBER(AE501),AK501&gt;=AE501),0,1))</f>
        <v/>
      </c>
      <c r="AO501" s="0" t="str">
        <f aca="false">IF(OR(E501="",C501="",NOT(ISNUMBER(B501))),"",SUMIFS($E$6:$E$505,$C$6:$C$505,C501,$B$6:$B$505,"&gt;="&amp;DATE(YEAR(B501),MONTH(B501),1),$B$6:$B$505,"&lt;"&amp;DATE(YEAR(B501),MONTH(B501)+1,1)))</f>
        <v/>
      </c>
      <c r="AP501" s="0" t="str">
        <f aca="false">IF(C501="","",IFERROR(INDEX(CLIENTES!$M$6:$M$305,MATCH(C501,CLIENTES!$A$6:$A$305,0)),""))</f>
        <v/>
      </c>
      <c r="AQ501" s="27" t="n">
        <f aca="false">IF(AND(ISNUMBER(AO501),ISNUMBER(AP501)),IF(AND(AP501&gt;0,AO501&gt;AP501),1,0),0)</f>
        <v>0</v>
      </c>
      <c r="AR501" s="27" t="n">
        <f aca="false">IF(NOT(ISNUMBER(B501)),0,IF(B501&lt;MAX($B$5:B500),1,0))</f>
        <v>0</v>
      </c>
      <c r="AS501" s="0" t="str">
        <f aca="false">IF(C501="","",IFERROR(INDEX(CLIENTES!$H$6:$H$305,MATCH(C501,CLIENTES!$A$6:$A$305,0)),""))</f>
        <v/>
      </c>
      <c r="AT501" s="0" t="str">
        <f aca="false">IF(AND(LEFT(P501,5)="AVISO",T501&lt;&gt;"Presentado",ISNUMBER(Q501)),Q501,"")</f>
        <v/>
      </c>
      <c r="AU501" s="27" t="n">
        <f aca="false">IF(AND(D501="XVI - Activos virtuales (PSAV): operación de intercambio/transferencia",M501="Sí",ISNUMBER(AE501)),IF(AK501&gt;=AE501,1,0),0)</f>
        <v>0</v>
      </c>
      <c r="AV501" s="30" t="n">
        <f aca="false">IF(NOT(ISNUMBER(B501)),CONFIG!$B$4,IFERROR(INDEX(CONFIG!$I$5:$I$14,MATCH(IF(MONTH(B501)=1,YEAR(B501)-1,YEAR(B501)),CONFIG!$H$5:$H$14,0)),CONFIG!$B$4))</f>
        <v>117.31</v>
      </c>
      <c r="AW501" s="27" t="n">
        <f aca="false">IF(AND(LEFT(D501,4)="I - ",ISNUMBER(B501),C501&lt;&gt;""),SUMIFS($E$6:$E$505,$C$6:$C$505,C501,$D$6:$D$505,D501,$B$6:$B$505,"&gt;"&amp;(B501-1),$B$6:$B$505,"&lt;="&amp;B501),0)</f>
        <v>0</v>
      </c>
      <c r="AX501" s="0" t="str">
        <f aca="false">IF(E501="","",IF(AD501="Siempre","AVISO (siempre)",IF(AD501="No aplica","Sin Aviso (sólo preparas: Ley 17 XI)",IF(NOT(ISNUMBER(AE501)),"",IF(AA501&lt;&gt;"ACUMULA",IF(E501&gt;=AE501,IF(AND(D501="XVI - Activos virtuales (PSAV): cobro de contraprestación (comisión) por el servicio",COUNTIFS($C$6:$C$505,C501,$B$6:$B$505,"&gt;="&amp;INT(B501),$B$6:$B$505,"&lt;"&amp;(INT(B501)+1),$AU$6:$AU$505,1)&gt;0),"En el Aviso del inciso a) (R 31 Bis)","AVISO"),"—"),IF(M501&lt;&gt;"Sí","—",IF(AK501&gt;=AE501,IF(AK501=E501,"AVISO","AVISO (acumulado)"),"Acumulando")))))))</f>
        <v/>
      </c>
    </row>
    <row r="502" customFormat="false" ht="15" hidden="false" customHeight="false" outlineLevel="0" collapsed="false">
      <c r="A502" s="9" t="str">
        <f aca="false">IF(E502="","",ROW()-5)</f>
        <v/>
      </c>
      <c r="B502" s="20"/>
      <c r="C502" s="21"/>
      <c r="D502" s="21"/>
      <c r="E502" s="22"/>
      <c r="F502" s="22"/>
      <c r="G502" s="21"/>
      <c r="H502" s="21"/>
      <c r="I502" s="9" t="str">
        <f aca="false">IF(C502="","",IFERROR(INDEX(CLIENTES!$B$6:$B$305,MATCH(C502,CLIENTES!$A$6:$A$305,0)),"⚠ ID no registrado"))</f>
        <v/>
      </c>
      <c r="J502" s="9" t="str">
        <f aca="false">IF(C502="","",IFERROR(INDEX(CLIENTES!$Z$6:$Z$305,MATCH(C502,CLIENTES!$A$6:$A$305,0)),""))</f>
        <v/>
      </c>
      <c r="K502" s="9" t="str">
        <f aca="false">IF(E502="","",IF(AB502="Siempre","Sí",IF(ISNUMBER(AC502),IF(E502&gt;=AC502,"Sí",IF(AW502&gt;=AC502,"Sí (serie 24 h)","No")),"")))</f>
        <v/>
      </c>
      <c r="L502" s="9" t="str">
        <f aca="false">IF(E502="","",AA502)</f>
        <v/>
      </c>
      <c r="M502" s="9" t="str">
        <f aca="false">IF(E502="","",IF(AA502&lt;&gt;"ACUMULA","No aplica",IF(LEFT(K502,2)="Sí","Sí","No")))</f>
        <v/>
      </c>
      <c r="N502" s="23" t="str">
        <f aca="false">IF(M502="Sí",AJ502,"")</f>
        <v/>
      </c>
      <c r="O502" s="24" t="str">
        <f aca="false">IF(M502="Sí",AK502,"")</f>
        <v/>
      </c>
      <c r="P502" s="25" t="str">
        <f aca="false">IF(AND(LEFT(D502,6)="XIV - ",LEFT(AX502,5)="AVISO"),"Pedimento (R 16): no va al SPPLD",AX502)</f>
        <v/>
      </c>
      <c r="Q502" s="23" t="str">
        <f aca="false">IF(LEFT(P502,5)="AVISO",IF(ISNUMBER(B502),DATE(YEAR(B502),MONTH(B502)+1,17),"Falta fecha"),"")</f>
        <v/>
      </c>
      <c r="R502" s="9" t="str">
        <f aca="false">IF(OR(F502="",F502=0),"",IF(ISNUMBER(AG502),IF(F502&gt;=AG502,"PROHIBIDO","Dentro del límite"),"No aplica"))</f>
        <v/>
      </c>
      <c r="S502" s="26" t="str">
        <f aca="false">IF(E502="","",MID(IF(AQ502=1," · Excede el perfil declarado","")&amp;IF(H502="Sí"," · Paga un tercero","")&amp;IF(J502="Alto"," · Cliente de riesgo alto: DDR (RCG 23 Ter 3 y 4)","")&amp;IF(AND(AS502&lt;&gt;"",AS502&lt;&gt;"No",AS502&lt;&gt;0)," · PEP","")&amp;IF(R502="PROHIBIDO"," · Efectivo prohibido: no lo recibas (Art. 32)","")&amp;IF(AR502=1," · ⚠ Fecha fuera de orden","")&amp;IF(LEFT(I502,1)="⚠"," · ⚠ Cliente no registrado","")&amp;IF(D502=""," · ⚠ Falta la actividad","")&amp;IF(AND(LEFT(P502,5)="AVISO",W502="")," · Captura la cifra total con IVA para el Aviso","")&amp;IF(AND(ISNUMBER(W502),W502&lt;E502)," · ⚠ La cifra con IVA es menor que el monto sin IVA",""),4,400))</f>
        <v/>
      </c>
      <c r="T502" s="21"/>
      <c r="U502" s="20"/>
      <c r="V502" s="9" t="str">
        <f aca="false">IF(LEFT(P502,5)&lt;&gt;"AVISO","",IF(T502="Presentado",IF(AND(ISNUMBER(U502),ISNUMBER(Q502),U502&gt;Q502),"Presentado tarde","Presentado"),IF(NOT(ISNUMBER(Q502)),"Falta fecha",IF(Q502&lt;CONFIG!$B$6,"VENCIDO","Vence en "&amp;(Q502-CONFIG!$B$6)&amp;" días"))))</f>
        <v/>
      </c>
      <c r="W502" s="22"/>
      <c r="X502" s="21"/>
      <c r="AA502" s="0" t="str">
        <f aca="false">IF(AM502="","",INDEX(CATÁLOGO!$D$5:$D$39,AM502))</f>
        <v/>
      </c>
      <c r="AB502" s="0" t="str">
        <f aca="false">IF(AM502="","",INDEX(CATÁLOGO!$E$5:$E$39,AM502))</f>
        <v/>
      </c>
      <c r="AC502" s="0" t="str">
        <f aca="false">IF(AB502="","",IF(ISNUMBER(AB502),AB502*AV502,AB502))</f>
        <v/>
      </c>
      <c r="AD502" s="0" t="str">
        <f aca="false">IF(AM502="","",INDEX(CATÁLOGO!$F$5:$F$39,AM502))</f>
        <v/>
      </c>
      <c r="AE502" s="0" t="str">
        <f aca="false">IF(AD502="","",IF(ISNUMBER(AD502),AD502*AV502,AD502))</f>
        <v/>
      </c>
      <c r="AF502" s="0" t="str">
        <f aca="false">IF(AM502="","",INDEX(CATÁLOGO!$G$5:$G$39,AM502))</f>
        <v/>
      </c>
      <c r="AG502" s="0" t="str">
        <f aca="false">IF(AF502="","",IF(ISNUMBER(AF502),AF502*AV502,AF502))</f>
        <v/>
      </c>
      <c r="AH502" s="0" t="str">
        <f aca="false">IF(E502="","",C502&amp;"|"&amp;D502)</f>
        <v/>
      </c>
      <c r="AI502" s="27" t="n">
        <f aca="false">IF(M502&lt;&gt;"Sí",0,SUMPRODUCT(MAX(($AH$5:AH501=AH502)*($M$5:M501="Sí")*ROW($AH$5:AH501))))</f>
        <v>0</v>
      </c>
      <c r="AJ502" s="0" t="str">
        <f aca="false">IF(M502&lt;&gt;"Sí","",IF(AL502=1,B502,INDEX($AJ:$AJ,AI502)))</f>
        <v/>
      </c>
      <c r="AK502" s="0" t="str">
        <f aca="false">IF(M502&lt;&gt;"Sí","",IF(AL502=1,E502,INDEX($AK:$AK,AI502)+E502))</f>
        <v/>
      </c>
      <c r="AL502" s="0" t="str">
        <f aca="false">IF(M502&lt;&gt;"Sí","",IF(AI502=0,1,IF(INDEX($AN:$AN,AI502)=0,1,IF(B502&gt;=EDATE(INDEX($AJ:$AJ,AI502),6),1,0))))</f>
        <v/>
      </c>
      <c r="AM502" s="0" t="str">
        <f aca="false">IF(D502="","",IFERROR(MATCH(D502,CATÁLOGO!$C$5:$C$39,0),""))</f>
        <v/>
      </c>
      <c r="AN502" s="0" t="str">
        <f aca="false">IF(M502&lt;&gt;"Sí","",IF(AND(ISNUMBER(AE502),AK502&gt;=AE502),0,1))</f>
        <v/>
      </c>
      <c r="AO502" s="0" t="str">
        <f aca="false">IF(OR(E502="",C502="",NOT(ISNUMBER(B502))),"",SUMIFS($E$6:$E$505,$C$6:$C$505,C502,$B$6:$B$505,"&gt;="&amp;DATE(YEAR(B502),MONTH(B502),1),$B$6:$B$505,"&lt;"&amp;DATE(YEAR(B502),MONTH(B502)+1,1)))</f>
        <v/>
      </c>
      <c r="AP502" s="0" t="str">
        <f aca="false">IF(C502="","",IFERROR(INDEX(CLIENTES!$M$6:$M$305,MATCH(C502,CLIENTES!$A$6:$A$305,0)),""))</f>
        <v/>
      </c>
      <c r="AQ502" s="27" t="n">
        <f aca="false">IF(AND(ISNUMBER(AO502),ISNUMBER(AP502)),IF(AND(AP502&gt;0,AO502&gt;AP502),1,0),0)</f>
        <v>0</v>
      </c>
      <c r="AR502" s="27" t="n">
        <f aca="false">IF(NOT(ISNUMBER(B502)),0,IF(B502&lt;MAX($B$5:B501),1,0))</f>
        <v>0</v>
      </c>
      <c r="AS502" s="0" t="str">
        <f aca="false">IF(C502="","",IFERROR(INDEX(CLIENTES!$H$6:$H$305,MATCH(C502,CLIENTES!$A$6:$A$305,0)),""))</f>
        <v/>
      </c>
      <c r="AT502" s="0" t="str">
        <f aca="false">IF(AND(LEFT(P502,5)="AVISO",T502&lt;&gt;"Presentado",ISNUMBER(Q502)),Q502,"")</f>
        <v/>
      </c>
      <c r="AU502" s="27" t="n">
        <f aca="false">IF(AND(D502="XVI - Activos virtuales (PSAV): operación de intercambio/transferencia",M502="Sí",ISNUMBER(AE502)),IF(AK502&gt;=AE502,1,0),0)</f>
        <v>0</v>
      </c>
      <c r="AV502" s="30" t="n">
        <f aca="false">IF(NOT(ISNUMBER(B502)),CONFIG!$B$4,IFERROR(INDEX(CONFIG!$I$5:$I$14,MATCH(IF(MONTH(B502)=1,YEAR(B502)-1,YEAR(B502)),CONFIG!$H$5:$H$14,0)),CONFIG!$B$4))</f>
        <v>117.31</v>
      </c>
      <c r="AW502" s="27" t="n">
        <f aca="false">IF(AND(LEFT(D502,4)="I - ",ISNUMBER(B502),C502&lt;&gt;""),SUMIFS($E$6:$E$505,$C$6:$C$505,C502,$D$6:$D$505,D502,$B$6:$B$505,"&gt;"&amp;(B502-1),$B$6:$B$505,"&lt;="&amp;B502),0)</f>
        <v>0</v>
      </c>
      <c r="AX502" s="0" t="str">
        <f aca="false">IF(E502="","",IF(AD502="Siempre","AVISO (siempre)",IF(AD502="No aplica","Sin Aviso (sólo preparas: Ley 17 XI)",IF(NOT(ISNUMBER(AE502)),"",IF(AA502&lt;&gt;"ACUMULA",IF(E502&gt;=AE502,IF(AND(D502="XVI - Activos virtuales (PSAV): cobro de contraprestación (comisión) por el servicio",COUNTIFS($C$6:$C$505,C502,$B$6:$B$505,"&gt;="&amp;INT(B502),$B$6:$B$505,"&lt;"&amp;(INT(B502)+1),$AU$6:$AU$505,1)&gt;0),"En el Aviso del inciso a) (R 31 Bis)","AVISO"),"—"),IF(M502&lt;&gt;"Sí","—",IF(AK502&gt;=AE502,IF(AK502=E502,"AVISO","AVISO (acumulado)"),"Acumulando")))))))</f>
        <v/>
      </c>
    </row>
    <row r="503" customFormat="false" ht="15" hidden="false" customHeight="false" outlineLevel="0" collapsed="false">
      <c r="A503" s="9" t="str">
        <f aca="false">IF(E503="","",ROW()-5)</f>
        <v/>
      </c>
      <c r="B503" s="20"/>
      <c r="C503" s="21"/>
      <c r="D503" s="21"/>
      <c r="E503" s="22"/>
      <c r="F503" s="22"/>
      <c r="G503" s="21"/>
      <c r="H503" s="21"/>
      <c r="I503" s="9" t="str">
        <f aca="false">IF(C503="","",IFERROR(INDEX(CLIENTES!$B$6:$B$305,MATCH(C503,CLIENTES!$A$6:$A$305,0)),"⚠ ID no registrado"))</f>
        <v/>
      </c>
      <c r="J503" s="9" t="str">
        <f aca="false">IF(C503="","",IFERROR(INDEX(CLIENTES!$Z$6:$Z$305,MATCH(C503,CLIENTES!$A$6:$A$305,0)),""))</f>
        <v/>
      </c>
      <c r="K503" s="9" t="str">
        <f aca="false">IF(E503="","",IF(AB503="Siempre","Sí",IF(ISNUMBER(AC503),IF(E503&gt;=AC503,"Sí",IF(AW503&gt;=AC503,"Sí (serie 24 h)","No")),"")))</f>
        <v/>
      </c>
      <c r="L503" s="9" t="str">
        <f aca="false">IF(E503="","",AA503)</f>
        <v/>
      </c>
      <c r="M503" s="9" t="str">
        <f aca="false">IF(E503="","",IF(AA503&lt;&gt;"ACUMULA","No aplica",IF(LEFT(K503,2)="Sí","Sí","No")))</f>
        <v/>
      </c>
      <c r="N503" s="23" t="str">
        <f aca="false">IF(M503="Sí",AJ503,"")</f>
        <v/>
      </c>
      <c r="O503" s="24" t="str">
        <f aca="false">IF(M503="Sí",AK503,"")</f>
        <v/>
      </c>
      <c r="P503" s="25" t="str">
        <f aca="false">IF(AND(LEFT(D503,6)="XIV - ",LEFT(AX503,5)="AVISO"),"Pedimento (R 16): no va al SPPLD",AX503)</f>
        <v/>
      </c>
      <c r="Q503" s="23" t="str">
        <f aca="false">IF(LEFT(P503,5)="AVISO",IF(ISNUMBER(B503),DATE(YEAR(B503),MONTH(B503)+1,17),"Falta fecha"),"")</f>
        <v/>
      </c>
      <c r="R503" s="9" t="str">
        <f aca="false">IF(OR(F503="",F503=0),"",IF(ISNUMBER(AG503),IF(F503&gt;=AG503,"PROHIBIDO","Dentro del límite"),"No aplica"))</f>
        <v/>
      </c>
      <c r="S503" s="26" t="str">
        <f aca="false">IF(E503="","",MID(IF(AQ503=1," · Excede el perfil declarado","")&amp;IF(H503="Sí"," · Paga un tercero","")&amp;IF(J503="Alto"," · Cliente de riesgo alto: DDR (RCG 23 Ter 3 y 4)","")&amp;IF(AND(AS503&lt;&gt;"",AS503&lt;&gt;"No",AS503&lt;&gt;0)," · PEP","")&amp;IF(R503="PROHIBIDO"," · Efectivo prohibido: no lo recibas (Art. 32)","")&amp;IF(AR503=1," · ⚠ Fecha fuera de orden","")&amp;IF(LEFT(I503,1)="⚠"," · ⚠ Cliente no registrado","")&amp;IF(D503=""," · ⚠ Falta la actividad","")&amp;IF(AND(LEFT(P503,5)="AVISO",W503="")," · Captura la cifra total con IVA para el Aviso","")&amp;IF(AND(ISNUMBER(W503),W503&lt;E503)," · ⚠ La cifra con IVA es menor que el monto sin IVA",""),4,400))</f>
        <v/>
      </c>
      <c r="T503" s="21"/>
      <c r="U503" s="20"/>
      <c r="V503" s="9" t="str">
        <f aca="false">IF(LEFT(P503,5)&lt;&gt;"AVISO","",IF(T503="Presentado",IF(AND(ISNUMBER(U503),ISNUMBER(Q503),U503&gt;Q503),"Presentado tarde","Presentado"),IF(NOT(ISNUMBER(Q503)),"Falta fecha",IF(Q503&lt;CONFIG!$B$6,"VENCIDO","Vence en "&amp;(Q503-CONFIG!$B$6)&amp;" días"))))</f>
        <v/>
      </c>
      <c r="W503" s="22"/>
      <c r="X503" s="21"/>
      <c r="AA503" s="0" t="str">
        <f aca="false">IF(AM503="","",INDEX(CATÁLOGO!$D$5:$D$39,AM503))</f>
        <v/>
      </c>
      <c r="AB503" s="0" t="str">
        <f aca="false">IF(AM503="","",INDEX(CATÁLOGO!$E$5:$E$39,AM503))</f>
        <v/>
      </c>
      <c r="AC503" s="0" t="str">
        <f aca="false">IF(AB503="","",IF(ISNUMBER(AB503),AB503*AV503,AB503))</f>
        <v/>
      </c>
      <c r="AD503" s="0" t="str">
        <f aca="false">IF(AM503="","",INDEX(CATÁLOGO!$F$5:$F$39,AM503))</f>
        <v/>
      </c>
      <c r="AE503" s="0" t="str">
        <f aca="false">IF(AD503="","",IF(ISNUMBER(AD503),AD503*AV503,AD503))</f>
        <v/>
      </c>
      <c r="AF503" s="0" t="str">
        <f aca="false">IF(AM503="","",INDEX(CATÁLOGO!$G$5:$G$39,AM503))</f>
        <v/>
      </c>
      <c r="AG503" s="0" t="str">
        <f aca="false">IF(AF503="","",IF(ISNUMBER(AF503),AF503*AV503,AF503))</f>
        <v/>
      </c>
      <c r="AH503" s="0" t="str">
        <f aca="false">IF(E503="","",C503&amp;"|"&amp;D503)</f>
        <v/>
      </c>
      <c r="AI503" s="27" t="n">
        <f aca="false">IF(M503&lt;&gt;"Sí",0,SUMPRODUCT(MAX(($AH$5:AH502=AH503)*($M$5:M502="Sí")*ROW($AH$5:AH502))))</f>
        <v>0</v>
      </c>
      <c r="AJ503" s="0" t="str">
        <f aca="false">IF(M503&lt;&gt;"Sí","",IF(AL503=1,B503,INDEX($AJ:$AJ,AI503)))</f>
        <v/>
      </c>
      <c r="AK503" s="0" t="str">
        <f aca="false">IF(M503&lt;&gt;"Sí","",IF(AL503=1,E503,INDEX($AK:$AK,AI503)+E503))</f>
        <v/>
      </c>
      <c r="AL503" s="0" t="str">
        <f aca="false">IF(M503&lt;&gt;"Sí","",IF(AI503=0,1,IF(INDEX($AN:$AN,AI503)=0,1,IF(B503&gt;=EDATE(INDEX($AJ:$AJ,AI503),6),1,0))))</f>
        <v/>
      </c>
      <c r="AM503" s="0" t="str">
        <f aca="false">IF(D503="","",IFERROR(MATCH(D503,CATÁLOGO!$C$5:$C$39,0),""))</f>
        <v/>
      </c>
      <c r="AN503" s="0" t="str">
        <f aca="false">IF(M503&lt;&gt;"Sí","",IF(AND(ISNUMBER(AE503),AK503&gt;=AE503),0,1))</f>
        <v/>
      </c>
      <c r="AO503" s="0" t="str">
        <f aca="false">IF(OR(E503="",C503="",NOT(ISNUMBER(B503))),"",SUMIFS($E$6:$E$505,$C$6:$C$505,C503,$B$6:$B$505,"&gt;="&amp;DATE(YEAR(B503),MONTH(B503),1),$B$6:$B$505,"&lt;"&amp;DATE(YEAR(B503),MONTH(B503)+1,1)))</f>
        <v/>
      </c>
      <c r="AP503" s="0" t="str">
        <f aca="false">IF(C503="","",IFERROR(INDEX(CLIENTES!$M$6:$M$305,MATCH(C503,CLIENTES!$A$6:$A$305,0)),""))</f>
        <v/>
      </c>
      <c r="AQ503" s="27" t="n">
        <f aca="false">IF(AND(ISNUMBER(AO503),ISNUMBER(AP503)),IF(AND(AP503&gt;0,AO503&gt;AP503),1,0),0)</f>
        <v>0</v>
      </c>
      <c r="AR503" s="27" t="n">
        <f aca="false">IF(NOT(ISNUMBER(B503)),0,IF(B503&lt;MAX($B$5:B502),1,0))</f>
        <v>0</v>
      </c>
      <c r="AS503" s="0" t="str">
        <f aca="false">IF(C503="","",IFERROR(INDEX(CLIENTES!$H$6:$H$305,MATCH(C503,CLIENTES!$A$6:$A$305,0)),""))</f>
        <v/>
      </c>
      <c r="AT503" s="0" t="str">
        <f aca="false">IF(AND(LEFT(P503,5)="AVISO",T503&lt;&gt;"Presentado",ISNUMBER(Q503)),Q503,"")</f>
        <v/>
      </c>
      <c r="AU503" s="27" t="n">
        <f aca="false">IF(AND(D503="XVI - Activos virtuales (PSAV): operación de intercambio/transferencia",M503="Sí",ISNUMBER(AE503)),IF(AK503&gt;=AE503,1,0),0)</f>
        <v>0</v>
      </c>
      <c r="AV503" s="30" t="n">
        <f aca="false">IF(NOT(ISNUMBER(B503)),CONFIG!$B$4,IFERROR(INDEX(CONFIG!$I$5:$I$14,MATCH(IF(MONTH(B503)=1,YEAR(B503)-1,YEAR(B503)),CONFIG!$H$5:$H$14,0)),CONFIG!$B$4))</f>
        <v>117.31</v>
      </c>
      <c r="AW503" s="27" t="n">
        <f aca="false">IF(AND(LEFT(D503,4)="I - ",ISNUMBER(B503),C503&lt;&gt;""),SUMIFS($E$6:$E$505,$C$6:$C$505,C503,$D$6:$D$505,D503,$B$6:$B$505,"&gt;"&amp;(B503-1),$B$6:$B$505,"&lt;="&amp;B503),0)</f>
        <v>0</v>
      </c>
      <c r="AX503" s="0" t="str">
        <f aca="false">IF(E503="","",IF(AD503="Siempre","AVISO (siempre)",IF(AD503="No aplica","Sin Aviso (sólo preparas: Ley 17 XI)",IF(NOT(ISNUMBER(AE503)),"",IF(AA503&lt;&gt;"ACUMULA",IF(E503&gt;=AE503,IF(AND(D503="XVI - Activos virtuales (PSAV): cobro de contraprestación (comisión) por el servicio",COUNTIFS($C$6:$C$505,C503,$B$6:$B$505,"&gt;="&amp;INT(B503),$B$6:$B$505,"&lt;"&amp;(INT(B503)+1),$AU$6:$AU$505,1)&gt;0),"En el Aviso del inciso a) (R 31 Bis)","AVISO"),"—"),IF(M503&lt;&gt;"Sí","—",IF(AK503&gt;=AE503,IF(AK503=E503,"AVISO","AVISO (acumulado)"),"Acumulando")))))))</f>
        <v/>
      </c>
    </row>
    <row r="504" customFormat="false" ht="15" hidden="false" customHeight="false" outlineLevel="0" collapsed="false">
      <c r="A504" s="9" t="str">
        <f aca="false">IF(E504="","",ROW()-5)</f>
        <v/>
      </c>
      <c r="B504" s="20"/>
      <c r="C504" s="21"/>
      <c r="D504" s="21"/>
      <c r="E504" s="22"/>
      <c r="F504" s="22"/>
      <c r="G504" s="21"/>
      <c r="H504" s="21"/>
      <c r="I504" s="9" t="str">
        <f aca="false">IF(C504="","",IFERROR(INDEX(CLIENTES!$B$6:$B$305,MATCH(C504,CLIENTES!$A$6:$A$305,0)),"⚠ ID no registrado"))</f>
        <v/>
      </c>
      <c r="J504" s="9" t="str">
        <f aca="false">IF(C504="","",IFERROR(INDEX(CLIENTES!$Z$6:$Z$305,MATCH(C504,CLIENTES!$A$6:$A$305,0)),""))</f>
        <v/>
      </c>
      <c r="K504" s="9" t="str">
        <f aca="false">IF(E504="","",IF(AB504="Siempre","Sí",IF(ISNUMBER(AC504),IF(E504&gt;=AC504,"Sí",IF(AW504&gt;=AC504,"Sí (serie 24 h)","No")),"")))</f>
        <v/>
      </c>
      <c r="L504" s="9" t="str">
        <f aca="false">IF(E504="","",AA504)</f>
        <v/>
      </c>
      <c r="M504" s="9" t="str">
        <f aca="false">IF(E504="","",IF(AA504&lt;&gt;"ACUMULA","No aplica",IF(LEFT(K504,2)="Sí","Sí","No")))</f>
        <v/>
      </c>
      <c r="N504" s="23" t="str">
        <f aca="false">IF(M504="Sí",AJ504,"")</f>
        <v/>
      </c>
      <c r="O504" s="24" t="str">
        <f aca="false">IF(M504="Sí",AK504,"")</f>
        <v/>
      </c>
      <c r="P504" s="25" t="str">
        <f aca="false">IF(AND(LEFT(D504,6)="XIV - ",LEFT(AX504,5)="AVISO"),"Pedimento (R 16): no va al SPPLD",AX504)</f>
        <v/>
      </c>
      <c r="Q504" s="23" t="str">
        <f aca="false">IF(LEFT(P504,5)="AVISO",IF(ISNUMBER(B504),DATE(YEAR(B504),MONTH(B504)+1,17),"Falta fecha"),"")</f>
        <v/>
      </c>
      <c r="R504" s="9" t="str">
        <f aca="false">IF(OR(F504="",F504=0),"",IF(ISNUMBER(AG504),IF(F504&gt;=AG504,"PROHIBIDO","Dentro del límite"),"No aplica"))</f>
        <v/>
      </c>
      <c r="S504" s="26" t="str">
        <f aca="false">IF(E504="","",MID(IF(AQ504=1," · Excede el perfil declarado","")&amp;IF(H504="Sí"," · Paga un tercero","")&amp;IF(J504="Alto"," · Cliente de riesgo alto: DDR (RCG 23 Ter 3 y 4)","")&amp;IF(AND(AS504&lt;&gt;"",AS504&lt;&gt;"No",AS504&lt;&gt;0)," · PEP","")&amp;IF(R504="PROHIBIDO"," · Efectivo prohibido: no lo recibas (Art. 32)","")&amp;IF(AR504=1," · ⚠ Fecha fuera de orden","")&amp;IF(LEFT(I504,1)="⚠"," · ⚠ Cliente no registrado","")&amp;IF(D504=""," · ⚠ Falta la actividad","")&amp;IF(AND(LEFT(P504,5)="AVISO",W504="")," · Captura la cifra total con IVA para el Aviso","")&amp;IF(AND(ISNUMBER(W504),W504&lt;E504)," · ⚠ La cifra con IVA es menor que el monto sin IVA",""),4,400))</f>
        <v/>
      </c>
      <c r="T504" s="21"/>
      <c r="U504" s="20"/>
      <c r="V504" s="9" t="str">
        <f aca="false">IF(LEFT(P504,5)&lt;&gt;"AVISO","",IF(T504="Presentado",IF(AND(ISNUMBER(U504),ISNUMBER(Q504),U504&gt;Q504),"Presentado tarde","Presentado"),IF(NOT(ISNUMBER(Q504)),"Falta fecha",IF(Q504&lt;CONFIG!$B$6,"VENCIDO","Vence en "&amp;(Q504-CONFIG!$B$6)&amp;" días"))))</f>
        <v/>
      </c>
      <c r="W504" s="22"/>
      <c r="X504" s="21"/>
      <c r="AA504" s="0" t="str">
        <f aca="false">IF(AM504="","",INDEX(CATÁLOGO!$D$5:$D$39,AM504))</f>
        <v/>
      </c>
      <c r="AB504" s="0" t="str">
        <f aca="false">IF(AM504="","",INDEX(CATÁLOGO!$E$5:$E$39,AM504))</f>
        <v/>
      </c>
      <c r="AC504" s="0" t="str">
        <f aca="false">IF(AB504="","",IF(ISNUMBER(AB504),AB504*AV504,AB504))</f>
        <v/>
      </c>
      <c r="AD504" s="0" t="str">
        <f aca="false">IF(AM504="","",INDEX(CATÁLOGO!$F$5:$F$39,AM504))</f>
        <v/>
      </c>
      <c r="AE504" s="0" t="str">
        <f aca="false">IF(AD504="","",IF(ISNUMBER(AD504),AD504*AV504,AD504))</f>
        <v/>
      </c>
      <c r="AF504" s="0" t="str">
        <f aca="false">IF(AM504="","",INDEX(CATÁLOGO!$G$5:$G$39,AM504))</f>
        <v/>
      </c>
      <c r="AG504" s="0" t="str">
        <f aca="false">IF(AF504="","",IF(ISNUMBER(AF504),AF504*AV504,AF504))</f>
        <v/>
      </c>
      <c r="AH504" s="0" t="str">
        <f aca="false">IF(E504="","",C504&amp;"|"&amp;D504)</f>
        <v/>
      </c>
      <c r="AI504" s="27" t="n">
        <f aca="false">IF(M504&lt;&gt;"Sí",0,SUMPRODUCT(MAX(($AH$5:AH503=AH504)*($M$5:M503="Sí")*ROW($AH$5:AH503))))</f>
        <v>0</v>
      </c>
      <c r="AJ504" s="0" t="str">
        <f aca="false">IF(M504&lt;&gt;"Sí","",IF(AL504=1,B504,INDEX($AJ:$AJ,AI504)))</f>
        <v/>
      </c>
      <c r="AK504" s="0" t="str">
        <f aca="false">IF(M504&lt;&gt;"Sí","",IF(AL504=1,E504,INDEX($AK:$AK,AI504)+E504))</f>
        <v/>
      </c>
      <c r="AL504" s="0" t="str">
        <f aca="false">IF(M504&lt;&gt;"Sí","",IF(AI504=0,1,IF(INDEX($AN:$AN,AI504)=0,1,IF(B504&gt;=EDATE(INDEX($AJ:$AJ,AI504),6),1,0))))</f>
        <v/>
      </c>
      <c r="AM504" s="0" t="str">
        <f aca="false">IF(D504="","",IFERROR(MATCH(D504,CATÁLOGO!$C$5:$C$39,0),""))</f>
        <v/>
      </c>
      <c r="AN504" s="0" t="str">
        <f aca="false">IF(M504&lt;&gt;"Sí","",IF(AND(ISNUMBER(AE504),AK504&gt;=AE504),0,1))</f>
        <v/>
      </c>
      <c r="AO504" s="0" t="str">
        <f aca="false">IF(OR(E504="",C504="",NOT(ISNUMBER(B504))),"",SUMIFS($E$6:$E$505,$C$6:$C$505,C504,$B$6:$B$505,"&gt;="&amp;DATE(YEAR(B504),MONTH(B504),1),$B$6:$B$505,"&lt;"&amp;DATE(YEAR(B504),MONTH(B504)+1,1)))</f>
        <v/>
      </c>
      <c r="AP504" s="0" t="str">
        <f aca="false">IF(C504="","",IFERROR(INDEX(CLIENTES!$M$6:$M$305,MATCH(C504,CLIENTES!$A$6:$A$305,0)),""))</f>
        <v/>
      </c>
      <c r="AQ504" s="27" t="n">
        <f aca="false">IF(AND(ISNUMBER(AO504),ISNUMBER(AP504)),IF(AND(AP504&gt;0,AO504&gt;AP504),1,0),0)</f>
        <v>0</v>
      </c>
      <c r="AR504" s="27" t="n">
        <f aca="false">IF(NOT(ISNUMBER(B504)),0,IF(B504&lt;MAX($B$5:B503),1,0))</f>
        <v>0</v>
      </c>
      <c r="AS504" s="0" t="str">
        <f aca="false">IF(C504="","",IFERROR(INDEX(CLIENTES!$H$6:$H$305,MATCH(C504,CLIENTES!$A$6:$A$305,0)),""))</f>
        <v/>
      </c>
      <c r="AT504" s="0" t="str">
        <f aca="false">IF(AND(LEFT(P504,5)="AVISO",T504&lt;&gt;"Presentado",ISNUMBER(Q504)),Q504,"")</f>
        <v/>
      </c>
      <c r="AU504" s="27" t="n">
        <f aca="false">IF(AND(D504="XVI - Activos virtuales (PSAV): operación de intercambio/transferencia",M504="Sí",ISNUMBER(AE504)),IF(AK504&gt;=AE504,1,0),0)</f>
        <v>0</v>
      </c>
      <c r="AV504" s="30" t="n">
        <f aca="false">IF(NOT(ISNUMBER(B504)),CONFIG!$B$4,IFERROR(INDEX(CONFIG!$I$5:$I$14,MATCH(IF(MONTH(B504)=1,YEAR(B504)-1,YEAR(B504)),CONFIG!$H$5:$H$14,0)),CONFIG!$B$4))</f>
        <v>117.31</v>
      </c>
      <c r="AW504" s="27" t="n">
        <f aca="false">IF(AND(LEFT(D504,4)="I - ",ISNUMBER(B504),C504&lt;&gt;""),SUMIFS($E$6:$E$505,$C$6:$C$505,C504,$D$6:$D$505,D504,$B$6:$B$505,"&gt;"&amp;(B504-1),$B$6:$B$505,"&lt;="&amp;B504),0)</f>
        <v>0</v>
      </c>
      <c r="AX504" s="0" t="str">
        <f aca="false">IF(E504="","",IF(AD504="Siempre","AVISO (siempre)",IF(AD504="No aplica","Sin Aviso (sólo preparas: Ley 17 XI)",IF(NOT(ISNUMBER(AE504)),"",IF(AA504&lt;&gt;"ACUMULA",IF(E504&gt;=AE504,IF(AND(D504="XVI - Activos virtuales (PSAV): cobro de contraprestación (comisión) por el servicio",COUNTIFS($C$6:$C$505,C504,$B$6:$B$505,"&gt;="&amp;INT(B504),$B$6:$B$505,"&lt;"&amp;(INT(B504)+1),$AU$6:$AU$505,1)&gt;0),"En el Aviso del inciso a) (R 31 Bis)","AVISO"),"—"),IF(M504&lt;&gt;"Sí","—",IF(AK504&gt;=AE504,IF(AK504=E504,"AVISO","AVISO (acumulado)"),"Acumulando")))))))</f>
        <v/>
      </c>
    </row>
    <row r="505" customFormat="false" ht="15" hidden="false" customHeight="false" outlineLevel="0" collapsed="false">
      <c r="A505" s="9" t="str">
        <f aca="false">IF(E505="","",ROW()-5)</f>
        <v/>
      </c>
      <c r="B505" s="20"/>
      <c r="C505" s="21"/>
      <c r="D505" s="21"/>
      <c r="E505" s="22"/>
      <c r="F505" s="22"/>
      <c r="G505" s="21"/>
      <c r="H505" s="21"/>
      <c r="I505" s="9" t="str">
        <f aca="false">IF(C505="","",IFERROR(INDEX(CLIENTES!$B$6:$B$305,MATCH(C505,CLIENTES!$A$6:$A$305,0)),"⚠ ID no registrado"))</f>
        <v/>
      </c>
      <c r="J505" s="9" t="str">
        <f aca="false">IF(C505="","",IFERROR(INDEX(CLIENTES!$Z$6:$Z$305,MATCH(C505,CLIENTES!$A$6:$A$305,0)),""))</f>
        <v/>
      </c>
      <c r="K505" s="9" t="str">
        <f aca="false">IF(E505="","",IF(AB505="Siempre","Sí",IF(ISNUMBER(AC505),IF(E505&gt;=AC505,"Sí",IF(AW505&gt;=AC505,"Sí (serie 24 h)","No")),"")))</f>
        <v/>
      </c>
      <c r="L505" s="9" t="str">
        <f aca="false">IF(E505="","",AA505)</f>
        <v/>
      </c>
      <c r="M505" s="9" t="str">
        <f aca="false">IF(E505="","",IF(AA505&lt;&gt;"ACUMULA","No aplica",IF(LEFT(K505,2)="Sí","Sí","No")))</f>
        <v/>
      </c>
      <c r="N505" s="23" t="str">
        <f aca="false">IF(M505="Sí",AJ505,"")</f>
        <v/>
      </c>
      <c r="O505" s="24" t="str">
        <f aca="false">IF(M505="Sí",AK505,"")</f>
        <v/>
      </c>
      <c r="P505" s="25" t="str">
        <f aca="false">IF(AND(LEFT(D505,6)="XIV - ",LEFT(AX505,5)="AVISO"),"Pedimento (R 16): no va al SPPLD",AX505)</f>
        <v/>
      </c>
      <c r="Q505" s="23" t="str">
        <f aca="false">IF(LEFT(P505,5)="AVISO",IF(ISNUMBER(B505),DATE(YEAR(B505),MONTH(B505)+1,17),"Falta fecha"),"")</f>
        <v/>
      </c>
      <c r="R505" s="9" t="str">
        <f aca="false">IF(OR(F505="",F505=0),"",IF(ISNUMBER(AG505),IF(F505&gt;=AG505,"PROHIBIDO","Dentro del límite"),"No aplica"))</f>
        <v/>
      </c>
      <c r="S505" s="26" t="str">
        <f aca="false">IF(E505="","",MID(IF(AQ505=1," · Excede el perfil declarado","")&amp;IF(H505="Sí"," · Paga un tercero","")&amp;IF(J505="Alto"," · Cliente de riesgo alto: DDR (RCG 23 Ter 3 y 4)","")&amp;IF(AND(AS505&lt;&gt;"",AS505&lt;&gt;"No",AS505&lt;&gt;0)," · PEP","")&amp;IF(R505="PROHIBIDO"," · Efectivo prohibido: no lo recibas (Art. 32)","")&amp;IF(AR505=1," · ⚠ Fecha fuera de orden","")&amp;IF(LEFT(I505,1)="⚠"," · ⚠ Cliente no registrado","")&amp;IF(D505=""," · ⚠ Falta la actividad","")&amp;IF(AND(LEFT(P505,5)="AVISO",W505="")," · Captura la cifra total con IVA para el Aviso","")&amp;IF(AND(ISNUMBER(W505),W505&lt;E505)," · ⚠ La cifra con IVA es menor que el monto sin IVA",""),4,400))</f>
        <v/>
      </c>
      <c r="T505" s="21"/>
      <c r="U505" s="20"/>
      <c r="V505" s="9" t="str">
        <f aca="false">IF(LEFT(P505,5)&lt;&gt;"AVISO","",IF(T505="Presentado",IF(AND(ISNUMBER(U505),ISNUMBER(Q505),U505&gt;Q505),"Presentado tarde","Presentado"),IF(NOT(ISNUMBER(Q505)),"Falta fecha",IF(Q505&lt;CONFIG!$B$6,"VENCIDO","Vence en "&amp;(Q505-CONFIG!$B$6)&amp;" días"))))</f>
        <v/>
      </c>
      <c r="W505" s="22"/>
      <c r="X505" s="21"/>
      <c r="AA505" s="0" t="str">
        <f aca="false">IF(AM505="","",INDEX(CATÁLOGO!$D$5:$D$39,AM505))</f>
        <v/>
      </c>
      <c r="AB505" s="0" t="str">
        <f aca="false">IF(AM505="","",INDEX(CATÁLOGO!$E$5:$E$39,AM505))</f>
        <v/>
      </c>
      <c r="AC505" s="0" t="str">
        <f aca="false">IF(AB505="","",IF(ISNUMBER(AB505),AB505*AV505,AB505))</f>
        <v/>
      </c>
      <c r="AD505" s="0" t="str">
        <f aca="false">IF(AM505="","",INDEX(CATÁLOGO!$F$5:$F$39,AM505))</f>
        <v/>
      </c>
      <c r="AE505" s="0" t="str">
        <f aca="false">IF(AD505="","",IF(ISNUMBER(AD505),AD505*AV505,AD505))</f>
        <v/>
      </c>
      <c r="AF505" s="0" t="str">
        <f aca="false">IF(AM505="","",INDEX(CATÁLOGO!$G$5:$G$39,AM505))</f>
        <v/>
      </c>
      <c r="AG505" s="0" t="str">
        <f aca="false">IF(AF505="","",IF(ISNUMBER(AF505),AF505*AV505,AF505))</f>
        <v/>
      </c>
      <c r="AH505" s="0" t="str">
        <f aca="false">IF(E505="","",C505&amp;"|"&amp;D505)</f>
        <v/>
      </c>
      <c r="AI505" s="27" t="n">
        <f aca="false">IF(M505&lt;&gt;"Sí",0,SUMPRODUCT(MAX(($AH$5:AH504=AH505)*($M$5:M504="Sí")*ROW($AH$5:AH504))))</f>
        <v>0</v>
      </c>
      <c r="AJ505" s="0" t="str">
        <f aca="false">IF(M505&lt;&gt;"Sí","",IF(AL505=1,B505,INDEX($AJ:$AJ,AI505)))</f>
        <v/>
      </c>
      <c r="AK505" s="0" t="str">
        <f aca="false">IF(M505&lt;&gt;"Sí","",IF(AL505=1,E505,INDEX($AK:$AK,AI505)+E505))</f>
        <v/>
      </c>
      <c r="AL505" s="0" t="str">
        <f aca="false">IF(M505&lt;&gt;"Sí","",IF(AI505=0,1,IF(INDEX($AN:$AN,AI505)=0,1,IF(B505&gt;=EDATE(INDEX($AJ:$AJ,AI505),6),1,0))))</f>
        <v/>
      </c>
      <c r="AM505" s="0" t="str">
        <f aca="false">IF(D505="","",IFERROR(MATCH(D505,CATÁLOGO!$C$5:$C$39,0),""))</f>
        <v/>
      </c>
      <c r="AN505" s="0" t="str">
        <f aca="false">IF(M505&lt;&gt;"Sí","",IF(AND(ISNUMBER(AE505),AK505&gt;=AE505),0,1))</f>
        <v/>
      </c>
      <c r="AO505" s="0" t="str">
        <f aca="false">IF(OR(E505="",C505="",NOT(ISNUMBER(B505))),"",SUMIFS($E$6:$E$505,$C$6:$C$505,C505,$B$6:$B$505,"&gt;="&amp;DATE(YEAR(B505),MONTH(B505),1),$B$6:$B$505,"&lt;"&amp;DATE(YEAR(B505),MONTH(B505)+1,1)))</f>
        <v/>
      </c>
      <c r="AP505" s="0" t="str">
        <f aca="false">IF(C505="","",IFERROR(INDEX(CLIENTES!$M$6:$M$305,MATCH(C505,CLIENTES!$A$6:$A$305,0)),""))</f>
        <v/>
      </c>
      <c r="AQ505" s="27" t="n">
        <f aca="false">IF(AND(ISNUMBER(AO505),ISNUMBER(AP505)),IF(AND(AP505&gt;0,AO505&gt;AP505),1,0),0)</f>
        <v>0</v>
      </c>
      <c r="AR505" s="27" t="n">
        <f aca="false">IF(NOT(ISNUMBER(B505)),0,IF(B505&lt;MAX($B$5:B504),1,0))</f>
        <v>0</v>
      </c>
      <c r="AS505" s="0" t="str">
        <f aca="false">IF(C505="","",IFERROR(INDEX(CLIENTES!$H$6:$H$305,MATCH(C505,CLIENTES!$A$6:$A$305,0)),""))</f>
        <v/>
      </c>
      <c r="AT505" s="0" t="str">
        <f aca="false">IF(AND(LEFT(P505,5)="AVISO",T505&lt;&gt;"Presentado",ISNUMBER(Q505)),Q505,"")</f>
        <v/>
      </c>
      <c r="AU505" s="27" t="n">
        <f aca="false">IF(AND(D505="XVI - Activos virtuales (PSAV): operación de intercambio/transferencia",M505="Sí",ISNUMBER(AE505)),IF(AK505&gt;=AE505,1,0),0)</f>
        <v>0</v>
      </c>
      <c r="AV505" s="30" t="n">
        <f aca="false">IF(NOT(ISNUMBER(B505)),CONFIG!$B$4,IFERROR(INDEX(CONFIG!$I$5:$I$14,MATCH(IF(MONTH(B505)=1,YEAR(B505)-1,YEAR(B505)),CONFIG!$H$5:$H$14,0)),CONFIG!$B$4))</f>
        <v>117.31</v>
      </c>
      <c r="AW505" s="27" t="n">
        <f aca="false">IF(AND(LEFT(D505,4)="I - ",ISNUMBER(B505),C505&lt;&gt;""),SUMIFS($E$6:$E$505,$C$6:$C$505,C505,$D$6:$D$505,D505,$B$6:$B$505,"&gt;"&amp;(B505-1),$B$6:$B$505,"&lt;="&amp;B505),0)</f>
        <v>0</v>
      </c>
      <c r="AX505" s="0" t="str">
        <f aca="false">IF(E505="","",IF(AD505="Siempre","AVISO (siempre)",IF(AD505="No aplica","Sin Aviso (sólo preparas: Ley 17 XI)",IF(NOT(ISNUMBER(AE505)),"",IF(AA505&lt;&gt;"ACUMULA",IF(E505&gt;=AE505,IF(AND(D505="XVI - Activos virtuales (PSAV): cobro de contraprestación (comisión) por el servicio",COUNTIFS($C$6:$C$505,C505,$B$6:$B$505,"&gt;="&amp;INT(B505),$B$6:$B$505,"&lt;"&amp;(INT(B505)+1),$AU$6:$AU$505,1)&gt;0),"En el Aviso del inciso a) (R 31 Bis)","AVISO"),"—"),IF(M505&lt;&gt;"Sí","—",IF(AK505&gt;=AE505,IF(AK505=E505,"AVISO","AVISO (acumulado)"),"Acumulando")))))))</f>
        <v/>
      </c>
    </row>
  </sheetData>
  <autoFilter ref="A5:X505"/>
  <mergeCells count="2">
    <mergeCell ref="A1:W1"/>
    <mergeCell ref="A2:W2"/>
  </mergeCells>
  <conditionalFormatting sqref="P6:P505">
    <cfRule type="expression" priority="2" aboveAverage="0" equalAverage="0" bottom="0" percent="0" rank="0" text="" dxfId="8">
      <formula>LEFT(P6,5)="AVISO"</formula>
    </cfRule>
    <cfRule type="cellIs" priority="3" operator="equal" aboveAverage="0" equalAverage="0" bottom="0" percent="0" rank="0" text="" dxfId="9">
      <formula>"Acumulando"</formula>
    </cfRule>
  </conditionalFormatting>
  <conditionalFormatting sqref="K6:K505">
    <cfRule type="expression" priority="4" aboveAverage="0" equalAverage="0" bottom="0" percent="0" rank="0" text="" dxfId="9">
      <formula>LEFT(K6,2)="Sí"</formula>
    </cfRule>
  </conditionalFormatting>
  <conditionalFormatting sqref="R6:R505">
    <cfRule type="cellIs" priority="5" operator="equal" aboveAverage="0" equalAverage="0" bottom="0" percent="0" rank="0" text="" dxfId="8">
      <formula>"PROHIBIDO"</formula>
    </cfRule>
  </conditionalFormatting>
  <conditionalFormatting sqref="J6:J505">
    <cfRule type="cellIs" priority="6" operator="equal" aboveAverage="0" equalAverage="0" bottom="0" percent="0" rank="0" text="" dxfId="8">
      <formula>"Alto"</formula>
    </cfRule>
    <cfRule type="cellIs" priority="7" operator="equal" aboveAverage="0" equalAverage="0" bottom="0" percent="0" rank="0" text="" dxfId="9">
      <formula>"Medio"</formula>
    </cfRule>
  </conditionalFormatting>
  <conditionalFormatting sqref="V6:V505">
    <cfRule type="cellIs" priority="8" operator="equal" aboveAverage="0" equalAverage="0" bottom="0" percent="0" rank="0" text="" dxfId="8">
      <formula>"VENCIDO"</formula>
    </cfRule>
    <cfRule type="cellIs" priority="9" operator="equal" aboveAverage="0" equalAverage="0" bottom="0" percent="0" rank="0" text="" dxfId="9">
      <formula>"Presentado tarde"</formula>
    </cfRule>
    <cfRule type="expression" priority="10" aboveAverage="0" equalAverage="0" bottom="0" percent="0" rank="0" text="" dxfId="9">
      <formula>LEFT(V6,5)="Vence"</formula>
    </cfRule>
  </conditionalFormatting>
  <conditionalFormatting sqref="S6:S505">
    <cfRule type="expression" priority="11" aboveAverage="0" equalAverage="0" bottom="0" percent="0" rank="0" text="" dxfId="10">
      <formula>LEN(S6)&gt;0</formula>
    </cfRule>
  </conditionalFormatting>
  <dataValidations count="7">
    <dataValidation allowBlank="true" error="Elige un valor de la lista." errorStyle="stop" errorTitle="Valor no válido" operator="between" prompt="Elige el ID del cliente (hoja CLIENTES)." showDropDown="false" showErrorMessage="true" showInputMessage="true" sqref="C6:C505" type="list">
      <formula1>CLIENTES!$A$6:$A$305</formula1>
      <formula2>0</formula2>
    </dataValidation>
    <dataValidation allowBlank="true" error="Elige un valor de la lista." errorStyle="stop" errorTitle="Valor no válido" operator="between" prompt="Elige la actividad." showDropDown="false" showErrorMessage="true" showInputMessage="true" sqref="D6:D505" type="list">
      <formula1>CATÁLOGO!$C$5:$C$39</formula1>
      <formula2>0</formula2>
    </dataValidation>
    <dataValidation allowBlank="true" error="Elige un valor de la lista." errorStyle="stop" errorTitle="Valor no válido" operator="between" showDropDown="false" showErrorMessage="true" showInputMessage="false" sqref="G6:G505" type="list">
      <formula1>"Efectivo,Transferencia,Cheque,Tarjeta,Activos virtuales,Mixto,Otro"</formula1>
      <formula2>0</formula2>
    </dataValidation>
    <dataValidation allowBlank="true" error="Elige un valor de la lista." errorStyle="stop" errorTitle="Valor no válido" operator="between" showDropDown="false" showErrorMessage="true" showInputMessage="false" sqref="H6:H505" type="list">
      <formula1>"Sí,No"</formula1>
      <formula2>0</formula2>
    </dataValidation>
    <dataValidation allowBlank="true" error="Elige un valor de la lista." errorStyle="stop" errorTitle="Valor no válido" operator="between" showDropDown="false" showErrorMessage="true" showInputMessage="false" sqref="T6:T505" type="list">
      <formula1>"Pendiente,Presentado"</formula1>
      <formula2>0</formula2>
    </dataValidation>
    <dataValidation allowBlank="true" error="Captura una fecha (dd/mm/aaaa)." errorStyle="stop" operator="greaterThan" showDropDown="false" showErrorMessage="true" showInputMessage="false" sqref="B6:B505 U6:U505" type="date">
      <formula1>36526</formula1>
      <formula2>0</formula2>
    </dataValidation>
    <dataValidation allowBlank="true" error="Captura un número positivo." errorStyle="stop" operator="greaterThanOrEqual" showDropDown="false" showErrorMessage="true" showInputMessage="false" sqref="E6:F505 W6:W5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C27B"/>
    <pageSetUpPr fitToPage="true"/>
  </sheetPr>
  <dimension ref="A1:AF3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15"/>
    <col collapsed="false" customWidth="true" hidden="false" outlineLevel="0" max="5" min="5" style="0" width="17"/>
    <col collapsed="false" customWidth="true" hidden="false" outlineLevel="0" max="6" min="6" style="0" width="12"/>
    <col collapsed="false" customWidth="true" hidden="false" outlineLevel="0" max="7" min="7" style="0" width="13"/>
    <col collapsed="false" customWidth="true" hidden="false" outlineLevel="0" max="8" min="8" style="0" width="11"/>
    <col collapsed="false" customWidth="true" hidden="false" outlineLevel="0" max="9" min="9" style="0" width="9"/>
    <col collapsed="false" customWidth="true" hidden="false" outlineLevel="0" max="12" min="10" style="0" width="13"/>
    <col collapsed="false" customWidth="true" hidden="false" outlineLevel="0" max="13" min="13" style="0" width="15"/>
    <col collapsed="false" customWidth="true" hidden="false" outlineLevel="0" max="14" min="14" style="0" width="12"/>
    <col collapsed="false" customWidth="true" hidden="false" outlineLevel="0" max="15" min="15" style="0" width="13"/>
    <col collapsed="false" customWidth="true" hidden="false" outlineLevel="0" max="16" min="16" style="0" width="11"/>
    <col collapsed="false" customWidth="true" hidden="false" outlineLevel="0" max="17" min="17" style="0" width="14"/>
    <col collapsed="false" customWidth="true" hidden="false" outlineLevel="0" max="19" min="18" style="0" width="13"/>
    <col collapsed="false" customWidth="true" hidden="false" outlineLevel="0" max="20" min="20" style="0" width="12"/>
    <col collapsed="false" customWidth="true" hidden="false" outlineLevel="0" max="21" min="21" style="0" width="26"/>
    <col collapsed="false" customWidth="true" hidden="false" outlineLevel="0" max="22" min="22" style="0" width="9"/>
    <col collapsed="false" customWidth="true" hidden="false" outlineLevel="0" max="23" min="23" style="0" width="11"/>
    <col collapsed="false" customWidth="true" hidden="false" outlineLevel="0" max="24" min="24" style="0" width="9"/>
    <col collapsed="false" customWidth="true" hidden="false" outlineLevel="0" max="26" min="25" style="0" width="11"/>
    <col collapsed="false" customWidth="true" hidden="false" outlineLevel="0" max="27" min="27" style="0" width="34"/>
    <col collapsed="false" customWidth="true" hidden="false" outlineLevel="0" max="29" min="28" style="0" width="13"/>
    <col collapsed="false" customWidth="true" hidden="false" outlineLevel="0" max="30" min="30" style="0" width="40"/>
    <col collapsed="false" customWidth="true" hidden="false" outlineLevel="0" max="31" min="31" style="0" width="10"/>
    <col collapsed="false" customWidth="true" hidden="false" outlineLevel="0" max="32" min="32" style="0" width="16"/>
  </cols>
  <sheetData>
    <row r="1" customFormat="false" ht="27.75" hidden="false" customHeight="true" outlineLevel="0" collapsed="false">
      <c r="A1" s="5" t="s">
        <v>138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row>
    <row r="2" customFormat="false" ht="42" hidden="false" customHeight="true" outlineLevel="0" collapsed="false">
      <c r="A2" s="6" t="s">
        <v>139</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row>
    <row r="5" customFormat="false" ht="42" hidden="false" customHeight="true" outlineLevel="0" collapsed="false">
      <c r="A5" s="17" t="s">
        <v>88</v>
      </c>
      <c r="B5" s="17" t="s">
        <v>140</v>
      </c>
      <c r="C5" s="17" t="s">
        <v>141</v>
      </c>
      <c r="D5" s="17" t="s">
        <v>142</v>
      </c>
      <c r="E5" s="17" t="s">
        <v>143</v>
      </c>
      <c r="F5" s="17" t="s">
        <v>144</v>
      </c>
      <c r="G5" s="17" t="s">
        <v>145</v>
      </c>
      <c r="H5" s="17" t="s">
        <v>146</v>
      </c>
      <c r="I5" s="17" t="s">
        <v>147</v>
      </c>
      <c r="J5" s="17" t="s">
        <v>148</v>
      </c>
      <c r="K5" s="17" t="s">
        <v>149</v>
      </c>
      <c r="L5" s="17" t="s">
        <v>150</v>
      </c>
      <c r="M5" s="17" t="s">
        <v>151</v>
      </c>
      <c r="N5" s="17" t="s">
        <v>152</v>
      </c>
      <c r="O5" s="17" t="s">
        <v>153</v>
      </c>
      <c r="P5" s="17" t="s">
        <v>154</v>
      </c>
      <c r="Q5" s="17" t="s">
        <v>155</v>
      </c>
      <c r="R5" s="17" t="s">
        <v>156</v>
      </c>
      <c r="S5" s="17" t="s">
        <v>157</v>
      </c>
      <c r="T5" s="17" t="s">
        <v>158</v>
      </c>
      <c r="U5" s="17" t="s">
        <v>159</v>
      </c>
      <c r="V5" s="18" t="s">
        <v>160</v>
      </c>
      <c r="W5" s="18" t="s">
        <v>161</v>
      </c>
      <c r="X5" s="18" t="s">
        <v>162</v>
      </c>
      <c r="Y5" s="18" t="s">
        <v>163</v>
      </c>
      <c r="Z5" s="18" t="s">
        <v>164</v>
      </c>
      <c r="AA5" s="18" t="s">
        <v>165</v>
      </c>
      <c r="AB5" s="18" t="s">
        <v>166</v>
      </c>
      <c r="AC5" s="18" t="s">
        <v>167</v>
      </c>
      <c r="AD5" s="18" t="s">
        <v>168</v>
      </c>
      <c r="AE5" s="18" t="s">
        <v>169</v>
      </c>
      <c r="AF5" s="18" t="s">
        <v>170</v>
      </c>
    </row>
    <row r="6" customFormat="false" ht="15" hidden="false" customHeight="false" outlineLevel="0" collapsed="false">
      <c r="A6" s="21" t="s">
        <v>134</v>
      </c>
      <c r="B6" s="21" t="s">
        <v>171</v>
      </c>
      <c r="C6" s="21" t="s">
        <v>172</v>
      </c>
      <c r="D6" s="21" t="s">
        <v>173</v>
      </c>
      <c r="E6" s="21" t="s">
        <v>174</v>
      </c>
      <c r="F6" s="21" t="s">
        <v>175</v>
      </c>
      <c r="G6" s="21" t="s">
        <v>137</v>
      </c>
      <c r="H6" s="21" t="s">
        <v>137</v>
      </c>
      <c r="I6" s="21" t="s">
        <v>137</v>
      </c>
      <c r="J6" s="21" t="s">
        <v>82</v>
      </c>
      <c r="K6" s="21" t="s">
        <v>176</v>
      </c>
      <c r="L6" s="21" t="s">
        <v>177</v>
      </c>
      <c r="M6" s="22" t="n">
        <v>250000</v>
      </c>
      <c r="N6" s="20" t="n">
        <v>46083</v>
      </c>
      <c r="O6" s="20" t="n">
        <v>46083</v>
      </c>
      <c r="P6" s="21" t="s">
        <v>177</v>
      </c>
      <c r="Q6" s="21" t="s">
        <v>178</v>
      </c>
      <c r="R6" s="20" t="n">
        <v>46073</v>
      </c>
      <c r="S6" s="20" t="n">
        <v>46083</v>
      </c>
      <c r="T6" s="21"/>
      <c r="U6" s="21"/>
      <c r="V6" s="9" t="n">
        <f aca="false">IF(A6="","",SUMIFS(CONFIG!$F$5:$F$26,CONFIG!$D$5:$D$26,"Tipo de persona",CONFIG!$E$5:$E$26,C6)+SUMIFS(CONFIG!$F$5:$F$26,CONFIG!$D$5:$D$26,"Residencia",CONFIG!$E$5:$E$26,E6)+SUMIFS(CONFIG!$F$5:$F$26,CONFIG!$D$5:$D$26,"Nacionalidad",CONFIG!$E$5:$E$26,F6)+SUMIFS(CONFIG!$F$5:$F$26,CONFIG!$D$5:$D$26,"Jurisdicción de riesgo",CONFIG!$E$5:$E$26,G6)+SUMIFS(CONFIG!$F$5:$F$26,CONFIG!$D$5:$D$26,"PEP",CONFIG!$E$5:$E$26,H6)+SUMIFS(CONFIG!$F$5:$F$26,CONFIG!$D$5:$D$26,"En listas",CONFIG!$E$5:$E$26,I6)+SUMIFS(CONFIG!$F$5:$F$26,CONFIG!$D$5:$D$26,"Riesgo de su actividad económica",CONFIG!$E$5:$E$26,J6)+SUMIFS(CONFIG!$F$5:$F$26,CONFIG!$D$5:$D$26,"Canal",CONFIG!$E$5:$E$26,K6)+SUMIFS(CONFIG!$F$5:$F$26,CONFIG!$D$5:$D$26,"Origen de recursos documentado",CONFIG!$E$5:$E$26,L6))</f>
        <v>4</v>
      </c>
      <c r="W6" s="9" t="n">
        <f aca="false">IF(A6="","",IF(SUMIF(OPERACIONES!$C$6:$C$505,A6,OPERACIONES!$E$6:$E$505)&gt;0,IF(SUMIF(OPERACIONES!$C$6:$C$505,A6,OPERACIONES!$F$6:$F$505)/SUMIF(OPERACIONES!$C$6:$C$505,A6,OPERACIONES!$E$6:$E$505)&gt;0.5,CONFIG!$B$20,IF(SUMIF(OPERACIONES!$C$6:$C$505,A6,OPERACIONES!$F$6:$F$505)&gt;0,CONFIG!$B$21,0)),0)+IF(COUNTIFS(OPERACIONES!$C$6:$C$505,A6,OPERACIONES!$AQ$6:$AQ$505,1)&gt;0,CONFIG!$B$22,0)+IF(COUNTIFS(OPERACIONES!$C$6:$C$505,A6,OPERACIONES!$H$6:$H$505,"Sí")&gt;0,CONFIG!$B$23,0))</f>
        <v>0</v>
      </c>
      <c r="X6" s="9" t="n">
        <f aca="false">IF(A6="","",V6+W6)</f>
        <v>4</v>
      </c>
      <c r="Y6" s="9" t="str">
        <f aca="false">IF(A6="","",IF(X6&lt;=CONFIG!$B$13,"Bajo",IF(X6&lt;=CONFIG!$B$14,"Medio","Alto")))</f>
        <v>Medio</v>
      </c>
      <c r="Z6" s="25" t="str">
        <f aca="false">IF(A6="","",IF(OR(H6="Extranjera",AND(E6="No residente",G6="Sí"),I6="Sí"),"Alto",IF(T6&lt;&gt;"",T6,Y6)))</f>
        <v>Medio</v>
      </c>
      <c r="AA6" s="26" t="str">
        <f aca="false">IF(A6="","",IF(H6="Extranjera","Alto obligatorio: PEP extranjera (RCG 23 Bis 4)",IF(AND(E6="No residente",G6="Sí"),"Alto obligatorio: no residente vinculado a jurisdicción de riesgo (RCG 23 Bis 4)",IF(I6="Sí","Alto por criterio: persona en listas. Evalúa no operar y Aviso de 24 h",IF(T6&lt;&gt;"","Ajuste del REC: "&amp;U6,"Modelo: "&amp;X6&amp;" puntos")))))</f>
        <v>Modelo: 4 puntos</v>
      </c>
      <c r="AB6" s="23" t="n">
        <f aca="false">IF(A6="","",IF(COUNT(N6,O6)=0,"Falta fecha",EDATE(MAX(N6,O6),IF(Z6="Alto",CONFIG!$B$18,IF(Z6="Medio",CONFIG!$B$17,CONFIG!$B$16)))))</f>
        <v>46267</v>
      </c>
      <c r="AC6" s="23" t="n">
        <f aca="false">IF(A6="","",IF(ISNUMBER(S6),EDATE(S6,12),IF(ISNUMBER(N6),EDATE(N6,12),"Falta fecha")))</f>
        <v>46448</v>
      </c>
      <c r="AD6" s="26" t="str">
        <f aca="false">IF(A6="","",MID(IF(P6&lt;&gt;"Sí"," · Expediente incompleto","")&amp;IF(OR(Q6="",Q6="Pendiente")," · Falta el Beneficiario Controlador","")&amp;IF(M6=""," · Sin perfil transaccional","")&amp;IF(AND(ISNUMBER(AB6),AB6&lt;CONFIG!$B$6)," · Evaluación de riesgo vencida","")&amp;IF(AND(ISNUMBER(AC6),AC6&lt;CONFIG!$B$6)," · Verificación anual vencida","")&amp;IF(AND(ISNUMBER(R6),ISNUMBER(S6),S6-R6&gt;92)," · Comprobante de domicilio con más de 3 meses","")&amp;IF(AND(T6&lt;&gt;"",U6="")," · Ajuste del REC sin justificación",""),4,400))</f>
        <v>Evaluación de riesgo vencida</v>
      </c>
      <c r="AE6" s="9" t="str">
        <f aca="false">IF(A6="","",IF(AD6="","Al día","Revisar"))</f>
        <v>Revisar</v>
      </c>
      <c r="AF6" s="9" t="str">
        <f aca="false">IF(A6="","",COUNTIF(OPERACIONES!$C$6:$C$505,A6)&amp;" / $"&amp;FIXED(SUMIF(OPERACIONES!$C$6:$C$505,A6,OPERACIONES!$E$6:$E$505),0))</f>
        <v>1 / $120,000</v>
      </c>
    </row>
    <row r="7" customFormat="false" ht="15" hidden="false" customHeight="false" outlineLevel="0" collapsed="false">
      <c r="A7" s="21"/>
      <c r="B7" s="21"/>
      <c r="C7" s="21"/>
      <c r="D7" s="21"/>
      <c r="E7" s="21"/>
      <c r="F7" s="21"/>
      <c r="G7" s="21"/>
      <c r="H7" s="21"/>
      <c r="I7" s="21"/>
      <c r="J7" s="21"/>
      <c r="K7" s="21"/>
      <c r="L7" s="21"/>
      <c r="M7" s="22"/>
      <c r="N7" s="20"/>
      <c r="O7" s="20"/>
      <c r="P7" s="21"/>
      <c r="Q7" s="21"/>
      <c r="R7" s="20"/>
      <c r="S7" s="20"/>
      <c r="T7" s="21"/>
      <c r="U7" s="21"/>
      <c r="V7" s="9" t="str">
        <f aca="false">IF(A7="","",SUMIFS(CONFIG!$F$5:$F$26,CONFIG!$D$5:$D$26,"Tipo de persona",CONFIG!$E$5:$E$26,C7)+SUMIFS(CONFIG!$F$5:$F$26,CONFIG!$D$5:$D$26,"Residencia",CONFIG!$E$5:$E$26,E7)+SUMIFS(CONFIG!$F$5:$F$26,CONFIG!$D$5:$D$26,"Nacionalidad",CONFIG!$E$5:$E$26,F7)+SUMIFS(CONFIG!$F$5:$F$26,CONFIG!$D$5:$D$26,"Jurisdicción de riesgo",CONFIG!$E$5:$E$26,G7)+SUMIFS(CONFIG!$F$5:$F$26,CONFIG!$D$5:$D$26,"PEP",CONFIG!$E$5:$E$26,H7)+SUMIFS(CONFIG!$F$5:$F$26,CONFIG!$D$5:$D$26,"En listas",CONFIG!$E$5:$E$26,I7)+SUMIFS(CONFIG!$F$5:$F$26,CONFIG!$D$5:$D$26,"Riesgo de su actividad económica",CONFIG!$E$5:$E$26,J7)+SUMIFS(CONFIG!$F$5:$F$26,CONFIG!$D$5:$D$26,"Canal",CONFIG!$E$5:$E$26,K7)+SUMIFS(CONFIG!$F$5:$F$26,CONFIG!$D$5:$D$26,"Origen de recursos documentado",CONFIG!$E$5:$E$26,L7))</f>
        <v/>
      </c>
      <c r="W7" s="9" t="str">
        <f aca="false">IF(A7="","",IF(SUMIF(OPERACIONES!$C$6:$C$505,A7,OPERACIONES!$E$6:$E$505)&gt;0,IF(SUMIF(OPERACIONES!$C$6:$C$505,A7,OPERACIONES!$F$6:$F$505)/SUMIF(OPERACIONES!$C$6:$C$505,A7,OPERACIONES!$E$6:$E$505)&gt;0.5,CONFIG!$B$20,IF(SUMIF(OPERACIONES!$C$6:$C$505,A7,OPERACIONES!$F$6:$F$505)&gt;0,CONFIG!$B$21,0)),0)+IF(COUNTIFS(OPERACIONES!$C$6:$C$505,A7,OPERACIONES!$AQ$6:$AQ$505,1)&gt;0,CONFIG!$B$22,0)+IF(COUNTIFS(OPERACIONES!$C$6:$C$505,A7,OPERACIONES!$H$6:$H$505,"Sí")&gt;0,CONFIG!$B$23,0))</f>
        <v/>
      </c>
      <c r="X7" s="9" t="str">
        <f aca="false">IF(A7="","",V7+W7)</f>
        <v/>
      </c>
      <c r="Y7" s="9" t="str">
        <f aca="false">IF(A7="","",IF(X7&lt;=CONFIG!$B$13,"Bajo",IF(X7&lt;=CONFIG!$B$14,"Medio","Alto")))</f>
        <v/>
      </c>
      <c r="Z7" s="25" t="str">
        <f aca="false">IF(A7="","",IF(OR(H7="Extranjera",AND(E7="No residente",G7="Sí"),I7="Sí"),"Alto",IF(T7&lt;&gt;"",T7,Y7)))</f>
        <v/>
      </c>
      <c r="AA7" s="26" t="str">
        <f aca="false">IF(A7="","",IF(H7="Extranjera","Alto obligatorio: PEP extranjera (RCG 23 Bis 4)",IF(AND(E7="No residente",G7="Sí"),"Alto obligatorio: no residente vinculado a jurisdicción de riesgo (RCG 23 Bis 4)",IF(I7="Sí","Alto por criterio: persona en listas. Evalúa no operar y Aviso de 24 h",IF(T7&lt;&gt;"","Ajuste del REC: "&amp;U7,"Modelo: "&amp;X7&amp;" puntos")))))</f>
        <v/>
      </c>
      <c r="AB7" s="23" t="str">
        <f aca="false">IF(A7="","",IF(COUNT(N7,O7)=0,"Falta fecha",EDATE(MAX(N7,O7),IF(Z7="Alto",CONFIG!$B$18,IF(Z7="Medio",CONFIG!$B$17,CONFIG!$B$16)))))</f>
        <v/>
      </c>
      <c r="AC7" s="23" t="str">
        <f aca="false">IF(A7="","",IF(ISNUMBER(S7),EDATE(S7,12),IF(ISNUMBER(N7),EDATE(N7,12),"Falta fecha")))</f>
        <v/>
      </c>
      <c r="AD7" s="26" t="str">
        <f aca="false">IF(A7="","",MID(IF(P7&lt;&gt;"Sí"," · Expediente incompleto","")&amp;IF(OR(Q7="",Q7="Pendiente")," · Falta el Beneficiario Controlador","")&amp;IF(M7=""," · Sin perfil transaccional","")&amp;IF(AND(ISNUMBER(AB7),AB7&lt;CONFIG!$B$6)," · Evaluación de riesgo vencida","")&amp;IF(AND(ISNUMBER(AC7),AC7&lt;CONFIG!$B$6)," · Verificación anual vencida","")&amp;IF(AND(ISNUMBER(R7),ISNUMBER(S7),S7-R7&gt;92)," · Comprobante de domicilio con más de 3 meses","")&amp;IF(AND(T7&lt;&gt;"",U7="")," · Ajuste del REC sin justificación",""),4,400))</f>
        <v/>
      </c>
      <c r="AE7" s="9" t="str">
        <f aca="false">IF(A7="","",IF(AD7="","Al día","Revisar"))</f>
        <v/>
      </c>
      <c r="AF7" s="9" t="str">
        <f aca="false">IF(A7="","",COUNTIF(OPERACIONES!$C$6:$C$505,A7)&amp;" / $"&amp;FIXED(SUMIF(OPERACIONES!$C$6:$C$505,A7,OPERACIONES!$E$6:$E$505),0))</f>
        <v/>
      </c>
    </row>
    <row r="8" customFormat="false" ht="15" hidden="false" customHeight="false" outlineLevel="0" collapsed="false">
      <c r="A8" s="21"/>
      <c r="B8" s="21"/>
      <c r="C8" s="21"/>
      <c r="D8" s="21"/>
      <c r="E8" s="21"/>
      <c r="F8" s="21"/>
      <c r="G8" s="21"/>
      <c r="H8" s="21"/>
      <c r="I8" s="21"/>
      <c r="J8" s="21"/>
      <c r="K8" s="21"/>
      <c r="L8" s="21"/>
      <c r="M8" s="22"/>
      <c r="N8" s="20"/>
      <c r="O8" s="20"/>
      <c r="P8" s="21"/>
      <c r="Q8" s="21"/>
      <c r="R8" s="20"/>
      <c r="S8" s="20"/>
      <c r="T8" s="21"/>
      <c r="U8" s="21"/>
      <c r="V8" s="9" t="str">
        <f aca="false">IF(A8="","",SUMIFS(CONFIG!$F$5:$F$26,CONFIG!$D$5:$D$26,"Tipo de persona",CONFIG!$E$5:$E$26,C8)+SUMIFS(CONFIG!$F$5:$F$26,CONFIG!$D$5:$D$26,"Residencia",CONFIG!$E$5:$E$26,E8)+SUMIFS(CONFIG!$F$5:$F$26,CONFIG!$D$5:$D$26,"Nacionalidad",CONFIG!$E$5:$E$26,F8)+SUMIFS(CONFIG!$F$5:$F$26,CONFIG!$D$5:$D$26,"Jurisdicción de riesgo",CONFIG!$E$5:$E$26,G8)+SUMIFS(CONFIG!$F$5:$F$26,CONFIG!$D$5:$D$26,"PEP",CONFIG!$E$5:$E$26,H8)+SUMIFS(CONFIG!$F$5:$F$26,CONFIG!$D$5:$D$26,"En listas",CONFIG!$E$5:$E$26,I8)+SUMIFS(CONFIG!$F$5:$F$26,CONFIG!$D$5:$D$26,"Riesgo de su actividad económica",CONFIG!$E$5:$E$26,J8)+SUMIFS(CONFIG!$F$5:$F$26,CONFIG!$D$5:$D$26,"Canal",CONFIG!$E$5:$E$26,K8)+SUMIFS(CONFIG!$F$5:$F$26,CONFIG!$D$5:$D$26,"Origen de recursos documentado",CONFIG!$E$5:$E$26,L8))</f>
        <v/>
      </c>
      <c r="W8" s="9" t="str">
        <f aca="false">IF(A8="","",IF(SUMIF(OPERACIONES!$C$6:$C$505,A8,OPERACIONES!$E$6:$E$505)&gt;0,IF(SUMIF(OPERACIONES!$C$6:$C$505,A8,OPERACIONES!$F$6:$F$505)/SUMIF(OPERACIONES!$C$6:$C$505,A8,OPERACIONES!$E$6:$E$505)&gt;0.5,CONFIG!$B$20,IF(SUMIF(OPERACIONES!$C$6:$C$505,A8,OPERACIONES!$F$6:$F$505)&gt;0,CONFIG!$B$21,0)),0)+IF(COUNTIFS(OPERACIONES!$C$6:$C$505,A8,OPERACIONES!$AQ$6:$AQ$505,1)&gt;0,CONFIG!$B$22,0)+IF(COUNTIFS(OPERACIONES!$C$6:$C$505,A8,OPERACIONES!$H$6:$H$505,"Sí")&gt;0,CONFIG!$B$23,0))</f>
        <v/>
      </c>
      <c r="X8" s="9" t="str">
        <f aca="false">IF(A8="","",V8+W8)</f>
        <v/>
      </c>
      <c r="Y8" s="9" t="str">
        <f aca="false">IF(A8="","",IF(X8&lt;=CONFIG!$B$13,"Bajo",IF(X8&lt;=CONFIG!$B$14,"Medio","Alto")))</f>
        <v/>
      </c>
      <c r="Z8" s="25" t="str">
        <f aca="false">IF(A8="","",IF(OR(H8="Extranjera",AND(E8="No residente",G8="Sí"),I8="Sí"),"Alto",IF(T8&lt;&gt;"",T8,Y8)))</f>
        <v/>
      </c>
      <c r="AA8" s="26" t="str">
        <f aca="false">IF(A8="","",IF(H8="Extranjera","Alto obligatorio: PEP extranjera (RCG 23 Bis 4)",IF(AND(E8="No residente",G8="Sí"),"Alto obligatorio: no residente vinculado a jurisdicción de riesgo (RCG 23 Bis 4)",IF(I8="Sí","Alto por criterio: persona en listas. Evalúa no operar y Aviso de 24 h",IF(T8&lt;&gt;"","Ajuste del REC: "&amp;U8,"Modelo: "&amp;X8&amp;" puntos")))))</f>
        <v/>
      </c>
      <c r="AB8" s="23" t="str">
        <f aca="false">IF(A8="","",IF(COUNT(N8,O8)=0,"Falta fecha",EDATE(MAX(N8,O8),IF(Z8="Alto",CONFIG!$B$18,IF(Z8="Medio",CONFIG!$B$17,CONFIG!$B$16)))))</f>
        <v/>
      </c>
      <c r="AC8" s="23" t="str">
        <f aca="false">IF(A8="","",IF(ISNUMBER(S8),EDATE(S8,12),IF(ISNUMBER(N8),EDATE(N8,12),"Falta fecha")))</f>
        <v/>
      </c>
      <c r="AD8" s="26" t="str">
        <f aca="false">IF(A8="","",MID(IF(P8&lt;&gt;"Sí"," · Expediente incompleto","")&amp;IF(OR(Q8="",Q8="Pendiente")," · Falta el Beneficiario Controlador","")&amp;IF(M8=""," · Sin perfil transaccional","")&amp;IF(AND(ISNUMBER(AB8),AB8&lt;CONFIG!$B$6)," · Evaluación de riesgo vencida","")&amp;IF(AND(ISNUMBER(AC8),AC8&lt;CONFIG!$B$6)," · Verificación anual vencida","")&amp;IF(AND(ISNUMBER(R8),ISNUMBER(S8),S8-R8&gt;92)," · Comprobante de domicilio con más de 3 meses","")&amp;IF(AND(T8&lt;&gt;"",U8="")," · Ajuste del REC sin justificación",""),4,400))</f>
        <v/>
      </c>
      <c r="AE8" s="9" t="str">
        <f aca="false">IF(A8="","",IF(AD8="","Al día","Revisar"))</f>
        <v/>
      </c>
      <c r="AF8" s="9" t="str">
        <f aca="false">IF(A8="","",COUNTIF(OPERACIONES!$C$6:$C$505,A8)&amp;" / $"&amp;FIXED(SUMIF(OPERACIONES!$C$6:$C$505,A8,OPERACIONES!$E$6:$E$505),0))</f>
        <v/>
      </c>
    </row>
    <row r="9" customFormat="false" ht="15" hidden="false" customHeight="false" outlineLevel="0" collapsed="false">
      <c r="A9" s="21"/>
      <c r="B9" s="21"/>
      <c r="C9" s="21"/>
      <c r="D9" s="21"/>
      <c r="E9" s="21"/>
      <c r="F9" s="21"/>
      <c r="G9" s="21"/>
      <c r="H9" s="21"/>
      <c r="I9" s="21"/>
      <c r="J9" s="21"/>
      <c r="K9" s="21"/>
      <c r="L9" s="21"/>
      <c r="M9" s="22"/>
      <c r="N9" s="20"/>
      <c r="O9" s="20"/>
      <c r="P9" s="21"/>
      <c r="Q9" s="21"/>
      <c r="R9" s="20"/>
      <c r="S9" s="20"/>
      <c r="T9" s="21"/>
      <c r="U9" s="21"/>
      <c r="V9" s="9" t="str">
        <f aca="false">IF(A9="","",SUMIFS(CONFIG!$F$5:$F$26,CONFIG!$D$5:$D$26,"Tipo de persona",CONFIG!$E$5:$E$26,C9)+SUMIFS(CONFIG!$F$5:$F$26,CONFIG!$D$5:$D$26,"Residencia",CONFIG!$E$5:$E$26,E9)+SUMIFS(CONFIG!$F$5:$F$26,CONFIG!$D$5:$D$26,"Nacionalidad",CONFIG!$E$5:$E$26,F9)+SUMIFS(CONFIG!$F$5:$F$26,CONFIG!$D$5:$D$26,"Jurisdicción de riesgo",CONFIG!$E$5:$E$26,G9)+SUMIFS(CONFIG!$F$5:$F$26,CONFIG!$D$5:$D$26,"PEP",CONFIG!$E$5:$E$26,H9)+SUMIFS(CONFIG!$F$5:$F$26,CONFIG!$D$5:$D$26,"En listas",CONFIG!$E$5:$E$26,I9)+SUMIFS(CONFIG!$F$5:$F$26,CONFIG!$D$5:$D$26,"Riesgo de su actividad económica",CONFIG!$E$5:$E$26,J9)+SUMIFS(CONFIG!$F$5:$F$26,CONFIG!$D$5:$D$26,"Canal",CONFIG!$E$5:$E$26,K9)+SUMIFS(CONFIG!$F$5:$F$26,CONFIG!$D$5:$D$26,"Origen de recursos documentado",CONFIG!$E$5:$E$26,L9))</f>
        <v/>
      </c>
      <c r="W9" s="9" t="str">
        <f aca="false">IF(A9="","",IF(SUMIF(OPERACIONES!$C$6:$C$505,A9,OPERACIONES!$E$6:$E$505)&gt;0,IF(SUMIF(OPERACIONES!$C$6:$C$505,A9,OPERACIONES!$F$6:$F$505)/SUMIF(OPERACIONES!$C$6:$C$505,A9,OPERACIONES!$E$6:$E$505)&gt;0.5,CONFIG!$B$20,IF(SUMIF(OPERACIONES!$C$6:$C$505,A9,OPERACIONES!$F$6:$F$505)&gt;0,CONFIG!$B$21,0)),0)+IF(COUNTIFS(OPERACIONES!$C$6:$C$505,A9,OPERACIONES!$AQ$6:$AQ$505,1)&gt;0,CONFIG!$B$22,0)+IF(COUNTIFS(OPERACIONES!$C$6:$C$505,A9,OPERACIONES!$H$6:$H$505,"Sí")&gt;0,CONFIG!$B$23,0))</f>
        <v/>
      </c>
      <c r="X9" s="9" t="str">
        <f aca="false">IF(A9="","",V9+W9)</f>
        <v/>
      </c>
      <c r="Y9" s="9" t="str">
        <f aca="false">IF(A9="","",IF(X9&lt;=CONFIG!$B$13,"Bajo",IF(X9&lt;=CONFIG!$B$14,"Medio","Alto")))</f>
        <v/>
      </c>
      <c r="Z9" s="25" t="str">
        <f aca="false">IF(A9="","",IF(OR(H9="Extranjera",AND(E9="No residente",G9="Sí"),I9="Sí"),"Alto",IF(T9&lt;&gt;"",T9,Y9)))</f>
        <v/>
      </c>
      <c r="AA9" s="26" t="str">
        <f aca="false">IF(A9="","",IF(H9="Extranjera","Alto obligatorio: PEP extranjera (RCG 23 Bis 4)",IF(AND(E9="No residente",G9="Sí"),"Alto obligatorio: no residente vinculado a jurisdicción de riesgo (RCG 23 Bis 4)",IF(I9="Sí","Alto por criterio: persona en listas. Evalúa no operar y Aviso de 24 h",IF(T9&lt;&gt;"","Ajuste del REC: "&amp;U9,"Modelo: "&amp;X9&amp;" puntos")))))</f>
        <v/>
      </c>
      <c r="AB9" s="23" t="str">
        <f aca="false">IF(A9="","",IF(COUNT(N9,O9)=0,"Falta fecha",EDATE(MAX(N9,O9),IF(Z9="Alto",CONFIG!$B$18,IF(Z9="Medio",CONFIG!$B$17,CONFIG!$B$16)))))</f>
        <v/>
      </c>
      <c r="AC9" s="23" t="str">
        <f aca="false">IF(A9="","",IF(ISNUMBER(S9),EDATE(S9,12),IF(ISNUMBER(N9),EDATE(N9,12),"Falta fecha")))</f>
        <v/>
      </c>
      <c r="AD9" s="26" t="str">
        <f aca="false">IF(A9="","",MID(IF(P9&lt;&gt;"Sí"," · Expediente incompleto","")&amp;IF(OR(Q9="",Q9="Pendiente")," · Falta el Beneficiario Controlador","")&amp;IF(M9=""," · Sin perfil transaccional","")&amp;IF(AND(ISNUMBER(AB9),AB9&lt;CONFIG!$B$6)," · Evaluación de riesgo vencida","")&amp;IF(AND(ISNUMBER(AC9),AC9&lt;CONFIG!$B$6)," · Verificación anual vencida","")&amp;IF(AND(ISNUMBER(R9),ISNUMBER(S9),S9-R9&gt;92)," · Comprobante de domicilio con más de 3 meses","")&amp;IF(AND(T9&lt;&gt;"",U9="")," · Ajuste del REC sin justificación",""),4,400))</f>
        <v/>
      </c>
      <c r="AE9" s="9" t="str">
        <f aca="false">IF(A9="","",IF(AD9="","Al día","Revisar"))</f>
        <v/>
      </c>
      <c r="AF9" s="9" t="str">
        <f aca="false">IF(A9="","",COUNTIF(OPERACIONES!$C$6:$C$505,A9)&amp;" / $"&amp;FIXED(SUMIF(OPERACIONES!$C$6:$C$505,A9,OPERACIONES!$E$6:$E$505),0))</f>
        <v/>
      </c>
    </row>
    <row r="10" customFormat="false" ht="15" hidden="false" customHeight="false" outlineLevel="0" collapsed="false">
      <c r="A10" s="21"/>
      <c r="B10" s="21"/>
      <c r="C10" s="21"/>
      <c r="D10" s="21"/>
      <c r="E10" s="21"/>
      <c r="F10" s="21"/>
      <c r="G10" s="21"/>
      <c r="H10" s="21"/>
      <c r="I10" s="21"/>
      <c r="J10" s="21"/>
      <c r="K10" s="21"/>
      <c r="L10" s="21"/>
      <c r="M10" s="22"/>
      <c r="N10" s="20"/>
      <c r="O10" s="20"/>
      <c r="P10" s="21"/>
      <c r="Q10" s="21"/>
      <c r="R10" s="20"/>
      <c r="S10" s="20"/>
      <c r="T10" s="21"/>
      <c r="U10" s="21"/>
      <c r="V10" s="9" t="str">
        <f aca="false">IF(A10="","",SUMIFS(CONFIG!$F$5:$F$26,CONFIG!$D$5:$D$26,"Tipo de persona",CONFIG!$E$5:$E$26,C10)+SUMIFS(CONFIG!$F$5:$F$26,CONFIG!$D$5:$D$26,"Residencia",CONFIG!$E$5:$E$26,E10)+SUMIFS(CONFIG!$F$5:$F$26,CONFIG!$D$5:$D$26,"Nacionalidad",CONFIG!$E$5:$E$26,F10)+SUMIFS(CONFIG!$F$5:$F$26,CONFIG!$D$5:$D$26,"Jurisdicción de riesgo",CONFIG!$E$5:$E$26,G10)+SUMIFS(CONFIG!$F$5:$F$26,CONFIG!$D$5:$D$26,"PEP",CONFIG!$E$5:$E$26,H10)+SUMIFS(CONFIG!$F$5:$F$26,CONFIG!$D$5:$D$26,"En listas",CONFIG!$E$5:$E$26,I10)+SUMIFS(CONFIG!$F$5:$F$26,CONFIG!$D$5:$D$26,"Riesgo de su actividad económica",CONFIG!$E$5:$E$26,J10)+SUMIFS(CONFIG!$F$5:$F$26,CONFIG!$D$5:$D$26,"Canal",CONFIG!$E$5:$E$26,K10)+SUMIFS(CONFIG!$F$5:$F$26,CONFIG!$D$5:$D$26,"Origen de recursos documentado",CONFIG!$E$5:$E$26,L10))</f>
        <v/>
      </c>
      <c r="W10" s="9" t="str">
        <f aca="false">IF(A10="","",IF(SUMIF(OPERACIONES!$C$6:$C$505,A10,OPERACIONES!$E$6:$E$505)&gt;0,IF(SUMIF(OPERACIONES!$C$6:$C$505,A10,OPERACIONES!$F$6:$F$505)/SUMIF(OPERACIONES!$C$6:$C$505,A10,OPERACIONES!$E$6:$E$505)&gt;0.5,CONFIG!$B$20,IF(SUMIF(OPERACIONES!$C$6:$C$505,A10,OPERACIONES!$F$6:$F$505)&gt;0,CONFIG!$B$21,0)),0)+IF(COUNTIFS(OPERACIONES!$C$6:$C$505,A10,OPERACIONES!$AQ$6:$AQ$505,1)&gt;0,CONFIG!$B$22,0)+IF(COUNTIFS(OPERACIONES!$C$6:$C$505,A10,OPERACIONES!$H$6:$H$505,"Sí")&gt;0,CONFIG!$B$23,0))</f>
        <v/>
      </c>
      <c r="X10" s="9" t="str">
        <f aca="false">IF(A10="","",V10+W10)</f>
        <v/>
      </c>
      <c r="Y10" s="9" t="str">
        <f aca="false">IF(A10="","",IF(X10&lt;=CONFIG!$B$13,"Bajo",IF(X10&lt;=CONFIG!$B$14,"Medio","Alto")))</f>
        <v/>
      </c>
      <c r="Z10" s="25" t="str">
        <f aca="false">IF(A10="","",IF(OR(H10="Extranjera",AND(E10="No residente",G10="Sí"),I10="Sí"),"Alto",IF(T10&lt;&gt;"",T10,Y10)))</f>
        <v/>
      </c>
      <c r="AA10" s="26" t="str">
        <f aca="false">IF(A10="","",IF(H10="Extranjera","Alto obligatorio: PEP extranjera (RCG 23 Bis 4)",IF(AND(E10="No residente",G10="Sí"),"Alto obligatorio: no residente vinculado a jurisdicción de riesgo (RCG 23 Bis 4)",IF(I10="Sí","Alto por criterio: persona en listas. Evalúa no operar y Aviso de 24 h",IF(T10&lt;&gt;"","Ajuste del REC: "&amp;U10,"Modelo: "&amp;X10&amp;" puntos")))))</f>
        <v/>
      </c>
      <c r="AB10" s="23" t="str">
        <f aca="false">IF(A10="","",IF(COUNT(N10,O10)=0,"Falta fecha",EDATE(MAX(N10,O10),IF(Z10="Alto",CONFIG!$B$18,IF(Z10="Medio",CONFIG!$B$17,CONFIG!$B$16)))))</f>
        <v/>
      </c>
      <c r="AC10" s="23" t="str">
        <f aca="false">IF(A10="","",IF(ISNUMBER(S10),EDATE(S10,12),IF(ISNUMBER(N10),EDATE(N10,12),"Falta fecha")))</f>
        <v/>
      </c>
      <c r="AD10" s="26" t="str">
        <f aca="false">IF(A10="","",MID(IF(P10&lt;&gt;"Sí"," · Expediente incompleto","")&amp;IF(OR(Q10="",Q10="Pendiente")," · Falta el Beneficiario Controlador","")&amp;IF(M10=""," · Sin perfil transaccional","")&amp;IF(AND(ISNUMBER(AB10),AB10&lt;CONFIG!$B$6)," · Evaluación de riesgo vencida","")&amp;IF(AND(ISNUMBER(AC10),AC10&lt;CONFIG!$B$6)," · Verificación anual vencida","")&amp;IF(AND(ISNUMBER(R10),ISNUMBER(S10),S10-R10&gt;92)," · Comprobante de domicilio con más de 3 meses","")&amp;IF(AND(T10&lt;&gt;"",U10="")," · Ajuste del REC sin justificación",""),4,400))</f>
        <v/>
      </c>
      <c r="AE10" s="9" t="str">
        <f aca="false">IF(A10="","",IF(AD10="","Al día","Revisar"))</f>
        <v/>
      </c>
      <c r="AF10" s="9" t="str">
        <f aca="false">IF(A10="","",COUNTIF(OPERACIONES!$C$6:$C$505,A10)&amp;" / $"&amp;FIXED(SUMIF(OPERACIONES!$C$6:$C$505,A10,OPERACIONES!$E$6:$E$505),0))</f>
        <v/>
      </c>
    </row>
    <row r="11" customFormat="false" ht="15" hidden="false" customHeight="false" outlineLevel="0" collapsed="false">
      <c r="A11" s="21"/>
      <c r="B11" s="21"/>
      <c r="C11" s="21"/>
      <c r="D11" s="21"/>
      <c r="E11" s="21"/>
      <c r="F11" s="21"/>
      <c r="G11" s="21"/>
      <c r="H11" s="21"/>
      <c r="I11" s="21"/>
      <c r="J11" s="21"/>
      <c r="K11" s="21"/>
      <c r="L11" s="21"/>
      <c r="M11" s="22"/>
      <c r="N11" s="20"/>
      <c r="O11" s="20"/>
      <c r="P11" s="21"/>
      <c r="Q11" s="21"/>
      <c r="R11" s="20"/>
      <c r="S11" s="20"/>
      <c r="T11" s="21"/>
      <c r="U11" s="21"/>
      <c r="V11" s="9" t="str">
        <f aca="false">IF(A11="","",SUMIFS(CONFIG!$F$5:$F$26,CONFIG!$D$5:$D$26,"Tipo de persona",CONFIG!$E$5:$E$26,C11)+SUMIFS(CONFIG!$F$5:$F$26,CONFIG!$D$5:$D$26,"Residencia",CONFIG!$E$5:$E$26,E11)+SUMIFS(CONFIG!$F$5:$F$26,CONFIG!$D$5:$D$26,"Nacionalidad",CONFIG!$E$5:$E$26,F11)+SUMIFS(CONFIG!$F$5:$F$26,CONFIG!$D$5:$D$26,"Jurisdicción de riesgo",CONFIG!$E$5:$E$26,G11)+SUMIFS(CONFIG!$F$5:$F$26,CONFIG!$D$5:$D$26,"PEP",CONFIG!$E$5:$E$26,H11)+SUMIFS(CONFIG!$F$5:$F$26,CONFIG!$D$5:$D$26,"En listas",CONFIG!$E$5:$E$26,I11)+SUMIFS(CONFIG!$F$5:$F$26,CONFIG!$D$5:$D$26,"Riesgo de su actividad económica",CONFIG!$E$5:$E$26,J11)+SUMIFS(CONFIG!$F$5:$F$26,CONFIG!$D$5:$D$26,"Canal",CONFIG!$E$5:$E$26,K11)+SUMIFS(CONFIG!$F$5:$F$26,CONFIG!$D$5:$D$26,"Origen de recursos documentado",CONFIG!$E$5:$E$26,L11))</f>
        <v/>
      </c>
      <c r="W11" s="9" t="str">
        <f aca="false">IF(A11="","",IF(SUMIF(OPERACIONES!$C$6:$C$505,A11,OPERACIONES!$E$6:$E$505)&gt;0,IF(SUMIF(OPERACIONES!$C$6:$C$505,A11,OPERACIONES!$F$6:$F$505)/SUMIF(OPERACIONES!$C$6:$C$505,A11,OPERACIONES!$E$6:$E$505)&gt;0.5,CONFIG!$B$20,IF(SUMIF(OPERACIONES!$C$6:$C$505,A11,OPERACIONES!$F$6:$F$505)&gt;0,CONFIG!$B$21,0)),0)+IF(COUNTIFS(OPERACIONES!$C$6:$C$505,A11,OPERACIONES!$AQ$6:$AQ$505,1)&gt;0,CONFIG!$B$22,0)+IF(COUNTIFS(OPERACIONES!$C$6:$C$505,A11,OPERACIONES!$H$6:$H$505,"Sí")&gt;0,CONFIG!$B$23,0))</f>
        <v/>
      </c>
      <c r="X11" s="9" t="str">
        <f aca="false">IF(A11="","",V11+W11)</f>
        <v/>
      </c>
      <c r="Y11" s="9" t="str">
        <f aca="false">IF(A11="","",IF(X11&lt;=CONFIG!$B$13,"Bajo",IF(X11&lt;=CONFIG!$B$14,"Medio","Alto")))</f>
        <v/>
      </c>
      <c r="Z11" s="25" t="str">
        <f aca="false">IF(A11="","",IF(OR(H11="Extranjera",AND(E11="No residente",G11="Sí"),I11="Sí"),"Alto",IF(T11&lt;&gt;"",T11,Y11)))</f>
        <v/>
      </c>
      <c r="AA11" s="26" t="str">
        <f aca="false">IF(A11="","",IF(H11="Extranjera","Alto obligatorio: PEP extranjera (RCG 23 Bis 4)",IF(AND(E11="No residente",G11="Sí"),"Alto obligatorio: no residente vinculado a jurisdicción de riesgo (RCG 23 Bis 4)",IF(I11="Sí","Alto por criterio: persona en listas. Evalúa no operar y Aviso de 24 h",IF(T11&lt;&gt;"","Ajuste del REC: "&amp;U11,"Modelo: "&amp;X11&amp;" puntos")))))</f>
        <v/>
      </c>
      <c r="AB11" s="23" t="str">
        <f aca="false">IF(A11="","",IF(COUNT(N11,O11)=0,"Falta fecha",EDATE(MAX(N11,O11),IF(Z11="Alto",CONFIG!$B$18,IF(Z11="Medio",CONFIG!$B$17,CONFIG!$B$16)))))</f>
        <v/>
      </c>
      <c r="AC11" s="23" t="str">
        <f aca="false">IF(A11="","",IF(ISNUMBER(S11),EDATE(S11,12),IF(ISNUMBER(N11),EDATE(N11,12),"Falta fecha")))</f>
        <v/>
      </c>
      <c r="AD11" s="26" t="str">
        <f aca="false">IF(A11="","",MID(IF(P11&lt;&gt;"Sí"," · Expediente incompleto","")&amp;IF(OR(Q11="",Q11="Pendiente")," · Falta el Beneficiario Controlador","")&amp;IF(M11=""," · Sin perfil transaccional","")&amp;IF(AND(ISNUMBER(AB11),AB11&lt;CONFIG!$B$6)," · Evaluación de riesgo vencida","")&amp;IF(AND(ISNUMBER(AC11),AC11&lt;CONFIG!$B$6)," · Verificación anual vencida","")&amp;IF(AND(ISNUMBER(R11),ISNUMBER(S11),S11-R11&gt;92)," · Comprobante de domicilio con más de 3 meses","")&amp;IF(AND(T11&lt;&gt;"",U11="")," · Ajuste del REC sin justificación",""),4,400))</f>
        <v/>
      </c>
      <c r="AE11" s="9" t="str">
        <f aca="false">IF(A11="","",IF(AD11="","Al día","Revisar"))</f>
        <v/>
      </c>
      <c r="AF11" s="9" t="str">
        <f aca="false">IF(A11="","",COUNTIF(OPERACIONES!$C$6:$C$505,A11)&amp;" / $"&amp;FIXED(SUMIF(OPERACIONES!$C$6:$C$505,A11,OPERACIONES!$E$6:$E$505),0))</f>
        <v/>
      </c>
    </row>
    <row r="12" customFormat="false" ht="15" hidden="false" customHeight="false" outlineLevel="0" collapsed="false">
      <c r="A12" s="21"/>
      <c r="B12" s="21"/>
      <c r="C12" s="21"/>
      <c r="D12" s="21"/>
      <c r="E12" s="21"/>
      <c r="F12" s="21"/>
      <c r="G12" s="21"/>
      <c r="H12" s="21"/>
      <c r="I12" s="21"/>
      <c r="J12" s="21"/>
      <c r="K12" s="21"/>
      <c r="L12" s="21"/>
      <c r="M12" s="22"/>
      <c r="N12" s="20"/>
      <c r="O12" s="20"/>
      <c r="P12" s="21"/>
      <c r="Q12" s="21"/>
      <c r="R12" s="20"/>
      <c r="S12" s="20"/>
      <c r="T12" s="21"/>
      <c r="U12" s="21"/>
      <c r="V12" s="9" t="str">
        <f aca="false">IF(A12="","",SUMIFS(CONFIG!$F$5:$F$26,CONFIG!$D$5:$D$26,"Tipo de persona",CONFIG!$E$5:$E$26,C12)+SUMIFS(CONFIG!$F$5:$F$26,CONFIG!$D$5:$D$26,"Residencia",CONFIG!$E$5:$E$26,E12)+SUMIFS(CONFIG!$F$5:$F$26,CONFIG!$D$5:$D$26,"Nacionalidad",CONFIG!$E$5:$E$26,F12)+SUMIFS(CONFIG!$F$5:$F$26,CONFIG!$D$5:$D$26,"Jurisdicción de riesgo",CONFIG!$E$5:$E$26,G12)+SUMIFS(CONFIG!$F$5:$F$26,CONFIG!$D$5:$D$26,"PEP",CONFIG!$E$5:$E$26,H12)+SUMIFS(CONFIG!$F$5:$F$26,CONFIG!$D$5:$D$26,"En listas",CONFIG!$E$5:$E$26,I12)+SUMIFS(CONFIG!$F$5:$F$26,CONFIG!$D$5:$D$26,"Riesgo de su actividad económica",CONFIG!$E$5:$E$26,J12)+SUMIFS(CONFIG!$F$5:$F$26,CONFIG!$D$5:$D$26,"Canal",CONFIG!$E$5:$E$26,K12)+SUMIFS(CONFIG!$F$5:$F$26,CONFIG!$D$5:$D$26,"Origen de recursos documentado",CONFIG!$E$5:$E$26,L12))</f>
        <v/>
      </c>
      <c r="W12" s="9" t="str">
        <f aca="false">IF(A12="","",IF(SUMIF(OPERACIONES!$C$6:$C$505,A12,OPERACIONES!$E$6:$E$505)&gt;0,IF(SUMIF(OPERACIONES!$C$6:$C$505,A12,OPERACIONES!$F$6:$F$505)/SUMIF(OPERACIONES!$C$6:$C$505,A12,OPERACIONES!$E$6:$E$505)&gt;0.5,CONFIG!$B$20,IF(SUMIF(OPERACIONES!$C$6:$C$505,A12,OPERACIONES!$F$6:$F$505)&gt;0,CONFIG!$B$21,0)),0)+IF(COUNTIFS(OPERACIONES!$C$6:$C$505,A12,OPERACIONES!$AQ$6:$AQ$505,1)&gt;0,CONFIG!$B$22,0)+IF(COUNTIFS(OPERACIONES!$C$6:$C$505,A12,OPERACIONES!$H$6:$H$505,"Sí")&gt;0,CONFIG!$B$23,0))</f>
        <v/>
      </c>
      <c r="X12" s="9" t="str">
        <f aca="false">IF(A12="","",V12+W12)</f>
        <v/>
      </c>
      <c r="Y12" s="9" t="str">
        <f aca="false">IF(A12="","",IF(X12&lt;=CONFIG!$B$13,"Bajo",IF(X12&lt;=CONFIG!$B$14,"Medio","Alto")))</f>
        <v/>
      </c>
      <c r="Z12" s="25" t="str">
        <f aca="false">IF(A12="","",IF(OR(H12="Extranjera",AND(E12="No residente",G12="Sí"),I12="Sí"),"Alto",IF(T12&lt;&gt;"",T12,Y12)))</f>
        <v/>
      </c>
      <c r="AA12" s="26" t="str">
        <f aca="false">IF(A12="","",IF(H12="Extranjera","Alto obligatorio: PEP extranjera (RCG 23 Bis 4)",IF(AND(E12="No residente",G12="Sí"),"Alto obligatorio: no residente vinculado a jurisdicción de riesgo (RCG 23 Bis 4)",IF(I12="Sí","Alto por criterio: persona en listas. Evalúa no operar y Aviso de 24 h",IF(T12&lt;&gt;"","Ajuste del REC: "&amp;U12,"Modelo: "&amp;X12&amp;" puntos")))))</f>
        <v/>
      </c>
      <c r="AB12" s="23" t="str">
        <f aca="false">IF(A12="","",IF(COUNT(N12,O12)=0,"Falta fecha",EDATE(MAX(N12,O12),IF(Z12="Alto",CONFIG!$B$18,IF(Z12="Medio",CONFIG!$B$17,CONFIG!$B$16)))))</f>
        <v/>
      </c>
      <c r="AC12" s="23" t="str">
        <f aca="false">IF(A12="","",IF(ISNUMBER(S12),EDATE(S12,12),IF(ISNUMBER(N12),EDATE(N12,12),"Falta fecha")))</f>
        <v/>
      </c>
      <c r="AD12" s="26" t="str">
        <f aca="false">IF(A12="","",MID(IF(P12&lt;&gt;"Sí"," · Expediente incompleto","")&amp;IF(OR(Q12="",Q12="Pendiente")," · Falta el Beneficiario Controlador","")&amp;IF(M12=""," · Sin perfil transaccional","")&amp;IF(AND(ISNUMBER(AB12),AB12&lt;CONFIG!$B$6)," · Evaluación de riesgo vencida","")&amp;IF(AND(ISNUMBER(AC12),AC12&lt;CONFIG!$B$6)," · Verificación anual vencida","")&amp;IF(AND(ISNUMBER(R12),ISNUMBER(S12),S12-R12&gt;92)," · Comprobante de domicilio con más de 3 meses","")&amp;IF(AND(T12&lt;&gt;"",U12="")," · Ajuste del REC sin justificación",""),4,400))</f>
        <v/>
      </c>
      <c r="AE12" s="9" t="str">
        <f aca="false">IF(A12="","",IF(AD12="","Al día","Revisar"))</f>
        <v/>
      </c>
      <c r="AF12" s="9" t="str">
        <f aca="false">IF(A12="","",COUNTIF(OPERACIONES!$C$6:$C$505,A12)&amp;" / $"&amp;FIXED(SUMIF(OPERACIONES!$C$6:$C$505,A12,OPERACIONES!$E$6:$E$505),0))</f>
        <v/>
      </c>
    </row>
    <row r="13" customFormat="false" ht="15" hidden="false" customHeight="false" outlineLevel="0" collapsed="false">
      <c r="A13" s="21"/>
      <c r="B13" s="21"/>
      <c r="C13" s="21"/>
      <c r="D13" s="21"/>
      <c r="E13" s="21"/>
      <c r="F13" s="21"/>
      <c r="G13" s="21"/>
      <c r="H13" s="21"/>
      <c r="I13" s="21"/>
      <c r="J13" s="21"/>
      <c r="K13" s="21"/>
      <c r="L13" s="21"/>
      <c r="M13" s="22"/>
      <c r="N13" s="20"/>
      <c r="O13" s="20"/>
      <c r="P13" s="21"/>
      <c r="Q13" s="21"/>
      <c r="R13" s="20"/>
      <c r="S13" s="20"/>
      <c r="T13" s="21"/>
      <c r="U13" s="21"/>
      <c r="V13" s="9" t="str">
        <f aca="false">IF(A13="","",SUMIFS(CONFIG!$F$5:$F$26,CONFIG!$D$5:$D$26,"Tipo de persona",CONFIG!$E$5:$E$26,C13)+SUMIFS(CONFIG!$F$5:$F$26,CONFIG!$D$5:$D$26,"Residencia",CONFIG!$E$5:$E$26,E13)+SUMIFS(CONFIG!$F$5:$F$26,CONFIG!$D$5:$D$26,"Nacionalidad",CONFIG!$E$5:$E$26,F13)+SUMIFS(CONFIG!$F$5:$F$26,CONFIG!$D$5:$D$26,"Jurisdicción de riesgo",CONFIG!$E$5:$E$26,G13)+SUMIFS(CONFIG!$F$5:$F$26,CONFIG!$D$5:$D$26,"PEP",CONFIG!$E$5:$E$26,H13)+SUMIFS(CONFIG!$F$5:$F$26,CONFIG!$D$5:$D$26,"En listas",CONFIG!$E$5:$E$26,I13)+SUMIFS(CONFIG!$F$5:$F$26,CONFIG!$D$5:$D$26,"Riesgo de su actividad económica",CONFIG!$E$5:$E$26,J13)+SUMIFS(CONFIG!$F$5:$F$26,CONFIG!$D$5:$D$26,"Canal",CONFIG!$E$5:$E$26,K13)+SUMIFS(CONFIG!$F$5:$F$26,CONFIG!$D$5:$D$26,"Origen de recursos documentado",CONFIG!$E$5:$E$26,L13))</f>
        <v/>
      </c>
      <c r="W13" s="9" t="str">
        <f aca="false">IF(A13="","",IF(SUMIF(OPERACIONES!$C$6:$C$505,A13,OPERACIONES!$E$6:$E$505)&gt;0,IF(SUMIF(OPERACIONES!$C$6:$C$505,A13,OPERACIONES!$F$6:$F$505)/SUMIF(OPERACIONES!$C$6:$C$505,A13,OPERACIONES!$E$6:$E$505)&gt;0.5,CONFIG!$B$20,IF(SUMIF(OPERACIONES!$C$6:$C$505,A13,OPERACIONES!$F$6:$F$505)&gt;0,CONFIG!$B$21,0)),0)+IF(COUNTIFS(OPERACIONES!$C$6:$C$505,A13,OPERACIONES!$AQ$6:$AQ$505,1)&gt;0,CONFIG!$B$22,0)+IF(COUNTIFS(OPERACIONES!$C$6:$C$505,A13,OPERACIONES!$H$6:$H$505,"Sí")&gt;0,CONFIG!$B$23,0))</f>
        <v/>
      </c>
      <c r="X13" s="9" t="str">
        <f aca="false">IF(A13="","",V13+W13)</f>
        <v/>
      </c>
      <c r="Y13" s="9" t="str">
        <f aca="false">IF(A13="","",IF(X13&lt;=CONFIG!$B$13,"Bajo",IF(X13&lt;=CONFIG!$B$14,"Medio","Alto")))</f>
        <v/>
      </c>
      <c r="Z13" s="25" t="str">
        <f aca="false">IF(A13="","",IF(OR(H13="Extranjera",AND(E13="No residente",G13="Sí"),I13="Sí"),"Alto",IF(T13&lt;&gt;"",T13,Y13)))</f>
        <v/>
      </c>
      <c r="AA13" s="26" t="str">
        <f aca="false">IF(A13="","",IF(H13="Extranjera","Alto obligatorio: PEP extranjera (RCG 23 Bis 4)",IF(AND(E13="No residente",G13="Sí"),"Alto obligatorio: no residente vinculado a jurisdicción de riesgo (RCG 23 Bis 4)",IF(I13="Sí","Alto por criterio: persona en listas. Evalúa no operar y Aviso de 24 h",IF(T13&lt;&gt;"","Ajuste del REC: "&amp;U13,"Modelo: "&amp;X13&amp;" puntos")))))</f>
        <v/>
      </c>
      <c r="AB13" s="23" t="str">
        <f aca="false">IF(A13="","",IF(COUNT(N13,O13)=0,"Falta fecha",EDATE(MAX(N13,O13),IF(Z13="Alto",CONFIG!$B$18,IF(Z13="Medio",CONFIG!$B$17,CONFIG!$B$16)))))</f>
        <v/>
      </c>
      <c r="AC13" s="23" t="str">
        <f aca="false">IF(A13="","",IF(ISNUMBER(S13),EDATE(S13,12),IF(ISNUMBER(N13),EDATE(N13,12),"Falta fecha")))</f>
        <v/>
      </c>
      <c r="AD13" s="26" t="str">
        <f aca="false">IF(A13="","",MID(IF(P13&lt;&gt;"Sí"," · Expediente incompleto","")&amp;IF(OR(Q13="",Q13="Pendiente")," · Falta el Beneficiario Controlador","")&amp;IF(M13=""," · Sin perfil transaccional","")&amp;IF(AND(ISNUMBER(AB13),AB13&lt;CONFIG!$B$6)," · Evaluación de riesgo vencida","")&amp;IF(AND(ISNUMBER(AC13),AC13&lt;CONFIG!$B$6)," · Verificación anual vencida","")&amp;IF(AND(ISNUMBER(R13),ISNUMBER(S13),S13-R13&gt;92)," · Comprobante de domicilio con más de 3 meses","")&amp;IF(AND(T13&lt;&gt;"",U13="")," · Ajuste del REC sin justificación",""),4,400))</f>
        <v/>
      </c>
      <c r="AE13" s="9" t="str">
        <f aca="false">IF(A13="","",IF(AD13="","Al día","Revisar"))</f>
        <v/>
      </c>
      <c r="AF13" s="9" t="str">
        <f aca="false">IF(A13="","",COUNTIF(OPERACIONES!$C$6:$C$505,A13)&amp;" / $"&amp;FIXED(SUMIF(OPERACIONES!$C$6:$C$505,A13,OPERACIONES!$E$6:$E$505),0))</f>
        <v/>
      </c>
    </row>
    <row r="14" customFormat="false" ht="15" hidden="false" customHeight="false" outlineLevel="0" collapsed="false">
      <c r="A14" s="21"/>
      <c r="B14" s="21"/>
      <c r="C14" s="21"/>
      <c r="D14" s="21"/>
      <c r="E14" s="21"/>
      <c r="F14" s="21"/>
      <c r="G14" s="21"/>
      <c r="H14" s="21"/>
      <c r="I14" s="21"/>
      <c r="J14" s="21"/>
      <c r="K14" s="21"/>
      <c r="L14" s="21"/>
      <c r="M14" s="22"/>
      <c r="N14" s="20"/>
      <c r="O14" s="20"/>
      <c r="P14" s="21"/>
      <c r="Q14" s="21"/>
      <c r="R14" s="20"/>
      <c r="S14" s="20"/>
      <c r="T14" s="21"/>
      <c r="U14" s="21"/>
      <c r="V14" s="9" t="str">
        <f aca="false">IF(A14="","",SUMIFS(CONFIG!$F$5:$F$26,CONFIG!$D$5:$D$26,"Tipo de persona",CONFIG!$E$5:$E$26,C14)+SUMIFS(CONFIG!$F$5:$F$26,CONFIG!$D$5:$D$26,"Residencia",CONFIG!$E$5:$E$26,E14)+SUMIFS(CONFIG!$F$5:$F$26,CONFIG!$D$5:$D$26,"Nacionalidad",CONFIG!$E$5:$E$26,F14)+SUMIFS(CONFIG!$F$5:$F$26,CONFIG!$D$5:$D$26,"Jurisdicción de riesgo",CONFIG!$E$5:$E$26,G14)+SUMIFS(CONFIG!$F$5:$F$26,CONFIG!$D$5:$D$26,"PEP",CONFIG!$E$5:$E$26,H14)+SUMIFS(CONFIG!$F$5:$F$26,CONFIG!$D$5:$D$26,"En listas",CONFIG!$E$5:$E$26,I14)+SUMIFS(CONFIG!$F$5:$F$26,CONFIG!$D$5:$D$26,"Riesgo de su actividad económica",CONFIG!$E$5:$E$26,J14)+SUMIFS(CONFIG!$F$5:$F$26,CONFIG!$D$5:$D$26,"Canal",CONFIG!$E$5:$E$26,K14)+SUMIFS(CONFIG!$F$5:$F$26,CONFIG!$D$5:$D$26,"Origen de recursos documentado",CONFIG!$E$5:$E$26,L14))</f>
        <v/>
      </c>
      <c r="W14" s="9" t="str">
        <f aca="false">IF(A14="","",IF(SUMIF(OPERACIONES!$C$6:$C$505,A14,OPERACIONES!$E$6:$E$505)&gt;0,IF(SUMIF(OPERACIONES!$C$6:$C$505,A14,OPERACIONES!$F$6:$F$505)/SUMIF(OPERACIONES!$C$6:$C$505,A14,OPERACIONES!$E$6:$E$505)&gt;0.5,CONFIG!$B$20,IF(SUMIF(OPERACIONES!$C$6:$C$505,A14,OPERACIONES!$F$6:$F$505)&gt;0,CONFIG!$B$21,0)),0)+IF(COUNTIFS(OPERACIONES!$C$6:$C$505,A14,OPERACIONES!$AQ$6:$AQ$505,1)&gt;0,CONFIG!$B$22,0)+IF(COUNTIFS(OPERACIONES!$C$6:$C$505,A14,OPERACIONES!$H$6:$H$505,"Sí")&gt;0,CONFIG!$B$23,0))</f>
        <v/>
      </c>
      <c r="X14" s="9" t="str">
        <f aca="false">IF(A14="","",V14+W14)</f>
        <v/>
      </c>
      <c r="Y14" s="9" t="str">
        <f aca="false">IF(A14="","",IF(X14&lt;=CONFIG!$B$13,"Bajo",IF(X14&lt;=CONFIG!$B$14,"Medio","Alto")))</f>
        <v/>
      </c>
      <c r="Z14" s="25" t="str">
        <f aca="false">IF(A14="","",IF(OR(H14="Extranjera",AND(E14="No residente",G14="Sí"),I14="Sí"),"Alto",IF(T14&lt;&gt;"",T14,Y14)))</f>
        <v/>
      </c>
      <c r="AA14" s="26" t="str">
        <f aca="false">IF(A14="","",IF(H14="Extranjera","Alto obligatorio: PEP extranjera (RCG 23 Bis 4)",IF(AND(E14="No residente",G14="Sí"),"Alto obligatorio: no residente vinculado a jurisdicción de riesgo (RCG 23 Bis 4)",IF(I14="Sí","Alto por criterio: persona en listas. Evalúa no operar y Aviso de 24 h",IF(T14&lt;&gt;"","Ajuste del REC: "&amp;U14,"Modelo: "&amp;X14&amp;" puntos")))))</f>
        <v/>
      </c>
      <c r="AB14" s="23" t="str">
        <f aca="false">IF(A14="","",IF(COUNT(N14,O14)=0,"Falta fecha",EDATE(MAX(N14,O14),IF(Z14="Alto",CONFIG!$B$18,IF(Z14="Medio",CONFIG!$B$17,CONFIG!$B$16)))))</f>
        <v/>
      </c>
      <c r="AC14" s="23" t="str">
        <f aca="false">IF(A14="","",IF(ISNUMBER(S14),EDATE(S14,12),IF(ISNUMBER(N14),EDATE(N14,12),"Falta fecha")))</f>
        <v/>
      </c>
      <c r="AD14" s="26" t="str">
        <f aca="false">IF(A14="","",MID(IF(P14&lt;&gt;"Sí"," · Expediente incompleto","")&amp;IF(OR(Q14="",Q14="Pendiente")," · Falta el Beneficiario Controlador","")&amp;IF(M14=""," · Sin perfil transaccional","")&amp;IF(AND(ISNUMBER(AB14),AB14&lt;CONFIG!$B$6)," · Evaluación de riesgo vencida","")&amp;IF(AND(ISNUMBER(AC14),AC14&lt;CONFIG!$B$6)," · Verificación anual vencida","")&amp;IF(AND(ISNUMBER(R14),ISNUMBER(S14),S14-R14&gt;92)," · Comprobante de domicilio con más de 3 meses","")&amp;IF(AND(T14&lt;&gt;"",U14="")," · Ajuste del REC sin justificación",""),4,400))</f>
        <v/>
      </c>
      <c r="AE14" s="9" t="str">
        <f aca="false">IF(A14="","",IF(AD14="","Al día","Revisar"))</f>
        <v/>
      </c>
      <c r="AF14" s="9" t="str">
        <f aca="false">IF(A14="","",COUNTIF(OPERACIONES!$C$6:$C$505,A14)&amp;" / $"&amp;FIXED(SUMIF(OPERACIONES!$C$6:$C$505,A14,OPERACIONES!$E$6:$E$505),0))</f>
        <v/>
      </c>
    </row>
    <row r="15" customFormat="false" ht="15" hidden="false" customHeight="false" outlineLevel="0" collapsed="false">
      <c r="A15" s="21"/>
      <c r="B15" s="21"/>
      <c r="C15" s="21"/>
      <c r="D15" s="21"/>
      <c r="E15" s="21"/>
      <c r="F15" s="21"/>
      <c r="G15" s="21"/>
      <c r="H15" s="21"/>
      <c r="I15" s="21"/>
      <c r="J15" s="21"/>
      <c r="K15" s="21"/>
      <c r="L15" s="21"/>
      <c r="M15" s="22"/>
      <c r="N15" s="20"/>
      <c r="O15" s="20"/>
      <c r="P15" s="21"/>
      <c r="Q15" s="21"/>
      <c r="R15" s="20"/>
      <c r="S15" s="20"/>
      <c r="T15" s="21"/>
      <c r="U15" s="21"/>
      <c r="V15" s="9" t="str">
        <f aca="false">IF(A15="","",SUMIFS(CONFIG!$F$5:$F$26,CONFIG!$D$5:$D$26,"Tipo de persona",CONFIG!$E$5:$E$26,C15)+SUMIFS(CONFIG!$F$5:$F$26,CONFIG!$D$5:$D$26,"Residencia",CONFIG!$E$5:$E$26,E15)+SUMIFS(CONFIG!$F$5:$F$26,CONFIG!$D$5:$D$26,"Nacionalidad",CONFIG!$E$5:$E$26,F15)+SUMIFS(CONFIG!$F$5:$F$26,CONFIG!$D$5:$D$26,"Jurisdicción de riesgo",CONFIG!$E$5:$E$26,G15)+SUMIFS(CONFIG!$F$5:$F$26,CONFIG!$D$5:$D$26,"PEP",CONFIG!$E$5:$E$26,H15)+SUMIFS(CONFIG!$F$5:$F$26,CONFIG!$D$5:$D$26,"En listas",CONFIG!$E$5:$E$26,I15)+SUMIFS(CONFIG!$F$5:$F$26,CONFIG!$D$5:$D$26,"Riesgo de su actividad económica",CONFIG!$E$5:$E$26,J15)+SUMIFS(CONFIG!$F$5:$F$26,CONFIG!$D$5:$D$26,"Canal",CONFIG!$E$5:$E$26,K15)+SUMIFS(CONFIG!$F$5:$F$26,CONFIG!$D$5:$D$26,"Origen de recursos documentado",CONFIG!$E$5:$E$26,L15))</f>
        <v/>
      </c>
      <c r="W15" s="9" t="str">
        <f aca="false">IF(A15="","",IF(SUMIF(OPERACIONES!$C$6:$C$505,A15,OPERACIONES!$E$6:$E$505)&gt;0,IF(SUMIF(OPERACIONES!$C$6:$C$505,A15,OPERACIONES!$F$6:$F$505)/SUMIF(OPERACIONES!$C$6:$C$505,A15,OPERACIONES!$E$6:$E$505)&gt;0.5,CONFIG!$B$20,IF(SUMIF(OPERACIONES!$C$6:$C$505,A15,OPERACIONES!$F$6:$F$505)&gt;0,CONFIG!$B$21,0)),0)+IF(COUNTIFS(OPERACIONES!$C$6:$C$505,A15,OPERACIONES!$AQ$6:$AQ$505,1)&gt;0,CONFIG!$B$22,0)+IF(COUNTIFS(OPERACIONES!$C$6:$C$505,A15,OPERACIONES!$H$6:$H$505,"Sí")&gt;0,CONFIG!$B$23,0))</f>
        <v/>
      </c>
      <c r="X15" s="9" t="str">
        <f aca="false">IF(A15="","",V15+W15)</f>
        <v/>
      </c>
      <c r="Y15" s="9" t="str">
        <f aca="false">IF(A15="","",IF(X15&lt;=CONFIG!$B$13,"Bajo",IF(X15&lt;=CONFIG!$B$14,"Medio","Alto")))</f>
        <v/>
      </c>
      <c r="Z15" s="25" t="str">
        <f aca="false">IF(A15="","",IF(OR(H15="Extranjera",AND(E15="No residente",G15="Sí"),I15="Sí"),"Alto",IF(T15&lt;&gt;"",T15,Y15)))</f>
        <v/>
      </c>
      <c r="AA15" s="26" t="str">
        <f aca="false">IF(A15="","",IF(H15="Extranjera","Alto obligatorio: PEP extranjera (RCG 23 Bis 4)",IF(AND(E15="No residente",G15="Sí"),"Alto obligatorio: no residente vinculado a jurisdicción de riesgo (RCG 23 Bis 4)",IF(I15="Sí","Alto por criterio: persona en listas. Evalúa no operar y Aviso de 24 h",IF(T15&lt;&gt;"","Ajuste del REC: "&amp;U15,"Modelo: "&amp;X15&amp;" puntos")))))</f>
        <v/>
      </c>
      <c r="AB15" s="23" t="str">
        <f aca="false">IF(A15="","",IF(COUNT(N15,O15)=0,"Falta fecha",EDATE(MAX(N15,O15),IF(Z15="Alto",CONFIG!$B$18,IF(Z15="Medio",CONFIG!$B$17,CONFIG!$B$16)))))</f>
        <v/>
      </c>
      <c r="AC15" s="23" t="str">
        <f aca="false">IF(A15="","",IF(ISNUMBER(S15),EDATE(S15,12),IF(ISNUMBER(N15),EDATE(N15,12),"Falta fecha")))</f>
        <v/>
      </c>
      <c r="AD15" s="26" t="str">
        <f aca="false">IF(A15="","",MID(IF(P15&lt;&gt;"Sí"," · Expediente incompleto","")&amp;IF(OR(Q15="",Q15="Pendiente")," · Falta el Beneficiario Controlador","")&amp;IF(M15=""," · Sin perfil transaccional","")&amp;IF(AND(ISNUMBER(AB15),AB15&lt;CONFIG!$B$6)," · Evaluación de riesgo vencida","")&amp;IF(AND(ISNUMBER(AC15),AC15&lt;CONFIG!$B$6)," · Verificación anual vencida","")&amp;IF(AND(ISNUMBER(R15),ISNUMBER(S15),S15-R15&gt;92)," · Comprobante de domicilio con más de 3 meses","")&amp;IF(AND(T15&lt;&gt;"",U15="")," · Ajuste del REC sin justificación",""),4,400))</f>
        <v/>
      </c>
      <c r="AE15" s="9" t="str">
        <f aca="false">IF(A15="","",IF(AD15="","Al día","Revisar"))</f>
        <v/>
      </c>
      <c r="AF15" s="9" t="str">
        <f aca="false">IF(A15="","",COUNTIF(OPERACIONES!$C$6:$C$505,A15)&amp;" / $"&amp;FIXED(SUMIF(OPERACIONES!$C$6:$C$505,A15,OPERACIONES!$E$6:$E$505),0))</f>
        <v/>
      </c>
    </row>
    <row r="16" customFormat="false" ht="15" hidden="false" customHeight="false" outlineLevel="0" collapsed="false">
      <c r="A16" s="21"/>
      <c r="B16" s="21"/>
      <c r="C16" s="21"/>
      <c r="D16" s="21"/>
      <c r="E16" s="21"/>
      <c r="F16" s="21"/>
      <c r="G16" s="21"/>
      <c r="H16" s="21"/>
      <c r="I16" s="21"/>
      <c r="J16" s="21"/>
      <c r="K16" s="21"/>
      <c r="L16" s="21"/>
      <c r="M16" s="22"/>
      <c r="N16" s="20"/>
      <c r="O16" s="20"/>
      <c r="P16" s="21"/>
      <c r="Q16" s="21"/>
      <c r="R16" s="20"/>
      <c r="S16" s="20"/>
      <c r="T16" s="21"/>
      <c r="U16" s="21"/>
      <c r="V16" s="9" t="str">
        <f aca="false">IF(A16="","",SUMIFS(CONFIG!$F$5:$F$26,CONFIG!$D$5:$D$26,"Tipo de persona",CONFIG!$E$5:$E$26,C16)+SUMIFS(CONFIG!$F$5:$F$26,CONFIG!$D$5:$D$26,"Residencia",CONFIG!$E$5:$E$26,E16)+SUMIFS(CONFIG!$F$5:$F$26,CONFIG!$D$5:$D$26,"Nacionalidad",CONFIG!$E$5:$E$26,F16)+SUMIFS(CONFIG!$F$5:$F$26,CONFIG!$D$5:$D$26,"Jurisdicción de riesgo",CONFIG!$E$5:$E$26,G16)+SUMIFS(CONFIG!$F$5:$F$26,CONFIG!$D$5:$D$26,"PEP",CONFIG!$E$5:$E$26,H16)+SUMIFS(CONFIG!$F$5:$F$26,CONFIG!$D$5:$D$26,"En listas",CONFIG!$E$5:$E$26,I16)+SUMIFS(CONFIG!$F$5:$F$26,CONFIG!$D$5:$D$26,"Riesgo de su actividad económica",CONFIG!$E$5:$E$26,J16)+SUMIFS(CONFIG!$F$5:$F$26,CONFIG!$D$5:$D$26,"Canal",CONFIG!$E$5:$E$26,K16)+SUMIFS(CONFIG!$F$5:$F$26,CONFIG!$D$5:$D$26,"Origen de recursos documentado",CONFIG!$E$5:$E$26,L16))</f>
        <v/>
      </c>
      <c r="W16" s="9" t="str">
        <f aca="false">IF(A16="","",IF(SUMIF(OPERACIONES!$C$6:$C$505,A16,OPERACIONES!$E$6:$E$505)&gt;0,IF(SUMIF(OPERACIONES!$C$6:$C$505,A16,OPERACIONES!$F$6:$F$505)/SUMIF(OPERACIONES!$C$6:$C$505,A16,OPERACIONES!$E$6:$E$505)&gt;0.5,CONFIG!$B$20,IF(SUMIF(OPERACIONES!$C$6:$C$505,A16,OPERACIONES!$F$6:$F$505)&gt;0,CONFIG!$B$21,0)),0)+IF(COUNTIFS(OPERACIONES!$C$6:$C$505,A16,OPERACIONES!$AQ$6:$AQ$505,1)&gt;0,CONFIG!$B$22,0)+IF(COUNTIFS(OPERACIONES!$C$6:$C$505,A16,OPERACIONES!$H$6:$H$505,"Sí")&gt;0,CONFIG!$B$23,0))</f>
        <v/>
      </c>
      <c r="X16" s="9" t="str">
        <f aca="false">IF(A16="","",V16+W16)</f>
        <v/>
      </c>
      <c r="Y16" s="9" t="str">
        <f aca="false">IF(A16="","",IF(X16&lt;=CONFIG!$B$13,"Bajo",IF(X16&lt;=CONFIG!$B$14,"Medio","Alto")))</f>
        <v/>
      </c>
      <c r="Z16" s="25" t="str">
        <f aca="false">IF(A16="","",IF(OR(H16="Extranjera",AND(E16="No residente",G16="Sí"),I16="Sí"),"Alto",IF(T16&lt;&gt;"",T16,Y16)))</f>
        <v/>
      </c>
      <c r="AA16" s="26" t="str">
        <f aca="false">IF(A16="","",IF(H16="Extranjera","Alto obligatorio: PEP extranjera (RCG 23 Bis 4)",IF(AND(E16="No residente",G16="Sí"),"Alto obligatorio: no residente vinculado a jurisdicción de riesgo (RCG 23 Bis 4)",IF(I16="Sí","Alto por criterio: persona en listas. Evalúa no operar y Aviso de 24 h",IF(T16&lt;&gt;"","Ajuste del REC: "&amp;U16,"Modelo: "&amp;X16&amp;" puntos")))))</f>
        <v/>
      </c>
      <c r="AB16" s="23" t="str">
        <f aca="false">IF(A16="","",IF(COUNT(N16,O16)=0,"Falta fecha",EDATE(MAX(N16,O16),IF(Z16="Alto",CONFIG!$B$18,IF(Z16="Medio",CONFIG!$B$17,CONFIG!$B$16)))))</f>
        <v/>
      </c>
      <c r="AC16" s="23" t="str">
        <f aca="false">IF(A16="","",IF(ISNUMBER(S16),EDATE(S16,12),IF(ISNUMBER(N16),EDATE(N16,12),"Falta fecha")))</f>
        <v/>
      </c>
      <c r="AD16" s="26" t="str">
        <f aca="false">IF(A16="","",MID(IF(P16&lt;&gt;"Sí"," · Expediente incompleto","")&amp;IF(OR(Q16="",Q16="Pendiente")," · Falta el Beneficiario Controlador","")&amp;IF(M16=""," · Sin perfil transaccional","")&amp;IF(AND(ISNUMBER(AB16),AB16&lt;CONFIG!$B$6)," · Evaluación de riesgo vencida","")&amp;IF(AND(ISNUMBER(AC16),AC16&lt;CONFIG!$B$6)," · Verificación anual vencida","")&amp;IF(AND(ISNUMBER(R16),ISNUMBER(S16),S16-R16&gt;92)," · Comprobante de domicilio con más de 3 meses","")&amp;IF(AND(T16&lt;&gt;"",U16="")," · Ajuste del REC sin justificación",""),4,400))</f>
        <v/>
      </c>
      <c r="AE16" s="9" t="str">
        <f aca="false">IF(A16="","",IF(AD16="","Al día","Revisar"))</f>
        <v/>
      </c>
      <c r="AF16" s="9" t="str">
        <f aca="false">IF(A16="","",COUNTIF(OPERACIONES!$C$6:$C$505,A16)&amp;" / $"&amp;FIXED(SUMIF(OPERACIONES!$C$6:$C$505,A16,OPERACIONES!$E$6:$E$505),0))</f>
        <v/>
      </c>
    </row>
    <row r="17" customFormat="false" ht="15" hidden="false" customHeight="false" outlineLevel="0" collapsed="false">
      <c r="A17" s="21"/>
      <c r="B17" s="21"/>
      <c r="C17" s="21"/>
      <c r="D17" s="21"/>
      <c r="E17" s="21"/>
      <c r="F17" s="21"/>
      <c r="G17" s="21"/>
      <c r="H17" s="21"/>
      <c r="I17" s="21"/>
      <c r="J17" s="21"/>
      <c r="K17" s="21"/>
      <c r="L17" s="21"/>
      <c r="M17" s="22"/>
      <c r="N17" s="20"/>
      <c r="O17" s="20"/>
      <c r="P17" s="21"/>
      <c r="Q17" s="21"/>
      <c r="R17" s="20"/>
      <c r="S17" s="20"/>
      <c r="T17" s="21"/>
      <c r="U17" s="21"/>
      <c r="V17" s="9" t="str">
        <f aca="false">IF(A17="","",SUMIFS(CONFIG!$F$5:$F$26,CONFIG!$D$5:$D$26,"Tipo de persona",CONFIG!$E$5:$E$26,C17)+SUMIFS(CONFIG!$F$5:$F$26,CONFIG!$D$5:$D$26,"Residencia",CONFIG!$E$5:$E$26,E17)+SUMIFS(CONFIG!$F$5:$F$26,CONFIG!$D$5:$D$26,"Nacionalidad",CONFIG!$E$5:$E$26,F17)+SUMIFS(CONFIG!$F$5:$F$26,CONFIG!$D$5:$D$26,"Jurisdicción de riesgo",CONFIG!$E$5:$E$26,G17)+SUMIFS(CONFIG!$F$5:$F$26,CONFIG!$D$5:$D$26,"PEP",CONFIG!$E$5:$E$26,H17)+SUMIFS(CONFIG!$F$5:$F$26,CONFIG!$D$5:$D$26,"En listas",CONFIG!$E$5:$E$26,I17)+SUMIFS(CONFIG!$F$5:$F$26,CONFIG!$D$5:$D$26,"Riesgo de su actividad económica",CONFIG!$E$5:$E$26,J17)+SUMIFS(CONFIG!$F$5:$F$26,CONFIG!$D$5:$D$26,"Canal",CONFIG!$E$5:$E$26,K17)+SUMIFS(CONFIG!$F$5:$F$26,CONFIG!$D$5:$D$26,"Origen de recursos documentado",CONFIG!$E$5:$E$26,L17))</f>
        <v/>
      </c>
      <c r="W17" s="9" t="str">
        <f aca="false">IF(A17="","",IF(SUMIF(OPERACIONES!$C$6:$C$505,A17,OPERACIONES!$E$6:$E$505)&gt;0,IF(SUMIF(OPERACIONES!$C$6:$C$505,A17,OPERACIONES!$F$6:$F$505)/SUMIF(OPERACIONES!$C$6:$C$505,A17,OPERACIONES!$E$6:$E$505)&gt;0.5,CONFIG!$B$20,IF(SUMIF(OPERACIONES!$C$6:$C$505,A17,OPERACIONES!$F$6:$F$505)&gt;0,CONFIG!$B$21,0)),0)+IF(COUNTIFS(OPERACIONES!$C$6:$C$505,A17,OPERACIONES!$AQ$6:$AQ$505,1)&gt;0,CONFIG!$B$22,0)+IF(COUNTIFS(OPERACIONES!$C$6:$C$505,A17,OPERACIONES!$H$6:$H$505,"Sí")&gt;0,CONFIG!$B$23,0))</f>
        <v/>
      </c>
      <c r="X17" s="9" t="str">
        <f aca="false">IF(A17="","",V17+W17)</f>
        <v/>
      </c>
      <c r="Y17" s="9" t="str">
        <f aca="false">IF(A17="","",IF(X17&lt;=CONFIG!$B$13,"Bajo",IF(X17&lt;=CONFIG!$B$14,"Medio","Alto")))</f>
        <v/>
      </c>
      <c r="Z17" s="25" t="str">
        <f aca="false">IF(A17="","",IF(OR(H17="Extranjera",AND(E17="No residente",G17="Sí"),I17="Sí"),"Alto",IF(T17&lt;&gt;"",T17,Y17)))</f>
        <v/>
      </c>
      <c r="AA17" s="26" t="str">
        <f aca="false">IF(A17="","",IF(H17="Extranjera","Alto obligatorio: PEP extranjera (RCG 23 Bis 4)",IF(AND(E17="No residente",G17="Sí"),"Alto obligatorio: no residente vinculado a jurisdicción de riesgo (RCG 23 Bis 4)",IF(I17="Sí","Alto por criterio: persona en listas. Evalúa no operar y Aviso de 24 h",IF(T17&lt;&gt;"","Ajuste del REC: "&amp;U17,"Modelo: "&amp;X17&amp;" puntos")))))</f>
        <v/>
      </c>
      <c r="AB17" s="23" t="str">
        <f aca="false">IF(A17="","",IF(COUNT(N17,O17)=0,"Falta fecha",EDATE(MAX(N17,O17),IF(Z17="Alto",CONFIG!$B$18,IF(Z17="Medio",CONFIG!$B$17,CONFIG!$B$16)))))</f>
        <v/>
      </c>
      <c r="AC17" s="23" t="str">
        <f aca="false">IF(A17="","",IF(ISNUMBER(S17),EDATE(S17,12),IF(ISNUMBER(N17),EDATE(N17,12),"Falta fecha")))</f>
        <v/>
      </c>
      <c r="AD17" s="26" t="str">
        <f aca="false">IF(A17="","",MID(IF(P17&lt;&gt;"Sí"," · Expediente incompleto","")&amp;IF(OR(Q17="",Q17="Pendiente")," · Falta el Beneficiario Controlador","")&amp;IF(M17=""," · Sin perfil transaccional","")&amp;IF(AND(ISNUMBER(AB17),AB17&lt;CONFIG!$B$6)," · Evaluación de riesgo vencida","")&amp;IF(AND(ISNUMBER(AC17),AC17&lt;CONFIG!$B$6)," · Verificación anual vencida","")&amp;IF(AND(ISNUMBER(R17),ISNUMBER(S17),S17-R17&gt;92)," · Comprobante de domicilio con más de 3 meses","")&amp;IF(AND(T17&lt;&gt;"",U17="")," · Ajuste del REC sin justificación",""),4,400))</f>
        <v/>
      </c>
      <c r="AE17" s="9" t="str">
        <f aca="false">IF(A17="","",IF(AD17="","Al día","Revisar"))</f>
        <v/>
      </c>
      <c r="AF17" s="9" t="str">
        <f aca="false">IF(A17="","",COUNTIF(OPERACIONES!$C$6:$C$505,A17)&amp;" / $"&amp;FIXED(SUMIF(OPERACIONES!$C$6:$C$505,A17,OPERACIONES!$E$6:$E$505),0))</f>
        <v/>
      </c>
    </row>
    <row r="18" customFormat="false" ht="15" hidden="false" customHeight="false" outlineLevel="0" collapsed="false">
      <c r="A18" s="21"/>
      <c r="B18" s="21"/>
      <c r="C18" s="21"/>
      <c r="D18" s="21"/>
      <c r="E18" s="21"/>
      <c r="F18" s="21"/>
      <c r="G18" s="21"/>
      <c r="H18" s="21"/>
      <c r="I18" s="21"/>
      <c r="J18" s="21"/>
      <c r="K18" s="21"/>
      <c r="L18" s="21"/>
      <c r="M18" s="22"/>
      <c r="N18" s="20"/>
      <c r="O18" s="20"/>
      <c r="P18" s="21"/>
      <c r="Q18" s="21"/>
      <c r="R18" s="20"/>
      <c r="S18" s="20"/>
      <c r="T18" s="21"/>
      <c r="U18" s="21"/>
      <c r="V18" s="9" t="str">
        <f aca="false">IF(A18="","",SUMIFS(CONFIG!$F$5:$F$26,CONFIG!$D$5:$D$26,"Tipo de persona",CONFIG!$E$5:$E$26,C18)+SUMIFS(CONFIG!$F$5:$F$26,CONFIG!$D$5:$D$26,"Residencia",CONFIG!$E$5:$E$26,E18)+SUMIFS(CONFIG!$F$5:$F$26,CONFIG!$D$5:$D$26,"Nacionalidad",CONFIG!$E$5:$E$26,F18)+SUMIFS(CONFIG!$F$5:$F$26,CONFIG!$D$5:$D$26,"Jurisdicción de riesgo",CONFIG!$E$5:$E$26,G18)+SUMIFS(CONFIG!$F$5:$F$26,CONFIG!$D$5:$D$26,"PEP",CONFIG!$E$5:$E$26,H18)+SUMIFS(CONFIG!$F$5:$F$26,CONFIG!$D$5:$D$26,"En listas",CONFIG!$E$5:$E$26,I18)+SUMIFS(CONFIG!$F$5:$F$26,CONFIG!$D$5:$D$26,"Riesgo de su actividad económica",CONFIG!$E$5:$E$26,J18)+SUMIFS(CONFIG!$F$5:$F$26,CONFIG!$D$5:$D$26,"Canal",CONFIG!$E$5:$E$26,K18)+SUMIFS(CONFIG!$F$5:$F$26,CONFIG!$D$5:$D$26,"Origen de recursos documentado",CONFIG!$E$5:$E$26,L18))</f>
        <v/>
      </c>
      <c r="W18" s="9" t="str">
        <f aca="false">IF(A18="","",IF(SUMIF(OPERACIONES!$C$6:$C$505,A18,OPERACIONES!$E$6:$E$505)&gt;0,IF(SUMIF(OPERACIONES!$C$6:$C$505,A18,OPERACIONES!$F$6:$F$505)/SUMIF(OPERACIONES!$C$6:$C$505,A18,OPERACIONES!$E$6:$E$505)&gt;0.5,CONFIG!$B$20,IF(SUMIF(OPERACIONES!$C$6:$C$505,A18,OPERACIONES!$F$6:$F$505)&gt;0,CONFIG!$B$21,0)),0)+IF(COUNTIFS(OPERACIONES!$C$6:$C$505,A18,OPERACIONES!$AQ$6:$AQ$505,1)&gt;0,CONFIG!$B$22,0)+IF(COUNTIFS(OPERACIONES!$C$6:$C$505,A18,OPERACIONES!$H$6:$H$505,"Sí")&gt;0,CONFIG!$B$23,0))</f>
        <v/>
      </c>
      <c r="X18" s="9" t="str">
        <f aca="false">IF(A18="","",V18+W18)</f>
        <v/>
      </c>
      <c r="Y18" s="9" t="str">
        <f aca="false">IF(A18="","",IF(X18&lt;=CONFIG!$B$13,"Bajo",IF(X18&lt;=CONFIG!$B$14,"Medio","Alto")))</f>
        <v/>
      </c>
      <c r="Z18" s="25" t="str">
        <f aca="false">IF(A18="","",IF(OR(H18="Extranjera",AND(E18="No residente",G18="Sí"),I18="Sí"),"Alto",IF(T18&lt;&gt;"",T18,Y18)))</f>
        <v/>
      </c>
      <c r="AA18" s="26" t="str">
        <f aca="false">IF(A18="","",IF(H18="Extranjera","Alto obligatorio: PEP extranjera (RCG 23 Bis 4)",IF(AND(E18="No residente",G18="Sí"),"Alto obligatorio: no residente vinculado a jurisdicción de riesgo (RCG 23 Bis 4)",IF(I18="Sí","Alto por criterio: persona en listas. Evalúa no operar y Aviso de 24 h",IF(T18&lt;&gt;"","Ajuste del REC: "&amp;U18,"Modelo: "&amp;X18&amp;" puntos")))))</f>
        <v/>
      </c>
      <c r="AB18" s="23" t="str">
        <f aca="false">IF(A18="","",IF(COUNT(N18,O18)=0,"Falta fecha",EDATE(MAX(N18,O18),IF(Z18="Alto",CONFIG!$B$18,IF(Z18="Medio",CONFIG!$B$17,CONFIG!$B$16)))))</f>
        <v/>
      </c>
      <c r="AC18" s="23" t="str">
        <f aca="false">IF(A18="","",IF(ISNUMBER(S18),EDATE(S18,12),IF(ISNUMBER(N18),EDATE(N18,12),"Falta fecha")))</f>
        <v/>
      </c>
      <c r="AD18" s="26" t="str">
        <f aca="false">IF(A18="","",MID(IF(P18&lt;&gt;"Sí"," · Expediente incompleto","")&amp;IF(OR(Q18="",Q18="Pendiente")," · Falta el Beneficiario Controlador","")&amp;IF(M18=""," · Sin perfil transaccional","")&amp;IF(AND(ISNUMBER(AB18),AB18&lt;CONFIG!$B$6)," · Evaluación de riesgo vencida","")&amp;IF(AND(ISNUMBER(AC18),AC18&lt;CONFIG!$B$6)," · Verificación anual vencida","")&amp;IF(AND(ISNUMBER(R18),ISNUMBER(S18),S18-R18&gt;92)," · Comprobante de domicilio con más de 3 meses","")&amp;IF(AND(T18&lt;&gt;"",U18="")," · Ajuste del REC sin justificación",""),4,400))</f>
        <v/>
      </c>
      <c r="AE18" s="9" t="str">
        <f aca="false">IF(A18="","",IF(AD18="","Al día","Revisar"))</f>
        <v/>
      </c>
      <c r="AF18" s="9" t="str">
        <f aca="false">IF(A18="","",COUNTIF(OPERACIONES!$C$6:$C$505,A18)&amp;" / $"&amp;FIXED(SUMIF(OPERACIONES!$C$6:$C$505,A18,OPERACIONES!$E$6:$E$505),0))</f>
        <v/>
      </c>
    </row>
    <row r="19" customFormat="false" ht="15" hidden="false" customHeight="false" outlineLevel="0" collapsed="false">
      <c r="A19" s="21"/>
      <c r="B19" s="21"/>
      <c r="C19" s="21"/>
      <c r="D19" s="21"/>
      <c r="E19" s="21"/>
      <c r="F19" s="21"/>
      <c r="G19" s="21"/>
      <c r="H19" s="21"/>
      <c r="I19" s="21"/>
      <c r="J19" s="21"/>
      <c r="K19" s="21"/>
      <c r="L19" s="21"/>
      <c r="M19" s="22"/>
      <c r="N19" s="20"/>
      <c r="O19" s="20"/>
      <c r="P19" s="21"/>
      <c r="Q19" s="21"/>
      <c r="R19" s="20"/>
      <c r="S19" s="20"/>
      <c r="T19" s="21"/>
      <c r="U19" s="21"/>
      <c r="V19" s="9" t="str">
        <f aca="false">IF(A19="","",SUMIFS(CONFIG!$F$5:$F$26,CONFIG!$D$5:$D$26,"Tipo de persona",CONFIG!$E$5:$E$26,C19)+SUMIFS(CONFIG!$F$5:$F$26,CONFIG!$D$5:$D$26,"Residencia",CONFIG!$E$5:$E$26,E19)+SUMIFS(CONFIG!$F$5:$F$26,CONFIG!$D$5:$D$26,"Nacionalidad",CONFIG!$E$5:$E$26,F19)+SUMIFS(CONFIG!$F$5:$F$26,CONFIG!$D$5:$D$26,"Jurisdicción de riesgo",CONFIG!$E$5:$E$26,G19)+SUMIFS(CONFIG!$F$5:$F$26,CONFIG!$D$5:$D$26,"PEP",CONFIG!$E$5:$E$26,H19)+SUMIFS(CONFIG!$F$5:$F$26,CONFIG!$D$5:$D$26,"En listas",CONFIG!$E$5:$E$26,I19)+SUMIFS(CONFIG!$F$5:$F$26,CONFIG!$D$5:$D$26,"Riesgo de su actividad económica",CONFIG!$E$5:$E$26,J19)+SUMIFS(CONFIG!$F$5:$F$26,CONFIG!$D$5:$D$26,"Canal",CONFIG!$E$5:$E$26,K19)+SUMIFS(CONFIG!$F$5:$F$26,CONFIG!$D$5:$D$26,"Origen de recursos documentado",CONFIG!$E$5:$E$26,L19))</f>
        <v/>
      </c>
      <c r="W19" s="9" t="str">
        <f aca="false">IF(A19="","",IF(SUMIF(OPERACIONES!$C$6:$C$505,A19,OPERACIONES!$E$6:$E$505)&gt;0,IF(SUMIF(OPERACIONES!$C$6:$C$505,A19,OPERACIONES!$F$6:$F$505)/SUMIF(OPERACIONES!$C$6:$C$505,A19,OPERACIONES!$E$6:$E$505)&gt;0.5,CONFIG!$B$20,IF(SUMIF(OPERACIONES!$C$6:$C$505,A19,OPERACIONES!$F$6:$F$505)&gt;0,CONFIG!$B$21,0)),0)+IF(COUNTIFS(OPERACIONES!$C$6:$C$505,A19,OPERACIONES!$AQ$6:$AQ$505,1)&gt;0,CONFIG!$B$22,0)+IF(COUNTIFS(OPERACIONES!$C$6:$C$505,A19,OPERACIONES!$H$6:$H$505,"Sí")&gt;0,CONFIG!$B$23,0))</f>
        <v/>
      </c>
      <c r="X19" s="9" t="str">
        <f aca="false">IF(A19="","",V19+W19)</f>
        <v/>
      </c>
      <c r="Y19" s="9" t="str">
        <f aca="false">IF(A19="","",IF(X19&lt;=CONFIG!$B$13,"Bajo",IF(X19&lt;=CONFIG!$B$14,"Medio","Alto")))</f>
        <v/>
      </c>
      <c r="Z19" s="25" t="str">
        <f aca="false">IF(A19="","",IF(OR(H19="Extranjera",AND(E19="No residente",G19="Sí"),I19="Sí"),"Alto",IF(T19&lt;&gt;"",T19,Y19)))</f>
        <v/>
      </c>
      <c r="AA19" s="26" t="str">
        <f aca="false">IF(A19="","",IF(H19="Extranjera","Alto obligatorio: PEP extranjera (RCG 23 Bis 4)",IF(AND(E19="No residente",G19="Sí"),"Alto obligatorio: no residente vinculado a jurisdicción de riesgo (RCG 23 Bis 4)",IF(I19="Sí","Alto por criterio: persona en listas. Evalúa no operar y Aviso de 24 h",IF(T19&lt;&gt;"","Ajuste del REC: "&amp;U19,"Modelo: "&amp;X19&amp;" puntos")))))</f>
        <v/>
      </c>
      <c r="AB19" s="23" t="str">
        <f aca="false">IF(A19="","",IF(COUNT(N19,O19)=0,"Falta fecha",EDATE(MAX(N19,O19),IF(Z19="Alto",CONFIG!$B$18,IF(Z19="Medio",CONFIG!$B$17,CONFIG!$B$16)))))</f>
        <v/>
      </c>
      <c r="AC19" s="23" t="str">
        <f aca="false">IF(A19="","",IF(ISNUMBER(S19),EDATE(S19,12),IF(ISNUMBER(N19),EDATE(N19,12),"Falta fecha")))</f>
        <v/>
      </c>
      <c r="AD19" s="26" t="str">
        <f aca="false">IF(A19="","",MID(IF(P19&lt;&gt;"Sí"," · Expediente incompleto","")&amp;IF(OR(Q19="",Q19="Pendiente")," · Falta el Beneficiario Controlador","")&amp;IF(M19=""," · Sin perfil transaccional","")&amp;IF(AND(ISNUMBER(AB19),AB19&lt;CONFIG!$B$6)," · Evaluación de riesgo vencida","")&amp;IF(AND(ISNUMBER(AC19),AC19&lt;CONFIG!$B$6)," · Verificación anual vencida","")&amp;IF(AND(ISNUMBER(R19),ISNUMBER(S19),S19-R19&gt;92)," · Comprobante de domicilio con más de 3 meses","")&amp;IF(AND(T19&lt;&gt;"",U19="")," · Ajuste del REC sin justificación",""),4,400))</f>
        <v/>
      </c>
      <c r="AE19" s="9" t="str">
        <f aca="false">IF(A19="","",IF(AD19="","Al día","Revisar"))</f>
        <v/>
      </c>
      <c r="AF19" s="9" t="str">
        <f aca="false">IF(A19="","",COUNTIF(OPERACIONES!$C$6:$C$505,A19)&amp;" / $"&amp;FIXED(SUMIF(OPERACIONES!$C$6:$C$505,A19,OPERACIONES!$E$6:$E$505),0))</f>
        <v/>
      </c>
    </row>
    <row r="20" customFormat="false" ht="15" hidden="false" customHeight="false" outlineLevel="0" collapsed="false">
      <c r="A20" s="21"/>
      <c r="B20" s="21"/>
      <c r="C20" s="21"/>
      <c r="D20" s="21"/>
      <c r="E20" s="21"/>
      <c r="F20" s="21"/>
      <c r="G20" s="21"/>
      <c r="H20" s="21"/>
      <c r="I20" s="21"/>
      <c r="J20" s="21"/>
      <c r="K20" s="21"/>
      <c r="L20" s="21"/>
      <c r="M20" s="22"/>
      <c r="N20" s="20"/>
      <c r="O20" s="20"/>
      <c r="P20" s="21"/>
      <c r="Q20" s="21"/>
      <c r="R20" s="20"/>
      <c r="S20" s="20"/>
      <c r="T20" s="21"/>
      <c r="U20" s="21"/>
      <c r="V20" s="9" t="str">
        <f aca="false">IF(A20="","",SUMIFS(CONFIG!$F$5:$F$26,CONFIG!$D$5:$D$26,"Tipo de persona",CONFIG!$E$5:$E$26,C20)+SUMIFS(CONFIG!$F$5:$F$26,CONFIG!$D$5:$D$26,"Residencia",CONFIG!$E$5:$E$26,E20)+SUMIFS(CONFIG!$F$5:$F$26,CONFIG!$D$5:$D$26,"Nacionalidad",CONFIG!$E$5:$E$26,F20)+SUMIFS(CONFIG!$F$5:$F$26,CONFIG!$D$5:$D$26,"Jurisdicción de riesgo",CONFIG!$E$5:$E$26,G20)+SUMIFS(CONFIG!$F$5:$F$26,CONFIG!$D$5:$D$26,"PEP",CONFIG!$E$5:$E$26,H20)+SUMIFS(CONFIG!$F$5:$F$26,CONFIG!$D$5:$D$26,"En listas",CONFIG!$E$5:$E$26,I20)+SUMIFS(CONFIG!$F$5:$F$26,CONFIG!$D$5:$D$26,"Riesgo de su actividad económica",CONFIG!$E$5:$E$26,J20)+SUMIFS(CONFIG!$F$5:$F$26,CONFIG!$D$5:$D$26,"Canal",CONFIG!$E$5:$E$26,K20)+SUMIFS(CONFIG!$F$5:$F$26,CONFIG!$D$5:$D$26,"Origen de recursos documentado",CONFIG!$E$5:$E$26,L20))</f>
        <v/>
      </c>
      <c r="W20" s="9" t="str">
        <f aca="false">IF(A20="","",IF(SUMIF(OPERACIONES!$C$6:$C$505,A20,OPERACIONES!$E$6:$E$505)&gt;0,IF(SUMIF(OPERACIONES!$C$6:$C$505,A20,OPERACIONES!$F$6:$F$505)/SUMIF(OPERACIONES!$C$6:$C$505,A20,OPERACIONES!$E$6:$E$505)&gt;0.5,CONFIG!$B$20,IF(SUMIF(OPERACIONES!$C$6:$C$505,A20,OPERACIONES!$F$6:$F$505)&gt;0,CONFIG!$B$21,0)),0)+IF(COUNTIFS(OPERACIONES!$C$6:$C$505,A20,OPERACIONES!$AQ$6:$AQ$505,1)&gt;0,CONFIG!$B$22,0)+IF(COUNTIFS(OPERACIONES!$C$6:$C$505,A20,OPERACIONES!$H$6:$H$505,"Sí")&gt;0,CONFIG!$B$23,0))</f>
        <v/>
      </c>
      <c r="X20" s="9" t="str">
        <f aca="false">IF(A20="","",V20+W20)</f>
        <v/>
      </c>
      <c r="Y20" s="9" t="str">
        <f aca="false">IF(A20="","",IF(X20&lt;=CONFIG!$B$13,"Bajo",IF(X20&lt;=CONFIG!$B$14,"Medio","Alto")))</f>
        <v/>
      </c>
      <c r="Z20" s="25" t="str">
        <f aca="false">IF(A20="","",IF(OR(H20="Extranjera",AND(E20="No residente",G20="Sí"),I20="Sí"),"Alto",IF(T20&lt;&gt;"",T20,Y20)))</f>
        <v/>
      </c>
      <c r="AA20" s="26" t="str">
        <f aca="false">IF(A20="","",IF(H20="Extranjera","Alto obligatorio: PEP extranjera (RCG 23 Bis 4)",IF(AND(E20="No residente",G20="Sí"),"Alto obligatorio: no residente vinculado a jurisdicción de riesgo (RCG 23 Bis 4)",IF(I20="Sí","Alto por criterio: persona en listas. Evalúa no operar y Aviso de 24 h",IF(T20&lt;&gt;"","Ajuste del REC: "&amp;U20,"Modelo: "&amp;X20&amp;" puntos")))))</f>
        <v/>
      </c>
      <c r="AB20" s="23" t="str">
        <f aca="false">IF(A20="","",IF(COUNT(N20,O20)=0,"Falta fecha",EDATE(MAX(N20,O20),IF(Z20="Alto",CONFIG!$B$18,IF(Z20="Medio",CONFIG!$B$17,CONFIG!$B$16)))))</f>
        <v/>
      </c>
      <c r="AC20" s="23" t="str">
        <f aca="false">IF(A20="","",IF(ISNUMBER(S20),EDATE(S20,12),IF(ISNUMBER(N20),EDATE(N20,12),"Falta fecha")))</f>
        <v/>
      </c>
      <c r="AD20" s="26" t="str">
        <f aca="false">IF(A20="","",MID(IF(P20&lt;&gt;"Sí"," · Expediente incompleto","")&amp;IF(OR(Q20="",Q20="Pendiente")," · Falta el Beneficiario Controlador","")&amp;IF(M20=""," · Sin perfil transaccional","")&amp;IF(AND(ISNUMBER(AB20),AB20&lt;CONFIG!$B$6)," · Evaluación de riesgo vencida","")&amp;IF(AND(ISNUMBER(AC20),AC20&lt;CONFIG!$B$6)," · Verificación anual vencida","")&amp;IF(AND(ISNUMBER(R20),ISNUMBER(S20),S20-R20&gt;92)," · Comprobante de domicilio con más de 3 meses","")&amp;IF(AND(T20&lt;&gt;"",U20="")," · Ajuste del REC sin justificación",""),4,400))</f>
        <v/>
      </c>
      <c r="AE20" s="9" t="str">
        <f aca="false">IF(A20="","",IF(AD20="","Al día","Revisar"))</f>
        <v/>
      </c>
      <c r="AF20" s="9" t="str">
        <f aca="false">IF(A20="","",COUNTIF(OPERACIONES!$C$6:$C$505,A20)&amp;" / $"&amp;FIXED(SUMIF(OPERACIONES!$C$6:$C$505,A20,OPERACIONES!$E$6:$E$505),0))</f>
        <v/>
      </c>
    </row>
    <row r="21" customFormat="false" ht="15" hidden="false" customHeight="false" outlineLevel="0" collapsed="false">
      <c r="A21" s="21"/>
      <c r="B21" s="21"/>
      <c r="C21" s="21"/>
      <c r="D21" s="21"/>
      <c r="E21" s="21"/>
      <c r="F21" s="21"/>
      <c r="G21" s="21"/>
      <c r="H21" s="21"/>
      <c r="I21" s="21"/>
      <c r="J21" s="21"/>
      <c r="K21" s="21"/>
      <c r="L21" s="21"/>
      <c r="M21" s="22"/>
      <c r="N21" s="20"/>
      <c r="O21" s="20"/>
      <c r="P21" s="21"/>
      <c r="Q21" s="21"/>
      <c r="R21" s="20"/>
      <c r="S21" s="20"/>
      <c r="T21" s="21"/>
      <c r="U21" s="21"/>
      <c r="V21" s="9" t="str">
        <f aca="false">IF(A21="","",SUMIFS(CONFIG!$F$5:$F$26,CONFIG!$D$5:$D$26,"Tipo de persona",CONFIG!$E$5:$E$26,C21)+SUMIFS(CONFIG!$F$5:$F$26,CONFIG!$D$5:$D$26,"Residencia",CONFIG!$E$5:$E$26,E21)+SUMIFS(CONFIG!$F$5:$F$26,CONFIG!$D$5:$D$26,"Nacionalidad",CONFIG!$E$5:$E$26,F21)+SUMIFS(CONFIG!$F$5:$F$26,CONFIG!$D$5:$D$26,"Jurisdicción de riesgo",CONFIG!$E$5:$E$26,G21)+SUMIFS(CONFIG!$F$5:$F$26,CONFIG!$D$5:$D$26,"PEP",CONFIG!$E$5:$E$26,H21)+SUMIFS(CONFIG!$F$5:$F$26,CONFIG!$D$5:$D$26,"En listas",CONFIG!$E$5:$E$26,I21)+SUMIFS(CONFIG!$F$5:$F$26,CONFIG!$D$5:$D$26,"Riesgo de su actividad económica",CONFIG!$E$5:$E$26,J21)+SUMIFS(CONFIG!$F$5:$F$26,CONFIG!$D$5:$D$26,"Canal",CONFIG!$E$5:$E$26,K21)+SUMIFS(CONFIG!$F$5:$F$26,CONFIG!$D$5:$D$26,"Origen de recursos documentado",CONFIG!$E$5:$E$26,L21))</f>
        <v/>
      </c>
      <c r="W21" s="9" t="str">
        <f aca="false">IF(A21="","",IF(SUMIF(OPERACIONES!$C$6:$C$505,A21,OPERACIONES!$E$6:$E$505)&gt;0,IF(SUMIF(OPERACIONES!$C$6:$C$505,A21,OPERACIONES!$F$6:$F$505)/SUMIF(OPERACIONES!$C$6:$C$505,A21,OPERACIONES!$E$6:$E$505)&gt;0.5,CONFIG!$B$20,IF(SUMIF(OPERACIONES!$C$6:$C$505,A21,OPERACIONES!$F$6:$F$505)&gt;0,CONFIG!$B$21,0)),0)+IF(COUNTIFS(OPERACIONES!$C$6:$C$505,A21,OPERACIONES!$AQ$6:$AQ$505,1)&gt;0,CONFIG!$B$22,0)+IF(COUNTIFS(OPERACIONES!$C$6:$C$505,A21,OPERACIONES!$H$6:$H$505,"Sí")&gt;0,CONFIG!$B$23,0))</f>
        <v/>
      </c>
      <c r="X21" s="9" t="str">
        <f aca="false">IF(A21="","",V21+W21)</f>
        <v/>
      </c>
      <c r="Y21" s="9" t="str">
        <f aca="false">IF(A21="","",IF(X21&lt;=CONFIG!$B$13,"Bajo",IF(X21&lt;=CONFIG!$B$14,"Medio","Alto")))</f>
        <v/>
      </c>
      <c r="Z21" s="25" t="str">
        <f aca="false">IF(A21="","",IF(OR(H21="Extranjera",AND(E21="No residente",G21="Sí"),I21="Sí"),"Alto",IF(T21&lt;&gt;"",T21,Y21)))</f>
        <v/>
      </c>
      <c r="AA21" s="26" t="str">
        <f aca="false">IF(A21="","",IF(H21="Extranjera","Alto obligatorio: PEP extranjera (RCG 23 Bis 4)",IF(AND(E21="No residente",G21="Sí"),"Alto obligatorio: no residente vinculado a jurisdicción de riesgo (RCG 23 Bis 4)",IF(I21="Sí","Alto por criterio: persona en listas. Evalúa no operar y Aviso de 24 h",IF(T21&lt;&gt;"","Ajuste del REC: "&amp;U21,"Modelo: "&amp;X21&amp;" puntos")))))</f>
        <v/>
      </c>
      <c r="AB21" s="23" t="str">
        <f aca="false">IF(A21="","",IF(COUNT(N21,O21)=0,"Falta fecha",EDATE(MAX(N21,O21),IF(Z21="Alto",CONFIG!$B$18,IF(Z21="Medio",CONFIG!$B$17,CONFIG!$B$16)))))</f>
        <v/>
      </c>
      <c r="AC21" s="23" t="str">
        <f aca="false">IF(A21="","",IF(ISNUMBER(S21),EDATE(S21,12),IF(ISNUMBER(N21),EDATE(N21,12),"Falta fecha")))</f>
        <v/>
      </c>
      <c r="AD21" s="26" t="str">
        <f aca="false">IF(A21="","",MID(IF(P21&lt;&gt;"Sí"," · Expediente incompleto","")&amp;IF(OR(Q21="",Q21="Pendiente")," · Falta el Beneficiario Controlador","")&amp;IF(M21=""," · Sin perfil transaccional","")&amp;IF(AND(ISNUMBER(AB21),AB21&lt;CONFIG!$B$6)," · Evaluación de riesgo vencida","")&amp;IF(AND(ISNUMBER(AC21),AC21&lt;CONFIG!$B$6)," · Verificación anual vencida","")&amp;IF(AND(ISNUMBER(R21),ISNUMBER(S21),S21-R21&gt;92)," · Comprobante de domicilio con más de 3 meses","")&amp;IF(AND(T21&lt;&gt;"",U21="")," · Ajuste del REC sin justificación",""),4,400))</f>
        <v/>
      </c>
      <c r="AE21" s="9" t="str">
        <f aca="false">IF(A21="","",IF(AD21="","Al día","Revisar"))</f>
        <v/>
      </c>
      <c r="AF21" s="9" t="str">
        <f aca="false">IF(A21="","",COUNTIF(OPERACIONES!$C$6:$C$505,A21)&amp;" / $"&amp;FIXED(SUMIF(OPERACIONES!$C$6:$C$505,A21,OPERACIONES!$E$6:$E$505),0))</f>
        <v/>
      </c>
    </row>
    <row r="22" customFormat="false" ht="15" hidden="false" customHeight="false" outlineLevel="0" collapsed="false">
      <c r="A22" s="21"/>
      <c r="B22" s="21"/>
      <c r="C22" s="21"/>
      <c r="D22" s="21"/>
      <c r="E22" s="21"/>
      <c r="F22" s="21"/>
      <c r="G22" s="21"/>
      <c r="H22" s="21"/>
      <c r="I22" s="21"/>
      <c r="J22" s="21"/>
      <c r="K22" s="21"/>
      <c r="L22" s="21"/>
      <c r="M22" s="22"/>
      <c r="N22" s="20"/>
      <c r="O22" s="20"/>
      <c r="P22" s="21"/>
      <c r="Q22" s="21"/>
      <c r="R22" s="20"/>
      <c r="S22" s="20"/>
      <c r="T22" s="21"/>
      <c r="U22" s="21"/>
      <c r="V22" s="9" t="str">
        <f aca="false">IF(A22="","",SUMIFS(CONFIG!$F$5:$F$26,CONFIG!$D$5:$D$26,"Tipo de persona",CONFIG!$E$5:$E$26,C22)+SUMIFS(CONFIG!$F$5:$F$26,CONFIG!$D$5:$D$26,"Residencia",CONFIG!$E$5:$E$26,E22)+SUMIFS(CONFIG!$F$5:$F$26,CONFIG!$D$5:$D$26,"Nacionalidad",CONFIG!$E$5:$E$26,F22)+SUMIFS(CONFIG!$F$5:$F$26,CONFIG!$D$5:$D$26,"Jurisdicción de riesgo",CONFIG!$E$5:$E$26,G22)+SUMIFS(CONFIG!$F$5:$F$26,CONFIG!$D$5:$D$26,"PEP",CONFIG!$E$5:$E$26,H22)+SUMIFS(CONFIG!$F$5:$F$26,CONFIG!$D$5:$D$26,"En listas",CONFIG!$E$5:$E$26,I22)+SUMIFS(CONFIG!$F$5:$F$26,CONFIG!$D$5:$D$26,"Riesgo de su actividad económica",CONFIG!$E$5:$E$26,J22)+SUMIFS(CONFIG!$F$5:$F$26,CONFIG!$D$5:$D$26,"Canal",CONFIG!$E$5:$E$26,K22)+SUMIFS(CONFIG!$F$5:$F$26,CONFIG!$D$5:$D$26,"Origen de recursos documentado",CONFIG!$E$5:$E$26,L22))</f>
        <v/>
      </c>
      <c r="W22" s="9" t="str">
        <f aca="false">IF(A22="","",IF(SUMIF(OPERACIONES!$C$6:$C$505,A22,OPERACIONES!$E$6:$E$505)&gt;0,IF(SUMIF(OPERACIONES!$C$6:$C$505,A22,OPERACIONES!$F$6:$F$505)/SUMIF(OPERACIONES!$C$6:$C$505,A22,OPERACIONES!$E$6:$E$505)&gt;0.5,CONFIG!$B$20,IF(SUMIF(OPERACIONES!$C$6:$C$505,A22,OPERACIONES!$F$6:$F$505)&gt;0,CONFIG!$B$21,0)),0)+IF(COUNTIFS(OPERACIONES!$C$6:$C$505,A22,OPERACIONES!$AQ$6:$AQ$505,1)&gt;0,CONFIG!$B$22,0)+IF(COUNTIFS(OPERACIONES!$C$6:$C$505,A22,OPERACIONES!$H$6:$H$505,"Sí")&gt;0,CONFIG!$B$23,0))</f>
        <v/>
      </c>
      <c r="X22" s="9" t="str">
        <f aca="false">IF(A22="","",V22+W22)</f>
        <v/>
      </c>
      <c r="Y22" s="9" t="str">
        <f aca="false">IF(A22="","",IF(X22&lt;=CONFIG!$B$13,"Bajo",IF(X22&lt;=CONFIG!$B$14,"Medio","Alto")))</f>
        <v/>
      </c>
      <c r="Z22" s="25" t="str">
        <f aca="false">IF(A22="","",IF(OR(H22="Extranjera",AND(E22="No residente",G22="Sí"),I22="Sí"),"Alto",IF(T22&lt;&gt;"",T22,Y22)))</f>
        <v/>
      </c>
      <c r="AA22" s="26" t="str">
        <f aca="false">IF(A22="","",IF(H22="Extranjera","Alto obligatorio: PEP extranjera (RCG 23 Bis 4)",IF(AND(E22="No residente",G22="Sí"),"Alto obligatorio: no residente vinculado a jurisdicción de riesgo (RCG 23 Bis 4)",IF(I22="Sí","Alto por criterio: persona en listas. Evalúa no operar y Aviso de 24 h",IF(T22&lt;&gt;"","Ajuste del REC: "&amp;U22,"Modelo: "&amp;X22&amp;" puntos")))))</f>
        <v/>
      </c>
      <c r="AB22" s="23" t="str">
        <f aca="false">IF(A22="","",IF(COUNT(N22,O22)=0,"Falta fecha",EDATE(MAX(N22,O22),IF(Z22="Alto",CONFIG!$B$18,IF(Z22="Medio",CONFIG!$B$17,CONFIG!$B$16)))))</f>
        <v/>
      </c>
      <c r="AC22" s="23" t="str">
        <f aca="false">IF(A22="","",IF(ISNUMBER(S22),EDATE(S22,12),IF(ISNUMBER(N22),EDATE(N22,12),"Falta fecha")))</f>
        <v/>
      </c>
      <c r="AD22" s="26" t="str">
        <f aca="false">IF(A22="","",MID(IF(P22&lt;&gt;"Sí"," · Expediente incompleto","")&amp;IF(OR(Q22="",Q22="Pendiente")," · Falta el Beneficiario Controlador","")&amp;IF(M22=""," · Sin perfil transaccional","")&amp;IF(AND(ISNUMBER(AB22),AB22&lt;CONFIG!$B$6)," · Evaluación de riesgo vencida","")&amp;IF(AND(ISNUMBER(AC22),AC22&lt;CONFIG!$B$6)," · Verificación anual vencida","")&amp;IF(AND(ISNUMBER(R22),ISNUMBER(S22),S22-R22&gt;92)," · Comprobante de domicilio con más de 3 meses","")&amp;IF(AND(T22&lt;&gt;"",U22="")," · Ajuste del REC sin justificación",""),4,400))</f>
        <v/>
      </c>
      <c r="AE22" s="9" t="str">
        <f aca="false">IF(A22="","",IF(AD22="","Al día","Revisar"))</f>
        <v/>
      </c>
      <c r="AF22" s="9" t="str">
        <f aca="false">IF(A22="","",COUNTIF(OPERACIONES!$C$6:$C$505,A22)&amp;" / $"&amp;FIXED(SUMIF(OPERACIONES!$C$6:$C$505,A22,OPERACIONES!$E$6:$E$505),0))</f>
        <v/>
      </c>
    </row>
    <row r="23" customFormat="false" ht="15" hidden="false" customHeight="false" outlineLevel="0" collapsed="false">
      <c r="A23" s="21"/>
      <c r="B23" s="21"/>
      <c r="C23" s="21"/>
      <c r="D23" s="21"/>
      <c r="E23" s="21"/>
      <c r="F23" s="21"/>
      <c r="G23" s="21"/>
      <c r="H23" s="21"/>
      <c r="I23" s="21"/>
      <c r="J23" s="21"/>
      <c r="K23" s="21"/>
      <c r="L23" s="21"/>
      <c r="M23" s="22"/>
      <c r="N23" s="20"/>
      <c r="O23" s="20"/>
      <c r="P23" s="21"/>
      <c r="Q23" s="21"/>
      <c r="R23" s="20"/>
      <c r="S23" s="20"/>
      <c r="T23" s="21"/>
      <c r="U23" s="21"/>
      <c r="V23" s="9" t="str">
        <f aca="false">IF(A23="","",SUMIFS(CONFIG!$F$5:$F$26,CONFIG!$D$5:$D$26,"Tipo de persona",CONFIG!$E$5:$E$26,C23)+SUMIFS(CONFIG!$F$5:$F$26,CONFIG!$D$5:$D$26,"Residencia",CONFIG!$E$5:$E$26,E23)+SUMIFS(CONFIG!$F$5:$F$26,CONFIG!$D$5:$D$26,"Nacionalidad",CONFIG!$E$5:$E$26,F23)+SUMIFS(CONFIG!$F$5:$F$26,CONFIG!$D$5:$D$26,"Jurisdicción de riesgo",CONFIG!$E$5:$E$26,G23)+SUMIFS(CONFIG!$F$5:$F$26,CONFIG!$D$5:$D$26,"PEP",CONFIG!$E$5:$E$26,H23)+SUMIFS(CONFIG!$F$5:$F$26,CONFIG!$D$5:$D$26,"En listas",CONFIG!$E$5:$E$26,I23)+SUMIFS(CONFIG!$F$5:$F$26,CONFIG!$D$5:$D$26,"Riesgo de su actividad económica",CONFIG!$E$5:$E$26,J23)+SUMIFS(CONFIG!$F$5:$F$26,CONFIG!$D$5:$D$26,"Canal",CONFIG!$E$5:$E$26,K23)+SUMIFS(CONFIG!$F$5:$F$26,CONFIG!$D$5:$D$26,"Origen de recursos documentado",CONFIG!$E$5:$E$26,L23))</f>
        <v/>
      </c>
      <c r="W23" s="9" t="str">
        <f aca="false">IF(A23="","",IF(SUMIF(OPERACIONES!$C$6:$C$505,A23,OPERACIONES!$E$6:$E$505)&gt;0,IF(SUMIF(OPERACIONES!$C$6:$C$505,A23,OPERACIONES!$F$6:$F$505)/SUMIF(OPERACIONES!$C$6:$C$505,A23,OPERACIONES!$E$6:$E$505)&gt;0.5,CONFIG!$B$20,IF(SUMIF(OPERACIONES!$C$6:$C$505,A23,OPERACIONES!$F$6:$F$505)&gt;0,CONFIG!$B$21,0)),0)+IF(COUNTIFS(OPERACIONES!$C$6:$C$505,A23,OPERACIONES!$AQ$6:$AQ$505,1)&gt;0,CONFIG!$B$22,0)+IF(COUNTIFS(OPERACIONES!$C$6:$C$505,A23,OPERACIONES!$H$6:$H$505,"Sí")&gt;0,CONFIG!$B$23,0))</f>
        <v/>
      </c>
      <c r="X23" s="9" t="str">
        <f aca="false">IF(A23="","",V23+W23)</f>
        <v/>
      </c>
      <c r="Y23" s="9" t="str">
        <f aca="false">IF(A23="","",IF(X23&lt;=CONFIG!$B$13,"Bajo",IF(X23&lt;=CONFIG!$B$14,"Medio","Alto")))</f>
        <v/>
      </c>
      <c r="Z23" s="25" t="str">
        <f aca="false">IF(A23="","",IF(OR(H23="Extranjera",AND(E23="No residente",G23="Sí"),I23="Sí"),"Alto",IF(T23&lt;&gt;"",T23,Y23)))</f>
        <v/>
      </c>
      <c r="AA23" s="26" t="str">
        <f aca="false">IF(A23="","",IF(H23="Extranjera","Alto obligatorio: PEP extranjera (RCG 23 Bis 4)",IF(AND(E23="No residente",G23="Sí"),"Alto obligatorio: no residente vinculado a jurisdicción de riesgo (RCG 23 Bis 4)",IF(I23="Sí","Alto por criterio: persona en listas. Evalúa no operar y Aviso de 24 h",IF(T23&lt;&gt;"","Ajuste del REC: "&amp;U23,"Modelo: "&amp;X23&amp;" puntos")))))</f>
        <v/>
      </c>
      <c r="AB23" s="23" t="str">
        <f aca="false">IF(A23="","",IF(COUNT(N23,O23)=0,"Falta fecha",EDATE(MAX(N23,O23),IF(Z23="Alto",CONFIG!$B$18,IF(Z23="Medio",CONFIG!$B$17,CONFIG!$B$16)))))</f>
        <v/>
      </c>
      <c r="AC23" s="23" t="str">
        <f aca="false">IF(A23="","",IF(ISNUMBER(S23),EDATE(S23,12),IF(ISNUMBER(N23),EDATE(N23,12),"Falta fecha")))</f>
        <v/>
      </c>
      <c r="AD23" s="26" t="str">
        <f aca="false">IF(A23="","",MID(IF(P23&lt;&gt;"Sí"," · Expediente incompleto","")&amp;IF(OR(Q23="",Q23="Pendiente")," · Falta el Beneficiario Controlador","")&amp;IF(M23=""," · Sin perfil transaccional","")&amp;IF(AND(ISNUMBER(AB23),AB23&lt;CONFIG!$B$6)," · Evaluación de riesgo vencida","")&amp;IF(AND(ISNUMBER(AC23),AC23&lt;CONFIG!$B$6)," · Verificación anual vencida","")&amp;IF(AND(ISNUMBER(R23),ISNUMBER(S23),S23-R23&gt;92)," · Comprobante de domicilio con más de 3 meses","")&amp;IF(AND(T23&lt;&gt;"",U23="")," · Ajuste del REC sin justificación",""),4,400))</f>
        <v/>
      </c>
      <c r="AE23" s="9" t="str">
        <f aca="false">IF(A23="","",IF(AD23="","Al día","Revisar"))</f>
        <v/>
      </c>
      <c r="AF23" s="9" t="str">
        <f aca="false">IF(A23="","",COUNTIF(OPERACIONES!$C$6:$C$505,A23)&amp;" / $"&amp;FIXED(SUMIF(OPERACIONES!$C$6:$C$505,A23,OPERACIONES!$E$6:$E$505),0))</f>
        <v/>
      </c>
    </row>
    <row r="24" customFormat="false" ht="15" hidden="false" customHeight="false" outlineLevel="0" collapsed="false">
      <c r="A24" s="21"/>
      <c r="B24" s="21"/>
      <c r="C24" s="21"/>
      <c r="D24" s="21"/>
      <c r="E24" s="21"/>
      <c r="F24" s="21"/>
      <c r="G24" s="21"/>
      <c r="H24" s="21"/>
      <c r="I24" s="21"/>
      <c r="J24" s="21"/>
      <c r="K24" s="21"/>
      <c r="L24" s="21"/>
      <c r="M24" s="22"/>
      <c r="N24" s="20"/>
      <c r="O24" s="20"/>
      <c r="P24" s="21"/>
      <c r="Q24" s="21"/>
      <c r="R24" s="20"/>
      <c r="S24" s="20"/>
      <c r="T24" s="21"/>
      <c r="U24" s="21"/>
      <c r="V24" s="9" t="str">
        <f aca="false">IF(A24="","",SUMIFS(CONFIG!$F$5:$F$26,CONFIG!$D$5:$D$26,"Tipo de persona",CONFIG!$E$5:$E$26,C24)+SUMIFS(CONFIG!$F$5:$F$26,CONFIG!$D$5:$D$26,"Residencia",CONFIG!$E$5:$E$26,E24)+SUMIFS(CONFIG!$F$5:$F$26,CONFIG!$D$5:$D$26,"Nacionalidad",CONFIG!$E$5:$E$26,F24)+SUMIFS(CONFIG!$F$5:$F$26,CONFIG!$D$5:$D$26,"Jurisdicción de riesgo",CONFIG!$E$5:$E$26,G24)+SUMIFS(CONFIG!$F$5:$F$26,CONFIG!$D$5:$D$26,"PEP",CONFIG!$E$5:$E$26,H24)+SUMIFS(CONFIG!$F$5:$F$26,CONFIG!$D$5:$D$26,"En listas",CONFIG!$E$5:$E$26,I24)+SUMIFS(CONFIG!$F$5:$F$26,CONFIG!$D$5:$D$26,"Riesgo de su actividad económica",CONFIG!$E$5:$E$26,J24)+SUMIFS(CONFIG!$F$5:$F$26,CONFIG!$D$5:$D$26,"Canal",CONFIG!$E$5:$E$26,K24)+SUMIFS(CONFIG!$F$5:$F$26,CONFIG!$D$5:$D$26,"Origen de recursos documentado",CONFIG!$E$5:$E$26,L24))</f>
        <v/>
      </c>
      <c r="W24" s="9" t="str">
        <f aca="false">IF(A24="","",IF(SUMIF(OPERACIONES!$C$6:$C$505,A24,OPERACIONES!$E$6:$E$505)&gt;0,IF(SUMIF(OPERACIONES!$C$6:$C$505,A24,OPERACIONES!$F$6:$F$505)/SUMIF(OPERACIONES!$C$6:$C$505,A24,OPERACIONES!$E$6:$E$505)&gt;0.5,CONFIG!$B$20,IF(SUMIF(OPERACIONES!$C$6:$C$505,A24,OPERACIONES!$F$6:$F$505)&gt;0,CONFIG!$B$21,0)),0)+IF(COUNTIFS(OPERACIONES!$C$6:$C$505,A24,OPERACIONES!$AQ$6:$AQ$505,1)&gt;0,CONFIG!$B$22,0)+IF(COUNTIFS(OPERACIONES!$C$6:$C$505,A24,OPERACIONES!$H$6:$H$505,"Sí")&gt;0,CONFIG!$B$23,0))</f>
        <v/>
      </c>
      <c r="X24" s="9" t="str">
        <f aca="false">IF(A24="","",V24+W24)</f>
        <v/>
      </c>
      <c r="Y24" s="9" t="str">
        <f aca="false">IF(A24="","",IF(X24&lt;=CONFIG!$B$13,"Bajo",IF(X24&lt;=CONFIG!$B$14,"Medio","Alto")))</f>
        <v/>
      </c>
      <c r="Z24" s="25" t="str">
        <f aca="false">IF(A24="","",IF(OR(H24="Extranjera",AND(E24="No residente",G24="Sí"),I24="Sí"),"Alto",IF(T24&lt;&gt;"",T24,Y24)))</f>
        <v/>
      </c>
      <c r="AA24" s="26" t="str">
        <f aca="false">IF(A24="","",IF(H24="Extranjera","Alto obligatorio: PEP extranjera (RCG 23 Bis 4)",IF(AND(E24="No residente",G24="Sí"),"Alto obligatorio: no residente vinculado a jurisdicción de riesgo (RCG 23 Bis 4)",IF(I24="Sí","Alto por criterio: persona en listas. Evalúa no operar y Aviso de 24 h",IF(T24&lt;&gt;"","Ajuste del REC: "&amp;U24,"Modelo: "&amp;X24&amp;" puntos")))))</f>
        <v/>
      </c>
      <c r="AB24" s="23" t="str">
        <f aca="false">IF(A24="","",IF(COUNT(N24,O24)=0,"Falta fecha",EDATE(MAX(N24,O24),IF(Z24="Alto",CONFIG!$B$18,IF(Z24="Medio",CONFIG!$B$17,CONFIG!$B$16)))))</f>
        <v/>
      </c>
      <c r="AC24" s="23" t="str">
        <f aca="false">IF(A24="","",IF(ISNUMBER(S24),EDATE(S24,12),IF(ISNUMBER(N24),EDATE(N24,12),"Falta fecha")))</f>
        <v/>
      </c>
      <c r="AD24" s="26" t="str">
        <f aca="false">IF(A24="","",MID(IF(P24&lt;&gt;"Sí"," · Expediente incompleto","")&amp;IF(OR(Q24="",Q24="Pendiente")," · Falta el Beneficiario Controlador","")&amp;IF(M24=""," · Sin perfil transaccional","")&amp;IF(AND(ISNUMBER(AB24),AB24&lt;CONFIG!$B$6)," · Evaluación de riesgo vencida","")&amp;IF(AND(ISNUMBER(AC24),AC24&lt;CONFIG!$B$6)," · Verificación anual vencida","")&amp;IF(AND(ISNUMBER(R24),ISNUMBER(S24),S24-R24&gt;92)," · Comprobante de domicilio con más de 3 meses","")&amp;IF(AND(T24&lt;&gt;"",U24="")," · Ajuste del REC sin justificación",""),4,400))</f>
        <v/>
      </c>
      <c r="AE24" s="9" t="str">
        <f aca="false">IF(A24="","",IF(AD24="","Al día","Revisar"))</f>
        <v/>
      </c>
      <c r="AF24" s="9" t="str">
        <f aca="false">IF(A24="","",COUNTIF(OPERACIONES!$C$6:$C$505,A24)&amp;" / $"&amp;FIXED(SUMIF(OPERACIONES!$C$6:$C$505,A24,OPERACIONES!$E$6:$E$505),0))</f>
        <v/>
      </c>
    </row>
    <row r="25" customFormat="false" ht="15" hidden="false" customHeight="false" outlineLevel="0" collapsed="false">
      <c r="A25" s="21"/>
      <c r="B25" s="21"/>
      <c r="C25" s="21"/>
      <c r="D25" s="21"/>
      <c r="E25" s="21"/>
      <c r="F25" s="21"/>
      <c r="G25" s="21"/>
      <c r="H25" s="21"/>
      <c r="I25" s="21"/>
      <c r="J25" s="21"/>
      <c r="K25" s="21"/>
      <c r="L25" s="21"/>
      <c r="M25" s="22"/>
      <c r="N25" s="20"/>
      <c r="O25" s="20"/>
      <c r="P25" s="21"/>
      <c r="Q25" s="21"/>
      <c r="R25" s="20"/>
      <c r="S25" s="20"/>
      <c r="T25" s="21"/>
      <c r="U25" s="21"/>
      <c r="V25" s="9" t="str">
        <f aca="false">IF(A25="","",SUMIFS(CONFIG!$F$5:$F$26,CONFIG!$D$5:$D$26,"Tipo de persona",CONFIG!$E$5:$E$26,C25)+SUMIFS(CONFIG!$F$5:$F$26,CONFIG!$D$5:$D$26,"Residencia",CONFIG!$E$5:$E$26,E25)+SUMIFS(CONFIG!$F$5:$F$26,CONFIG!$D$5:$D$26,"Nacionalidad",CONFIG!$E$5:$E$26,F25)+SUMIFS(CONFIG!$F$5:$F$26,CONFIG!$D$5:$D$26,"Jurisdicción de riesgo",CONFIG!$E$5:$E$26,G25)+SUMIFS(CONFIG!$F$5:$F$26,CONFIG!$D$5:$D$26,"PEP",CONFIG!$E$5:$E$26,H25)+SUMIFS(CONFIG!$F$5:$F$26,CONFIG!$D$5:$D$26,"En listas",CONFIG!$E$5:$E$26,I25)+SUMIFS(CONFIG!$F$5:$F$26,CONFIG!$D$5:$D$26,"Riesgo de su actividad económica",CONFIG!$E$5:$E$26,J25)+SUMIFS(CONFIG!$F$5:$F$26,CONFIG!$D$5:$D$26,"Canal",CONFIG!$E$5:$E$26,K25)+SUMIFS(CONFIG!$F$5:$F$26,CONFIG!$D$5:$D$26,"Origen de recursos documentado",CONFIG!$E$5:$E$26,L25))</f>
        <v/>
      </c>
      <c r="W25" s="9" t="str">
        <f aca="false">IF(A25="","",IF(SUMIF(OPERACIONES!$C$6:$C$505,A25,OPERACIONES!$E$6:$E$505)&gt;0,IF(SUMIF(OPERACIONES!$C$6:$C$505,A25,OPERACIONES!$F$6:$F$505)/SUMIF(OPERACIONES!$C$6:$C$505,A25,OPERACIONES!$E$6:$E$505)&gt;0.5,CONFIG!$B$20,IF(SUMIF(OPERACIONES!$C$6:$C$505,A25,OPERACIONES!$F$6:$F$505)&gt;0,CONFIG!$B$21,0)),0)+IF(COUNTIFS(OPERACIONES!$C$6:$C$505,A25,OPERACIONES!$AQ$6:$AQ$505,1)&gt;0,CONFIG!$B$22,0)+IF(COUNTIFS(OPERACIONES!$C$6:$C$505,A25,OPERACIONES!$H$6:$H$505,"Sí")&gt;0,CONFIG!$B$23,0))</f>
        <v/>
      </c>
      <c r="X25" s="9" t="str">
        <f aca="false">IF(A25="","",V25+W25)</f>
        <v/>
      </c>
      <c r="Y25" s="9" t="str">
        <f aca="false">IF(A25="","",IF(X25&lt;=CONFIG!$B$13,"Bajo",IF(X25&lt;=CONFIG!$B$14,"Medio","Alto")))</f>
        <v/>
      </c>
      <c r="Z25" s="25" t="str">
        <f aca="false">IF(A25="","",IF(OR(H25="Extranjera",AND(E25="No residente",G25="Sí"),I25="Sí"),"Alto",IF(T25&lt;&gt;"",T25,Y25)))</f>
        <v/>
      </c>
      <c r="AA25" s="26" t="str">
        <f aca="false">IF(A25="","",IF(H25="Extranjera","Alto obligatorio: PEP extranjera (RCG 23 Bis 4)",IF(AND(E25="No residente",G25="Sí"),"Alto obligatorio: no residente vinculado a jurisdicción de riesgo (RCG 23 Bis 4)",IF(I25="Sí","Alto por criterio: persona en listas. Evalúa no operar y Aviso de 24 h",IF(T25&lt;&gt;"","Ajuste del REC: "&amp;U25,"Modelo: "&amp;X25&amp;" puntos")))))</f>
        <v/>
      </c>
      <c r="AB25" s="23" t="str">
        <f aca="false">IF(A25="","",IF(COUNT(N25,O25)=0,"Falta fecha",EDATE(MAX(N25,O25),IF(Z25="Alto",CONFIG!$B$18,IF(Z25="Medio",CONFIG!$B$17,CONFIG!$B$16)))))</f>
        <v/>
      </c>
      <c r="AC25" s="23" t="str">
        <f aca="false">IF(A25="","",IF(ISNUMBER(S25),EDATE(S25,12),IF(ISNUMBER(N25),EDATE(N25,12),"Falta fecha")))</f>
        <v/>
      </c>
      <c r="AD25" s="26" t="str">
        <f aca="false">IF(A25="","",MID(IF(P25&lt;&gt;"Sí"," · Expediente incompleto","")&amp;IF(OR(Q25="",Q25="Pendiente")," · Falta el Beneficiario Controlador","")&amp;IF(M25=""," · Sin perfil transaccional","")&amp;IF(AND(ISNUMBER(AB25),AB25&lt;CONFIG!$B$6)," · Evaluación de riesgo vencida","")&amp;IF(AND(ISNUMBER(AC25),AC25&lt;CONFIG!$B$6)," · Verificación anual vencida","")&amp;IF(AND(ISNUMBER(R25),ISNUMBER(S25),S25-R25&gt;92)," · Comprobante de domicilio con más de 3 meses","")&amp;IF(AND(T25&lt;&gt;"",U25="")," · Ajuste del REC sin justificación",""),4,400))</f>
        <v/>
      </c>
      <c r="AE25" s="9" t="str">
        <f aca="false">IF(A25="","",IF(AD25="","Al día","Revisar"))</f>
        <v/>
      </c>
      <c r="AF25" s="9" t="str">
        <f aca="false">IF(A25="","",COUNTIF(OPERACIONES!$C$6:$C$505,A25)&amp;" / $"&amp;FIXED(SUMIF(OPERACIONES!$C$6:$C$505,A25,OPERACIONES!$E$6:$E$505),0))</f>
        <v/>
      </c>
    </row>
    <row r="26" customFormat="false" ht="15" hidden="false" customHeight="false" outlineLevel="0" collapsed="false">
      <c r="A26" s="21"/>
      <c r="B26" s="21"/>
      <c r="C26" s="21"/>
      <c r="D26" s="21"/>
      <c r="E26" s="21"/>
      <c r="F26" s="21"/>
      <c r="G26" s="21"/>
      <c r="H26" s="21"/>
      <c r="I26" s="21"/>
      <c r="J26" s="21"/>
      <c r="K26" s="21"/>
      <c r="L26" s="21"/>
      <c r="M26" s="22"/>
      <c r="N26" s="20"/>
      <c r="O26" s="20"/>
      <c r="P26" s="21"/>
      <c r="Q26" s="21"/>
      <c r="R26" s="20"/>
      <c r="S26" s="20"/>
      <c r="T26" s="21"/>
      <c r="U26" s="21"/>
      <c r="V26" s="9" t="str">
        <f aca="false">IF(A26="","",SUMIFS(CONFIG!$F$5:$F$26,CONFIG!$D$5:$D$26,"Tipo de persona",CONFIG!$E$5:$E$26,C26)+SUMIFS(CONFIG!$F$5:$F$26,CONFIG!$D$5:$D$26,"Residencia",CONFIG!$E$5:$E$26,E26)+SUMIFS(CONFIG!$F$5:$F$26,CONFIG!$D$5:$D$26,"Nacionalidad",CONFIG!$E$5:$E$26,F26)+SUMIFS(CONFIG!$F$5:$F$26,CONFIG!$D$5:$D$26,"Jurisdicción de riesgo",CONFIG!$E$5:$E$26,G26)+SUMIFS(CONFIG!$F$5:$F$26,CONFIG!$D$5:$D$26,"PEP",CONFIG!$E$5:$E$26,H26)+SUMIFS(CONFIG!$F$5:$F$26,CONFIG!$D$5:$D$26,"En listas",CONFIG!$E$5:$E$26,I26)+SUMIFS(CONFIG!$F$5:$F$26,CONFIG!$D$5:$D$26,"Riesgo de su actividad económica",CONFIG!$E$5:$E$26,J26)+SUMIFS(CONFIG!$F$5:$F$26,CONFIG!$D$5:$D$26,"Canal",CONFIG!$E$5:$E$26,K26)+SUMIFS(CONFIG!$F$5:$F$26,CONFIG!$D$5:$D$26,"Origen de recursos documentado",CONFIG!$E$5:$E$26,L26))</f>
        <v/>
      </c>
      <c r="W26" s="9" t="str">
        <f aca="false">IF(A26="","",IF(SUMIF(OPERACIONES!$C$6:$C$505,A26,OPERACIONES!$E$6:$E$505)&gt;0,IF(SUMIF(OPERACIONES!$C$6:$C$505,A26,OPERACIONES!$F$6:$F$505)/SUMIF(OPERACIONES!$C$6:$C$505,A26,OPERACIONES!$E$6:$E$505)&gt;0.5,CONFIG!$B$20,IF(SUMIF(OPERACIONES!$C$6:$C$505,A26,OPERACIONES!$F$6:$F$505)&gt;0,CONFIG!$B$21,0)),0)+IF(COUNTIFS(OPERACIONES!$C$6:$C$505,A26,OPERACIONES!$AQ$6:$AQ$505,1)&gt;0,CONFIG!$B$22,0)+IF(COUNTIFS(OPERACIONES!$C$6:$C$505,A26,OPERACIONES!$H$6:$H$505,"Sí")&gt;0,CONFIG!$B$23,0))</f>
        <v/>
      </c>
      <c r="X26" s="9" t="str">
        <f aca="false">IF(A26="","",V26+W26)</f>
        <v/>
      </c>
      <c r="Y26" s="9" t="str">
        <f aca="false">IF(A26="","",IF(X26&lt;=CONFIG!$B$13,"Bajo",IF(X26&lt;=CONFIG!$B$14,"Medio","Alto")))</f>
        <v/>
      </c>
      <c r="Z26" s="25" t="str">
        <f aca="false">IF(A26="","",IF(OR(H26="Extranjera",AND(E26="No residente",G26="Sí"),I26="Sí"),"Alto",IF(T26&lt;&gt;"",T26,Y26)))</f>
        <v/>
      </c>
      <c r="AA26" s="26" t="str">
        <f aca="false">IF(A26="","",IF(H26="Extranjera","Alto obligatorio: PEP extranjera (RCG 23 Bis 4)",IF(AND(E26="No residente",G26="Sí"),"Alto obligatorio: no residente vinculado a jurisdicción de riesgo (RCG 23 Bis 4)",IF(I26="Sí","Alto por criterio: persona en listas. Evalúa no operar y Aviso de 24 h",IF(T26&lt;&gt;"","Ajuste del REC: "&amp;U26,"Modelo: "&amp;X26&amp;" puntos")))))</f>
        <v/>
      </c>
      <c r="AB26" s="23" t="str">
        <f aca="false">IF(A26="","",IF(COUNT(N26,O26)=0,"Falta fecha",EDATE(MAX(N26,O26),IF(Z26="Alto",CONFIG!$B$18,IF(Z26="Medio",CONFIG!$B$17,CONFIG!$B$16)))))</f>
        <v/>
      </c>
      <c r="AC26" s="23" t="str">
        <f aca="false">IF(A26="","",IF(ISNUMBER(S26),EDATE(S26,12),IF(ISNUMBER(N26),EDATE(N26,12),"Falta fecha")))</f>
        <v/>
      </c>
      <c r="AD26" s="26" t="str">
        <f aca="false">IF(A26="","",MID(IF(P26&lt;&gt;"Sí"," · Expediente incompleto","")&amp;IF(OR(Q26="",Q26="Pendiente")," · Falta el Beneficiario Controlador","")&amp;IF(M26=""," · Sin perfil transaccional","")&amp;IF(AND(ISNUMBER(AB26),AB26&lt;CONFIG!$B$6)," · Evaluación de riesgo vencida","")&amp;IF(AND(ISNUMBER(AC26),AC26&lt;CONFIG!$B$6)," · Verificación anual vencida","")&amp;IF(AND(ISNUMBER(R26),ISNUMBER(S26),S26-R26&gt;92)," · Comprobante de domicilio con más de 3 meses","")&amp;IF(AND(T26&lt;&gt;"",U26="")," · Ajuste del REC sin justificación",""),4,400))</f>
        <v/>
      </c>
      <c r="AE26" s="9" t="str">
        <f aca="false">IF(A26="","",IF(AD26="","Al día","Revisar"))</f>
        <v/>
      </c>
      <c r="AF26" s="9" t="str">
        <f aca="false">IF(A26="","",COUNTIF(OPERACIONES!$C$6:$C$505,A26)&amp;" / $"&amp;FIXED(SUMIF(OPERACIONES!$C$6:$C$505,A26,OPERACIONES!$E$6:$E$505),0))</f>
        <v/>
      </c>
    </row>
    <row r="27" customFormat="false" ht="15" hidden="false" customHeight="false" outlineLevel="0" collapsed="false">
      <c r="A27" s="21"/>
      <c r="B27" s="21"/>
      <c r="C27" s="21"/>
      <c r="D27" s="21"/>
      <c r="E27" s="21"/>
      <c r="F27" s="21"/>
      <c r="G27" s="21"/>
      <c r="H27" s="21"/>
      <c r="I27" s="21"/>
      <c r="J27" s="21"/>
      <c r="K27" s="21"/>
      <c r="L27" s="21"/>
      <c r="M27" s="22"/>
      <c r="N27" s="20"/>
      <c r="O27" s="20"/>
      <c r="P27" s="21"/>
      <c r="Q27" s="21"/>
      <c r="R27" s="20"/>
      <c r="S27" s="20"/>
      <c r="T27" s="21"/>
      <c r="U27" s="21"/>
      <c r="V27" s="9" t="str">
        <f aca="false">IF(A27="","",SUMIFS(CONFIG!$F$5:$F$26,CONFIG!$D$5:$D$26,"Tipo de persona",CONFIG!$E$5:$E$26,C27)+SUMIFS(CONFIG!$F$5:$F$26,CONFIG!$D$5:$D$26,"Residencia",CONFIG!$E$5:$E$26,E27)+SUMIFS(CONFIG!$F$5:$F$26,CONFIG!$D$5:$D$26,"Nacionalidad",CONFIG!$E$5:$E$26,F27)+SUMIFS(CONFIG!$F$5:$F$26,CONFIG!$D$5:$D$26,"Jurisdicción de riesgo",CONFIG!$E$5:$E$26,G27)+SUMIFS(CONFIG!$F$5:$F$26,CONFIG!$D$5:$D$26,"PEP",CONFIG!$E$5:$E$26,H27)+SUMIFS(CONFIG!$F$5:$F$26,CONFIG!$D$5:$D$26,"En listas",CONFIG!$E$5:$E$26,I27)+SUMIFS(CONFIG!$F$5:$F$26,CONFIG!$D$5:$D$26,"Riesgo de su actividad económica",CONFIG!$E$5:$E$26,J27)+SUMIFS(CONFIG!$F$5:$F$26,CONFIG!$D$5:$D$26,"Canal",CONFIG!$E$5:$E$26,K27)+SUMIFS(CONFIG!$F$5:$F$26,CONFIG!$D$5:$D$26,"Origen de recursos documentado",CONFIG!$E$5:$E$26,L27))</f>
        <v/>
      </c>
      <c r="W27" s="9" t="str">
        <f aca="false">IF(A27="","",IF(SUMIF(OPERACIONES!$C$6:$C$505,A27,OPERACIONES!$E$6:$E$505)&gt;0,IF(SUMIF(OPERACIONES!$C$6:$C$505,A27,OPERACIONES!$F$6:$F$505)/SUMIF(OPERACIONES!$C$6:$C$505,A27,OPERACIONES!$E$6:$E$505)&gt;0.5,CONFIG!$B$20,IF(SUMIF(OPERACIONES!$C$6:$C$505,A27,OPERACIONES!$F$6:$F$505)&gt;0,CONFIG!$B$21,0)),0)+IF(COUNTIFS(OPERACIONES!$C$6:$C$505,A27,OPERACIONES!$AQ$6:$AQ$505,1)&gt;0,CONFIG!$B$22,0)+IF(COUNTIFS(OPERACIONES!$C$6:$C$505,A27,OPERACIONES!$H$6:$H$505,"Sí")&gt;0,CONFIG!$B$23,0))</f>
        <v/>
      </c>
      <c r="X27" s="9" t="str">
        <f aca="false">IF(A27="","",V27+W27)</f>
        <v/>
      </c>
      <c r="Y27" s="9" t="str">
        <f aca="false">IF(A27="","",IF(X27&lt;=CONFIG!$B$13,"Bajo",IF(X27&lt;=CONFIG!$B$14,"Medio","Alto")))</f>
        <v/>
      </c>
      <c r="Z27" s="25" t="str">
        <f aca="false">IF(A27="","",IF(OR(H27="Extranjera",AND(E27="No residente",G27="Sí"),I27="Sí"),"Alto",IF(T27&lt;&gt;"",T27,Y27)))</f>
        <v/>
      </c>
      <c r="AA27" s="26" t="str">
        <f aca="false">IF(A27="","",IF(H27="Extranjera","Alto obligatorio: PEP extranjera (RCG 23 Bis 4)",IF(AND(E27="No residente",G27="Sí"),"Alto obligatorio: no residente vinculado a jurisdicción de riesgo (RCG 23 Bis 4)",IF(I27="Sí","Alto por criterio: persona en listas. Evalúa no operar y Aviso de 24 h",IF(T27&lt;&gt;"","Ajuste del REC: "&amp;U27,"Modelo: "&amp;X27&amp;" puntos")))))</f>
        <v/>
      </c>
      <c r="AB27" s="23" t="str">
        <f aca="false">IF(A27="","",IF(COUNT(N27,O27)=0,"Falta fecha",EDATE(MAX(N27,O27),IF(Z27="Alto",CONFIG!$B$18,IF(Z27="Medio",CONFIG!$B$17,CONFIG!$B$16)))))</f>
        <v/>
      </c>
      <c r="AC27" s="23" t="str">
        <f aca="false">IF(A27="","",IF(ISNUMBER(S27),EDATE(S27,12),IF(ISNUMBER(N27),EDATE(N27,12),"Falta fecha")))</f>
        <v/>
      </c>
      <c r="AD27" s="26" t="str">
        <f aca="false">IF(A27="","",MID(IF(P27&lt;&gt;"Sí"," · Expediente incompleto","")&amp;IF(OR(Q27="",Q27="Pendiente")," · Falta el Beneficiario Controlador","")&amp;IF(M27=""," · Sin perfil transaccional","")&amp;IF(AND(ISNUMBER(AB27),AB27&lt;CONFIG!$B$6)," · Evaluación de riesgo vencida","")&amp;IF(AND(ISNUMBER(AC27),AC27&lt;CONFIG!$B$6)," · Verificación anual vencida","")&amp;IF(AND(ISNUMBER(R27),ISNUMBER(S27),S27-R27&gt;92)," · Comprobante de domicilio con más de 3 meses","")&amp;IF(AND(T27&lt;&gt;"",U27="")," · Ajuste del REC sin justificación",""),4,400))</f>
        <v/>
      </c>
      <c r="AE27" s="9" t="str">
        <f aca="false">IF(A27="","",IF(AD27="","Al día","Revisar"))</f>
        <v/>
      </c>
      <c r="AF27" s="9" t="str">
        <f aca="false">IF(A27="","",COUNTIF(OPERACIONES!$C$6:$C$505,A27)&amp;" / $"&amp;FIXED(SUMIF(OPERACIONES!$C$6:$C$505,A27,OPERACIONES!$E$6:$E$505),0))</f>
        <v/>
      </c>
    </row>
    <row r="28" customFormat="false" ht="15" hidden="false" customHeight="false" outlineLevel="0" collapsed="false">
      <c r="A28" s="21"/>
      <c r="B28" s="21"/>
      <c r="C28" s="21"/>
      <c r="D28" s="21"/>
      <c r="E28" s="21"/>
      <c r="F28" s="21"/>
      <c r="G28" s="21"/>
      <c r="H28" s="21"/>
      <c r="I28" s="21"/>
      <c r="J28" s="21"/>
      <c r="K28" s="21"/>
      <c r="L28" s="21"/>
      <c r="M28" s="22"/>
      <c r="N28" s="20"/>
      <c r="O28" s="20"/>
      <c r="P28" s="21"/>
      <c r="Q28" s="21"/>
      <c r="R28" s="20"/>
      <c r="S28" s="20"/>
      <c r="T28" s="21"/>
      <c r="U28" s="21"/>
      <c r="V28" s="9" t="str">
        <f aca="false">IF(A28="","",SUMIFS(CONFIG!$F$5:$F$26,CONFIG!$D$5:$D$26,"Tipo de persona",CONFIG!$E$5:$E$26,C28)+SUMIFS(CONFIG!$F$5:$F$26,CONFIG!$D$5:$D$26,"Residencia",CONFIG!$E$5:$E$26,E28)+SUMIFS(CONFIG!$F$5:$F$26,CONFIG!$D$5:$D$26,"Nacionalidad",CONFIG!$E$5:$E$26,F28)+SUMIFS(CONFIG!$F$5:$F$26,CONFIG!$D$5:$D$26,"Jurisdicción de riesgo",CONFIG!$E$5:$E$26,G28)+SUMIFS(CONFIG!$F$5:$F$26,CONFIG!$D$5:$D$26,"PEP",CONFIG!$E$5:$E$26,H28)+SUMIFS(CONFIG!$F$5:$F$26,CONFIG!$D$5:$D$26,"En listas",CONFIG!$E$5:$E$26,I28)+SUMIFS(CONFIG!$F$5:$F$26,CONFIG!$D$5:$D$26,"Riesgo de su actividad económica",CONFIG!$E$5:$E$26,J28)+SUMIFS(CONFIG!$F$5:$F$26,CONFIG!$D$5:$D$26,"Canal",CONFIG!$E$5:$E$26,K28)+SUMIFS(CONFIG!$F$5:$F$26,CONFIG!$D$5:$D$26,"Origen de recursos documentado",CONFIG!$E$5:$E$26,L28))</f>
        <v/>
      </c>
      <c r="W28" s="9" t="str">
        <f aca="false">IF(A28="","",IF(SUMIF(OPERACIONES!$C$6:$C$505,A28,OPERACIONES!$E$6:$E$505)&gt;0,IF(SUMIF(OPERACIONES!$C$6:$C$505,A28,OPERACIONES!$F$6:$F$505)/SUMIF(OPERACIONES!$C$6:$C$505,A28,OPERACIONES!$E$6:$E$505)&gt;0.5,CONFIG!$B$20,IF(SUMIF(OPERACIONES!$C$6:$C$505,A28,OPERACIONES!$F$6:$F$505)&gt;0,CONFIG!$B$21,0)),0)+IF(COUNTIFS(OPERACIONES!$C$6:$C$505,A28,OPERACIONES!$AQ$6:$AQ$505,1)&gt;0,CONFIG!$B$22,0)+IF(COUNTIFS(OPERACIONES!$C$6:$C$505,A28,OPERACIONES!$H$6:$H$505,"Sí")&gt;0,CONFIG!$B$23,0))</f>
        <v/>
      </c>
      <c r="X28" s="9" t="str">
        <f aca="false">IF(A28="","",V28+W28)</f>
        <v/>
      </c>
      <c r="Y28" s="9" t="str">
        <f aca="false">IF(A28="","",IF(X28&lt;=CONFIG!$B$13,"Bajo",IF(X28&lt;=CONFIG!$B$14,"Medio","Alto")))</f>
        <v/>
      </c>
      <c r="Z28" s="25" t="str">
        <f aca="false">IF(A28="","",IF(OR(H28="Extranjera",AND(E28="No residente",G28="Sí"),I28="Sí"),"Alto",IF(T28&lt;&gt;"",T28,Y28)))</f>
        <v/>
      </c>
      <c r="AA28" s="26" t="str">
        <f aca="false">IF(A28="","",IF(H28="Extranjera","Alto obligatorio: PEP extranjera (RCG 23 Bis 4)",IF(AND(E28="No residente",G28="Sí"),"Alto obligatorio: no residente vinculado a jurisdicción de riesgo (RCG 23 Bis 4)",IF(I28="Sí","Alto por criterio: persona en listas. Evalúa no operar y Aviso de 24 h",IF(T28&lt;&gt;"","Ajuste del REC: "&amp;U28,"Modelo: "&amp;X28&amp;" puntos")))))</f>
        <v/>
      </c>
      <c r="AB28" s="23" t="str">
        <f aca="false">IF(A28="","",IF(COUNT(N28,O28)=0,"Falta fecha",EDATE(MAX(N28,O28),IF(Z28="Alto",CONFIG!$B$18,IF(Z28="Medio",CONFIG!$B$17,CONFIG!$B$16)))))</f>
        <v/>
      </c>
      <c r="AC28" s="23" t="str">
        <f aca="false">IF(A28="","",IF(ISNUMBER(S28),EDATE(S28,12),IF(ISNUMBER(N28),EDATE(N28,12),"Falta fecha")))</f>
        <v/>
      </c>
      <c r="AD28" s="26" t="str">
        <f aca="false">IF(A28="","",MID(IF(P28&lt;&gt;"Sí"," · Expediente incompleto","")&amp;IF(OR(Q28="",Q28="Pendiente")," · Falta el Beneficiario Controlador","")&amp;IF(M28=""," · Sin perfil transaccional","")&amp;IF(AND(ISNUMBER(AB28),AB28&lt;CONFIG!$B$6)," · Evaluación de riesgo vencida","")&amp;IF(AND(ISNUMBER(AC28),AC28&lt;CONFIG!$B$6)," · Verificación anual vencida","")&amp;IF(AND(ISNUMBER(R28),ISNUMBER(S28),S28-R28&gt;92)," · Comprobante de domicilio con más de 3 meses","")&amp;IF(AND(T28&lt;&gt;"",U28="")," · Ajuste del REC sin justificación",""),4,400))</f>
        <v/>
      </c>
      <c r="AE28" s="9" t="str">
        <f aca="false">IF(A28="","",IF(AD28="","Al día","Revisar"))</f>
        <v/>
      </c>
      <c r="AF28" s="9" t="str">
        <f aca="false">IF(A28="","",COUNTIF(OPERACIONES!$C$6:$C$505,A28)&amp;" / $"&amp;FIXED(SUMIF(OPERACIONES!$C$6:$C$505,A28,OPERACIONES!$E$6:$E$505),0))</f>
        <v/>
      </c>
    </row>
    <row r="29" customFormat="false" ht="15" hidden="false" customHeight="false" outlineLevel="0" collapsed="false">
      <c r="A29" s="21"/>
      <c r="B29" s="21"/>
      <c r="C29" s="21"/>
      <c r="D29" s="21"/>
      <c r="E29" s="21"/>
      <c r="F29" s="21"/>
      <c r="G29" s="21"/>
      <c r="H29" s="21"/>
      <c r="I29" s="21"/>
      <c r="J29" s="21"/>
      <c r="K29" s="21"/>
      <c r="L29" s="21"/>
      <c r="M29" s="22"/>
      <c r="N29" s="20"/>
      <c r="O29" s="20"/>
      <c r="P29" s="21"/>
      <c r="Q29" s="21"/>
      <c r="R29" s="20"/>
      <c r="S29" s="20"/>
      <c r="T29" s="21"/>
      <c r="U29" s="21"/>
      <c r="V29" s="9" t="str">
        <f aca="false">IF(A29="","",SUMIFS(CONFIG!$F$5:$F$26,CONFIG!$D$5:$D$26,"Tipo de persona",CONFIG!$E$5:$E$26,C29)+SUMIFS(CONFIG!$F$5:$F$26,CONFIG!$D$5:$D$26,"Residencia",CONFIG!$E$5:$E$26,E29)+SUMIFS(CONFIG!$F$5:$F$26,CONFIG!$D$5:$D$26,"Nacionalidad",CONFIG!$E$5:$E$26,F29)+SUMIFS(CONFIG!$F$5:$F$26,CONFIG!$D$5:$D$26,"Jurisdicción de riesgo",CONFIG!$E$5:$E$26,G29)+SUMIFS(CONFIG!$F$5:$F$26,CONFIG!$D$5:$D$26,"PEP",CONFIG!$E$5:$E$26,H29)+SUMIFS(CONFIG!$F$5:$F$26,CONFIG!$D$5:$D$26,"En listas",CONFIG!$E$5:$E$26,I29)+SUMIFS(CONFIG!$F$5:$F$26,CONFIG!$D$5:$D$26,"Riesgo de su actividad económica",CONFIG!$E$5:$E$26,J29)+SUMIFS(CONFIG!$F$5:$F$26,CONFIG!$D$5:$D$26,"Canal",CONFIG!$E$5:$E$26,K29)+SUMIFS(CONFIG!$F$5:$F$26,CONFIG!$D$5:$D$26,"Origen de recursos documentado",CONFIG!$E$5:$E$26,L29))</f>
        <v/>
      </c>
      <c r="W29" s="9" t="str">
        <f aca="false">IF(A29="","",IF(SUMIF(OPERACIONES!$C$6:$C$505,A29,OPERACIONES!$E$6:$E$505)&gt;0,IF(SUMIF(OPERACIONES!$C$6:$C$505,A29,OPERACIONES!$F$6:$F$505)/SUMIF(OPERACIONES!$C$6:$C$505,A29,OPERACIONES!$E$6:$E$505)&gt;0.5,CONFIG!$B$20,IF(SUMIF(OPERACIONES!$C$6:$C$505,A29,OPERACIONES!$F$6:$F$505)&gt;0,CONFIG!$B$21,0)),0)+IF(COUNTIFS(OPERACIONES!$C$6:$C$505,A29,OPERACIONES!$AQ$6:$AQ$505,1)&gt;0,CONFIG!$B$22,0)+IF(COUNTIFS(OPERACIONES!$C$6:$C$505,A29,OPERACIONES!$H$6:$H$505,"Sí")&gt;0,CONFIG!$B$23,0))</f>
        <v/>
      </c>
      <c r="X29" s="9" t="str">
        <f aca="false">IF(A29="","",V29+W29)</f>
        <v/>
      </c>
      <c r="Y29" s="9" t="str">
        <f aca="false">IF(A29="","",IF(X29&lt;=CONFIG!$B$13,"Bajo",IF(X29&lt;=CONFIG!$B$14,"Medio","Alto")))</f>
        <v/>
      </c>
      <c r="Z29" s="25" t="str">
        <f aca="false">IF(A29="","",IF(OR(H29="Extranjera",AND(E29="No residente",G29="Sí"),I29="Sí"),"Alto",IF(T29&lt;&gt;"",T29,Y29)))</f>
        <v/>
      </c>
      <c r="AA29" s="26" t="str">
        <f aca="false">IF(A29="","",IF(H29="Extranjera","Alto obligatorio: PEP extranjera (RCG 23 Bis 4)",IF(AND(E29="No residente",G29="Sí"),"Alto obligatorio: no residente vinculado a jurisdicción de riesgo (RCG 23 Bis 4)",IF(I29="Sí","Alto por criterio: persona en listas. Evalúa no operar y Aviso de 24 h",IF(T29&lt;&gt;"","Ajuste del REC: "&amp;U29,"Modelo: "&amp;X29&amp;" puntos")))))</f>
        <v/>
      </c>
      <c r="AB29" s="23" t="str">
        <f aca="false">IF(A29="","",IF(COUNT(N29,O29)=0,"Falta fecha",EDATE(MAX(N29,O29),IF(Z29="Alto",CONFIG!$B$18,IF(Z29="Medio",CONFIG!$B$17,CONFIG!$B$16)))))</f>
        <v/>
      </c>
      <c r="AC29" s="23" t="str">
        <f aca="false">IF(A29="","",IF(ISNUMBER(S29),EDATE(S29,12),IF(ISNUMBER(N29),EDATE(N29,12),"Falta fecha")))</f>
        <v/>
      </c>
      <c r="AD29" s="26" t="str">
        <f aca="false">IF(A29="","",MID(IF(P29&lt;&gt;"Sí"," · Expediente incompleto","")&amp;IF(OR(Q29="",Q29="Pendiente")," · Falta el Beneficiario Controlador","")&amp;IF(M29=""," · Sin perfil transaccional","")&amp;IF(AND(ISNUMBER(AB29),AB29&lt;CONFIG!$B$6)," · Evaluación de riesgo vencida","")&amp;IF(AND(ISNUMBER(AC29),AC29&lt;CONFIG!$B$6)," · Verificación anual vencida","")&amp;IF(AND(ISNUMBER(R29),ISNUMBER(S29),S29-R29&gt;92)," · Comprobante de domicilio con más de 3 meses","")&amp;IF(AND(T29&lt;&gt;"",U29="")," · Ajuste del REC sin justificación",""),4,400))</f>
        <v/>
      </c>
      <c r="AE29" s="9" t="str">
        <f aca="false">IF(A29="","",IF(AD29="","Al día","Revisar"))</f>
        <v/>
      </c>
      <c r="AF29" s="9" t="str">
        <f aca="false">IF(A29="","",COUNTIF(OPERACIONES!$C$6:$C$505,A29)&amp;" / $"&amp;FIXED(SUMIF(OPERACIONES!$C$6:$C$505,A29,OPERACIONES!$E$6:$E$505),0))</f>
        <v/>
      </c>
    </row>
    <row r="30" customFormat="false" ht="15" hidden="false" customHeight="false" outlineLevel="0" collapsed="false">
      <c r="A30" s="21"/>
      <c r="B30" s="21"/>
      <c r="C30" s="21"/>
      <c r="D30" s="21"/>
      <c r="E30" s="21"/>
      <c r="F30" s="21"/>
      <c r="G30" s="21"/>
      <c r="H30" s="21"/>
      <c r="I30" s="21"/>
      <c r="J30" s="21"/>
      <c r="K30" s="21"/>
      <c r="L30" s="21"/>
      <c r="M30" s="22"/>
      <c r="N30" s="20"/>
      <c r="O30" s="20"/>
      <c r="P30" s="21"/>
      <c r="Q30" s="21"/>
      <c r="R30" s="20"/>
      <c r="S30" s="20"/>
      <c r="T30" s="21"/>
      <c r="U30" s="21"/>
      <c r="V30" s="9" t="str">
        <f aca="false">IF(A30="","",SUMIFS(CONFIG!$F$5:$F$26,CONFIG!$D$5:$D$26,"Tipo de persona",CONFIG!$E$5:$E$26,C30)+SUMIFS(CONFIG!$F$5:$F$26,CONFIG!$D$5:$D$26,"Residencia",CONFIG!$E$5:$E$26,E30)+SUMIFS(CONFIG!$F$5:$F$26,CONFIG!$D$5:$D$26,"Nacionalidad",CONFIG!$E$5:$E$26,F30)+SUMIFS(CONFIG!$F$5:$F$26,CONFIG!$D$5:$D$26,"Jurisdicción de riesgo",CONFIG!$E$5:$E$26,G30)+SUMIFS(CONFIG!$F$5:$F$26,CONFIG!$D$5:$D$26,"PEP",CONFIG!$E$5:$E$26,H30)+SUMIFS(CONFIG!$F$5:$F$26,CONFIG!$D$5:$D$26,"En listas",CONFIG!$E$5:$E$26,I30)+SUMIFS(CONFIG!$F$5:$F$26,CONFIG!$D$5:$D$26,"Riesgo de su actividad económica",CONFIG!$E$5:$E$26,J30)+SUMIFS(CONFIG!$F$5:$F$26,CONFIG!$D$5:$D$26,"Canal",CONFIG!$E$5:$E$26,K30)+SUMIFS(CONFIG!$F$5:$F$26,CONFIG!$D$5:$D$26,"Origen de recursos documentado",CONFIG!$E$5:$E$26,L30))</f>
        <v/>
      </c>
      <c r="W30" s="9" t="str">
        <f aca="false">IF(A30="","",IF(SUMIF(OPERACIONES!$C$6:$C$505,A30,OPERACIONES!$E$6:$E$505)&gt;0,IF(SUMIF(OPERACIONES!$C$6:$C$505,A30,OPERACIONES!$F$6:$F$505)/SUMIF(OPERACIONES!$C$6:$C$505,A30,OPERACIONES!$E$6:$E$505)&gt;0.5,CONFIG!$B$20,IF(SUMIF(OPERACIONES!$C$6:$C$505,A30,OPERACIONES!$F$6:$F$505)&gt;0,CONFIG!$B$21,0)),0)+IF(COUNTIFS(OPERACIONES!$C$6:$C$505,A30,OPERACIONES!$AQ$6:$AQ$505,1)&gt;0,CONFIG!$B$22,0)+IF(COUNTIFS(OPERACIONES!$C$6:$C$505,A30,OPERACIONES!$H$6:$H$505,"Sí")&gt;0,CONFIG!$B$23,0))</f>
        <v/>
      </c>
      <c r="X30" s="9" t="str">
        <f aca="false">IF(A30="","",V30+W30)</f>
        <v/>
      </c>
      <c r="Y30" s="9" t="str">
        <f aca="false">IF(A30="","",IF(X30&lt;=CONFIG!$B$13,"Bajo",IF(X30&lt;=CONFIG!$B$14,"Medio","Alto")))</f>
        <v/>
      </c>
      <c r="Z30" s="25" t="str">
        <f aca="false">IF(A30="","",IF(OR(H30="Extranjera",AND(E30="No residente",G30="Sí"),I30="Sí"),"Alto",IF(T30&lt;&gt;"",T30,Y30)))</f>
        <v/>
      </c>
      <c r="AA30" s="26" t="str">
        <f aca="false">IF(A30="","",IF(H30="Extranjera","Alto obligatorio: PEP extranjera (RCG 23 Bis 4)",IF(AND(E30="No residente",G30="Sí"),"Alto obligatorio: no residente vinculado a jurisdicción de riesgo (RCG 23 Bis 4)",IF(I30="Sí","Alto por criterio: persona en listas. Evalúa no operar y Aviso de 24 h",IF(T30&lt;&gt;"","Ajuste del REC: "&amp;U30,"Modelo: "&amp;X30&amp;" puntos")))))</f>
        <v/>
      </c>
      <c r="AB30" s="23" t="str">
        <f aca="false">IF(A30="","",IF(COUNT(N30,O30)=0,"Falta fecha",EDATE(MAX(N30,O30),IF(Z30="Alto",CONFIG!$B$18,IF(Z30="Medio",CONFIG!$B$17,CONFIG!$B$16)))))</f>
        <v/>
      </c>
      <c r="AC30" s="23" t="str">
        <f aca="false">IF(A30="","",IF(ISNUMBER(S30),EDATE(S30,12),IF(ISNUMBER(N30),EDATE(N30,12),"Falta fecha")))</f>
        <v/>
      </c>
      <c r="AD30" s="26" t="str">
        <f aca="false">IF(A30="","",MID(IF(P30&lt;&gt;"Sí"," · Expediente incompleto","")&amp;IF(OR(Q30="",Q30="Pendiente")," · Falta el Beneficiario Controlador","")&amp;IF(M30=""," · Sin perfil transaccional","")&amp;IF(AND(ISNUMBER(AB30),AB30&lt;CONFIG!$B$6)," · Evaluación de riesgo vencida","")&amp;IF(AND(ISNUMBER(AC30),AC30&lt;CONFIG!$B$6)," · Verificación anual vencida","")&amp;IF(AND(ISNUMBER(R30),ISNUMBER(S30),S30-R30&gt;92)," · Comprobante de domicilio con más de 3 meses","")&amp;IF(AND(T30&lt;&gt;"",U30="")," · Ajuste del REC sin justificación",""),4,400))</f>
        <v/>
      </c>
      <c r="AE30" s="9" t="str">
        <f aca="false">IF(A30="","",IF(AD30="","Al día","Revisar"))</f>
        <v/>
      </c>
      <c r="AF30" s="9" t="str">
        <f aca="false">IF(A30="","",COUNTIF(OPERACIONES!$C$6:$C$505,A30)&amp;" / $"&amp;FIXED(SUMIF(OPERACIONES!$C$6:$C$505,A30,OPERACIONES!$E$6:$E$505),0))</f>
        <v/>
      </c>
    </row>
    <row r="31" customFormat="false" ht="15" hidden="false" customHeight="false" outlineLevel="0" collapsed="false">
      <c r="A31" s="21"/>
      <c r="B31" s="21"/>
      <c r="C31" s="21"/>
      <c r="D31" s="21"/>
      <c r="E31" s="21"/>
      <c r="F31" s="21"/>
      <c r="G31" s="21"/>
      <c r="H31" s="21"/>
      <c r="I31" s="21"/>
      <c r="J31" s="21"/>
      <c r="K31" s="21"/>
      <c r="L31" s="21"/>
      <c r="M31" s="22"/>
      <c r="N31" s="20"/>
      <c r="O31" s="20"/>
      <c r="P31" s="21"/>
      <c r="Q31" s="21"/>
      <c r="R31" s="20"/>
      <c r="S31" s="20"/>
      <c r="T31" s="21"/>
      <c r="U31" s="21"/>
      <c r="V31" s="9" t="str">
        <f aca="false">IF(A31="","",SUMIFS(CONFIG!$F$5:$F$26,CONFIG!$D$5:$D$26,"Tipo de persona",CONFIG!$E$5:$E$26,C31)+SUMIFS(CONFIG!$F$5:$F$26,CONFIG!$D$5:$D$26,"Residencia",CONFIG!$E$5:$E$26,E31)+SUMIFS(CONFIG!$F$5:$F$26,CONFIG!$D$5:$D$26,"Nacionalidad",CONFIG!$E$5:$E$26,F31)+SUMIFS(CONFIG!$F$5:$F$26,CONFIG!$D$5:$D$26,"Jurisdicción de riesgo",CONFIG!$E$5:$E$26,G31)+SUMIFS(CONFIG!$F$5:$F$26,CONFIG!$D$5:$D$26,"PEP",CONFIG!$E$5:$E$26,H31)+SUMIFS(CONFIG!$F$5:$F$26,CONFIG!$D$5:$D$26,"En listas",CONFIG!$E$5:$E$26,I31)+SUMIFS(CONFIG!$F$5:$F$26,CONFIG!$D$5:$D$26,"Riesgo de su actividad económica",CONFIG!$E$5:$E$26,J31)+SUMIFS(CONFIG!$F$5:$F$26,CONFIG!$D$5:$D$26,"Canal",CONFIG!$E$5:$E$26,K31)+SUMIFS(CONFIG!$F$5:$F$26,CONFIG!$D$5:$D$26,"Origen de recursos documentado",CONFIG!$E$5:$E$26,L31))</f>
        <v/>
      </c>
      <c r="W31" s="9" t="str">
        <f aca="false">IF(A31="","",IF(SUMIF(OPERACIONES!$C$6:$C$505,A31,OPERACIONES!$E$6:$E$505)&gt;0,IF(SUMIF(OPERACIONES!$C$6:$C$505,A31,OPERACIONES!$F$6:$F$505)/SUMIF(OPERACIONES!$C$6:$C$505,A31,OPERACIONES!$E$6:$E$505)&gt;0.5,CONFIG!$B$20,IF(SUMIF(OPERACIONES!$C$6:$C$505,A31,OPERACIONES!$F$6:$F$505)&gt;0,CONFIG!$B$21,0)),0)+IF(COUNTIFS(OPERACIONES!$C$6:$C$505,A31,OPERACIONES!$AQ$6:$AQ$505,1)&gt;0,CONFIG!$B$22,0)+IF(COUNTIFS(OPERACIONES!$C$6:$C$505,A31,OPERACIONES!$H$6:$H$505,"Sí")&gt;0,CONFIG!$B$23,0))</f>
        <v/>
      </c>
      <c r="X31" s="9" t="str">
        <f aca="false">IF(A31="","",V31+W31)</f>
        <v/>
      </c>
      <c r="Y31" s="9" t="str">
        <f aca="false">IF(A31="","",IF(X31&lt;=CONFIG!$B$13,"Bajo",IF(X31&lt;=CONFIG!$B$14,"Medio","Alto")))</f>
        <v/>
      </c>
      <c r="Z31" s="25" t="str">
        <f aca="false">IF(A31="","",IF(OR(H31="Extranjera",AND(E31="No residente",G31="Sí"),I31="Sí"),"Alto",IF(T31&lt;&gt;"",T31,Y31)))</f>
        <v/>
      </c>
      <c r="AA31" s="26" t="str">
        <f aca="false">IF(A31="","",IF(H31="Extranjera","Alto obligatorio: PEP extranjera (RCG 23 Bis 4)",IF(AND(E31="No residente",G31="Sí"),"Alto obligatorio: no residente vinculado a jurisdicción de riesgo (RCG 23 Bis 4)",IF(I31="Sí","Alto por criterio: persona en listas. Evalúa no operar y Aviso de 24 h",IF(T31&lt;&gt;"","Ajuste del REC: "&amp;U31,"Modelo: "&amp;X31&amp;" puntos")))))</f>
        <v/>
      </c>
      <c r="AB31" s="23" t="str">
        <f aca="false">IF(A31="","",IF(COUNT(N31,O31)=0,"Falta fecha",EDATE(MAX(N31,O31),IF(Z31="Alto",CONFIG!$B$18,IF(Z31="Medio",CONFIG!$B$17,CONFIG!$B$16)))))</f>
        <v/>
      </c>
      <c r="AC31" s="23" t="str">
        <f aca="false">IF(A31="","",IF(ISNUMBER(S31),EDATE(S31,12),IF(ISNUMBER(N31),EDATE(N31,12),"Falta fecha")))</f>
        <v/>
      </c>
      <c r="AD31" s="26" t="str">
        <f aca="false">IF(A31="","",MID(IF(P31&lt;&gt;"Sí"," · Expediente incompleto","")&amp;IF(OR(Q31="",Q31="Pendiente")," · Falta el Beneficiario Controlador","")&amp;IF(M31=""," · Sin perfil transaccional","")&amp;IF(AND(ISNUMBER(AB31),AB31&lt;CONFIG!$B$6)," · Evaluación de riesgo vencida","")&amp;IF(AND(ISNUMBER(AC31),AC31&lt;CONFIG!$B$6)," · Verificación anual vencida","")&amp;IF(AND(ISNUMBER(R31),ISNUMBER(S31),S31-R31&gt;92)," · Comprobante de domicilio con más de 3 meses","")&amp;IF(AND(T31&lt;&gt;"",U31="")," · Ajuste del REC sin justificación",""),4,400))</f>
        <v/>
      </c>
      <c r="AE31" s="9" t="str">
        <f aca="false">IF(A31="","",IF(AD31="","Al día","Revisar"))</f>
        <v/>
      </c>
      <c r="AF31" s="9" t="str">
        <f aca="false">IF(A31="","",COUNTIF(OPERACIONES!$C$6:$C$505,A31)&amp;" / $"&amp;FIXED(SUMIF(OPERACIONES!$C$6:$C$505,A31,OPERACIONES!$E$6:$E$505),0))</f>
        <v/>
      </c>
    </row>
    <row r="32" customFormat="false" ht="15" hidden="false" customHeight="false" outlineLevel="0" collapsed="false">
      <c r="A32" s="21"/>
      <c r="B32" s="21"/>
      <c r="C32" s="21"/>
      <c r="D32" s="21"/>
      <c r="E32" s="21"/>
      <c r="F32" s="21"/>
      <c r="G32" s="21"/>
      <c r="H32" s="21"/>
      <c r="I32" s="21"/>
      <c r="J32" s="21"/>
      <c r="K32" s="21"/>
      <c r="L32" s="21"/>
      <c r="M32" s="22"/>
      <c r="N32" s="20"/>
      <c r="O32" s="20"/>
      <c r="P32" s="21"/>
      <c r="Q32" s="21"/>
      <c r="R32" s="20"/>
      <c r="S32" s="20"/>
      <c r="T32" s="21"/>
      <c r="U32" s="21"/>
      <c r="V32" s="9" t="str">
        <f aca="false">IF(A32="","",SUMIFS(CONFIG!$F$5:$F$26,CONFIG!$D$5:$D$26,"Tipo de persona",CONFIG!$E$5:$E$26,C32)+SUMIFS(CONFIG!$F$5:$F$26,CONFIG!$D$5:$D$26,"Residencia",CONFIG!$E$5:$E$26,E32)+SUMIFS(CONFIG!$F$5:$F$26,CONFIG!$D$5:$D$26,"Nacionalidad",CONFIG!$E$5:$E$26,F32)+SUMIFS(CONFIG!$F$5:$F$26,CONFIG!$D$5:$D$26,"Jurisdicción de riesgo",CONFIG!$E$5:$E$26,G32)+SUMIFS(CONFIG!$F$5:$F$26,CONFIG!$D$5:$D$26,"PEP",CONFIG!$E$5:$E$26,H32)+SUMIFS(CONFIG!$F$5:$F$26,CONFIG!$D$5:$D$26,"En listas",CONFIG!$E$5:$E$26,I32)+SUMIFS(CONFIG!$F$5:$F$26,CONFIG!$D$5:$D$26,"Riesgo de su actividad económica",CONFIG!$E$5:$E$26,J32)+SUMIFS(CONFIG!$F$5:$F$26,CONFIG!$D$5:$D$26,"Canal",CONFIG!$E$5:$E$26,K32)+SUMIFS(CONFIG!$F$5:$F$26,CONFIG!$D$5:$D$26,"Origen de recursos documentado",CONFIG!$E$5:$E$26,L32))</f>
        <v/>
      </c>
      <c r="W32" s="9" t="str">
        <f aca="false">IF(A32="","",IF(SUMIF(OPERACIONES!$C$6:$C$505,A32,OPERACIONES!$E$6:$E$505)&gt;0,IF(SUMIF(OPERACIONES!$C$6:$C$505,A32,OPERACIONES!$F$6:$F$505)/SUMIF(OPERACIONES!$C$6:$C$505,A32,OPERACIONES!$E$6:$E$505)&gt;0.5,CONFIG!$B$20,IF(SUMIF(OPERACIONES!$C$6:$C$505,A32,OPERACIONES!$F$6:$F$505)&gt;0,CONFIG!$B$21,0)),0)+IF(COUNTIFS(OPERACIONES!$C$6:$C$505,A32,OPERACIONES!$AQ$6:$AQ$505,1)&gt;0,CONFIG!$B$22,0)+IF(COUNTIFS(OPERACIONES!$C$6:$C$505,A32,OPERACIONES!$H$6:$H$505,"Sí")&gt;0,CONFIG!$B$23,0))</f>
        <v/>
      </c>
      <c r="X32" s="9" t="str">
        <f aca="false">IF(A32="","",V32+W32)</f>
        <v/>
      </c>
      <c r="Y32" s="9" t="str">
        <f aca="false">IF(A32="","",IF(X32&lt;=CONFIG!$B$13,"Bajo",IF(X32&lt;=CONFIG!$B$14,"Medio","Alto")))</f>
        <v/>
      </c>
      <c r="Z32" s="25" t="str">
        <f aca="false">IF(A32="","",IF(OR(H32="Extranjera",AND(E32="No residente",G32="Sí"),I32="Sí"),"Alto",IF(T32&lt;&gt;"",T32,Y32)))</f>
        <v/>
      </c>
      <c r="AA32" s="26" t="str">
        <f aca="false">IF(A32="","",IF(H32="Extranjera","Alto obligatorio: PEP extranjera (RCG 23 Bis 4)",IF(AND(E32="No residente",G32="Sí"),"Alto obligatorio: no residente vinculado a jurisdicción de riesgo (RCG 23 Bis 4)",IF(I32="Sí","Alto por criterio: persona en listas. Evalúa no operar y Aviso de 24 h",IF(T32&lt;&gt;"","Ajuste del REC: "&amp;U32,"Modelo: "&amp;X32&amp;" puntos")))))</f>
        <v/>
      </c>
      <c r="AB32" s="23" t="str">
        <f aca="false">IF(A32="","",IF(COUNT(N32,O32)=0,"Falta fecha",EDATE(MAX(N32,O32),IF(Z32="Alto",CONFIG!$B$18,IF(Z32="Medio",CONFIG!$B$17,CONFIG!$B$16)))))</f>
        <v/>
      </c>
      <c r="AC32" s="23" t="str">
        <f aca="false">IF(A32="","",IF(ISNUMBER(S32),EDATE(S32,12),IF(ISNUMBER(N32),EDATE(N32,12),"Falta fecha")))</f>
        <v/>
      </c>
      <c r="AD32" s="26" t="str">
        <f aca="false">IF(A32="","",MID(IF(P32&lt;&gt;"Sí"," · Expediente incompleto","")&amp;IF(OR(Q32="",Q32="Pendiente")," · Falta el Beneficiario Controlador","")&amp;IF(M32=""," · Sin perfil transaccional","")&amp;IF(AND(ISNUMBER(AB32),AB32&lt;CONFIG!$B$6)," · Evaluación de riesgo vencida","")&amp;IF(AND(ISNUMBER(AC32),AC32&lt;CONFIG!$B$6)," · Verificación anual vencida","")&amp;IF(AND(ISNUMBER(R32),ISNUMBER(S32),S32-R32&gt;92)," · Comprobante de domicilio con más de 3 meses","")&amp;IF(AND(T32&lt;&gt;"",U32="")," · Ajuste del REC sin justificación",""),4,400))</f>
        <v/>
      </c>
      <c r="AE32" s="9" t="str">
        <f aca="false">IF(A32="","",IF(AD32="","Al día","Revisar"))</f>
        <v/>
      </c>
      <c r="AF32" s="9" t="str">
        <f aca="false">IF(A32="","",COUNTIF(OPERACIONES!$C$6:$C$505,A32)&amp;" / $"&amp;FIXED(SUMIF(OPERACIONES!$C$6:$C$505,A32,OPERACIONES!$E$6:$E$505),0))</f>
        <v/>
      </c>
    </row>
    <row r="33" customFormat="false" ht="15" hidden="false" customHeight="false" outlineLevel="0" collapsed="false">
      <c r="A33" s="21"/>
      <c r="B33" s="21"/>
      <c r="C33" s="21"/>
      <c r="D33" s="21"/>
      <c r="E33" s="21"/>
      <c r="F33" s="21"/>
      <c r="G33" s="21"/>
      <c r="H33" s="21"/>
      <c r="I33" s="21"/>
      <c r="J33" s="21"/>
      <c r="K33" s="21"/>
      <c r="L33" s="21"/>
      <c r="M33" s="22"/>
      <c r="N33" s="20"/>
      <c r="O33" s="20"/>
      <c r="P33" s="21"/>
      <c r="Q33" s="21"/>
      <c r="R33" s="20"/>
      <c r="S33" s="20"/>
      <c r="T33" s="21"/>
      <c r="U33" s="21"/>
      <c r="V33" s="9" t="str">
        <f aca="false">IF(A33="","",SUMIFS(CONFIG!$F$5:$F$26,CONFIG!$D$5:$D$26,"Tipo de persona",CONFIG!$E$5:$E$26,C33)+SUMIFS(CONFIG!$F$5:$F$26,CONFIG!$D$5:$D$26,"Residencia",CONFIG!$E$5:$E$26,E33)+SUMIFS(CONFIG!$F$5:$F$26,CONFIG!$D$5:$D$26,"Nacionalidad",CONFIG!$E$5:$E$26,F33)+SUMIFS(CONFIG!$F$5:$F$26,CONFIG!$D$5:$D$26,"Jurisdicción de riesgo",CONFIG!$E$5:$E$26,G33)+SUMIFS(CONFIG!$F$5:$F$26,CONFIG!$D$5:$D$26,"PEP",CONFIG!$E$5:$E$26,H33)+SUMIFS(CONFIG!$F$5:$F$26,CONFIG!$D$5:$D$26,"En listas",CONFIG!$E$5:$E$26,I33)+SUMIFS(CONFIG!$F$5:$F$26,CONFIG!$D$5:$D$26,"Riesgo de su actividad económica",CONFIG!$E$5:$E$26,J33)+SUMIFS(CONFIG!$F$5:$F$26,CONFIG!$D$5:$D$26,"Canal",CONFIG!$E$5:$E$26,K33)+SUMIFS(CONFIG!$F$5:$F$26,CONFIG!$D$5:$D$26,"Origen de recursos documentado",CONFIG!$E$5:$E$26,L33))</f>
        <v/>
      </c>
      <c r="W33" s="9" t="str">
        <f aca="false">IF(A33="","",IF(SUMIF(OPERACIONES!$C$6:$C$505,A33,OPERACIONES!$E$6:$E$505)&gt;0,IF(SUMIF(OPERACIONES!$C$6:$C$505,A33,OPERACIONES!$F$6:$F$505)/SUMIF(OPERACIONES!$C$6:$C$505,A33,OPERACIONES!$E$6:$E$505)&gt;0.5,CONFIG!$B$20,IF(SUMIF(OPERACIONES!$C$6:$C$505,A33,OPERACIONES!$F$6:$F$505)&gt;0,CONFIG!$B$21,0)),0)+IF(COUNTIFS(OPERACIONES!$C$6:$C$505,A33,OPERACIONES!$AQ$6:$AQ$505,1)&gt;0,CONFIG!$B$22,0)+IF(COUNTIFS(OPERACIONES!$C$6:$C$505,A33,OPERACIONES!$H$6:$H$505,"Sí")&gt;0,CONFIG!$B$23,0))</f>
        <v/>
      </c>
      <c r="X33" s="9" t="str">
        <f aca="false">IF(A33="","",V33+W33)</f>
        <v/>
      </c>
      <c r="Y33" s="9" t="str">
        <f aca="false">IF(A33="","",IF(X33&lt;=CONFIG!$B$13,"Bajo",IF(X33&lt;=CONFIG!$B$14,"Medio","Alto")))</f>
        <v/>
      </c>
      <c r="Z33" s="25" t="str">
        <f aca="false">IF(A33="","",IF(OR(H33="Extranjera",AND(E33="No residente",G33="Sí"),I33="Sí"),"Alto",IF(T33&lt;&gt;"",T33,Y33)))</f>
        <v/>
      </c>
      <c r="AA33" s="26" t="str">
        <f aca="false">IF(A33="","",IF(H33="Extranjera","Alto obligatorio: PEP extranjera (RCG 23 Bis 4)",IF(AND(E33="No residente",G33="Sí"),"Alto obligatorio: no residente vinculado a jurisdicción de riesgo (RCG 23 Bis 4)",IF(I33="Sí","Alto por criterio: persona en listas. Evalúa no operar y Aviso de 24 h",IF(T33&lt;&gt;"","Ajuste del REC: "&amp;U33,"Modelo: "&amp;X33&amp;" puntos")))))</f>
        <v/>
      </c>
      <c r="AB33" s="23" t="str">
        <f aca="false">IF(A33="","",IF(COUNT(N33,O33)=0,"Falta fecha",EDATE(MAX(N33,O33),IF(Z33="Alto",CONFIG!$B$18,IF(Z33="Medio",CONFIG!$B$17,CONFIG!$B$16)))))</f>
        <v/>
      </c>
      <c r="AC33" s="23" t="str">
        <f aca="false">IF(A33="","",IF(ISNUMBER(S33),EDATE(S33,12),IF(ISNUMBER(N33),EDATE(N33,12),"Falta fecha")))</f>
        <v/>
      </c>
      <c r="AD33" s="26" t="str">
        <f aca="false">IF(A33="","",MID(IF(P33&lt;&gt;"Sí"," · Expediente incompleto","")&amp;IF(OR(Q33="",Q33="Pendiente")," · Falta el Beneficiario Controlador","")&amp;IF(M33=""," · Sin perfil transaccional","")&amp;IF(AND(ISNUMBER(AB33),AB33&lt;CONFIG!$B$6)," · Evaluación de riesgo vencida","")&amp;IF(AND(ISNUMBER(AC33),AC33&lt;CONFIG!$B$6)," · Verificación anual vencida","")&amp;IF(AND(ISNUMBER(R33),ISNUMBER(S33),S33-R33&gt;92)," · Comprobante de domicilio con más de 3 meses","")&amp;IF(AND(T33&lt;&gt;"",U33="")," · Ajuste del REC sin justificación",""),4,400))</f>
        <v/>
      </c>
      <c r="AE33" s="9" t="str">
        <f aca="false">IF(A33="","",IF(AD33="","Al día","Revisar"))</f>
        <v/>
      </c>
      <c r="AF33" s="9" t="str">
        <f aca="false">IF(A33="","",COUNTIF(OPERACIONES!$C$6:$C$505,A33)&amp;" / $"&amp;FIXED(SUMIF(OPERACIONES!$C$6:$C$505,A33,OPERACIONES!$E$6:$E$505),0))</f>
        <v/>
      </c>
    </row>
    <row r="34" customFormat="false" ht="15" hidden="false" customHeight="false" outlineLevel="0" collapsed="false">
      <c r="A34" s="21"/>
      <c r="B34" s="21"/>
      <c r="C34" s="21"/>
      <c r="D34" s="21"/>
      <c r="E34" s="21"/>
      <c r="F34" s="21"/>
      <c r="G34" s="21"/>
      <c r="H34" s="21"/>
      <c r="I34" s="21"/>
      <c r="J34" s="21"/>
      <c r="K34" s="21"/>
      <c r="L34" s="21"/>
      <c r="M34" s="22"/>
      <c r="N34" s="20"/>
      <c r="O34" s="20"/>
      <c r="P34" s="21"/>
      <c r="Q34" s="21"/>
      <c r="R34" s="20"/>
      <c r="S34" s="20"/>
      <c r="T34" s="21"/>
      <c r="U34" s="21"/>
      <c r="V34" s="9" t="str">
        <f aca="false">IF(A34="","",SUMIFS(CONFIG!$F$5:$F$26,CONFIG!$D$5:$D$26,"Tipo de persona",CONFIG!$E$5:$E$26,C34)+SUMIFS(CONFIG!$F$5:$F$26,CONFIG!$D$5:$D$26,"Residencia",CONFIG!$E$5:$E$26,E34)+SUMIFS(CONFIG!$F$5:$F$26,CONFIG!$D$5:$D$26,"Nacionalidad",CONFIG!$E$5:$E$26,F34)+SUMIFS(CONFIG!$F$5:$F$26,CONFIG!$D$5:$D$26,"Jurisdicción de riesgo",CONFIG!$E$5:$E$26,G34)+SUMIFS(CONFIG!$F$5:$F$26,CONFIG!$D$5:$D$26,"PEP",CONFIG!$E$5:$E$26,H34)+SUMIFS(CONFIG!$F$5:$F$26,CONFIG!$D$5:$D$26,"En listas",CONFIG!$E$5:$E$26,I34)+SUMIFS(CONFIG!$F$5:$F$26,CONFIG!$D$5:$D$26,"Riesgo de su actividad económica",CONFIG!$E$5:$E$26,J34)+SUMIFS(CONFIG!$F$5:$F$26,CONFIG!$D$5:$D$26,"Canal",CONFIG!$E$5:$E$26,K34)+SUMIFS(CONFIG!$F$5:$F$26,CONFIG!$D$5:$D$26,"Origen de recursos documentado",CONFIG!$E$5:$E$26,L34))</f>
        <v/>
      </c>
      <c r="W34" s="9" t="str">
        <f aca="false">IF(A34="","",IF(SUMIF(OPERACIONES!$C$6:$C$505,A34,OPERACIONES!$E$6:$E$505)&gt;0,IF(SUMIF(OPERACIONES!$C$6:$C$505,A34,OPERACIONES!$F$6:$F$505)/SUMIF(OPERACIONES!$C$6:$C$505,A34,OPERACIONES!$E$6:$E$505)&gt;0.5,CONFIG!$B$20,IF(SUMIF(OPERACIONES!$C$6:$C$505,A34,OPERACIONES!$F$6:$F$505)&gt;0,CONFIG!$B$21,0)),0)+IF(COUNTIFS(OPERACIONES!$C$6:$C$505,A34,OPERACIONES!$AQ$6:$AQ$505,1)&gt;0,CONFIG!$B$22,0)+IF(COUNTIFS(OPERACIONES!$C$6:$C$505,A34,OPERACIONES!$H$6:$H$505,"Sí")&gt;0,CONFIG!$B$23,0))</f>
        <v/>
      </c>
      <c r="X34" s="9" t="str">
        <f aca="false">IF(A34="","",V34+W34)</f>
        <v/>
      </c>
      <c r="Y34" s="9" t="str">
        <f aca="false">IF(A34="","",IF(X34&lt;=CONFIG!$B$13,"Bajo",IF(X34&lt;=CONFIG!$B$14,"Medio","Alto")))</f>
        <v/>
      </c>
      <c r="Z34" s="25" t="str">
        <f aca="false">IF(A34="","",IF(OR(H34="Extranjera",AND(E34="No residente",G34="Sí"),I34="Sí"),"Alto",IF(T34&lt;&gt;"",T34,Y34)))</f>
        <v/>
      </c>
      <c r="AA34" s="26" t="str">
        <f aca="false">IF(A34="","",IF(H34="Extranjera","Alto obligatorio: PEP extranjera (RCG 23 Bis 4)",IF(AND(E34="No residente",G34="Sí"),"Alto obligatorio: no residente vinculado a jurisdicción de riesgo (RCG 23 Bis 4)",IF(I34="Sí","Alto por criterio: persona en listas. Evalúa no operar y Aviso de 24 h",IF(T34&lt;&gt;"","Ajuste del REC: "&amp;U34,"Modelo: "&amp;X34&amp;" puntos")))))</f>
        <v/>
      </c>
      <c r="AB34" s="23" t="str">
        <f aca="false">IF(A34="","",IF(COUNT(N34,O34)=0,"Falta fecha",EDATE(MAX(N34,O34),IF(Z34="Alto",CONFIG!$B$18,IF(Z34="Medio",CONFIG!$B$17,CONFIG!$B$16)))))</f>
        <v/>
      </c>
      <c r="AC34" s="23" t="str">
        <f aca="false">IF(A34="","",IF(ISNUMBER(S34),EDATE(S34,12),IF(ISNUMBER(N34),EDATE(N34,12),"Falta fecha")))</f>
        <v/>
      </c>
      <c r="AD34" s="26" t="str">
        <f aca="false">IF(A34="","",MID(IF(P34&lt;&gt;"Sí"," · Expediente incompleto","")&amp;IF(OR(Q34="",Q34="Pendiente")," · Falta el Beneficiario Controlador","")&amp;IF(M34=""," · Sin perfil transaccional","")&amp;IF(AND(ISNUMBER(AB34),AB34&lt;CONFIG!$B$6)," · Evaluación de riesgo vencida","")&amp;IF(AND(ISNUMBER(AC34),AC34&lt;CONFIG!$B$6)," · Verificación anual vencida","")&amp;IF(AND(ISNUMBER(R34),ISNUMBER(S34),S34-R34&gt;92)," · Comprobante de domicilio con más de 3 meses","")&amp;IF(AND(T34&lt;&gt;"",U34="")," · Ajuste del REC sin justificación",""),4,400))</f>
        <v/>
      </c>
      <c r="AE34" s="9" t="str">
        <f aca="false">IF(A34="","",IF(AD34="","Al día","Revisar"))</f>
        <v/>
      </c>
      <c r="AF34" s="9" t="str">
        <f aca="false">IF(A34="","",COUNTIF(OPERACIONES!$C$6:$C$505,A34)&amp;" / $"&amp;FIXED(SUMIF(OPERACIONES!$C$6:$C$505,A34,OPERACIONES!$E$6:$E$505),0))</f>
        <v/>
      </c>
    </row>
    <row r="35" customFormat="false" ht="15" hidden="false" customHeight="false" outlineLevel="0" collapsed="false">
      <c r="A35" s="21"/>
      <c r="B35" s="21"/>
      <c r="C35" s="21"/>
      <c r="D35" s="21"/>
      <c r="E35" s="21"/>
      <c r="F35" s="21"/>
      <c r="G35" s="21"/>
      <c r="H35" s="21"/>
      <c r="I35" s="21"/>
      <c r="J35" s="21"/>
      <c r="K35" s="21"/>
      <c r="L35" s="21"/>
      <c r="M35" s="22"/>
      <c r="N35" s="20"/>
      <c r="O35" s="20"/>
      <c r="P35" s="21"/>
      <c r="Q35" s="21"/>
      <c r="R35" s="20"/>
      <c r="S35" s="20"/>
      <c r="T35" s="21"/>
      <c r="U35" s="21"/>
      <c r="V35" s="9" t="str">
        <f aca="false">IF(A35="","",SUMIFS(CONFIG!$F$5:$F$26,CONFIG!$D$5:$D$26,"Tipo de persona",CONFIG!$E$5:$E$26,C35)+SUMIFS(CONFIG!$F$5:$F$26,CONFIG!$D$5:$D$26,"Residencia",CONFIG!$E$5:$E$26,E35)+SUMIFS(CONFIG!$F$5:$F$26,CONFIG!$D$5:$D$26,"Nacionalidad",CONFIG!$E$5:$E$26,F35)+SUMIFS(CONFIG!$F$5:$F$26,CONFIG!$D$5:$D$26,"Jurisdicción de riesgo",CONFIG!$E$5:$E$26,G35)+SUMIFS(CONFIG!$F$5:$F$26,CONFIG!$D$5:$D$26,"PEP",CONFIG!$E$5:$E$26,H35)+SUMIFS(CONFIG!$F$5:$F$26,CONFIG!$D$5:$D$26,"En listas",CONFIG!$E$5:$E$26,I35)+SUMIFS(CONFIG!$F$5:$F$26,CONFIG!$D$5:$D$26,"Riesgo de su actividad económica",CONFIG!$E$5:$E$26,J35)+SUMIFS(CONFIG!$F$5:$F$26,CONFIG!$D$5:$D$26,"Canal",CONFIG!$E$5:$E$26,K35)+SUMIFS(CONFIG!$F$5:$F$26,CONFIG!$D$5:$D$26,"Origen de recursos documentado",CONFIG!$E$5:$E$26,L35))</f>
        <v/>
      </c>
      <c r="W35" s="9" t="str">
        <f aca="false">IF(A35="","",IF(SUMIF(OPERACIONES!$C$6:$C$505,A35,OPERACIONES!$E$6:$E$505)&gt;0,IF(SUMIF(OPERACIONES!$C$6:$C$505,A35,OPERACIONES!$F$6:$F$505)/SUMIF(OPERACIONES!$C$6:$C$505,A35,OPERACIONES!$E$6:$E$505)&gt;0.5,CONFIG!$B$20,IF(SUMIF(OPERACIONES!$C$6:$C$505,A35,OPERACIONES!$F$6:$F$505)&gt;0,CONFIG!$B$21,0)),0)+IF(COUNTIFS(OPERACIONES!$C$6:$C$505,A35,OPERACIONES!$AQ$6:$AQ$505,1)&gt;0,CONFIG!$B$22,0)+IF(COUNTIFS(OPERACIONES!$C$6:$C$505,A35,OPERACIONES!$H$6:$H$505,"Sí")&gt;0,CONFIG!$B$23,0))</f>
        <v/>
      </c>
      <c r="X35" s="9" t="str">
        <f aca="false">IF(A35="","",V35+W35)</f>
        <v/>
      </c>
      <c r="Y35" s="9" t="str">
        <f aca="false">IF(A35="","",IF(X35&lt;=CONFIG!$B$13,"Bajo",IF(X35&lt;=CONFIG!$B$14,"Medio","Alto")))</f>
        <v/>
      </c>
      <c r="Z35" s="25" t="str">
        <f aca="false">IF(A35="","",IF(OR(H35="Extranjera",AND(E35="No residente",G35="Sí"),I35="Sí"),"Alto",IF(T35&lt;&gt;"",T35,Y35)))</f>
        <v/>
      </c>
      <c r="AA35" s="26" t="str">
        <f aca="false">IF(A35="","",IF(H35="Extranjera","Alto obligatorio: PEP extranjera (RCG 23 Bis 4)",IF(AND(E35="No residente",G35="Sí"),"Alto obligatorio: no residente vinculado a jurisdicción de riesgo (RCG 23 Bis 4)",IF(I35="Sí","Alto por criterio: persona en listas. Evalúa no operar y Aviso de 24 h",IF(T35&lt;&gt;"","Ajuste del REC: "&amp;U35,"Modelo: "&amp;X35&amp;" puntos")))))</f>
        <v/>
      </c>
      <c r="AB35" s="23" t="str">
        <f aca="false">IF(A35="","",IF(COUNT(N35,O35)=0,"Falta fecha",EDATE(MAX(N35,O35),IF(Z35="Alto",CONFIG!$B$18,IF(Z35="Medio",CONFIG!$B$17,CONFIG!$B$16)))))</f>
        <v/>
      </c>
      <c r="AC35" s="23" t="str">
        <f aca="false">IF(A35="","",IF(ISNUMBER(S35),EDATE(S35,12),IF(ISNUMBER(N35),EDATE(N35,12),"Falta fecha")))</f>
        <v/>
      </c>
      <c r="AD35" s="26" t="str">
        <f aca="false">IF(A35="","",MID(IF(P35&lt;&gt;"Sí"," · Expediente incompleto","")&amp;IF(OR(Q35="",Q35="Pendiente")," · Falta el Beneficiario Controlador","")&amp;IF(M35=""," · Sin perfil transaccional","")&amp;IF(AND(ISNUMBER(AB35),AB35&lt;CONFIG!$B$6)," · Evaluación de riesgo vencida","")&amp;IF(AND(ISNUMBER(AC35),AC35&lt;CONFIG!$B$6)," · Verificación anual vencida","")&amp;IF(AND(ISNUMBER(R35),ISNUMBER(S35),S35-R35&gt;92)," · Comprobante de domicilio con más de 3 meses","")&amp;IF(AND(T35&lt;&gt;"",U35="")," · Ajuste del REC sin justificación",""),4,400))</f>
        <v/>
      </c>
      <c r="AE35" s="9" t="str">
        <f aca="false">IF(A35="","",IF(AD35="","Al día","Revisar"))</f>
        <v/>
      </c>
      <c r="AF35" s="9" t="str">
        <f aca="false">IF(A35="","",COUNTIF(OPERACIONES!$C$6:$C$505,A35)&amp;" / $"&amp;FIXED(SUMIF(OPERACIONES!$C$6:$C$505,A35,OPERACIONES!$E$6:$E$505),0))</f>
        <v/>
      </c>
    </row>
    <row r="36" customFormat="false" ht="15" hidden="false" customHeight="false" outlineLevel="0" collapsed="false">
      <c r="A36" s="21"/>
      <c r="B36" s="21"/>
      <c r="C36" s="21"/>
      <c r="D36" s="21"/>
      <c r="E36" s="21"/>
      <c r="F36" s="21"/>
      <c r="G36" s="21"/>
      <c r="H36" s="21"/>
      <c r="I36" s="21"/>
      <c r="J36" s="21"/>
      <c r="K36" s="21"/>
      <c r="L36" s="21"/>
      <c r="M36" s="22"/>
      <c r="N36" s="20"/>
      <c r="O36" s="20"/>
      <c r="P36" s="21"/>
      <c r="Q36" s="21"/>
      <c r="R36" s="20"/>
      <c r="S36" s="20"/>
      <c r="T36" s="21"/>
      <c r="U36" s="21"/>
      <c r="V36" s="9" t="str">
        <f aca="false">IF(A36="","",SUMIFS(CONFIG!$F$5:$F$26,CONFIG!$D$5:$D$26,"Tipo de persona",CONFIG!$E$5:$E$26,C36)+SUMIFS(CONFIG!$F$5:$F$26,CONFIG!$D$5:$D$26,"Residencia",CONFIG!$E$5:$E$26,E36)+SUMIFS(CONFIG!$F$5:$F$26,CONFIG!$D$5:$D$26,"Nacionalidad",CONFIG!$E$5:$E$26,F36)+SUMIFS(CONFIG!$F$5:$F$26,CONFIG!$D$5:$D$26,"Jurisdicción de riesgo",CONFIG!$E$5:$E$26,G36)+SUMIFS(CONFIG!$F$5:$F$26,CONFIG!$D$5:$D$26,"PEP",CONFIG!$E$5:$E$26,H36)+SUMIFS(CONFIG!$F$5:$F$26,CONFIG!$D$5:$D$26,"En listas",CONFIG!$E$5:$E$26,I36)+SUMIFS(CONFIG!$F$5:$F$26,CONFIG!$D$5:$D$26,"Riesgo de su actividad económica",CONFIG!$E$5:$E$26,J36)+SUMIFS(CONFIG!$F$5:$F$26,CONFIG!$D$5:$D$26,"Canal",CONFIG!$E$5:$E$26,K36)+SUMIFS(CONFIG!$F$5:$F$26,CONFIG!$D$5:$D$26,"Origen de recursos documentado",CONFIG!$E$5:$E$26,L36))</f>
        <v/>
      </c>
      <c r="W36" s="9" t="str">
        <f aca="false">IF(A36="","",IF(SUMIF(OPERACIONES!$C$6:$C$505,A36,OPERACIONES!$E$6:$E$505)&gt;0,IF(SUMIF(OPERACIONES!$C$6:$C$505,A36,OPERACIONES!$F$6:$F$505)/SUMIF(OPERACIONES!$C$6:$C$505,A36,OPERACIONES!$E$6:$E$505)&gt;0.5,CONFIG!$B$20,IF(SUMIF(OPERACIONES!$C$6:$C$505,A36,OPERACIONES!$F$6:$F$505)&gt;0,CONFIG!$B$21,0)),0)+IF(COUNTIFS(OPERACIONES!$C$6:$C$505,A36,OPERACIONES!$AQ$6:$AQ$505,1)&gt;0,CONFIG!$B$22,0)+IF(COUNTIFS(OPERACIONES!$C$6:$C$505,A36,OPERACIONES!$H$6:$H$505,"Sí")&gt;0,CONFIG!$B$23,0))</f>
        <v/>
      </c>
      <c r="X36" s="9" t="str">
        <f aca="false">IF(A36="","",V36+W36)</f>
        <v/>
      </c>
      <c r="Y36" s="9" t="str">
        <f aca="false">IF(A36="","",IF(X36&lt;=CONFIG!$B$13,"Bajo",IF(X36&lt;=CONFIG!$B$14,"Medio","Alto")))</f>
        <v/>
      </c>
      <c r="Z36" s="25" t="str">
        <f aca="false">IF(A36="","",IF(OR(H36="Extranjera",AND(E36="No residente",G36="Sí"),I36="Sí"),"Alto",IF(T36&lt;&gt;"",T36,Y36)))</f>
        <v/>
      </c>
      <c r="AA36" s="26" t="str">
        <f aca="false">IF(A36="","",IF(H36="Extranjera","Alto obligatorio: PEP extranjera (RCG 23 Bis 4)",IF(AND(E36="No residente",G36="Sí"),"Alto obligatorio: no residente vinculado a jurisdicción de riesgo (RCG 23 Bis 4)",IF(I36="Sí","Alto por criterio: persona en listas. Evalúa no operar y Aviso de 24 h",IF(T36&lt;&gt;"","Ajuste del REC: "&amp;U36,"Modelo: "&amp;X36&amp;" puntos")))))</f>
        <v/>
      </c>
      <c r="AB36" s="23" t="str">
        <f aca="false">IF(A36="","",IF(COUNT(N36,O36)=0,"Falta fecha",EDATE(MAX(N36,O36),IF(Z36="Alto",CONFIG!$B$18,IF(Z36="Medio",CONFIG!$B$17,CONFIG!$B$16)))))</f>
        <v/>
      </c>
      <c r="AC36" s="23" t="str">
        <f aca="false">IF(A36="","",IF(ISNUMBER(S36),EDATE(S36,12),IF(ISNUMBER(N36),EDATE(N36,12),"Falta fecha")))</f>
        <v/>
      </c>
      <c r="AD36" s="26" t="str">
        <f aca="false">IF(A36="","",MID(IF(P36&lt;&gt;"Sí"," · Expediente incompleto","")&amp;IF(OR(Q36="",Q36="Pendiente")," · Falta el Beneficiario Controlador","")&amp;IF(M36=""," · Sin perfil transaccional","")&amp;IF(AND(ISNUMBER(AB36),AB36&lt;CONFIG!$B$6)," · Evaluación de riesgo vencida","")&amp;IF(AND(ISNUMBER(AC36),AC36&lt;CONFIG!$B$6)," · Verificación anual vencida","")&amp;IF(AND(ISNUMBER(R36),ISNUMBER(S36),S36-R36&gt;92)," · Comprobante de domicilio con más de 3 meses","")&amp;IF(AND(T36&lt;&gt;"",U36="")," · Ajuste del REC sin justificación",""),4,400))</f>
        <v/>
      </c>
      <c r="AE36" s="9" t="str">
        <f aca="false">IF(A36="","",IF(AD36="","Al día","Revisar"))</f>
        <v/>
      </c>
      <c r="AF36" s="9" t="str">
        <f aca="false">IF(A36="","",COUNTIF(OPERACIONES!$C$6:$C$505,A36)&amp;" / $"&amp;FIXED(SUMIF(OPERACIONES!$C$6:$C$505,A36,OPERACIONES!$E$6:$E$505),0))</f>
        <v/>
      </c>
    </row>
    <row r="37" customFormat="false" ht="15" hidden="false" customHeight="false" outlineLevel="0" collapsed="false">
      <c r="A37" s="21"/>
      <c r="B37" s="21"/>
      <c r="C37" s="21"/>
      <c r="D37" s="21"/>
      <c r="E37" s="21"/>
      <c r="F37" s="21"/>
      <c r="G37" s="21"/>
      <c r="H37" s="21"/>
      <c r="I37" s="21"/>
      <c r="J37" s="21"/>
      <c r="K37" s="21"/>
      <c r="L37" s="21"/>
      <c r="M37" s="22"/>
      <c r="N37" s="20"/>
      <c r="O37" s="20"/>
      <c r="P37" s="21"/>
      <c r="Q37" s="21"/>
      <c r="R37" s="20"/>
      <c r="S37" s="20"/>
      <c r="T37" s="21"/>
      <c r="U37" s="21"/>
      <c r="V37" s="9" t="str">
        <f aca="false">IF(A37="","",SUMIFS(CONFIG!$F$5:$F$26,CONFIG!$D$5:$D$26,"Tipo de persona",CONFIG!$E$5:$E$26,C37)+SUMIFS(CONFIG!$F$5:$F$26,CONFIG!$D$5:$D$26,"Residencia",CONFIG!$E$5:$E$26,E37)+SUMIFS(CONFIG!$F$5:$F$26,CONFIG!$D$5:$D$26,"Nacionalidad",CONFIG!$E$5:$E$26,F37)+SUMIFS(CONFIG!$F$5:$F$26,CONFIG!$D$5:$D$26,"Jurisdicción de riesgo",CONFIG!$E$5:$E$26,G37)+SUMIFS(CONFIG!$F$5:$F$26,CONFIG!$D$5:$D$26,"PEP",CONFIG!$E$5:$E$26,H37)+SUMIFS(CONFIG!$F$5:$F$26,CONFIG!$D$5:$D$26,"En listas",CONFIG!$E$5:$E$26,I37)+SUMIFS(CONFIG!$F$5:$F$26,CONFIG!$D$5:$D$26,"Riesgo de su actividad económica",CONFIG!$E$5:$E$26,J37)+SUMIFS(CONFIG!$F$5:$F$26,CONFIG!$D$5:$D$26,"Canal",CONFIG!$E$5:$E$26,K37)+SUMIFS(CONFIG!$F$5:$F$26,CONFIG!$D$5:$D$26,"Origen de recursos documentado",CONFIG!$E$5:$E$26,L37))</f>
        <v/>
      </c>
      <c r="W37" s="9" t="str">
        <f aca="false">IF(A37="","",IF(SUMIF(OPERACIONES!$C$6:$C$505,A37,OPERACIONES!$E$6:$E$505)&gt;0,IF(SUMIF(OPERACIONES!$C$6:$C$505,A37,OPERACIONES!$F$6:$F$505)/SUMIF(OPERACIONES!$C$6:$C$505,A37,OPERACIONES!$E$6:$E$505)&gt;0.5,CONFIG!$B$20,IF(SUMIF(OPERACIONES!$C$6:$C$505,A37,OPERACIONES!$F$6:$F$505)&gt;0,CONFIG!$B$21,0)),0)+IF(COUNTIFS(OPERACIONES!$C$6:$C$505,A37,OPERACIONES!$AQ$6:$AQ$505,1)&gt;0,CONFIG!$B$22,0)+IF(COUNTIFS(OPERACIONES!$C$6:$C$505,A37,OPERACIONES!$H$6:$H$505,"Sí")&gt;0,CONFIG!$B$23,0))</f>
        <v/>
      </c>
      <c r="X37" s="9" t="str">
        <f aca="false">IF(A37="","",V37+W37)</f>
        <v/>
      </c>
      <c r="Y37" s="9" t="str">
        <f aca="false">IF(A37="","",IF(X37&lt;=CONFIG!$B$13,"Bajo",IF(X37&lt;=CONFIG!$B$14,"Medio","Alto")))</f>
        <v/>
      </c>
      <c r="Z37" s="25" t="str">
        <f aca="false">IF(A37="","",IF(OR(H37="Extranjera",AND(E37="No residente",G37="Sí"),I37="Sí"),"Alto",IF(T37&lt;&gt;"",T37,Y37)))</f>
        <v/>
      </c>
      <c r="AA37" s="26" t="str">
        <f aca="false">IF(A37="","",IF(H37="Extranjera","Alto obligatorio: PEP extranjera (RCG 23 Bis 4)",IF(AND(E37="No residente",G37="Sí"),"Alto obligatorio: no residente vinculado a jurisdicción de riesgo (RCG 23 Bis 4)",IF(I37="Sí","Alto por criterio: persona en listas. Evalúa no operar y Aviso de 24 h",IF(T37&lt;&gt;"","Ajuste del REC: "&amp;U37,"Modelo: "&amp;X37&amp;" puntos")))))</f>
        <v/>
      </c>
      <c r="AB37" s="23" t="str">
        <f aca="false">IF(A37="","",IF(COUNT(N37,O37)=0,"Falta fecha",EDATE(MAX(N37,O37),IF(Z37="Alto",CONFIG!$B$18,IF(Z37="Medio",CONFIG!$B$17,CONFIG!$B$16)))))</f>
        <v/>
      </c>
      <c r="AC37" s="23" t="str">
        <f aca="false">IF(A37="","",IF(ISNUMBER(S37),EDATE(S37,12),IF(ISNUMBER(N37),EDATE(N37,12),"Falta fecha")))</f>
        <v/>
      </c>
      <c r="AD37" s="26" t="str">
        <f aca="false">IF(A37="","",MID(IF(P37&lt;&gt;"Sí"," · Expediente incompleto","")&amp;IF(OR(Q37="",Q37="Pendiente")," · Falta el Beneficiario Controlador","")&amp;IF(M37=""," · Sin perfil transaccional","")&amp;IF(AND(ISNUMBER(AB37),AB37&lt;CONFIG!$B$6)," · Evaluación de riesgo vencida","")&amp;IF(AND(ISNUMBER(AC37),AC37&lt;CONFIG!$B$6)," · Verificación anual vencida","")&amp;IF(AND(ISNUMBER(R37),ISNUMBER(S37),S37-R37&gt;92)," · Comprobante de domicilio con más de 3 meses","")&amp;IF(AND(T37&lt;&gt;"",U37="")," · Ajuste del REC sin justificación",""),4,400))</f>
        <v/>
      </c>
      <c r="AE37" s="9" t="str">
        <f aca="false">IF(A37="","",IF(AD37="","Al día","Revisar"))</f>
        <v/>
      </c>
      <c r="AF37" s="9" t="str">
        <f aca="false">IF(A37="","",COUNTIF(OPERACIONES!$C$6:$C$505,A37)&amp;" / $"&amp;FIXED(SUMIF(OPERACIONES!$C$6:$C$505,A37,OPERACIONES!$E$6:$E$505),0))</f>
        <v/>
      </c>
    </row>
    <row r="38" customFormat="false" ht="15" hidden="false" customHeight="false" outlineLevel="0" collapsed="false">
      <c r="A38" s="21"/>
      <c r="B38" s="21"/>
      <c r="C38" s="21"/>
      <c r="D38" s="21"/>
      <c r="E38" s="21"/>
      <c r="F38" s="21"/>
      <c r="G38" s="21"/>
      <c r="H38" s="21"/>
      <c r="I38" s="21"/>
      <c r="J38" s="21"/>
      <c r="K38" s="21"/>
      <c r="L38" s="21"/>
      <c r="M38" s="22"/>
      <c r="N38" s="20"/>
      <c r="O38" s="20"/>
      <c r="P38" s="21"/>
      <c r="Q38" s="21"/>
      <c r="R38" s="20"/>
      <c r="S38" s="20"/>
      <c r="T38" s="21"/>
      <c r="U38" s="21"/>
      <c r="V38" s="9" t="str">
        <f aca="false">IF(A38="","",SUMIFS(CONFIG!$F$5:$F$26,CONFIG!$D$5:$D$26,"Tipo de persona",CONFIG!$E$5:$E$26,C38)+SUMIFS(CONFIG!$F$5:$F$26,CONFIG!$D$5:$D$26,"Residencia",CONFIG!$E$5:$E$26,E38)+SUMIFS(CONFIG!$F$5:$F$26,CONFIG!$D$5:$D$26,"Nacionalidad",CONFIG!$E$5:$E$26,F38)+SUMIFS(CONFIG!$F$5:$F$26,CONFIG!$D$5:$D$26,"Jurisdicción de riesgo",CONFIG!$E$5:$E$26,G38)+SUMIFS(CONFIG!$F$5:$F$26,CONFIG!$D$5:$D$26,"PEP",CONFIG!$E$5:$E$26,H38)+SUMIFS(CONFIG!$F$5:$F$26,CONFIG!$D$5:$D$26,"En listas",CONFIG!$E$5:$E$26,I38)+SUMIFS(CONFIG!$F$5:$F$26,CONFIG!$D$5:$D$26,"Riesgo de su actividad económica",CONFIG!$E$5:$E$26,J38)+SUMIFS(CONFIG!$F$5:$F$26,CONFIG!$D$5:$D$26,"Canal",CONFIG!$E$5:$E$26,K38)+SUMIFS(CONFIG!$F$5:$F$26,CONFIG!$D$5:$D$26,"Origen de recursos documentado",CONFIG!$E$5:$E$26,L38))</f>
        <v/>
      </c>
      <c r="W38" s="9" t="str">
        <f aca="false">IF(A38="","",IF(SUMIF(OPERACIONES!$C$6:$C$505,A38,OPERACIONES!$E$6:$E$505)&gt;0,IF(SUMIF(OPERACIONES!$C$6:$C$505,A38,OPERACIONES!$F$6:$F$505)/SUMIF(OPERACIONES!$C$6:$C$505,A38,OPERACIONES!$E$6:$E$505)&gt;0.5,CONFIG!$B$20,IF(SUMIF(OPERACIONES!$C$6:$C$505,A38,OPERACIONES!$F$6:$F$505)&gt;0,CONFIG!$B$21,0)),0)+IF(COUNTIFS(OPERACIONES!$C$6:$C$505,A38,OPERACIONES!$AQ$6:$AQ$505,1)&gt;0,CONFIG!$B$22,0)+IF(COUNTIFS(OPERACIONES!$C$6:$C$505,A38,OPERACIONES!$H$6:$H$505,"Sí")&gt;0,CONFIG!$B$23,0))</f>
        <v/>
      </c>
      <c r="X38" s="9" t="str">
        <f aca="false">IF(A38="","",V38+W38)</f>
        <v/>
      </c>
      <c r="Y38" s="9" t="str">
        <f aca="false">IF(A38="","",IF(X38&lt;=CONFIG!$B$13,"Bajo",IF(X38&lt;=CONFIG!$B$14,"Medio","Alto")))</f>
        <v/>
      </c>
      <c r="Z38" s="25" t="str">
        <f aca="false">IF(A38="","",IF(OR(H38="Extranjera",AND(E38="No residente",G38="Sí"),I38="Sí"),"Alto",IF(T38&lt;&gt;"",T38,Y38)))</f>
        <v/>
      </c>
      <c r="AA38" s="26" t="str">
        <f aca="false">IF(A38="","",IF(H38="Extranjera","Alto obligatorio: PEP extranjera (RCG 23 Bis 4)",IF(AND(E38="No residente",G38="Sí"),"Alto obligatorio: no residente vinculado a jurisdicción de riesgo (RCG 23 Bis 4)",IF(I38="Sí","Alto por criterio: persona en listas. Evalúa no operar y Aviso de 24 h",IF(T38&lt;&gt;"","Ajuste del REC: "&amp;U38,"Modelo: "&amp;X38&amp;" puntos")))))</f>
        <v/>
      </c>
      <c r="AB38" s="23" t="str">
        <f aca="false">IF(A38="","",IF(COUNT(N38,O38)=0,"Falta fecha",EDATE(MAX(N38,O38),IF(Z38="Alto",CONFIG!$B$18,IF(Z38="Medio",CONFIG!$B$17,CONFIG!$B$16)))))</f>
        <v/>
      </c>
      <c r="AC38" s="23" t="str">
        <f aca="false">IF(A38="","",IF(ISNUMBER(S38),EDATE(S38,12),IF(ISNUMBER(N38),EDATE(N38,12),"Falta fecha")))</f>
        <v/>
      </c>
      <c r="AD38" s="26" t="str">
        <f aca="false">IF(A38="","",MID(IF(P38&lt;&gt;"Sí"," · Expediente incompleto","")&amp;IF(OR(Q38="",Q38="Pendiente")," · Falta el Beneficiario Controlador","")&amp;IF(M38=""," · Sin perfil transaccional","")&amp;IF(AND(ISNUMBER(AB38),AB38&lt;CONFIG!$B$6)," · Evaluación de riesgo vencida","")&amp;IF(AND(ISNUMBER(AC38),AC38&lt;CONFIG!$B$6)," · Verificación anual vencida","")&amp;IF(AND(ISNUMBER(R38),ISNUMBER(S38),S38-R38&gt;92)," · Comprobante de domicilio con más de 3 meses","")&amp;IF(AND(T38&lt;&gt;"",U38="")," · Ajuste del REC sin justificación",""),4,400))</f>
        <v/>
      </c>
      <c r="AE38" s="9" t="str">
        <f aca="false">IF(A38="","",IF(AD38="","Al día","Revisar"))</f>
        <v/>
      </c>
      <c r="AF38" s="9" t="str">
        <f aca="false">IF(A38="","",COUNTIF(OPERACIONES!$C$6:$C$505,A38)&amp;" / $"&amp;FIXED(SUMIF(OPERACIONES!$C$6:$C$505,A38,OPERACIONES!$E$6:$E$505),0))</f>
        <v/>
      </c>
    </row>
    <row r="39" customFormat="false" ht="15" hidden="false" customHeight="false" outlineLevel="0" collapsed="false">
      <c r="A39" s="21"/>
      <c r="B39" s="21"/>
      <c r="C39" s="21"/>
      <c r="D39" s="21"/>
      <c r="E39" s="21"/>
      <c r="F39" s="21"/>
      <c r="G39" s="21"/>
      <c r="H39" s="21"/>
      <c r="I39" s="21"/>
      <c r="J39" s="21"/>
      <c r="K39" s="21"/>
      <c r="L39" s="21"/>
      <c r="M39" s="22"/>
      <c r="N39" s="20"/>
      <c r="O39" s="20"/>
      <c r="P39" s="21"/>
      <c r="Q39" s="21"/>
      <c r="R39" s="20"/>
      <c r="S39" s="20"/>
      <c r="T39" s="21"/>
      <c r="U39" s="21"/>
      <c r="V39" s="9" t="str">
        <f aca="false">IF(A39="","",SUMIFS(CONFIG!$F$5:$F$26,CONFIG!$D$5:$D$26,"Tipo de persona",CONFIG!$E$5:$E$26,C39)+SUMIFS(CONFIG!$F$5:$F$26,CONFIG!$D$5:$D$26,"Residencia",CONFIG!$E$5:$E$26,E39)+SUMIFS(CONFIG!$F$5:$F$26,CONFIG!$D$5:$D$26,"Nacionalidad",CONFIG!$E$5:$E$26,F39)+SUMIFS(CONFIG!$F$5:$F$26,CONFIG!$D$5:$D$26,"Jurisdicción de riesgo",CONFIG!$E$5:$E$26,G39)+SUMIFS(CONFIG!$F$5:$F$26,CONFIG!$D$5:$D$26,"PEP",CONFIG!$E$5:$E$26,H39)+SUMIFS(CONFIG!$F$5:$F$26,CONFIG!$D$5:$D$26,"En listas",CONFIG!$E$5:$E$26,I39)+SUMIFS(CONFIG!$F$5:$F$26,CONFIG!$D$5:$D$26,"Riesgo de su actividad económica",CONFIG!$E$5:$E$26,J39)+SUMIFS(CONFIG!$F$5:$F$26,CONFIG!$D$5:$D$26,"Canal",CONFIG!$E$5:$E$26,K39)+SUMIFS(CONFIG!$F$5:$F$26,CONFIG!$D$5:$D$26,"Origen de recursos documentado",CONFIG!$E$5:$E$26,L39))</f>
        <v/>
      </c>
      <c r="W39" s="9" t="str">
        <f aca="false">IF(A39="","",IF(SUMIF(OPERACIONES!$C$6:$C$505,A39,OPERACIONES!$E$6:$E$505)&gt;0,IF(SUMIF(OPERACIONES!$C$6:$C$505,A39,OPERACIONES!$F$6:$F$505)/SUMIF(OPERACIONES!$C$6:$C$505,A39,OPERACIONES!$E$6:$E$505)&gt;0.5,CONFIG!$B$20,IF(SUMIF(OPERACIONES!$C$6:$C$505,A39,OPERACIONES!$F$6:$F$505)&gt;0,CONFIG!$B$21,0)),0)+IF(COUNTIFS(OPERACIONES!$C$6:$C$505,A39,OPERACIONES!$AQ$6:$AQ$505,1)&gt;0,CONFIG!$B$22,0)+IF(COUNTIFS(OPERACIONES!$C$6:$C$505,A39,OPERACIONES!$H$6:$H$505,"Sí")&gt;0,CONFIG!$B$23,0))</f>
        <v/>
      </c>
      <c r="X39" s="9" t="str">
        <f aca="false">IF(A39="","",V39+W39)</f>
        <v/>
      </c>
      <c r="Y39" s="9" t="str">
        <f aca="false">IF(A39="","",IF(X39&lt;=CONFIG!$B$13,"Bajo",IF(X39&lt;=CONFIG!$B$14,"Medio","Alto")))</f>
        <v/>
      </c>
      <c r="Z39" s="25" t="str">
        <f aca="false">IF(A39="","",IF(OR(H39="Extranjera",AND(E39="No residente",G39="Sí"),I39="Sí"),"Alto",IF(T39&lt;&gt;"",T39,Y39)))</f>
        <v/>
      </c>
      <c r="AA39" s="26" t="str">
        <f aca="false">IF(A39="","",IF(H39="Extranjera","Alto obligatorio: PEP extranjera (RCG 23 Bis 4)",IF(AND(E39="No residente",G39="Sí"),"Alto obligatorio: no residente vinculado a jurisdicción de riesgo (RCG 23 Bis 4)",IF(I39="Sí","Alto por criterio: persona en listas. Evalúa no operar y Aviso de 24 h",IF(T39&lt;&gt;"","Ajuste del REC: "&amp;U39,"Modelo: "&amp;X39&amp;" puntos")))))</f>
        <v/>
      </c>
      <c r="AB39" s="23" t="str">
        <f aca="false">IF(A39="","",IF(COUNT(N39,O39)=0,"Falta fecha",EDATE(MAX(N39,O39),IF(Z39="Alto",CONFIG!$B$18,IF(Z39="Medio",CONFIG!$B$17,CONFIG!$B$16)))))</f>
        <v/>
      </c>
      <c r="AC39" s="23" t="str">
        <f aca="false">IF(A39="","",IF(ISNUMBER(S39),EDATE(S39,12),IF(ISNUMBER(N39),EDATE(N39,12),"Falta fecha")))</f>
        <v/>
      </c>
      <c r="AD39" s="26" t="str">
        <f aca="false">IF(A39="","",MID(IF(P39&lt;&gt;"Sí"," · Expediente incompleto","")&amp;IF(OR(Q39="",Q39="Pendiente")," · Falta el Beneficiario Controlador","")&amp;IF(M39=""," · Sin perfil transaccional","")&amp;IF(AND(ISNUMBER(AB39),AB39&lt;CONFIG!$B$6)," · Evaluación de riesgo vencida","")&amp;IF(AND(ISNUMBER(AC39),AC39&lt;CONFIG!$B$6)," · Verificación anual vencida","")&amp;IF(AND(ISNUMBER(R39),ISNUMBER(S39),S39-R39&gt;92)," · Comprobante de domicilio con más de 3 meses","")&amp;IF(AND(T39&lt;&gt;"",U39="")," · Ajuste del REC sin justificación",""),4,400))</f>
        <v/>
      </c>
      <c r="AE39" s="9" t="str">
        <f aca="false">IF(A39="","",IF(AD39="","Al día","Revisar"))</f>
        <v/>
      </c>
      <c r="AF39" s="9" t="str">
        <f aca="false">IF(A39="","",COUNTIF(OPERACIONES!$C$6:$C$505,A39)&amp;" / $"&amp;FIXED(SUMIF(OPERACIONES!$C$6:$C$505,A39,OPERACIONES!$E$6:$E$505),0))</f>
        <v/>
      </c>
    </row>
    <row r="40" customFormat="false" ht="15" hidden="false" customHeight="false" outlineLevel="0" collapsed="false">
      <c r="A40" s="21"/>
      <c r="B40" s="21"/>
      <c r="C40" s="21"/>
      <c r="D40" s="21"/>
      <c r="E40" s="21"/>
      <c r="F40" s="21"/>
      <c r="G40" s="21"/>
      <c r="H40" s="21"/>
      <c r="I40" s="21"/>
      <c r="J40" s="21"/>
      <c r="K40" s="21"/>
      <c r="L40" s="21"/>
      <c r="M40" s="22"/>
      <c r="N40" s="20"/>
      <c r="O40" s="20"/>
      <c r="P40" s="21"/>
      <c r="Q40" s="21"/>
      <c r="R40" s="20"/>
      <c r="S40" s="20"/>
      <c r="T40" s="21"/>
      <c r="U40" s="21"/>
      <c r="V40" s="9" t="str">
        <f aca="false">IF(A40="","",SUMIFS(CONFIG!$F$5:$F$26,CONFIG!$D$5:$D$26,"Tipo de persona",CONFIG!$E$5:$E$26,C40)+SUMIFS(CONFIG!$F$5:$F$26,CONFIG!$D$5:$D$26,"Residencia",CONFIG!$E$5:$E$26,E40)+SUMIFS(CONFIG!$F$5:$F$26,CONFIG!$D$5:$D$26,"Nacionalidad",CONFIG!$E$5:$E$26,F40)+SUMIFS(CONFIG!$F$5:$F$26,CONFIG!$D$5:$D$26,"Jurisdicción de riesgo",CONFIG!$E$5:$E$26,G40)+SUMIFS(CONFIG!$F$5:$F$26,CONFIG!$D$5:$D$26,"PEP",CONFIG!$E$5:$E$26,H40)+SUMIFS(CONFIG!$F$5:$F$26,CONFIG!$D$5:$D$26,"En listas",CONFIG!$E$5:$E$26,I40)+SUMIFS(CONFIG!$F$5:$F$26,CONFIG!$D$5:$D$26,"Riesgo de su actividad económica",CONFIG!$E$5:$E$26,J40)+SUMIFS(CONFIG!$F$5:$F$26,CONFIG!$D$5:$D$26,"Canal",CONFIG!$E$5:$E$26,K40)+SUMIFS(CONFIG!$F$5:$F$26,CONFIG!$D$5:$D$26,"Origen de recursos documentado",CONFIG!$E$5:$E$26,L40))</f>
        <v/>
      </c>
      <c r="W40" s="9" t="str">
        <f aca="false">IF(A40="","",IF(SUMIF(OPERACIONES!$C$6:$C$505,A40,OPERACIONES!$E$6:$E$505)&gt;0,IF(SUMIF(OPERACIONES!$C$6:$C$505,A40,OPERACIONES!$F$6:$F$505)/SUMIF(OPERACIONES!$C$6:$C$505,A40,OPERACIONES!$E$6:$E$505)&gt;0.5,CONFIG!$B$20,IF(SUMIF(OPERACIONES!$C$6:$C$505,A40,OPERACIONES!$F$6:$F$505)&gt;0,CONFIG!$B$21,0)),0)+IF(COUNTIFS(OPERACIONES!$C$6:$C$505,A40,OPERACIONES!$AQ$6:$AQ$505,1)&gt;0,CONFIG!$B$22,0)+IF(COUNTIFS(OPERACIONES!$C$6:$C$505,A40,OPERACIONES!$H$6:$H$505,"Sí")&gt;0,CONFIG!$B$23,0))</f>
        <v/>
      </c>
      <c r="X40" s="9" t="str">
        <f aca="false">IF(A40="","",V40+W40)</f>
        <v/>
      </c>
      <c r="Y40" s="9" t="str">
        <f aca="false">IF(A40="","",IF(X40&lt;=CONFIG!$B$13,"Bajo",IF(X40&lt;=CONFIG!$B$14,"Medio","Alto")))</f>
        <v/>
      </c>
      <c r="Z40" s="25" t="str">
        <f aca="false">IF(A40="","",IF(OR(H40="Extranjera",AND(E40="No residente",G40="Sí"),I40="Sí"),"Alto",IF(T40&lt;&gt;"",T40,Y40)))</f>
        <v/>
      </c>
      <c r="AA40" s="26" t="str">
        <f aca="false">IF(A40="","",IF(H40="Extranjera","Alto obligatorio: PEP extranjera (RCG 23 Bis 4)",IF(AND(E40="No residente",G40="Sí"),"Alto obligatorio: no residente vinculado a jurisdicción de riesgo (RCG 23 Bis 4)",IF(I40="Sí","Alto por criterio: persona en listas. Evalúa no operar y Aviso de 24 h",IF(T40&lt;&gt;"","Ajuste del REC: "&amp;U40,"Modelo: "&amp;X40&amp;" puntos")))))</f>
        <v/>
      </c>
      <c r="AB40" s="23" t="str">
        <f aca="false">IF(A40="","",IF(COUNT(N40,O40)=0,"Falta fecha",EDATE(MAX(N40,O40),IF(Z40="Alto",CONFIG!$B$18,IF(Z40="Medio",CONFIG!$B$17,CONFIG!$B$16)))))</f>
        <v/>
      </c>
      <c r="AC40" s="23" t="str">
        <f aca="false">IF(A40="","",IF(ISNUMBER(S40),EDATE(S40,12),IF(ISNUMBER(N40),EDATE(N40,12),"Falta fecha")))</f>
        <v/>
      </c>
      <c r="AD40" s="26" t="str">
        <f aca="false">IF(A40="","",MID(IF(P40&lt;&gt;"Sí"," · Expediente incompleto","")&amp;IF(OR(Q40="",Q40="Pendiente")," · Falta el Beneficiario Controlador","")&amp;IF(M40=""," · Sin perfil transaccional","")&amp;IF(AND(ISNUMBER(AB40),AB40&lt;CONFIG!$B$6)," · Evaluación de riesgo vencida","")&amp;IF(AND(ISNUMBER(AC40),AC40&lt;CONFIG!$B$6)," · Verificación anual vencida","")&amp;IF(AND(ISNUMBER(R40),ISNUMBER(S40),S40-R40&gt;92)," · Comprobante de domicilio con más de 3 meses","")&amp;IF(AND(T40&lt;&gt;"",U40="")," · Ajuste del REC sin justificación",""),4,400))</f>
        <v/>
      </c>
      <c r="AE40" s="9" t="str">
        <f aca="false">IF(A40="","",IF(AD40="","Al día","Revisar"))</f>
        <v/>
      </c>
      <c r="AF40" s="9" t="str">
        <f aca="false">IF(A40="","",COUNTIF(OPERACIONES!$C$6:$C$505,A40)&amp;" / $"&amp;FIXED(SUMIF(OPERACIONES!$C$6:$C$505,A40,OPERACIONES!$E$6:$E$505),0))</f>
        <v/>
      </c>
    </row>
    <row r="41" customFormat="false" ht="15" hidden="false" customHeight="false" outlineLevel="0" collapsed="false">
      <c r="A41" s="21"/>
      <c r="B41" s="21"/>
      <c r="C41" s="21"/>
      <c r="D41" s="21"/>
      <c r="E41" s="21"/>
      <c r="F41" s="21"/>
      <c r="G41" s="21"/>
      <c r="H41" s="21"/>
      <c r="I41" s="21"/>
      <c r="J41" s="21"/>
      <c r="K41" s="21"/>
      <c r="L41" s="21"/>
      <c r="M41" s="22"/>
      <c r="N41" s="20"/>
      <c r="O41" s="20"/>
      <c r="P41" s="21"/>
      <c r="Q41" s="21"/>
      <c r="R41" s="20"/>
      <c r="S41" s="20"/>
      <c r="T41" s="21"/>
      <c r="U41" s="21"/>
      <c r="V41" s="9" t="str">
        <f aca="false">IF(A41="","",SUMIFS(CONFIG!$F$5:$F$26,CONFIG!$D$5:$D$26,"Tipo de persona",CONFIG!$E$5:$E$26,C41)+SUMIFS(CONFIG!$F$5:$F$26,CONFIG!$D$5:$D$26,"Residencia",CONFIG!$E$5:$E$26,E41)+SUMIFS(CONFIG!$F$5:$F$26,CONFIG!$D$5:$D$26,"Nacionalidad",CONFIG!$E$5:$E$26,F41)+SUMIFS(CONFIG!$F$5:$F$26,CONFIG!$D$5:$D$26,"Jurisdicción de riesgo",CONFIG!$E$5:$E$26,G41)+SUMIFS(CONFIG!$F$5:$F$26,CONFIG!$D$5:$D$26,"PEP",CONFIG!$E$5:$E$26,H41)+SUMIFS(CONFIG!$F$5:$F$26,CONFIG!$D$5:$D$26,"En listas",CONFIG!$E$5:$E$26,I41)+SUMIFS(CONFIG!$F$5:$F$26,CONFIG!$D$5:$D$26,"Riesgo de su actividad económica",CONFIG!$E$5:$E$26,J41)+SUMIFS(CONFIG!$F$5:$F$26,CONFIG!$D$5:$D$26,"Canal",CONFIG!$E$5:$E$26,K41)+SUMIFS(CONFIG!$F$5:$F$26,CONFIG!$D$5:$D$26,"Origen de recursos documentado",CONFIG!$E$5:$E$26,L41))</f>
        <v/>
      </c>
      <c r="W41" s="9" t="str">
        <f aca="false">IF(A41="","",IF(SUMIF(OPERACIONES!$C$6:$C$505,A41,OPERACIONES!$E$6:$E$505)&gt;0,IF(SUMIF(OPERACIONES!$C$6:$C$505,A41,OPERACIONES!$F$6:$F$505)/SUMIF(OPERACIONES!$C$6:$C$505,A41,OPERACIONES!$E$6:$E$505)&gt;0.5,CONFIG!$B$20,IF(SUMIF(OPERACIONES!$C$6:$C$505,A41,OPERACIONES!$F$6:$F$505)&gt;0,CONFIG!$B$21,0)),0)+IF(COUNTIFS(OPERACIONES!$C$6:$C$505,A41,OPERACIONES!$AQ$6:$AQ$505,1)&gt;0,CONFIG!$B$22,0)+IF(COUNTIFS(OPERACIONES!$C$6:$C$505,A41,OPERACIONES!$H$6:$H$505,"Sí")&gt;0,CONFIG!$B$23,0))</f>
        <v/>
      </c>
      <c r="X41" s="9" t="str">
        <f aca="false">IF(A41="","",V41+W41)</f>
        <v/>
      </c>
      <c r="Y41" s="9" t="str">
        <f aca="false">IF(A41="","",IF(X41&lt;=CONFIG!$B$13,"Bajo",IF(X41&lt;=CONFIG!$B$14,"Medio","Alto")))</f>
        <v/>
      </c>
      <c r="Z41" s="25" t="str">
        <f aca="false">IF(A41="","",IF(OR(H41="Extranjera",AND(E41="No residente",G41="Sí"),I41="Sí"),"Alto",IF(T41&lt;&gt;"",T41,Y41)))</f>
        <v/>
      </c>
      <c r="AA41" s="26" t="str">
        <f aca="false">IF(A41="","",IF(H41="Extranjera","Alto obligatorio: PEP extranjera (RCG 23 Bis 4)",IF(AND(E41="No residente",G41="Sí"),"Alto obligatorio: no residente vinculado a jurisdicción de riesgo (RCG 23 Bis 4)",IF(I41="Sí","Alto por criterio: persona en listas. Evalúa no operar y Aviso de 24 h",IF(T41&lt;&gt;"","Ajuste del REC: "&amp;U41,"Modelo: "&amp;X41&amp;" puntos")))))</f>
        <v/>
      </c>
      <c r="AB41" s="23" t="str">
        <f aca="false">IF(A41="","",IF(COUNT(N41,O41)=0,"Falta fecha",EDATE(MAX(N41,O41),IF(Z41="Alto",CONFIG!$B$18,IF(Z41="Medio",CONFIG!$B$17,CONFIG!$B$16)))))</f>
        <v/>
      </c>
      <c r="AC41" s="23" t="str">
        <f aca="false">IF(A41="","",IF(ISNUMBER(S41),EDATE(S41,12),IF(ISNUMBER(N41),EDATE(N41,12),"Falta fecha")))</f>
        <v/>
      </c>
      <c r="AD41" s="26" t="str">
        <f aca="false">IF(A41="","",MID(IF(P41&lt;&gt;"Sí"," · Expediente incompleto","")&amp;IF(OR(Q41="",Q41="Pendiente")," · Falta el Beneficiario Controlador","")&amp;IF(M41=""," · Sin perfil transaccional","")&amp;IF(AND(ISNUMBER(AB41),AB41&lt;CONFIG!$B$6)," · Evaluación de riesgo vencida","")&amp;IF(AND(ISNUMBER(AC41),AC41&lt;CONFIG!$B$6)," · Verificación anual vencida","")&amp;IF(AND(ISNUMBER(R41),ISNUMBER(S41),S41-R41&gt;92)," · Comprobante de domicilio con más de 3 meses","")&amp;IF(AND(T41&lt;&gt;"",U41="")," · Ajuste del REC sin justificación",""),4,400))</f>
        <v/>
      </c>
      <c r="AE41" s="9" t="str">
        <f aca="false">IF(A41="","",IF(AD41="","Al día","Revisar"))</f>
        <v/>
      </c>
      <c r="AF41" s="9" t="str">
        <f aca="false">IF(A41="","",COUNTIF(OPERACIONES!$C$6:$C$505,A41)&amp;" / $"&amp;FIXED(SUMIF(OPERACIONES!$C$6:$C$505,A41,OPERACIONES!$E$6:$E$505),0))</f>
        <v/>
      </c>
    </row>
    <row r="42" customFormat="false" ht="15" hidden="false" customHeight="false" outlineLevel="0" collapsed="false">
      <c r="A42" s="21"/>
      <c r="B42" s="21"/>
      <c r="C42" s="21"/>
      <c r="D42" s="21"/>
      <c r="E42" s="21"/>
      <c r="F42" s="21"/>
      <c r="G42" s="21"/>
      <c r="H42" s="21"/>
      <c r="I42" s="21"/>
      <c r="J42" s="21"/>
      <c r="K42" s="21"/>
      <c r="L42" s="21"/>
      <c r="M42" s="22"/>
      <c r="N42" s="20"/>
      <c r="O42" s="20"/>
      <c r="P42" s="21"/>
      <c r="Q42" s="21"/>
      <c r="R42" s="20"/>
      <c r="S42" s="20"/>
      <c r="T42" s="21"/>
      <c r="U42" s="21"/>
      <c r="V42" s="9" t="str">
        <f aca="false">IF(A42="","",SUMIFS(CONFIG!$F$5:$F$26,CONFIG!$D$5:$D$26,"Tipo de persona",CONFIG!$E$5:$E$26,C42)+SUMIFS(CONFIG!$F$5:$F$26,CONFIG!$D$5:$D$26,"Residencia",CONFIG!$E$5:$E$26,E42)+SUMIFS(CONFIG!$F$5:$F$26,CONFIG!$D$5:$D$26,"Nacionalidad",CONFIG!$E$5:$E$26,F42)+SUMIFS(CONFIG!$F$5:$F$26,CONFIG!$D$5:$D$26,"Jurisdicción de riesgo",CONFIG!$E$5:$E$26,G42)+SUMIFS(CONFIG!$F$5:$F$26,CONFIG!$D$5:$D$26,"PEP",CONFIG!$E$5:$E$26,H42)+SUMIFS(CONFIG!$F$5:$F$26,CONFIG!$D$5:$D$26,"En listas",CONFIG!$E$5:$E$26,I42)+SUMIFS(CONFIG!$F$5:$F$26,CONFIG!$D$5:$D$26,"Riesgo de su actividad económica",CONFIG!$E$5:$E$26,J42)+SUMIFS(CONFIG!$F$5:$F$26,CONFIG!$D$5:$D$26,"Canal",CONFIG!$E$5:$E$26,K42)+SUMIFS(CONFIG!$F$5:$F$26,CONFIG!$D$5:$D$26,"Origen de recursos documentado",CONFIG!$E$5:$E$26,L42))</f>
        <v/>
      </c>
      <c r="W42" s="9" t="str">
        <f aca="false">IF(A42="","",IF(SUMIF(OPERACIONES!$C$6:$C$505,A42,OPERACIONES!$E$6:$E$505)&gt;0,IF(SUMIF(OPERACIONES!$C$6:$C$505,A42,OPERACIONES!$F$6:$F$505)/SUMIF(OPERACIONES!$C$6:$C$505,A42,OPERACIONES!$E$6:$E$505)&gt;0.5,CONFIG!$B$20,IF(SUMIF(OPERACIONES!$C$6:$C$505,A42,OPERACIONES!$F$6:$F$505)&gt;0,CONFIG!$B$21,0)),0)+IF(COUNTIFS(OPERACIONES!$C$6:$C$505,A42,OPERACIONES!$AQ$6:$AQ$505,1)&gt;0,CONFIG!$B$22,0)+IF(COUNTIFS(OPERACIONES!$C$6:$C$505,A42,OPERACIONES!$H$6:$H$505,"Sí")&gt;0,CONFIG!$B$23,0))</f>
        <v/>
      </c>
      <c r="X42" s="9" t="str">
        <f aca="false">IF(A42="","",V42+W42)</f>
        <v/>
      </c>
      <c r="Y42" s="9" t="str">
        <f aca="false">IF(A42="","",IF(X42&lt;=CONFIG!$B$13,"Bajo",IF(X42&lt;=CONFIG!$B$14,"Medio","Alto")))</f>
        <v/>
      </c>
      <c r="Z42" s="25" t="str">
        <f aca="false">IF(A42="","",IF(OR(H42="Extranjera",AND(E42="No residente",G42="Sí"),I42="Sí"),"Alto",IF(T42&lt;&gt;"",T42,Y42)))</f>
        <v/>
      </c>
      <c r="AA42" s="26" t="str">
        <f aca="false">IF(A42="","",IF(H42="Extranjera","Alto obligatorio: PEP extranjera (RCG 23 Bis 4)",IF(AND(E42="No residente",G42="Sí"),"Alto obligatorio: no residente vinculado a jurisdicción de riesgo (RCG 23 Bis 4)",IF(I42="Sí","Alto por criterio: persona en listas. Evalúa no operar y Aviso de 24 h",IF(T42&lt;&gt;"","Ajuste del REC: "&amp;U42,"Modelo: "&amp;X42&amp;" puntos")))))</f>
        <v/>
      </c>
      <c r="AB42" s="23" t="str">
        <f aca="false">IF(A42="","",IF(COUNT(N42,O42)=0,"Falta fecha",EDATE(MAX(N42,O42),IF(Z42="Alto",CONFIG!$B$18,IF(Z42="Medio",CONFIG!$B$17,CONFIG!$B$16)))))</f>
        <v/>
      </c>
      <c r="AC42" s="23" t="str">
        <f aca="false">IF(A42="","",IF(ISNUMBER(S42),EDATE(S42,12),IF(ISNUMBER(N42),EDATE(N42,12),"Falta fecha")))</f>
        <v/>
      </c>
      <c r="AD42" s="26" t="str">
        <f aca="false">IF(A42="","",MID(IF(P42&lt;&gt;"Sí"," · Expediente incompleto","")&amp;IF(OR(Q42="",Q42="Pendiente")," · Falta el Beneficiario Controlador","")&amp;IF(M42=""," · Sin perfil transaccional","")&amp;IF(AND(ISNUMBER(AB42),AB42&lt;CONFIG!$B$6)," · Evaluación de riesgo vencida","")&amp;IF(AND(ISNUMBER(AC42),AC42&lt;CONFIG!$B$6)," · Verificación anual vencida","")&amp;IF(AND(ISNUMBER(R42),ISNUMBER(S42),S42-R42&gt;92)," · Comprobante de domicilio con más de 3 meses","")&amp;IF(AND(T42&lt;&gt;"",U42="")," · Ajuste del REC sin justificación",""),4,400))</f>
        <v/>
      </c>
      <c r="AE42" s="9" t="str">
        <f aca="false">IF(A42="","",IF(AD42="","Al día","Revisar"))</f>
        <v/>
      </c>
      <c r="AF42" s="9" t="str">
        <f aca="false">IF(A42="","",COUNTIF(OPERACIONES!$C$6:$C$505,A42)&amp;" / $"&amp;FIXED(SUMIF(OPERACIONES!$C$6:$C$505,A42,OPERACIONES!$E$6:$E$505),0))</f>
        <v/>
      </c>
    </row>
    <row r="43" customFormat="false" ht="15" hidden="false" customHeight="false" outlineLevel="0" collapsed="false">
      <c r="A43" s="21"/>
      <c r="B43" s="21"/>
      <c r="C43" s="21"/>
      <c r="D43" s="21"/>
      <c r="E43" s="21"/>
      <c r="F43" s="21"/>
      <c r="G43" s="21"/>
      <c r="H43" s="21"/>
      <c r="I43" s="21"/>
      <c r="J43" s="21"/>
      <c r="K43" s="21"/>
      <c r="L43" s="21"/>
      <c r="M43" s="22"/>
      <c r="N43" s="20"/>
      <c r="O43" s="20"/>
      <c r="P43" s="21"/>
      <c r="Q43" s="21"/>
      <c r="R43" s="20"/>
      <c r="S43" s="20"/>
      <c r="T43" s="21"/>
      <c r="U43" s="21"/>
      <c r="V43" s="9" t="str">
        <f aca="false">IF(A43="","",SUMIFS(CONFIG!$F$5:$F$26,CONFIG!$D$5:$D$26,"Tipo de persona",CONFIG!$E$5:$E$26,C43)+SUMIFS(CONFIG!$F$5:$F$26,CONFIG!$D$5:$D$26,"Residencia",CONFIG!$E$5:$E$26,E43)+SUMIFS(CONFIG!$F$5:$F$26,CONFIG!$D$5:$D$26,"Nacionalidad",CONFIG!$E$5:$E$26,F43)+SUMIFS(CONFIG!$F$5:$F$26,CONFIG!$D$5:$D$26,"Jurisdicción de riesgo",CONFIG!$E$5:$E$26,G43)+SUMIFS(CONFIG!$F$5:$F$26,CONFIG!$D$5:$D$26,"PEP",CONFIG!$E$5:$E$26,H43)+SUMIFS(CONFIG!$F$5:$F$26,CONFIG!$D$5:$D$26,"En listas",CONFIG!$E$5:$E$26,I43)+SUMIFS(CONFIG!$F$5:$F$26,CONFIG!$D$5:$D$26,"Riesgo de su actividad económica",CONFIG!$E$5:$E$26,J43)+SUMIFS(CONFIG!$F$5:$F$26,CONFIG!$D$5:$D$26,"Canal",CONFIG!$E$5:$E$26,K43)+SUMIFS(CONFIG!$F$5:$F$26,CONFIG!$D$5:$D$26,"Origen de recursos documentado",CONFIG!$E$5:$E$26,L43))</f>
        <v/>
      </c>
      <c r="W43" s="9" t="str">
        <f aca="false">IF(A43="","",IF(SUMIF(OPERACIONES!$C$6:$C$505,A43,OPERACIONES!$E$6:$E$505)&gt;0,IF(SUMIF(OPERACIONES!$C$6:$C$505,A43,OPERACIONES!$F$6:$F$505)/SUMIF(OPERACIONES!$C$6:$C$505,A43,OPERACIONES!$E$6:$E$505)&gt;0.5,CONFIG!$B$20,IF(SUMIF(OPERACIONES!$C$6:$C$505,A43,OPERACIONES!$F$6:$F$505)&gt;0,CONFIG!$B$21,0)),0)+IF(COUNTIFS(OPERACIONES!$C$6:$C$505,A43,OPERACIONES!$AQ$6:$AQ$505,1)&gt;0,CONFIG!$B$22,0)+IF(COUNTIFS(OPERACIONES!$C$6:$C$505,A43,OPERACIONES!$H$6:$H$505,"Sí")&gt;0,CONFIG!$B$23,0))</f>
        <v/>
      </c>
      <c r="X43" s="9" t="str">
        <f aca="false">IF(A43="","",V43+W43)</f>
        <v/>
      </c>
      <c r="Y43" s="9" t="str">
        <f aca="false">IF(A43="","",IF(X43&lt;=CONFIG!$B$13,"Bajo",IF(X43&lt;=CONFIG!$B$14,"Medio","Alto")))</f>
        <v/>
      </c>
      <c r="Z43" s="25" t="str">
        <f aca="false">IF(A43="","",IF(OR(H43="Extranjera",AND(E43="No residente",G43="Sí"),I43="Sí"),"Alto",IF(T43&lt;&gt;"",T43,Y43)))</f>
        <v/>
      </c>
      <c r="AA43" s="26" t="str">
        <f aca="false">IF(A43="","",IF(H43="Extranjera","Alto obligatorio: PEP extranjera (RCG 23 Bis 4)",IF(AND(E43="No residente",G43="Sí"),"Alto obligatorio: no residente vinculado a jurisdicción de riesgo (RCG 23 Bis 4)",IF(I43="Sí","Alto por criterio: persona en listas. Evalúa no operar y Aviso de 24 h",IF(T43&lt;&gt;"","Ajuste del REC: "&amp;U43,"Modelo: "&amp;X43&amp;" puntos")))))</f>
        <v/>
      </c>
      <c r="AB43" s="23" t="str">
        <f aca="false">IF(A43="","",IF(COUNT(N43,O43)=0,"Falta fecha",EDATE(MAX(N43,O43),IF(Z43="Alto",CONFIG!$B$18,IF(Z43="Medio",CONFIG!$B$17,CONFIG!$B$16)))))</f>
        <v/>
      </c>
      <c r="AC43" s="23" t="str">
        <f aca="false">IF(A43="","",IF(ISNUMBER(S43),EDATE(S43,12),IF(ISNUMBER(N43),EDATE(N43,12),"Falta fecha")))</f>
        <v/>
      </c>
      <c r="AD43" s="26" t="str">
        <f aca="false">IF(A43="","",MID(IF(P43&lt;&gt;"Sí"," · Expediente incompleto","")&amp;IF(OR(Q43="",Q43="Pendiente")," · Falta el Beneficiario Controlador","")&amp;IF(M43=""," · Sin perfil transaccional","")&amp;IF(AND(ISNUMBER(AB43),AB43&lt;CONFIG!$B$6)," · Evaluación de riesgo vencida","")&amp;IF(AND(ISNUMBER(AC43),AC43&lt;CONFIG!$B$6)," · Verificación anual vencida","")&amp;IF(AND(ISNUMBER(R43),ISNUMBER(S43),S43-R43&gt;92)," · Comprobante de domicilio con más de 3 meses","")&amp;IF(AND(T43&lt;&gt;"",U43="")," · Ajuste del REC sin justificación",""),4,400))</f>
        <v/>
      </c>
      <c r="AE43" s="9" t="str">
        <f aca="false">IF(A43="","",IF(AD43="","Al día","Revisar"))</f>
        <v/>
      </c>
      <c r="AF43" s="9" t="str">
        <f aca="false">IF(A43="","",COUNTIF(OPERACIONES!$C$6:$C$505,A43)&amp;" / $"&amp;FIXED(SUMIF(OPERACIONES!$C$6:$C$505,A43,OPERACIONES!$E$6:$E$505),0))</f>
        <v/>
      </c>
    </row>
    <row r="44" customFormat="false" ht="15" hidden="false" customHeight="false" outlineLevel="0" collapsed="false">
      <c r="A44" s="21"/>
      <c r="B44" s="21"/>
      <c r="C44" s="21"/>
      <c r="D44" s="21"/>
      <c r="E44" s="21"/>
      <c r="F44" s="21"/>
      <c r="G44" s="21"/>
      <c r="H44" s="21"/>
      <c r="I44" s="21"/>
      <c r="J44" s="21"/>
      <c r="K44" s="21"/>
      <c r="L44" s="21"/>
      <c r="M44" s="22"/>
      <c r="N44" s="20"/>
      <c r="O44" s="20"/>
      <c r="P44" s="21"/>
      <c r="Q44" s="21"/>
      <c r="R44" s="20"/>
      <c r="S44" s="20"/>
      <c r="T44" s="21"/>
      <c r="U44" s="21"/>
      <c r="V44" s="9" t="str">
        <f aca="false">IF(A44="","",SUMIFS(CONFIG!$F$5:$F$26,CONFIG!$D$5:$D$26,"Tipo de persona",CONFIG!$E$5:$E$26,C44)+SUMIFS(CONFIG!$F$5:$F$26,CONFIG!$D$5:$D$26,"Residencia",CONFIG!$E$5:$E$26,E44)+SUMIFS(CONFIG!$F$5:$F$26,CONFIG!$D$5:$D$26,"Nacionalidad",CONFIG!$E$5:$E$26,F44)+SUMIFS(CONFIG!$F$5:$F$26,CONFIG!$D$5:$D$26,"Jurisdicción de riesgo",CONFIG!$E$5:$E$26,G44)+SUMIFS(CONFIG!$F$5:$F$26,CONFIG!$D$5:$D$26,"PEP",CONFIG!$E$5:$E$26,H44)+SUMIFS(CONFIG!$F$5:$F$26,CONFIG!$D$5:$D$26,"En listas",CONFIG!$E$5:$E$26,I44)+SUMIFS(CONFIG!$F$5:$F$26,CONFIG!$D$5:$D$26,"Riesgo de su actividad económica",CONFIG!$E$5:$E$26,J44)+SUMIFS(CONFIG!$F$5:$F$26,CONFIG!$D$5:$D$26,"Canal",CONFIG!$E$5:$E$26,K44)+SUMIFS(CONFIG!$F$5:$F$26,CONFIG!$D$5:$D$26,"Origen de recursos documentado",CONFIG!$E$5:$E$26,L44))</f>
        <v/>
      </c>
      <c r="W44" s="9" t="str">
        <f aca="false">IF(A44="","",IF(SUMIF(OPERACIONES!$C$6:$C$505,A44,OPERACIONES!$E$6:$E$505)&gt;0,IF(SUMIF(OPERACIONES!$C$6:$C$505,A44,OPERACIONES!$F$6:$F$505)/SUMIF(OPERACIONES!$C$6:$C$505,A44,OPERACIONES!$E$6:$E$505)&gt;0.5,CONFIG!$B$20,IF(SUMIF(OPERACIONES!$C$6:$C$505,A44,OPERACIONES!$F$6:$F$505)&gt;0,CONFIG!$B$21,0)),0)+IF(COUNTIFS(OPERACIONES!$C$6:$C$505,A44,OPERACIONES!$AQ$6:$AQ$505,1)&gt;0,CONFIG!$B$22,0)+IF(COUNTIFS(OPERACIONES!$C$6:$C$505,A44,OPERACIONES!$H$6:$H$505,"Sí")&gt;0,CONFIG!$B$23,0))</f>
        <v/>
      </c>
      <c r="X44" s="9" t="str">
        <f aca="false">IF(A44="","",V44+W44)</f>
        <v/>
      </c>
      <c r="Y44" s="9" t="str">
        <f aca="false">IF(A44="","",IF(X44&lt;=CONFIG!$B$13,"Bajo",IF(X44&lt;=CONFIG!$B$14,"Medio","Alto")))</f>
        <v/>
      </c>
      <c r="Z44" s="25" t="str">
        <f aca="false">IF(A44="","",IF(OR(H44="Extranjera",AND(E44="No residente",G44="Sí"),I44="Sí"),"Alto",IF(T44&lt;&gt;"",T44,Y44)))</f>
        <v/>
      </c>
      <c r="AA44" s="26" t="str">
        <f aca="false">IF(A44="","",IF(H44="Extranjera","Alto obligatorio: PEP extranjera (RCG 23 Bis 4)",IF(AND(E44="No residente",G44="Sí"),"Alto obligatorio: no residente vinculado a jurisdicción de riesgo (RCG 23 Bis 4)",IF(I44="Sí","Alto por criterio: persona en listas. Evalúa no operar y Aviso de 24 h",IF(T44&lt;&gt;"","Ajuste del REC: "&amp;U44,"Modelo: "&amp;X44&amp;" puntos")))))</f>
        <v/>
      </c>
      <c r="AB44" s="23" t="str">
        <f aca="false">IF(A44="","",IF(COUNT(N44,O44)=0,"Falta fecha",EDATE(MAX(N44,O44),IF(Z44="Alto",CONFIG!$B$18,IF(Z44="Medio",CONFIG!$B$17,CONFIG!$B$16)))))</f>
        <v/>
      </c>
      <c r="AC44" s="23" t="str">
        <f aca="false">IF(A44="","",IF(ISNUMBER(S44),EDATE(S44,12),IF(ISNUMBER(N44),EDATE(N44,12),"Falta fecha")))</f>
        <v/>
      </c>
      <c r="AD44" s="26" t="str">
        <f aca="false">IF(A44="","",MID(IF(P44&lt;&gt;"Sí"," · Expediente incompleto","")&amp;IF(OR(Q44="",Q44="Pendiente")," · Falta el Beneficiario Controlador","")&amp;IF(M44=""," · Sin perfil transaccional","")&amp;IF(AND(ISNUMBER(AB44),AB44&lt;CONFIG!$B$6)," · Evaluación de riesgo vencida","")&amp;IF(AND(ISNUMBER(AC44),AC44&lt;CONFIG!$B$6)," · Verificación anual vencida","")&amp;IF(AND(ISNUMBER(R44),ISNUMBER(S44),S44-R44&gt;92)," · Comprobante de domicilio con más de 3 meses","")&amp;IF(AND(T44&lt;&gt;"",U44="")," · Ajuste del REC sin justificación",""),4,400))</f>
        <v/>
      </c>
      <c r="AE44" s="9" t="str">
        <f aca="false">IF(A44="","",IF(AD44="","Al día","Revisar"))</f>
        <v/>
      </c>
      <c r="AF44" s="9" t="str">
        <f aca="false">IF(A44="","",COUNTIF(OPERACIONES!$C$6:$C$505,A44)&amp;" / $"&amp;FIXED(SUMIF(OPERACIONES!$C$6:$C$505,A44,OPERACIONES!$E$6:$E$505),0))</f>
        <v/>
      </c>
    </row>
    <row r="45" customFormat="false" ht="15" hidden="false" customHeight="false" outlineLevel="0" collapsed="false">
      <c r="A45" s="21"/>
      <c r="B45" s="21"/>
      <c r="C45" s="21"/>
      <c r="D45" s="21"/>
      <c r="E45" s="21"/>
      <c r="F45" s="21"/>
      <c r="G45" s="21"/>
      <c r="H45" s="21"/>
      <c r="I45" s="21"/>
      <c r="J45" s="21"/>
      <c r="K45" s="21"/>
      <c r="L45" s="21"/>
      <c r="M45" s="22"/>
      <c r="N45" s="20"/>
      <c r="O45" s="20"/>
      <c r="P45" s="21"/>
      <c r="Q45" s="21"/>
      <c r="R45" s="20"/>
      <c r="S45" s="20"/>
      <c r="T45" s="21"/>
      <c r="U45" s="21"/>
      <c r="V45" s="9" t="str">
        <f aca="false">IF(A45="","",SUMIFS(CONFIG!$F$5:$F$26,CONFIG!$D$5:$D$26,"Tipo de persona",CONFIG!$E$5:$E$26,C45)+SUMIFS(CONFIG!$F$5:$F$26,CONFIG!$D$5:$D$26,"Residencia",CONFIG!$E$5:$E$26,E45)+SUMIFS(CONFIG!$F$5:$F$26,CONFIG!$D$5:$D$26,"Nacionalidad",CONFIG!$E$5:$E$26,F45)+SUMIFS(CONFIG!$F$5:$F$26,CONFIG!$D$5:$D$26,"Jurisdicción de riesgo",CONFIG!$E$5:$E$26,G45)+SUMIFS(CONFIG!$F$5:$F$26,CONFIG!$D$5:$D$26,"PEP",CONFIG!$E$5:$E$26,H45)+SUMIFS(CONFIG!$F$5:$F$26,CONFIG!$D$5:$D$26,"En listas",CONFIG!$E$5:$E$26,I45)+SUMIFS(CONFIG!$F$5:$F$26,CONFIG!$D$5:$D$26,"Riesgo de su actividad económica",CONFIG!$E$5:$E$26,J45)+SUMIFS(CONFIG!$F$5:$F$26,CONFIG!$D$5:$D$26,"Canal",CONFIG!$E$5:$E$26,K45)+SUMIFS(CONFIG!$F$5:$F$26,CONFIG!$D$5:$D$26,"Origen de recursos documentado",CONFIG!$E$5:$E$26,L45))</f>
        <v/>
      </c>
      <c r="W45" s="9" t="str">
        <f aca="false">IF(A45="","",IF(SUMIF(OPERACIONES!$C$6:$C$505,A45,OPERACIONES!$E$6:$E$505)&gt;0,IF(SUMIF(OPERACIONES!$C$6:$C$505,A45,OPERACIONES!$F$6:$F$505)/SUMIF(OPERACIONES!$C$6:$C$505,A45,OPERACIONES!$E$6:$E$505)&gt;0.5,CONFIG!$B$20,IF(SUMIF(OPERACIONES!$C$6:$C$505,A45,OPERACIONES!$F$6:$F$505)&gt;0,CONFIG!$B$21,0)),0)+IF(COUNTIFS(OPERACIONES!$C$6:$C$505,A45,OPERACIONES!$AQ$6:$AQ$505,1)&gt;0,CONFIG!$B$22,0)+IF(COUNTIFS(OPERACIONES!$C$6:$C$505,A45,OPERACIONES!$H$6:$H$505,"Sí")&gt;0,CONFIG!$B$23,0))</f>
        <v/>
      </c>
      <c r="X45" s="9" t="str">
        <f aca="false">IF(A45="","",V45+W45)</f>
        <v/>
      </c>
      <c r="Y45" s="9" t="str">
        <f aca="false">IF(A45="","",IF(X45&lt;=CONFIG!$B$13,"Bajo",IF(X45&lt;=CONFIG!$B$14,"Medio","Alto")))</f>
        <v/>
      </c>
      <c r="Z45" s="25" t="str">
        <f aca="false">IF(A45="","",IF(OR(H45="Extranjera",AND(E45="No residente",G45="Sí"),I45="Sí"),"Alto",IF(T45&lt;&gt;"",T45,Y45)))</f>
        <v/>
      </c>
      <c r="AA45" s="26" t="str">
        <f aca="false">IF(A45="","",IF(H45="Extranjera","Alto obligatorio: PEP extranjera (RCG 23 Bis 4)",IF(AND(E45="No residente",G45="Sí"),"Alto obligatorio: no residente vinculado a jurisdicción de riesgo (RCG 23 Bis 4)",IF(I45="Sí","Alto por criterio: persona en listas. Evalúa no operar y Aviso de 24 h",IF(T45&lt;&gt;"","Ajuste del REC: "&amp;U45,"Modelo: "&amp;X45&amp;" puntos")))))</f>
        <v/>
      </c>
      <c r="AB45" s="23" t="str">
        <f aca="false">IF(A45="","",IF(COUNT(N45,O45)=0,"Falta fecha",EDATE(MAX(N45,O45),IF(Z45="Alto",CONFIG!$B$18,IF(Z45="Medio",CONFIG!$B$17,CONFIG!$B$16)))))</f>
        <v/>
      </c>
      <c r="AC45" s="23" t="str">
        <f aca="false">IF(A45="","",IF(ISNUMBER(S45),EDATE(S45,12),IF(ISNUMBER(N45),EDATE(N45,12),"Falta fecha")))</f>
        <v/>
      </c>
      <c r="AD45" s="26" t="str">
        <f aca="false">IF(A45="","",MID(IF(P45&lt;&gt;"Sí"," · Expediente incompleto","")&amp;IF(OR(Q45="",Q45="Pendiente")," · Falta el Beneficiario Controlador","")&amp;IF(M45=""," · Sin perfil transaccional","")&amp;IF(AND(ISNUMBER(AB45),AB45&lt;CONFIG!$B$6)," · Evaluación de riesgo vencida","")&amp;IF(AND(ISNUMBER(AC45),AC45&lt;CONFIG!$B$6)," · Verificación anual vencida","")&amp;IF(AND(ISNUMBER(R45),ISNUMBER(S45),S45-R45&gt;92)," · Comprobante de domicilio con más de 3 meses","")&amp;IF(AND(T45&lt;&gt;"",U45="")," · Ajuste del REC sin justificación",""),4,400))</f>
        <v/>
      </c>
      <c r="AE45" s="9" t="str">
        <f aca="false">IF(A45="","",IF(AD45="","Al día","Revisar"))</f>
        <v/>
      </c>
      <c r="AF45" s="9" t="str">
        <f aca="false">IF(A45="","",COUNTIF(OPERACIONES!$C$6:$C$505,A45)&amp;" / $"&amp;FIXED(SUMIF(OPERACIONES!$C$6:$C$505,A45,OPERACIONES!$E$6:$E$505),0))</f>
        <v/>
      </c>
    </row>
    <row r="46" customFormat="false" ht="15" hidden="false" customHeight="false" outlineLevel="0" collapsed="false">
      <c r="A46" s="21"/>
      <c r="B46" s="21"/>
      <c r="C46" s="21"/>
      <c r="D46" s="21"/>
      <c r="E46" s="21"/>
      <c r="F46" s="21"/>
      <c r="G46" s="21"/>
      <c r="H46" s="21"/>
      <c r="I46" s="21"/>
      <c r="J46" s="21"/>
      <c r="K46" s="21"/>
      <c r="L46" s="21"/>
      <c r="M46" s="22"/>
      <c r="N46" s="20"/>
      <c r="O46" s="20"/>
      <c r="P46" s="21"/>
      <c r="Q46" s="21"/>
      <c r="R46" s="20"/>
      <c r="S46" s="20"/>
      <c r="T46" s="21"/>
      <c r="U46" s="21"/>
      <c r="V46" s="9" t="str">
        <f aca="false">IF(A46="","",SUMIFS(CONFIG!$F$5:$F$26,CONFIG!$D$5:$D$26,"Tipo de persona",CONFIG!$E$5:$E$26,C46)+SUMIFS(CONFIG!$F$5:$F$26,CONFIG!$D$5:$D$26,"Residencia",CONFIG!$E$5:$E$26,E46)+SUMIFS(CONFIG!$F$5:$F$26,CONFIG!$D$5:$D$26,"Nacionalidad",CONFIG!$E$5:$E$26,F46)+SUMIFS(CONFIG!$F$5:$F$26,CONFIG!$D$5:$D$26,"Jurisdicción de riesgo",CONFIG!$E$5:$E$26,G46)+SUMIFS(CONFIG!$F$5:$F$26,CONFIG!$D$5:$D$26,"PEP",CONFIG!$E$5:$E$26,H46)+SUMIFS(CONFIG!$F$5:$F$26,CONFIG!$D$5:$D$26,"En listas",CONFIG!$E$5:$E$26,I46)+SUMIFS(CONFIG!$F$5:$F$26,CONFIG!$D$5:$D$26,"Riesgo de su actividad económica",CONFIG!$E$5:$E$26,J46)+SUMIFS(CONFIG!$F$5:$F$26,CONFIG!$D$5:$D$26,"Canal",CONFIG!$E$5:$E$26,K46)+SUMIFS(CONFIG!$F$5:$F$26,CONFIG!$D$5:$D$26,"Origen de recursos documentado",CONFIG!$E$5:$E$26,L46))</f>
        <v/>
      </c>
      <c r="W46" s="9" t="str">
        <f aca="false">IF(A46="","",IF(SUMIF(OPERACIONES!$C$6:$C$505,A46,OPERACIONES!$E$6:$E$505)&gt;0,IF(SUMIF(OPERACIONES!$C$6:$C$505,A46,OPERACIONES!$F$6:$F$505)/SUMIF(OPERACIONES!$C$6:$C$505,A46,OPERACIONES!$E$6:$E$505)&gt;0.5,CONFIG!$B$20,IF(SUMIF(OPERACIONES!$C$6:$C$505,A46,OPERACIONES!$F$6:$F$505)&gt;0,CONFIG!$B$21,0)),0)+IF(COUNTIFS(OPERACIONES!$C$6:$C$505,A46,OPERACIONES!$AQ$6:$AQ$505,1)&gt;0,CONFIG!$B$22,0)+IF(COUNTIFS(OPERACIONES!$C$6:$C$505,A46,OPERACIONES!$H$6:$H$505,"Sí")&gt;0,CONFIG!$B$23,0))</f>
        <v/>
      </c>
      <c r="X46" s="9" t="str">
        <f aca="false">IF(A46="","",V46+W46)</f>
        <v/>
      </c>
      <c r="Y46" s="9" t="str">
        <f aca="false">IF(A46="","",IF(X46&lt;=CONFIG!$B$13,"Bajo",IF(X46&lt;=CONFIG!$B$14,"Medio","Alto")))</f>
        <v/>
      </c>
      <c r="Z46" s="25" t="str">
        <f aca="false">IF(A46="","",IF(OR(H46="Extranjera",AND(E46="No residente",G46="Sí"),I46="Sí"),"Alto",IF(T46&lt;&gt;"",T46,Y46)))</f>
        <v/>
      </c>
      <c r="AA46" s="26" t="str">
        <f aca="false">IF(A46="","",IF(H46="Extranjera","Alto obligatorio: PEP extranjera (RCG 23 Bis 4)",IF(AND(E46="No residente",G46="Sí"),"Alto obligatorio: no residente vinculado a jurisdicción de riesgo (RCG 23 Bis 4)",IF(I46="Sí","Alto por criterio: persona en listas. Evalúa no operar y Aviso de 24 h",IF(T46&lt;&gt;"","Ajuste del REC: "&amp;U46,"Modelo: "&amp;X46&amp;" puntos")))))</f>
        <v/>
      </c>
      <c r="AB46" s="23" t="str">
        <f aca="false">IF(A46="","",IF(COUNT(N46,O46)=0,"Falta fecha",EDATE(MAX(N46,O46),IF(Z46="Alto",CONFIG!$B$18,IF(Z46="Medio",CONFIG!$B$17,CONFIG!$B$16)))))</f>
        <v/>
      </c>
      <c r="AC46" s="23" t="str">
        <f aca="false">IF(A46="","",IF(ISNUMBER(S46),EDATE(S46,12),IF(ISNUMBER(N46),EDATE(N46,12),"Falta fecha")))</f>
        <v/>
      </c>
      <c r="AD46" s="26" t="str">
        <f aca="false">IF(A46="","",MID(IF(P46&lt;&gt;"Sí"," · Expediente incompleto","")&amp;IF(OR(Q46="",Q46="Pendiente")," · Falta el Beneficiario Controlador","")&amp;IF(M46=""," · Sin perfil transaccional","")&amp;IF(AND(ISNUMBER(AB46),AB46&lt;CONFIG!$B$6)," · Evaluación de riesgo vencida","")&amp;IF(AND(ISNUMBER(AC46),AC46&lt;CONFIG!$B$6)," · Verificación anual vencida","")&amp;IF(AND(ISNUMBER(R46),ISNUMBER(S46),S46-R46&gt;92)," · Comprobante de domicilio con más de 3 meses","")&amp;IF(AND(T46&lt;&gt;"",U46="")," · Ajuste del REC sin justificación",""),4,400))</f>
        <v/>
      </c>
      <c r="AE46" s="9" t="str">
        <f aca="false">IF(A46="","",IF(AD46="","Al día","Revisar"))</f>
        <v/>
      </c>
      <c r="AF46" s="9" t="str">
        <f aca="false">IF(A46="","",COUNTIF(OPERACIONES!$C$6:$C$505,A46)&amp;" / $"&amp;FIXED(SUMIF(OPERACIONES!$C$6:$C$505,A46,OPERACIONES!$E$6:$E$505),0))</f>
        <v/>
      </c>
    </row>
    <row r="47" customFormat="false" ht="15" hidden="false" customHeight="false" outlineLevel="0" collapsed="false">
      <c r="A47" s="21"/>
      <c r="B47" s="21"/>
      <c r="C47" s="21"/>
      <c r="D47" s="21"/>
      <c r="E47" s="21"/>
      <c r="F47" s="21"/>
      <c r="G47" s="21"/>
      <c r="H47" s="21"/>
      <c r="I47" s="21"/>
      <c r="J47" s="21"/>
      <c r="K47" s="21"/>
      <c r="L47" s="21"/>
      <c r="M47" s="22"/>
      <c r="N47" s="20"/>
      <c r="O47" s="20"/>
      <c r="P47" s="21"/>
      <c r="Q47" s="21"/>
      <c r="R47" s="20"/>
      <c r="S47" s="20"/>
      <c r="T47" s="21"/>
      <c r="U47" s="21"/>
      <c r="V47" s="9" t="str">
        <f aca="false">IF(A47="","",SUMIFS(CONFIG!$F$5:$F$26,CONFIG!$D$5:$D$26,"Tipo de persona",CONFIG!$E$5:$E$26,C47)+SUMIFS(CONFIG!$F$5:$F$26,CONFIG!$D$5:$D$26,"Residencia",CONFIG!$E$5:$E$26,E47)+SUMIFS(CONFIG!$F$5:$F$26,CONFIG!$D$5:$D$26,"Nacionalidad",CONFIG!$E$5:$E$26,F47)+SUMIFS(CONFIG!$F$5:$F$26,CONFIG!$D$5:$D$26,"Jurisdicción de riesgo",CONFIG!$E$5:$E$26,G47)+SUMIFS(CONFIG!$F$5:$F$26,CONFIG!$D$5:$D$26,"PEP",CONFIG!$E$5:$E$26,H47)+SUMIFS(CONFIG!$F$5:$F$26,CONFIG!$D$5:$D$26,"En listas",CONFIG!$E$5:$E$26,I47)+SUMIFS(CONFIG!$F$5:$F$26,CONFIG!$D$5:$D$26,"Riesgo de su actividad económica",CONFIG!$E$5:$E$26,J47)+SUMIFS(CONFIG!$F$5:$F$26,CONFIG!$D$5:$D$26,"Canal",CONFIG!$E$5:$E$26,K47)+SUMIFS(CONFIG!$F$5:$F$26,CONFIG!$D$5:$D$26,"Origen de recursos documentado",CONFIG!$E$5:$E$26,L47))</f>
        <v/>
      </c>
      <c r="W47" s="9" t="str">
        <f aca="false">IF(A47="","",IF(SUMIF(OPERACIONES!$C$6:$C$505,A47,OPERACIONES!$E$6:$E$505)&gt;0,IF(SUMIF(OPERACIONES!$C$6:$C$505,A47,OPERACIONES!$F$6:$F$505)/SUMIF(OPERACIONES!$C$6:$C$505,A47,OPERACIONES!$E$6:$E$505)&gt;0.5,CONFIG!$B$20,IF(SUMIF(OPERACIONES!$C$6:$C$505,A47,OPERACIONES!$F$6:$F$505)&gt;0,CONFIG!$B$21,0)),0)+IF(COUNTIFS(OPERACIONES!$C$6:$C$505,A47,OPERACIONES!$AQ$6:$AQ$505,1)&gt;0,CONFIG!$B$22,0)+IF(COUNTIFS(OPERACIONES!$C$6:$C$505,A47,OPERACIONES!$H$6:$H$505,"Sí")&gt;0,CONFIG!$B$23,0))</f>
        <v/>
      </c>
      <c r="X47" s="9" t="str">
        <f aca="false">IF(A47="","",V47+W47)</f>
        <v/>
      </c>
      <c r="Y47" s="9" t="str">
        <f aca="false">IF(A47="","",IF(X47&lt;=CONFIG!$B$13,"Bajo",IF(X47&lt;=CONFIG!$B$14,"Medio","Alto")))</f>
        <v/>
      </c>
      <c r="Z47" s="25" t="str">
        <f aca="false">IF(A47="","",IF(OR(H47="Extranjera",AND(E47="No residente",G47="Sí"),I47="Sí"),"Alto",IF(T47&lt;&gt;"",T47,Y47)))</f>
        <v/>
      </c>
      <c r="AA47" s="26" t="str">
        <f aca="false">IF(A47="","",IF(H47="Extranjera","Alto obligatorio: PEP extranjera (RCG 23 Bis 4)",IF(AND(E47="No residente",G47="Sí"),"Alto obligatorio: no residente vinculado a jurisdicción de riesgo (RCG 23 Bis 4)",IF(I47="Sí","Alto por criterio: persona en listas. Evalúa no operar y Aviso de 24 h",IF(T47&lt;&gt;"","Ajuste del REC: "&amp;U47,"Modelo: "&amp;X47&amp;" puntos")))))</f>
        <v/>
      </c>
      <c r="AB47" s="23" t="str">
        <f aca="false">IF(A47="","",IF(COUNT(N47,O47)=0,"Falta fecha",EDATE(MAX(N47,O47),IF(Z47="Alto",CONFIG!$B$18,IF(Z47="Medio",CONFIG!$B$17,CONFIG!$B$16)))))</f>
        <v/>
      </c>
      <c r="AC47" s="23" t="str">
        <f aca="false">IF(A47="","",IF(ISNUMBER(S47),EDATE(S47,12),IF(ISNUMBER(N47),EDATE(N47,12),"Falta fecha")))</f>
        <v/>
      </c>
      <c r="AD47" s="26" t="str">
        <f aca="false">IF(A47="","",MID(IF(P47&lt;&gt;"Sí"," · Expediente incompleto","")&amp;IF(OR(Q47="",Q47="Pendiente")," · Falta el Beneficiario Controlador","")&amp;IF(M47=""," · Sin perfil transaccional","")&amp;IF(AND(ISNUMBER(AB47),AB47&lt;CONFIG!$B$6)," · Evaluación de riesgo vencida","")&amp;IF(AND(ISNUMBER(AC47),AC47&lt;CONFIG!$B$6)," · Verificación anual vencida","")&amp;IF(AND(ISNUMBER(R47),ISNUMBER(S47),S47-R47&gt;92)," · Comprobante de domicilio con más de 3 meses","")&amp;IF(AND(T47&lt;&gt;"",U47="")," · Ajuste del REC sin justificación",""),4,400))</f>
        <v/>
      </c>
      <c r="AE47" s="9" t="str">
        <f aca="false">IF(A47="","",IF(AD47="","Al día","Revisar"))</f>
        <v/>
      </c>
      <c r="AF47" s="9" t="str">
        <f aca="false">IF(A47="","",COUNTIF(OPERACIONES!$C$6:$C$505,A47)&amp;" / $"&amp;FIXED(SUMIF(OPERACIONES!$C$6:$C$505,A47,OPERACIONES!$E$6:$E$505),0))</f>
        <v/>
      </c>
    </row>
    <row r="48" customFormat="false" ht="15" hidden="false" customHeight="false" outlineLevel="0" collapsed="false">
      <c r="A48" s="21"/>
      <c r="B48" s="21"/>
      <c r="C48" s="21"/>
      <c r="D48" s="21"/>
      <c r="E48" s="21"/>
      <c r="F48" s="21"/>
      <c r="G48" s="21"/>
      <c r="H48" s="21"/>
      <c r="I48" s="21"/>
      <c r="J48" s="21"/>
      <c r="K48" s="21"/>
      <c r="L48" s="21"/>
      <c r="M48" s="22"/>
      <c r="N48" s="20"/>
      <c r="O48" s="20"/>
      <c r="P48" s="21"/>
      <c r="Q48" s="21"/>
      <c r="R48" s="20"/>
      <c r="S48" s="20"/>
      <c r="T48" s="21"/>
      <c r="U48" s="21"/>
      <c r="V48" s="9" t="str">
        <f aca="false">IF(A48="","",SUMIFS(CONFIG!$F$5:$F$26,CONFIG!$D$5:$D$26,"Tipo de persona",CONFIG!$E$5:$E$26,C48)+SUMIFS(CONFIG!$F$5:$F$26,CONFIG!$D$5:$D$26,"Residencia",CONFIG!$E$5:$E$26,E48)+SUMIFS(CONFIG!$F$5:$F$26,CONFIG!$D$5:$D$26,"Nacionalidad",CONFIG!$E$5:$E$26,F48)+SUMIFS(CONFIG!$F$5:$F$26,CONFIG!$D$5:$D$26,"Jurisdicción de riesgo",CONFIG!$E$5:$E$26,G48)+SUMIFS(CONFIG!$F$5:$F$26,CONFIG!$D$5:$D$26,"PEP",CONFIG!$E$5:$E$26,H48)+SUMIFS(CONFIG!$F$5:$F$26,CONFIG!$D$5:$D$26,"En listas",CONFIG!$E$5:$E$26,I48)+SUMIFS(CONFIG!$F$5:$F$26,CONFIG!$D$5:$D$26,"Riesgo de su actividad económica",CONFIG!$E$5:$E$26,J48)+SUMIFS(CONFIG!$F$5:$F$26,CONFIG!$D$5:$D$26,"Canal",CONFIG!$E$5:$E$26,K48)+SUMIFS(CONFIG!$F$5:$F$26,CONFIG!$D$5:$D$26,"Origen de recursos documentado",CONFIG!$E$5:$E$26,L48))</f>
        <v/>
      </c>
      <c r="W48" s="9" t="str">
        <f aca="false">IF(A48="","",IF(SUMIF(OPERACIONES!$C$6:$C$505,A48,OPERACIONES!$E$6:$E$505)&gt;0,IF(SUMIF(OPERACIONES!$C$6:$C$505,A48,OPERACIONES!$F$6:$F$505)/SUMIF(OPERACIONES!$C$6:$C$505,A48,OPERACIONES!$E$6:$E$505)&gt;0.5,CONFIG!$B$20,IF(SUMIF(OPERACIONES!$C$6:$C$505,A48,OPERACIONES!$F$6:$F$505)&gt;0,CONFIG!$B$21,0)),0)+IF(COUNTIFS(OPERACIONES!$C$6:$C$505,A48,OPERACIONES!$AQ$6:$AQ$505,1)&gt;0,CONFIG!$B$22,0)+IF(COUNTIFS(OPERACIONES!$C$6:$C$505,A48,OPERACIONES!$H$6:$H$505,"Sí")&gt;0,CONFIG!$B$23,0))</f>
        <v/>
      </c>
      <c r="X48" s="9" t="str">
        <f aca="false">IF(A48="","",V48+W48)</f>
        <v/>
      </c>
      <c r="Y48" s="9" t="str">
        <f aca="false">IF(A48="","",IF(X48&lt;=CONFIG!$B$13,"Bajo",IF(X48&lt;=CONFIG!$B$14,"Medio","Alto")))</f>
        <v/>
      </c>
      <c r="Z48" s="25" t="str">
        <f aca="false">IF(A48="","",IF(OR(H48="Extranjera",AND(E48="No residente",G48="Sí"),I48="Sí"),"Alto",IF(T48&lt;&gt;"",T48,Y48)))</f>
        <v/>
      </c>
      <c r="AA48" s="26" t="str">
        <f aca="false">IF(A48="","",IF(H48="Extranjera","Alto obligatorio: PEP extranjera (RCG 23 Bis 4)",IF(AND(E48="No residente",G48="Sí"),"Alto obligatorio: no residente vinculado a jurisdicción de riesgo (RCG 23 Bis 4)",IF(I48="Sí","Alto por criterio: persona en listas. Evalúa no operar y Aviso de 24 h",IF(T48&lt;&gt;"","Ajuste del REC: "&amp;U48,"Modelo: "&amp;X48&amp;" puntos")))))</f>
        <v/>
      </c>
      <c r="AB48" s="23" t="str">
        <f aca="false">IF(A48="","",IF(COUNT(N48,O48)=0,"Falta fecha",EDATE(MAX(N48,O48),IF(Z48="Alto",CONFIG!$B$18,IF(Z48="Medio",CONFIG!$B$17,CONFIG!$B$16)))))</f>
        <v/>
      </c>
      <c r="AC48" s="23" t="str">
        <f aca="false">IF(A48="","",IF(ISNUMBER(S48),EDATE(S48,12),IF(ISNUMBER(N48),EDATE(N48,12),"Falta fecha")))</f>
        <v/>
      </c>
      <c r="AD48" s="26" t="str">
        <f aca="false">IF(A48="","",MID(IF(P48&lt;&gt;"Sí"," · Expediente incompleto","")&amp;IF(OR(Q48="",Q48="Pendiente")," · Falta el Beneficiario Controlador","")&amp;IF(M48=""," · Sin perfil transaccional","")&amp;IF(AND(ISNUMBER(AB48),AB48&lt;CONFIG!$B$6)," · Evaluación de riesgo vencida","")&amp;IF(AND(ISNUMBER(AC48),AC48&lt;CONFIG!$B$6)," · Verificación anual vencida","")&amp;IF(AND(ISNUMBER(R48),ISNUMBER(S48),S48-R48&gt;92)," · Comprobante de domicilio con más de 3 meses","")&amp;IF(AND(T48&lt;&gt;"",U48="")," · Ajuste del REC sin justificación",""),4,400))</f>
        <v/>
      </c>
      <c r="AE48" s="9" t="str">
        <f aca="false">IF(A48="","",IF(AD48="","Al día","Revisar"))</f>
        <v/>
      </c>
      <c r="AF48" s="9" t="str">
        <f aca="false">IF(A48="","",COUNTIF(OPERACIONES!$C$6:$C$505,A48)&amp;" / $"&amp;FIXED(SUMIF(OPERACIONES!$C$6:$C$505,A48,OPERACIONES!$E$6:$E$505),0))</f>
        <v/>
      </c>
    </row>
    <row r="49" customFormat="false" ht="15" hidden="false" customHeight="false" outlineLevel="0" collapsed="false">
      <c r="A49" s="21"/>
      <c r="B49" s="21"/>
      <c r="C49" s="21"/>
      <c r="D49" s="21"/>
      <c r="E49" s="21"/>
      <c r="F49" s="21"/>
      <c r="G49" s="21"/>
      <c r="H49" s="21"/>
      <c r="I49" s="21"/>
      <c r="J49" s="21"/>
      <c r="K49" s="21"/>
      <c r="L49" s="21"/>
      <c r="M49" s="22"/>
      <c r="N49" s="20"/>
      <c r="O49" s="20"/>
      <c r="P49" s="21"/>
      <c r="Q49" s="21"/>
      <c r="R49" s="20"/>
      <c r="S49" s="20"/>
      <c r="T49" s="21"/>
      <c r="U49" s="21"/>
      <c r="V49" s="9" t="str">
        <f aca="false">IF(A49="","",SUMIFS(CONFIG!$F$5:$F$26,CONFIG!$D$5:$D$26,"Tipo de persona",CONFIG!$E$5:$E$26,C49)+SUMIFS(CONFIG!$F$5:$F$26,CONFIG!$D$5:$D$26,"Residencia",CONFIG!$E$5:$E$26,E49)+SUMIFS(CONFIG!$F$5:$F$26,CONFIG!$D$5:$D$26,"Nacionalidad",CONFIG!$E$5:$E$26,F49)+SUMIFS(CONFIG!$F$5:$F$26,CONFIG!$D$5:$D$26,"Jurisdicción de riesgo",CONFIG!$E$5:$E$26,G49)+SUMIFS(CONFIG!$F$5:$F$26,CONFIG!$D$5:$D$26,"PEP",CONFIG!$E$5:$E$26,H49)+SUMIFS(CONFIG!$F$5:$F$26,CONFIG!$D$5:$D$26,"En listas",CONFIG!$E$5:$E$26,I49)+SUMIFS(CONFIG!$F$5:$F$26,CONFIG!$D$5:$D$26,"Riesgo de su actividad económica",CONFIG!$E$5:$E$26,J49)+SUMIFS(CONFIG!$F$5:$F$26,CONFIG!$D$5:$D$26,"Canal",CONFIG!$E$5:$E$26,K49)+SUMIFS(CONFIG!$F$5:$F$26,CONFIG!$D$5:$D$26,"Origen de recursos documentado",CONFIG!$E$5:$E$26,L49))</f>
        <v/>
      </c>
      <c r="W49" s="9" t="str">
        <f aca="false">IF(A49="","",IF(SUMIF(OPERACIONES!$C$6:$C$505,A49,OPERACIONES!$E$6:$E$505)&gt;0,IF(SUMIF(OPERACIONES!$C$6:$C$505,A49,OPERACIONES!$F$6:$F$505)/SUMIF(OPERACIONES!$C$6:$C$505,A49,OPERACIONES!$E$6:$E$505)&gt;0.5,CONFIG!$B$20,IF(SUMIF(OPERACIONES!$C$6:$C$505,A49,OPERACIONES!$F$6:$F$505)&gt;0,CONFIG!$B$21,0)),0)+IF(COUNTIFS(OPERACIONES!$C$6:$C$505,A49,OPERACIONES!$AQ$6:$AQ$505,1)&gt;0,CONFIG!$B$22,0)+IF(COUNTIFS(OPERACIONES!$C$6:$C$505,A49,OPERACIONES!$H$6:$H$505,"Sí")&gt;0,CONFIG!$B$23,0))</f>
        <v/>
      </c>
      <c r="X49" s="9" t="str">
        <f aca="false">IF(A49="","",V49+W49)</f>
        <v/>
      </c>
      <c r="Y49" s="9" t="str">
        <f aca="false">IF(A49="","",IF(X49&lt;=CONFIG!$B$13,"Bajo",IF(X49&lt;=CONFIG!$B$14,"Medio","Alto")))</f>
        <v/>
      </c>
      <c r="Z49" s="25" t="str">
        <f aca="false">IF(A49="","",IF(OR(H49="Extranjera",AND(E49="No residente",G49="Sí"),I49="Sí"),"Alto",IF(T49&lt;&gt;"",T49,Y49)))</f>
        <v/>
      </c>
      <c r="AA49" s="26" t="str">
        <f aca="false">IF(A49="","",IF(H49="Extranjera","Alto obligatorio: PEP extranjera (RCG 23 Bis 4)",IF(AND(E49="No residente",G49="Sí"),"Alto obligatorio: no residente vinculado a jurisdicción de riesgo (RCG 23 Bis 4)",IF(I49="Sí","Alto por criterio: persona en listas. Evalúa no operar y Aviso de 24 h",IF(T49&lt;&gt;"","Ajuste del REC: "&amp;U49,"Modelo: "&amp;X49&amp;" puntos")))))</f>
        <v/>
      </c>
      <c r="AB49" s="23" t="str">
        <f aca="false">IF(A49="","",IF(COUNT(N49,O49)=0,"Falta fecha",EDATE(MAX(N49,O49),IF(Z49="Alto",CONFIG!$B$18,IF(Z49="Medio",CONFIG!$B$17,CONFIG!$B$16)))))</f>
        <v/>
      </c>
      <c r="AC49" s="23" t="str">
        <f aca="false">IF(A49="","",IF(ISNUMBER(S49),EDATE(S49,12),IF(ISNUMBER(N49),EDATE(N49,12),"Falta fecha")))</f>
        <v/>
      </c>
      <c r="AD49" s="26" t="str">
        <f aca="false">IF(A49="","",MID(IF(P49&lt;&gt;"Sí"," · Expediente incompleto","")&amp;IF(OR(Q49="",Q49="Pendiente")," · Falta el Beneficiario Controlador","")&amp;IF(M49=""," · Sin perfil transaccional","")&amp;IF(AND(ISNUMBER(AB49),AB49&lt;CONFIG!$B$6)," · Evaluación de riesgo vencida","")&amp;IF(AND(ISNUMBER(AC49),AC49&lt;CONFIG!$B$6)," · Verificación anual vencida","")&amp;IF(AND(ISNUMBER(R49),ISNUMBER(S49),S49-R49&gt;92)," · Comprobante de domicilio con más de 3 meses","")&amp;IF(AND(T49&lt;&gt;"",U49="")," · Ajuste del REC sin justificación",""),4,400))</f>
        <v/>
      </c>
      <c r="AE49" s="9" t="str">
        <f aca="false">IF(A49="","",IF(AD49="","Al día","Revisar"))</f>
        <v/>
      </c>
      <c r="AF49" s="9" t="str">
        <f aca="false">IF(A49="","",COUNTIF(OPERACIONES!$C$6:$C$505,A49)&amp;" / $"&amp;FIXED(SUMIF(OPERACIONES!$C$6:$C$505,A49,OPERACIONES!$E$6:$E$505),0))</f>
        <v/>
      </c>
    </row>
    <row r="50" customFormat="false" ht="15" hidden="false" customHeight="false" outlineLevel="0" collapsed="false">
      <c r="A50" s="21"/>
      <c r="B50" s="21"/>
      <c r="C50" s="21"/>
      <c r="D50" s="21"/>
      <c r="E50" s="21"/>
      <c r="F50" s="21"/>
      <c r="G50" s="21"/>
      <c r="H50" s="21"/>
      <c r="I50" s="21"/>
      <c r="J50" s="21"/>
      <c r="K50" s="21"/>
      <c r="L50" s="21"/>
      <c r="M50" s="22"/>
      <c r="N50" s="20"/>
      <c r="O50" s="20"/>
      <c r="P50" s="21"/>
      <c r="Q50" s="21"/>
      <c r="R50" s="20"/>
      <c r="S50" s="20"/>
      <c r="T50" s="21"/>
      <c r="U50" s="21"/>
      <c r="V50" s="9" t="str">
        <f aca="false">IF(A50="","",SUMIFS(CONFIG!$F$5:$F$26,CONFIG!$D$5:$D$26,"Tipo de persona",CONFIG!$E$5:$E$26,C50)+SUMIFS(CONFIG!$F$5:$F$26,CONFIG!$D$5:$D$26,"Residencia",CONFIG!$E$5:$E$26,E50)+SUMIFS(CONFIG!$F$5:$F$26,CONFIG!$D$5:$D$26,"Nacionalidad",CONFIG!$E$5:$E$26,F50)+SUMIFS(CONFIG!$F$5:$F$26,CONFIG!$D$5:$D$26,"Jurisdicción de riesgo",CONFIG!$E$5:$E$26,G50)+SUMIFS(CONFIG!$F$5:$F$26,CONFIG!$D$5:$D$26,"PEP",CONFIG!$E$5:$E$26,H50)+SUMIFS(CONFIG!$F$5:$F$26,CONFIG!$D$5:$D$26,"En listas",CONFIG!$E$5:$E$26,I50)+SUMIFS(CONFIG!$F$5:$F$26,CONFIG!$D$5:$D$26,"Riesgo de su actividad económica",CONFIG!$E$5:$E$26,J50)+SUMIFS(CONFIG!$F$5:$F$26,CONFIG!$D$5:$D$26,"Canal",CONFIG!$E$5:$E$26,K50)+SUMIFS(CONFIG!$F$5:$F$26,CONFIG!$D$5:$D$26,"Origen de recursos documentado",CONFIG!$E$5:$E$26,L50))</f>
        <v/>
      </c>
      <c r="W50" s="9" t="str">
        <f aca="false">IF(A50="","",IF(SUMIF(OPERACIONES!$C$6:$C$505,A50,OPERACIONES!$E$6:$E$505)&gt;0,IF(SUMIF(OPERACIONES!$C$6:$C$505,A50,OPERACIONES!$F$6:$F$505)/SUMIF(OPERACIONES!$C$6:$C$505,A50,OPERACIONES!$E$6:$E$505)&gt;0.5,CONFIG!$B$20,IF(SUMIF(OPERACIONES!$C$6:$C$505,A50,OPERACIONES!$F$6:$F$505)&gt;0,CONFIG!$B$21,0)),0)+IF(COUNTIFS(OPERACIONES!$C$6:$C$505,A50,OPERACIONES!$AQ$6:$AQ$505,1)&gt;0,CONFIG!$B$22,0)+IF(COUNTIFS(OPERACIONES!$C$6:$C$505,A50,OPERACIONES!$H$6:$H$505,"Sí")&gt;0,CONFIG!$B$23,0))</f>
        <v/>
      </c>
      <c r="X50" s="9" t="str">
        <f aca="false">IF(A50="","",V50+W50)</f>
        <v/>
      </c>
      <c r="Y50" s="9" t="str">
        <f aca="false">IF(A50="","",IF(X50&lt;=CONFIG!$B$13,"Bajo",IF(X50&lt;=CONFIG!$B$14,"Medio","Alto")))</f>
        <v/>
      </c>
      <c r="Z50" s="25" t="str">
        <f aca="false">IF(A50="","",IF(OR(H50="Extranjera",AND(E50="No residente",G50="Sí"),I50="Sí"),"Alto",IF(T50&lt;&gt;"",T50,Y50)))</f>
        <v/>
      </c>
      <c r="AA50" s="26" t="str">
        <f aca="false">IF(A50="","",IF(H50="Extranjera","Alto obligatorio: PEP extranjera (RCG 23 Bis 4)",IF(AND(E50="No residente",G50="Sí"),"Alto obligatorio: no residente vinculado a jurisdicción de riesgo (RCG 23 Bis 4)",IF(I50="Sí","Alto por criterio: persona en listas. Evalúa no operar y Aviso de 24 h",IF(T50&lt;&gt;"","Ajuste del REC: "&amp;U50,"Modelo: "&amp;X50&amp;" puntos")))))</f>
        <v/>
      </c>
      <c r="AB50" s="23" t="str">
        <f aca="false">IF(A50="","",IF(COUNT(N50,O50)=0,"Falta fecha",EDATE(MAX(N50,O50),IF(Z50="Alto",CONFIG!$B$18,IF(Z50="Medio",CONFIG!$B$17,CONFIG!$B$16)))))</f>
        <v/>
      </c>
      <c r="AC50" s="23" t="str">
        <f aca="false">IF(A50="","",IF(ISNUMBER(S50),EDATE(S50,12),IF(ISNUMBER(N50),EDATE(N50,12),"Falta fecha")))</f>
        <v/>
      </c>
      <c r="AD50" s="26" t="str">
        <f aca="false">IF(A50="","",MID(IF(P50&lt;&gt;"Sí"," · Expediente incompleto","")&amp;IF(OR(Q50="",Q50="Pendiente")," · Falta el Beneficiario Controlador","")&amp;IF(M50=""," · Sin perfil transaccional","")&amp;IF(AND(ISNUMBER(AB50),AB50&lt;CONFIG!$B$6)," · Evaluación de riesgo vencida","")&amp;IF(AND(ISNUMBER(AC50),AC50&lt;CONFIG!$B$6)," · Verificación anual vencida","")&amp;IF(AND(ISNUMBER(R50),ISNUMBER(S50),S50-R50&gt;92)," · Comprobante de domicilio con más de 3 meses","")&amp;IF(AND(T50&lt;&gt;"",U50="")," · Ajuste del REC sin justificación",""),4,400))</f>
        <v/>
      </c>
      <c r="AE50" s="9" t="str">
        <f aca="false">IF(A50="","",IF(AD50="","Al día","Revisar"))</f>
        <v/>
      </c>
      <c r="AF50" s="9" t="str">
        <f aca="false">IF(A50="","",COUNTIF(OPERACIONES!$C$6:$C$505,A50)&amp;" / $"&amp;FIXED(SUMIF(OPERACIONES!$C$6:$C$505,A50,OPERACIONES!$E$6:$E$505),0))</f>
        <v/>
      </c>
    </row>
    <row r="51" customFormat="false" ht="15" hidden="false" customHeight="false" outlineLevel="0" collapsed="false">
      <c r="A51" s="21"/>
      <c r="B51" s="21"/>
      <c r="C51" s="21"/>
      <c r="D51" s="21"/>
      <c r="E51" s="21"/>
      <c r="F51" s="21"/>
      <c r="G51" s="21"/>
      <c r="H51" s="21"/>
      <c r="I51" s="21"/>
      <c r="J51" s="21"/>
      <c r="K51" s="21"/>
      <c r="L51" s="21"/>
      <c r="M51" s="22"/>
      <c r="N51" s="20"/>
      <c r="O51" s="20"/>
      <c r="P51" s="21"/>
      <c r="Q51" s="21"/>
      <c r="R51" s="20"/>
      <c r="S51" s="20"/>
      <c r="T51" s="21"/>
      <c r="U51" s="21"/>
      <c r="V51" s="9" t="str">
        <f aca="false">IF(A51="","",SUMIFS(CONFIG!$F$5:$F$26,CONFIG!$D$5:$D$26,"Tipo de persona",CONFIG!$E$5:$E$26,C51)+SUMIFS(CONFIG!$F$5:$F$26,CONFIG!$D$5:$D$26,"Residencia",CONFIG!$E$5:$E$26,E51)+SUMIFS(CONFIG!$F$5:$F$26,CONFIG!$D$5:$D$26,"Nacionalidad",CONFIG!$E$5:$E$26,F51)+SUMIFS(CONFIG!$F$5:$F$26,CONFIG!$D$5:$D$26,"Jurisdicción de riesgo",CONFIG!$E$5:$E$26,G51)+SUMIFS(CONFIG!$F$5:$F$26,CONFIG!$D$5:$D$26,"PEP",CONFIG!$E$5:$E$26,H51)+SUMIFS(CONFIG!$F$5:$F$26,CONFIG!$D$5:$D$26,"En listas",CONFIG!$E$5:$E$26,I51)+SUMIFS(CONFIG!$F$5:$F$26,CONFIG!$D$5:$D$26,"Riesgo de su actividad económica",CONFIG!$E$5:$E$26,J51)+SUMIFS(CONFIG!$F$5:$F$26,CONFIG!$D$5:$D$26,"Canal",CONFIG!$E$5:$E$26,K51)+SUMIFS(CONFIG!$F$5:$F$26,CONFIG!$D$5:$D$26,"Origen de recursos documentado",CONFIG!$E$5:$E$26,L51))</f>
        <v/>
      </c>
      <c r="W51" s="9" t="str">
        <f aca="false">IF(A51="","",IF(SUMIF(OPERACIONES!$C$6:$C$505,A51,OPERACIONES!$E$6:$E$505)&gt;0,IF(SUMIF(OPERACIONES!$C$6:$C$505,A51,OPERACIONES!$F$6:$F$505)/SUMIF(OPERACIONES!$C$6:$C$505,A51,OPERACIONES!$E$6:$E$505)&gt;0.5,CONFIG!$B$20,IF(SUMIF(OPERACIONES!$C$6:$C$505,A51,OPERACIONES!$F$6:$F$505)&gt;0,CONFIG!$B$21,0)),0)+IF(COUNTIFS(OPERACIONES!$C$6:$C$505,A51,OPERACIONES!$AQ$6:$AQ$505,1)&gt;0,CONFIG!$B$22,0)+IF(COUNTIFS(OPERACIONES!$C$6:$C$505,A51,OPERACIONES!$H$6:$H$505,"Sí")&gt;0,CONFIG!$B$23,0))</f>
        <v/>
      </c>
      <c r="X51" s="9" t="str">
        <f aca="false">IF(A51="","",V51+W51)</f>
        <v/>
      </c>
      <c r="Y51" s="9" t="str">
        <f aca="false">IF(A51="","",IF(X51&lt;=CONFIG!$B$13,"Bajo",IF(X51&lt;=CONFIG!$B$14,"Medio","Alto")))</f>
        <v/>
      </c>
      <c r="Z51" s="25" t="str">
        <f aca="false">IF(A51="","",IF(OR(H51="Extranjera",AND(E51="No residente",G51="Sí"),I51="Sí"),"Alto",IF(T51&lt;&gt;"",T51,Y51)))</f>
        <v/>
      </c>
      <c r="AA51" s="26" t="str">
        <f aca="false">IF(A51="","",IF(H51="Extranjera","Alto obligatorio: PEP extranjera (RCG 23 Bis 4)",IF(AND(E51="No residente",G51="Sí"),"Alto obligatorio: no residente vinculado a jurisdicción de riesgo (RCG 23 Bis 4)",IF(I51="Sí","Alto por criterio: persona en listas. Evalúa no operar y Aviso de 24 h",IF(T51&lt;&gt;"","Ajuste del REC: "&amp;U51,"Modelo: "&amp;X51&amp;" puntos")))))</f>
        <v/>
      </c>
      <c r="AB51" s="23" t="str">
        <f aca="false">IF(A51="","",IF(COUNT(N51,O51)=0,"Falta fecha",EDATE(MAX(N51,O51),IF(Z51="Alto",CONFIG!$B$18,IF(Z51="Medio",CONFIG!$B$17,CONFIG!$B$16)))))</f>
        <v/>
      </c>
      <c r="AC51" s="23" t="str">
        <f aca="false">IF(A51="","",IF(ISNUMBER(S51),EDATE(S51,12),IF(ISNUMBER(N51),EDATE(N51,12),"Falta fecha")))</f>
        <v/>
      </c>
      <c r="AD51" s="26" t="str">
        <f aca="false">IF(A51="","",MID(IF(P51&lt;&gt;"Sí"," · Expediente incompleto","")&amp;IF(OR(Q51="",Q51="Pendiente")," · Falta el Beneficiario Controlador","")&amp;IF(M51=""," · Sin perfil transaccional","")&amp;IF(AND(ISNUMBER(AB51),AB51&lt;CONFIG!$B$6)," · Evaluación de riesgo vencida","")&amp;IF(AND(ISNUMBER(AC51),AC51&lt;CONFIG!$B$6)," · Verificación anual vencida","")&amp;IF(AND(ISNUMBER(R51),ISNUMBER(S51),S51-R51&gt;92)," · Comprobante de domicilio con más de 3 meses","")&amp;IF(AND(T51&lt;&gt;"",U51="")," · Ajuste del REC sin justificación",""),4,400))</f>
        <v/>
      </c>
      <c r="AE51" s="9" t="str">
        <f aca="false">IF(A51="","",IF(AD51="","Al día","Revisar"))</f>
        <v/>
      </c>
      <c r="AF51" s="9" t="str">
        <f aca="false">IF(A51="","",COUNTIF(OPERACIONES!$C$6:$C$505,A51)&amp;" / $"&amp;FIXED(SUMIF(OPERACIONES!$C$6:$C$505,A51,OPERACIONES!$E$6:$E$505),0))</f>
        <v/>
      </c>
    </row>
    <row r="52" customFormat="false" ht="15" hidden="false" customHeight="false" outlineLevel="0" collapsed="false">
      <c r="A52" s="21"/>
      <c r="B52" s="21"/>
      <c r="C52" s="21"/>
      <c r="D52" s="21"/>
      <c r="E52" s="21"/>
      <c r="F52" s="21"/>
      <c r="G52" s="21"/>
      <c r="H52" s="21"/>
      <c r="I52" s="21"/>
      <c r="J52" s="21"/>
      <c r="K52" s="21"/>
      <c r="L52" s="21"/>
      <c r="M52" s="22"/>
      <c r="N52" s="20"/>
      <c r="O52" s="20"/>
      <c r="P52" s="21"/>
      <c r="Q52" s="21"/>
      <c r="R52" s="20"/>
      <c r="S52" s="20"/>
      <c r="T52" s="21"/>
      <c r="U52" s="21"/>
      <c r="V52" s="9" t="str">
        <f aca="false">IF(A52="","",SUMIFS(CONFIG!$F$5:$F$26,CONFIG!$D$5:$D$26,"Tipo de persona",CONFIG!$E$5:$E$26,C52)+SUMIFS(CONFIG!$F$5:$F$26,CONFIG!$D$5:$D$26,"Residencia",CONFIG!$E$5:$E$26,E52)+SUMIFS(CONFIG!$F$5:$F$26,CONFIG!$D$5:$D$26,"Nacionalidad",CONFIG!$E$5:$E$26,F52)+SUMIFS(CONFIG!$F$5:$F$26,CONFIG!$D$5:$D$26,"Jurisdicción de riesgo",CONFIG!$E$5:$E$26,G52)+SUMIFS(CONFIG!$F$5:$F$26,CONFIG!$D$5:$D$26,"PEP",CONFIG!$E$5:$E$26,H52)+SUMIFS(CONFIG!$F$5:$F$26,CONFIG!$D$5:$D$26,"En listas",CONFIG!$E$5:$E$26,I52)+SUMIFS(CONFIG!$F$5:$F$26,CONFIG!$D$5:$D$26,"Riesgo de su actividad económica",CONFIG!$E$5:$E$26,J52)+SUMIFS(CONFIG!$F$5:$F$26,CONFIG!$D$5:$D$26,"Canal",CONFIG!$E$5:$E$26,K52)+SUMIFS(CONFIG!$F$5:$F$26,CONFIG!$D$5:$D$26,"Origen de recursos documentado",CONFIG!$E$5:$E$26,L52))</f>
        <v/>
      </c>
      <c r="W52" s="9" t="str">
        <f aca="false">IF(A52="","",IF(SUMIF(OPERACIONES!$C$6:$C$505,A52,OPERACIONES!$E$6:$E$505)&gt;0,IF(SUMIF(OPERACIONES!$C$6:$C$505,A52,OPERACIONES!$F$6:$F$505)/SUMIF(OPERACIONES!$C$6:$C$505,A52,OPERACIONES!$E$6:$E$505)&gt;0.5,CONFIG!$B$20,IF(SUMIF(OPERACIONES!$C$6:$C$505,A52,OPERACIONES!$F$6:$F$505)&gt;0,CONFIG!$B$21,0)),0)+IF(COUNTIFS(OPERACIONES!$C$6:$C$505,A52,OPERACIONES!$AQ$6:$AQ$505,1)&gt;0,CONFIG!$B$22,0)+IF(COUNTIFS(OPERACIONES!$C$6:$C$505,A52,OPERACIONES!$H$6:$H$505,"Sí")&gt;0,CONFIG!$B$23,0))</f>
        <v/>
      </c>
      <c r="X52" s="9" t="str">
        <f aca="false">IF(A52="","",V52+W52)</f>
        <v/>
      </c>
      <c r="Y52" s="9" t="str">
        <f aca="false">IF(A52="","",IF(X52&lt;=CONFIG!$B$13,"Bajo",IF(X52&lt;=CONFIG!$B$14,"Medio","Alto")))</f>
        <v/>
      </c>
      <c r="Z52" s="25" t="str">
        <f aca="false">IF(A52="","",IF(OR(H52="Extranjera",AND(E52="No residente",G52="Sí"),I52="Sí"),"Alto",IF(T52&lt;&gt;"",T52,Y52)))</f>
        <v/>
      </c>
      <c r="AA52" s="26" t="str">
        <f aca="false">IF(A52="","",IF(H52="Extranjera","Alto obligatorio: PEP extranjera (RCG 23 Bis 4)",IF(AND(E52="No residente",G52="Sí"),"Alto obligatorio: no residente vinculado a jurisdicción de riesgo (RCG 23 Bis 4)",IF(I52="Sí","Alto por criterio: persona en listas. Evalúa no operar y Aviso de 24 h",IF(T52&lt;&gt;"","Ajuste del REC: "&amp;U52,"Modelo: "&amp;X52&amp;" puntos")))))</f>
        <v/>
      </c>
      <c r="AB52" s="23" t="str">
        <f aca="false">IF(A52="","",IF(COUNT(N52,O52)=0,"Falta fecha",EDATE(MAX(N52,O52),IF(Z52="Alto",CONFIG!$B$18,IF(Z52="Medio",CONFIG!$B$17,CONFIG!$B$16)))))</f>
        <v/>
      </c>
      <c r="AC52" s="23" t="str">
        <f aca="false">IF(A52="","",IF(ISNUMBER(S52),EDATE(S52,12),IF(ISNUMBER(N52),EDATE(N52,12),"Falta fecha")))</f>
        <v/>
      </c>
      <c r="AD52" s="26" t="str">
        <f aca="false">IF(A52="","",MID(IF(P52&lt;&gt;"Sí"," · Expediente incompleto","")&amp;IF(OR(Q52="",Q52="Pendiente")," · Falta el Beneficiario Controlador","")&amp;IF(M52=""," · Sin perfil transaccional","")&amp;IF(AND(ISNUMBER(AB52),AB52&lt;CONFIG!$B$6)," · Evaluación de riesgo vencida","")&amp;IF(AND(ISNUMBER(AC52),AC52&lt;CONFIG!$B$6)," · Verificación anual vencida","")&amp;IF(AND(ISNUMBER(R52),ISNUMBER(S52),S52-R52&gt;92)," · Comprobante de domicilio con más de 3 meses","")&amp;IF(AND(T52&lt;&gt;"",U52="")," · Ajuste del REC sin justificación",""),4,400))</f>
        <v/>
      </c>
      <c r="AE52" s="9" t="str">
        <f aca="false">IF(A52="","",IF(AD52="","Al día","Revisar"))</f>
        <v/>
      </c>
      <c r="AF52" s="9" t="str">
        <f aca="false">IF(A52="","",COUNTIF(OPERACIONES!$C$6:$C$505,A52)&amp;" / $"&amp;FIXED(SUMIF(OPERACIONES!$C$6:$C$505,A52,OPERACIONES!$E$6:$E$505),0))</f>
        <v/>
      </c>
    </row>
    <row r="53" customFormat="false" ht="15" hidden="false" customHeight="false" outlineLevel="0" collapsed="false">
      <c r="A53" s="21"/>
      <c r="B53" s="21"/>
      <c r="C53" s="21"/>
      <c r="D53" s="21"/>
      <c r="E53" s="21"/>
      <c r="F53" s="21"/>
      <c r="G53" s="21"/>
      <c r="H53" s="21"/>
      <c r="I53" s="21"/>
      <c r="J53" s="21"/>
      <c r="K53" s="21"/>
      <c r="L53" s="21"/>
      <c r="M53" s="22"/>
      <c r="N53" s="20"/>
      <c r="O53" s="20"/>
      <c r="P53" s="21"/>
      <c r="Q53" s="21"/>
      <c r="R53" s="20"/>
      <c r="S53" s="20"/>
      <c r="T53" s="21"/>
      <c r="U53" s="21"/>
      <c r="V53" s="9" t="str">
        <f aca="false">IF(A53="","",SUMIFS(CONFIG!$F$5:$F$26,CONFIG!$D$5:$D$26,"Tipo de persona",CONFIG!$E$5:$E$26,C53)+SUMIFS(CONFIG!$F$5:$F$26,CONFIG!$D$5:$D$26,"Residencia",CONFIG!$E$5:$E$26,E53)+SUMIFS(CONFIG!$F$5:$F$26,CONFIG!$D$5:$D$26,"Nacionalidad",CONFIG!$E$5:$E$26,F53)+SUMIFS(CONFIG!$F$5:$F$26,CONFIG!$D$5:$D$26,"Jurisdicción de riesgo",CONFIG!$E$5:$E$26,G53)+SUMIFS(CONFIG!$F$5:$F$26,CONFIG!$D$5:$D$26,"PEP",CONFIG!$E$5:$E$26,H53)+SUMIFS(CONFIG!$F$5:$F$26,CONFIG!$D$5:$D$26,"En listas",CONFIG!$E$5:$E$26,I53)+SUMIFS(CONFIG!$F$5:$F$26,CONFIG!$D$5:$D$26,"Riesgo de su actividad económica",CONFIG!$E$5:$E$26,J53)+SUMIFS(CONFIG!$F$5:$F$26,CONFIG!$D$5:$D$26,"Canal",CONFIG!$E$5:$E$26,K53)+SUMIFS(CONFIG!$F$5:$F$26,CONFIG!$D$5:$D$26,"Origen de recursos documentado",CONFIG!$E$5:$E$26,L53))</f>
        <v/>
      </c>
      <c r="W53" s="9" t="str">
        <f aca="false">IF(A53="","",IF(SUMIF(OPERACIONES!$C$6:$C$505,A53,OPERACIONES!$E$6:$E$505)&gt;0,IF(SUMIF(OPERACIONES!$C$6:$C$505,A53,OPERACIONES!$F$6:$F$505)/SUMIF(OPERACIONES!$C$6:$C$505,A53,OPERACIONES!$E$6:$E$505)&gt;0.5,CONFIG!$B$20,IF(SUMIF(OPERACIONES!$C$6:$C$505,A53,OPERACIONES!$F$6:$F$505)&gt;0,CONFIG!$B$21,0)),0)+IF(COUNTIFS(OPERACIONES!$C$6:$C$505,A53,OPERACIONES!$AQ$6:$AQ$505,1)&gt;0,CONFIG!$B$22,0)+IF(COUNTIFS(OPERACIONES!$C$6:$C$505,A53,OPERACIONES!$H$6:$H$505,"Sí")&gt;0,CONFIG!$B$23,0))</f>
        <v/>
      </c>
      <c r="X53" s="9" t="str">
        <f aca="false">IF(A53="","",V53+W53)</f>
        <v/>
      </c>
      <c r="Y53" s="9" t="str">
        <f aca="false">IF(A53="","",IF(X53&lt;=CONFIG!$B$13,"Bajo",IF(X53&lt;=CONFIG!$B$14,"Medio","Alto")))</f>
        <v/>
      </c>
      <c r="Z53" s="25" t="str">
        <f aca="false">IF(A53="","",IF(OR(H53="Extranjera",AND(E53="No residente",G53="Sí"),I53="Sí"),"Alto",IF(T53&lt;&gt;"",T53,Y53)))</f>
        <v/>
      </c>
      <c r="AA53" s="26" t="str">
        <f aca="false">IF(A53="","",IF(H53="Extranjera","Alto obligatorio: PEP extranjera (RCG 23 Bis 4)",IF(AND(E53="No residente",G53="Sí"),"Alto obligatorio: no residente vinculado a jurisdicción de riesgo (RCG 23 Bis 4)",IF(I53="Sí","Alto por criterio: persona en listas. Evalúa no operar y Aviso de 24 h",IF(T53&lt;&gt;"","Ajuste del REC: "&amp;U53,"Modelo: "&amp;X53&amp;" puntos")))))</f>
        <v/>
      </c>
      <c r="AB53" s="23" t="str">
        <f aca="false">IF(A53="","",IF(COUNT(N53,O53)=0,"Falta fecha",EDATE(MAX(N53,O53),IF(Z53="Alto",CONFIG!$B$18,IF(Z53="Medio",CONFIG!$B$17,CONFIG!$B$16)))))</f>
        <v/>
      </c>
      <c r="AC53" s="23" t="str">
        <f aca="false">IF(A53="","",IF(ISNUMBER(S53),EDATE(S53,12),IF(ISNUMBER(N53),EDATE(N53,12),"Falta fecha")))</f>
        <v/>
      </c>
      <c r="AD53" s="26" t="str">
        <f aca="false">IF(A53="","",MID(IF(P53&lt;&gt;"Sí"," · Expediente incompleto","")&amp;IF(OR(Q53="",Q53="Pendiente")," · Falta el Beneficiario Controlador","")&amp;IF(M53=""," · Sin perfil transaccional","")&amp;IF(AND(ISNUMBER(AB53),AB53&lt;CONFIG!$B$6)," · Evaluación de riesgo vencida","")&amp;IF(AND(ISNUMBER(AC53),AC53&lt;CONFIG!$B$6)," · Verificación anual vencida","")&amp;IF(AND(ISNUMBER(R53),ISNUMBER(S53),S53-R53&gt;92)," · Comprobante de domicilio con más de 3 meses","")&amp;IF(AND(T53&lt;&gt;"",U53="")," · Ajuste del REC sin justificación",""),4,400))</f>
        <v/>
      </c>
      <c r="AE53" s="9" t="str">
        <f aca="false">IF(A53="","",IF(AD53="","Al día","Revisar"))</f>
        <v/>
      </c>
      <c r="AF53" s="9" t="str">
        <f aca="false">IF(A53="","",COUNTIF(OPERACIONES!$C$6:$C$505,A53)&amp;" / $"&amp;FIXED(SUMIF(OPERACIONES!$C$6:$C$505,A53,OPERACIONES!$E$6:$E$505),0))</f>
        <v/>
      </c>
    </row>
    <row r="54" customFormat="false" ht="15" hidden="false" customHeight="false" outlineLevel="0" collapsed="false">
      <c r="A54" s="21"/>
      <c r="B54" s="21"/>
      <c r="C54" s="21"/>
      <c r="D54" s="21"/>
      <c r="E54" s="21"/>
      <c r="F54" s="21"/>
      <c r="G54" s="21"/>
      <c r="H54" s="21"/>
      <c r="I54" s="21"/>
      <c r="J54" s="21"/>
      <c r="K54" s="21"/>
      <c r="L54" s="21"/>
      <c r="M54" s="22"/>
      <c r="N54" s="20"/>
      <c r="O54" s="20"/>
      <c r="P54" s="21"/>
      <c r="Q54" s="21"/>
      <c r="R54" s="20"/>
      <c r="S54" s="20"/>
      <c r="T54" s="21"/>
      <c r="U54" s="21"/>
      <c r="V54" s="9" t="str">
        <f aca="false">IF(A54="","",SUMIFS(CONFIG!$F$5:$F$26,CONFIG!$D$5:$D$26,"Tipo de persona",CONFIG!$E$5:$E$26,C54)+SUMIFS(CONFIG!$F$5:$F$26,CONFIG!$D$5:$D$26,"Residencia",CONFIG!$E$5:$E$26,E54)+SUMIFS(CONFIG!$F$5:$F$26,CONFIG!$D$5:$D$26,"Nacionalidad",CONFIG!$E$5:$E$26,F54)+SUMIFS(CONFIG!$F$5:$F$26,CONFIG!$D$5:$D$26,"Jurisdicción de riesgo",CONFIG!$E$5:$E$26,G54)+SUMIFS(CONFIG!$F$5:$F$26,CONFIG!$D$5:$D$26,"PEP",CONFIG!$E$5:$E$26,H54)+SUMIFS(CONFIG!$F$5:$F$26,CONFIG!$D$5:$D$26,"En listas",CONFIG!$E$5:$E$26,I54)+SUMIFS(CONFIG!$F$5:$F$26,CONFIG!$D$5:$D$26,"Riesgo de su actividad económica",CONFIG!$E$5:$E$26,J54)+SUMIFS(CONFIG!$F$5:$F$26,CONFIG!$D$5:$D$26,"Canal",CONFIG!$E$5:$E$26,K54)+SUMIFS(CONFIG!$F$5:$F$26,CONFIG!$D$5:$D$26,"Origen de recursos documentado",CONFIG!$E$5:$E$26,L54))</f>
        <v/>
      </c>
      <c r="W54" s="9" t="str">
        <f aca="false">IF(A54="","",IF(SUMIF(OPERACIONES!$C$6:$C$505,A54,OPERACIONES!$E$6:$E$505)&gt;0,IF(SUMIF(OPERACIONES!$C$6:$C$505,A54,OPERACIONES!$F$6:$F$505)/SUMIF(OPERACIONES!$C$6:$C$505,A54,OPERACIONES!$E$6:$E$505)&gt;0.5,CONFIG!$B$20,IF(SUMIF(OPERACIONES!$C$6:$C$505,A54,OPERACIONES!$F$6:$F$505)&gt;0,CONFIG!$B$21,0)),0)+IF(COUNTIFS(OPERACIONES!$C$6:$C$505,A54,OPERACIONES!$AQ$6:$AQ$505,1)&gt;0,CONFIG!$B$22,0)+IF(COUNTIFS(OPERACIONES!$C$6:$C$505,A54,OPERACIONES!$H$6:$H$505,"Sí")&gt;0,CONFIG!$B$23,0))</f>
        <v/>
      </c>
      <c r="X54" s="9" t="str">
        <f aca="false">IF(A54="","",V54+W54)</f>
        <v/>
      </c>
      <c r="Y54" s="9" t="str">
        <f aca="false">IF(A54="","",IF(X54&lt;=CONFIG!$B$13,"Bajo",IF(X54&lt;=CONFIG!$B$14,"Medio","Alto")))</f>
        <v/>
      </c>
      <c r="Z54" s="25" t="str">
        <f aca="false">IF(A54="","",IF(OR(H54="Extranjera",AND(E54="No residente",G54="Sí"),I54="Sí"),"Alto",IF(T54&lt;&gt;"",T54,Y54)))</f>
        <v/>
      </c>
      <c r="AA54" s="26" t="str">
        <f aca="false">IF(A54="","",IF(H54="Extranjera","Alto obligatorio: PEP extranjera (RCG 23 Bis 4)",IF(AND(E54="No residente",G54="Sí"),"Alto obligatorio: no residente vinculado a jurisdicción de riesgo (RCG 23 Bis 4)",IF(I54="Sí","Alto por criterio: persona en listas. Evalúa no operar y Aviso de 24 h",IF(T54&lt;&gt;"","Ajuste del REC: "&amp;U54,"Modelo: "&amp;X54&amp;" puntos")))))</f>
        <v/>
      </c>
      <c r="AB54" s="23" t="str">
        <f aca="false">IF(A54="","",IF(COUNT(N54,O54)=0,"Falta fecha",EDATE(MAX(N54,O54),IF(Z54="Alto",CONFIG!$B$18,IF(Z54="Medio",CONFIG!$B$17,CONFIG!$B$16)))))</f>
        <v/>
      </c>
      <c r="AC54" s="23" t="str">
        <f aca="false">IF(A54="","",IF(ISNUMBER(S54),EDATE(S54,12),IF(ISNUMBER(N54),EDATE(N54,12),"Falta fecha")))</f>
        <v/>
      </c>
      <c r="AD54" s="26" t="str">
        <f aca="false">IF(A54="","",MID(IF(P54&lt;&gt;"Sí"," · Expediente incompleto","")&amp;IF(OR(Q54="",Q54="Pendiente")," · Falta el Beneficiario Controlador","")&amp;IF(M54=""," · Sin perfil transaccional","")&amp;IF(AND(ISNUMBER(AB54),AB54&lt;CONFIG!$B$6)," · Evaluación de riesgo vencida","")&amp;IF(AND(ISNUMBER(AC54),AC54&lt;CONFIG!$B$6)," · Verificación anual vencida","")&amp;IF(AND(ISNUMBER(R54),ISNUMBER(S54),S54-R54&gt;92)," · Comprobante de domicilio con más de 3 meses","")&amp;IF(AND(T54&lt;&gt;"",U54="")," · Ajuste del REC sin justificación",""),4,400))</f>
        <v/>
      </c>
      <c r="AE54" s="9" t="str">
        <f aca="false">IF(A54="","",IF(AD54="","Al día","Revisar"))</f>
        <v/>
      </c>
      <c r="AF54" s="9" t="str">
        <f aca="false">IF(A54="","",COUNTIF(OPERACIONES!$C$6:$C$505,A54)&amp;" / $"&amp;FIXED(SUMIF(OPERACIONES!$C$6:$C$505,A54,OPERACIONES!$E$6:$E$505),0))</f>
        <v/>
      </c>
    </row>
    <row r="55" customFormat="false" ht="15" hidden="false" customHeight="false" outlineLevel="0" collapsed="false">
      <c r="A55" s="21"/>
      <c r="B55" s="21"/>
      <c r="C55" s="21"/>
      <c r="D55" s="21"/>
      <c r="E55" s="21"/>
      <c r="F55" s="21"/>
      <c r="G55" s="21"/>
      <c r="H55" s="21"/>
      <c r="I55" s="21"/>
      <c r="J55" s="21"/>
      <c r="K55" s="21"/>
      <c r="L55" s="21"/>
      <c r="M55" s="22"/>
      <c r="N55" s="20"/>
      <c r="O55" s="20"/>
      <c r="P55" s="21"/>
      <c r="Q55" s="21"/>
      <c r="R55" s="20"/>
      <c r="S55" s="20"/>
      <c r="T55" s="21"/>
      <c r="U55" s="21"/>
      <c r="V55" s="9" t="str">
        <f aca="false">IF(A55="","",SUMIFS(CONFIG!$F$5:$F$26,CONFIG!$D$5:$D$26,"Tipo de persona",CONFIG!$E$5:$E$26,C55)+SUMIFS(CONFIG!$F$5:$F$26,CONFIG!$D$5:$D$26,"Residencia",CONFIG!$E$5:$E$26,E55)+SUMIFS(CONFIG!$F$5:$F$26,CONFIG!$D$5:$D$26,"Nacionalidad",CONFIG!$E$5:$E$26,F55)+SUMIFS(CONFIG!$F$5:$F$26,CONFIG!$D$5:$D$26,"Jurisdicción de riesgo",CONFIG!$E$5:$E$26,G55)+SUMIFS(CONFIG!$F$5:$F$26,CONFIG!$D$5:$D$26,"PEP",CONFIG!$E$5:$E$26,H55)+SUMIFS(CONFIG!$F$5:$F$26,CONFIG!$D$5:$D$26,"En listas",CONFIG!$E$5:$E$26,I55)+SUMIFS(CONFIG!$F$5:$F$26,CONFIG!$D$5:$D$26,"Riesgo de su actividad económica",CONFIG!$E$5:$E$26,J55)+SUMIFS(CONFIG!$F$5:$F$26,CONFIG!$D$5:$D$26,"Canal",CONFIG!$E$5:$E$26,K55)+SUMIFS(CONFIG!$F$5:$F$26,CONFIG!$D$5:$D$26,"Origen de recursos documentado",CONFIG!$E$5:$E$26,L55))</f>
        <v/>
      </c>
      <c r="W55" s="9" t="str">
        <f aca="false">IF(A55="","",IF(SUMIF(OPERACIONES!$C$6:$C$505,A55,OPERACIONES!$E$6:$E$505)&gt;0,IF(SUMIF(OPERACIONES!$C$6:$C$505,A55,OPERACIONES!$F$6:$F$505)/SUMIF(OPERACIONES!$C$6:$C$505,A55,OPERACIONES!$E$6:$E$505)&gt;0.5,CONFIG!$B$20,IF(SUMIF(OPERACIONES!$C$6:$C$505,A55,OPERACIONES!$F$6:$F$505)&gt;0,CONFIG!$B$21,0)),0)+IF(COUNTIFS(OPERACIONES!$C$6:$C$505,A55,OPERACIONES!$AQ$6:$AQ$505,1)&gt;0,CONFIG!$B$22,0)+IF(COUNTIFS(OPERACIONES!$C$6:$C$505,A55,OPERACIONES!$H$6:$H$505,"Sí")&gt;0,CONFIG!$B$23,0))</f>
        <v/>
      </c>
      <c r="X55" s="9" t="str">
        <f aca="false">IF(A55="","",V55+W55)</f>
        <v/>
      </c>
      <c r="Y55" s="9" t="str">
        <f aca="false">IF(A55="","",IF(X55&lt;=CONFIG!$B$13,"Bajo",IF(X55&lt;=CONFIG!$B$14,"Medio","Alto")))</f>
        <v/>
      </c>
      <c r="Z55" s="25" t="str">
        <f aca="false">IF(A55="","",IF(OR(H55="Extranjera",AND(E55="No residente",G55="Sí"),I55="Sí"),"Alto",IF(T55&lt;&gt;"",T55,Y55)))</f>
        <v/>
      </c>
      <c r="AA55" s="26" t="str">
        <f aca="false">IF(A55="","",IF(H55="Extranjera","Alto obligatorio: PEP extranjera (RCG 23 Bis 4)",IF(AND(E55="No residente",G55="Sí"),"Alto obligatorio: no residente vinculado a jurisdicción de riesgo (RCG 23 Bis 4)",IF(I55="Sí","Alto por criterio: persona en listas. Evalúa no operar y Aviso de 24 h",IF(T55&lt;&gt;"","Ajuste del REC: "&amp;U55,"Modelo: "&amp;X55&amp;" puntos")))))</f>
        <v/>
      </c>
      <c r="AB55" s="23" t="str">
        <f aca="false">IF(A55="","",IF(COUNT(N55,O55)=0,"Falta fecha",EDATE(MAX(N55,O55),IF(Z55="Alto",CONFIG!$B$18,IF(Z55="Medio",CONFIG!$B$17,CONFIG!$B$16)))))</f>
        <v/>
      </c>
      <c r="AC55" s="23" t="str">
        <f aca="false">IF(A55="","",IF(ISNUMBER(S55),EDATE(S55,12),IF(ISNUMBER(N55),EDATE(N55,12),"Falta fecha")))</f>
        <v/>
      </c>
      <c r="AD55" s="26" t="str">
        <f aca="false">IF(A55="","",MID(IF(P55&lt;&gt;"Sí"," · Expediente incompleto","")&amp;IF(OR(Q55="",Q55="Pendiente")," · Falta el Beneficiario Controlador","")&amp;IF(M55=""," · Sin perfil transaccional","")&amp;IF(AND(ISNUMBER(AB55),AB55&lt;CONFIG!$B$6)," · Evaluación de riesgo vencida","")&amp;IF(AND(ISNUMBER(AC55),AC55&lt;CONFIG!$B$6)," · Verificación anual vencida","")&amp;IF(AND(ISNUMBER(R55),ISNUMBER(S55),S55-R55&gt;92)," · Comprobante de domicilio con más de 3 meses","")&amp;IF(AND(T55&lt;&gt;"",U55="")," · Ajuste del REC sin justificación",""),4,400))</f>
        <v/>
      </c>
      <c r="AE55" s="9" t="str">
        <f aca="false">IF(A55="","",IF(AD55="","Al día","Revisar"))</f>
        <v/>
      </c>
      <c r="AF55" s="9" t="str">
        <f aca="false">IF(A55="","",COUNTIF(OPERACIONES!$C$6:$C$505,A55)&amp;" / $"&amp;FIXED(SUMIF(OPERACIONES!$C$6:$C$505,A55,OPERACIONES!$E$6:$E$505),0))</f>
        <v/>
      </c>
    </row>
    <row r="56" customFormat="false" ht="15" hidden="false" customHeight="false" outlineLevel="0" collapsed="false">
      <c r="A56" s="21"/>
      <c r="B56" s="21"/>
      <c r="C56" s="21"/>
      <c r="D56" s="21"/>
      <c r="E56" s="21"/>
      <c r="F56" s="21"/>
      <c r="G56" s="21"/>
      <c r="H56" s="21"/>
      <c r="I56" s="21"/>
      <c r="J56" s="21"/>
      <c r="K56" s="21"/>
      <c r="L56" s="21"/>
      <c r="M56" s="22"/>
      <c r="N56" s="20"/>
      <c r="O56" s="20"/>
      <c r="P56" s="21"/>
      <c r="Q56" s="21"/>
      <c r="R56" s="20"/>
      <c r="S56" s="20"/>
      <c r="T56" s="21"/>
      <c r="U56" s="21"/>
      <c r="V56" s="9" t="str">
        <f aca="false">IF(A56="","",SUMIFS(CONFIG!$F$5:$F$26,CONFIG!$D$5:$D$26,"Tipo de persona",CONFIG!$E$5:$E$26,C56)+SUMIFS(CONFIG!$F$5:$F$26,CONFIG!$D$5:$D$26,"Residencia",CONFIG!$E$5:$E$26,E56)+SUMIFS(CONFIG!$F$5:$F$26,CONFIG!$D$5:$D$26,"Nacionalidad",CONFIG!$E$5:$E$26,F56)+SUMIFS(CONFIG!$F$5:$F$26,CONFIG!$D$5:$D$26,"Jurisdicción de riesgo",CONFIG!$E$5:$E$26,G56)+SUMIFS(CONFIG!$F$5:$F$26,CONFIG!$D$5:$D$26,"PEP",CONFIG!$E$5:$E$26,H56)+SUMIFS(CONFIG!$F$5:$F$26,CONFIG!$D$5:$D$26,"En listas",CONFIG!$E$5:$E$26,I56)+SUMIFS(CONFIG!$F$5:$F$26,CONFIG!$D$5:$D$26,"Riesgo de su actividad económica",CONFIG!$E$5:$E$26,J56)+SUMIFS(CONFIG!$F$5:$F$26,CONFIG!$D$5:$D$26,"Canal",CONFIG!$E$5:$E$26,K56)+SUMIFS(CONFIG!$F$5:$F$26,CONFIG!$D$5:$D$26,"Origen de recursos documentado",CONFIG!$E$5:$E$26,L56))</f>
        <v/>
      </c>
      <c r="W56" s="9" t="str">
        <f aca="false">IF(A56="","",IF(SUMIF(OPERACIONES!$C$6:$C$505,A56,OPERACIONES!$E$6:$E$505)&gt;0,IF(SUMIF(OPERACIONES!$C$6:$C$505,A56,OPERACIONES!$F$6:$F$505)/SUMIF(OPERACIONES!$C$6:$C$505,A56,OPERACIONES!$E$6:$E$505)&gt;0.5,CONFIG!$B$20,IF(SUMIF(OPERACIONES!$C$6:$C$505,A56,OPERACIONES!$F$6:$F$505)&gt;0,CONFIG!$B$21,0)),0)+IF(COUNTIFS(OPERACIONES!$C$6:$C$505,A56,OPERACIONES!$AQ$6:$AQ$505,1)&gt;0,CONFIG!$B$22,0)+IF(COUNTIFS(OPERACIONES!$C$6:$C$505,A56,OPERACIONES!$H$6:$H$505,"Sí")&gt;0,CONFIG!$B$23,0))</f>
        <v/>
      </c>
      <c r="X56" s="9" t="str">
        <f aca="false">IF(A56="","",V56+W56)</f>
        <v/>
      </c>
      <c r="Y56" s="9" t="str">
        <f aca="false">IF(A56="","",IF(X56&lt;=CONFIG!$B$13,"Bajo",IF(X56&lt;=CONFIG!$B$14,"Medio","Alto")))</f>
        <v/>
      </c>
      <c r="Z56" s="25" t="str">
        <f aca="false">IF(A56="","",IF(OR(H56="Extranjera",AND(E56="No residente",G56="Sí"),I56="Sí"),"Alto",IF(T56&lt;&gt;"",T56,Y56)))</f>
        <v/>
      </c>
      <c r="AA56" s="26" t="str">
        <f aca="false">IF(A56="","",IF(H56="Extranjera","Alto obligatorio: PEP extranjera (RCG 23 Bis 4)",IF(AND(E56="No residente",G56="Sí"),"Alto obligatorio: no residente vinculado a jurisdicción de riesgo (RCG 23 Bis 4)",IF(I56="Sí","Alto por criterio: persona en listas. Evalúa no operar y Aviso de 24 h",IF(T56&lt;&gt;"","Ajuste del REC: "&amp;U56,"Modelo: "&amp;X56&amp;" puntos")))))</f>
        <v/>
      </c>
      <c r="AB56" s="23" t="str">
        <f aca="false">IF(A56="","",IF(COUNT(N56,O56)=0,"Falta fecha",EDATE(MAX(N56,O56),IF(Z56="Alto",CONFIG!$B$18,IF(Z56="Medio",CONFIG!$B$17,CONFIG!$B$16)))))</f>
        <v/>
      </c>
      <c r="AC56" s="23" t="str">
        <f aca="false">IF(A56="","",IF(ISNUMBER(S56),EDATE(S56,12),IF(ISNUMBER(N56),EDATE(N56,12),"Falta fecha")))</f>
        <v/>
      </c>
      <c r="AD56" s="26" t="str">
        <f aca="false">IF(A56="","",MID(IF(P56&lt;&gt;"Sí"," · Expediente incompleto","")&amp;IF(OR(Q56="",Q56="Pendiente")," · Falta el Beneficiario Controlador","")&amp;IF(M56=""," · Sin perfil transaccional","")&amp;IF(AND(ISNUMBER(AB56),AB56&lt;CONFIG!$B$6)," · Evaluación de riesgo vencida","")&amp;IF(AND(ISNUMBER(AC56),AC56&lt;CONFIG!$B$6)," · Verificación anual vencida","")&amp;IF(AND(ISNUMBER(R56),ISNUMBER(S56),S56-R56&gt;92)," · Comprobante de domicilio con más de 3 meses","")&amp;IF(AND(T56&lt;&gt;"",U56="")," · Ajuste del REC sin justificación",""),4,400))</f>
        <v/>
      </c>
      <c r="AE56" s="9" t="str">
        <f aca="false">IF(A56="","",IF(AD56="","Al día","Revisar"))</f>
        <v/>
      </c>
      <c r="AF56" s="9" t="str">
        <f aca="false">IF(A56="","",COUNTIF(OPERACIONES!$C$6:$C$505,A56)&amp;" / $"&amp;FIXED(SUMIF(OPERACIONES!$C$6:$C$505,A56,OPERACIONES!$E$6:$E$505),0))</f>
        <v/>
      </c>
    </row>
    <row r="57" customFormat="false" ht="15" hidden="false" customHeight="false" outlineLevel="0" collapsed="false">
      <c r="A57" s="21"/>
      <c r="B57" s="21"/>
      <c r="C57" s="21"/>
      <c r="D57" s="21"/>
      <c r="E57" s="21"/>
      <c r="F57" s="21"/>
      <c r="G57" s="21"/>
      <c r="H57" s="21"/>
      <c r="I57" s="21"/>
      <c r="J57" s="21"/>
      <c r="K57" s="21"/>
      <c r="L57" s="21"/>
      <c r="M57" s="22"/>
      <c r="N57" s="20"/>
      <c r="O57" s="20"/>
      <c r="P57" s="21"/>
      <c r="Q57" s="21"/>
      <c r="R57" s="20"/>
      <c r="S57" s="20"/>
      <c r="T57" s="21"/>
      <c r="U57" s="21"/>
      <c r="V57" s="9" t="str">
        <f aca="false">IF(A57="","",SUMIFS(CONFIG!$F$5:$F$26,CONFIG!$D$5:$D$26,"Tipo de persona",CONFIG!$E$5:$E$26,C57)+SUMIFS(CONFIG!$F$5:$F$26,CONFIG!$D$5:$D$26,"Residencia",CONFIG!$E$5:$E$26,E57)+SUMIFS(CONFIG!$F$5:$F$26,CONFIG!$D$5:$D$26,"Nacionalidad",CONFIG!$E$5:$E$26,F57)+SUMIFS(CONFIG!$F$5:$F$26,CONFIG!$D$5:$D$26,"Jurisdicción de riesgo",CONFIG!$E$5:$E$26,G57)+SUMIFS(CONFIG!$F$5:$F$26,CONFIG!$D$5:$D$26,"PEP",CONFIG!$E$5:$E$26,H57)+SUMIFS(CONFIG!$F$5:$F$26,CONFIG!$D$5:$D$26,"En listas",CONFIG!$E$5:$E$26,I57)+SUMIFS(CONFIG!$F$5:$F$26,CONFIG!$D$5:$D$26,"Riesgo de su actividad económica",CONFIG!$E$5:$E$26,J57)+SUMIFS(CONFIG!$F$5:$F$26,CONFIG!$D$5:$D$26,"Canal",CONFIG!$E$5:$E$26,K57)+SUMIFS(CONFIG!$F$5:$F$26,CONFIG!$D$5:$D$26,"Origen de recursos documentado",CONFIG!$E$5:$E$26,L57))</f>
        <v/>
      </c>
      <c r="W57" s="9" t="str">
        <f aca="false">IF(A57="","",IF(SUMIF(OPERACIONES!$C$6:$C$505,A57,OPERACIONES!$E$6:$E$505)&gt;0,IF(SUMIF(OPERACIONES!$C$6:$C$505,A57,OPERACIONES!$F$6:$F$505)/SUMIF(OPERACIONES!$C$6:$C$505,A57,OPERACIONES!$E$6:$E$505)&gt;0.5,CONFIG!$B$20,IF(SUMIF(OPERACIONES!$C$6:$C$505,A57,OPERACIONES!$F$6:$F$505)&gt;0,CONFIG!$B$21,0)),0)+IF(COUNTIFS(OPERACIONES!$C$6:$C$505,A57,OPERACIONES!$AQ$6:$AQ$505,1)&gt;0,CONFIG!$B$22,0)+IF(COUNTIFS(OPERACIONES!$C$6:$C$505,A57,OPERACIONES!$H$6:$H$505,"Sí")&gt;0,CONFIG!$B$23,0))</f>
        <v/>
      </c>
      <c r="X57" s="9" t="str">
        <f aca="false">IF(A57="","",V57+W57)</f>
        <v/>
      </c>
      <c r="Y57" s="9" t="str">
        <f aca="false">IF(A57="","",IF(X57&lt;=CONFIG!$B$13,"Bajo",IF(X57&lt;=CONFIG!$B$14,"Medio","Alto")))</f>
        <v/>
      </c>
      <c r="Z57" s="25" t="str">
        <f aca="false">IF(A57="","",IF(OR(H57="Extranjera",AND(E57="No residente",G57="Sí"),I57="Sí"),"Alto",IF(T57&lt;&gt;"",T57,Y57)))</f>
        <v/>
      </c>
      <c r="AA57" s="26" t="str">
        <f aca="false">IF(A57="","",IF(H57="Extranjera","Alto obligatorio: PEP extranjera (RCG 23 Bis 4)",IF(AND(E57="No residente",G57="Sí"),"Alto obligatorio: no residente vinculado a jurisdicción de riesgo (RCG 23 Bis 4)",IF(I57="Sí","Alto por criterio: persona en listas. Evalúa no operar y Aviso de 24 h",IF(T57&lt;&gt;"","Ajuste del REC: "&amp;U57,"Modelo: "&amp;X57&amp;" puntos")))))</f>
        <v/>
      </c>
      <c r="AB57" s="23" t="str">
        <f aca="false">IF(A57="","",IF(COUNT(N57,O57)=0,"Falta fecha",EDATE(MAX(N57,O57),IF(Z57="Alto",CONFIG!$B$18,IF(Z57="Medio",CONFIG!$B$17,CONFIG!$B$16)))))</f>
        <v/>
      </c>
      <c r="AC57" s="23" t="str">
        <f aca="false">IF(A57="","",IF(ISNUMBER(S57),EDATE(S57,12),IF(ISNUMBER(N57),EDATE(N57,12),"Falta fecha")))</f>
        <v/>
      </c>
      <c r="AD57" s="26" t="str">
        <f aca="false">IF(A57="","",MID(IF(P57&lt;&gt;"Sí"," · Expediente incompleto","")&amp;IF(OR(Q57="",Q57="Pendiente")," · Falta el Beneficiario Controlador","")&amp;IF(M57=""," · Sin perfil transaccional","")&amp;IF(AND(ISNUMBER(AB57),AB57&lt;CONFIG!$B$6)," · Evaluación de riesgo vencida","")&amp;IF(AND(ISNUMBER(AC57),AC57&lt;CONFIG!$B$6)," · Verificación anual vencida","")&amp;IF(AND(ISNUMBER(R57),ISNUMBER(S57),S57-R57&gt;92)," · Comprobante de domicilio con más de 3 meses","")&amp;IF(AND(T57&lt;&gt;"",U57="")," · Ajuste del REC sin justificación",""),4,400))</f>
        <v/>
      </c>
      <c r="AE57" s="9" t="str">
        <f aca="false">IF(A57="","",IF(AD57="","Al día","Revisar"))</f>
        <v/>
      </c>
      <c r="AF57" s="9" t="str">
        <f aca="false">IF(A57="","",COUNTIF(OPERACIONES!$C$6:$C$505,A57)&amp;" / $"&amp;FIXED(SUMIF(OPERACIONES!$C$6:$C$505,A57,OPERACIONES!$E$6:$E$505),0))</f>
        <v/>
      </c>
    </row>
    <row r="58" customFormat="false" ht="15" hidden="false" customHeight="false" outlineLevel="0" collapsed="false">
      <c r="A58" s="21"/>
      <c r="B58" s="21"/>
      <c r="C58" s="21"/>
      <c r="D58" s="21"/>
      <c r="E58" s="21"/>
      <c r="F58" s="21"/>
      <c r="G58" s="21"/>
      <c r="H58" s="21"/>
      <c r="I58" s="21"/>
      <c r="J58" s="21"/>
      <c r="K58" s="21"/>
      <c r="L58" s="21"/>
      <c r="M58" s="22"/>
      <c r="N58" s="20"/>
      <c r="O58" s="20"/>
      <c r="P58" s="21"/>
      <c r="Q58" s="21"/>
      <c r="R58" s="20"/>
      <c r="S58" s="20"/>
      <c r="T58" s="21"/>
      <c r="U58" s="21"/>
      <c r="V58" s="9" t="str">
        <f aca="false">IF(A58="","",SUMIFS(CONFIG!$F$5:$F$26,CONFIG!$D$5:$D$26,"Tipo de persona",CONFIG!$E$5:$E$26,C58)+SUMIFS(CONFIG!$F$5:$F$26,CONFIG!$D$5:$D$26,"Residencia",CONFIG!$E$5:$E$26,E58)+SUMIFS(CONFIG!$F$5:$F$26,CONFIG!$D$5:$D$26,"Nacionalidad",CONFIG!$E$5:$E$26,F58)+SUMIFS(CONFIG!$F$5:$F$26,CONFIG!$D$5:$D$26,"Jurisdicción de riesgo",CONFIG!$E$5:$E$26,G58)+SUMIFS(CONFIG!$F$5:$F$26,CONFIG!$D$5:$D$26,"PEP",CONFIG!$E$5:$E$26,H58)+SUMIFS(CONFIG!$F$5:$F$26,CONFIG!$D$5:$D$26,"En listas",CONFIG!$E$5:$E$26,I58)+SUMIFS(CONFIG!$F$5:$F$26,CONFIG!$D$5:$D$26,"Riesgo de su actividad económica",CONFIG!$E$5:$E$26,J58)+SUMIFS(CONFIG!$F$5:$F$26,CONFIG!$D$5:$D$26,"Canal",CONFIG!$E$5:$E$26,K58)+SUMIFS(CONFIG!$F$5:$F$26,CONFIG!$D$5:$D$26,"Origen de recursos documentado",CONFIG!$E$5:$E$26,L58))</f>
        <v/>
      </c>
      <c r="W58" s="9" t="str">
        <f aca="false">IF(A58="","",IF(SUMIF(OPERACIONES!$C$6:$C$505,A58,OPERACIONES!$E$6:$E$505)&gt;0,IF(SUMIF(OPERACIONES!$C$6:$C$505,A58,OPERACIONES!$F$6:$F$505)/SUMIF(OPERACIONES!$C$6:$C$505,A58,OPERACIONES!$E$6:$E$505)&gt;0.5,CONFIG!$B$20,IF(SUMIF(OPERACIONES!$C$6:$C$505,A58,OPERACIONES!$F$6:$F$505)&gt;0,CONFIG!$B$21,0)),0)+IF(COUNTIFS(OPERACIONES!$C$6:$C$505,A58,OPERACIONES!$AQ$6:$AQ$505,1)&gt;0,CONFIG!$B$22,0)+IF(COUNTIFS(OPERACIONES!$C$6:$C$505,A58,OPERACIONES!$H$6:$H$505,"Sí")&gt;0,CONFIG!$B$23,0))</f>
        <v/>
      </c>
      <c r="X58" s="9" t="str">
        <f aca="false">IF(A58="","",V58+W58)</f>
        <v/>
      </c>
      <c r="Y58" s="9" t="str">
        <f aca="false">IF(A58="","",IF(X58&lt;=CONFIG!$B$13,"Bajo",IF(X58&lt;=CONFIG!$B$14,"Medio","Alto")))</f>
        <v/>
      </c>
      <c r="Z58" s="25" t="str">
        <f aca="false">IF(A58="","",IF(OR(H58="Extranjera",AND(E58="No residente",G58="Sí"),I58="Sí"),"Alto",IF(T58&lt;&gt;"",T58,Y58)))</f>
        <v/>
      </c>
      <c r="AA58" s="26" t="str">
        <f aca="false">IF(A58="","",IF(H58="Extranjera","Alto obligatorio: PEP extranjera (RCG 23 Bis 4)",IF(AND(E58="No residente",G58="Sí"),"Alto obligatorio: no residente vinculado a jurisdicción de riesgo (RCG 23 Bis 4)",IF(I58="Sí","Alto por criterio: persona en listas. Evalúa no operar y Aviso de 24 h",IF(T58&lt;&gt;"","Ajuste del REC: "&amp;U58,"Modelo: "&amp;X58&amp;" puntos")))))</f>
        <v/>
      </c>
      <c r="AB58" s="23" t="str">
        <f aca="false">IF(A58="","",IF(COUNT(N58,O58)=0,"Falta fecha",EDATE(MAX(N58,O58),IF(Z58="Alto",CONFIG!$B$18,IF(Z58="Medio",CONFIG!$B$17,CONFIG!$B$16)))))</f>
        <v/>
      </c>
      <c r="AC58" s="23" t="str">
        <f aca="false">IF(A58="","",IF(ISNUMBER(S58),EDATE(S58,12),IF(ISNUMBER(N58),EDATE(N58,12),"Falta fecha")))</f>
        <v/>
      </c>
      <c r="AD58" s="26" t="str">
        <f aca="false">IF(A58="","",MID(IF(P58&lt;&gt;"Sí"," · Expediente incompleto","")&amp;IF(OR(Q58="",Q58="Pendiente")," · Falta el Beneficiario Controlador","")&amp;IF(M58=""," · Sin perfil transaccional","")&amp;IF(AND(ISNUMBER(AB58),AB58&lt;CONFIG!$B$6)," · Evaluación de riesgo vencida","")&amp;IF(AND(ISNUMBER(AC58),AC58&lt;CONFIG!$B$6)," · Verificación anual vencida","")&amp;IF(AND(ISNUMBER(R58),ISNUMBER(S58),S58-R58&gt;92)," · Comprobante de domicilio con más de 3 meses","")&amp;IF(AND(T58&lt;&gt;"",U58="")," · Ajuste del REC sin justificación",""),4,400))</f>
        <v/>
      </c>
      <c r="AE58" s="9" t="str">
        <f aca="false">IF(A58="","",IF(AD58="","Al día","Revisar"))</f>
        <v/>
      </c>
      <c r="AF58" s="9" t="str">
        <f aca="false">IF(A58="","",COUNTIF(OPERACIONES!$C$6:$C$505,A58)&amp;" / $"&amp;FIXED(SUMIF(OPERACIONES!$C$6:$C$505,A58,OPERACIONES!$E$6:$E$505),0))</f>
        <v/>
      </c>
    </row>
    <row r="59" customFormat="false" ht="15" hidden="false" customHeight="false" outlineLevel="0" collapsed="false">
      <c r="A59" s="21"/>
      <c r="B59" s="21"/>
      <c r="C59" s="21"/>
      <c r="D59" s="21"/>
      <c r="E59" s="21"/>
      <c r="F59" s="21"/>
      <c r="G59" s="21"/>
      <c r="H59" s="21"/>
      <c r="I59" s="21"/>
      <c r="J59" s="21"/>
      <c r="K59" s="21"/>
      <c r="L59" s="21"/>
      <c r="M59" s="22"/>
      <c r="N59" s="20"/>
      <c r="O59" s="20"/>
      <c r="P59" s="21"/>
      <c r="Q59" s="21"/>
      <c r="R59" s="20"/>
      <c r="S59" s="20"/>
      <c r="T59" s="21"/>
      <c r="U59" s="21"/>
      <c r="V59" s="9" t="str">
        <f aca="false">IF(A59="","",SUMIFS(CONFIG!$F$5:$F$26,CONFIG!$D$5:$D$26,"Tipo de persona",CONFIG!$E$5:$E$26,C59)+SUMIFS(CONFIG!$F$5:$F$26,CONFIG!$D$5:$D$26,"Residencia",CONFIG!$E$5:$E$26,E59)+SUMIFS(CONFIG!$F$5:$F$26,CONFIG!$D$5:$D$26,"Nacionalidad",CONFIG!$E$5:$E$26,F59)+SUMIFS(CONFIG!$F$5:$F$26,CONFIG!$D$5:$D$26,"Jurisdicción de riesgo",CONFIG!$E$5:$E$26,G59)+SUMIFS(CONFIG!$F$5:$F$26,CONFIG!$D$5:$D$26,"PEP",CONFIG!$E$5:$E$26,H59)+SUMIFS(CONFIG!$F$5:$F$26,CONFIG!$D$5:$D$26,"En listas",CONFIG!$E$5:$E$26,I59)+SUMIFS(CONFIG!$F$5:$F$26,CONFIG!$D$5:$D$26,"Riesgo de su actividad económica",CONFIG!$E$5:$E$26,J59)+SUMIFS(CONFIG!$F$5:$F$26,CONFIG!$D$5:$D$26,"Canal",CONFIG!$E$5:$E$26,K59)+SUMIFS(CONFIG!$F$5:$F$26,CONFIG!$D$5:$D$26,"Origen de recursos documentado",CONFIG!$E$5:$E$26,L59))</f>
        <v/>
      </c>
      <c r="W59" s="9" t="str">
        <f aca="false">IF(A59="","",IF(SUMIF(OPERACIONES!$C$6:$C$505,A59,OPERACIONES!$E$6:$E$505)&gt;0,IF(SUMIF(OPERACIONES!$C$6:$C$505,A59,OPERACIONES!$F$6:$F$505)/SUMIF(OPERACIONES!$C$6:$C$505,A59,OPERACIONES!$E$6:$E$505)&gt;0.5,CONFIG!$B$20,IF(SUMIF(OPERACIONES!$C$6:$C$505,A59,OPERACIONES!$F$6:$F$505)&gt;0,CONFIG!$B$21,0)),0)+IF(COUNTIFS(OPERACIONES!$C$6:$C$505,A59,OPERACIONES!$AQ$6:$AQ$505,1)&gt;0,CONFIG!$B$22,0)+IF(COUNTIFS(OPERACIONES!$C$6:$C$505,A59,OPERACIONES!$H$6:$H$505,"Sí")&gt;0,CONFIG!$B$23,0))</f>
        <v/>
      </c>
      <c r="X59" s="9" t="str">
        <f aca="false">IF(A59="","",V59+W59)</f>
        <v/>
      </c>
      <c r="Y59" s="9" t="str">
        <f aca="false">IF(A59="","",IF(X59&lt;=CONFIG!$B$13,"Bajo",IF(X59&lt;=CONFIG!$B$14,"Medio","Alto")))</f>
        <v/>
      </c>
      <c r="Z59" s="25" t="str">
        <f aca="false">IF(A59="","",IF(OR(H59="Extranjera",AND(E59="No residente",G59="Sí"),I59="Sí"),"Alto",IF(T59&lt;&gt;"",T59,Y59)))</f>
        <v/>
      </c>
      <c r="AA59" s="26" t="str">
        <f aca="false">IF(A59="","",IF(H59="Extranjera","Alto obligatorio: PEP extranjera (RCG 23 Bis 4)",IF(AND(E59="No residente",G59="Sí"),"Alto obligatorio: no residente vinculado a jurisdicción de riesgo (RCG 23 Bis 4)",IF(I59="Sí","Alto por criterio: persona en listas. Evalúa no operar y Aviso de 24 h",IF(T59&lt;&gt;"","Ajuste del REC: "&amp;U59,"Modelo: "&amp;X59&amp;" puntos")))))</f>
        <v/>
      </c>
      <c r="AB59" s="23" t="str">
        <f aca="false">IF(A59="","",IF(COUNT(N59,O59)=0,"Falta fecha",EDATE(MAX(N59,O59),IF(Z59="Alto",CONFIG!$B$18,IF(Z59="Medio",CONFIG!$B$17,CONFIG!$B$16)))))</f>
        <v/>
      </c>
      <c r="AC59" s="23" t="str">
        <f aca="false">IF(A59="","",IF(ISNUMBER(S59),EDATE(S59,12),IF(ISNUMBER(N59),EDATE(N59,12),"Falta fecha")))</f>
        <v/>
      </c>
      <c r="AD59" s="26" t="str">
        <f aca="false">IF(A59="","",MID(IF(P59&lt;&gt;"Sí"," · Expediente incompleto","")&amp;IF(OR(Q59="",Q59="Pendiente")," · Falta el Beneficiario Controlador","")&amp;IF(M59=""," · Sin perfil transaccional","")&amp;IF(AND(ISNUMBER(AB59),AB59&lt;CONFIG!$B$6)," · Evaluación de riesgo vencida","")&amp;IF(AND(ISNUMBER(AC59),AC59&lt;CONFIG!$B$6)," · Verificación anual vencida","")&amp;IF(AND(ISNUMBER(R59),ISNUMBER(S59),S59-R59&gt;92)," · Comprobante de domicilio con más de 3 meses","")&amp;IF(AND(T59&lt;&gt;"",U59="")," · Ajuste del REC sin justificación",""),4,400))</f>
        <v/>
      </c>
      <c r="AE59" s="9" t="str">
        <f aca="false">IF(A59="","",IF(AD59="","Al día","Revisar"))</f>
        <v/>
      </c>
      <c r="AF59" s="9" t="str">
        <f aca="false">IF(A59="","",COUNTIF(OPERACIONES!$C$6:$C$505,A59)&amp;" / $"&amp;FIXED(SUMIF(OPERACIONES!$C$6:$C$505,A59,OPERACIONES!$E$6:$E$505),0))</f>
        <v/>
      </c>
    </row>
    <row r="60" customFormat="false" ht="15" hidden="false" customHeight="false" outlineLevel="0" collapsed="false">
      <c r="A60" s="21"/>
      <c r="B60" s="21"/>
      <c r="C60" s="21"/>
      <c r="D60" s="21"/>
      <c r="E60" s="21"/>
      <c r="F60" s="21"/>
      <c r="G60" s="21"/>
      <c r="H60" s="21"/>
      <c r="I60" s="21"/>
      <c r="J60" s="21"/>
      <c r="K60" s="21"/>
      <c r="L60" s="21"/>
      <c r="M60" s="22"/>
      <c r="N60" s="20"/>
      <c r="O60" s="20"/>
      <c r="P60" s="21"/>
      <c r="Q60" s="21"/>
      <c r="R60" s="20"/>
      <c r="S60" s="20"/>
      <c r="T60" s="21"/>
      <c r="U60" s="21"/>
      <c r="V60" s="9" t="str">
        <f aca="false">IF(A60="","",SUMIFS(CONFIG!$F$5:$F$26,CONFIG!$D$5:$D$26,"Tipo de persona",CONFIG!$E$5:$E$26,C60)+SUMIFS(CONFIG!$F$5:$F$26,CONFIG!$D$5:$D$26,"Residencia",CONFIG!$E$5:$E$26,E60)+SUMIFS(CONFIG!$F$5:$F$26,CONFIG!$D$5:$D$26,"Nacionalidad",CONFIG!$E$5:$E$26,F60)+SUMIFS(CONFIG!$F$5:$F$26,CONFIG!$D$5:$D$26,"Jurisdicción de riesgo",CONFIG!$E$5:$E$26,G60)+SUMIFS(CONFIG!$F$5:$F$26,CONFIG!$D$5:$D$26,"PEP",CONFIG!$E$5:$E$26,H60)+SUMIFS(CONFIG!$F$5:$F$26,CONFIG!$D$5:$D$26,"En listas",CONFIG!$E$5:$E$26,I60)+SUMIFS(CONFIG!$F$5:$F$26,CONFIG!$D$5:$D$26,"Riesgo de su actividad económica",CONFIG!$E$5:$E$26,J60)+SUMIFS(CONFIG!$F$5:$F$26,CONFIG!$D$5:$D$26,"Canal",CONFIG!$E$5:$E$26,K60)+SUMIFS(CONFIG!$F$5:$F$26,CONFIG!$D$5:$D$26,"Origen de recursos documentado",CONFIG!$E$5:$E$26,L60))</f>
        <v/>
      </c>
      <c r="W60" s="9" t="str">
        <f aca="false">IF(A60="","",IF(SUMIF(OPERACIONES!$C$6:$C$505,A60,OPERACIONES!$E$6:$E$505)&gt;0,IF(SUMIF(OPERACIONES!$C$6:$C$505,A60,OPERACIONES!$F$6:$F$505)/SUMIF(OPERACIONES!$C$6:$C$505,A60,OPERACIONES!$E$6:$E$505)&gt;0.5,CONFIG!$B$20,IF(SUMIF(OPERACIONES!$C$6:$C$505,A60,OPERACIONES!$F$6:$F$505)&gt;0,CONFIG!$B$21,0)),0)+IF(COUNTIFS(OPERACIONES!$C$6:$C$505,A60,OPERACIONES!$AQ$6:$AQ$505,1)&gt;0,CONFIG!$B$22,0)+IF(COUNTIFS(OPERACIONES!$C$6:$C$505,A60,OPERACIONES!$H$6:$H$505,"Sí")&gt;0,CONFIG!$B$23,0))</f>
        <v/>
      </c>
      <c r="X60" s="9" t="str">
        <f aca="false">IF(A60="","",V60+W60)</f>
        <v/>
      </c>
      <c r="Y60" s="9" t="str">
        <f aca="false">IF(A60="","",IF(X60&lt;=CONFIG!$B$13,"Bajo",IF(X60&lt;=CONFIG!$B$14,"Medio","Alto")))</f>
        <v/>
      </c>
      <c r="Z60" s="25" t="str">
        <f aca="false">IF(A60="","",IF(OR(H60="Extranjera",AND(E60="No residente",G60="Sí"),I60="Sí"),"Alto",IF(T60&lt;&gt;"",T60,Y60)))</f>
        <v/>
      </c>
      <c r="AA60" s="26" t="str">
        <f aca="false">IF(A60="","",IF(H60="Extranjera","Alto obligatorio: PEP extranjera (RCG 23 Bis 4)",IF(AND(E60="No residente",G60="Sí"),"Alto obligatorio: no residente vinculado a jurisdicción de riesgo (RCG 23 Bis 4)",IF(I60="Sí","Alto por criterio: persona en listas. Evalúa no operar y Aviso de 24 h",IF(T60&lt;&gt;"","Ajuste del REC: "&amp;U60,"Modelo: "&amp;X60&amp;" puntos")))))</f>
        <v/>
      </c>
      <c r="AB60" s="23" t="str">
        <f aca="false">IF(A60="","",IF(COUNT(N60,O60)=0,"Falta fecha",EDATE(MAX(N60,O60),IF(Z60="Alto",CONFIG!$B$18,IF(Z60="Medio",CONFIG!$B$17,CONFIG!$B$16)))))</f>
        <v/>
      </c>
      <c r="AC60" s="23" t="str">
        <f aca="false">IF(A60="","",IF(ISNUMBER(S60),EDATE(S60,12),IF(ISNUMBER(N60),EDATE(N60,12),"Falta fecha")))</f>
        <v/>
      </c>
      <c r="AD60" s="26" t="str">
        <f aca="false">IF(A60="","",MID(IF(P60&lt;&gt;"Sí"," · Expediente incompleto","")&amp;IF(OR(Q60="",Q60="Pendiente")," · Falta el Beneficiario Controlador","")&amp;IF(M60=""," · Sin perfil transaccional","")&amp;IF(AND(ISNUMBER(AB60),AB60&lt;CONFIG!$B$6)," · Evaluación de riesgo vencida","")&amp;IF(AND(ISNUMBER(AC60),AC60&lt;CONFIG!$B$6)," · Verificación anual vencida","")&amp;IF(AND(ISNUMBER(R60),ISNUMBER(S60),S60-R60&gt;92)," · Comprobante de domicilio con más de 3 meses","")&amp;IF(AND(T60&lt;&gt;"",U60="")," · Ajuste del REC sin justificación",""),4,400))</f>
        <v/>
      </c>
      <c r="AE60" s="9" t="str">
        <f aca="false">IF(A60="","",IF(AD60="","Al día","Revisar"))</f>
        <v/>
      </c>
      <c r="AF60" s="9" t="str">
        <f aca="false">IF(A60="","",COUNTIF(OPERACIONES!$C$6:$C$505,A60)&amp;" / $"&amp;FIXED(SUMIF(OPERACIONES!$C$6:$C$505,A60,OPERACIONES!$E$6:$E$505),0))</f>
        <v/>
      </c>
    </row>
    <row r="61" customFormat="false" ht="15" hidden="false" customHeight="false" outlineLevel="0" collapsed="false">
      <c r="A61" s="21"/>
      <c r="B61" s="21"/>
      <c r="C61" s="21"/>
      <c r="D61" s="21"/>
      <c r="E61" s="21"/>
      <c r="F61" s="21"/>
      <c r="G61" s="21"/>
      <c r="H61" s="21"/>
      <c r="I61" s="21"/>
      <c r="J61" s="21"/>
      <c r="K61" s="21"/>
      <c r="L61" s="21"/>
      <c r="M61" s="22"/>
      <c r="N61" s="20"/>
      <c r="O61" s="20"/>
      <c r="P61" s="21"/>
      <c r="Q61" s="21"/>
      <c r="R61" s="20"/>
      <c r="S61" s="20"/>
      <c r="T61" s="21"/>
      <c r="U61" s="21"/>
      <c r="V61" s="9" t="str">
        <f aca="false">IF(A61="","",SUMIFS(CONFIG!$F$5:$F$26,CONFIG!$D$5:$D$26,"Tipo de persona",CONFIG!$E$5:$E$26,C61)+SUMIFS(CONFIG!$F$5:$F$26,CONFIG!$D$5:$D$26,"Residencia",CONFIG!$E$5:$E$26,E61)+SUMIFS(CONFIG!$F$5:$F$26,CONFIG!$D$5:$D$26,"Nacionalidad",CONFIG!$E$5:$E$26,F61)+SUMIFS(CONFIG!$F$5:$F$26,CONFIG!$D$5:$D$26,"Jurisdicción de riesgo",CONFIG!$E$5:$E$26,G61)+SUMIFS(CONFIG!$F$5:$F$26,CONFIG!$D$5:$D$26,"PEP",CONFIG!$E$5:$E$26,H61)+SUMIFS(CONFIG!$F$5:$F$26,CONFIG!$D$5:$D$26,"En listas",CONFIG!$E$5:$E$26,I61)+SUMIFS(CONFIG!$F$5:$F$26,CONFIG!$D$5:$D$26,"Riesgo de su actividad económica",CONFIG!$E$5:$E$26,J61)+SUMIFS(CONFIG!$F$5:$F$26,CONFIG!$D$5:$D$26,"Canal",CONFIG!$E$5:$E$26,K61)+SUMIFS(CONFIG!$F$5:$F$26,CONFIG!$D$5:$D$26,"Origen de recursos documentado",CONFIG!$E$5:$E$26,L61))</f>
        <v/>
      </c>
      <c r="W61" s="9" t="str">
        <f aca="false">IF(A61="","",IF(SUMIF(OPERACIONES!$C$6:$C$505,A61,OPERACIONES!$E$6:$E$505)&gt;0,IF(SUMIF(OPERACIONES!$C$6:$C$505,A61,OPERACIONES!$F$6:$F$505)/SUMIF(OPERACIONES!$C$6:$C$505,A61,OPERACIONES!$E$6:$E$505)&gt;0.5,CONFIG!$B$20,IF(SUMIF(OPERACIONES!$C$6:$C$505,A61,OPERACIONES!$F$6:$F$505)&gt;0,CONFIG!$B$21,0)),0)+IF(COUNTIFS(OPERACIONES!$C$6:$C$505,A61,OPERACIONES!$AQ$6:$AQ$505,1)&gt;0,CONFIG!$B$22,0)+IF(COUNTIFS(OPERACIONES!$C$6:$C$505,A61,OPERACIONES!$H$6:$H$505,"Sí")&gt;0,CONFIG!$B$23,0))</f>
        <v/>
      </c>
      <c r="X61" s="9" t="str">
        <f aca="false">IF(A61="","",V61+W61)</f>
        <v/>
      </c>
      <c r="Y61" s="9" t="str">
        <f aca="false">IF(A61="","",IF(X61&lt;=CONFIG!$B$13,"Bajo",IF(X61&lt;=CONFIG!$B$14,"Medio","Alto")))</f>
        <v/>
      </c>
      <c r="Z61" s="25" t="str">
        <f aca="false">IF(A61="","",IF(OR(H61="Extranjera",AND(E61="No residente",G61="Sí"),I61="Sí"),"Alto",IF(T61&lt;&gt;"",T61,Y61)))</f>
        <v/>
      </c>
      <c r="AA61" s="26" t="str">
        <f aca="false">IF(A61="","",IF(H61="Extranjera","Alto obligatorio: PEP extranjera (RCG 23 Bis 4)",IF(AND(E61="No residente",G61="Sí"),"Alto obligatorio: no residente vinculado a jurisdicción de riesgo (RCG 23 Bis 4)",IF(I61="Sí","Alto por criterio: persona en listas. Evalúa no operar y Aviso de 24 h",IF(T61&lt;&gt;"","Ajuste del REC: "&amp;U61,"Modelo: "&amp;X61&amp;" puntos")))))</f>
        <v/>
      </c>
      <c r="AB61" s="23" t="str">
        <f aca="false">IF(A61="","",IF(COUNT(N61,O61)=0,"Falta fecha",EDATE(MAX(N61,O61),IF(Z61="Alto",CONFIG!$B$18,IF(Z61="Medio",CONFIG!$B$17,CONFIG!$B$16)))))</f>
        <v/>
      </c>
      <c r="AC61" s="23" t="str">
        <f aca="false">IF(A61="","",IF(ISNUMBER(S61),EDATE(S61,12),IF(ISNUMBER(N61),EDATE(N61,12),"Falta fecha")))</f>
        <v/>
      </c>
      <c r="AD61" s="26" t="str">
        <f aca="false">IF(A61="","",MID(IF(P61&lt;&gt;"Sí"," · Expediente incompleto","")&amp;IF(OR(Q61="",Q61="Pendiente")," · Falta el Beneficiario Controlador","")&amp;IF(M61=""," · Sin perfil transaccional","")&amp;IF(AND(ISNUMBER(AB61),AB61&lt;CONFIG!$B$6)," · Evaluación de riesgo vencida","")&amp;IF(AND(ISNUMBER(AC61),AC61&lt;CONFIG!$B$6)," · Verificación anual vencida","")&amp;IF(AND(ISNUMBER(R61),ISNUMBER(S61),S61-R61&gt;92)," · Comprobante de domicilio con más de 3 meses","")&amp;IF(AND(T61&lt;&gt;"",U61="")," · Ajuste del REC sin justificación",""),4,400))</f>
        <v/>
      </c>
      <c r="AE61" s="9" t="str">
        <f aca="false">IF(A61="","",IF(AD61="","Al día","Revisar"))</f>
        <v/>
      </c>
      <c r="AF61" s="9" t="str">
        <f aca="false">IF(A61="","",COUNTIF(OPERACIONES!$C$6:$C$505,A61)&amp;" / $"&amp;FIXED(SUMIF(OPERACIONES!$C$6:$C$505,A61,OPERACIONES!$E$6:$E$505),0))</f>
        <v/>
      </c>
    </row>
    <row r="62" customFormat="false" ht="15" hidden="false" customHeight="false" outlineLevel="0" collapsed="false">
      <c r="A62" s="21"/>
      <c r="B62" s="21"/>
      <c r="C62" s="21"/>
      <c r="D62" s="21"/>
      <c r="E62" s="21"/>
      <c r="F62" s="21"/>
      <c r="G62" s="21"/>
      <c r="H62" s="21"/>
      <c r="I62" s="21"/>
      <c r="J62" s="21"/>
      <c r="K62" s="21"/>
      <c r="L62" s="21"/>
      <c r="M62" s="22"/>
      <c r="N62" s="20"/>
      <c r="O62" s="20"/>
      <c r="P62" s="21"/>
      <c r="Q62" s="21"/>
      <c r="R62" s="20"/>
      <c r="S62" s="20"/>
      <c r="T62" s="21"/>
      <c r="U62" s="21"/>
      <c r="V62" s="9" t="str">
        <f aca="false">IF(A62="","",SUMIFS(CONFIG!$F$5:$F$26,CONFIG!$D$5:$D$26,"Tipo de persona",CONFIG!$E$5:$E$26,C62)+SUMIFS(CONFIG!$F$5:$F$26,CONFIG!$D$5:$D$26,"Residencia",CONFIG!$E$5:$E$26,E62)+SUMIFS(CONFIG!$F$5:$F$26,CONFIG!$D$5:$D$26,"Nacionalidad",CONFIG!$E$5:$E$26,F62)+SUMIFS(CONFIG!$F$5:$F$26,CONFIG!$D$5:$D$26,"Jurisdicción de riesgo",CONFIG!$E$5:$E$26,G62)+SUMIFS(CONFIG!$F$5:$F$26,CONFIG!$D$5:$D$26,"PEP",CONFIG!$E$5:$E$26,H62)+SUMIFS(CONFIG!$F$5:$F$26,CONFIG!$D$5:$D$26,"En listas",CONFIG!$E$5:$E$26,I62)+SUMIFS(CONFIG!$F$5:$F$26,CONFIG!$D$5:$D$26,"Riesgo de su actividad económica",CONFIG!$E$5:$E$26,J62)+SUMIFS(CONFIG!$F$5:$F$26,CONFIG!$D$5:$D$26,"Canal",CONFIG!$E$5:$E$26,K62)+SUMIFS(CONFIG!$F$5:$F$26,CONFIG!$D$5:$D$26,"Origen de recursos documentado",CONFIG!$E$5:$E$26,L62))</f>
        <v/>
      </c>
      <c r="W62" s="9" t="str">
        <f aca="false">IF(A62="","",IF(SUMIF(OPERACIONES!$C$6:$C$505,A62,OPERACIONES!$E$6:$E$505)&gt;0,IF(SUMIF(OPERACIONES!$C$6:$C$505,A62,OPERACIONES!$F$6:$F$505)/SUMIF(OPERACIONES!$C$6:$C$505,A62,OPERACIONES!$E$6:$E$505)&gt;0.5,CONFIG!$B$20,IF(SUMIF(OPERACIONES!$C$6:$C$505,A62,OPERACIONES!$F$6:$F$505)&gt;0,CONFIG!$B$21,0)),0)+IF(COUNTIFS(OPERACIONES!$C$6:$C$505,A62,OPERACIONES!$AQ$6:$AQ$505,1)&gt;0,CONFIG!$B$22,0)+IF(COUNTIFS(OPERACIONES!$C$6:$C$505,A62,OPERACIONES!$H$6:$H$505,"Sí")&gt;0,CONFIG!$B$23,0))</f>
        <v/>
      </c>
      <c r="X62" s="9" t="str">
        <f aca="false">IF(A62="","",V62+W62)</f>
        <v/>
      </c>
      <c r="Y62" s="9" t="str">
        <f aca="false">IF(A62="","",IF(X62&lt;=CONFIG!$B$13,"Bajo",IF(X62&lt;=CONFIG!$B$14,"Medio","Alto")))</f>
        <v/>
      </c>
      <c r="Z62" s="25" t="str">
        <f aca="false">IF(A62="","",IF(OR(H62="Extranjera",AND(E62="No residente",G62="Sí"),I62="Sí"),"Alto",IF(T62&lt;&gt;"",T62,Y62)))</f>
        <v/>
      </c>
      <c r="AA62" s="26" t="str">
        <f aca="false">IF(A62="","",IF(H62="Extranjera","Alto obligatorio: PEP extranjera (RCG 23 Bis 4)",IF(AND(E62="No residente",G62="Sí"),"Alto obligatorio: no residente vinculado a jurisdicción de riesgo (RCG 23 Bis 4)",IF(I62="Sí","Alto por criterio: persona en listas. Evalúa no operar y Aviso de 24 h",IF(T62&lt;&gt;"","Ajuste del REC: "&amp;U62,"Modelo: "&amp;X62&amp;" puntos")))))</f>
        <v/>
      </c>
      <c r="AB62" s="23" t="str">
        <f aca="false">IF(A62="","",IF(COUNT(N62,O62)=0,"Falta fecha",EDATE(MAX(N62,O62),IF(Z62="Alto",CONFIG!$B$18,IF(Z62="Medio",CONFIG!$B$17,CONFIG!$B$16)))))</f>
        <v/>
      </c>
      <c r="AC62" s="23" t="str">
        <f aca="false">IF(A62="","",IF(ISNUMBER(S62),EDATE(S62,12),IF(ISNUMBER(N62),EDATE(N62,12),"Falta fecha")))</f>
        <v/>
      </c>
      <c r="AD62" s="26" t="str">
        <f aca="false">IF(A62="","",MID(IF(P62&lt;&gt;"Sí"," · Expediente incompleto","")&amp;IF(OR(Q62="",Q62="Pendiente")," · Falta el Beneficiario Controlador","")&amp;IF(M62=""," · Sin perfil transaccional","")&amp;IF(AND(ISNUMBER(AB62),AB62&lt;CONFIG!$B$6)," · Evaluación de riesgo vencida","")&amp;IF(AND(ISNUMBER(AC62),AC62&lt;CONFIG!$B$6)," · Verificación anual vencida","")&amp;IF(AND(ISNUMBER(R62),ISNUMBER(S62),S62-R62&gt;92)," · Comprobante de domicilio con más de 3 meses","")&amp;IF(AND(T62&lt;&gt;"",U62="")," · Ajuste del REC sin justificación",""),4,400))</f>
        <v/>
      </c>
      <c r="AE62" s="9" t="str">
        <f aca="false">IF(A62="","",IF(AD62="","Al día","Revisar"))</f>
        <v/>
      </c>
      <c r="AF62" s="9" t="str">
        <f aca="false">IF(A62="","",COUNTIF(OPERACIONES!$C$6:$C$505,A62)&amp;" / $"&amp;FIXED(SUMIF(OPERACIONES!$C$6:$C$505,A62,OPERACIONES!$E$6:$E$505),0))</f>
        <v/>
      </c>
    </row>
    <row r="63" customFormat="false" ht="15" hidden="false" customHeight="false" outlineLevel="0" collapsed="false">
      <c r="A63" s="21"/>
      <c r="B63" s="21"/>
      <c r="C63" s="21"/>
      <c r="D63" s="21"/>
      <c r="E63" s="21"/>
      <c r="F63" s="21"/>
      <c r="G63" s="21"/>
      <c r="H63" s="21"/>
      <c r="I63" s="21"/>
      <c r="J63" s="21"/>
      <c r="K63" s="21"/>
      <c r="L63" s="21"/>
      <c r="M63" s="22"/>
      <c r="N63" s="20"/>
      <c r="O63" s="20"/>
      <c r="P63" s="21"/>
      <c r="Q63" s="21"/>
      <c r="R63" s="20"/>
      <c r="S63" s="20"/>
      <c r="T63" s="21"/>
      <c r="U63" s="21"/>
      <c r="V63" s="9" t="str">
        <f aca="false">IF(A63="","",SUMIFS(CONFIG!$F$5:$F$26,CONFIG!$D$5:$D$26,"Tipo de persona",CONFIG!$E$5:$E$26,C63)+SUMIFS(CONFIG!$F$5:$F$26,CONFIG!$D$5:$D$26,"Residencia",CONFIG!$E$5:$E$26,E63)+SUMIFS(CONFIG!$F$5:$F$26,CONFIG!$D$5:$D$26,"Nacionalidad",CONFIG!$E$5:$E$26,F63)+SUMIFS(CONFIG!$F$5:$F$26,CONFIG!$D$5:$D$26,"Jurisdicción de riesgo",CONFIG!$E$5:$E$26,G63)+SUMIFS(CONFIG!$F$5:$F$26,CONFIG!$D$5:$D$26,"PEP",CONFIG!$E$5:$E$26,H63)+SUMIFS(CONFIG!$F$5:$F$26,CONFIG!$D$5:$D$26,"En listas",CONFIG!$E$5:$E$26,I63)+SUMIFS(CONFIG!$F$5:$F$26,CONFIG!$D$5:$D$26,"Riesgo de su actividad económica",CONFIG!$E$5:$E$26,J63)+SUMIFS(CONFIG!$F$5:$F$26,CONFIG!$D$5:$D$26,"Canal",CONFIG!$E$5:$E$26,K63)+SUMIFS(CONFIG!$F$5:$F$26,CONFIG!$D$5:$D$26,"Origen de recursos documentado",CONFIG!$E$5:$E$26,L63))</f>
        <v/>
      </c>
      <c r="W63" s="9" t="str">
        <f aca="false">IF(A63="","",IF(SUMIF(OPERACIONES!$C$6:$C$505,A63,OPERACIONES!$E$6:$E$505)&gt;0,IF(SUMIF(OPERACIONES!$C$6:$C$505,A63,OPERACIONES!$F$6:$F$505)/SUMIF(OPERACIONES!$C$6:$C$505,A63,OPERACIONES!$E$6:$E$505)&gt;0.5,CONFIG!$B$20,IF(SUMIF(OPERACIONES!$C$6:$C$505,A63,OPERACIONES!$F$6:$F$505)&gt;0,CONFIG!$B$21,0)),0)+IF(COUNTIFS(OPERACIONES!$C$6:$C$505,A63,OPERACIONES!$AQ$6:$AQ$505,1)&gt;0,CONFIG!$B$22,0)+IF(COUNTIFS(OPERACIONES!$C$6:$C$505,A63,OPERACIONES!$H$6:$H$505,"Sí")&gt;0,CONFIG!$B$23,0))</f>
        <v/>
      </c>
      <c r="X63" s="9" t="str">
        <f aca="false">IF(A63="","",V63+W63)</f>
        <v/>
      </c>
      <c r="Y63" s="9" t="str">
        <f aca="false">IF(A63="","",IF(X63&lt;=CONFIG!$B$13,"Bajo",IF(X63&lt;=CONFIG!$B$14,"Medio","Alto")))</f>
        <v/>
      </c>
      <c r="Z63" s="25" t="str">
        <f aca="false">IF(A63="","",IF(OR(H63="Extranjera",AND(E63="No residente",G63="Sí"),I63="Sí"),"Alto",IF(T63&lt;&gt;"",T63,Y63)))</f>
        <v/>
      </c>
      <c r="AA63" s="26" t="str">
        <f aca="false">IF(A63="","",IF(H63="Extranjera","Alto obligatorio: PEP extranjera (RCG 23 Bis 4)",IF(AND(E63="No residente",G63="Sí"),"Alto obligatorio: no residente vinculado a jurisdicción de riesgo (RCG 23 Bis 4)",IF(I63="Sí","Alto por criterio: persona en listas. Evalúa no operar y Aviso de 24 h",IF(T63&lt;&gt;"","Ajuste del REC: "&amp;U63,"Modelo: "&amp;X63&amp;" puntos")))))</f>
        <v/>
      </c>
      <c r="AB63" s="23" t="str">
        <f aca="false">IF(A63="","",IF(COUNT(N63,O63)=0,"Falta fecha",EDATE(MAX(N63,O63),IF(Z63="Alto",CONFIG!$B$18,IF(Z63="Medio",CONFIG!$B$17,CONFIG!$B$16)))))</f>
        <v/>
      </c>
      <c r="AC63" s="23" t="str">
        <f aca="false">IF(A63="","",IF(ISNUMBER(S63),EDATE(S63,12),IF(ISNUMBER(N63),EDATE(N63,12),"Falta fecha")))</f>
        <v/>
      </c>
      <c r="AD63" s="26" t="str">
        <f aca="false">IF(A63="","",MID(IF(P63&lt;&gt;"Sí"," · Expediente incompleto","")&amp;IF(OR(Q63="",Q63="Pendiente")," · Falta el Beneficiario Controlador","")&amp;IF(M63=""," · Sin perfil transaccional","")&amp;IF(AND(ISNUMBER(AB63),AB63&lt;CONFIG!$B$6)," · Evaluación de riesgo vencida","")&amp;IF(AND(ISNUMBER(AC63),AC63&lt;CONFIG!$B$6)," · Verificación anual vencida","")&amp;IF(AND(ISNUMBER(R63),ISNUMBER(S63),S63-R63&gt;92)," · Comprobante de domicilio con más de 3 meses","")&amp;IF(AND(T63&lt;&gt;"",U63="")," · Ajuste del REC sin justificación",""),4,400))</f>
        <v/>
      </c>
      <c r="AE63" s="9" t="str">
        <f aca="false">IF(A63="","",IF(AD63="","Al día","Revisar"))</f>
        <v/>
      </c>
      <c r="AF63" s="9" t="str">
        <f aca="false">IF(A63="","",COUNTIF(OPERACIONES!$C$6:$C$505,A63)&amp;" / $"&amp;FIXED(SUMIF(OPERACIONES!$C$6:$C$505,A63,OPERACIONES!$E$6:$E$505),0))</f>
        <v/>
      </c>
    </row>
    <row r="64" customFormat="false" ht="15" hidden="false" customHeight="false" outlineLevel="0" collapsed="false">
      <c r="A64" s="21"/>
      <c r="B64" s="21"/>
      <c r="C64" s="21"/>
      <c r="D64" s="21"/>
      <c r="E64" s="21"/>
      <c r="F64" s="21"/>
      <c r="G64" s="21"/>
      <c r="H64" s="21"/>
      <c r="I64" s="21"/>
      <c r="J64" s="21"/>
      <c r="K64" s="21"/>
      <c r="L64" s="21"/>
      <c r="M64" s="22"/>
      <c r="N64" s="20"/>
      <c r="O64" s="20"/>
      <c r="P64" s="21"/>
      <c r="Q64" s="21"/>
      <c r="R64" s="20"/>
      <c r="S64" s="20"/>
      <c r="T64" s="21"/>
      <c r="U64" s="21"/>
      <c r="V64" s="9" t="str">
        <f aca="false">IF(A64="","",SUMIFS(CONFIG!$F$5:$F$26,CONFIG!$D$5:$D$26,"Tipo de persona",CONFIG!$E$5:$E$26,C64)+SUMIFS(CONFIG!$F$5:$F$26,CONFIG!$D$5:$D$26,"Residencia",CONFIG!$E$5:$E$26,E64)+SUMIFS(CONFIG!$F$5:$F$26,CONFIG!$D$5:$D$26,"Nacionalidad",CONFIG!$E$5:$E$26,F64)+SUMIFS(CONFIG!$F$5:$F$26,CONFIG!$D$5:$D$26,"Jurisdicción de riesgo",CONFIG!$E$5:$E$26,G64)+SUMIFS(CONFIG!$F$5:$F$26,CONFIG!$D$5:$D$26,"PEP",CONFIG!$E$5:$E$26,H64)+SUMIFS(CONFIG!$F$5:$F$26,CONFIG!$D$5:$D$26,"En listas",CONFIG!$E$5:$E$26,I64)+SUMIFS(CONFIG!$F$5:$F$26,CONFIG!$D$5:$D$26,"Riesgo de su actividad económica",CONFIG!$E$5:$E$26,J64)+SUMIFS(CONFIG!$F$5:$F$26,CONFIG!$D$5:$D$26,"Canal",CONFIG!$E$5:$E$26,K64)+SUMIFS(CONFIG!$F$5:$F$26,CONFIG!$D$5:$D$26,"Origen de recursos documentado",CONFIG!$E$5:$E$26,L64))</f>
        <v/>
      </c>
      <c r="W64" s="9" t="str">
        <f aca="false">IF(A64="","",IF(SUMIF(OPERACIONES!$C$6:$C$505,A64,OPERACIONES!$E$6:$E$505)&gt;0,IF(SUMIF(OPERACIONES!$C$6:$C$505,A64,OPERACIONES!$F$6:$F$505)/SUMIF(OPERACIONES!$C$6:$C$505,A64,OPERACIONES!$E$6:$E$505)&gt;0.5,CONFIG!$B$20,IF(SUMIF(OPERACIONES!$C$6:$C$505,A64,OPERACIONES!$F$6:$F$505)&gt;0,CONFIG!$B$21,0)),0)+IF(COUNTIFS(OPERACIONES!$C$6:$C$505,A64,OPERACIONES!$AQ$6:$AQ$505,1)&gt;0,CONFIG!$B$22,0)+IF(COUNTIFS(OPERACIONES!$C$6:$C$505,A64,OPERACIONES!$H$6:$H$505,"Sí")&gt;0,CONFIG!$B$23,0))</f>
        <v/>
      </c>
      <c r="X64" s="9" t="str">
        <f aca="false">IF(A64="","",V64+W64)</f>
        <v/>
      </c>
      <c r="Y64" s="9" t="str">
        <f aca="false">IF(A64="","",IF(X64&lt;=CONFIG!$B$13,"Bajo",IF(X64&lt;=CONFIG!$B$14,"Medio","Alto")))</f>
        <v/>
      </c>
      <c r="Z64" s="25" t="str">
        <f aca="false">IF(A64="","",IF(OR(H64="Extranjera",AND(E64="No residente",G64="Sí"),I64="Sí"),"Alto",IF(T64&lt;&gt;"",T64,Y64)))</f>
        <v/>
      </c>
      <c r="AA64" s="26" t="str">
        <f aca="false">IF(A64="","",IF(H64="Extranjera","Alto obligatorio: PEP extranjera (RCG 23 Bis 4)",IF(AND(E64="No residente",G64="Sí"),"Alto obligatorio: no residente vinculado a jurisdicción de riesgo (RCG 23 Bis 4)",IF(I64="Sí","Alto por criterio: persona en listas. Evalúa no operar y Aviso de 24 h",IF(T64&lt;&gt;"","Ajuste del REC: "&amp;U64,"Modelo: "&amp;X64&amp;" puntos")))))</f>
        <v/>
      </c>
      <c r="AB64" s="23" t="str">
        <f aca="false">IF(A64="","",IF(COUNT(N64,O64)=0,"Falta fecha",EDATE(MAX(N64,O64),IF(Z64="Alto",CONFIG!$B$18,IF(Z64="Medio",CONFIG!$B$17,CONFIG!$B$16)))))</f>
        <v/>
      </c>
      <c r="AC64" s="23" t="str">
        <f aca="false">IF(A64="","",IF(ISNUMBER(S64),EDATE(S64,12),IF(ISNUMBER(N64),EDATE(N64,12),"Falta fecha")))</f>
        <v/>
      </c>
      <c r="AD64" s="26" t="str">
        <f aca="false">IF(A64="","",MID(IF(P64&lt;&gt;"Sí"," · Expediente incompleto","")&amp;IF(OR(Q64="",Q64="Pendiente")," · Falta el Beneficiario Controlador","")&amp;IF(M64=""," · Sin perfil transaccional","")&amp;IF(AND(ISNUMBER(AB64),AB64&lt;CONFIG!$B$6)," · Evaluación de riesgo vencida","")&amp;IF(AND(ISNUMBER(AC64),AC64&lt;CONFIG!$B$6)," · Verificación anual vencida","")&amp;IF(AND(ISNUMBER(R64),ISNUMBER(S64),S64-R64&gt;92)," · Comprobante de domicilio con más de 3 meses","")&amp;IF(AND(T64&lt;&gt;"",U64="")," · Ajuste del REC sin justificación",""),4,400))</f>
        <v/>
      </c>
      <c r="AE64" s="9" t="str">
        <f aca="false">IF(A64="","",IF(AD64="","Al día","Revisar"))</f>
        <v/>
      </c>
      <c r="AF64" s="9" t="str">
        <f aca="false">IF(A64="","",COUNTIF(OPERACIONES!$C$6:$C$505,A64)&amp;" / $"&amp;FIXED(SUMIF(OPERACIONES!$C$6:$C$505,A64,OPERACIONES!$E$6:$E$505),0))</f>
        <v/>
      </c>
    </row>
    <row r="65" customFormat="false" ht="15" hidden="false" customHeight="false" outlineLevel="0" collapsed="false">
      <c r="A65" s="21"/>
      <c r="B65" s="21"/>
      <c r="C65" s="21"/>
      <c r="D65" s="21"/>
      <c r="E65" s="21"/>
      <c r="F65" s="21"/>
      <c r="G65" s="21"/>
      <c r="H65" s="21"/>
      <c r="I65" s="21"/>
      <c r="J65" s="21"/>
      <c r="K65" s="21"/>
      <c r="L65" s="21"/>
      <c r="M65" s="22"/>
      <c r="N65" s="20"/>
      <c r="O65" s="20"/>
      <c r="P65" s="21"/>
      <c r="Q65" s="21"/>
      <c r="R65" s="20"/>
      <c r="S65" s="20"/>
      <c r="T65" s="21"/>
      <c r="U65" s="21"/>
      <c r="V65" s="9" t="str">
        <f aca="false">IF(A65="","",SUMIFS(CONFIG!$F$5:$F$26,CONFIG!$D$5:$D$26,"Tipo de persona",CONFIG!$E$5:$E$26,C65)+SUMIFS(CONFIG!$F$5:$F$26,CONFIG!$D$5:$D$26,"Residencia",CONFIG!$E$5:$E$26,E65)+SUMIFS(CONFIG!$F$5:$F$26,CONFIG!$D$5:$D$26,"Nacionalidad",CONFIG!$E$5:$E$26,F65)+SUMIFS(CONFIG!$F$5:$F$26,CONFIG!$D$5:$D$26,"Jurisdicción de riesgo",CONFIG!$E$5:$E$26,G65)+SUMIFS(CONFIG!$F$5:$F$26,CONFIG!$D$5:$D$26,"PEP",CONFIG!$E$5:$E$26,H65)+SUMIFS(CONFIG!$F$5:$F$26,CONFIG!$D$5:$D$26,"En listas",CONFIG!$E$5:$E$26,I65)+SUMIFS(CONFIG!$F$5:$F$26,CONFIG!$D$5:$D$26,"Riesgo de su actividad económica",CONFIG!$E$5:$E$26,J65)+SUMIFS(CONFIG!$F$5:$F$26,CONFIG!$D$5:$D$26,"Canal",CONFIG!$E$5:$E$26,K65)+SUMIFS(CONFIG!$F$5:$F$26,CONFIG!$D$5:$D$26,"Origen de recursos documentado",CONFIG!$E$5:$E$26,L65))</f>
        <v/>
      </c>
      <c r="W65" s="9" t="str">
        <f aca="false">IF(A65="","",IF(SUMIF(OPERACIONES!$C$6:$C$505,A65,OPERACIONES!$E$6:$E$505)&gt;0,IF(SUMIF(OPERACIONES!$C$6:$C$505,A65,OPERACIONES!$F$6:$F$505)/SUMIF(OPERACIONES!$C$6:$C$505,A65,OPERACIONES!$E$6:$E$505)&gt;0.5,CONFIG!$B$20,IF(SUMIF(OPERACIONES!$C$6:$C$505,A65,OPERACIONES!$F$6:$F$505)&gt;0,CONFIG!$B$21,0)),0)+IF(COUNTIFS(OPERACIONES!$C$6:$C$505,A65,OPERACIONES!$AQ$6:$AQ$505,1)&gt;0,CONFIG!$B$22,0)+IF(COUNTIFS(OPERACIONES!$C$6:$C$505,A65,OPERACIONES!$H$6:$H$505,"Sí")&gt;0,CONFIG!$B$23,0))</f>
        <v/>
      </c>
      <c r="X65" s="9" t="str">
        <f aca="false">IF(A65="","",V65+W65)</f>
        <v/>
      </c>
      <c r="Y65" s="9" t="str">
        <f aca="false">IF(A65="","",IF(X65&lt;=CONFIG!$B$13,"Bajo",IF(X65&lt;=CONFIG!$B$14,"Medio","Alto")))</f>
        <v/>
      </c>
      <c r="Z65" s="25" t="str">
        <f aca="false">IF(A65="","",IF(OR(H65="Extranjera",AND(E65="No residente",G65="Sí"),I65="Sí"),"Alto",IF(T65&lt;&gt;"",T65,Y65)))</f>
        <v/>
      </c>
      <c r="AA65" s="26" t="str">
        <f aca="false">IF(A65="","",IF(H65="Extranjera","Alto obligatorio: PEP extranjera (RCG 23 Bis 4)",IF(AND(E65="No residente",G65="Sí"),"Alto obligatorio: no residente vinculado a jurisdicción de riesgo (RCG 23 Bis 4)",IF(I65="Sí","Alto por criterio: persona en listas. Evalúa no operar y Aviso de 24 h",IF(T65&lt;&gt;"","Ajuste del REC: "&amp;U65,"Modelo: "&amp;X65&amp;" puntos")))))</f>
        <v/>
      </c>
      <c r="AB65" s="23" t="str">
        <f aca="false">IF(A65="","",IF(COUNT(N65,O65)=0,"Falta fecha",EDATE(MAX(N65,O65),IF(Z65="Alto",CONFIG!$B$18,IF(Z65="Medio",CONFIG!$B$17,CONFIG!$B$16)))))</f>
        <v/>
      </c>
      <c r="AC65" s="23" t="str">
        <f aca="false">IF(A65="","",IF(ISNUMBER(S65),EDATE(S65,12),IF(ISNUMBER(N65),EDATE(N65,12),"Falta fecha")))</f>
        <v/>
      </c>
      <c r="AD65" s="26" t="str">
        <f aca="false">IF(A65="","",MID(IF(P65&lt;&gt;"Sí"," · Expediente incompleto","")&amp;IF(OR(Q65="",Q65="Pendiente")," · Falta el Beneficiario Controlador","")&amp;IF(M65=""," · Sin perfil transaccional","")&amp;IF(AND(ISNUMBER(AB65),AB65&lt;CONFIG!$B$6)," · Evaluación de riesgo vencida","")&amp;IF(AND(ISNUMBER(AC65),AC65&lt;CONFIG!$B$6)," · Verificación anual vencida","")&amp;IF(AND(ISNUMBER(R65),ISNUMBER(S65),S65-R65&gt;92)," · Comprobante de domicilio con más de 3 meses","")&amp;IF(AND(T65&lt;&gt;"",U65="")," · Ajuste del REC sin justificación",""),4,400))</f>
        <v/>
      </c>
      <c r="AE65" s="9" t="str">
        <f aca="false">IF(A65="","",IF(AD65="","Al día","Revisar"))</f>
        <v/>
      </c>
      <c r="AF65" s="9" t="str">
        <f aca="false">IF(A65="","",COUNTIF(OPERACIONES!$C$6:$C$505,A65)&amp;" / $"&amp;FIXED(SUMIF(OPERACIONES!$C$6:$C$505,A65,OPERACIONES!$E$6:$E$505),0))</f>
        <v/>
      </c>
    </row>
    <row r="66" customFormat="false" ht="15" hidden="false" customHeight="false" outlineLevel="0" collapsed="false">
      <c r="A66" s="21"/>
      <c r="B66" s="21"/>
      <c r="C66" s="21"/>
      <c r="D66" s="21"/>
      <c r="E66" s="21"/>
      <c r="F66" s="21"/>
      <c r="G66" s="21"/>
      <c r="H66" s="21"/>
      <c r="I66" s="21"/>
      <c r="J66" s="21"/>
      <c r="K66" s="21"/>
      <c r="L66" s="21"/>
      <c r="M66" s="22"/>
      <c r="N66" s="20"/>
      <c r="O66" s="20"/>
      <c r="P66" s="21"/>
      <c r="Q66" s="21"/>
      <c r="R66" s="20"/>
      <c r="S66" s="20"/>
      <c r="T66" s="21"/>
      <c r="U66" s="21"/>
      <c r="V66" s="9" t="str">
        <f aca="false">IF(A66="","",SUMIFS(CONFIG!$F$5:$F$26,CONFIG!$D$5:$D$26,"Tipo de persona",CONFIG!$E$5:$E$26,C66)+SUMIFS(CONFIG!$F$5:$F$26,CONFIG!$D$5:$D$26,"Residencia",CONFIG!$E$5:$E$26,E66)+SUMIFS(CONFIG!$F$5:$F$26,CONFIG!$D$5:$D$26,"Nacionalidad",CONFIG!$E$5:$E$26,F66)+SUMIFS(CONFIG!$F$5:$F$26,CONFIG!$D$5:$D$26,"Jurisdicción de riesgo",CONFIG!$E$5:$E$26,G66)+SUMIFS(CONFIG!$F$5:$F$26,CONFIG!$D$5:$D$26,"PEP",CONFIG!$E$5:$E$26,H66)+SUMIFS(CONFIG!$F$5:$F$26,CONFIG!$D$5:$D$26,"En listas",CONFIG!$E$5:$E$26,I66)+SUMIFS(CONFIG!$F$5:$F$26,CONFIG!$D$5:$D$26,"Riesgo de su actividad económica",CONFIG!$E$5:$E$26,J66)+SUMIFS(CONFIG!$F$5:$F$26,CONFIG!$D$5:$D$26,"Canal",CONFIG!$E$5:$E$26,K66)+SUMIFS(CONFIG!$F$5:$F$26,CONFIG!$D$5:$D$26,"Origen de recursos documentado",CONFIG!$E$5:$E$26,L66))</f>
        <v/>
      </c>
      <c r="W66" s="9" t="str">
        <f aca="false">IF(A66="","",IF(SUMIF(OPERACIONES!$C$6:$C$505,A66,OPERACIONES!$E$6:$E$505)&gt;0,IF(SUMIF(OPERACIONES!$C$6:$C$505,A66,OPERACIONES!$F$6:$F$505)/SUMIF(OPERACIONES!$C$6:$C$505,A66,OPERACIONES!$E$6:$E$505)&gt;0.5,CONFIG!$B$20,IF(SUMIF(OPERACIONES!$C$6:$C$505,A66,OPERACIONES!$F$6:$F$505)&gt;0,CONFIG!$B$21,0)),0)+IF(COUNTIFS(OPERACIONES!$C$6:$C$505,A66,OPERACIONES!$AQ$6:$AQ$505,1)&gt;0,CONFIG!$B$22,0)+IF(COUNTIFS(OPERACIONES!$C$6:$C$505,A66,OPERACIONES!$H$6:$H$505,"Sí")&gt;0,CONFIG!$B$23,0))</f>
        <v/>
      </c>
      <c r="X66" s="9" t="str">
        <f aca="false">IF(A66="","",V66+W66)</f>
        <v/>
      </c>
      <c r="Y66" s="9" t="str">
        <f aca="false">IF(A66="","",IF(X66&lt;=CONFIG!$B$13,"Bajo",IF(X66&lt;=CONFIG!$B$14,"Medio","Alto")))</f>
        <v/>
      </c>
      <c r="Z66" s="25" t="str">
        <f aca="false">IF(A66="","",IF(OR(H66="Extranjera",AND(E66="No residente",G66="Sí"),I66="Sí"),"Alto",IF(T66&lt;&gt;"",T66,Y66)))</f>
        <v/>
      </c>
      <c r="AA66" s="26" t="str">
        <f aca="false">IF(A66="","",IF(H66="Extranjera","Alto obligatorio: PEP extranjera (RCG 23 Bis 4)",IF(AND(E66="No residente",G66="Sí"),"Alto obligatorio: no residente vinculado a jurisdicción de riesgo (RCG 23 Bis 4)",IF(I66="Sí","Alto por criterio: persona en listas. Evalúa no operar y Aviso de 24 h",IF(T66&lt;&gt;"","Ajuste del REC: "&amp;U66,"Modelo: "&amp;X66&amp;" puntos")))))</f>
        <v/>
      </c>
      <c r="AB66" s="23" t="str">
        <f aca="false">IF(A66="","",IF(COUNT(N66,O66)=0,"Falta fecha",EDATE(MAX(N66,O66),IF(Z66="Alto",CONFIG!$B$18,IF(Z66="Medio",CONFIG!$B$17,CONFIG!$B$16)))))</f>
        <v/>
      </c>
      <c r="AC66" s="23" t="str">
        <f aca="false">IF(A66="","",IF(ISNUMBER(S66),EDATE(S66,12),IF(ISNUMBER(N66),EDATE(N66,12),"Falta fecha")))</f>
        <v/>
      </c>
      <c r="AD66" s="26" t="str">
        <f aca="false">IF(A66="","",MID(IF(P66&lt;&gt;"Sí"," · Expediente incompleto","")&amp;IF(OR(Q66="",Q66="Pendiente")," · Falta el Beneficiario Controlador","")&amp;IF(M66=""," · Sin perfil transaccional","")&amp;IF(AND(ISNUMBER(AB66),AB66&lt;CONFIG!$B$6)," · Evaluación de riesgo vencida","")&amp;IF(AND(ISNUMBER(AC66),AC66&lt;CONFIG!$B$6)," · Verificación anual vencida","")&amp;IF(AND(ISNUMBER(R66),ISNUMBER(S66),S66-R66&gt;92)," · Comprobante de domicilio con más de 3 meses","")&amp;IF(AND(T66&lt;&gt;"",U66="")," · Ajuste del REC sin justificación",""),4,400))</f>
        <v/>
      </c>
      <c r="AE66" s="9" t="str">
        <f aca="false">IF(A66="","",IF(AD66="","Al día","Revisar"))</f>
        <v/>
      </c>
      <c r="AF66" s="9" t="str">
        <f aca="false">IF(A66="","",COUNTIF(OPERACIONES!$C$6:$C$505,A66)&amp;" / $"&amp;FIXED(SUMIF(OPERACIONES!$C$6:$C$505,A66,OPERACIONES!$E$6:$E$505),0))</f>
        <v/>
      </c>
    </row>
    <row r="67" customFormat="false" ht="15" hidden="false" customHeight="false" outlineLevel="0" collapsed="false">
      <c r="A67" s="21"/>
      <c r="B67" s="21"/>
      <c r="C67" s="21"/>
      <c r="D67" s="21"/>
      <c r="E67" s="21"/>
      <c r="F67" s="21"/>
      <c r="G67" s="21"/>
      <c r="H67" s="21"/>
      <c r="I67" s="21"/>
      <c r="J67" s="21"/>
      <c r="K67" s="21"/>
      <c r="L67" s="21"/>
      <c r="M67" s="22"/>
      <c r="N67" s="20"/>
      <c r="O67" s="20"/>
      <c r="P67" s="21"/>
      <c r="Q67" s="21"/>
      <c r="R67" s="20"/>
      <c r="S67" s="20"/>
      <c r="T67" s="21"/>
      <c r="U67" s="21"/>
      <c r="V67" s="9" t="str">
        <f aca="false">IF(A67="","",SUMIFS(CONFIG!$F$5:$F$26,CONFIG!$D$5:$D$26,"Tipo de persona",CONFIG!$E$5:$E$26,C67)+SUMIFS(CONFIG!$F$5:$F$26,CONFIG!$D$5:$D$26,"Residencia",CONFIG!$E$5:$E$26,E67)+SUMIFS(CONFIG!$F$5:$F$26,CONFIG!$D$5:$D$26,"Nacionalidad",CONFIG!$E$5:$E$26,F67)+SUMIFS(CONFIG!$F$5:$F$26,CONFIG!$D$5:$D$26,"Jurisdicción de riesgo",CONFIG!$E$5:$E$26,G67)+SUMIFS(CONFIG!$F$5:$F$26,CONFIG!$D$5:$D$26,"PEP",CONFIG!$E$5:$E$26,H67)+SUMIFS(CONFIG!$F$5:$F$26,CONFIG!$D$5:$D$26,"En listas",CONFIG!$E$5:$E$26,I67)+SUMIFS(CONFIG!$F$5:$F$26,CONFIG!$D$5:$D$26,"Riesgo de su actividad económica",CONFIG!$E$5:$E$26,J67)+SUMIFS(CONFIG!$F$5:$F$26,CONFIG!$D$5:$D$26,"Canal",CONFIG!$E$5:$E$26,K67)+SUMIFS(CONFIG!$F$5:$F$26,CONFIG!$D$5:$D$26,"Origen de recursos documentado",CONFIG!$E$5:$E$26,L67))</f>
        <v/>
      </c>
      <c r="W67" s="9" t="str">
        <f aca="false">IF(A67="","",IF(SUMIF(OPERACIONES!$C$6:$C$505,A67,OPERACIONES!$E$6:$E$505)&gt;0,IF(SUMIF(OPERACIONES!$C$6:$C$505,A67,OPERACIONES!$F$6:$F$505)/SUMIF(OPERACIONES!$C$6:$C$505,A67,OPERACIONES!$E$6:$E$505)&gt;0.5,CONFIG!$B$20,IF(SUMIF(OPERACIONES!$C$6:$C$505,A67,OPERACIONES!$F$6:$F$505)&gt;0,CONFIG!$B$21,0)),0)+IF(COUNTIFS(OPERACIONES!$C$6:$C$505,A67,OPERACIONES!$AQ$6:$AQ$505,1)&gt;0,CONFIG!$B$22,0)+IF(COUNTIFS(OPERACIONES!$C$6:$C$505,A67,OPERACIONES!$H$6:$H$505,"Sí")&gt;0,CONFIG!$B$23,0))</f>
        <v/>
      </c>
      <c r="X67" s="9" t="str">
        <f aca="false">IF(A67="","",V67+W67)</f>
        <v/>
      </c>
      <c r="Y67" s="9" t="str">
        <f aca="false">IF(A67="","",IF(X67&lt;=CONFIG!$B$13,"Bajo",IF(X67&lt;=CONFIG!$B$14,"Medio","Alto")))</f>
        <v/>
      </c>
      <c r="Z67" s="25" t="str">
        <f aca="false">IF(A67="","",IF(OR(H67="Extranjera",AND(E67="No residente",G67="Sí"),I67="Sí"),"Alto",IF(T67&lt;&gt;"",T67,Y67)))</f>
        <v/>
      </c>
      <c r="AA67" s="26" t="str">
        <f aca="false">IF(A67="","",IF(H67="Extranjera","Alto obligatorio: PEP extranjera (RCG 23 Bis 4)",IF(AND(E67="No residente",G67="Sí"),"Alto obligatorio: no residente vinculado a jurisdicción de riesgo (RCG 23 Bis 4)",IF(I67="Sí","Alto por criterio: persona en listas. Evalúa no operar y Aviso de 24 h",IF(T67&lt;&gt;"","Ajuste del REC: "&amp;U67,"Modelo: "&amp;X67&amp;" puntos")))))</f>
        <v/>
      </c>
      <c r="AB67" s="23" t="str">
        <f aca="false">IF(A67="","",IF(COUNT(N67,O67)=0,"Falta fecha",EDATE(MAX(N67,O67),IF(Z67="Alto",CONFIG!$B$18,IF(Z67="Medio",CONFIG!$B$17,CONFIG!$B$16)))))</f>
        <v/>
      </c>
      <c r="AC67" s="23" t="str">
        <f aca="false">IF(A67="","",IF(ISNUMBER(S67),EDATE(S67,12),IF(ISNUMBER(N67),EDATE(N67,12),"Falta fecha")))</f>
        <v/>
      </c>
      <c r="AD67" s="26" t="str">
        <f aca="false">IF(A67="","",MID(IF(P67&lt;&gt;"Sí"," · Expediente incompleto","")&amp;IF(OR(Q67="",Q67="Pendiente")," · Falta el Beneficiario Controlador","")&amp;IF(M67=""," · Sin perfil transaccional","")&amp;IF(AND(ISNUMBER(AB67),AB67&lt;CONFIG!$B$6)," · Evaluación de riesgo vencida","")&amp;IF(AND(ISNUMBER(AC67),AC67&lt;CONFIG!$B$6)," · Verificación anual vencida","")&amp;IF(AND(ISNUMBER(R67),ISNUMBER(S67),S67-R67&gt;92)," · Comprobante de domicilio con más de 3 meses","")&amp;IF(AND(T67&lt;&gt;"",U67="")," · Ajuste del REC sin justificación",""),4,400))</f>
        <v/>
      </c>
      <c r="AE67" s="9" t="str">
        <f aca="false">IF(A67="","",IF(AD67="","Al día","Revisar"))</f>
        <v/>
      </c>
      <c r="AF67" s="9" t="str">
        <f aca="false">IF(A67="","",COUNTIF(OPERACIONES!$C$6:$C$505,A67)&amp;" / $"&amp;FIXED(SUMIF(OPERACIONES!$C$6:$C$505,A67,OPERACIONES!$E$6:$E$505),0))</f>
        <v/>
      </c>
    </row>
    <row r="68" customFormat="false" ht="15" hidden="false" customHeight="false" outlineLevel="0" collapsed="false">
      <c r="A68" s="21"/>
      <c r="B68" s="21"/>
      <c r="C68" s="21"/>
      <c r="D68" s="21"/>
      <c r="E68" s="21"/>
      <c r="F68" s="21"/>
      <c r="G68" s="21"/>
      <c r="H68" s="21"/>
      <c r="I68" s="21"/>
      <c r="J68" s="21"/>
      <c r="K68" s="21"/>
      <c r="L68" s="21"/>
      <c r="M68" s="22"/>
      <c r="N68" s="20"/>
      <c r="O68" s="20"/>
      <c r="P68" s="21"/>
      <c r="Q68" s="21"/>
      <c r="R68" s="20"/>
      <c r="S68" s="20"/>
      <c r="T68" s="21"/>
      <c r="U68" s="21"/>
      <c r="V68" s="9" t="str">
        <f aca="false">IF(A68="","",SUMIFS(CONFIG!$F$5:$F$26,CONFIG!$D$5:$D$26,"Tipo de persona",CONFIG!$E$5:$E$26,C68)+SUMIFS(CONFIG!$F$5:$F$26,CONFIG!$D$5:$D$26,"Residencia",CONFIG!$E$5:$E$26,E68)+SUMIFS(CONFIG!$F$5:$F$26,CONFIG!$D$5:$D$26,"Nacionalidad",CONFIG!$E$5:$E$26,F68)+SUMIFS(CONFIG!$F$5:$F$26,CONFIG!$D$5:$D$26,"Jurisdicción de riesgo",CONFIG!$E$5:$E$26,G68)+SUMIFS(CONFIG!$F$5:$F$26,CONFIG!$D$5:$D$26,"PEP",CONFIG!$E$5:$E$26,H68)+SUMIFS(CONFIG!$F$5:$F$26,CONFIG!$D$5:$D$26,"En listas",CONFIG!$E$5:$E$26,I68)+SUMIFS(CONFIG!$F$5:$F$26,CONFIG!$D$5:$D$26,"Riesgo de su actividad económica",CONFIG!$E$5:$E$26,J68)+SUMIFS(CONFIG!$F$5:$F$26,CONFIG!$D$5:$D$26,"Canal",CONFIG!$E$5:$E$26,K68)+SUMIFS(CONFIG!$F$5:$F$26,CONFIG!$D$5:$D$26,"Origen de recursos documentado",CONFIG!$E$5:$E$26,L68))</f>
        <v/>
      </c>
      <c r="W68" s="9" t="str">
        <f aca="false">IF(A68="","",IF(SUMIF(OPERACIONES!$C$6:$C$505,A68,OPERACIONES!$E$6:$E$505)&gt;0,IF(SUMIF(OPERACIONES!$C$6:$C$505,A68,OPERACIONES!$F$6:$F$505)/SUMIF(OPERACIONES!$C$6:$C$505,A68,OPERACIONES!$E$6:$E$505)&gt;0.5,CONFIG!$B$20,IF(SUMIF(OPERACIONES!$C$6:$C$505,A68,OPERACIONES!$F$6:$F$505)&gt;0,CONFIG!$B$21,0)),0)+IF(COUNTIFS(OPERACIONES!$C$6:$C$505,A68,OPERACIONES!$AQ$6:$AQ$505,1)&gt;0,CONFIG!$B$22,0)+IF(COUNTIFS(OPERACIONES!$C$6:$C$505,A68,OPERACIONES!$H$6:$H$505,"Sí")&gt;0,CONFIG!$B$23,0))</f>
        <v/>
      </c>
      <c r="X68" s="9" t="str">
        <f aca="false">IF(A68="","",V68+W68)</f>
        <v/>
      </c>
      <c r="Y68" s="9" t="str">
        <f aca="false">IF(A68="","",IF(X68&lt;=CONFIG!$B$13,"Bajo",IF(X68&lt;=CONFIG!$B$14,"Medio","Alto")))</f>
        <v/>
      </c>
      <c r="Z68" s="25" t="str">
        <f aca="false">IF(A68="","",IF(OR(H68="Extranjera",AND(E68="No residente",G68="Sí"),I68="Sí"),"Alto",IF(T68&lt;&gt;"",T68,Y68)))</f>
        <v/>
      </c>
      <c r="AA68" s="26" t="str">
        <f aca="false">IF(A68="","",IF(H68="Extranjera","Alto obligatorio: PEP extranjera (RCG 23 Bis 4)",IF(AND(E68="No residente",G68="Sí"),"Alto obligatorio: no residente vinculado a jurisdicción de riesgo (RCG 23 Bis 4)",IF(I68="Sí","Alto por criterio: persona en listas. Evalúa no operar y Aviso de 24 h",IF(T68&lt;&gt;"","Ajuste del REC: "&amp;U68,"Modelo: "&amp;X68&amp;" puntos")))))</f>
        <v/>
      </c>
      <c r="AB68" s="23" t="str">
        <f aca="false">IF(A68="","",IF(COUNT(N68,O68)=0,"Falta fecha",EDATE(MAX(N68,O68),IF(Z68="Alto",CONFIG!$B$18,IF(Z68="Medio",CONFIG!$B$17,CONFIG!$B$16)))))</f>
        <v/>
      </c>
      <c r="AC68" s="23" t="str">
        <f aca="false">IF(A68="","",IF(ISNUMBER(S68),EDATE(S68,12),IF(ISNUMBER(N68),EDATE(N68,12),"Falta fecha")))</f>
        <v/>
      </c>
      <c r="AD68" s="26" t="str">
        <f aca="false">IF(A68="","",MID(IF(P68&lt;&gt;"Sí"," · Expediente incompleto","")&amp;IF(OR(Q68="",Q68="Pendiente")," · Falta el Beneficiario Controlador","")&amp;IF(M68=""," · Sin perfil transaccional","")&amp;IF(AND(ISNUMBER(AB68),AB68&lt;CONFIG!$B$6)," · Evaluación de riesgo vencida","")&amp;IF(AND(ISNUMBER(AC68),AC68&lt;CONFIG!$B$6)," · Verificación anual vencida","")&amp;IF(AND(ISNUMBER(R68),ISNUMBER(S68),S68-R68&gt;92)," · Comprobante de domicilio con más de 3 meses","")&amp;IF(AND(T68&lt;&gt;"",U68="")," · Ajuste del REC sin justificación",""),4,400))</f>
        <v/>
      </c>
      <c r="AE68" s="9" t="str">
        <f aca="false">IF(A68="","",IF(AD68="","Al día","Revisar"))</f>
        <v/>
      </c>
      <c r="AF68" s="9" t="str">
        <f aca="false">IF(A68="","",COUNTIF(OPERACIONES!$C$6:$C$505,A68)&amp;" / $"&amp;FIXED(SUMIF(OPERACIONES!$C$6:$C$505,A68,OPERACIONES!$E$6:$E$505),0))</f>
        <v/>
      </c>
    </row>
    <row r="69" customFormat="false" ht="15" hidden="false" customHeight="false" outlineLevel="0" collapsed="false">
      <c r="A69" s="21"/>
      <c r="B69" s="21"/>
      <c r="C69" s="21"/>
      <c r="D69" s="21"/>
      <c r="E69" s="21"/>
      <c r="F69" s="21"/>
      <c r="G69" s="21"/>
      <c r="H69" s="21"/>
      <c r="I69" s="21"/>
      <c r="J69" s="21"/>
      <c r="K69" s="21"/>
      <c r="L69" s="21"/>
      <c r="M69" s="22"/>
      <c r="N69" s="20"/>
      <c r="O69" s="20"/>
      <c r="P69" s="21"/>
      <c r="Q69" s="21"/>
      <c r="R69" s="20"/>
      <c r="S69" s="20"/>
      <c r="T69" s="21"/>
      <c r="U69" s="21"/>
      <c r="V69" s="9" t="str">
        <f aca="false">IF(A69="","",SUMIFS(CONFIG!$F$5:$F$26,CONFIG!$D$5:$D$26,"Tipo de persona",CONFIG!$E$5:$E$26,C69)+SUMIFS(CONFIG!$F$5:$F$26,CONFIG!$D$5:$D$26,"Residencia",CONFIG!$E$5:$E$26,E69)+SUMIFS(CONFIG!$F$5:$F$26,CONFIG!$D$5:$D$26,"Nacionalidad",CONFIG!$E$5:$E$26,F69)+SUMIFS(CONFIG!$F$5:$F$26,CONFIG!$D$5:$D$26,"Jurisdicción de riesgo",CONFIG!$E$5:$E$26,G69)+SUMIFS(CONFIG!$F$5:$F$26,CONFIG!$D$5:$D$26,"PEP",CONFIG!$E$5:$E$26,H69)+SUMIFS(CONFIG!$F$5:$F$26,CONFIG!$D$5:$D$26,"En listas",CONFIG!$E$5:$E$26,I69)+SUMIFS(CONFIG!$F$5:$F$26,CONFIG!$D$5:$D$26,"Riesgo de su actividad económica",CONFIG!$E$5:$E$26,J69)+SUMIFS(CONFIG!$F$5:$F$26,CONFIG!$D$5:$D$26,"Canal",CONFIG!$E$5:$E$26,K69)+SUMIFS(CONFIG!$F$5:$F$26,CONFIG!$D$5:$D$26,"Origen de recursos documentado",CONFIG!$E$5:$E$26,L69))</f>
        <v/>
      </c>
      <c r="W69" s="9" t="str">
        <f aca="false">IF(A69="","",IF(SUMIF(OPERACIONES!$C$6:$C$505,A69,OPERACIONES!$E$6:$E$505)&gt;0,IF(SUMIF(OPERACIONES!$C$6:$C$505,A69,OPERACIONES!$F$6:$F$505)/SUMIF(OPERACIONES!$C$6:$C$505,A69,OPERACIONES!$E$6:$E$505)&gt;0.5,CONFIG!$B$20,IF(SUMIF(OPERACIONES!$C$6:$C$505,A69,OPERACIONES!$F$6:$F$505)&gt;0,CONFIG!$B$21,0)),0)+IF(COUNTIFS(OPERACIONES!$C$6:$C$505,A69,OPERACIONES!$AQ$6:$AQ$505,1)&gt;0,CONFIG!$B$22,0)+IF(COUNTIFS(OPERACIONES!$C$6:$C$505,A69,OPERACIONES!$H$6:$H$505,"Sí")&gt;0,CONFIG!$B$23,0))</f>
        <v/>
      </c>
      <c r="X69" s="9" t="str">
        <f aca="false">IF(A69="","",V69+W69)</f>
        <v/>
      </c>
      <c r="Y69" s="9" t="str">
        <f aca="false">IF(A69="","",IF(X69&lt;=CONFIG!$B$13,"Bajo",IF(X69&lt;=CONFIG!$B$14,"Medio","Alto")))</f>
        <v/>
      </c>
      <c r="Z69" s="25" t="str">
        <f aca="false">IF(A69="","",IF(OR(H69="Extranjera",AND(E69="No residente",G69="Sí"),I69="Sí"),"Alto",IF(T69&lt;&gt;"",T69,Y69)))</f>
        <v/>
      </c>
      <c r="AA69" s="26" t="str">
        <f aca="false">IF(A69="","",IF(H69="Extranjera","Alto obligatorio: PEP extranjera (RCG 23 Bis 4)",IF(AND(E69="No residente",G69="Sí"),"Alto obligatorio: no residente vinculado a jurisdicción de riesgo (RCG 23 Bis 4)",IF(I69="Sí","Alto por criterio: persona en listas. Evalúa no operar y Aviso de 24 h",IF(T69&lt;&gt;"","Ajuste del REC: "&amp;U69,"Modelo: "&amp;X69&amp;" puntos")))))</f>
        <v/>
      </c>
      <c r="AB69" s="23" t="str">
        <f aca="false">IF(A69="","",IF(COUNT(N69,O69)=0,"Falta fecha",EDATE(MAX(N69,O69),IF(Z69="Alto",CONFIG!$B$18,IF(Z69="Medio",CONFIG!$B$17,CONFIG!$B$16)))))</f>
        <v/>
      </c>
      <c r="AC69" s="23" t="str">
        <f aca="false">IF(A69="","",IF(ISNUMBER(S69),EDATE(S69,12),IF(ISNUMBER(N69),EDATE(N69,12),"Falta fecha")))</f>
        <v/>
      </c>
      <c r="AD69" s="26" t="str">
        <f aca="false">IF(A69="","",MID(IF(P69&lt;&gt;"Sí"," · Expediente incompleto","")&amp;IF(OR(Q69="",Q69="Pendiente")," · Falta el Beneficiario Controlador","")&amp;IF(M69=""," · Sin perfil transaccional","")&amp;IF(AND(ISNUMBER(AB69),AB69&lt;CONFIG!$B$6)," · Evaluación de riesgo vencida","")&amp;IF(AND(ISNUMBER(AC69),AC69&lt;CONFIG!$B$6)," · Verificación anual vencida","")&amp;IF(AND(ISNUMBER(R69),ISNUMBER(S69),S69-R69&gt;92)," · Comprobante de domicilio con más de 3 meses","")&amp;IF(AND(T69&lt;&gt;"",U69="")," · Ajuste del REC sin justificación",""),4,400))</f>
        <v/>
      </c>
      <c r="AE69" s="9" t="str">
        <f aca="false">IF(A69="","",IF(AD69="","Al día","Revisar"))</f>
        <v/>
      </c>
      <c r="AF69" s="9" t="str">
        <f aca="false">IF(A69="","",COUNTIF(OPERACIONES!$C$6:$C$505,A69)&amp;" / $"&amp;FIXED(SUMIF(OPERACIONES!$C$6:$C$505,A69,OPERACIONES!$E$6:$E$505),0))</f>
        <v/>
      </c>
    </row>
    <row r="70" customFormat="false" ht="15" hidden="false" customHeight="false" outlineLevel="0" collapsed="false">
      <c r="A70" s="21"/>
      <c r="B70" s="21"/>
      <c r="C70" s="21"/>
      <c r="D70" s="21"/>
      <c r="E70" s="21"/>
      <c r="F70" s="21"/>
      <c r="G70" s="21"/>
      <c r="H70" s="21"/>
      <c r="I70" s="21"/>
      <c r="J70" s="21"/>
      <c r="K70" s="21"/>
      <c r="L70" s="21"/>
      <c r="M70" s="22"/>
      <c r="N70" s="20"/>
      <c r="O70" s="20"/>
      <c r="P70" s="21"/>
      <c r="Q70" s="21"/>
      <c r="R70" s="20"/>
      <c r="S70" s="20"/>
      <c r="T70" s="21"/>
      <c r="U70" s="21"/>
      <c r="V70" s="9" t="str">
        <f aca="false">IF(A70="","",SUMIFS(CONFIG!$F$5:$F$26,CONFIG!$D$5:$D$26,"Tipo de persona",CONFIG!$E$5:$E$26,C70)+SUMIFS(CONFIG!$F$5:$F$26,CONFIG!$D$5:$D$26,"Residencia",CONFIG!$E$5:$E$26,E70)+SUMIFS(CONFIG!$F$5:$F$26,CONFIG!$D$5:$D$26,"Nacionalidad",CONFIG!$E$5:$E$26,F70)+SUMIFS(CONFIG!$F$5:$F$26,CONFIG!$D$5:$D$26,"Jurisdicción de riesgo",CONFIG!$E$5:$E$26,G70)+SUMIFS(CONFIG!$F$5:$F$26,CONFIG!$D$5:$D$26,"PEP",CONFIG!$E$5:$E$26,H70)+SUMIFS(CONFIG!$F$5:$F$26,CONFIG!$D$5:$D$26,"En listas",CONFIG!$E$5:$E$26,I70)+SUMIFS(CONFIG!$F$5:$F$26,CONFIG!$D$5:$D$26,"Riesgo de su actividad económica",CONFIG!$E$5:$E$26,J70)+SUMIFS(CONFIG!$F$5:$F$26,CONFIG!$D$5:$D$26,"Canal",CONFIG!$E$5:$E$26,K70)+SUMIFS(CONFIG!$F$5:$F$26,CONFIG!$D$5:$D$26,"Origen de recursos documentado",CONFIG!$E$5:$E$26,L70))</f>
        <v/>
      </c>
      <c r="W70" s="9" t="str">
        <f aca="false">IF(A70="","",IF(SUMIF(OPERACIONES!$C$6:$C$505,A70,OPERACIONES!$E$6:$E$505)&gt;0,IF(SUMIF(OPERACIONES!$C$6:$C$505,A70,OPERACIONES!$F$6:$F$505)/SUMIF(OPERACIONES!$C$6:$C$505,A70,OPERACIONES!$E$6:$E$505)&gt;0.5,CONFIG!$B$20,IF(SUMIF(OPERACIONES!$C$6:$C$505,A70,OPERACIONES!$F$6:$F$505)&gt;0,CONFIG!$B$21,0)),0)+IF(COUNTIFS(OPERACIONES!$C$6:$C$505,A70,OPERACIONES!$AQ$6:$AQ$505,1)&gt;0,CONFIG!$B$22,0)+IF(COUNTIFS(OPERACIONES!$C$6:$C$505,A70,OPERACIONES!$H$6:$H$505,"Sí")&gt;0,CONFIG!$B$23,0))</f>
        <v/>
      </c>
      <c r="X70" s="9" t="str">
        <f aca="false">IF(A70="","",V70+W70)</f>
        <v/>
      </c>
      <c r="Y70" s="9" t="str">
        <f aca="false">IF(A70="","",IF(X70&lt;=CONFIG!$B$13,"Bajo",IF(X70&lt;=CONFIG!$B$14,"Medio","Alto")))</f>
        <v/>
      </c>
      <c r="Z70" s="25" t="str">
        <f aca="false">IF(A70="","",IF(OR(H70="Extranjera",AND(E70="No residente",G70="Sí"),I70="Sí"),"Alto",IF(T70&lt;&gt;"",T70,Y70)))</f>
        <v/>
      </c>
      <c r="AA70" s="26" t="str">
        <f aca="false">IF(A70="","",IF(H70="Extranjera","Alto obligatorio: PEP extranjera (RCG 23 Bis 4)",IF(AND(E70="No residente",G70="Sí"),"Alto obligatorio: no residente vinculado a jurisdicción de riesgo (RCG 23 Bis 4)",IF(I70="Sí","Alto por criterio: persona en listas. Evalúa no operar y Aviso de 24 h",IF(T70&lt;&gt;"","Ajuste del REC: "&amp;U70,"Modelo: "&amp;X70&amp;" puntos")))))</f>
        <v/>
      </c>
      <c r="AB70" s="23" t="str">
        <f aca="false">IF(A70="","",IF(COUNT(N70,O70)=0,"Falta fecha",EDATE(MAX(N70,O70),IF(Z70="Alto",CONFIG!$B$18,IF(Z70="Medio",CONFIG!$B$17,CONFIG!$B$16)))))</f>
        <v/>
      </c>
      <c r="AC70" s="23" t="str">
        <f aca="false">IF(A70="","",IF(ISNUMBER(S70),EDATE(S70,12),IF(ISNUMBER(N70),EDATE(N70,12),"Falta fecha")))</f>
        <v/>
      </c>
      <c r="AD70" s="26" t="str">
        <f aca="false">IF(A70="","",MID(IF(P70&lt;&gt;"Sí"," · Expediente incompleto","")&amp;IF(OR(Q70="",Q70="Pendiente")," · Falta el Beneficiario Controlador","")&amp;IF(M70=""," · Sin perfil transaccional","")&amp;IF(AND(ISNUMBER(AB70),AB70&lt;CONFIG!$B$6)," · Evaluación de riesgo vencida","")&amp;IF(AND(ISNUMBER(AC70),AC70&lt;CONFIG!$B$6)," · Verificación anual vencida","")&amp;IF(AND(ISNUMBER(R70),ISNUMBER(S70),S70-R70&gt;92)," · Comprobante de domicilio con más de 3 meses","")&amp;IF(AND(T70&lt;&gt;"",U70="")," · Ajuste del REC sin justificación",""),4,400))</f>
        <v/>
      </c>
      <c r="AE70" s="9" t="str">
        <f aca="false">IF(A70="","",IF(AD70="","Al día","Revisar"))</f>
        <v/>
      </c>
      <c r="AF70" s="9" t="str">
        <f aca="false">IF(A70="","",COUNTIF(OPERACIONES!$C$6:$C$505,A70)&amp;" / $"&amp;FIXED(SUMIF(OPERACIONES!$C$6:$C$505,A70,OPERACIONES!$E$6:$E$505),0))</f>
        <v/>
      </c>
    </row>
    <row r="71" customFormat="false" ht="15" hidden="false" customHeight="false" outlineLevel="0" collapsed="false">
      <c r="A71" s="21"/>
      <c r="B71" s="21"/>
      <c r="C71" s="21"/>
      <c r="D71" s="21"/>
      <c r="E71" s="21"/>
      <c r="F71" s="21"/>
      <c r="G71" s="21"/>
      <c r="H71" s="21"/>
      <c r="I71" s="21"/>
      <c r="J71" s="21"/>
      <c r="K71" s="21"/>
      <c r="L71" s="21"/>
      <c r="M71" s="22"/>
      <c r="N71" s="20"/>
      <c r="O71" s="20"/>
      <c r="P71" s="21"/>
      <c r="Q71" s="21"/>
      <c r="R71" s="20"/>
      <c r="S71" s="20"/>
      <c r="T71" s="21"/>
      <c r="U71" s="21"/>
      <c r="V71" s="9" t="str">
        <f aca="false">IF(A71="","",SUMIFS(CONFIG!$F$5:$F$26,CONFIG!$D$5:$D$26,"Tipo de persona",CONFIG!$E$5:$E$26,C71)+SUMIFS(CONFIG!$F$5:$F$26,CONFIG!$D$5:$D$26,"Residencia",CONFIG!$E$5:$E$26,E71)+SUMIFS(CONFIG!$F$5:$F$26,CONFIG!$D$5:$D$26,"Nacionalidad",CONFIG!$E$5:$E$26,F71)+SUMIFS(CONFIG!$F$5:$F$26,CONFIG!$D$5:$D$26,"Jurisdicción de riesgo",CONFIG!$E$5:$E$26,G71)+SUMIFS(CONFIG!$F$5:$F$26,CONFIG!$D$5:$D$26,"PEP",CONFIG!$E$5:$E$26,H71)+SUMIFS(CONFIG!$F$5:$F$26,CONFIG!$D$5:$D$26,"En listas",CONFIG!$E$5:$E$26,I71)+SUMIFS(CONFIG!$F$5:$F$26,CONFIG!$D$5:$D$26,"Riesgo de su actividad económica",CONFIG!$E$5:$E$26,J71)+SUMIFS(CONFIG!$F$5:$F$26,CONFIG!$D$5:$D$26,"Canal",CONFIG!$E$5:$E$26,K71)+SUMIFS(CONFIG!$F$5:$F$26,CONFIG!$D$5:$D$26,"Origen de recursos documentado",CONFIG!$E$5:$E$26,L71))</f>
        <v/>
      </c>
      <c r="W71" s="9" t="str">
        <f aca="false">IF(A71="","",IF(SUMIF(OPERACIONES!$C$6:$C$505,A71,OPERACIONES!$E$6:$E$505)&gt;0,IF(SUMIF(OPERACIONES!$C$6:$C$505,A71,OPERACIONES!$F$6:$F$505)/SUMIF(OPERACIONES!$C$6:$C$505,A71,OPERACIONES!$E$6:$E$505)&gt;0.5,CONFIG!$B$20,IF(SUMIF(OPERACIONES!$C$6:$C$505,A71,OPERACIONES!$F$6:$F$505)&gt;0,CONFIG!$B$21,0)),0)+IF(COUNTIFS(OPERACIONES!$C$6:$C$505,A71,OPERACIONES!$AQ$6:$AQ$505,1)&gt;0,CONFIG!$B$22,0)+IF(COUNTIFS(OPERACIONES!$C$6:$C$505,A71,OPERACIONES!$H$6:$H$505,"Sí")&gt;0,CONFIG!$B$23,0))</f>
        <v/>
      </c>
      <c r="X71" s="9" t="str">
        <f aca="false">IF(A71="","",V71+W71)</f>
        <v/>
      </c>
      <c r="Y71" s="9" t="str">
        <f aca="false">IF(A71="","",IF(X71&lt;=CONFIG!$B$13,"Bajo",IF(X71&lt;=CONFIG!$B$14,"Medio","Alto")))</f>
        <v/>
      </c>
      <c r="Z71" s="25" t="str">
        <f aca="false">IF(A71="","",IF(OR(H71="Extranjera",AND(E71="No residente",G71="Sí"),I71="Sí"),"Alto",IF(T71&lt;&gt;"",T71,Y71)))</f>
        <v/>
      </c>
      <c r="AA71" s="26" t="str">
        <f aca="false">IF(A71="","",IF(H71="Extranjera","Alto obligatorio: PEP extranjera (RCG 23 Bis 4)",IF(AND(E71="No residente",G71="Sí"),"Alto obligatorio: no residente vinculado a jurisdicción de riesgo (RCG 23 Bis 4)",IF(I71="Sí","Alto por criterio: persona en listas. Evalúa no operar y Aviso de 24 h",IF(T71&lt;&gt;"","Ajuste del REC: "&amp;U71,"Modelo: "&amp;X71&amp;" puntos")))))</f>
        <v/>
      </c>
      <c r="AB71" s="23" t="str">
        <f aca="false">IF(A71="","",IF(COUNT(N71,O71)=0,"Falta fecha",EDATE(MAX(N71,O71),IF(Z71="Alto",CONFIG!$B$18,IF(Z71="Medio",CONFIG!$B$17,CONFIG!$B$16)))))</f>
        <v/>
      </c>
      <c r="AC71" s="23" t="str">
        <f aca="false">IF(A71="","",IF(ISNUMBER(S71),EDATE(S71,12),IF(ISNUMBER(N71),EDATE(N71,12),"Falta fecha")))</f>
        <v/>
      </c>
      <c r="AD71" s="26" t="str">
        <f aca="false">IF(A71="","",MID(IF(P71&lt;&gt;"Sí"," · Expediente incompleto","")&amp;IF(OR(Q71="",Q71="Pendiente")," · Falta el Beneficiario Controlador","")&amp;IF(M71=""," · Sin perfil transaccional","")&amp;IF(AND(ISNUMBER(AB71),AB71&lt;CONFIG!$B$6)," · Evaluación de riesgo vencida","")&amp;IF(AND(ISNUMBER(AC71),AC71&lt;CONFIG!$B$6)," · Verificación anual vencida","")&amp;IF(AND(ISNUMBER(R71),ISNUMBER(S71),S71-R71&gt;92)," · Comprobante de domicilio con más de 3 meses","")&amp;IF(AND(T71&lt;&gt;"",U71="")," · Ajuste del REC sin justificación",""),4,400))</f>
        <v/>
      </c>
      <c r="AE71" s="9" t="str">
        <f aca="false">IF(A71="","",IF(AD71="","Al día","Revisar"))</f>
        <v/>
      </c>
      <c r="AF71" s="9" t="str">
        <f aca="false">IF(A71="","",COUNTIF(OPERACIONES!$C$6:$C$505,A71)&amp;" / $"&amp;FIXED(SUMIF(OPERACIONES!$C$6:$C$505,A71,OPERACIONES!$E$6:$E$505),0))</f>
        <v/>
      </c>
    </row>
    <row r="72" customFormat="false" ht="15" hidden="false" customHeight="false" outlineLevel="0" collapsed="false">
      <c r="A72" s="21"/>
      <c r="B72" s="21"/>
      <c r="C72" s="21"/>
      <c r="D72" s="21"/>
      <c r="E72" s="21"/>
      <c r="F72" s="21"/>
      <c r="G72" s="21"/>
      <c r="H72" s="21"/>
      <c r="I72" s="21"/>
      <c r="J72" s="21"/>
      <c r="K72" s="21"/>
      <c r="L72" s="21"/>
      <c r="M72" s="22"/>
      <c r="N72" s="20"/>
      <c r="O72" s="20"/>
      <c r="P72" s="21"/>
      <c r="Q72" s="21"/>
      <c r="R72" s="20"/>
      <c r="S72" s="20"/>
      <c r="T72" s="21"/>
      <c r="U72" s="21"/>
      <c r="V72" s="9" t="str">
        <f aca="false">IF(A72="","",SUMIFS(CONFIG!$F$5:$F$26,CONFIG!$D$5:$D$26,"Tipo de persona",CONFIG!$E$5:$E$26,C72)+SUMIFS(CONFIG!$F$5:$F$26,CONFIG!$D$5:$D$26,"Residencia",CONFIG!$E$5:$E$26,E72)+SUMIFS(CONFIG!$F$5:$F$26,CONFIG!$D$5:$D$26,"Nacionalidad",CONFIG!$E$5:$E$26,F72)+SUMIFS(CONFIG!$F$5:$F$26,CONFIG!$D$5:$D$26,"Jurisdicción de riesgo",CONFIG!$E$5:$E$26,G72)+SUMIFS(CONFIG!$F$5:$F$26,CONFIG!$D$5:$D$26,"PEP",CONFIG!$E$5:$E$26,H72)+SUMIFS(CONFIG!$F$5:$F$26,CONFIG!$D$5:$D$26,"En listas",CONFIG!$E$5:$E$26,I72)+SUMIFS(CONFIG!$F$5:$F$26,CONFIG!$D$5:$D$26,"Riesgo de su actividad económica",CONFIG!$E$5:$E$26,J72)+SUMIFS(CONFIG!$F$5:$F$26,CONFIG!$D$5:$D$26,"Canal",CONFIG!$E$5:$E$26,K72)+SUMIFS(CONFIG!$F$5:$F$26,CONFIG!$D$5:$D$26,"Origen de recursos documentado",CONFIG!$E$5:$E$26,L72))</f>
        <v/>
      </c>
      <c r="W72" s="9" t="str">
        <f aca="false">IF(A72="","",IF(SUMIF(OPERACIONES!$C$6:$C$505,A72,OPERACIONES!$E$6:$E$505)&gt;0,IF(SUMIF(OPERACIONES!$C$6:$C$505,A72,OPERACIONES!$F$6:$F$505)/SUMIF(OPERACIONES!$C$6:$C$505,A72,OPERACIONES!$E$6:$E$505)&gt;0.5,CONFIG!$B$20,IF(SUMIF(OPERACIONES!$C$6:$C$505,A72,OPERACIONES!$F$6:$F$505)&gt;0,CONFIG!$B$21,0)),0)+IF(COUNTIFS(OPERACIONES!$C$6:$C$505,A72,OPERACIONES!$AQ$6:$AQ$505,1)&gt;0,CONFIG!$B$22,0)+IF(COUNTIFS(OPERACIONES!$C$6:$C$505,A72,OPERACIONES!$H$6:$H$505,"Sí")&gt;0,CONFIG!$B$23,0))</f>
        <v/>
      </c>
      <c r="X72" s="9" t="str">
        <f aca="false">IF(A72="","",V72+W72)</f>
        <v/>
      </c>
      <c r="Y72" s="9" t="str">
        <f aca="false">IF(A72="","",IF(X72&lt;=CONFIG!$B$13,"Bajo",IF(X72&lt;=CONFIG!$B$14,"Medio","Alto")))</f>
        <v/>
      </c>
      <c r="Z72" s="25" t="str">
        <f aca="false">IF(A72="","",IF(OR(H72="Extranjera",AND(E72="No residente",G72="Sí"),I72="Sí"),"Alto",IF(T72&lt;&gt;"",T72,Y72)))</f>
        <v/>
      </c>
      <c r="AA72" s="26" t="str">
        <f aca="false">IF(A72="","",IF(H72="Extranjera","Alto obligatorio: PEP extranjera (RCG 23 Bis 4)",IF(AND(E72="No residente",G72="Sí"),"Alto obligatorio: no residente vinculado a jurisdicción de riesgo (RCG 23 Bis 4)",IF(I72="Sí","Alto por criterio: persona en listas. Evalúa no operar y Aviso de 24 h",IF(T72&lt;&gt;"","Ajuste del REC: "&amp;U72,"Modelo: "&amp;X72&amp;" puntos")))))</f>
        <v/>
      </c>
      <c r="AB72" s="23" t="str">
        <f aca="false">IF(A72="","",IF(COUNT(N72,O72)=0,"Falta fecha",EDATE(MAX(N72,O72),IF(Z72="Alto",CONFIG!$B$18,IF(Z72="Medio",CONFIG!$B$17,CONFIG!$B$16)))))</f>
        <v/>
      </c>
      <c r="AC72" s="23" t="str">
        <f aca="false">IF(A72="","",IF(ISNUMBER(S72),EDATE(S72,12),IF(ISNUMBER(N72),EDATE(N72,12),"Falta fecha")))</f>
        <v/>
      </c>
      <c r="AD72" s="26" t="str">
        <f aca="false">IF(A72="","",MID(IF(P72&lt;&gt;"Sí"," · Expediente incompleto","")&amp;IF(OR(Q72="",Q72="Pendiente")," · Falta el Beneficiario Controlador","")&amp;IF(M72=""," · Sin perfil transaccional","")&amp;IF(AND(ISNUMBER(AB72),AB72&lt;CONFIG!$B$6)," · Evaluación de riesgo vencida","")&amp;IF(AND(ISNUMBER(AC72),AC72&lt;CONFIG!$B$6)," · Verificación anual vencida","")&amp;IF(AND(ISNUMBER(R72),ISNUMBER(S72),S72-R72&gt;92)," · Comprobante de domicilio con más de 3 meses","")&amp;IF(AND(T72&lt;&gt;"",U72="")," · Ajuste del REC sin justificación",""),4,400))</f>
        <v/>
      </c>
      <c r="AE72" s="9" t="str">
        <f aca="false">IF(A72="","",IF(AD72="","Al día","Revisar"))</f>
        <v/>
      </c>
      <c r="AF72" s="9" t="str">
        <f aca="false">IF(A72="","",COUNTIF(OPERACIONES!$C$6:$C$505,A72)&amp;" / $"&amp;FIXED(SUMIF(OPERACIONES!$C$6:$C$505,A72,OPERACIONES!$E$6:$E$505),0))</f>
        <v/>
      </c>
    </row>
    <row r="73" customFormat="false" ht="15" hidden="false" customHeight="false" outlineLevel="0" collapsed="false">
      <c r="A73" s="21"/>
      <c r="B73" s="21"/>
      <c r="C73" s="21"/>
      <c r="D73" s="21"/>
      <c r="E73" s="21"/>
      <c r="F73" s="21"/>
      <c r="G73" s="21"/>
      <c r="H73" s="21"/>
      <c r="I73" s="21"/>
      <c r="J73" s="21"/>
      <c r="K73" s="21"/>
      <c r="L73" s="21"/>
      <c r="M73" s="22"/>
      <c r="N73" s="20"/>
      <c r="O73" s="20"/>
      <c r="P73" s="21"/>
      <c r="Q73" s="21"/>
      <c r="R73" s="20"/>
      <c r="S73" s="20"/>
      <c r="T73" s="21"/>
      <c r="U73" s="21"/>
      <c r="V73" s="9" t="str">
        <f aca="false">IF(A73="","",SUMIFS(CONFIG!$F$5:$F$26,CONFIG!$D$5:$D$26,"Tipo de persona",CONFIG!$E$5:$E$26,C73)+SUMIFS(CONFIG!$F$5:$F$26,CONFIG!$D$5:$D$26,"Residencia",CONFIG!$E$5:$E$26,E73)+SUMIFS(CONFIG!$F$5:$F$26,CONFIG!$D$5:$D$26,"Nacionalidad",CONFIG!$E$5:$E$26,F73)+SUMIFS(CONFIG!$F$5:$F$26,CONFIG!$D$5:$D$26,"Jurisdicción de riesgo",CONFIG!$E$5:$E$26,G73)+SUMIFS(CONFIG!$F$5:$F$26,CONFIG!$D$5:$D$26,"PEP",CONFIG!$E$5:$E$26,H73)+SUMIFS(CONFIG!$F$5:$F$26,CONFIG!$D$5:$D$26,"En listas",CONFIG!$E$5:$E$26,I73)+SUMIFS(CONFIG!$F$5:$F$26,CONFIG!$D$5:$D$26,"Riesgo de su actividad económica",CONFIG!$E$5:$E$26,J73)+SUMIFS(CONFIG!$F$5:$F$26,CONFIG!$D$5:$D$26,"Canal",CONFIG!$E$5:$E$26,K73)+SUMIFS(CONFIG!$F$5:$F$26,CONFIG!$D$5:$D$26,"Origen de recursos documentado",CONFIG!$E$5:$E$26,L73))</f>
        <v/>
      </c>
      <c r="W73" s="9" t="str">
        <f aca="false">IF(A73="","",IF(SUMIF(OPERACIONES!$C$6:$C$505,A73,OPERACIONES!$E$6:$E$505)&gt;0,IF(SUMIF(OPERACIONES!$C$6:$C$505,A73,OPERACIONES!$F$6:$F$505)/SUMIF(OPERACIONES!$C$6:$C$505,A73,OPERACIONES!$E$6:$E$505)&gt;0.5,CONFIG!$B$20,IF(SUMIF(OPERACIONES!$C$6:$C$505,A73,OPERACIONES!$F$6:$F$505)&gt;0,CONFIG!$B$21,0)),0)+IF(COUNTIFS(OPERACIONES!$C$6:$C$505,A73,OPERACIONES!$AQ$6:$AQ$505,1)&gt;0,CONFIG!$B$22,0)+IF(COUNTIFS(OPERACIONES!$C$6:$C$505,A73,OPERACIONES!$H$6:$H$505,"Sí")&gt;0,CONFIG!$B$23,0))</f>
        <v/>
      </c>
      <c r="X73" s="9" t="str">
        <f aca="false">IF(A73="","",V73+W73)</f>
        <v/>
      </c>
      <c r="Y73" s="9" t="str">
        <f aca="false">IF(A73="","",IF(X73&lt;=CONFIG!$B$13,"Bajo",IF(X73&lt;=CONFIG!$B$14,"Medio","Alto")))</f>
        <v/>
      </c>
      <c r="Z73" s="25" t="str">
        <f aca="false">IF(A73="","",IF(OR(H73="Extranjera",AND(E73="No residente",G73="Sí"),I73="Sí"),"Alto",IF(T73&lt;&gt;"",T73,Y73)))</f>
        <v/>
      </c>
      <c r="AA73" s="26" t="str">
        <f aca="false">IF(A73="","",IF(H73="Extranjera","Alto obligatorio: PEP extranjera (RCG 23 Bis 4)",IF(AND(E73="No residente",G73="Sí"),"Alto obligatorio: no residente vinculado a jurisdicción de riesgo (RCG 23 Bis 4)",IF(I73="Sí","Alto por criterio: persona en listas. Evalúa no operar y Aviso de 24 h",IF(T73&lt;&gt;"","Ajuste del REC: "&amp;U73,"Modelo: "&amp;X73&amp;" puntos")))))</f>
        <v/>
      </c>
      <c r="AB73" s="23" t="str">
        <f aca="false">IF(A73="","",IF(COUNT(N73,O73)=0,"Falta fecha",EDATE(MAX(N73,O73),IF(Z73="Alto",CONFIG!$B$18,IF(Z73="Medio",CONFIG!$B$17,CONFIG!$B$16)))))</f>
        <v/>
      </c>
      <c r="AC73" s="23" t="str">
        <f aca="false">IF(A73="","",IF(ISNUMBER(S73),EDATE(S73,12),IF(ISNUMBER(N73),EDATE(N73,12),"Falta fecha")))</f>
        <v/>
      </c>
      <c r="AD73" s="26" t="str">
        <f aca="false">IF(A73="","",MID(IF(P73&lt;&gt;"Sí"," · Expediente incompleto","")&amp;IF(OR(Q73="",Q73="Pendiente")," · Falta el Beneficiario Controlador","")&amp;IF(M73=""," · Sin perfil transaccional","")&amp;IF(AND(ISNUMBER(AB73),AB73&lt;CONFIG!$B$6)," · Evaluación de riesgo vencida","")&amp;IF(AND(ISNUMBER(AC73),AC73&lt;CONFIG!$B$6)," · Verificación anual vencida","")&amp;IF(AND(ISNUMBER(R73),ISNUMBER(S73),S73-R73&gt;92)," · Comprobante de domicilio con más de 3 meses","")&amp;IF(AND(T73&lt;&gt;"",U73="")," · Ajuste del REC sin justificación",""),4,400))</f>
        <v/>
      </c>
      <c r="AE73" s="9" t="str">
        <f aca="false">IF(A73="","",IF(AD73="","Al día","Revisar"))</f>
        <v/>
      </c>
      <c r="AF73" s="9" t="str">
        <f aca="false">IF(A73="","",COUNTIF(OPERACIONES!$C$6:$C$505,A73)&amp;" / $"&amp;FIXED(SUMIF(OPERACIONES!$C$6:$C$505,A73,OPERACIONES!$E$6:$E$505),0))</f>
        <v/>
      </c>
    </row>
    <row r="74" customFormat="false" ht="15" hidden="false" customHeight="false" outlineLevel="0" collapsed="false">
      <c r="A74" s="21"/>
      <c r="B74" s="21"/>
      <c r="C74" s="21"/>
      <c r="D74" s="21"/>
      <c r="E74" s="21"/>
      <c r="F74" s="21"/>
      <c r="G74" s="21"/>
      <c r="H74" s="21"/>
      <c r="I74" s="21"/>
      <c r="J74" s="21"/>
      <c r="K74" s="21"/>
      <c r="L74" s="21"/>
      <c r="M74" s="22"/>
      <c r="N74" s="20"/>
      <c r="O74" s="20"/>
      <c r="P74" s="21"/>
      <c r="Q74" s="21"/>
      <c r="R74" s="20"/>
      <c r="S74" s="20"/>
      <c r="T74" s="21"/>
      <c r="U74" s="21"/>
      <c r="V74" s="9" t="str">
        <f aca="false">IF(A74="","",SUMIFS(CONFIG!$F$5:$F$26,CONFIG!$D$5:$D$26,"Tipo de persona",CONFIG!$E$5:$E$26,C74)+SUMIFS(CONFIG!$F$5:$F$26,CONFIG!$D$5:$D$26,"Residencia",CONFIG!$E$5:$E$26,E74)+SUMIFS(CONFIG!$F$5:$F$26,CONFIG!$D$5:$D$26,"Nacionalidad",CONFIG!$E$5:$E$26,F74)+SUMIFS(CONFIG!$F$5:$F$26,CONFIG!$D$5:$D$26,"Jurisdicción de riesgo",CONFIG!$E$5:$E$26,G74)+SUMIFS(CONFIG!$F$5:$F$26,CONFIG!$D$5:$D$26,"PEP",CONFIG!$E$5:$E$26,H74)+SUMIFS(CONFIG!$F$5:$F$26,CONFIG!$D$5:$D$26,"En listas",CONFIG!$E$5:$E$26,I74)+SUMIFS(CONFIG!$F$5:$F$26,CONFIG!$D$5:$D$26,"Riesgo de su actividad económica",CONFIG!$E$5:$E$26,J74)+SUMIFS(CONFIG!$F$5:$F$26,CONFIG!$D$5:$D$26,"Canal",CONFIG!$E$5:$E$26,K74)+SUMIFS(CONFIG!$F$5:$F$26,CONFIG!$D$5:$D$26,"Origen de recursos documentado",CONFIG!$E$5:$E$26,L74))</f>
        <v/>
      </c>
      <c r="W74" s="9" t="str">
        <f aca="false">IF(A74="","",IF(SUMIF(OPERACIONES!$C$6:$C$505,A74,OPERACIONES!$E$6:$E$505)&gt;0,IF(SUMIF(OPERACIONES!$C$6:$C$505,A74,OPERACIONES!$F$6:$F$505)/SUMIF(OPERACIONES!$C$6:$C$505,A74,OPERACIONES!$E$6:$E$505)&gt;0.5,CONFIG!$B$20,IF(SUMIF(OPERACIONES!$C$6:$C$505,A74,OPERACIONES!$F$6:$F$505)&gt;0,CONFIG!$B$21,0)),0)+IF(COUNTIFS(OPERACIONES!$C$6:$C$505,A74,OPERACIONES!$AQ$6:$AQ$505,1)&gt;0,CONFIG!$B$22,0)+IF(COUNTIFS(OPERACIONES!$C$6:$C$505,A74,OPERACIONES!$H$6:$H$505,"Sí")&gt;0,CONFIG!$B$23,0))</f>
        <v/>
      </c>
      <c r="X74" s="9" t="str">
        <f aca="false">IF(A74="","",V74+W74)</f>
        <v/>
      </c>
      <c r="Y74" s="9" t="str">
        <f aca="false">IF(A74="","",IF(X74&lt;=CONFIG!$B$13,"Bajo",IF(X74&lt;=CONFIG!$B$14,"Medio","Alto")))</f>
        <v/>
      </c>
      <c r="Z74" s="25" t="str">
        <f aca="false">IF(A74="","",IF(OR(H74="Extranjera",AND(E74="No residente",G74="Sí"),I74="Sí"),"Alto",IF(T74&lt;&gt;"",T74,Y74)))</f>
        <v/>
      </c>
      <c r="AA74" s="26" t="str">
        <f aca="false">IF(A74="","",IF(H74="Extranjera","Alto obligatorio: PEP extranjera (RCG 23 Bis 4)",IF(AND(E74="No residente",G74="Sí"),"Alto obligatorio: no residente vinculado a jurisdicción de riesgo (RCG 23 Bis 4)",IF(I74="Sí","Alto por criterio: persona en listas. Evalúa no operar y Aviso de 24 h",IF(T74&lt;&gt;"","Ajuste del REC: "&amp;U74,"Modelo: "&amp;X74&amp;" puntos")))))</f>
        <v/>
      </c>
      <c r="AB74" s="23" t="str">
        <f aca="false">IF(A74="","",IF(COUNT(N74,O74)=0,"Falta fecha",EDATE(MAX(N74,O74),IF(Z74="Alto",CONFIG!$B$18,IF(Z74="Medio",CONFIG!$B$17,CONFIG!$B$16)))))</f>
        <v/>
      </c>
      <c r="AC74" s="23" t="str">
        <f aca="false">IF(A74="","",IF(ISNUMBER(S74),EDATE(S74,12),IF(ISNUMBER(N74),EDATE(N74,12),"Falta fecha")))</f>
        <v/>
      </c>
      <c r="AD74" s="26" t="str">
        <f aca="false">IF(A74="","",MID(IF(P74&lt;&gt;"Sí"," · Expediente incompleto","")&amp;IF(OR(Q74="",Q74="Pendiente")," · Falta el Beneficiario Controlador","")&amp;IF(M74=""," · Sin perfil transaccional","")&amp;IF(AND(ISNUMBER(AB74),AB74&lt;CONFIG!$B$6)," · Evaluación de riesgo vencida","")&amp;IF(AND(ISNUMBER(AC74),AC74&lt;CONFIG!$B$6)," · Verificación anual vencida","")&amp;IF(AND(ISNUMBER(R74),ISNUMBER(S74),S74-R74&gt;92)," · Comprobante de domicilio con más de 3 meses","")&amp;IF(AND(T74&lt;&gt;"",U74="")," · Ajuste del REC sin justificación",""),4,400))</f>
        <v/>
      </c>
      <c r="AE74" s="9" t="str">
        <f aca="false">IF(A74="","",IF(AD74="","Al día","Revisar"))</f>
        <v/>
      </c>
      <c r="AF74" s="9" t="str">
        <f aca="false">IF(A74="","",COUNTIF(OPERACIONES!$C$6:$C$505,A74)&amp;" / $"&amp;FIXED(SUMIF(OPERACIONES!$C$6:$C$505,A74,OPERACIONES!$E$6:$E$505),0))</f>
        <v/>
      </c>
    </row>
    <row r="75" customFormat="false" ht="15" hidden="false" customHeight="false" outlineLevel="0" collapsed="false">
      <c r="A75" s="21"/>
      <c r="B75" s="21"/>
      <c r="C75" s="21"/>
      <c r="D75" s="21"/>
      <c r="E75" s="21"/>
      <c r="F75" s="21"/>
      <c r="G75" s="21"/>
      <c r="H75" s="21"/>
      <c r="I75" s="21"/>
      <c r="J75" s="21"/>
      <c r="K75" s="21"/>
      <c r="L75" s="21"/>
      <c r="M75" s="22"/>
      <c r="N75" s="20"/>
      <c r="O75" s="20"/>
      <c r="P75" s="21"/>
      <c r="Q75" s="21"/>
      <c r="R75" s="20"/>
      <c r="S75" s="20"/>
      <c r="T75" s="21"/>
      <c r="U75" s="21"/>
      <c r="V75" s="9" t="str">
        <f aca="false">IF(A75="","",SUMIFS(CONFIG!$F$5:$F$26,CONFIG!$D$5:$D$26,"Tipo de persona",CONFIG!$E$5:$E$26,C75)+SUMIFS(CONFIG!$F$5:$F$26,CONFIG!$D$5:$D$26,"Residencia",CONFIG!$E$5:$E$26,E75)+SUMIFS(CONFIG!$F$5:$F$26,CONFIG!$D$5:$D$26,"Nacionalidad",CONFIG!$E$5:$E$26,F75)+SUMIFS(CONFIG!$F$5:$F$26,CONFIG!$D$5:$D$26,"Jurisdicción de riesgo",CONFIG!$E$5:$E$26,G75)+SUMIFS(CONFIG!$F$5:$F$26,CONFIG!$D$5:$D$26,"PEP",CONFIG!$E$5:$E$26,H75)+SUMIFS(CONFIG!$F$5:$F$26,CONFIG!$D$5:$D$26,"En listas",CONFIG!$E$5:$E$26,I75)+SUMIFS(CONFIG!$F$5:$F$26,CONFIG!$D$5:$D$26,"Riesgo de su actividad económica",CONFIG!$E$5:$E$26,J75)+SUMIFS(CONFIG!$F$5:$F$26,CONFIG!$D$5:$D$26,"Canal",CONFIG!$E$5:$E$26,K75)+SUMIFS(CONFIG!$F$5:$F$26,CONFIG!$D$5:$D$26,"Origen de recursos documentado",CONFIG!$E$5:$E$26,L75))</f>
        <v/>
      </c>
      <c r="W75" s="9" t="str">
        <f aca="false">IF(A75="","",IF(SUMIF(OPERACIONES!$C$6:$C$505,A75,OPERACIONES!$E$6:$E$505)&gt;0,IF(SUMIF(OPERACIONES!$C$6:$C$505,A75,OPERACIONES!$F$6:$F$505)/SUMIF(OPERACIONES!$C$6:$C$505,A75,OPERACIONES!$E$6:$E$505)&gt;0.5,CONFIG!$B$20,IF(SUMIF(OPERACIONES!$C$6:$C$505,A75,OPERACIONES!$F$6:$F$505)&gt;0,CONFIG!$B$21,0)),0)+IF(COUNTIFS(OPERACIONES!$C$6:$C$505,A75,OPERACIONES!$AQ$6:$AQ$505,1)&gt;0,CONFIG!$B$22,0)+IF(COUNTIFS(OPERACIONES!$C$6:$C$505,A75,OPERACIONES!$H$6:$H$505,"Sí")&gt;0,CONFIG!$B$23,0))</f>
        <v/>
      </c>
      <c r="X75" s="9" t="str">
        <f aca="false">IF(A75="","",V75+W75)</f>
        <v/>
      </c>
      <c r="Y75" s="9" t="str">
        <f aca="false">IF(A75="","",IF(X75&lt;=CONFIG!$B$13,"Bajo",IF(X75&lt;=CONFIG!$B$14,"Medio","Alto")))</f>
        <v/>
      </c>
      <c r="Z75" s="25" t="str">
        <f aca="false">IF(A75="","",IF(OR(H75="Extranjera",AND(E75="No residente",G75="Sí"),I75="Sí"),"Alto",IF(T75&lt;&gt;"",T75,Y75)))</f>
        <v/>
      </c>
      <c r="AA75" s="26" t="str">
        <f aca="false">IF(A75="","",IF(H75="Extranjera","Alto obligatorio: PEP extranjera (RCG 23 Bis 4)",IF(AND(E75="No residente",G75="Sí"),"Alto obligatorio: no residente vinculado a jurisdicción de riesgo (RCG 23 Bis 4)",IF(I75="Sí","Alto por criterio: persona en listas. Evalúa no operar y Aviso de 24 h",IF(T75&lt;&gt;"","Ajuste del REC: "&amp;U75,"Modelo: "&amp;X75&amp;" puntos")))))</f>
        <v/>
      </c>
      <c r="AB75" s="23" t="str">
        <f aca="false">IF(A75="","",IF(COUNT(N75,O75)=0,"Falta fecha",EDATE(MAX(N75,O75),IF(Z75="Alto",CONFIG!$B$18,IF(Z75="Medio",CONFIG!$B$17,CONFIG!$B$16)))))</f>
        <v/>
      </c>
      <c r="AC75" s="23" t="str">
        <f aca="false">IF(A75="","",IF(ISNUMBER(S75),EDATE(S75,12),IF(ISNUMBER(N75),EDATE(N75,12),"Falta fecha")))</f>
        <v/>
      </c>
      <c r="AD75" s="26" t="str">
        <f aca="false">IF(A75="","",MID(IF(P75&lt;&gt;"Sí"," · Expediente incompleto","")&amp;IF(OR(Q75="",Q75="Pendiente")," · Falta el Beneficiario Controlador","")&amp;IF(M75=""," · Sin perfil transaccional","")&amp;IF(AND(ISNUMBER(AB75),AB75&lt;CONFIG!$B$6)," · Evaluación de riesgo vencida","")&amp;IF(AND(ISNUMBER(AC75),AC75&lt;CONFIG!$B$6)," · Verificación anual vencida","")&amp;IF(AND(ISNUMBER(R75),ISNUMBER(S75),S75-R75&gt;92)," · Comprobante de domicilio con más de 3 meses","")&amp;IF(AND(T75&lt;&gt;"",U75="")," · Ajuste del REC sin justificación",""),4,400))</f>
        <v/>
      </c>
      <c r="AE75" s="9" t="str">
        <f aca="false">IF(A75="","",IF(AD75="","Al día","Revisar"))</f>
        <v/>
      </c>
      <c r="AF75" s="9" t="str">
        <f aca="false">IF(A75="","",COUNTIF(OPERACIONES!$C$6:$C$505,A75)&amp;" / $"&amp;FIXED(SUMIF(OPERACIONES!$C$6:$C$505,A75,OPERACIONES!$E$6:$E$505),0))</f>
        <v/>
      </c>
    </row>
    <row r="76" customFormat="false" ht="15" hidden="false" customHeight="false" outlineLevel="0" collapsed="false">
      <c r="A76" s="21"/>
      <c r="B76" s="21"/>
      <c r="C76" s="21"/>
      <c r="D76" s="21"/>
      <c r="E76" s="21"/>
      <c r="F76" s="21"/>
      <c r="G76" s="21"/>
      <c r="H76" s="21"/>
      <c r="I76" s="21"/>
      <c r="J76" s="21"/>
      <c r="K76" s="21"/>
      <c r="L76" s="21"/>
      <c r="M76" s="22"/>
      <c r="N76" s="20"/>
      <c r="O76" s="20"/>
      <c r="P76" s="21"/>
      <c r="Q76" s="21"/>
      <c r="R76" s="20"/>
      <c r="S76" s="20"/>
      <c r="T76" s="21"/>
      <c r="U76" s="21"/>
      <c r="V76" s="9" t="str">
        <f aca="false">IF(A76="","",SUMIFS(CONFIG!$F$5:$F$26,CONFIG!$D$5:$D$26,"Tipo de persona",CONFIG!$E$5:$E$26,C76)+SUMIFS(CONFIG!$F$5:$F$26,CONFIG!$D$5:$D$26,"Residencia",CONFIG!$E$5:$E$26,E76)+SUMIFS(CONFIG!$F$5:$F$26,CONFIG!$D$5:$D$26,"Nacionalidad",CONFIG!$E$5:$E$26,F76)+SUMIFS(CONFIG!$F$5:$F$26,CONFIG!$D$5:$D$26,"Jurisdicción de riesgo",CONFIG!$E$5:$E$26,G76)+SUMIFS(CONFIG!$F$5:$F$26,CONFIG!$D$5:$D$26,"PEP",CONFIG!$E$5:$E$26,H76)+SUMIFS(CONFIG!$F$5:$F$26,CONFIG!$D$5:$D$26,"En listas",CONFIG!$E$5:$E$26,I76)+SUMIFS(CONFIG!$F$5:$F$26,CONFIG!$D$5:$D$26,"Riesgo de su actividad económica",CONFIG!$E$5:$E$26,J76)+SUMIFS(CONFIG!$F$5:$F$26,CONFIG!$D$5:$D$26,"Canal",CONFIG!$E$5:$E$26,K76)+SUMIFS(CONFIG!$F$5:$F$26,CONFIG!$D$5:$D$26,"Origen de recursos documentado",CONFIG!$E$5:$E$26,L76))</f>
        <v/>
      </c>
      <c r="W76" s="9" t="str">
        <f aca="false">IF(A76="","",IF(SUMIF(OPERACIONES!$C$6:$C$505,A76,OPERACIONES!$E$6:$E$505)&gt;0,IF(SUMIF(OPERACIONES!$C$6:$C$505,A76,OPERACIONES!$F$6:$F$505)/SUMIF(OPERACIONES!$C$6:$C$505,A76,OPERACIONES!$E$6:$E$505)&gt;0.5,CONFIG!$B$20,IF(SUMIF(OPERACIONES!$C$6:$C$505,A76,OPERACIONES!$F$6:$F$505)&gt;0,CONFIG!$B$21,0)),0)+IF(COUNTIFS(OPERACIONES!$C$6:$C$505,A76,OPERACIONES!$AQ$6:$AQ$505,1)&gt;0,CONFIG!$B$22,0)+IF(COUNTIFS(OPERACIONES!$C$6:$C$505,A76,OPERACIONES!$H$6:$H$505,"Sí")&gt;0,CONFIG!$B$23,0))</f>
        <v/>
      </c>
      <c r="X76" s="9" t="str">
        <f aca="false">IF(A76="","",V76+W76)</f>
        <v/>
      </c>
      <c r="Y76" s="9" t="str">
        <f aca="false">IF(A76="","",IF(X76&lt;=CONFIG!$B$13,"Bajo",IF(X76&lt;=CONFIG!$B$14,"Medio","Alto")))</f>
        <v/>
      </c>
      <c r="Z76" s="25" t="str">
        <f aca="false">IF(A76="","",IF(OR(H76="Extranjera",AND(E76="No residente",G76="Sí"),I76="Sí"),"Alto",IF(T76&lt;&gt;"",T76,Y76)))</f>
        <v/>
      </c>
      <c r="AA76" s="26" t="str">
        <f aca="false">IF(A76="","",IF(H76="Extranjera","Alto obligatorio: PEP extranjera (RCG 23 Bis 4)",IF(AND(E76="No residente",G76="Sí"),"Alto obligatorio: no residente vinculado a jurisdicción de riesgo (RCG 23 Bis 4)",IF(I76="Sí","Alto por criterio: persona en listas. Evalúa no operar y Aviso de 24 h",IF(T76&lt;&gt;"","Ajuste del REC: "&amp;U76,"Modelo: "&amp;X76&amp;" puntos")))))</f>
        <v/>
      </c>
      <c r="AB76" s="23" t="str">
        <f aca="false">IF(A76="","",IF(COUNT(N76,O76)=0,"Falta fecha",EDATE(MAX(N76,O76),IF(Z76="Alto",CONFIG!$B$18,IF(Z76="Medio",CONFIG!$B$17,CONFIG!$B$16)))))</f>
        <v/>
      </c>
      <c r="AC76" s="23" t="str">
        <f aca="false">IF(A76="","",IF(ISNUMBER(S76),EDATE(S76,12),IF(ISNUMBER(N76),EDATE(N76,12),"Falta fecha")))</f>
        <v/>
      </c>
      <c r="AD76" s="26" t="str">
        <f aca="false">IF(A76="","",MID(IF(P76&lt;&gt;"Sí"," · Expediente incompleto","")&amp;IF(OR(Q76="",Q76="Pendiente")," · Falta el Beneficiario Controlador","")&amp;IF(M76=""," · Sin perfil transaccional","")&amp;IF(AND(ISNUMBER(AB76),AB76&lt;CONFIG!$B$6)," · Evaluación de riesgo vencida","")&amp;IF(AND(ISNUMBER(AC76),AC76&lt;CONFIG!$B$6)," · Verificación anual vencida","")&amp;IF(AND(ISNUMBER(R76),ISNUMBER(S76),S76-R76&gt;92)," · Comprobante de domicilio con más de 3 meses","")&amp;IF(AND(T76&lt;&gt;"",U76="")," · Ajuste del REC sin justificación",""),4,400))</f>
        <v/>
      </c>
      <c r="AE76" s="9" t="str">
        <f aca="false">IF(A76="","",IF(AD76="","Al día","Revisar"))</f>
        <v/>
      </c>
      <c r="AF76" s="9" t="str">
        <f aca="false">IF(A76="","",COUNTIF(OPERACIONES!$C$6:$C$505,A76)&amp;" / $"&amp;FIXED(SUMIF(OPERACIONES!$C$6:$C$505,A76,OPERACIONES!$E$6:$E$505),0))</f>
        <v/>
      </c>
    </row>
    <row r="77" customFormat="false" ht="15" hidden="false" customHeight="false" outlineLevel="0" collapsed="false">
      <c r="A77" s="21"/>
      <c r="B77" s="21"/>
      <c r="C77" s="21"/>
      <c r="D77" s="21"/>
      <c r="E77" s="21"/>
      <c r="F77" s="21"/>
      <c r="G77" s="21"/>
      <c r="H77" s="21"/>
      <c r="I77" s="21"/>
      <c r="J77" s="21"/>
      <c r="K77" s="21"/>
      <c r="L77" s="21"/>
      <c r="M77" s="22"/>
      <c r="N77" s="20"/>
      <c r="O77" s="20"/>
      <c r="P77" s="21"/>
      <c r="Q77" s="21"/>
      <c r="R77" s="20"/>
      <c r="S77" s="20"/>
      <c r="T77" s="21"/>
      <c r="U77" s="21"/>
      <c r="V77" s="9" t="str">
        <f aca="false">IF(A77="","",SUMIFS(CONFIG!$F$5:$F$26,CONFIG!$D$5:$D$26,"Tipo de persona",CONFIG!$E$5:$E$26,C77)+SUMIFS(CONFIG!$F$5:$F$26,CONFIG!$D$5:$D$26,"Residencia",CONFIG!$E$5:$E$26,E77)+SUMIFS(CONFIG!$F$5:$F$26,CONFIG!$D$5:$D$26,"Nacionalidad",CONFIG!$E$5:$E$26,F77)+SUMIFS(CONFIG!$F$5:$F$26,CONFIG!$D$5:$D$26,"Jurisdicción de riesgo",CONFIG!$E$5:$E$26,G77)+SUMIFS(CONFIG!$F$5:$F$26,CONFIG!$D$5:$D$26,"PEP",CONFIG!$E$5:$E$26,H77)+SUMIFS(CONFIG!$F$5:$F$26,CONFIG!$D$5:$D$26,"En listas",CONFIG!$E$5:$E$26,I77)+SUMIFS(CONFIG!$F$5:$F$26,CONFIG!$D$5:$D$26,"Riesgo de su actividad económica",CONFIG!$E$5:$E$26,J77)+SUMIFS(CONFIG!$F$5:$F$26,CONFIG!$D$5:$D$26,"Canal",CONFIG!$E$5:$E$26,K77)+SUMIFS(CONFIG!$F$5:$F$26,CONFIG!$D$5:$D$26,"Origen de recursos documentado",CONFIG!$E$5:$E$26,L77))</f>
        <v/>
      </c>
      <c r="W77" s="9" t="str">
        <f aca="false">IF(A77="","",IF(SUMIF(OPERACIONES!$C$6:$C$505,A77,OPERACIONES!$E$6:$E$505)&gt;0,IF(SUMIF(OPERACIONES!$C$6:$C$505,A77,OPERACIONES!$F$6:$F$505)/SUMIF(OPERACIONES!$C$6:$C$505,A77,OPERACIONES!$E$6:$E$505)&gt;0.5,CONFIG!$B$20,IF(SUMIF(OPERACIONES!$C$6:$C$505,A77,OPERACIONES!$F$6:$F$505)&gt;0,CONFIG!$B$21,0)),0)+IF(COUNTIFS(OPERACIONES!$C$6:$C$505,A77,OPERACIONES!$AQ$6:$AQ$505,1)&gt;0,CONFIG!$B$22,0)+IF(COUNTIFS(OPERACIONES!$C$6:$C$505,A77,OPERACIONES!$H$6:$H$505,"Sí")&gt;0,CONFIG!$B$23,0))</f>
        <v/>
      </c>
      <c r="X77" s="9" t="str">
        <f aca="false">IF(A77="","",V77+W77)</f>
        <v/>
      </c>
      <c r="Y77" s="9" t="str">
        <f aca="false">IF(A77="","",IF(X77&lt;=CONFIG!$B$13,"Bajo",IF(X77&lt;=CONFIG!$B$14,"Medio","Alto")))</f>
        <v/>
      </c>
      <c r="Z77" s="25" t="str">
        <f aca="false">IF(A77="","",IF(OR(H77="Extranjera",AND(E77="No residente",G77="Sí"),I77="Sí"),"Alto",IF(T77&lt;&gt;"",T77,Y77)))</f>
        <v/>
      </c>
      <c r="AA77" s="26" t="str">
        <f aca="false">IF(A77="","",IF(H77="Extranjera","Alto obligatorio: PEP extranjera (RCG 23 Bis 4)",IF(AND(E77="No residente",G77="Sí"),"Alto obligatorio: no residente vinculado a jurisdicción de riesgo (RCG 23 Bis 4)",IF(I77="Sí","Alto por criterio: persona en listas. Evalúa no operar y Aviso de 24 h",IF(T77&lt;&gt;"","Ajuste del REC: "&amp;U77,"Modelo: "&amp;X77&amp;" puntos")))))</f>
        <v/>
      </c>
      <c r="AB77" s="23" t="str">
        <f aca="false">IF(A77="","",IF(COUNT(N77,O77)=0,"Falta fecha",EDATE(MAX(N77,O77),IF(Z77="Alto",CONFIG!$B$18,IF(Z77="Medio",CONFIG!$B$17,CONFIG!$B$16)))))</f>
        <v/>
      </c>
      <c r="AC77" s="23" t="str">
        <f aca="false">IF(A77="","",IF(ISNUMBER(S77),EDATE(S77,12),IF(ISNUMBER(N77),EDATE(N77,12),"Falta fecha")))</f>
        <v/>
      </c>
      <c r="AD77" s="26" t="str">
        <f aca="false">IF(A77="","",MID(IF(P77&lt;&gt;"Sí"," · Expediente incompleto","")&amp;IF(OR(Q77="",Q77="Pendiente")," · Falta el Beneficiario Controlador","")&amp;IF(M77=""," · Sin perfil transaccional","")&amp;IF(AND(ISNUMBER(AB77),AB77&lt;CONFIG!$B$6)," · Evaluación de riesgo vencida","")&amp;IF(AND(ISNUMBER(AC77),AC77&lt;CONFIG!$B$6)," · Verificación anual vencida","")&amp;IF(AND(ISNUMBER(R77),ISNUMBER(S77),S77-R77&gt;92)," · Comprobante de domicilio con más de 3 meses","")&amp;IF(AND(T77&lt;&gt;"",U77="")," · Ajuste del REC sin justificación",""),4,400))</f>
        <v/>
      </c>
      <c r="AE77" s="9" t="str">
        <f aca="false">IF(A77="","",IF(AD77="","Al día","Revisar"))</f>
        <v/>
      </c>
      <c r="AF77" s="9" t="str">
        <f aca="false">IF(A77="","",COUNTIF(OPERACIONES!$C$6:$C$505,A77)&amp;" / $"&amp;FIXED(SUMIF(OPERACIONES!$C$6:$C$505,A77,OPERACIONES!$E$6:$E$505),0))</f>
        <v/>
      </c>
    </row>
    <row r="78" customFormat="false" ht="15" hidden="false" customHeight="false" outlineLevel="0" collapsed="false">
      <c r="A78" s="21"/>
      <c r="B78" s="21"/>
      <c r="C78" s="21"/>
      <c r="D78" s="21"/>
      <c r="E78" s="21"/>
      <c r="F78" s="21"/>
      <c r="G78" s="21"/>
      <c r="H78" s="21"/>
      <c r="I78" s="21"/>
      <c r="J78" s="21"/>
      <c r="K78" s="21"/>
      <c r="L78" s="21"/>
      <c r="M78" s="22"/>
      <c r="N78" s="20"/>
      <c r="O78" s="20"/>
      <c r="P78" s="21"/>
      <c r="Q78" s="21"/>
      <c r="R78" s="20"/>
      <c r="S78" s="20"/>
      <c r="T78" s="21"/>
      <c r="U78" s="21"/>
      <c r="V78" s="9" t="str">
        <f aca="false">IF(A78="","",SUMIFS(CONFIG!$F$5:$F$26,CONFIG!$D$5:$D$26,"Tipo de persona",CONFIG!$E$5:$E$26,C78)+SUMIFS(CONFIG!$F$5:$F$26,CONFIG!$D$5:$D$26,"Residencia",CONFIG!$E$5:$E$26,E78)+SUMIFS(CONFIG!$F$5:$F$26,CONFIG!$D$5:$D$26,"Nacionalidad",CONFIG!$E$5:$E$26,F78)+SUMIFS(CONFIG!$F$5:$F$26,CONFIG!$D$5:$D$26,"Jurisdicción de riesgo",CONFIG!$E$5:$E$26,G78)+SUMIFS(CONFIG!$F$5:$F$26,CONFIG!$D$5:$D$26,"PEP",CONFIG!$E$5:$E$26,H78)+SUMIFS(CONFIG!$F$5:$F$26,CONFIG!$D$5:$D$26,"En listas",CONFIG!$E$5:$E$26,I78)+SUMIFS(CONFIG!$F$5:$F$26,CONFIG!$D$5:$D$26,"Riesgo de su actividad económica",CONFIG!$E$5:$E$26,J78)+SUMIFS(CONFIG!$F$5:$F$26,CONFIG!$D$5:$D$26,"Canal",CONFIG!$E$5:$E$26,K78)+SUMIFS(CONFIG!$F$5:$F$26,CONFIG!$D$5:$D$26,"Origen de recursos documentado",CONFIG!$E$5:$E$26,L78))</f>
        <v/>
      </c>
      <c r="W78" s="9" t="str">
        <f aca="false">IF(A78="","",IF(SUMIF(OPERACIONES!$C$6:$C$505,A78,OPERACIONES!$E$6:$E$505)&gt;0,IF(SUMIF(OPERACIONES!$C$6:$C$505,A78,OPERACIONES!$F$6:$F$505)/SUMIF(OPERACIONES!$C$6:$C$505,A78,OPERACIONES!$E$6:$E$505)&gt;0.5,CONFIG!$B$20,IF(SUMIF(OPERACIONES!$C$6:$C$505,A78,OPERACIONES!$F$6:$F$505)&gt;0,CONFIG!$B$21,0)),0)+IF(COUNTIFS(OPERACIONES!$C$6:$C$505,A78,OPERACIONES!$AQ$6:$AQ$505,1)&gt;0,CONFIG!$B$22,0)+IF(COUNTIFS(OPERACIONES!$C$6:$C$505,A78,OPERACIONES!$H$6:$H$505,"Sí")&gt;0,CONFIG!$B$23,0))</f>
        <v/>
      </c>
      <c r="X78" s="9" t="str">
        <f aca="false">IF(A78="","",V78+W78)</f>
        <v/>
      </c>
      <c r="Y78" s="9" t="str">
        <f aca="false">IF(A78="","",IF(X78&lt;=CONFIG!$B$13,"Bajo",IF(X78&lt;=CONFIG!$B$14,"Medio","Alto")))</f>
        <v/>
      </c>
      <c r="Z78" s="25" t="str">
        <f aca="false">IF(A78="","",IF(OR(H78="Extranjera",AND(E78="No residente",G78="Sí"),I78="Sí"),"Alto",IF(T78&lt;&gt;"",T78,Y78)))</f>
        <v/>
      </c>
      <c r="AA78" s="26" t="str">
        <f aca="false">IF(A78="","",IF(H78="Extranjera","Alto obligatorio: PEP extranjera (RCG 23 Bis 4)",IF(AND(E78="No residente",G78="Sí"),"Alto obligatorio: no residente vinculado a jurisdicción de riesgo (RCG 23 Bis 4)",IF(I78="Sí","Alto por criterio: persona en listas. Evalúa no operar y Aviso de 24 h",IF(T78&lt;&gt;"","Ajuste del REC: "&amp;U78,"Modelo: "&amp;X78&amp;" puntos")))))</f>
        <v/>
      </c>
      <c r="AB78" s="23" t="str">
        <f aca="false">IF(A78="","",IF(COUNT(N78,O78)=0,"Falta fecha",EDATE(MAX(N78,O78),IF(Z78="Alto",CONFIG!$B$18,IF(Z78="Medio",CONFIG!$B$17,CONFIG!$B$16)))))</f>
        <v/>
      </c>
      <c r="AC78" s="23" t="str">
        <f aca="false">IF(A78="","",IF(ISNUMBER(S78),EDATE(S78,12),IF(ISNUMBER(N78),EDATE(N78,12),"Falta fecha")))</f>
        <v/>
      </c>
      <c r="AD78" s="26" t="str">
        <f aca="false">IF(A78="","",MID(IF(P78&lt;&gt;"Sí"," · Expediente incompleto","")&amp;IF(OR(Q78="",Q78="Pendiente")," · Falta el Beneficiario Controlador","")&amp;IF(M78=""," · Sin perfil transaccional","")&amp;IF(AND(ISNUMBER(AB78),AB78&lt;CONFIG!$B$6)," · Evaluación de riesgo vencida","")&amp;IF(AND(ISNUMBER(AC78),AC78&lt;CONFIG!$B$6)," · Verificación anual vencida","")&amp;IF(AND(ISNUMBER(R78),ISNUMBER(S78),S78-R78&gt;92)," · Comprobante de domicilio con más de 3 meses","")&amp;IF(AND(T78&lt;&gt;"",U78="")," · Ajuste del REC sin justificación",""),4,400))</f>
        <v/>
      </c>
      <c r="AE78" s="9" t="str">
        <f aca="false">IF(A78="","",IF(AD78="","Al día","Revisar"))</f>
        <v/>
      </c>
      <c r="AF78" s="9" t="str">
        <f aca="false">IF(A78="","",COUNTIF(OPERACIONES!$C$6:$C$505,A78)&amp;" / $"&amp;FIXED(SUMIF(OPERACIONES!$C$6:$C$505,A78,OPERACIONES!$E$6:$E$505),0))</f>
        <v/>
      </c>
    </row>
    <row r="79" customFormat="false" ht="15" hidden="false" customHeight="false" outlineLevel="0" collapsed="false">
      <c r="A79" s="21"/>
      <c r="B79" s="21"/>
      <c r="C79" s="21"/>
      <c r="D79" s="21"/>
      <c r="E79" s="21"/>
      <c r="F79" s="21"/>
      <c r="G79" s="21"/>
      <c r="H79" s="21"/>
      <c r="I79" s="21"/>
      <c r="J79" s="21"/>
      <c r="K79" s="21"/>
      <c r="L79" s="21"/>
      <c r="M79" s="22"/>
      <c r="N79" s="20"/>
      <c r="O79" s="20"/>
      <c r="P79" s="21"/>
      <c r="Q79" s="21"/>
      <c r="R79" s="20"/>
      <c r="S79" s="20"/>
      <c r="T79" s="21"/>
      <c r="U79" s="21"/>
      <c r="V79" s="9" t="str">
        <f aca="false">IF(A79="","",SUMIFS(CONFIG!$F$5:$F$26,CONFIG!$D$5:$D$26,"Tipo de persona",CONFIG!$E$5:$E$26,C79)+SUMIFS(CONFIG!$F$5:$F$26,CONFIG!$D$5:$D$26,"Residencia",CONFIG!$E$5:$E$26,E79)+SUMIFS(CONFIG!$F$5:$F$26,CONFIG!$D$5:$D$26,"Nacionalidad",CONFIG!$E$5:$E$26,F79)+SUMIFS(CONFIG!$F$5:$F$26,CONFIG!$D$5:$D$26,"Jurisdicción de riesgo",CONFIG!$E$5:$E$26,G79)+SUMIFS(CONFIG!$F$5:$F$26,CONFIG!$D$5:$D$26,"PEP",CONFIG!$E$5:$E$26,H79)+SUMIFS(CONFIG!$F$5:$F$26,CONFIG!$D$5:$D$26,"En listas",CONFIG!$E$5:$E$26,I79)+SUMIFS(CONFIG!$F$5:$F$26,CONFIG!$D$5:$D$26,"Riesgo de su actividad económica",CONFIG!$E$5:$E$26,J79)+SUMIFS(CONFIG!$F$5:$F$26,CONFIG!$D$5:$D$26,"Canal",CONFIG!$E$5:$E$26,K79)+SUMIFS(CONFIG!$F$5:$F$26,CONFIG!$D$5:$D$26,"Origen de recursos documentado",CONFIG!$E$5:$E$26,L79))</f>
        <v/>
      </c>
      <c r="W79" s="9" t="str">
        <f aca="false">IF(A79="","",IF(SUMIF(OPERACIONES!$C$6:$C$505,A79,OPERACIONES!$E$6:$E$505)&gt;0,IF(SUMIF(OPERACIONES!$C$6:$C$505,A79,OPERACIONES!$F$6:$F$505)/SUMIF(OPERACIONES!$C$6:$C$505,A79,OPERACIONES!$E$6:$E$505)&gt;0.5,CONFIG!$B$20,IF(SUMIF(OPERACIONES!$C$6:$C$505,A79,OPERACIONES!$F$6:$F$505)&gt;0,CONFIG!$B$21,0)),0)+IF(COUNTIFS(OPERACIONES!$C$6:$C$505,A79,OPERACIONES!$AQ$6:$AQ$505,1)&gt;0,CONFIG!$B$22,0)+IF(COUNTIFS(OPERACIONES!$C$6:$C$505,A79,OPERACIONES!$H$6:$H$505,"Sí")&gt;0,CONFIG!$B$23,0))</f>
        <v/>
      </c>
      <c r="X79" s="9" t="str">
        <f aca="false">IF(A79="","",V79+W79)</f>
        <v/>
      </c>
      <c r="Y79" s="9" t="str">
        <f aca="false">IF(A79="","",IF(X79&lt;=CONFIG!$B$13,"Bajo",IF(X79&lt;=CONFIG!$B$14,"Medio","Alto")))</f>
        <v/>
      </c>
      <c r="Z79" s="25" t="str">
        <f aca="false">IF(A79="","",IF(OR(H79="Extranjera",AND(E79="No residente",G79="Sí"),I79="Sí"),"Alto",IF(T79&lt;&gt;"",T79,Y79)))</f>
        <v/>
      </c>
      <c r="AA79" s="26" t="str">
        <f aca="false">IF(A79="","",IF(H79="Extranjera","Alto obligatorio: PEP extranjera (RCG 23 Bis 4)",IF(AND(E79="No residente",G79="Sí"),"Alto obligatorio: no residente vinculado a jurisdicción de riesgo (RCG 23 Bis 4)",IF(I79="Sí","Alto por criterio: persona en listas. Evalúa no operar y Aviso de 24 h",IF(T79&lt;&gt;"","Ajuste del REC: "&amp;U79,"Modelo: "&amp;X79&amp;" puntos")))))</f>
        <v/>
      </c>
      <c r="AB79" s="23" t="str">
        <f aca="false">IF(A79="","",IF(COUNT(N79,O79)=0,"Falta fecha",EDATE(MAX(N79,O79),IF(Z79="Alto",CONFIG!$B$18,IF(Z79="Medio",CONFIG!$B$17,CONFIG!$B$16)))))</f>
        <v/>
      </c>
      <c r="AC79" s="23" t="str">
        <f aca="false">IF(A79="","",IF(ISNUMBER(S79),EDATE(S79,12),IF(ISNUMBER(N79),EDATE(N79,12),"Falta fecha")))</f>
        <v/>
      </c>
      <c r="AD79" s="26" t="str">
        <f aca="false">IF(A79="","",MID(IF(P79&lt;&gt;"Sí"," · Expediente incompleto","")&amp;IF(OR(Q79="",Q79="Pendiente")," · Falta el Beneficiario Controlador","")&amp;IF(M79=""," · Sin perfil transaccional","")&amp;IF(AND(ISNUMBER(AB79),AB79&lt;CONFIG!$B$6)," · Evaluación de riesgo vencida","")&amp;IF(AND(ISNUMBER(AC79),AC79&lt;CONFIG!$B$6)," · Verificación anual vencida","")&amp;IF(AND(ISNUMBER(R79),ISNUMBER(S79),S79-R79&gt;92)," · Comprobante de domicilio con más de 3 meses","")&amp;IF(AND(T79&lt;&gt;"",U79="")," · Ajuste del REC sin justificación",""),4,400))</f>
        <v/>
      </c>
      <c r="AE79" s="9" t="str">
        <f aca="false">IF(A79="","",IF(AD79="","Al día","Revisar"))</f>
        <v/>
      </c>
      <c r="AF79" s="9" t="str">
        <f aca="false">IF(A79="","",COUNTIF(OPERACIONES!$C$6:$C$505,A79)&amp;" / $"&amp;FIXED(SUMIF(OPERACIONES!$C$6:$C$505,A79,OPERACIONES!$E$6:$E$505),0))</f>
        <v/>
      </c>
    </row>
    <row r="80" customFormat="false" ht="15" hidden="false" customHeight="false" outlineLevel="0" collapsed="false">
      <c r="A80" s="21"/>
      <c r="B80" s="21"/>
      <c r="C80" s="21"/>
      <c r="D80" s="21"/>
      <c r="E80" s="21"/>
      <c r="F80" s="21"/>
      <c r="G80" s="21"/>
      <c r="H80" s="21"/>
      <c r="I80" s="21"/>
      <c r="J80" s="21"/>
      <c r="K80" s="21"/>
      <c r="L80" s="21"/>
      <c r="M80" s="22"/>
      <c r="N80" s="20"/>
      <c r="O80" s="20"/>
      <c r="P80" s="21"/>
      <c r="Q80" s="21"/>
      <c r="R80" s="20"/>
      <c r="S80" s="20"/>
      <c r="T80" s="21"/>
      <c r="U80" s="21"/>
      <c r="V80" s="9" t="str">
        <f aca="false">IF(A80="","",SUMIFS(CONFIG!$F$5:$F$26,CONFIG!$D$5:$D$26,"Tipo de persona",CONFIG!$E$5:$E$26,C80)+SUMIFS(CONFIG!$F$5:$F$26,CONFIG!$D$5:$D$26,"Residencia",CONFIG!$E$5:$E$26,E80)+SUMIFS(CONFIG!$F$5:$F$26,CONFIG!$D$5:$D$26,"Nacionalidad",CONFIG!$E$5:$E$26,F80)+SUMIFS(CONFIG!$F$5:$F$26,CONFIG!$D$5:$D$26,"Jurisdicción de riesgo",CONFIG!$E$5:$E$26,G80)+SUMIFS(CONFIG!$F$5:$F$26,CONFIG!$D$5:$D$26,"PEP",CONFIG!$E$5:$E$26,H80)+SUMIFS(CONFIG!$F$5:$F$26,CONFIG!$D$5:$D$26,"En listas",CONFIG!$E$5:$E$26,I80)+SUMIFS(CONFIG!$F$5:$F$26,CONFIG!$D$5:$D$26,"Riesgo de su actividad económica",CONFIG!$E$5:$E$26,J80)+SUMIFS(CONFIG!$F$5:$F$26,CONFIG!$D$5:$D$26,"Canal",CONFIG!$E$5:$E$26,K80)+SUMIFS(CONFIG!$F$5:$F$26,CONFIG!$D$5:$D$26,"Origen de recursos documentado",CONFIG!$E$5:$E$26,L80))</f>
        <v/>
      </c>
      <c r="W80" s="9" t="str">
        <f aca="false">IF(A80="","",IF(SUMIF(OPERACIONES!$C$6:$C$505,A80,OPERACIONES!$E$6:$E$505)&gt;0,IF(SUMIF(OPERACIONES!$C$6:$C$505,A80,OPERACIONES!$F$6:$F$505)/SUMIF(OPERACIONES!$C$6:$C$505,A80,OPERACIONES!$E$6:$E$505)&gt;0.5,CONFIG!$B$20,IF(SUMIF(OPERACIONES!$C$6:$C$505,A80,OPERACIONES!$F$6:$F$505)&gt;0,CONFIG!$B$21,0)),0)+IF(COUNTIFS(OPERACIONES!$C$6:$C$505,A80,OPERACIONES!$AQ$6:$AQ$505,1)&gt;0,CONFIG!$B$22,0)+IF(COUNTIFS(OPERACIONES!$C$6:$C$505,A80,OPERACIONES!$H$6:$H$505,"Sí")&gt;0,CONFIG!$B$23,0))</f>
        <v/>
      </c>
      <c r="X80" s="9" t="str">
        <f aca="false">IF(A80="","",V80+W80)</f>
        <v/>
      </c>
      <c r="Y80" s="9" t="str">
        <f aca="false">IF(A80="","",IF(X80&lt;=CONFIG!$B$13,"Bajo",IF(X80&lt;=CONFIG!$B$14,"Medio","Alto")))</f>
        <v/>
      </c>
      <c r="Z80" s="25" t="str">
        <f aca="false">IF(A80="","",IF(OR(H80="Extranjera",AND(E80="No residente",G80="Sí"),I80="Sí"),"Alto",IF(T80&lt;&gt;"",T80,Y80)))</f>
        <v/>
      </c>
      <c r="AA80" s="26" t="str">
        <f aca="false">IF(A80="","",IF(H80="Extranjera","Alto obligatorio: PEP extranjera (RCG 23 Bis 4)",IF(AND(E80="No residente",G80="Sí"),"Alto obligatorio: no residente vinculado a jurisdicción de riesgo (RCG 23 Bis 4)",IF(I80="Sí","Alto por criterio: persona en listas. Evalúa no operar y Aviso de 24 h",IF(T80&lt;&gt;"","Ajuste del REC: "&amp;U80,"Modelo: "&amp;X80&amp;" puntos")))))</f>
        <v/>
      </c>
      <c r="AB80" s="23" t="str">
        <f aca="false">IF(A80="","",IF(COUNT(N80,O80)=0,"Falta fecha",EDATE(MAX(N80,O80),IF(Z80="Alto",CONFIG!$B$18,IF(Z80="Medio",CONFIG!$B$17,CONFIG!$B$16)))))</f>
        <v/>
      </c>
      <c r="AC80" s="23" t="str">
        <f aca="false">IF(A80="","",IF(ISNUMBER(S80),EDATE(S80,12),IF(ISNUMBER(N80),EDATE(N80,12),"Falta fecha")))</f>
        <v/>
      </c>
      <c r="AD80" s="26" t="str">
        <f aca="false">IF(A80="","",MID(IF(P80&lt;&gt;"Sí"," · Expediente incompleto","")&amp;IF(OR(Q80="",Q80="Pendiente")," · Falta el Beneficiario Controlador","")&amp;IF(M80=""," · Sin perfil transaccional","")&amp;IF(AND(ISNUMBER(AB80),AB80&lt;CONFIG!$B$6)," · Evaluación de riesgo vencida","")&amp;IF(AND(ISNUMBER(AC80),AC80&lt;CONFIG!$B$6)," · Verificación anual vencida","")&amp;IF(AND(ISNUMBER(R80),ISNUMBER(S80),S80-R80&gt;92)," · Comprobante de domicilio con más de 3 meses","")&amp;IF(AND(T80&lt;&gt;"",U80="")," · Ajuste del REC sin justificación",""),4,400))</f>
        <v/>
      </c>
      <c r="AE80" s="9" t="str">
        <f aca="false">IF(A80="","",IF(AD80="","Al día","Revisar"))</f>
        <v/>
      </c>
      <c r="AF80" s="9" t="str">
        <f aca="false">IF(A80="","",COUNTIF(OPERACIONES!$C$6:$C$505,A80)&amp;" / $"&amp;FIXED(SUMIF(OPERACIONES!$C$6:$C$505,A80,OPERACIONES!$E$6:$E$505),0))</f>
        <v/>
      </c>
    </row>
    <row r="81" customFormat="false" ht="15" hidden="false" customHeight="false" outlineLevel="0" collapsed="false">
      <c r="A81" s="21"/>
      <c r="B81" s="21"/>
      <c r="C81" s="21"/>
      <c r="D81" s="21"/>
      <c r="E81" s="21"/>
      <c r="F81" s="21"/>
      <c r="G81" s="21"/>
      <c r="H81" s="21"/>
      <c r="I81" s="21"/>
      <c r="J81" s="21"/>
      <c r="K81" s="21"/>
      <c r="L81" s="21"/>
      <c r="M81" s="22"/>
      <c r="N81" s="20"/>
      <c r="O81" s="20"/>
      <c r="P81" s="21"/>
      <c r="Q81" s="21"/>
      <c r="R81" s="20"/>
      <c r="S81" s="20"/>
      <c r="T81" s="21"/>
      <c r="U81" s="21"/>
      <c r="V81" s="9" t="str">
        <f aca="false">IF(A81="","",SUMIFS(CONFIG!$F$5:$F$26,CONFIG!$D$5:$D$26,"Tipo de persona",CONFIG!$E$5:$E$26,C81)+SUMIFS(CONFIG!$F$5:$F$26,CONFIG!$D$5:$D$26,"Residencia",CONFIG!$E$5:$E$26,E81)+SUMIFS(CONFIG!$F$5:$F$26,CONFIG!$D$5:$D$26,"Nacionalidad",CONFIG!$E$5:$E$26,F81)+SUMIFS(CONFIG!$F$5:$F$26,CONFIG!$D$5:$D$26,"Jurisdicción de riesgo",CONFIG!$E$5:$E$26,G81)+SUMIFS(CONFIG!$F$5:$F$26,CONFIG!$D$5:$D$26,"PEP",CONFIG!$E$5:$E$26,H81)+SUMIFS(CONFIG!$F$5:$F$26,CONFIG!$D$5:$D$26,"En listas",CONFIG!$E$5:$E$26,I81)+SUMIFS(CONFIG!$F$5:$F$26,CONFIG!$D$5:$D$26,"Riesgo de su actividad económica",CONFIG!$E$5:$E$26,J81)+SUMIFS(CONFIG!$F$5:$F$26,CONFIG!$D$5:$D$26,"Canal",CONFIG!$E$5:$E$26,K81)+SUMIFS(CONFIG!$F$5:$F$26,CONFIG!$D$5:$D$26,"Origen de recursos documentado",CONFIG!$E$5:$E$26,L81))</f>
        <v/>
      </c>
      <c r="W81" s="9" t="str">
        <f aca="false">IF(A81="","",IF(SUMIF(OPERACIONES!$C$6:$C$505,A81,OPERACIONES!$E$6:$E$505)&gt;0,IF(SUMIF(OPERACIONES!$C$6:$C$505,A81,OPERACIONES!$F$6:$F$505)/SUMIF(OPERACIONES!$C$6:$C$505,A81,OPERACIONES!$E$6:$E$505)&gt;0.5,CONFIG!$B$20,IF(SUMIF(OPERACIONES!$C$6:$C$505,A81,OPERACIONES!$F$6:$F$505)&gt;0,CONFIG!$B$21,0)),0)+IF(COUNTIFS(OPERACIONES!$C$6:$C$505,A81,OPERACIONES!$AQ$6:$AQ$505,1)&gt;0,CONFIG!$B$22,0)+IF(COUNTIFS(OPERACIONES!$C$6:$C$505,A81,OPERACIONES!$H$6:$H$505,"Sí")&gt;0,CONFIG!$B$23,0))</f>
        <v/>
      </c>
      <c r="X81" s="9" t="str">
        <f aca="false">IF(A81="","",V81+W81)</f>
        <v/>
      </c>
      <c r="Y81" s="9" t="str">
        <f aca="false">IF(A81="","",IF(X81&lt;=CONFIG!$B$13,"Bajo",IF(X81&lt;=CONFIG!$B$14,"Medio","Alto")))</f>
        <v/>
      </c>
      <c r="Z81" s="25" t="str">
        <f aca="false">IF(A81="","",IF(OR(H81="Extranjera",AND(E81="No residente",G81="Sí"),I81="Sí"),"Alto",IF(T81&lt;&gt;"",T81,Y81)))</f>
        <v/>
      </c>
      <c r="AA81" s="26" t="str">
        <f aca="false">IF(A81="","",IF(H81="Extranjera","Alto obligatorio: PEP extranjera (RCG 23 Bis 4)",IF(AND(E81="No residente",G81="Sí"),"Alto obligatorio: no residente vinculado a jurisdicción de riesgo (RCG 23 Bis 4)",IF(I81="Sí","Alto por criterio: persona en listas. Evalúa no operar y Aviso de 24 h",IF(T81&lt;&gt;"","Ajuste del REC: "&amp;U81,"Modelo: "&amp;X81&amp;" puntos")))))</f>
        <v/>
      </c>
      <c r="AB81" s="23" t="str">
        <f aca="false">IF(A81="","",IF(COUNT(N81,O81)=0,"Falta fecha",EDATE(MAX(N81,O81),IF(Z81="Alto",CONFIG!$B$18,IF(Z81="Medio",CONFIG!$B$17,CONFIG!$B$16)))))</f>
        <v/>
      </c>
      <c r="AC81" s="23" t="str">
        <f aca="false">IF(A81="","",IF(ISNUMBER(S81),EDATE(S81,12),IF(ISNUMBER(N81),EDATE(N81,12),"Falta fecha")))</f>
        <v/>
      </c>
      <c r="AD81" s="26" t="str">
        <f aca="false">IF(A81="","",MID(IF(P81&lt;&gt;"Sí"," · Expediente incompleto","")&amp;IF(OR(Q81="",Q81="Pendiente")," · Falta el Beneficiario Controlador","")&amp;IF(M81=""," · Sin perfil transaccional","")&amp;IF(AND(ISNUMBER(AB81),AB81&lt;CONFIG!$B$6)," · Evaluación de riesgo vencida","")&amp;IF(AND(ISNUMBER(AC81),AC81&lt;CONFIG!$B$6)," · Verificación anual vencida","")&amp;IF(AND(ISNUMBER(R81),ISNUMBER(S81),S81-R81&gt;92)," · Comprobante de domicilio con más de 3 meses","")&amp;IF(AND(T81&lt;&gt;"",U81="")," · Ajuste del REC sin justificación",""),4,400))</f>
        <v/>
      </c>
      <c r="AE81" s="9" t="str">
        <f aca="false">IF(A81="","",IF(AD81="","Al día","Revisar"))</f>
        <v/>
      </c>
      <c r="AF81" s="9" t="str">
        <f aca="false">IF(A81="","",COUNTIF(OPERACIONES!$C$6:$C$505,A81)&amp;" / $"&amp;FIXED(SUMIF(OPERACIONES!$C$6:$C$505,A81,OPERACIONES!$E$6:$E$505),0))</f>
        <v/>
      </c>
    </row>
    <row r="82" customFormat="false" ht="15" hidden="false" customHeight="false" outlineLevel="0" collapsed="false">
      <c r="A82" s="21"/>
      <c r="B82" s="21"/>
      <c r="C82" s="21"/>
      <c r="D82" s="21"/>
      <c r="E82" s="21"/>
      <c r="F82" s="21"/>
      <c r="G82" s="21"/>
      <c r="H82" s="21"/>
      <c r="I82" s="21"/>
      <c r="J82" s="21"/>
      <c r="K82" s="21"/>
      <c r="L82" s="21"/>
      <c r="M82" s="22"/>
      <c r="N82" s="20"/>
      <c r="O82" s="20"/>
      <c r="P82" s="21"/>
      <c r="Q82" s="21"/>
      <c r="R82" s="20"/>
      <c r="S82" s="20"/>
      <c r="T82" s="21"/>
      <c r="U82" s="21"/>
      <c r="V82" s="9" t="str">
        <f aca="false">IF(A82="","",SUMIFS(CONFIG!$F$5:$F$26,CONFIG!$D$5:$D$26,"Tipo de persona",CONFIG!$E$5:$E$26,C82)+SUMIFS(CONFIG!$F$5:$F$26,CONFIG!$D$5:$D$26,"Residencia",CONFIG!$E$5:$E$26,E82)+SUMIFS(CONFIG!$F$5:$F$26,CONFIG!$D$5:$D$26,"Nacionalidad",CONFIG!$E$5:$E$26,F82)+SUMIFS(CONFIG!$F$5:$F$26,CONFIG!$D$5:$D$26,"Jurisdicción de riesgo",CONFIG!$E$5:$E$26,G82)+SUMIFS(CONFIG!$F$5:$F$26,CONFIG!$D$5:$D$26,"PEP",CONFIG!$E$5:$E$26,H82)+SUMIFS(CONFIG!$F$5:$F$26,CONFIG!$D$5:$D$26,"En listas",CONFIG!$E$5:$E$26,I82)+SUMIFS(CONFIG!$F$5:$F$26,CONFIG!$D$5:$D$26,"Riesgo de su actividad económica",CONFIG!$E$5:$E$26,J82)+SUMIFS(CONFIG!$F$5:$F$26,CONFIG!$D$5:$D$26,"Canal",CONFIG!$E$5:$E$26,K82)+SUMIFS(CONFIG!$F$5:$F$26,CONFIG!$D$5:$D$26,"Origen de recursos documentado",CONFIG!$E$5:$E$26,L82))</f>
        <v/>
      </c>
      <c r="W82" s="9" t="str">
        <f aca="false">IF(A82="","",IF(SUMIF(OPERACIONES!$C$6:$C$505,A82,OPERACIONES!$E$6:$E$505)&gt;0,IF(SUMIF(OPERACIONES!$C$6:$C$505,A82,OPERACIONES!$F$6:$F$505)/SUMIF(OPERACIONES!$C$6:$C$505,A82,OPERACIONES!$E$6:$E$505)&gt;0.5,CONFIG!$B$20,IF(SUMIF(OPERACIONES!$C$6:$C$505,A82,OPERACIONES!$F$6:$F$505)&gt;0,CONFIG!$B$21,0)),0)+IF(COUNTIFS(OPERACIONES!$C$6:$C$505,A82,OPERACIONES!$AQ$6:$AQ$505,1)&gt;0,CONFIG!$B$22,0)+IF(COUNTIFS(OPERACIONES!$C$6:$C$505,A82,OPERACIONES!$H$6:$H$505,"Sí")&gt;0,CONFIG!$B$23,0))</f>
        <v/>
      </c>
      <c r="X82" s="9" t="str">
        <f aca="false">IF(A82="","",V82+W82)</f>
        <v/>
      </c>
      <c r="Y82" s="9" t="str">
        <f aca="false">IF(A82="","",IF(X82&lt;=CONFIG!$B$13,"Bajo",IF(X82&lt;=CONFIG!$B$14,"Medio","Alto")))</f>
        <v/>
      </c>
      <c r="Z82" s="25" t="str">
        <f aca="false">IF(A82="","",IF(OR(H82="Extranjera",AND(E82="No residente",G82="Sí"),I82="Sí"),"Alto",IF(T82&lt;&gt;"",T82,Y82)))</f>
        <v/>
      </c>
      <c r="AA82" s="26" t="str">
        <f aca="false">IF(A82="","",IF(H82="Extranjera","Alto obligatorio: PEP extranjera (RCG 23 Bis 4)",IF(AND(E82="No residente",G82="Sí"),"Alto obligatorio: no residente vinculado a jurisdicción de riesgo (RCG 23 Bis 4)",IF(I82="Sí","Alto por criterio: persona en listas. Evalúa no operar y Aviso de 24 h",IF(T82&lt;&gt;"","Ajuste del REC: "&amp;U82,"Modelo: "&amp;X82&amp;" puntos")))))</f>
        <v/>
      </c>
      <c r="AB82" s="23" t="str">
        <f aca="false">IF(A82="","",IF(COUNT(N82,O82)=0,"Falta fecha",EDATE(MAX(N82,O82),IF(Z82="Alto",CONFIG!$B$18,IF(Z82="Medio",CONFIG!$B$17,CONFIG!$B$16)))))</f>
        <v/>
      </c>
      <c r="AC82" s="23" t="str">
        <f aca="false">IF(A82="","",IF(ISNUMBER(S82),EDATE(S82,12),IF(ISNUMBER(N82),EDATE(N82,12),"Falta fecha")))</f>
        <v/>
      </c>
      <c r="AD82" s="26" t="str">
        <f aca="false">IF(A82="","",MID(IF(P82&lt;&gt;"Sí"," · Expediente incompleto","")&amp;IF(OR(Q82="",Q82="Pendiente")," · Falta el Beneficiario Controlador","")&amp;IF(M82=""," · Sin perfil transaccional","")&amp;IF(AND(ISNUMBER(AB82),AB82&lt;CONFIG!$B$6)," · Evaluación de riesgo vencida","")&amp;IF(AND(ISNUMBER(AC82),AC82&lt;CONFIG!$B$6)," · Verificación anual vencida","")&amp;IF(AND(ISNUMBER(R82),ISNUMBER(S82),S82-R82&gt;92)," · Comprobante de domicilio con más de 3 meses","")&amp;IF(AND(T82&lt;&gt;"",U82="")," · Ajuste del REC sin justificación",""),4,400))</f>
        <v/>
      </c>
      <c r="AE82" s="9" t="str">
        <f aca="false">IF(A82="","",IF(AD82="","Al día","Revisar"))</f>
        <v/>
      </c>
      <c r="AF82" s="9" t="str">
        <f aca="false">IF(A82="","",COUNTIF(OPERACIONES!$C$6:$C$505,A82)&amp;" / $"&amp;FIXED(SUMIF(OPERACIONES!$C$6:$C$505,A82,OPERACIONES!$E$6:$E$505),0))</f>
        <v/>
      </c>
    </row>
    <row r="83" customFormat="false" ht="15" hidden="false" customHeight="false" outlineLevel="0" collapsed="false">
      <c r="A83" s="21"/>
      <c r="B83" s="21"/>
      <c r="C83" s="21"/>
      <c r="D83" s="21"/>
      <c r="E83" s="21"/>
      <c r="F83" s="21"/>
      <c r="G83" s="21"/>
      <c r="H83" s="21"/>
      <c r="I83" s="21"/>
      <c r="J83" s="21"/>
      <c r="K83" s="21"/>
      <c r="L83" s="21"/>
      <c r="M83" s="22"/>
      <c r="N83" s="20"/>
      <c r="O83" s="20"/>
      <c r="P83" s="21"/>
      <c r="Q83" s="21"/>
      <c r="R83" s="20"/>
      <c r="S83" s="20"/>
      <c r="T83" s="21"/>
      <c r="U83" s="21"/>
      <c r="V83" s="9" t="str">
        <f aca="false">IF(A83="","",SUMIFS(CONFIG!$F$5:$F$26,CONFIG!$D$5:$D$26,"Tipo de persona",CONFIG!$E$5:$E$26,C83)+SUMIFS(CONFIG!$F$5:$F$26,CONFIG!$D$5:$D$26,"Residencia",CONFIG!$E$5:$E$26,E83)+SUMIFS(CONFIG!$F$5:$F$26,CONFIG!$D$5:$D$26,"Nacionalidad",CONFIG!$E$5:$E$26,F83)+SUMIFS(CONFIG!$F$5:$F$26,CONFIG!$D$5:$D$26,"Jurisdicción de riesgo",CONFIG!$E$5:$E$26,G83)+SUMIFS(CONFIG!$F$5:$F$26,CONFIG!$D$5:$D$26,"PEP",CONFIG!$E$5:$E$26,H83)+SUMIFS(CONFIG!$F$5:$F$26,CONFIG!$D$5:$D$26,"En listas",CONFIG!$E$5:$E$26,I83)+SUMIFS(CONFIG!$F$5:$F$26,CONFIG!$D$5:$D$26,"Riesgo de su actividad económica",CONFIG!$E$5:$E$26,J83)+SUMIFS(CONFIG!$F$5:$F$26,CONFIG!$D$5:$D$26,"Canal",CONFIG!$E$5:$E$26,K83)+SUMIFS(CONFIG!$F$5:$F$26,CONFIG!$D$5:$D$26,"Origen de recursos documentado",CONFIG!$E$5:$E$26,L83))</f>
        <v/>
      </c>
      <c r="W83" s="9" t="str">
        <f aca="false">IF(A83="","",IF(SUMIF(OPERACIONES!$C$6:$C$505,A83,OPERACIONES!$E$6:$E$505)&gt;0,IF(SUMIF(OPERACIONES!$C$6:$C$505,A83,OPERACIONES!$F$6:$F$505)/SUMIF(OPERACIONES!$C$6:$C$505,A83,OPERACIONES!$E$6:$E$505)&gt;0.5,CONFIG!$B$20,IF(SUMIF(OPERACIONES!$C$6:$C$505,A83,OPERACIONES!$F$6:$F$505)&gt;0,CONFIG!$B$21,0)),0)+IF(COUNTIFS(OPERACIONES!$C$6:$C$505,A83,OPERACIONES!$AQ$6:$AQ$505,1)&gt;0,CONFIG!$B$22,0)+IF(COUNTIFS(OPERACIONES!$C$6:$C$505,A83,OPERACIONES!$H$6:$H$505,"Sí")&gt;0,CONFIG!$B$23,0))</f>
        <v/>
      </c>
      <c r="X83" s="9" t="str">
        <f aca="false">IF(A83="","",V83+W83)</f>
        <v/>
      </c>
      <c r="Y83" s="9" t="str">
        <f aca="false">IF(A83="","",IF(X83&lt;=CONFIG!$B$13,"Bajo",IF(X83&lt;=CONFIG!$B$14,"Medio","Alto")))</f>
        <v/>
      </c>
      <c r="Z83" s="25" t="str">
        <f aca="false">IF(A83="","",IF(OR(H83="Extranjera",AND(E83="No residente",G83="Sí"),I83="Sí"),"Alto",IF(T83&lt;&gt;"",T83,Y83)))</f>
        <v/>
      </c>
      <c r="AA83" s="26" t="str">
        <f aca="false">IF(A83="","",IF(H83="Extranjera","Alto obligatorio: PEP extranjera (RCG 23 Bis 4)",IF(AND(E83="No residente",G83="Sí"),"Alto obligatorio: no residente vinculado a jurisdicción de riesgo (RCG 23 Bis 4)",IF(I83="Sí","Alto por criterio: persona en listas. Evalúa no operar y Aviso de 24 h",IF(T83&lt;&gt;"","Ajuste del REC: "&amp;U83,"Modelo: "&amp;X83&amp;" puntos")))))</f>
        <v/>
      </c>
      <c r="AB83" s="23" t="str">
        <f aca="false">IF(A83="","",IF(COUNT(N83,O83)=0,"Falta fecha",EDATE(MAX(N83,O83),IF(Z83="Alto",CONFIG!$B$18,IF(Z83="Medio",CONFIG!$B$17,CONFIG!$B$16)))))</f>
        <v/>
      </c>
      <c r="AC83" s="23" t="str">
        <f aca="false">IF(A83="","",IF(ISNUMBER(S83),EDATE(S83,12),IF(ISNUMBER(N83),EDATE(N83,12),"Falta fecha")))</f>
        <v/>
      </c>
      <c r="AD83" s="26" t="str">
        <f aca="false">IF(A83="","",MID(IF(P83&lt;&gt;"Sí"," · Expediente incompleto","")&amp;IF(OR(Q83="",Q83="Pendiente")," · Falta el Beneficiario Controlador","")&amp;IF(M83=""," · Sin perfil transaccional","")&amp;IF(AND(ISNUMBER(AB83),AB83&lt;CONFIG!$B$6)," · Evaluación de riesgo vencida","")&amp;IF(AND(ISNUMBER(AC83),AC83&lt;CONFIG!$B$6)," · Verificación anual vencida","")&amp;IF(AND(ISNUMBER(R83),ISNUMBER(S83),S83-R83&gt;92)," · Comprobante de domicilio con más de 3 meses","")&amp;IF(AND(T83&lt;&gt;"",U83="")," · Ajuste del REC sin justificación",""),4,400))</f>
        <v/>
      </c>
      <c r="AE83" s="9" t="str">
        <f aca="false">IF(A83="","",IF(AD83="","Al día","Revisar"))</f>
        <v/>
      </c>
      <c r="AF83" s="9" t="str">
        <f aca="false">IF(A83="","",COUNTIF(OPERACIONES!$C$6:$C$505,A83)&amp;" / $"&amp;FIXED(SUMIF(OPERACIONES!$C$6:$C$505,A83,OPERACIONES!$E$6:$E$505),0))</f>
        <v/>
      </c>
    </row>
    <row r="84" customFormat="false" ht="15" hidden="false" customHeight="false" outlineLevel="0" collapsed="false">
      <c r="A84" s="21"/>
      <c r="B84" s="21"/>
      <c r="C84" s="21"/>
      <c r="D84" s="21"/>
      <c r="E84" s="21"/>
      <c r="F84" s="21"/>
      <c r="G84" s="21"/>
      <c r="H84" s="21"/>
      <c r="I84" s="21"/>
      <c r="J84" s="21"/>
      <c r="K84" s="21"/>
      <c r="L84" s="21"/>
      <c r="M84" s="22"/>
      <c r="N84" s="20"/>
      <c r="O84" s="20"/>
      <c r="P84" s="21"/>
      <c r="Q84" s="21"/>
      <c r="R84" s="20"/>
      <c r="S84" s="20"/>
      <c r="T84" s="21"/>
      <c r="U84" s="21"/>
      <c r="V84" s="9" t="str">
        <f aca="false">IF(A84="","",SUMIFS(CONFIG!$F$5:$F$26,CONFIG!$D$5:$D$26,"Tipo de persona",CONFIG!$E$5:$E$26,C84)+SUMIFS(CONFIG!$F$5:$F$26,CONFIG!$D$5:$D$26,"Residencia",CONFIG!$E$5:$E$26,E84)+SUMIFS(CONFIG!$F$5:$F$26,CONFIG!$D$5:$D$26,"Nacionalidad",CONFIG!$E$5:$E$26,F84)+SUMIFS(CONFIG!$F$5:$F$26,CONFIG!$D$5:$D$26,"Jurisdicción de riesgo",CONFIG!$E$5:$E$26,G84)+SUMIFS(CONFIG!$F$5:$F$26,CONFIG!$D$5:$D$26,"PEP",CONFIG!$E$5:$E$26,H84)+SUMIFS(CONFIG!$F$5:$F$26,CONFIG!$D$5:$D$26,"En listas",CONFIG!$E$5:$E$26,I84)+SUMIFS(CONFIG!$F$5:$F$26,CONFIG!$D$5:$D$26,"Riesgo de su actividad económica",CONFIG!$E$5:$E$26,J84)+SUMIFS(CONFIG!$F$5:$F$26,CONFIG!$D$5:$D$26,"Canal",CONFIG!$E$5:$E$26,K84)+SUMIFS(CONFIG!$F$5:$F$26,CONFIG!$D$5:$D$26,"Origen de recursos documentado",CONFIG!$E$5:$E$26,L84))</f>
        <v/>
      </c>
      <c r="W84" s="9" t="str">
        <f aca="false">IF(A84="","",IF(SUMIF(OPERACIONES!$C$6:$C$505,A84,OPERACIONES!$E$6:$E$505)&gt;0,IF(SUMIF(OPERACIONES!$C$6:$C$505,A84,OPERACIONES!$F$6:$F$505)/SUMIF(OPERACIONES!$C$6:$C$505,A84,OPERACIONES!$E$6:$E$505)&gt;0.5,CONFIG!$B$20,IF(SUMIF(OPERACIONES!$C$6:$C$505,A84,OPERACIONES!$F$6:$F$505)&gt;0,CONFIG!$B$21,0)),0)+IF(COUNTIFS(OPERACIONES!$C$6:$C$505,A84,OPERACIONES!$AQ$6:$AQ$505,1)&gt;0,CONFIG!$B$22,0)+IF(COUNTIFS(OPERACIONES!$C$6:$C$505,A84,OPERACIONES!$H$6:$H$505,"Sí")&gt;0,CONFIG!$B$23,0))</f>
        <v/>
      </c>
      <c r="X84" s="9" t="str">
        <f aca="false">IF(A84="","",V84+W84)</f>
        <v/>
      </c>
      <c r="Y84" s="9" t="str">
        <f aca="false">IF(A84="","",IF(X84&lt;=CONFIG!$B$13,"Bajo",IF(X84&lt;=CONFIG!$B$14,"Medio","Alto")))</f>
        <v/>
      </c>
      <c r="Z84" s="25" t="str">
        <f aca="false">IF(A84="","",IF(OR(H84="Extranjera",AND(E84="No residente",G84="Sí"),I84="Sí"),"Alto",IF(T84&lt;&gt;"",T84,Y84)))</f>
        <v/>
      </c>
      <c r="AA84" s="26" t="str">
        <f aca="false">IF(A84="","",IF(H84="Extranjera","Alto obligatorio: PEP extranjera (RCG 23 Bis 4)",IF(AND(E84="No residente",G84="Sí"),"Alto obligatorio: no residente vinculado a jurisdicción de riesgo (RCG 23 Bis 4)",IF(I84="Sí","Alto por criterio: persona en listas. Evalúa no operar y Aviso de 24 h",IF(T84&lt;&gt;"","Ajuste del REC: "&amp;U84,"Modelo: "&amp;X84&amp;" puntos")))))</f>
        <v/>
      </c>
      <c r="AB84" s="23" t="str">
        <f aca="false">IF(A84="","",IF(COUNT(N84,O84)=0,"Falta fecha",EDATE(MAX(N84,O84),IF(Z84="Alto",CONFIG!$B$18,IF(Z84="Medio",CONFIG!$B$17,CONFIG!$B$16)))))</f>
        <v/>
      </c>
      <c r="AC84" s="23" t="str">
        <f aca="false">IF(A84="","",IF(ISNUMBER(S84),EDATE(S84,12),IF(ISNUMBER(N84),EDATE(N84,12),"Falta fecha")))</f>
        <v/>
      </c>
      <c r="AD84" s="26" t="str">
        <f aca="false">IF(A84="","",MID(IF(P84&lt;&gt;"Sí"," · Expediente incompleto","")&amp;IF(OR(Q84="",Q84="Pendiente")," · Falta el Beneficiario Controlador","")&amp;IF(M84=""," · Sin perfil transaccional","")&amp;IF(AND(ISNUMBER(AB84),AB84&lt;CONFIG!$B$6)," · Evaluación de riesgo vencida","")&amp;IF(AND(ISNUMBER(AC84),AC84&lt;CONFIG!$B$6)," · Verificación anual vencida","")&amp;IF(AND(ISNUMBER(R84),ISNUMBER(S84),S84-R84&gt;92)," · Comprobante de domicilio con más de 3 meses","")&amp;IF(AND(T84&lt;&gt;"",U84="")," · Ajuste del REC sin justificación",""),4,400))</f>
        <v/>
      </c>
      <c r="AE84" s="9" t="str">
        <f aca="false">IF(A84="","",IF(AD84="","Al día","Revisar"))</f>
        <v/>
      </c>
      <c r="AF84" s="9" t="str">
        <f aca="false">IF(A84="","",COUNTIF(OPERACIONES!$C$6:$C$505,A84)&amp;" / $"&amp;FIXED(SUMIF(OPERACIONES!$C$6:$C$505,A84,OPERACIONES!$E$6:$E$505),0))</f>
        <v/>
      </c>
    </row>
    <row r="85" customFormat="false" ht="15" hidden="false" customHeight="false" outlineLevel="0" collapsed="false">
      <c r="A85" s="21"/>
      <c r="B85" s="21"/>
      <c r="C85" s="21"/>
      <c r="D85" s="21"/>
      <c r="E85" s="21"/>
      <c r="F85" s="21"/>
      <c r="G85" s="21"/>
      <c r="H85" s="21"/>
      <c r="I85" s="21"/>
      <c r="J85" s="21"/>
      <c r="K85" s="21"/>
      <c r="L85" s="21"/>
      <c r="M85" s="22"/>
      <c r="N85" s="20"/>
      <c r="O85" s="20"/>
      <c r="P85" s="21"/>
      <c r="Q85" s="21"/>
      <c r="R85" s="20"/>
      <c r="S85" s="20"/>
      <c r="T85" s="21"/>
      <c r="U85" s="21"/>
      <c r="V85" s="9" t="str">
        <f aca="false">IF(A85="","",SUMIFS(CONFIG!$F$5:$F$26,CONFIG!$D$5:$D$26,"Tipo de persona",CONFIG!$E$5:$E$26,C85)+SUMIFS(CONFIG!$F$5:$F$26,CONFIG!$D$5:$D$26,"Residencia",CONFIG!$E$5:$E$26,E85)+SUMIFS(CONFIG!$F$5:$F$26,CONFIG!$D$5:$D$26,"Nacionalidad",CONFIG!$E$5:$E$26,F85)+SUMIFS(CONFIG!$F$5:$F$26,CONFIG!$D$5:$D$26,"Jurisdicción de riesgo",CONFIG!$E$5:$E$26,G85)+SUMIFS(CONFIG!$F$5:$F$26,CONFIG!$D$5:$D$26,"PEP",CONFIG!$E$5:$E$26,H85)+SUMIFS(CONFIG!$F$5:$F$26,CONFIG!$D$5:$D$26,"En listas",CONFIG!$E$5:$E$26,I85)+SUMIFS(CONFIG!$F$5:$F$26,CONFIG!$D$5:$D$26,"Riesgo de su actividad económica",CONFIG!$E$5:$E$26,J85)+SUMIFS(CONFIG!$F$5:$F$26,CONFIG!$D$5:$D$26,"Canal",CONFIG!$E$5:$E$26,K85)+SUMIFS(CONFIG!$F$5:$F$26,CONFIG!$D$5:$D$26,"Origen de recursos documentado",CONFIG!$E$5:$E$26,L85))</f>
        <v/>
      </c>
      <c r="W85" s="9" t="str">
        <f aca="false">IF(A85="","",IF(SUMIF(OPERACIONES!$C$6:$C$505,A85,OPERACIONES!$E$6:$E$505)&gt;0,IF(SUMIF(OPERACIONES!$C$6:$C$505,A85,OPERACIONES!$F$6:$F$505)/SUMIF(OPERACIONES!$C$6:$C$505,A85,OPERACIONES!$E$6:$E$505)&gt;0.5,CONFIG!$B$20,IF(SUMIF(OPERACIONES!$C$6:$C$505,A85,OPERACIONES!$F$6:$F$505)&gt;0,CONFIG!$B$21,0)),0)+IF(COUNTIFS(OPERACIONES!$C$6:$C$505,A85,OPERACIONES!$AQ$6:$AQ$505,1)&gt;0,CONFIG!$B$22,0)+IF(COUNTIFS(OPERACIONES!$C$6:$C$505,A85,OPERACIONES!$H$6:$H$505,"Sí")&gt;0,CONFIG!$B$23,0))</f>
        <v/>
      </c>
      <c r="X85" s="9" t="str">
        <f aca="false">IF(A85="","",V85+W85)</f>
        <v/>
      </c>
      <c r="Y85" s="9" t="str">
        <f aca="false">IF(A85="","",IF(X85&lt;=CONFIG!$B$13,"Bajo",IF(X85&lt;=CONFIG!$B$14,"Medio","Alto")))</f>
        <v/>
      </c>
      <c r="Z85" s="25" t="str">
        <f aca="false">IF(A85="","",IF(OR(H85="Extranjera",AND(E85="No residente",G85="Sí"),I85="Sí"),"Alto",IF(T85&lt;&gt;"",T85,Y85)))</f>
        <v/>
      </c>
      <c r="AA85" s="26" t="str">
        <f aca="false">IF(A85="","",IF(H85="Extranjera","Alto obligatorio: PEP extranjera (RCG 23 Bis 4)",IF(AND(E85="No residente",G85="Sí"),"Alto obligatorio: no residente vinculado a jurisdicción de riesgo (RCG 23 Bis 4)",IF(I85="Sí","Alto por criterio: persona en listas. Evalúa no operar y Aviso de 24 h",IF(T85&lt;&gt;"","Ajuste del REC: "&amp;U85,"Modelo: "&amp;X85&amp;" puntos")))))</f>
        <v/>
      </c>
      <c r="AB85" s="23" t="str">
        <f aca="false">IF(A85="","",IF(COUNT(N85,O85)=0,"Falta fecha",EDATE(MAX(N85,O85),IF(Z85="Alto",CONFIG!$B$18,IF(Z85="Medio",CONFIG!$B$17,CONFIG!$B$16)))))</f>
        <v/>
      </c>
      <c r="AC85" s="23" t="str">
        <f aca="false">IF(A85="","",IF(ISNUMBER(S85),EDATE(S85,12),IF(ISNUMBER(N85),EDATE(N85,12),"Falta fecha")))</f>
        <v/>
      </c>
      <c r="AD85" s="26" t="str">
        <f aca="false">IF(A85="","",MID(IF(P85&lt;&gt;"Sí"," · Expediente incompleto","")&amp;IF(OR(Q85="",Q85="Pendiente")," · Falta el Beneficiario Controlador","")&amp;IF(M85=""," · Sin perfil transaccional","")&amp;IF(AND(ISNUMBER(AB85),AB85&lt;CONFIG!$B$6)," · Evaluación de riesgo vencida","")&amp;IF(AND(ISNUMBER(AC85),AC85&lt;CONFIG!$B$6)," · Verificación anual vencida","")&amp;IF(AND(ISNUMBER(R85),ISNUMBER(S85),S85-R85&gt;92)," · Comprobante de domicilio con más de 3 meses","")&amp;IF(AND(T85&lt;&gt;"",U85="")," · Ajuste del REC sin justificación",""),4,400))</f>
        <v/>
      </c>
      <c r="AE85" s="9" t="str">
        <f aca="false">IF(A85="","",IF(AD85="","Al día","Revisar"))</f>
        <v/>
      </c>
      <c r="AF85" s="9" t="str">
        <f aca="false">IF(A85="","",COUNTIF(OPERACIONES!$C$6:$C$505,A85)&amp;" / $"&amp;FIXED(SUMIF(OPERACIONES!$C$6:$C$505,A85,OPERACIONES!$E$6:$E$505),0))</f>
        <v/>
      </c>
    </row>
    <row r="86" customFormat="false" ht="15" hidden="false" customHeight="false" outlineLevel="0" collapsed="false">
      <c r="A86" s="21"/>
      <c r="B86" s="21"/>
      <c r="C86" s="21"/>
      <c r="D86" s="21"/>
      <c r="E86" s="21"/>
      <c r="F86" s="21"/>
      <c r="G86" s="21"/>
      <c r="H86" s="21"/>
      <c r="I86" s="21"/>
      <c r="J86" s="21"/>
      <c r="K86" s="21"/>
      <c r="L86" s="21"/>
      <c r="M86" s="22"/>
      <c r="N86" s="20"/>
      <c r="O86" s="20"/>
      <c r="P86" s="21"/>
      <c r="Q86" s="21"/>
      <c r="R86" s="20"/>
      <c r="S86" s="20"/>
      <c r="T86" s="21"/>
      <c r="U86" s="21"/>
      <c r="V86" s="9" t="str">
        <f aca="false">IF(A86="","",SUMIFS(CONFIG!$F$5:$F$26,CONFIG!$D$5:$D$26,"Tipo de persona",CONFIG!$E$5:$E$26,C86)+SUMIFS(CONFIG!$F$5:$F$26,CONFIG!$D$5:$D$26,"Residencia",CONFIG!$E$5:$E$26,E86)+SUMIFS(CONFIG!$F$5:$F$26,CONFIG!$D$5:$D$26,"Nacionalidad",CONFIG!$E$5:$E$26,F86)+SUMIFS(CONFIG!$F$5:$F$26,CONFIG!$D$5:$D$26,"Jurisdicción de riesgo",CONFIG!$E$5:$E$26,G86)+SUMIFS(CONFIG!$F$5:$F$26,CONFIG!$D$5:$D$26,"PEP",CONFIG!$E$5:$E$26,H86)+SUMIFS(CONFIG!$F$5:$F$26,CONFIG!$D$5:$D$26,"En listas",CONFIG!$E$5:$E$26,I86)+SUMIFS(CONFIG!$F$5:$F$26,CONFIG!$D$5:$D$26,"Riesgo de su actividad económica",CONFIG!$E$5:$E$26,J86)+SUMIFS(CONFIG!$F$5:$F$26,CONFIG!$D$5:$D$26,"Canal",CONFIG!$E$5:$E$26,K86)+SUMIFS(CONFIG!$F$5:$F$26,CONFIG!$D$5:$D$26,"Origen de recursos documentado",CONFIG!$E$5:$E$26,L86))</f>
        <v/>
      </c>
      <c r="W86" s="9" t="str">
        <f aca="false">IF(A86="","",IF(SUMIF(OPERACIONES!$C$6:$C$505,A86,OPERACIONES!$E$6:$E$505)&gt;0,IF(SUMIF(OPERACIONES!$C$6:$C$505,A86,OPERACIONES!$F$6:$F$505)/SUMIF(OPERACIONES!$C$6:$C$505,A86,OPERACIONES!$E$6:$E$505)&gt;0.5,CONFIG!$B$20,IF(SUMIF(OPERACIONES!$C$6:$C$505,A86,OPERACIONES!$F$6:$F$505)&gt;0,CONFIG!$B$21,0)),0)+IF(COUNTIFS(OPERACIONES!$C$6:$C$505,A86,OPERACIONES!$AQ$6:$AQ$505,1)&gt;0,CONFIG!$B$22,0)+IF(COUNTIFS(OPERACIONES!$C$6:$C$505,A86,OPERACIONES!$H$6:$H$505,"Sí")&gt;0,CONFIG!$B$23,0))</f>
        <v/>
      </c>
      <c r="X86" s="9" t="str">
        <f aca="false">IF(A86="","",V86+W86)</f>
        <v/>
      </c>
      <c r="Y86" s="9" t="str">
        <f aca="false">IF(A86="","",IF(X86&lt;=CONFIG!$B$13,"Bajo",IF(X86&lt;=CONFIG!$B$14,"Medio","Alto")))</f>
        <v/>
      </c>
      <c r="Z86" s="25" t="str">
        <f aca="false">IF(A86="","",IF(OR(H86="Extranjera",AND(E86="No residente",G86="Sí"),I86="Sí"),"Alto",IF(T86&lt;&gt;"",T86,Y86)))</f>
        <v/>
      </c>
      <c r="AA86" s="26" t="str">
        <f aca="false">IF(A86="","",IF(H86="Extranjera","Alto obligatorio: PEP extranjera (RCG 23 Bis 4)",IF(AND(E86="No residente",G86="Sí"),"Alto obligatorio: no residente vinculado a jurisdicción de riesgo (RCG 23 Bis 4)",IF(I86="Sí","Alto por criterio: persona en listas. Evalúa no operar y Aviso de 24 h",IF(T86&lt;&gt;"","Ajuste del REC: "&amp;U86,"Modelo: "&amp;X86&amp;" puntos")))))</f>
        <v/>
      </c>
      <c r="AB86" s="23" t="str">
        <f aca="false">IF(A86="","",IF(COUNT(N86,O86)=0,"Falta fecha",EDATE(MAX(N86,O86),IF(Z86="Alto",CONFIG!$B$18,IF(Z86="Medio",CONFIG!$B$17,CONFIG!$B$16)))))</f>
        <v/>
      </c>
      <c r="AC86" s="23" t="str">
        <f aca="false">IF(A86="","",IF(ISNUMBER(S86),EDATE(S86,12),IF(ISNUMBER(N86),EDATE(N86,12),"Falta fecha")))</f>
        <v/>
      </c>
      <c r="AD86" s="26" t="str">
        <f aca="false">IF(A86="","",MID(IF(P86&lt;&gt;"Sí"," · Expediente incompleto","")&amp;IF(OR(Q86="",Q86="Pendiente")," · Falta el Beneficiario Controlador","")&amp;IF(M86=""," · Sin perfil transaccional","")&amp;IF(AND(ISNUMBER(AB86),AB86&lt;CONFIG!$B$6)," · Evaluación de riesgo vencida","")&amp;IF(AND(ISNUMBER(AC86),AC86&lt;CONFIG!$B$6)," · Verificación anual vencida","")&amp;IF(AND(ISNUMBER(R86),ISNUMBER(S86),S86-R86&gt;92)," · Comprobante de domicilio con más de 3 meses","")&amp;IF(AND(T86&lt;&gt;"",U86="")," · Ajuste del REC sin justificación",""),4,400))</f>
        <v/>
      </c>
      <c r="AE86" s="9" t="str">
        <f aca="false">IF(A86="","",IF(AD86="","Al día","Revisar"))</f>
        <v/>
      </c>
      <c r="AF86" s="9" t="str">
        <f aca="false">IF(A86="","",COUNTIF(OPERACIONES!$C$6:$C$505,A86)&amp;" / $"&amp;FIXED(SUMIF(OPERACIONES!$C$6:$C$505,A86,OPERACIONES!$E$6:$E$505),0))</f>
        <v/>
      </c>
    </row>
    <row r="87" customFormat="false" ht="15" hidden="false" customHeight="false" outlineLevel="0" collapsed="false">
      <c r="A87" s="21"/>
      <c r="B87" s="21"/>
      <c r="C87" s="21"/>
      <c r="D87" s="21"/>
      <c r="E87" s="21"/>
      <c r="F87" s="21"/>
      <c r="G87" s="21"/>
      <c r="H87" s="21"/>
      <c r="I87" s="21"/>
      <c r="J87" s="21"/>
      <c r="K87" s="21"/>
      <c r="L87" s="21"/>
      <c r="M87" s="22"/>
      <c r="N87" s="20"/>
      <c r="O87" s="20"/>
      <c r="P87" s="21"/>
      <c r="Q87" s="21"/>
      <c r="R87" s="20"/>
      <c r="S87" s="20"/>
      <c r="T87" s="21"/>
      <c r="U87" s="21"/>
      <c r="V87" s="9" t="str">
        <f aca="false">IF(A87="","",SUMIFS(CONFIG!$F$5:$F$26,CONFIG!$D$5:$D$26,"Tipo de persona",CONFIG!$E$5:$E$26,C87)+SUMIFS(CONFIG!$F$5:$F$26,CONFIG!$D$5:$D$26,"Residencia",CONFIG!$E$5:$E$26,E87)+SUMIFS(CONFIG!$F$5:$F$26,CONFIG!$D$5:$D$26,"Nacionalidad",CONFIG!$E$5:$E$26,F87)+SUMIFS(CONFIG!$F$5:$F$26,CONFIG!$D$5:$D$26,"Jurisdicción de riesgo",CONFIG!$E$5:$E$26,G87)+SUMIFS(CONFIG!$F$5:$F$26,CONFIG!$D$5:$D$26,"PEP",CONFIG!$E$5:$E$26,H87)+SUMIFS(CONFIG!$F$5:$F$26,CONFIG!$D$5:$D$26,"En listas",CONFIG!$E$5:$E$26,I87)+SUMIFS(CONFIG!$F$5:$F$26,CONFIG!$D$5:$D$26,"Riesgo de su actividad económica",CONFIG!$E$5:$E$26,J87)+SUMIFS(CONFIG!$F$5:$F$26,CONFIG!$D$5:$D$26,"Canal",CONFIG!$E$5:$E$26,K87)+SUMIFS(CONFIG!$F$5:$F$26,CONFIG!$D$5:$D$26,"Origen de recursos documentado",CONFIG!$E$5:$E$26,L87))</f>
        <v/>
      </c>
      <c r="W87" s="9" t="str">
        <f aca="false">IF(A87="","",IF(SUMIF(OPERACIONES!$C$6:$C$505,A87,OPERACIONES!$E$6:$E$505)&gt;0,IF(SUMIF(OPERACIONES!$C$6:$C$505,A87,OPERACIONES!$F$6:$F$505)/SUMIF(OPERACIONES!$C$6:$C$505,A87,OPERACIONES!$E$6:$E$505)&gt;0.5,CONFIG!$B$20,IF(SUMIF(OPERACIONES!$C$6:$C$505,A87,OPERACIONES!$F$6:$F$505)&gt;0,CONFIG!$B$21,0)),0)+IF(COUNTIFS(OPERACIONES!$C$6:$C$505,A87,OPERACIONES!$AQ$6:$AQ$505,1)&gt;0,CONFIG!$B$22,0)+IF(COUNTIFS(OPERACIONES!$C$6:$C$505,A87,OPERACIONES!$H$6:$H$505,"Sí")&gt;0,CONFIG!$B$23,0))</f>
        <v/>
      </c>
      <c r="X87" s="9" t="str">
        <f aca="false">IF(A87="","",V87+W87)</f>
        <v/>
      </c>
      <c r="Y87" s="9" t="str">
        <f aca="false">IF(A87="","",IF(X87&lt;=CONFIG!$B$13,"Bajo",IF(X87&lt;=CONFIG!$B$14,"Medio","Alto")))</f>
        <v/>
      </c>
      <c r="Z87" s="25" t="str">
        <f aca="false">IF(A87="","",IF(OR(H87="Extranjera",AND(E87="No residente",G87="Sí"),I87="Sí"),"Alto",IF(T87&lt;&gt;"",T87,Y87)))</f>
        <v/>
      </c>
      <c r="AA87" s="26" t="str">
        <f aca="false">IF(A87="","",IF(H87="Extranjera","Alto obligatorio: PEP extranjera (RCG 23 Bis 4)",IF(AND(E87="No residente",G87="Sí"),"Alto obligatorio: no residente vinculado a jurisdicción de riesgo (RCG 23 Bis 4)",IF(I87="Sí","Alto por criterio: persona en listas. Evalúa no operar y Aviso de 24 h",IF(T87&lt;&gt;"","Ajuste del REC: "&amp;U87,"Modelo: "&amp;X87&amp;" puntos")))))</f>
        <v/>
      </c>
      <c r="AB87" s="23" t="str">
        <f aca="false">IF(A87="","",IF(COUNT(N87,O87)=0,"Falta fecha",EDATE(MAX(N87,O87),IF(Z87="Alto",CONFIG!$B$18,IF(Z87="Medio",CONFIG!$B$17,CONFIG!$B$16)))))</f>
        <v/>
      </c>
      <c r="AC87" s="23" t="str">
        <f aca="false">IF(A87="","",IF(ISNUMBER(S87),EDATE(S87,12),IF(ISNUMBER(N87),EDATE(N87,12),"Falta fecha")))</f>
        <v/>
      </c>
      <c r="AD87" s="26" t="str">
        <f aca="false">IF(A87="","",MID(IF(P87&lt;&gt;"Sí"," · Expediente incompleto","")&amp;IF(OR(Q87="",Q87="Pendiente")," · Falta el Beneficiario Controlador","")&amp;IF(M87=""," · Sin perfil transaccional","")&amp;IF(AND(ISNUMBER(AB87),AB87&lt;CONFIG!$B$6)," · Evaluación de riesgo vencida","")&amp;IF(AND(ISNUMBER(AC87),AC87&lt;CONFIG!$B$6)," · Verificación anual vencida","")&amp;IF(AND(ISNUMBER(R87),ISNUMBER(S87),S87-R87&gt;92)," · Comprobante de domicilio con más de 3 meses","")&amp;IF(AND(T87&lt;&gt;"",U87="")," · Ajuste del REC sin justificación",""),4,400))</f>
        <v/>
      </c>
      <c r="AE87" s="9" t="str">
        <f aca="false">IF(A87="","",IF(AD87="","Al día","Revisar"))</f>
        <v/>
      </c>
      <c r="AF87" s="9" t="str">
        <f aca="false">IF(A87="","",COUNTIF(OPERACIONES!$C$6:$C$505,A87)&amp;" / $"&amp;FIXED(SUMIF(OPERACIONES!$C$6:$C$505,A87,OPERACIONES!$E$6:$E$505),0))</f>
        <v/>
      </c>
    </row>
    <row r="88" customFormat="false" ht="15" hidden="false" customHeight="false" outlineLevel="0" collapsed="false">
      <c r="A88" s="21"/>
      <c r="B88" s="21"/>
      <c r="C88" s="21"/>
      <c r="D88" s="21"/>
      <c r="E88" s="21"/>
      <c r="F88" s="21"/>
      <c r="G88" s="21"/>
      <c r="H88" s="21"/>
      <c r="I88" s="21"/>
      <c r="J88" s="21"/>
      <c r="K88" s="21"/>
      <c r="L88" s="21"/>
      <c r="M88" s="22"/>
      <c r="N88" s="20"/>
      <c r="O88" s="20"/>
      <c r="P88" s="21"/>
      <c r="Q88" s="21"/>
      <c r="R88" s="20"/>
      <c r="S88" s="20"/>
      <c r="T88" s="21"/>
      <c r="U88" s="21"/>
      <c r="V88" s="9" t="str">
        <f aca="false">IF(A88="","",SUMIFS(CONFIG!$F$5:$F$26,CONFIG!$D$5:$D$26,"Tipo de persona",CONFIG!$E$5:$E$26,C88)+SUMIFS(CONFIG!$F$5:$F$26,CONFIG!$D$5:$D$26,"Residencia",CONFIG!$E$5:$E$26,E88)+SUMIFS(CONFIG!$F$5:$F$26,CONFIG!$D$5:$D$26,"Nacionalidad",CONFIG!$E$5:$E$26,F88)+SUMIFS(CONFIG!$F$5:$F$26,CONFIG!$D$5:$D$26,"Jurisdicción de riesgo",CONFIG!$E$5:$E$26,G88)+SUMIFS(CONFIG!$F$5:$F$26,CONFIG!$D$5:$D$26,"PEP",CONFIG!$E$5:$E$26,H88)+SUMIFS(CONFIG!$F$5:$F$26,CONFIG!$D$5:$D$26,"En listas",CONFIG!$E$5:$E$26,I88)+SUMIFS(CONFIG!$F$5:$F$26,CONFIG!$D$5:$D$26,"Riesgo de su actividad económica",CONFIG!$E$5:$E$26,J88)+SUMIFS(CONFIG!$F$5:$F$26,CONFIG!$D$5:$D$26,"Canal",CONFIG!$E$5:$E$26,K88)+SUMIFS(CONFIG!$F$5:$F$26,CONFIG!$D$5:$D$26,"Origen de recursos documentado",CONFIG!$E$5:$E$26,L88))</f>
        <v/>
      </c>
      <c r="W88" s="9" t="str">
        <f aca="false">IF(A88="","",IF(SUMIF(OPERACIONES!$C$6:$C$505,A88,OPERACIONES!$E$6:$E$505)&gt;0,IF(SUMIF(OPERACIONES!$C$6:$C$505,A88,OPERACIONES!$F$6:$F$505)/SUMIF(OPERACIONES!$C$6:$C$505,A88,OPERACIONES!$E$6:$E$505)&gt;0.5,CONFIG!$B$20,IF(SUMIF(OPERACIONES!$C$6:$C$505,A88,OPERACIONES!$F$6:$F$505)&gt;0,CONFIG!$B$21,0)),0)+IF(COUNTIFS(OPERACIONES!$C$6:$C$505,A88,OPERACIONES!$AQ$6:$AQ$505,1)&gt;0,CONFIG!$B$22,0)+IF(COUNTIFS(OPERACIONES!$C$6:$C$505,A88,OPERACIONES!$H$6:$H$505,"Sí")&gt;0,CONFIG!$B$23,0))</f>
        <v/>
      </c>
      <c r="X88" s="9" t="str">
        <f aca="false">IF(A88="","",V88+W88)</f>
        <v/>
      </c>
      <c r="Y88" s="9" t="str">
        <f aca="false">IF(A88="","",IF(X88&lt;=CONFIG!$B$13,"Bajo",IF(X88&lt;=CONFIG!$B$14,"Medio","Alto")))</f>
        <v/>
      </c>
      <c r="Z88" s="25" t="str">
        <f aca="false">IF(A88="","",IF(OR(H88="Extranjera",AND(E88="No residente",G88="Sí"),I88="Sí"),"Alto",IF(T88&lt;&gt;"",T88,Y88)))</f>
        <v/>
      </c>
      <c r="AA88" s="26" t="str">
        <f aca="false">IF(A88="","",IF(H88="Extranjera","Alto obligatorio: PEP extranjera (RCG 23 Bis 4)",IF(AND(E88="No residente",G88="Sí"),"Alto obligatorio: no residente vinculado a jurisdicción de riesgo (RCG 23 Bis 4)",IF(I88="Sí","Alto por criterio: persona en listas. Evalúa no operar y Aviso de 24 h",IF(T88&lt;&gt;"","Ajuste del REC: "&amp;U88,"Modelo: "&amp;X88&amp;" puntos")))))</f>
        <v/>
      </c>
      <c r="AB88" s="23" t="str">
        <f aca="false">IF(A88="","",IF(COUNT(N88,O88)=0,"Falta fecha",EDATE(MAX(N88,O88),IF(Z88="Alto",CONFIG!$B$18,IF(Z88="Medio",CONFIG!$B$17,CONFIG!$B$16)))))</f>
        <v/>
      </c>
      <c r="AC88" s="23" t="str">
        <f aca="false">IF(A88="","",IF(ISNUMBER(S88),EDATE(S88,12),IF(ISNUMBER(N88),EDATE(N88,12),"Falta fecha")))</f>
        <v/>
      </c>
      <c r="AD88" s="26" t="str">
        <f aca="false">IF(A88="","",MID(IF(P88&lt;&gt;"Sí"," · Expediente incompleto","")&amp;IF(OR(Q88="",Q88="Pendiente")," · Falta el Beneficiario Controlador","")&amp;IF(M88=""," · Sin perfil transaccional","")&amp;IF(AND(ISNUMBER(AB88),AB88&lt;CONFIG!$B$6)," · Evaluación de riesgo vencida","")&amp;IF(AND(ISNUMBER(AC88),AC88&lt;CONFIG!$B$6)," · Verificación anual vencida","")&amp;IF(AND(ISNUMBER(R88),ISNUMBER(S88),S88-R88&gt;92)," · Comprobante de domicilio con más de 3 meses","")&amp;IF(AND(T88&lt;&gt;"",U88="")," · Ajuste del REC sin justificación",""),4,400))</f>
        <v/>
      </c>
      <c r="AE88" s="9" t="str">
        <f aca="false">IF(A88="","",IF(AD88="","Al día","Revisar"))</f>
        <v/>
      </c>
      <c r="AF88" s="9" t="str">
        <f aca="false">IF(A88="","",COUNTIF(OPERACIONES!$C$6:$C$505,A88)&amp;" / $"&amp;FIXED(SUMIF(OPERACIONES!$C$6:$C$505,A88,OPERACIONES!$E$6:$E$505),0))</f>
        <v/>
      </c>
    </row>
    <row r="89" customFormat="false" ht="15" hidden="false" customHeight="false" outlineLevel="0" collapsed="false">
      <c r="A89" s="21"/>
      <c r="B89" s="21"/>
      <c r="C89" s="21"/>
      <c r="D89" s="21"/>
      <c r="E89" s="21"/>
      <c r="F89" s="21"/>
      <c r="G89" s="21"/>
      <c r="H89" s="21"/>
      <c r="I89" s="21"/>
      <c r="J89" s="21"/>
      <c r="K89" s="21"/>
      <c r="L89" s="21"/>
      <c r="M89" s="22"/>
      <c r="N89" s="20"/>
      <c r="O89" s="20"/>
      <c r="P89" s="21"/>
      <c r="Q89" s="21"/>
      <c r="R89" s="20"/>
      <c r="S89" s="20"/>
      <c r="T89" s="21"/>
      <c r="U89" s="21"/>
      <c r="V89" s="9" t="str">
        <f aca="false">IF(A89="","",SUMIFS(CONFIG!$F$5:$F$26,CONFIG!$D$5:$D$26,"Tipo de persona",CONFIG!$E$5:$E$26,C89)+SUMIFS(CONFIG!$F$5:$F$26,CONFIG!$D$5:$D$26,"Residencia",CONFIG!$E$5:$E$26,E89)+SUMIFS(CONFIG!$F$5:$F$26,CONFIG!$D$5:$D$26,"Nacionalidad",CONFIG!$E$5:$E$26,F89)+SUMIFS(CONFIG!$F$5:$F$26,CONFIG!$D$5:$D$26,"Jurisdicción de riesgo",CONFIG!$E$5:$E$26,G89)+SUMIFS(CONFIG!$F$5:$F$26,CONFIG!$D$5:$D$26,"PEP",CONFIG!$E$5:$E$26,H89)+SUMIFS(CONFIG!$F$5:$F$26,CONFIG!$D$5:$D$26,"En listas",CONFIG!$E$5:$E$26,I89)+SUMIFS(CONFIG!$F$5:$F$26,CONFIG!$D$5:$D$26,"Riesgo de su actividad económica",CONFIG!$E$5:$E$26,J89)+SUMIFS(CONFIG!$F$5:$F$26,CONFIG!$D$5:$D$26,"Canal",CONFIG!$E$5:$E$26,K89)+SUMIFS(CONFIG!$F$5:$F$26,CONFIG!$D$5:$D$26,"Origen de recursos documentado",CONFIG!$E$5:$E$26,L89))</f>
        <v/>
      </c>
      <c r="W89" s="9" t="str">
        <f aca="false">IF(A89="","",IF(SUMIF(OPERACIONES!$C$6:$C$505,A89,OPERACIONES!$E$6:$E$505)&gt;0,IF(SUMIF(OPERACIONES!$C$6:$C$505,A89,OPERACIONES!$F$6:$F$505)/SUMIF(OPERACIONES!$C$6:$C$505,A89,OPERACIONES!$E$6:$E$505)&gt;0.5,CONFIG!$B$20,IF(SUMIF(OPERACIONES!$C$6:$C$505,A89,OPERACIONES!$F$6:$F$505)&gt;0,CONFIG!$B$21,0)),0)+IF(COUNTIFS(OPERACIONES!$C$6:$C$505,A89,OPERACIONES!$AQ$6:$AQ$505,1)&gt;0,CONFIG!$B$22,0)+IF(COUNTIFS(OPERACIONES!$C$6:$C$505,A89,OPERACIONES!$H$6:$H$505,"Sí")&gt;0,CONFIG!$B$23,0))</f>
        <v/>
      </c>
      <c r="X89" s="9" t="str">
        <f aca="false">IF(A89="","",V89+W89)</f>
        <v/>
      </c>
      <c r="Y89" s="9" t="str">
        <f aca="false">IF(A89="","",IF(X89&lt;=CONFIG!$B$13,"Bajo",IF(X89&lt;=CONFIG!$B$14,"Medio","Alto")))</f>
        <v/>
      </c>
      <c r="Z89" s="25" t="str">
        <f aca="false">IF(A89="","",IF(OR(H89="Extranjera",AND(E89="No residente",G89="Sí"),I89="Sí"),"Alto",IF(T89&lt;&gt;"",T89,Y89)))</f>
        <v/>
      </c>
      <c r="AA89" s="26" t="str">
        <f aca="false">IF(A89="","",IF(H89="Extranjera","Alto obligatorio: PEP extranjera (RCG 23 Bis 4)",IF(AND(E89="No residente",G89="Sí"),"Alto obligatorio: no residente vinculado a jurisdicción de riesgo (RCG 23 Bis 4)",IF(I89="Sí","Alto por criterio: persona en listas. Evalúa no operar y Aviso de 24 h",IF(T89&lt;&gt;"","Ajuste del REC: "&amp;U89,"Modelo: "&amp;X89&amp;" puntos")))))</f>
        <v/>
      </c>
      <c r="AB89" s="23" t="str">
        <f aca="false">IF(A89="","",IF(COUNT(N89,O89)=0,"Falta fecha",EDATE(MAX(N89,O89),IF(Z89="Alto",CONFIG!$B$18,IF(Z89="Medio",CONFIG!$B$17,CONFIG!$B$16)))))</f>
        <v/>
      </c>
      <c r="AC89" s="23" t="str">
        <f aca="false">IF(A89="","",IF(ISNUMBER(S89),EDATE(S89,12),IF(ISNUMBER(N89),EDATE(N89,12),"Falta fecha")))</f>
        <v/>
      </c>
      <c r="AD89" s="26" t="str">
        <f aca="false">IF(A89="","",MID(IF(P89&lt;&gt;"Sí"," · Expediente incompleto","")&amp;IF(OR(Q89="",Q89="Pendiente")," · Falta el Beneficiario Controlador","")&amp;IF(M89=""," · Sin perfil transaccional","")&amp;IF(AND(ISNUMBER(AB89),AB89&lt;CONFIG!$B$6)," · Evaluación de riesgo vencida","")&amp;IF(AND(ISNUMBER(AC89),AC89&lt;CONFIG!$B$6)," · Verificación anual vencida","")&amp;IF(AND(ISNUMBER(R89),ISNUMBER(S89),S89-R89&gt;92)," · Comprobante de domicilio con más de 3 meses","")&amp;IF(AND(T89&lt;&gt;"",U89="")," · Ajuste del REC sin justificación",""),4,400))</f>
        <v/>
      </c>
      <c r="AE89" s="9" t="str">
        <f aca="false">IF(A89="","",IF(AD89="","Al día","Revisar"))</f>
        <v/>
      </c>
      <c r="AF89" s="9" t="str">
        <f aca="false">IF(A89="","",COUNTIF(OPERACIONES!$C$6:$C$505,A89)&amp;" / $"&amp;FIXED(SUMIF(OPERACIONES!$C$6:$C$505,A89,OPERACIONES!$E$6:$E$505),0))</f>
        <v/>
      </c>
    </row>
    <row r="90" customFormat="false" ht="15" hidden="false" customHeight="false" outlineLevel="0" collapsed="false">
      <c r="A90" s="21"/>
      <c r="B90" s="21"/>
      <c r="C90" s="21"/>
      <c r="D90" s="21"/>
      <c r="E90" s="21"/>
      <c r="F90" s="21"/>
      <c r="G90" s="21"/>
      <c r="H90" s="21"/>
      <c r="I90" s="21"/>
      <c r="J90" s="21"/>
      <c r="K90" s="21"/>
      <c r="L90" s="21"/>
      <c r="M90" s="22"/>
      <c r="N90" s="20"/>
      <c r="O90" s="20"/>
      <c r="P90" s="21"/>
      <c r="Q90" s="21"/>
      <c r="R90" s="20"/>
      <c r="S90" s="20"/>
      <c r="T90" s="21"/>
      <c r="U90" s="21"/>
      <c r="V90" s="9" t="str">
        <f aca="false">IF(A90="","",SUMIFS(CONFIG!$F$5:$F$26,CONFIG!$D$5:$D$26,"Tipo de persona",CONFIG!$E$5:$E$26,C90)+SUMIFS(CONFIG!$F$5:$F$26,CONFIG!$D$5:$D$26,"Residencia",CONFIG!$E$5:$E$26,E90)+SUMIFS(CONFIG!$F$5:$F$26,CONFIG!$D$5:$D$26,"Nacionalidad",CONFIG!$E$5:$E$26,F90)+SUMIFS(CONFIG!$F$5:$F$26,CONFIG!$D$5:$D$26,"Jurisdicción de riesgo",CONFIG!$E$5:$E$26,G90)+SUMIFS(CONFIG!$F$5:$F$26,CONFIG!$D$5:$D$26,"PEP",CONFIG!$E$5:$E$26,H90)+SUMIFS(CONFIG!$F$5:$F$26,CONFIG!$D$5:$D$26,"En listas",CONFIG!$E$5:$E$26,I90)+SUMIFS(CONFIG!$F$5:$F$26,CONFIG!$D$5:$D$26,"Riesgo de su actividad económica",CONFIG!$E$5:$E$26,J90)+SUMIFS(CONFIG!$F$5:$F$26,CONFIG!$D$5:$D$26,"Canal",CONFIG!$E$5:$E$26,K90)+SUMIFS(CONFIG!$F$5:$F$26,CONFIG!$D$5:$D$26,"Origen de recursos documentado",CONFIG!$E$5:$E$26,L90))</f>
        <v/>
      </c>
      <c r="W90" s="9" t="str">
        <f aca="false">IF(A90="","",IF(SUMIF(OPERACIONES!$C$6:$C$505,A90,OPERACIONES!$E$6:$E$505)&gt;0,IF(SUMIF(OPERACIONES!$C$6:$C$505,A90,OPERACIONES!$F$6:$F$505)/SUMIF(OPERACIONES!$C$6:$C$505,A90,OPERACIONES!$E$6:$E$505)&gt;0.5,CONFIG!$B$20,IF(SUMIF(OPERACIONES!$C$6:$C$505,A90,OPERACIONES!$F$6:$F$505)&gt;0,CONFIG!$B$21,0)),0)+IF(COUNTIFS(OPERACIONES!$C$6:$C$505,A90,OPERACIONES!$AQ$6:$AQ$505,1)&gt;0,CONFIG!$B$22,0)+IF(COUNTIFS(OPERACIONES!$C$6:$C$505,A90,OPERACIONES!$H$6:$H$505,"Sí")&gt;0,CONFIG!$B$23,0))</f>
        <v/>
      </c>
      <c r="X90" s="9" t="str">
        <f aca="false">IF(A90="","",V90+W90)</f>
        <v/>
      </c>
      <c r="Y90" s="9" t="str">
        <f aca="false">IF(A90="","",IF(X90&lt;=CONFIG!$B$13,"Bajo",IF(X90&lt;=CONFIG!$B$14,"Medio","Alto")))</f>
        <v/>
      </c>
      <c r="Z90" s="25" t="str">
        <f aca="false">IF(A90="","",IF(OR(H90="Extranjera",AND(E90="No residente",G90="Sí"),I90="Sí"),"Alto",IF(T90&lt;&gt;"",T90,Y90)))</f>
        <v/>
      </c>
      <c r="AA90" s="26" t="str">
        <f aca="false">IF(A90="","",IF(H90="Extranjera","Alto obligatorio: PEP extranjera (RCG 23 Bis 4)",IF(AND(E90="No residente",G90="Sí"),"Alto obligatorio: no residente vinculado a jurisdicción de riesgo (RCG 23 Bis 4)",IF(I90="Sí","Alto por criterio: persona en listas. Evalúa no operar y Aviso de 24 h",IF(T90&lt;&gt;"","Ajuste del REC: "&amp;U90,"Modelo: "&amp;X90&amp;" puntos")))))</f>
        <v/>
      </c>
      <c r="AB90" s="23" t="str">
        <f aca="false">IF(A90="","",IF(COUNT(N90,O90)=0,"Falta fecha",EDATE(MAX(N90,O90),IF(Z90="Alto",CONFIG!$B$18,IF(Z90="Medio",CONFIG!$B$17,CONFIG!$B$16)))))</f>
        <v/>
      </c>
      <c r="AC90" s="23" t="str">
        <f aca="false">IF(A90="","",IF(ISNUMBER(S90),EDATE(S90,12),IF(ISNUMBER(N90),EDATE(N90,12),"Falta fecha")))</f>
        <v/>
      </c>
      <c r="AD90" s="26" t="str">
        <f aca="false">IF(A90="","",MID(IF(P90&lt;&gt;"Sí"," · Expediente incompleto","")&amp;IF(OR(Q90="",Q90="Pendiente")," · Falta el Beneficiario Controlador","")&amp;IF(M90=""," · Sin perfil transaccional","")&amp;IF(AND(ISNUMBER(AB90),AB90&lt;CONFIG!$B$6)," · Evaluación de riesgo vencida","")&amp;IF(AND(ISNUMBER(AC90),AC90&lt;CONFIG!$B$6)," · Verificación anual vencida","")&amp;IF(AND(ISNUMBER(R90),ISNUMBER(S90),S90-R90&gt;92)," · Comprobante de domicilio con más de 3 meses","")&amp;IF(AND(T90&lt;&gt;"",U90="")," · Ajuste del REC sin justificación",""),4,400))</f>
        <v/>
      </c>
      <c r="AE90" s="9" t="str">
        <f aca="false">IF(A90="","",IF(AD90="","Al día","Revisar"))</f>
        <v/>
      </c>
      <c r="AF90" s="9" t="str">
        <f aca="false">IF(A90="","",COUNTIF(OPERACIONES!$C$6:$C$505,A90)&amp;" / $"&amp;FIXED(SUMIF(OPERACIONES!$C$6:$C$505,A90,OPERACIONES!$E$6:$E$505),0))</f>
        <v/>
      </c>
    </row>
    <row r="91" customFormat="false" ht="15" hidden="false" customHeight="false" outlineLevel="0" collapsed="false">
      <c r="A91" s="21"/>
      <c r="B91" s="21"/>
      <c r="C91" s="21"/>
      <c r="D91" s="21"/>
      <c r="E91" s="21"/>
      <c r="F91" s="21"/>
      <c r="G91" s="21"/>
      <c r="H91" s="21"/>
      <c r="I91" s="21"/>
      <c r="J91" s="21"/>
      <c r="K91" s="21"/>
      <c r="L91" s="21"/>
      <c r="M91" s="22"/>
      <c r="N91" s="20"/>
      <c r="O91" s="20"/>
      <c r="P91" s="21"/>
      <c r="Q91" s="21"/>
      <c r="R91" s="20"/>
      <c r="S91" s="20"/>
      <c r="T91" s="21"/>
      <c r="U91" s="21"/>
      <c r="V91" s="9" t="str">
        <f aca="false">IF(A91="","",SUMIFS(CONFIG!$F$5:$F$26,CONFIG!$D$5:$D$26,"Tipo de persona",CONFIG!$E$5:$E$26,C91)+SUMIFS(CONFIG!$F$5:$F$26,CONFIG!$D$5:$D$26,"Residencia",CONFIG!$E$5:$E$26,E91)+SUMIFS(CONFIG!$F$5:$F$26,CONFIG!$D$5:$D$26,"Nacionalidad",CONFIG!$E$5:$E$26,F91)+SUMIFS(CONFIG!$F$5:$F$26,CONFIG!$D$5:$D$26,"Jurisdicción de riesgo",CONFIG!$E$5:$E$26,G91)+SUMIFS(CONFIG!$F$5:$F$26,CONFIG!$D$5:$D$26,"PEP",CONFIG!$E$5:$E$26,H91)+SUMIFS(CONFIG!$F$5:$F$26,CONFIG!$D$5:$D$26,"En listas",CONFIG!$E$5:$E$26,I91)+SUMIFS(CONFIG!$F$5:$F$26,CONFIG!$D$5:$D$26,"Riesgo de su actividad económica",CONFIG!$E$5:$E$26,J91)+SUMIFS(CONFIG!$F$5:$F$26,CONFIG!$D$5:$D$26,"Canal",CONFIG!$E$5:$E$26,K91)+SUMIFS(CONFIG!$F$5:$F$26,CONFIG!$D$5:$D$26,"Origen de recursos documentado",CONFIG!$E$5:$E$26,L91))</f>
        <v/>
      </c>
      <c r="W91" s="9" t="str">
        <f aca="false">IF(A91="","",IF(SUMIF(OPERACIONES!$C$6:$C$505,A91,OPERACIONES!$E$6:$E$505)&gt;0,IF(SUMIF(OPERACIONES!$C$6:$C$505,A91,OPERACIONES!$F$6:$F$505)/SUMIF(OPERACIONES!$C$6:$C$505,A91,OPERACIONES!$E$6:$E$505)&gt;0.5,CONFIG!$B$20,IF(SUMIF(OPERACIONES!$C$6:$C$505,A91,OPERACIONES!$F$6:$F$505)&gt;0,CONFIG!$B$21,0)),0)+IF(COUNTIFS(OPERACIONES!$C$6:$C$505,A91,OPERACIONES!$AQ$6:$AQ$505,1)&gt;0,CONFIG!$B$22,0)+IF(COUNTIFS(OPERACIONES!$C$6:$C$505,A91,OPERACIONES!$H$6:$H$505,"Sí")&gt;0,CONFIG!$B$23,0))</f>
        <v/>
      </c>
      <c r="X91" s="9" t="str">
        <f aca="false">IF(A91="","",V91+W91)</f>
        <v/>
      </c>
      <c r="Y91" s="9" t="str">
        <f aca="false">IF(A91="","",IF(X91&lt;=CONFIG!$B$13,"Bajo",IF(X91&lt;=CONFIG!$B$14,"Medio","Alto")))</f>
        <v/>
      </c>
      <c r="Z91" s="25" t="str">
        <f aca="false">IF(A91="","",IF(OR(H91="Extranjera",AND(E91="No residente",G91="Sí"),I91="Sí"),"Alto",IF(T91&lt;&gt;"",T91,Y91)))</f>
        <v/>
      </c>
      <c r="AA91" s="26" t="str">
        <f aca="false">IF(A91="","",IF(H91="Extranjera","Alto obligatorio: PEP extranjera (RCG 23 Bis 4)",IF(AND(E91="No residente",G91="Sí"),"Alto obligatorio: no residente vinculado a jurisdicción de riesgo (RCG 23 Bis 4)",IF(I91="Sí","Alto por criterio: persona en listas. Evalúa no operar y Aviso de 24 h",IF(T91&lt;&gt;"","Ajuste del REC: "&amp;U91,"Modelo: "&amp;X91&amp;" puntos")))))</f>
        <v/>
      </c>
      <c r="AB91" s="23" t="str">
        <f aca="false">IF(A91="","",IF(COUNT(N91,O91)=0,"Falta fecha",EDATE(MAX(N91,O91),IF(Z91="Alto",CONFIG!$B$18,IF(Z91="Medio",CONFIG!$B$17,CONFIG!$B$16)))))</f>
        <v/>
      </c>
      <c r="AC91" s="23" t="str">
        <f aca="false">IF(A91="","",IF(ISNUMBER(S91),EDATE(S91,12),IF(ISNUMBER(N91),EDATE(N91,12),"Falta fecha")))</f>
        <v/>
      </c>
      <c r="AD91" s="26" t="str">
        <f aca="false">IF(A91="","",MID(IF(P91&lt;&gt;"Sí"," · Expediente incompleto","")&amp;IF(OR(Q91="",Q91="Pendiente")," · Falta el Beneficiario Controlador","")&amp;IF(M91=""," · Sin perfil transaccional","")&amp;IF(AND(ISNUMBER(AB91),AB91&lt;CONFIG!$B$6)," · Evaluación de riesgo vencida","")&amp;IF(AND(ISNUMBER(AC91),AC91&lt;CONFIG!$B$6)," · Verificación anual vencida","")&amp;IF(AND(ISNUMBER(R91),ISNUMBER(S91),S91-R91&gt;92)," · Comprobante de domicilio con más de 3 meses","")&amp;IF(AND(T91&lt;&gt;"",U91="")," · Ajuste del REC sin justificación",""),4,400))</f>
        <v/>
      </c>
      <c r="AE91" s="9" t="str">
        <f aca="false">IF(A91="","",IF(AD91="","Al día","Revisar"))</f>
        <v/>
      </c>
      <c r="AF91" s="9" t="str">
        <f aca="false">IF(A91="","",COUNTIF(OPERACIONES!$C$6:$C$505,A91)&amp;" / $"&amp;FIXED(SUMIF(OPERACIONES!$C$6:$C$505,A91,OPERACIONES!$E$6:$E$505),0))</f>
        <v/>
      </c>
    </row>
    <row r="92" customFormat="false" ht="15" hidden="false" customHeight="false" outlineLevel="0" collapsed="false">
      <c r="A92" s="21"/>
      <c r="B92" s="21"/>
      <c r="C92" s="21"/>
      <c r="D92" s="21"/>
      <c r="E92" s="21"/>
      <c r="F92" s="21"/>
      <c r="G92" s="21"/>
      <c r="H92" s="21"/>
      <c r="I92" s="21"/>
      <c r="J92" s="21"/>
      <c r="K92" s="21"/>
      <c r="L92" s="21"/>
      <c r="M92" s="22"/>
      <c r="N92" s="20"/>
      <c r="O92" s="20"/>
      <c r="P92" s="21"/>
      <c r="Q92" s="21"/>
      <c r="R92" s="20"/>
      <c r="S92" s="20"/>
      <c r="T92" s="21"/>
      <c r="U92" s="21"/>
      <c r="V92" s="9" t="str">
        <f aca="false">IF(A92="","",SUMIFS(CONFIG!$F$5:$F$26,CONFIG!$D$5:$D$26,"Tipo de persona",CONFIG!$E$5:$E$26,C92)+SUMIFS(CONFIG!$F$5:$F$26,CONFIG!$D$5:$D$26,"Residencia",CONFIG!$E$5:$E$26,E92)+SUMIFS(CONFIG!$F$5:$F$26,CONFIG!$D$5:$D$26,"Nacionalidad",CONFIG!$E$5:$E$26,F92)+SUMIFS(CONFIG!$F$5:$F$26,CONFIG!$D$5:$D$26,"Jurisdicción de riesgo",CONFIG!$E$5:$E$26,G92)+SUMIFS(CONFIG!$F$5:$F$26,CONFIG!$D$5:$D$26,"PEP",CONFIG!$E$5:$E$26,H92)+SUMIFS(CONFIG!$F$5:$F$26,CONFIG!$D$5:$D$26,"En listas",CONFIG!$E$5:$E$26,I92)+SUMIFS(CONFIG!$F$5:$F$26,CONFIG!$D$5:$D$26,"Riesgo de su actividad económica",CONFIG!$E$5:$E$26,J92)+SUMIFS(CONFIG!$F$5:$F$26,CONFIG!$D$5:$D$26,"Canal",CONFIG!$E$5:$E$26,K92)+SUMIFS(CONFIG!$F$5:$F$26,CONFIG!$D$5:$D$26,"Origen de recursos documentado",CONFIG!$E$5:$E$26,L92))</f>
        <v/>
      </c>
      <c r="W92" s="9" t="str">
        <f aca="false">IF(A92="","",IF(SUMIF(OPERACIONES!$C$6:$C$505,A92,OPERACIONES!$E$6:$E$505)&gt;0,IF(SUMIF(OPERACIONES!$C$6:$C$505,A92,OPERACIONES!$F$6:$F$505)/SUMIF(OPERACIONES!$C$6:$C$505,A92,OPERACIONES!$E$6:$E$505)&gt;0.5,CONFIG!$B$20,IF(SUMIF(OPERACIONES!$C$6:$C$505,A92,OPERACIONES!$F$6:$F$505)&gt;0,CONFIG!$B$21,0)),0)+IF(COUNTIFS(OPERACIONES!$C$6:$C$505,A92,OPERACIONES!$AQ$6:$AQ$505,1)&gt;0,CONFIG!$B$22,0)+IF(COUNTIFS(OPERACIONES!$C$6:$C$505,A92,OPERACIONES!$H$6:$H$505,"Sí")&gt;0,CONFIG!$B$23,0))</f>
        <v/>
      </c>
      <c r="X92" s="9" t="str">
        <f aca="false">IF(A92="","",V92+W92)</f>
        <v/>
      </c>
      <c r="Y92" s="9" t="str">
        <f aca="false">IF(A92="","",IF(X92&lt;=CONFIG!$B$13,"Bajo",IF(X92&lt;=CONFIG!$B$14,"Medio","Alto")))</f>
        <v/>
      </c>
      <c r="Z92" s="25" t="str">
        <f aca="false">IF(A92="","",IF(OR(H92="Extranjera",AND(E92="No residente",G92="Sí"),I92="Sí"),"Alto",IF(T92&lt;&gt;"",T92,Y92)))</f>
        <v/>
      </c>
      <c r="AA92" s="26" t="str">
        <f aca="false">IF(A92="","",IF(H92="Extranjera","Alto obligatorio: PEP extranjera (RCG 23 Bis 4)",IF(AND(E92="No residente",G92="Sí"),"Alto obligatorio: no residente vinculado a jurisdicción de riesgo (RCG 23 Bis 4)",IF(I92="Sí","Alto por criterio: persona en listas. Evalúa no operar y Aviso de 24 h",IF(T92&lt;&gt;"","Ajuste del REC: "&amp;U92,"Modelo: "&amp;X92&amp;" puntos")))))</f>
        <v/>
      </c>
      <c r="AB92" s="23" t="str">
        <f aca="false">IF(A92="","",IF(COUNT(N92,O92)=0,"Falta fecha",EDATE(MAX(N92,O92),IF(Z92="Alto",CONFIG!$B$18,IF(Z92="Medio",CONFIG!$B$17,CONFIG!$B$16)))))</f>
        <v/>
      </c>
      <c r="AC92" s="23" t="str">
        <f aca="false">IF(A92="","",IF(ISNUMBER(S92),EDATE(S92,12),IF(ISNUMBER(N92),EDATE(N92,12),"Falta fecha")))</f>
        <v/>
      </c>
      <c r="AD92" s="26" t="str">
        <f aca="false">IF(A92="","",MID(IF(P92&lt;&gt;"Sí"," · Expediente incompleto","")&amp;IF(OR(Q92="",Q92="Pendiente")," · Falta el Beneficiario Controlador","")&amp;IF(M92=""," · Sin perfil transaccional","")&amp;IF(AND(ISNUMBER(AB92),AB92&lt;CONFIG!$B$6)," · Evaluación de riesgo vencida","")&amp;IF(AND(ISNUMBER(AC92),AC92&lt;CONFIG!$B$6)," · Verificación anual vencida","")&amp;IF(AND(ISNUMBER(R92),ISNUMBER(S92),S92-R92&gt;92)," · Comprobante de domicilio con más de 3 meses","")&amp;IF(AND(T92&lt;&gt;"",U92="")," · Ajuste del REC sin justificación",""),4,400))</f>
        <v/>
      </c>
      <c r="AE92" s="9" t="str">
        <f aca="false">IF(A92="","",IF(AD92="","Al día","Revisar"))</f>
        <v/>
      </c>
      <c r="AF92" s="9" t="str">
        <f aca="false">IF(A92="","",COUNTIF(OPERACIONES!$C$6:$C$505,A92)&amp;" / $"&amp;FIXED(SUMIF(OPERACIONES!$C$6:$C$505,A92,OPERACIONES!$E$6:$E$505),0))</f>
        <v/>
      </c>
    </row>
    <row r="93" customFormat="false" ht="15" hidden="false" customHeight="false" outlineLevel="0" collapsed="false">
      <c r="A93" s="21"/>
      <c r="B93" s="21"/>
      <c r="C93" s="21"/>
      <c r="D93" s="21"/>
      <c r="E93" s="21"/>
      <c r="F93" s="21"/>
      <c r="G93" s="21"/>
      <c r="H93" s="21"/>
      <c r="I93" s="21"/>
      <c r="J93" s="21"/>
      <c r="K93" s="21"/>
      <c r="L93" s="21"/>
      <c r="M93" s="22"/>
      <c r="N93" s="20"/>
      <c r="O93" s="20"/>
      <c r="P93" s="21"/>
      <c r="Q93" s="21"/>
      <c r="R93" s="20"/>
      <c r="S93" s="20"/>
      <c r="T93" s="21"/>
      <c r="U93" s="21"/>
      <c r="V93" s="9" t="str">
        <f aca="false">IF(A93="","",SUMIFS(CONFIG!$F$5:$F$26,CONFIG!$D$5:$D$26,"Tipo de persona",CONFIG!$E$5:$E$26,C93)+SUMIFS(CONFIG!$F$5:$F$26,CONFIG!$D$5:$D$26,"Residencia",CONFIG!$E$5:$E$26,E93)+SUMIFS(CONFIG!$F$5:$F$26,CONFIG!$D$5:$D$26,"Nacionalidad",CONFIG!$E$5:$E$26,F93)+SUMIFS(CONFIG!$F$5:$F$26,CONFIG!$D$5:$D$26,"Jurisdicción de riesgo",CONFIG!$E$5:$E$26,G93)+SUMIFS(CONFIG!$F$5:$F$26,CONFIG!$D$5:$D$26,"PEP",CONFIG!$E$5:$E$26,H93)+SUMIFS(CONFIG!$F$5:$F$26,CONFIG!$D$5:$D$26,"En listas",CONFIG!$E$5:$E$26,I93)+SUMIFS(CONFIG!$F$5:$F$26,CONFIG!$D$5:$D$26,"Riesgo de su actividad económica",CONFIG!$E$5:$E$26,J93)+SUMIFS(CONFIG!$F$5:$F$26,CONFIG!$D$5:$D$26,"Canal",CONFIG!$E$5:$E$26,K93)+SUMIFS(CONFIG!$F$5:$F$26,CONFIG!$D$5:$D$26,"Origen de recursos documentado",CONFIG!$E$5:$E$26,L93))</f>
        <v/>
      </c>
      <c r="W93" s="9" t="str">
        <f aca="false">IF(A93="","",IF(SUMIF(OPERACIONES!$C$6:$C$505,A93,OPERACIONES!$E$6:$E$505)&gt;0,IF(SUMIF(OPERACIONES!$C$6:$C$505,A93,OPERACIONES!$F$6:$F$505)/SUMIF(OPERACIONES!$C$6:$C$505,A93,OPERACIONES!$E$6:$E$505)&gt;0.5,CONFIG!$B$20,IF(SUMIF(OPERACIONES!$C$6:$C$505,A93,OPERACIONES!$F$6:$F$505)&gt;0,CONFIG!$B$21,0)),0)+IF(COUNTIFS(OPERACIONES!$C$6:$C$505,A93,OPERACIONES!$AQ$6:$AQ$505,1)&gt;0,CONFIG!$B$22,0)+IF(COUNTIFS(OPERACIONES!$C$6:$C$505,A93,OPERACIONES!$H$6:$H$505,"Sí")&gt;0,CONFIG!$B$23,0))</f>
        <v/>
      </c>
      <c r="X93" s="9" t="str">
        <f aca="false">IF(A93="","",V93+W93)</f>
        <v/>
      </c>
      <c r="Y93" s="9" t="str">
        <f aca="false">IF(A93="","",IF(X93&lt;=CONFIG!$B$13,"Bajo",IF(X93&lt;=CONFIG!$B$14,"Medio","Alto")))</f>
        <v/>
      </c>
      <c r="Z93" s="25" t="str">
        <f aca="false">IF(A93="","",IF(OR(H93="Extranjera",AND(E93="No residente",G93="Sí"),I93="Sí"),"Alto",IF(T93&lt;&gt;"",T93,Y93)))</f>
        <v/>
      </c>
      <c r="AA93" s="26" t="str">
        <f aca="false">IF(A93="","",IF(H93="Extranjera","Alto obligatorio: PEP extranjera (RCG 23 Bis 4)",IF(AND(E93="No residente",G93="Sí"),"Alto obligatorio: no residente vinculado a jurisdicción de riesgo (RCG 23 Bis 4)",IF(I93="Sí","Alto por criterio: persona en listas. Evalúa no operar y Aviso de 24 h",IF(T93&lt;&gt;"","Ajuste del REC: "&amp;U93,"Modelo: "&amp;X93&amp;" puntos")))))</f>
        <v/>
      </c>
      <c r="AB93" s="23" t="str">
        <f aca="false">IF(A93="","",IF(COUNT(N93,O93)=0,"Falta fecha",EDATE(MAX(N93,O93),IF(Z93="Alto",CONFIG!$B$18,IF(Z93="Medio",CONFIG!$B$17,CONFIG!$B$16)))))</f>
        <v/>
      </c>
      <c r="AC93" s="23" t="str">
        <f aca="false">IF(A93="","",IF(ISNUMBER(S93),EDATE(S93,12),IF(ISNUMBER(N93),EDATE(N93,12),"Falta fecha")))</f>
        <v/>
      </c>
      <c r="AD93" s="26" t="str">
        <f aca="false">IF(A93="","",MID(IF(P93&lt;&gt;"Sí"," · Expediente incompleto","")&amp;IF(OR(Q93="",Q93="Pendiente")," · Falta el Beneficiario Controlador","")&amp;IF(M93=""," · Sin perfil transaccional","")&amp;IF(AND(ISNUMBER(AB93),AB93&lt;CONFIG!$B$6)," · Evaluación de riesgo vencida","")&amp;IF(AND(ISNUMBER(AC93),AC93&lt;CONFIG!$B$6)," · Verificación anual vencida","")&amp;IF(AND(ISNUMBER(R93),ISNUMBER(S93),S93-R93&gt;92)," · Comprobante de domicilio con más de 3 meses","")&amp;IF(AND(T93&lt;&gt;"",U93="")," · Ajuste del REC sin justificación",""),4,400))</f>
        <v/>
      </c>
      <c r="AE93" s="9" t="str">
        <f aca="false">IF(A93="","",IF(AD93="","Al día","Revisar"))</f>
        <v/>
      </c>
      <c r="AF93" s="9" t="str">
        <f aca="false">IF(A93="","",COUNTIF(OPERACIONES!$C$6:$C$505,A93)&amp;" / $"&amp;FIXED(SUMIF(OPERACIONES!$C$6:$C$505,A93,OPERACIONES!$E$6:$E$505),0))</f>
        <v/>
      </c>
    </row>
    <row r="94" customFormat="false" ht="15" hidden="false" customHeight="false" outlineLevel="0" collapsed="false">
      <c r="A94" s="21"/>
      <c r="B94" s="21"/>
      <c r="C94" s="21"/>
      <c r="D94" s="21"/>
      <c r="E94" s="21"/>
      <c r="F94" s="21"/>
      <c r="G94" s="21"/>
      <c r="H94" s="21"/>
      <c r="I94" s="21"/>
      <c r="J94" s="21"/>
      <c r="K94" s="21"/>
      <c r="L94" s="21"/>
      <c r="M94" s="22"/>
      <c r="N94" s="20"/>
      <c r="O94" s="20"/>
      <c r="P94" s="21"/>
      <c r="Q94" s="21"/>
      <c r="R94" s="20"/>
      <c r="S94" s="20"/>
      <c r="T94" s="21"/>
      <c r="U94" s="21"/>
      <c r="V94" s="9" t="str">
        <f aca="false">IF(A94="","",SUMIFS(CONFIG!$F$5:$F$26,CONFIG!$D$5:$D$26,"Tipo de persona",CONFIG!$E$5:$E$26,C94)+SUMIFS(CONFIG!$F$5:$F$26,CONFIG!$D$5:$D$26,"Residencia",CONFIG!$E$5:$E$26,E94)+SUMIFS(CONFIG!$F$5:$F$26,CONFIG!$D$5:$D$26,"Nacionalidad",CONFIG!$E$5:$E$26,F94)+SUMIFS(CONFIG!$F$5:$F$26,CONFIG!$D$5:$D$26,"Jurisdicción de riesgo",CONFIG!$E$5:$E$26,G94)+SUMIFS(CONFIG!$F$5:$F$26,CONFIG!$D$5:$D$26,"PEP",CONFIG!$E$5:$E$26,H94)+SUMIFS(CONFIG!$F$5:$F$26,CONFIG!$D$5:$D$26,"En listas",CONFIG!$E$5:$E$26,I94)+SUMIFS(CONFIG!$F$5:$F$26,CONFIG!$D$5:$D$26,"Riesgo de su actividad económica",CONFIG!$E$5:$E$26,J94)+SUMIFS(CONFIG!$F$5:$F$26,CONFIG!$D$5:$D$26,"Canal",CONFIG!$E$5:$E$26,K94)+SUMIFS(CONFIG!$F$5:$F$26,CONFIG!$D$5:$D$26,"Origen de recursos documentado",CONFIG!$E$5:$E$26,L94))</f>
        <v/>
      </c>
      <c r="W94" s="9" t="str">
        <f aca="false">IF(A94="","",IF(SUMIF(OPERACIONES!$C$6:$C$505,A94,OPERACIONES!$E$6:$E$505)&gt;0,IF(SUMIF(OPERACIONES!$C$6:$C$505,A94,OPERACIONES!$F$6:$F$505)/SUMIF(OPERACIONES!$C$6:$C$505,A94,OPERACIONES!$E$6:$E$505)&gt;0.5,CONFIG!$B$20,IF(SUMIF(OPERACIONES!$C$6:$C$505,A94,OPERACIONES!$F$6:$F$505)&gt;0,CONFIG!$B$21,0)),0)+IF(COUNTIFS(OPERACIONES!$C$6:$C$505,A94,OPERACIONES!$AQ$6:$AQ$505,1)&gt;0,CONFIG!$B$22,0)+IF(COUNTIFS(OPERACIONES!$C$6:$C$505,A94,OPERACIONES!$H$6:$H$505,"Sí")&gt;0,CONFIG!$B$23,0))</f>
        <v/>
      </c>
      <c r="X94" s="9" t="str">
        <f aca="false">IF(A94="","",V94+W94)</f>
        <v/>
      </c>
      <c r="Y94" s="9" t="str">
        <f aca="false">IF(A94="","",IF(X94&lt;=CONFIG!$B$13,"Bajo",IF(X94&lt;=CONFIG!$B$14,"Medio","Alto")))</f>
        <v/>
      </c>
      <c r="Z94" s="25" t="str">
        <f aca="false">IF(A94="","",IF(OR(H94="Extranjera",AND(E94="No residente",G94="Sí"),I94="Sí"),"Alto",IF(T94&lt;&gt;"",T94,Y94)))</f>
        <v/>
      </c>
      <c r="AA94" s="26" t="str">
        <f aca="false">IF(A94="","",IF(H94="Extranjera","Alto obligatorio: PEP extranjera (RCG 23 Bis 4)",IF(AND(E94="No residente",G94="Sí"),"Alto obligatorio: no residente vinculado a jurisdicción de riesgo (RCG 23 Bis 4)",IF(I94="Sí","Alto por criterio: persona en listas. Evalúa no operar y Aviso de 24 h",IF(T94&lt;&gt;"","Ajuste del REC: "&amp;U94,"Modelo: "&amp;X94&amp;" puntos")))))</f>
        <v/>
      </c>
      <c r="AB94" s="23" t="str">
        <f aca="false">IF(A94="","",IF(COUNT(N94,O94)=0,"Falta fecha",EDATE(MAX(N94,O94),IF(Z94="Alto",CONFIG!$B$18,IF(Z94="Medio",CONFIG!$B$17,CONFIG!$B$16)))))</f>
        <v/>
      </c>
      <c r="AC94" s="23" t="str">
        <f aca="false">IF(A94="","",IF(ISNUMBER(S94),EDATE(S94,12),IF(ISNUMBER(N94),EDATE(N94,12),"Falta fecha")))</f>
        <v/>
      </c>
      <c r="AD94" s="26" t="str">
        <f aca="false">IF(A94="","",MID(IF(P94&lt;&gt;"Sí"," · Expediente incompleto","")&amp;IF(OR(Q94="",Q94="Pendiente")," · Falta el Beneficiario Controlador","")&amp;IF(M94=""," · Sin perfil transaccional","")&amp;IF(AND(ISNUMBER(AB94),AB94&lt;CONFIG!$B$6)," · Evaluación de riesgo vencida","")&amp;IF(AND(ISNUMBER(AC94),AC94&lt;CONFIG!$B$6)," · Verificación anual vencida","")&amp;IF(AND(ISNUMBER(R94),ISNUMBER(S94),S94-R94&gt;92)," · Comprobante de domicilio con más de 3 meses","")&amp;IF(AND(T94&lt;&gt;"",U94="")," · Ajuste del REC sin justificación",""),4,400))</f>
        <v/>
      </c>
      <c r="AE94" s="9" t="str">
        <f aca="false">IF(A94="","",IF(AD94="","Al día","Revisar"))</f>
        <v/>
      </c>
      <c r="AF94" s="9" t="str">
        <f aca="false">IF(A94="","",COUNTIF(OPERACIONES!$C$6:$C$505,A94)&amp;" / $"&amp;FIXED(SUMIF(OPERACIONES!$C$6:$C$505,A94,OPERACIONES!$E$6:$E$505),0))</f>
        <v/>
      </c>
    </row>
    <row r="95" customFormat="false" ht="15" hidden="false" customHeight="false" outlineLevel="0" collapsed="false">
      <c r="A95" s="21"/>
      <c r="B95" s="21"/>
      <c r="C95" s="21"/>
      <c r="D95" s="21"/>
      <c r="E95" s="21"/>
      <c r="F95" s="21"/>
      <c r="G95" s="21"/>
      <c r="H95" s="21"/>
      <c r="I95" s="21"/>
      <c r="J95" s="21"/>
      <c r="K95" s="21"/>
      <c r="L95" s="21"/>
      <c r="M95" s="22"/>
      <c r="N95" s="20"/>
      <c r="O95" s="20"/>
      <c r="P95" s="21"/>
      <c r="Q95" s="21"/>
      <c r="R95" s="20"/>
      <c r="S95" s="20"/>
      <c r="T95" s="21"/>
      <c r="U95" s="21"/>
      <c r="V95" s="9" t="str">
        <f aca="false">IF(A95="","",SUMIFS(CONFIG!$F$5:$F$26,CONFIG!$D$5:$D$26,"Tipo de persona",CONFIG!$E$5:$E$26,C95)+SUMIFS(CONFIG!$F$5:$F$26,CONFIG!$D$5:$D$26,"Residencia",CONFIG!$E$5:$E$26,E95)+SUMIFS(CONFIG!$F$5:$F$26,CONFIG!$D$5:$D$26,"Nacionalidad",CONFIG!$E$5:$E$26,F95)+SUMIFS(CONFIG!$F$5:$F$26,CONFIG!$D$5:$D$26,"Jurisdicción de riesgo",CONFIG!$E$5:$E$26,G95)+SUMIFS(CONFIG!$F$5:$F$26,CONFIG!$D$5:$D$26,"PEP",CONFIG!$E$5:$E$26,H95)+SUMIFS(CONFIG!$F$5:$F$26,CONFIG!$D$5:$D$26,"En listas",CONFIG!$E$5:$E$26,I95)+SUMIFS(CONFIG!$F$5:$F$26,CONFIG!$D$5:$D$26,"Riesgo de su actividad económica",CONFIG!$E$5:$E$26,J95)+SUMIFS(CONFIG!$F$5:$F$26,CONFIG!$D$5:$D$26,"Canal",CONFIG!$E$5:$E$26,K95)+SUMIFS(CONFIG!$F$5:$F$26,CONFIG!$D$5:$D$26,"Origen de recursos documentado",CONFIG!$E$5:$E$26,L95))</f>
        <v/>
      </c>
      <c r="W95" s="9" t="str">
        <f aca="false">IF(A95="","",IF(SUMIF(OPERACIONES!$C$6:$C$505,A95,OPERACIONES!$E$6:$E$505)&gt;0,IF(SUMIF(OPERACIONES!$C$6:$C$505,A95,OPERACIONES!$F$6:$F$505)/SUMIF(OPERACIONES!$C$6:$C$505,A95,OPERACIONES!$E$6:$E$505)&gt;0.5,CONFIG!$B$20,IF(SUMIF(OPERACIONES!$C$6:$C$505,A95,OPERACIONES!$F$6:$F$505)&gt;0,CONFIG!$B$21,0)),0)+IF(COUNTIFS(OPERACIONES!$C$6:$C$505,A95,OPERACIONES!$AQ$6:$AQ$505,1)&gt;0,CONFIG!$B$22,0)+IF(COUNTIFS(OPERACIONES!$C$6:$C$505,A95,OPERACIONES!$H$6:$H$505,"Sí")&gt;0,CONFIG!$B$23,0))</f>
        <v/>
      </c>
      <c r="X95" s="9" t="str">
        <f aca="false">IF(A95="","",V95+W95)</f>
        <v/>
      </c>
      <c r="Y95" s="9" t="str">
        <f aca="false">IF(A95="","",IF(X95&lt;=CONFIG!$B$13,"Bajo",IF(X95&lt;=CONFIG!$B$14,"Medio","Alto")))</f>
        <v/>
      </c>
      <c r="Z95" s="25" t="str">
        <f aca="false">IF(A95="","",IF(OR(H95="Extranjera",AND(E95="No residente",G95="Sí"),I95="Sí"),"Alto",IF(T95&lt;&gt;"",T95,Y95)))</f>
        <v/>
      </c>
      <c r="AA95" s="26" t="str">
        <f aca="false">IF(A95="","",IF(H95="Extranjera","Alto obligatorio: PEP extranjera (RCG 23 Bis 4)",IF(AND(E95="No residente",G95="Sí"),"Alto obligatorio: no residente vinculado a jurisdicción de riesgo (RCG 23 Bis 4)",IF(I95="Sí","Alto por criterio: persona en listas. Evalúa no operar y Aviso de 24 h",IF(T95&lt;&gt;"","Ajuste del REC: "&amp;U95,"Modelo: "&amp;X95&amp;" puntos")))))</f>
        <v/>
      </c>
      <c r="AB95" s="23" t="str">
        <f aca="false">IF(A95="","",IF(COUNT(N95,O95)=0,"Falta fecha",EDATE(MAX(N95,O95),IF(Z95="Alto",CONFIG!$B$18,IF(Z95="Medio",CONFIG!$B$17,CONFIG!$B$16)))))</f>
        <v/>
      </c>
      <c r="AC95" s="23" t="str">
        <f aca="false">IF(A95="","",IF(ISNUMBER(S95),EDATE(S95,12),IF(ISNUMBER(N95),EDATE(N95,12),"Falta fecha")))</f>
        <v/>
      </c>
      <c r="AD95" s="26" t="str">
        <f aca="false">IF(A95="","",MID(IF(P95&lt;&gt;"Sí"," · Expediente incompleto","")&amp;IF(OR(Q95="",Q95="Pendiente")," · Falta el Beneficiario Controlador","")&amp;IF(M95=""," · Sin perfil transaccional","")&amp;IF(AND(ISNUMBER(AB95),AB95&lt;CONFIG!$B$6)," · Evaluación de riesgo vencida","")&amp;IF(AND(ISNUMBER(AC95),AC95&lt;CONFIG!$B$6)," · Verificación anual vencida","")&amp;IF(AND(ISNUMBER(R95),ISNUMBER(S95),S95-R95&gt;92)," · Comprobante de domicilio con más de 3 meses","")&amp;IF(AND(T95&lt;&gt;"",U95="")," · Ajuste del REC sin justificación",""),4,400))</f>
        <v/>
      </c>
      <c r="AE95" s="9" t="str">
        <f aca="false">IF(A95="","",IF(AD95="","Al día","Revisar"))</f>
        <v/>
      </c>
      <c r="AF95" s="9" t="str">
        <f aca="false">IF(A95="","",COUNTIF(OPERACIONES!$C$6:$C$505,A95)&amp;" / $"&amp;FIXED(SUMIF(OPERACIONES!$C$6:$C$505,A95,OPERACIONES!$E$6:$E$505),0))</f>
        <v/>
      </c>
    </row>
    <row r="96" customFormat="false" ht="15" hidden="false" customHeight="false" outlineLevel="0" collapsed="false">
      <c r="A96" s="21"/>
      <c r="B96" s="21"/>
      <c r="C96" s="21"/>
      <c r="D96" s="21"/>
      <c r="E96" s="21"/>
      <c r="F96" s="21"/>
      <c r="G96" s="21"/>
      <c r="H96" s="21"/>
      <c r="I96" s="21"/>
      <c r="J96" s="21"/>
      <c r="K96" s="21"/>
      <c r="L96" s="21"/>
      <c r="M96" s="22"/>
      <c r="N96" s="20"/>
      <c r="O96" s="20"/>
      <c r="P96" s="21"/>
      <c r="Q96" s="21"/>
      <c r="R96" s="20"/>
      <c r="S96" s="20"/>
      <c r="T96" s="21"/>
      <c r="U96" s="21"/>
      <c r="V96" s="9" t="str">
        <f aca="false">IF(A96="","",SUMIFS(CONFIG!$F$5:$F$26,CONFIG!$D$5:$D$26,"Tipo de persona",CONFIG!$E$5:$E$26,C96)+SUMIFS(CONFIG!$F$5:$F$26,CONFIG!$D$5:$D$26,"Residencia",CONFIG!$E$5:$E$26,E96)+SUMIFS(CONFIG!$F$5:$F$26,CONFIG!$D$5:$D$26,"Nacionalidad",CONFIG!$E$5:$E$26,F96)+SUMIFS(CONFIG!$F$5:$F$26,CONFIG!$D$5:$D$26,"Jurisdicción de riesgo",CONFIG!$E$5:$E$26,G96)+SUMIFS(CONFIG!$F$5:$F$26,CONFIG!$D$5:$D$26,"PEP",CONFIG!$E$5:$E$26,H96)+SUMIFS(CONFIG!$F$5:$F$26,CONFIG!$D$5:$D$26,"En listas",CONFIG!$E$5:$E$26,I96)+SUMIFS(CONFIG!$F$5:$F$26,CONFIG!$D$5:$D$26,"Riesgo de su actividad económica",CONFIG!$E$5:$E$26,J96)+SUMIFS(CONFIG!$F$5:$F$26,CONFIG!$D$5:$D$26,"Canal",CONFIG!$E$5:$E$26,K96)+SUMIFS(CONFIG!$F$5:$F$26,CONFIG!$D$5:$D$26,"Origen de recursos documentado",CONFIG!$E$5:$E$26,L96))</f>
        <v/>
      </c>
      <c r="W96" s="9" t="str">
        <f aca="false">IF(A96="","",IF(SUMIF(OPERACIONES!$C$6:$C$505,A96,OPERACIONES!$E$6:$E$505)&gt;0,IF(SUMIF(OPERACIONES!$C$6:$C$505,A96,OPERACIONES!$F$6:$F$505)/SUMIF(OPERACIONES!$C$6:$C$505,A96,OPERACIONES!$E$6:$E$505)&gt;0.5,CONFIG!$B$20,IF(SUMIF(OPERACIONES!$C$6:$C$505,A96,OPERACIONES!$F$6:$F$505)&gt;0,CONFIG!$B$21,0)),0)+IF(COUNTIFS(OPERACIONES!$C$6:$C$505,A96,OPERACIONES!$AQ$6:$AQ$505,1)&gt;0,CONFIG!$B$22,0)+IF(COUNTIFS(OPERACIONES!$C$6:$C$505,A96,OPERACIONES!$H$6:$H$505,"Sí")&gt;0,CONFIG!$B$23,0))</f>
        <v/>
      </c>
      <c r="X96" s="9" t="str">
        <f aca="false">IF(A96="","",V96+W96)</f>
        <v/>
      </c>
      <c r="Y96" s="9" t="str">
        <f aca="false">IF(A96="","",IF(X96&lt;=CONFIG!$B$13,"Bajo",IF(X96&lt;=CONFIG!$B$14,"Medio","Alto")))</f>
        <v/>
      </c>
      <c r="Z96" s="25" t="str">
        <f aca="false">IF(A96="","",IF(OR(H96="Extranjera",AND(E96="No residente",G96="Sí"),I96="Sí"),"Alto",IF(T96&lt;&gt;"",T96,Y96)))</f>
        <v/>
      </c>
      <c r="AA96" s="26" t="str">
        <f aca="false">IF(A96="","",IF(H96="Extranjera","Alto obligatorio: PEP extranjera (RCG 23 Bis 4)",IF(AND(E96="No residente",G96="Sí"),"Alto obligatorio: no residente vinculado a jurisdicción de riesgo (RCG 23 Bis 4)",IF(I96="Sí","Alto por criterio: persona en listas. Evalúa no operar y Aviso de 24 h",IF(T96&lt;&gt;"","Ajuste del REC: "&amp;U96,"Modelo: "&amp;X96&amp;" puntos")))))</f>
        <v/>
      </c>
      <c r="AB96" s="23" t="str">
        <f aca="false">IF(A96="","",IF(COUNT(N96,O96)=0,"Falta fecha",EDATE(MAX(N96,O96),IF(Z96="Alto",CONFIG!$B$18,IF(Z96="Medio",CONFIG!$B$17,CONFIG!$B$16)))))</f>
        <v/>
      </c>
      <c r="AC96" s="23" t="str">
        <f aca="false">IF(A96="","",IF(ISNUMBER(S96),EDATE(S96,12),IF(ISNUMBER(N96),EDATE(N96,12),"Falta fecha")))</f>
        <v/>
      </c>
      <c r="AD96" s="26" t="str">
        <f aca="false">IF(A96="","",MID(IF(P96&lt;&gt;"Sí"," · Expediente incompleto","")&amp;IF(OR(Q96="",Q96="Pendiente")," · Falta el Beneficiario Controlador","")&amp;IF(M96=""," · Sin perfil transaccional","")&amp;IF(AND(ISNUMBER(AB96),AB96&lt;CONFIG!$B$6)," · Evaluación de riesgo vencida","")&amp;IF(AND(ISNUMBER(AC96),AC96&lt;CONFIG!$B$6)," · Verificación anual vencida","")&amp;IF(AND(ISNUMBER(R96),ISNUMBER(S96),S96-R96&gt;92)," · Comprobante de domicilio con más de 3 meses","")&amp;IF(AND(T96&lt;&gt;"",U96="")," · Ajuste del REC sin justificación",""),4,400))</f>
        <v/>
      </c>
      <c r="AE96" s="9" t="str">
        <f aca="false">IF(A96="","",IF(AD96="","Al día","Revisar"))</f>
        <v/>
      </c>
      <c r="AF96" s="9" t="str">
        <f aca="false">IF(A96="","",COUNTIF(OPERACIONES!$C$6:$C$505,A96)&amp;" / $"&amp;FIXED(SUMIF(OPERACIONES!$C$6:$C$505,A96,OPERACIONES!$E$6:$E$505),0))</f>
        <v/>
      </c>
    </row>
    <row r="97" customFormat="false" ht="15" hidden="false" customHeight="false" outlineLevel="0" collapsed="false">
      <c r="A97" s="21"/>
      <c r="B97" s="21"/>
      <c r="C97" s="21"/>
      <c r="D97" s="21"/>
      <c r="E97" s="21"/>
      <c r="F97" s="21"/>
      <c r="G97" s="21"/>
      <c r="H97" s="21"/>
      <c r="I97" s="21"/>
      <c r="J97" s="21"/>
      <c r="K97" s="21"/>
      <c r="L97" s="21"/>
      <c r="M97" s="22"/>
      <c r="N97" s="20"/>
      <c r="O97" s="20"/>
      <c r="P97" s="21"/>
      <c r="Q97" s="21"/>
      <c r="R97" s="20"/>
      <c r="S97" s="20"/>
      <c r="T97" s="21"/>
      <c r="U97" s="21"/>
      <c r="V97" s="9" t="str">
        <f aca="false">IF(A97="","",SUMIFS(CONFIG!$F$5:$F$26,CONFIG!$D$5:$D$26,"Tipo de persona",CONFIG!$E$5:$E$26,C97)+SUMIFS(CONFIG!$F$5:$F$26,CONFIG!$D$5:$D$26,"Residencia",CONFIG!$E$5:$E$26,E97)+SUMIFS(CONFIG!$F$5:$F$26,CONFIG!$D$5:$D$26,"Nacionalidad",CONFIG!$E$5:$E$26,F97)+SUMIFS(CONFIG!$F$5:$F$26,CONFIG!$D$5:$D$26,"Jurisdicción de riesgo",CONFIG!$E$5:$E$26,G97)+SUMIFS(CONFIG!$F$5:$F$26,CONFIG!$D$5:$D$26,"PEP",CONFIG!$E$5:$E$26,H97)+SUMIFS(CONFIG!$F$5:$F$26,CONFIG!$D$5:$D$26,"En listas",CONFIG!$E$5:$E$26,I97)+SUMIFS(CONFIG!$F$5:$F$26,CONFIG!$D$5:$D$26,"Riesgo de su actividad económica",CONFIG!$E$5:$E$26,J97)+SUMIFS(CONFIG!$F$5:$F$26,CONFIG!$D$5:$D$26,"Canal",CONFIG!$E$5:$E$26,K97)+SUMIFS(CONFIG!$F$5:$F$26,CONFIG!$D$5:$D$26,"Origen de recursos documentado",CONFIG!$E$5:$E$26,L97))</f>
        <v/>
      </c>
      <c r="W97" s="9" t="str">
        <f aca="false">IF(A97="","",IF(SUMIF(OPERACIONES!$C$6:$C$505,A97,OPERACIONES!$E$6:$E$505)&gt;0,IF(SUMIF(OPERACIONES!$C$6:$C$505,A97,OPERACIONES!$F$6:$F$505)/SUMIF(OPERACIONES!$C$6:$C$505,A97,OPERACIONES!$E$6:$E$505)&gt;0.5,CONFIG!$B$20,IF(SUMIF(OPERACIONES!$C$6:$C$505,A97,OPERACIONES!$F$6:$F$505)&gt;0,CONFIG!$B$21,0)),0)+IF(COUNTIFS(OPERACIONES!$C$6:$C$505,A97,OPERACIONES!$AQ$6:$AQ$505,1)&gt;0,CONFIG!$B$22,0)+IF(COUNTIFS(OPERACIONES!$C$6:$C$505,A97,OPERACIONES!$H$6:$H$505,"Sí")&gt;0,CONFIG!$B$23,0))</f>
        <v/>
      </c>
      <c r="X97" s="9" t="str">
        <f aca="false">IF(A97="","",V97+W97)</f>
        <v/>
      </c>
      <c r="Y97" s="9" t="str">
        <f aca="false">IF(A97="","",IF(X97&lt;=CONFIG!$B$13,"Bajo",IF(X97&lt;=CONFIG!$B$14,"Medio","Alto")))</f>
        <v/>
      </c>
      <c r="Z97" s="25" t="str">
        <f aca="false">IF(A97="","",IF(OR(H97="Extranjera",AND(E97="No residente",G97="Sí"),I97="Sí"),"Alto",IF(T97&lt;&gt;"",T97,Y97)))</f>
        <v/>
      </c>
      <c r="AA97" s="26" t="str">
        <f aca="false">IF(A97="","",IF(H97="Extranjera","Alto obligatorio: PEP extranjera (RCG 23 Bis 4)",IF(AND(E97="No residente",G97="Sí"),"Alto obligatorio: no residente vinculado a jurisdicción de riesgo (RCG 23 Bis 4)",IF(I97="Sí","Alto por criterio: persona en listas. Evalúa no operar y Aviso de 24 h",IF(T97&lt;&gt;"","Ajuste del REC: "&amp;U97,"Modelo: "&amp;X97&amp;" puntos")))))</f>
        <v/>
      </c>
      <c r="AB97" s="23" t="str">
        <f aca="false">IF(A97="","",IF(COUNT(N97,O97)=0,"Falta fecha",EDATE(MAX(N97,O97),IF(Z97="Alto",CONFIG!$B$18,IF(Z97="Medio",CONFIG!$B$17,CONFIG!$B$16)))))</f>
        <v/>
      </c>
      <c r="AC97" s="23" t="str">
        <f aca="false">IF(A97="","",IF(ISNUMBER(S97),EDATE(S97,12),IF(ISNUMBER(N97),EDATE(N97,12),"Falta fecha")))</f>
        <v/>
      </c>
      <c r="AD97" s="26" t="str">
        <f aca="false">IF(A97="","",MID(IF(P97&lt;&gt;"Sí"," · Expediente incompleto","")&amp;IF(OR(Q97="",Q97="Pendiente")," · Falta el Beneficiario Controlador","")&amp;IF(M97=""," · Sin perfil transaccional","")&amp;IF(AND(ISNUMBER(AB97),AB97&lt;CONFIG!$B$6)," · Evaluación de riesgo vencida","")&amp;IF(AND(ISNUMBER(AC97),AC97&lt;CONFIG!$B$6)," · Verificación anual vencida","")&amp;IF(AND(ISNUMBER(R97),ISNUMBER(S97),S97-R97&gt;92)," · Comprobante de domicilio con más de 3 meses","")&amp;IF(AND(T97&lt;&gt;"",U97="")," · Ajuste del REC sin justificación",""),4,400))</f>
        <v/>
      </c>
      <c r="AE97" s="9" t="str">
        <f aca="false">IF(A97="","",IF(AD97="","Al día","Revisar"))</f>
        <v/>
      </c>
      <c r="AF97" s="9" t="str">
        <f aca="false">IF(A97="","",COUNTIF(OPERACIONES!$C$6:$C$505,A97)&amp;" / $"&amp;FIXED(SUMIF(OPERACIONES!$C$6:$C$505,A97,OPERACIONES!$E$6:$E$505),0))</f>
        <v/>
      </c>
    </row>
    <row r="98" customFormat="false" ht="15" hidden="false" customHeight="false" outlineLevel="0" collapsed="false">
      <c r="A98" s="21"/>
      <c r="B98" s="21"/>
      <c r="C98" s="21"/>
      <c r="D98" s="21"/>
      <c r="E98" s="21"/>
      <c r="F98" s="21"/>
      <c r="G98" s="21"/>
      <c r="H98" s="21"/>
      <c r="I98" s="21"/>
      <c r="J98" s="21"/>
      <c r="K98" s="21"/>
      <c r="L98" s="21"/>
      <c r="M98" s="22"/>
      <c r="N98" s="20"/>
      <c r="O98" s="20"/>
      <c r="P98" s="21"/>
      <c r="Q98" s="21"/>
      <c r="R98" s="20"/>
      <c r="S98" s="20"/>
      <c r="T98" s="21"/>
      <c r="U98" s="21"/>
      <c r="V98" s="9" t="str">
        <f aca="false">IF(A98="","",SUMIFS(CONFIG!$F$5:$F$26,CONFIG!$D$5:$D$26,"Tipo de persona",CONFIG!$E$5:$E$26,C98)+SUMIFS(CONFIG!$F$5:$F$26,CONFIG!$D$5:$D$26,"Residencia",CONFIG!$E$5:$E$26,E98)+SUMIFS(CONFIG!$F$5:$F$26,CONFIG!$D$5:$D$26,"Nacionalidad",CONFIG!$E$5:$E$26,F98)+SUMIFS(CONFIG!$F$5:$F$26,CONFIG!$D$5:$D$26,"Jurisdicción de riesgo",CONFIG!$E$5:$E$26,G98)+SUMIFS(CONFIG!$F$5:$F$26,CONFIG!$D$5:$D$26,"PEP",CONFIG!$E$5:$E$26,H98)+SUMIFS(CONFIG!$F$5:$F$26,CONFIG!$D$5:$D$26,"En listas",CONFIG!$E$5:$E$26,I98)+SUMIFS(CONFIG!$F$5:$F$26,CONFIG!$D$5:$D$26,"Riesgo de su actividad económica",CONFIG!$E$5:$E$26,J98)+SUMIFS(CONFIG!$F$5:$F$26,CONFIG!$D$5:$D$26,"Canal",CONFIG!$E$5:$E$26,K98)+SUMIFS(CONFIG!$F$5:$F$26,CONFIG!$D$5:$D$26,"Origen de recursos documentado",CONFIG!$E$5:$E$26,L98))</f>
        <v/>
      </c>
      <c r="W98" s="9" t="str">
        <f aca="false">IF(A98="","",IF(SUMIF(OPERACIONES!$C$6:$C$505,A98,OPERACIONES!$E$6:$E$505)&gt;0,IF(SUMIF(OPERACIONES!$C$6:$C$505,A98,OPERACIONES!$F$6:$F$505)/SUMIF(OPERACIONES!$C$6:$C$505,A98,OPERACIONES!$E$6:$E$505)&gt;0.5,CONFIG!$B$20,IF(SUMIF(OPERACIONES!$C$6:$C$505,A98,OPERACIONES!$F$6:$F$505)&gt;0,CONFIG!$B$21,0)),0)+IF(COUNTIFS(OPERACIONES!$C$6:$C$505,A98,OPERACIONES!$AQ$6:$AQ$505,1)&gt;0,CONFIG!$B$22,0)+IF(COUNTIFS(OPERACIONES!$C$6:$C$505,A98,OPERACIONES!$H$6:$H$505,"Sí")&gt;0,CONFIG!$B$23,0))</f>
        <v/>
      </c>
      <c r="X98" s="9" t="str">
        <f aca="false">IF(A98="","",V98+W98)</f>
        <v/>
      </c>
      <c r="Y98" s="9" t="str">
        <f aca="false">IF(A98="","",IF(X98&lt;=CONFIG!$B$13,"Bajo",IF(X98&lt;=CONFIG!$B$14,"Medio","Alto")))</f>
        <v/>
      </c>
      <c r="Z98" s="25" t="str">
        <f aca="false">IF(A98="","",IF(OR(H98="Extranjera",AND(E98="No residente",G98="Sí"),I98="Sí"),"Alto",IF(T98&lt;&gt;"",T98,Y98)))</f>
        <v/>
      </c>
      <c r="AA98" s="26" t="str">
        <f aca="false">IF(A98="","",IF(H98="Extranjera","Alto obligatorio: PEP extranjera (RCG 23 Bis 4)",IF(AND(E98="No residente",G98="Sí"),"Alto obligatorio: no residente vinculado a jurisdicción de riesgo (RCG 23 Bis 4)",IF(I98="Sí","Alto por criterio: persona en listas. Evalúa no operar y Aviso de 24 h",IF(T98&lt;&gt;"","Ajuste del REC: "&amp;U98,"Modelo: "&amp;X98&amp;" puntos")))))</f>
        <v/>
      </c>
      <c r="AB98" s="23" t="str">
        <f aca="false">IF(A98="","",IF(COUNT(N98,O98)=0,"Falta fecha",EDATE(MAX(N98,O98),IF(Z98="Alto",CONFIG!$B$18,IF(Z98="Medio",CONFIG!$B$17,CONFIG!$B$16)))))</f>
        <v/>
      </c>
      <c r="AC98" s="23" t="str">
        <f aca="false">IF(A98="","",IF(ISNUMBER(S98),EDATE(S98,12),IF(ISNUMBER(N98),EDATE(N98,12),"Falta fecha")))</f>
        <v/>
      </c>
      <c r="AD98" s="26" t="str">
        <f aca="false">IF(A98="","",MID(IF(P98&lt;&gt;"Sí"," · Expediente incompleto","")&amp;IF(OR(Q98="",Q98="Pendiente")," · Falta el Beneficiario Controlador","")&amp;IF(M98=""," · Sin perfil transaccional","")&amp;IF(AND(ISNUMBER(AB98),AB98&lt;CONFIG!$B$6)," · Evaluación de riesgo vencida","")&amp;IF(AND(ISNUMBER(AC98),AC98&lt;CONFIG!$B$6)," · Verificación anual vencida","")&amp;IF(AND(ISNUMBER(R98),ISNUMBER(S98),S98-R98&gt;92)," · Comprobante de domicilio con más de 3 meses","")&amp;IF(AND(T98&lt;&gt;"",U98="")," · Ajuste del REC sin justificación",""),4,400))</f>
        <v/>
      </c>
      <c r="AE98" s="9" t="str">
        <f aca="false">IF(A98="","",IF(AD98="","Al día","Revisar"))</f>
        <v/>
      </c>
      <c r="AF98" s="9" t="str">
        <f aca="false">IF(A98="","",COUNTIF(OPERACIONES!$C$6:$C$505,A98)&amp;" / $"&amp;FIXED(SUMIF(OPERACIONES!$C$6:$C$505,A98,OPERACIONES!$E$6:$E$505),0))</f>
        <v/>
      </c>
    </row>
    <row r="99" customFormat="false" ht="15" hidden="false" customHeight="false" outlineLevel="0" collapsed="false">
      <c r="A99" s="21"/>
      <c r="B99" s="21"/>
      <c r="C99" s="21"/>
      <c r="D99" s="21"/>
      <c r="E99" s="21"/>
      <c r="F99" s="21"/>
      <c r="G99" s="21"/>
      <c r="H99" s="21"/>
      <c r="I99" s="21"/>
      <c r="J99" s="21"/>
      <c r="K99" s="21"/>
      <c r="L99" s="21"/>
      <c r="M99" s="22"/>
      <c r="N99" s="20"/>
      <c r="O99" s="20"/>
      <c r="P99" s="21"/>
      <c r="Q99" s="21"/>
      <c r="R99" s="20"/>
      <c r="S99" s="20"/>
      <c r="T99" s="21"/>
      <c r="U99" s="21"/>
      <c r="V99" s="9" t="str">
        <f aca="false">IF(A99="","",SUMIFS(CONFIG!$F$5:$F$26,CONFIG!$D$5:$D$26,"Tipo de persona",CONFIG!$E$5:$E$26,C99)+SUMIFS(CONFIG!$F$5:$F$26,CONFIG!$D$5:$D$26,"Residencia",CONFIG!$E$5:$E$26,E99)+SUMIFS(CONFIG!$F$5:$F$26,CONFIG!$D$5:$D$26,"Nacionalidad",CONFIG!$E$5:$E$26,F99)+SUMIFS(CONFIG!$F$5:$F$26,CONFIG!$D$5:$D$26,"Jurisdicción de riesgo",CONFIG!$E$5:$E$26,G99)+SUMIFS(CONFIG!$F$5:$F$26,CONFIG!$D$5:$D$26,"PEP",CONFIG!$E$5:$E$26,H99)+SUMIFS(CONFIG!$F$5:$F$26,CONFIG!$D$5:$D$26,"En listas",CONFIG!$E$5:$E$26,I99)+SUMIFS(CONFIG!$F$5:$F$26,CONFIG!$D$5:$D$26,"Riesgo de su actividad económica",CONFIG!$E$5:$E$26,J99)+SUMIFS(CONFIG!$F$5:$F$26,CONFIG!$D$5:$D$26,"Canal",CONFIG!$E$5:$E$26,K99)+SUMIFS(CONFIG!$F$5:$F$26,CONFIG!$D$5:$D$26,"Origen de recursos documentado",CONFIG!$E$5:$E$26,L99))</f>
        <v/>
      </c>
      <c r="W99" s="9" t="str">
        <f aca="false">IF(A99="","",IF(SUMIF(OPERACIONES!$C$6:$C$505,A99,OPERACIONES!$E$6:$E$505)&gt;0,IF(SUMIF(OPERACIONES!$C$6:$C$505,A99,OPERACIONES!$F$6:$F$505)/SUMIF(OPERACIONES!$C$6:$C$505,A99,OPERACIONES!$E$6:$E$505)&gt;0.5,CONFIG!$B$20,IF(SUMIF(OPERACIONES!$C$6:$C$505,A99,OPERACIONES!$F$6:$F$505)&gt;0,CONFIG!$B$21,0)),0)+IF(COUNTIFS(OPERACIONES!$C$6:$C$505,A99,OPERACIONES!$AQ$6:$AQ$505,1)&gt;0,CONFIG!$B$22,0)+IF(COUNTIFS(OPERACIONES!$C$6:$C$505,A99,OPERACIONES!$H$6:$H$505,"Sí")&gt;0,CONFIG!$B$23,0))</f>
        <v/>
      </c>
      <c r="X99" s="9" t="str">
        <f aca="false">IF(A99="","",V99+W99)</f>
        <v/>
      </c>
      <c r="Y99" s="9" t="str">
        <f aca="false">IF(A99="","",IF(X99&lt;=CONFIG!$B$13,"Bajo",IF(X99&lt;=CONFIG!$B$14,"Medio","Alto")))</f>
        <v/>
      </c>
      <c r="Z99" s="25" t="str">
        <f aca="false">IF(A99="","",IF(OR(H99="Extranjera",AND(E99="No residente",G99="Sí"),I99="Sí"),"Alto",IF(T99&lt;&gt;"",T99,Y99)))</f>
        <v/>
      </c>
      <c r="AA99" s="26" t="str">
        <f aca="false">IF(A99="","",IF(H99="Extranjera","Alto obligatorio: PEP extranjera (RCG 23 Bis 4)",IF(AND(E99="No residente",G99="Sí"),"Alto obligatorio: no residente vinculado a jurisdicción de riesgo (RCG 23 Bis 4)",IF(I99="Sí","Alto por criterio: persona en listas. Evalúa no operar y Aviso de 24 h",IF(T99&lt;&gt;"","Ajuste del REC: "&amp;U99,"Modelo: "&amp;X99&amp;" puntos")))))</f>
        <v/>
      </c>
      <c r="AB99" s="23" t="str">
        <f aca="false">IF(A99="","",IF(COUNT(N99,O99)=0,"Falta fecha",EDATE(MAX(N99,O99),IF(Z99="Alto",CONFIG!$B$18,IF(Z99="Medio",CONFIG!$B$17,CONFIG!$B$16)))))</f>
        <v/>
      </c>
      <c r="AC99" s="23" t="str">
        <f aca="false">IF(A99="","",IF(ISNUMBER(S99),EDATE(S99,12),IF(ISNUMBER(N99),EDATE(N99,12),"Falta fecha")))</f>
        <v/>
      </c>
      <c r="AD99" s="26" t="str">
        <f aca="false">IF(A99="","",MID(IF(P99&lt;&gt;"Sí"," · Expediente incompleto","")&amp;IF(OR(Q99="",Q99="Pendiente")," · Falta el Beneficiario Controlador","")&amp;IF(M99=""," · Sin perfil transaccional","")&amp;IF(AND(ISNUMBER(AB99),AB99&lt;CONFIG!$B$6)," · Evaluación de riesgo vencida","")&amp;IF(AND(ISNUMBER(AC99),AC99&lt;CONFIG!$B$6)," · Verificación anual vencida","")&amp;IF(AND(ISNUMBER(R99),ISNUMBER(S99),S99-R99&gt;92)," · Comprobante de domicilio con más de 3 meses","")&amp;IF(AND(T99&lt;&gt;"",U99="")," · Ajuste del REC sin justificación",""),4,400))</f>
        <v/>
      </c>
      <c r="AE99" s="9" t="str">
        <f aca="false">IF(A99="","",IF(AD99="","Al día","Revisar"))</f>
        <v/>
      </c>
      <c r="AF99" s="9" t="str">
        <f aca="false">IF(A99="","",COUNTIF(OPERACIONES!$C$6:$C$505,A99)&amp;" / $"&amp;FIXED(SUMIF(OPERACIONES!$C$6:$C$505,A99,OPERACIONES!$E$6:$E$505),0))</f>
        <v/>
      </c>
    </row>
    <row r="100" customFormat="false" ht="15" hidden="false" customHeight="false" outlineLevel="0" collapsed="false">
      <c r="A100" s="21"/>
      <c r="B100" s="21"/>
      <c r="C100" s="21"/>
      <c r="D100" s="21"/>
      <c r="E100" s="21"/>
      <c r="F100" s="21"/>
      <c r="G100" s="21"/>
      <c r="H100" s="21"/>
      <c r="I100" s="21"/>
      <c r="J100" s="21"/>
      <c r="K100" s="21"/>
      <c r="L100" s="21"/>
      <c r="M100" s="22"/>
      <c r="N100" s="20"/>
      <c r="O100" s="20"/>
      <c r="P100" s="21"/>
      <c r="Q100" s="21"/>
      <c r="R100" s="20"/>
      <c r="S100" s="20"/>
      <c r="T100" s="21"/>
      <c r="U100" s="21"/>
      <c r="V100" s="9" t="str">
        <f aca="false">IF(A100="","",SUMIFS(CONFIG!$F$5:$F$26,CONFIG!$D$5:$D$26,"Tipo de persona",CONFIG!$E$5:$E$26,C100)+SUMIFS(CONFIG!$F$5:$F$26,CONFIG!$D$5:$D$26,"Residencia",CONFIG!$E$5:$E$26,E100)+SUMIFS(CONFIG!$F$5:$F$26,CONFIG!$D$5:$D$26,"Nacionalidad",CONFIG!$E$5:$E$26,F100)+SUMIFS(CONFIG!$F$5:$F$26,CONFIG!$D$5:$D$26,"Jurisdicción de riesgo",CONFIG!$E$5:$E$26,G100)+SUMIFS(CONFIG!$F$5:$F$26,CONFIG!$D$5:$D$26,"PEP",CONFIG!$E$5:$E$26,H100)+SUMIFS(CONFIG!$F$5:$F$26,CONFIG!$D$5:$D$26,"En listas",CONFIG!$E$5:$E$26,I100)+SUMIFS(CONFIG!$F$5:$F$26,CONFIG!$D$5:$D$26,"Riesgo de su actividad económica",CONFIG!$E$5:$E$26,J100)+SUMIFS(CONFIG!$F$5:$F$26,CONFIG!$D$5:$D$26,"Canal",CONFIG!$E$5:$E$26,K100)+SUMIFS(CONFIG!$F$5:$F$26,CONFIG!$D$5:$D$26,"Origen de recursos documentado",CONFIG!$E$5:$E$26,L100))</f>
        <v/>
      </c>
      <c r="W100" s="9" t="str">
        <f aca="false">IF(A100="","",IF(SUMIF(OPERACIONES!$C$6:$C$505,A100,OPERACIONES!$E$6:$E$505)&gt;0,IF(SUMIF(OPERACIONES!$C$6:$C$505,A100,OPERACIONES!$F$6:$F$505)/SUMIF(OPERACIONES!$C$6:$C$505,A100,OPERACIONES!$E$6:$E$505)&gt;0.5,CONFIG!$B$20,IF(SUMIF(OPERACIONES!$C$6:$C$505,A100,OPERACIONES!$F$6:$F$505)&gt;0,CONFIG!$B$21,0)),0)+IF(COUNTIFS(OPERACIONES!$C$6:$C$505,A100,OPERACIONES!$AQ$6:$AQ$505,1)&gt;0,CONFIG!$B$22,0)+IF(COUNTIFS(OPERACIONES!$C$6:$C$505,A100,OPERACIONES!$H$6:$H$505,"Sí")&gt;0,CONFIG!$B$23,0))</f>
        <v/>
      </c>
      <c r="X100" s="9" t="str">
        <f aca="false">IF(A100="","",V100+W100)</f>
        <v/>
      </c>
      <c r="Y100" s="9" t="str">
        <f aca="false">IF(A100="","",IF(X100&lt;=CONFIG!$B$13,"Bajo",IF(X100&lt;=CONFIG!$B$14,"Medio","Alto")))</f>
        <v/>
      </c>
      <c r="Z100" s="25" t="str">
        <f aca="false">IF(A100="","",IF(OR(H100="Extranjera",AND(E100="No residente",G100="Sí"),I100="Sí"),"Alto",IF(T100&lt;&gt;"",T100,Y100)))</f>
        <v/>
      </c>
      <c r="AA100" s="26" t="str">
        <f aca="false">IF(A100="","",IF(H100="Extranjera","Alto obligatorio: PEP extranjera (RCG 23 Bis 4)",IF(AND(E100="No residente",G100="Sí"),"Alto obligatorio: no residente vinculado a jurisdicción de riesgo (RCG 23 Bis 4)",IF(I100="Sí","Alto por criterio: persona en listas. Evalúa no operar y Aviso de 24 h",IF(T100&lt;&gt;"","Ajuste del REC: "&amp;U100,"Modelo: "&amp;X100&amp;" puntos")))))</f>
        <v/>
      </c>
      <c r="AB100" s="23" t="str">
        <f aca="false">IF(A100="","",IF(COUNT(N100,O100)=0,"Falta fecha",EDATE(MAX(N100,O100),IF(Z100="Alto",CONFIG!$B$18,IF(Z100="Medio",CONFIG!$B$17,CONFIG!$B$16)))))</f>
        <v/>
      </c>
      <c r="AC100" s="23" t="str">
        <f aca="false">IF(A100="","",IF(ISNUMBER(S100),EDATE(S100,12),IF(ISNUMBER(N100),EDATE(N100,12),"Falta fecha")))</f>
        <v/>
      </c>
      <c r="AD100" s="26" t="str">
        <f aca="false">IF(A100="","",MID(IF(P100&lt;&gt;"Sí"," · Expediente incompleto","")&amp;IF(OR(Q100="",Q100="Pendiente")," · Falta el Beneficiario Controlador","")&amp;IF(M100=""," · Sin perfil transaccional","")&amp;IF(AND(ISNUMBER(AB100),AB100&lt;CONFIG!$B$6)," · Evaluación de riesgo vencida","")&amp;IF(AND(ISNUMBER(AC100),AC100&lt;CONFIG!$B$6)," · Verificación anual vencida","")&amp;IF(AND(ISNUMBER(R100),ISNUMBER(S100),S100-R100&gt;92)," · Comprobante de domicilio con más de 3 meses","")&amp;IF(AND(T100&lt;&gt;"",U100="")," · Ajuste del REC sin justificación",""),4,400))</f>
        <v/>
      </c>
      <c r="AE100" s="9" t="str">
        <f aca="false">IF(A100="","",IF(AD100="","Al día","Revisar"))</f>
        <v/>
      </c>
      <c r="AF100" s="9" t="str">
        <f aca="false">IF(A100="","",COUNTIF(OPERACIONES!$C$6:$C$505,A100)&amp;" / $"&amp;FIXED(SUMIF(OPERACIONES!$C$6:$C$505,A100,OPERACIONES!$E$6:$E$505),0))</f>
        <v/>
      </c>
    </row>
    <row r="101" customFormat="false" ht="15" hidden="false" customHeight="false" outlineLevel="0" collapsed="false">
      <c r="A101" s="21"/>
      <c r="B101" s="21"/>
      <c r="C101" s="21"/>
      <c r="D101" s="21"/>
      <c r="E101" s="21"/>
      <c r="F101" s="21"/>
      <c r="G101" s="21"/>
      <c r="H101" s="21"/>
      <c r="I101" s="21"/>
      <c r="J101" s="21"/>
      <c r="K101" s="21"/>
      <c r="L101" s="21"/>
      <c r="M101" s="22"/>
      <c r="N101" s="20"/>
      <c r="O101" s="20"/>
      <c r="P101" s="21"/>
      <c r="Q101" s="21"/>
      <c r="R101" s="20"/>
      <c r="S101" s="20"/>
      <c r="T101" s="21"/>
      <c r="U101" s="21"/>
      <c r="V101" s="9" t="str">
        <f aca="false">IF(A101="","",SUMIFS(CONFIG!$F$5:$F$26,CONFIG!$D$5:$D$26,"Tipo de persona",CONFIG!$E$5:$E$26,C101)+SUMIFS(CONFIG!$F$5:$F$26,CONFIG!$D$5:$D$26,"Residencia",CONFIG!$E$5:$E$26,E101)+SUMIFS(CONFIG!$F$5:$F$26,CONFIG!$D$5:$D$26,"Nacionalidad",CONFIG!$E$5:$E$26,F101)+SUMIFS(CONFIG!$F$5:$F$26,CONFIG!$D$5:$D$26,"Jurisdicción de riesgo",CONFIG!$E$5:$E$26,G101)+SUMIFS(CONFIG!$F$5:$F$26,CONFIG!$D$5:$D$26,"PEP",CONFIG!$E$5:$E$26,H101)+SUMIFS(CONFIG!$F$5:$F$26,CONFIG!$D$5:$D$26,"En listas",CONFIG!$E$5:$E$26,I101)+SUMIFS(CONFIG!$F$5:$F$26,CONFIG!$D$5:$D$26,"Riesgo de su actividad económica",CONFIG!$E$5:$E$26,J101)+SUMIFS(CONFIG!$F$5:$F$26,CONFIG!$D$5:$D$26,"Canal",CONFIG!$E$5:$E$26,K101)+SUMIFS(CONFIG!$F$5:$F$26,CONFIG!$D$5:$D$26,"Origen de recursos documentado",CONFIG!$E$5:$E$26,L101))</f>
        <v/>
      </c>
      <c r="W101" s="9" t="str">
        <f aca="false">IF(A101="","",IF(SUMIF(OPERACIONES!$C$6:$C$505,A101,OPERACIONES!$E$6:$E$505)&gt;0,IF(SUMIF(OPERACIONES!$C$6:$C$505,A101,OPERACIONES!$F$6:$F$505)/SUMIF(OPERACIONES!$C$6:$C$505,A101,OPERACIONES!$E$6:$E$505)&gt;0.5,CONFIG!$B$20,IF(SUMIF(OPERACIONES!$C$6:$C$505,A101,OPERACIONES!$F$6:$F$505)&gt;0,CONFIG!$B$21,0)),0)+IF(COUNTIFS(OPERACIONES!$C$6:$C$505,A101,OPERACIONES!$AQ$6:$AQ$505,1)&gt;0,CONFIG!$B$22,0)+IF(COUNTIFS(OPERACIONES!$C$6:$C$505,A101,OPERACIONES!$H$6:$H$505,"Sí")&gt;0,CONFIG!$B$23,0))</f>
        <v/>
      </c>
      <c r="X101" s="9" t="str">
        <f aca="false">IF(A101="","",V101+W101)</f>
        <v/>
      </c>
      <c r="Y101" s="9" t="str">
        <f aca="false">IF(A101="","",IF(X101&lt;=CONFIG!$B$13,"Bajo",IF(X101&lt;=CONFIG!$B$14,"Medio","Alto")))</f>
        <v/>
      </c>
      <c r="Z101" s="25" t="str">
        <f aca="false">IF(A101="","",IF(OR(H101="Extranjera",AND(E101="No residente",G101="Sí"),I101="Sí"),"Alto",IF(T101&lt;&gt;"",T101,Y101)))</f>
        <v/>
      </c>
      <c r="AA101" s="26" t="str">
        <f aca="false">IF(A101="","",IF(H101="Extranjera","Alto obligatorio: PEP extranjera (RCG 23 Bis 4)",IF(AND(E101="No residente",G101="Sí"),"Alto obligatorio: no residente vinculado a jurisdicción de riesgo (RCG 23 Bis 4)",IF(I101="Sí","Alto por criterio: persona en listas. Evalúa no operar y Aviso de 24 h",IF(T101&lt;&gt;"","Ajuste del REC: "&amp;U101,"Modelo: "&amp;X101&amp;" puntos")))))</f>
        <v/>
      </c>
      <c r="AB101" s="23" t="str">
        <f aca="false">IF(A101="","",IF(COUNT(N101,O101)=0,"Falta fecha",EDATE(MAX(N101,O101),IF(Z101="Alto",CONFIG!$B$18,IF(Z101="Medio",CONFIG!$B$17,CONFIG!$B$16)))))</f>
        <v/>
      </c>
      <c r="AC101" s="23" t="str">
        <f aca="false">IF(A101="","",IF(ISNUMBER(S101),EDATE(S101,12),IF(ISNUMBER(N101),EDATE(N101,12),"Falta fecha")))</f>
        <v/>
      </c>
      <c r="AD101" s="26" t="str">
        <f aca="false">IF(A101="","",MID(IF(P101&lt;&gt;"Sí"," · Expediente incompleto","")&amp;IF(OR(Q101="",Q101="Pendiente")," · Falta el Beneficiario Controlador","")&amp;IF(M101=""," · Sin perfil transaccional","")&amp;IF(AND(ISNUMBER(AB101),AB101&lt;CONFIG!$B$6)," · Evaluación de riesgo vencida","")&amp;IF(AND(ISNUMBER(AC101),AC101&lt;CONFIG!$B$6)," · Verificación anual vencida","")&amp;IF(AND(ISNUMBER(R101),ISNUMBER(S101),S101-R101&gt;92)," · Comprobante de domicilio con más de 3 meses","")&amp;IF(AND(T101&lt;&gt;"",U101="")," · Ajuste del REC sin justificación",""),4,400))</f>
        <v/>
      </c>
      <c r="AE101" s="9" t="str">
        <f aca="false">IF(A101="","",IF(AD101="","Al día","Revisar"))</f>
        <v/>
      </c>
      <c r="AF101" s="9" t="str">
        <f aca="false">IF(A101="","",COUNTIF(OPERACIONES!$C$6:$C$505,A101)&amp;" / $"&amp;FIXED(SUMIF(OPERACIONES!$C$6:$C$505,A101,OPERACIONES!$E$6:$E$505),0))</f>
        <v/>
      </c>
    </row>
    <row r="102" customFormat="false" ht="15" hidden="false" customHeight="false" outlineLevel="0" collapsed="false">
      <c r="A102" s="21"/>
      <c r="B102" s="21"/>
      <c r="C102" s="21"/>
      <c r="D102" s="21"/>
      <c r="E102" s="21"/>
      <c r="F102" s="21"/>
      <c r="G102" s="21"/>
      <c r="H102" s="21"/>
      <c r="I102" s="21"/>
      <c r="J102" s="21"/>
      <c r="K102" s="21"/>
      <c r="L102" s="21"/>
      <c r="M102" s="22"/>
      <c r="N102" s="20"/>
      <c r="O102" s="20"/>
      <c r="P102" s="21"/>
      <c r="Q102" s="21"/>
      <c r="R102" s="20"/>
      <c r="S102" s="20"/>
      <c r="T102" s="21"/>
      <c r="U102" s="21"/>
      <c r="V102" s="9" t="str">
        <f aca="false">IF(A102="","",SUMIFS(CONFIG!$F$5:$F$26,CONFIG!$D$5:$D$26,"Tipo de persona",CONFIG!$E$5:$E$26,C102)+SUMIFS(CONFIG!$F$5:$F$26,CONFIG!$D$5:$D$26,"Residencia",CONFIG!$E$5:$E$26,E102)+SUMIFS(CONFIG!$F$5:$F$26,CONFIG!$D$5:$D$26,"Nacionalidad",CONFIG!$E$5:$E$26,F102)+SUMIFS(CONFIG!$F$5:$F$26,CONFIG!$D$5:$D$26,"Jurisdicción de riesgo",CONFIG!$E$5:$E$26,G102)+SUMIFS(CONFIG!$F$5:$F$26,CONFIG!$D$5:$D$26,"PEP",CONFIG!$E$5:$E$26,H102)+SUMIFS(CONFIG!$F$5:$F$26,CONFIG!$D$5:$D$26,"En listas",CONFIG!$E$5:$E$26,I102)+SUMIFS(CONFIG!$F$5:$F$26,CONFIG!$D$5:$D$26,"Riesgo de su actividad económica",CONFIG!$E$5:$E$26,J102)+SUMIFS(CONFIG!$F$5:$F$26,CONFIG!$D$5:$D$26,"Canal",CONFIG!$E$5:$E$26,K102)+SUMIFS(CONFIG!$F$5:$F$26,CONFIG!$D$5:$D$26,"Origen de recursos documentado",CONFIG!$E$5:$E$26,L102))</f>
        <v/>
      </c>
      <c r="W102" s="9" t="str">
        <f aca="false">IF(A102="","",IF(SUMIF(OPERACIONES!$C$6:$C$505,A102,OPERACIONES!$E$6:$E$505)&gt;0,IF(SUMIF(OPERACIONES!$C$6:$C$505,A102,OPERACIONES!$F$6:$F$505)/SUMIF(OPERACIONES!$C$6:$C$505,A102,OPERACIONES!$E$6:$E$505)&gt;0.5,CONFIG!$B$20,IF(SUMIF(OPERACIONES!$C$6:$C$505,A102,OPERACIONES!$F$6:$F$505)&gt;0,CONFIG!$B$21,0)),0)+IF(COUNTIFS(OPERACIONES!$C$6:$C$505,A102,OPERACIONES!$AQ$6:$AQ$505,1)&gt;0,CONFIG!$B$22,0)+IF(COUNTIFS(OPERACIONES!$C$6:$C$505,A102,OPERACIONES!$H$6:$H$505,"Sí")&gt;0,CONFIG!$B$23,0))</f>
        <v/>
      </c>
      <c r="X102" s="9" t="str">
        <f aca="false">IF(A102="","",V102+W102)</f>
        <v/>
      </c>
      <c r="Y102" s="9" t="str">
        <f aca="false">IF(A102="","",IF(X102&lt;=CONFIG!$B$13,"Bajo",IF(X102&lt;=CONFIG!$B$14,"Medio","Alto")))</f>
        <v/>
      </c>
      <c r="Z102" s="25" t="str">
        <f aca="false">IF(A102="","",IF(OR(H102="Extranjera",AND(E102="No residente",G102="Sí"),I102="Sí"),"Alto",IF(T102&lt;&gt;"",T102,Y102)))</f>
        <v/>
      </c>
      <c r="AA102" s="26" t="str">
        <f aca="false">IF(A102="","",IF(H102="Extranjera","Alto obligatorio: PEP extranjera (RCG 23 Bis 4)",IF(AND(E102="No residente",G102="Sí"),"Alto obligatorio: no residente vinculado a jurisdicción de riesgo (RCG 23 Bis 4)",IF(I102="Sí","Alto por criterio: persona en listas. Evalúa no operar y Aviso de 24 h",IF(T102&lt;&gt;"","Ajuste del REC: "&amp;U102,"Modelo: "&amp;X102&amp;" puntos")))))</f>
        <v/>
      </c>
      <c r="AB102" s="23" t="str">
        <f aca="false">IF(A102="","",IF(COUNT(N102,O102)=0,"Falta fecha",EDATE(MAX(N102,O102),IF(Z102="Alto",CONFIG!$B$18,IF(Z102="Medio",CONFIG!$B$17,CONFIG!$B$16)))))</f>
        <v/>
      </c>
      <c r="AC102" s="23" t="str">
        <f aca="false">IF(A102="","",IF(ISNUMBER(S102),EDATE(S102,12),IF(ISNUMBER(N102),EDATE(N102,12),"Falta fecha")))</f>
        <v/>
      </c>
      <c r="AD102" s="26" t="str">
        <f aca="false">IF(A102="","",MID(IF(P102&lt;&gt;"Sí"," · Expediente incompleto","")&amp;IF(OR(Q102="",Q102="Pendiente")," · Falta el Beneficiario Controlador","")&amp;IF(M102=""," · Sin perfil transaccional","")&amp;IF(AND(ISNUMBER(AB102),AB102&lt;CONFIG!$B$6)," · Evaluación de riesgo vencida","")&amp;IF(AND(ISNUMBER(AC102),AC102&lt;CONFIG!$B$6)," · Verificación anual vencida","")&amp;IF(AND(ISNUMBER(R102),ISNUMBER(S102),S102-R102&gt;92)," · Comprobante de domicilio con más de 3 meses","")&amp;IF(AND(T102&lt;&gt;"",U102="")," · Ajuste del REC sin justificación",""),4,400))</f>
        <v/>
      </c>
      <c r="AE102" s="9" t="str">
        <f aca="false">IF(A102="","",IF(AD102="","Al día","Revisar"))</f>
        <v/>
      </c>
      <c r="AF102" s="9" t="str">
        <f aca="false">IF(A102="","",COUNTIF(OPERACIONES!$C$6:$C$505,A102)&amp;" / $"&amp;FIXED(SUMIF(OPERACIONES!$C$6:$C$505,A102,OPERACIONES!$E$6:$E$505),0))</f>
        <v/>
      </c>
    </row>
    <row r="103" customFormat="false" ht="15" hidden="false" customHeight="false" outlineLevel="0" collapsed="false">
      <c r="A103" s="21"/>
      <c r="B103" s="21"/>
      <c r="C103" s="21"/>
      <c r="D103" s="21"/>
      <c r="E103" s="21"/>
      <c r="F103" s="21"/>
      <c r="G103" s="21"/>
      <c r="H103" s="21"/>
      <c r="I103" s="21"/>
      <c r="J103" s="21"/>
      <c r="K103" s="21"/>
      <c r="L103" s="21"/>
      <c r="M103" s="22"/>
      <c r="N103" s="20"/>
      <c r="O103" s="20"/>
      <c r="P103" s="21"/>
      <c r="Q103" s="21"/>
      <c r="R103" s="20"/>
      <c r="S103" s="20"/>
      <c r="T103" s="21"/>
      <c r="U103" s="21"/>
      <c r="V103" s="9" t="str">
        <f aca="false">IF(A103="","",SUMIFS(CONFIG!$F$5:$F$26,CONFIG!$D$5:$D$26,"Tipo de persona",CONFIG!$E$5:$E$26,C103)+SUMIFS(CONFIG!$F$5:$F$26,CONFIG!$D$5:$D$26,"Residencia",CONFIG!$E$5:$E$26,E103)+SUMIFS(CONFIG!$F$5:$F$26,CONFIG!$D$5:$D$26,"Nacionalidad",CONFIG!$E$5:$E$26,F103)+SUMIFS(CONFIG!$F$5:$F$26,CONFIG!$D$5:$D$26,"Jurisdicción de riesgo",CONFIG!$E$5:$E$26,G103)+SUMIFS(CONFIG!$F$5:$F$26,CONFIG!$D$5:$D$26,"PEP",CONFIG!$E$5:$E$26,H103)+SUMIFS(CONFIG!$F$5:$F$26,CONFIG!$D$5:$D$26,"En listas",CONFIG!$E$5:$E$26,I103)+SUMIFS(CONFIG!$F$5:$F$26,CONFIG!$D$5:$D$26,"Riesgo de su actividad económica",CONFIG!$E$5:$E$26,J103)+SUMIFS(CONFIG!$F$5:$F$26,CONFIG!$D$5:$D$26,"Canal",CONFIG!$E$5:$E$26,K103)+SUMIFS(CONFIG!$F$5:$F$26,CONFIG!$D$5:$D$26,"Origen de recursos documentado",CONFIG!$E$5:$E$26,L103))</f>
        <v/>
      </c>
      <c r="W103" s="9" t="str">
        <f aca="false">IF(A103="","",IF(SUMIF(OPERACIONES!$C$6:$C$505,A103,OPERACIONES!$E$6:$E$505)&gt;0,IF(SUMIF(OPERACIONES!$C$6:$C$505,A103,OPERACIONES!$F$6:$F$505)/SUMIF(OPERACIONES!$C$6:$C$505,A103,OPERACIONES!$E$6:$E$505)&gt;0.5,CONFIG!$B$20,IF(SUMIF(OPERACIONES!$C$6:$C$505,A103,OPERACIONES!$F$6:$F$505)&gt;0,CONFIG!$B$21,0)),0)+IF(COUNTIFS(OPERACIONES!$C$6:$C$505,A103,OPERACIONES!$AQ$6:$AQ$505,1)&gt;0,CONFIG!$B$22,0)+IF(COUNTIFS(OPERACIONES!$C$6:$C$505,A103,OPERACIONES!$H$6:$H$505,"Sí")&gt;0,CONFIG!$B$23,0))</f>
        <v/>
      </c>
      <c r="X103" s="9" t="str">
        <f aca="false">IF(A103="","",V103+W103)</f>
        <v/>
      </c>
      <c r="Y103" s="9" t="str">
        <f aca="false">IF(A103="","",IF(X103&lt;=CONFIG!$B$13,"Bajo",IF(X103&lt;=CONFIG!$B$14,"Medio","Alto")))</f>
        <v/>
      </c>
      <c r="Z103" s="25" t="str">
        <f aca="false">IF(A103="","",IF(OR(H103="Extranjera",AND(E103="No residente",G103="Sí"),I103="Sí"),"Alto",IF(T103&lt;&gt;"",T103,Y103)))</f>
        <v/>
      </c>
      <c r="AA103" s="26" t="str">
        <f aca="false">IF(A103="","",IF(H103="Extranjera","Alto obligatorio: PEP extranjera (RCG 23 Bis 4)",IF(AND(E103="No residente",G103="Sí"),"Alto obligatorio: no residente vinculado a jurisdicción de riesgo (RCG 23 Bis 4)",IF(I103="Sí","Alto por criterio: persona en listas. Evalúa no operar y Aviso de 24 h",IF(T103&lt;&gt;"","Ajuste del REC: "&amp;U103,"Modelo: "&amp;X103&amp;" puntos")))))</f>
        <v/>
      </c>
      <c r="AB103" s="23" t="str">
        <f aca="false">IF(A103="","",IF(COUNT(N103,O103)=0,"Falta fecha",EDATE(MAX(N103,O103),IF(Z103="Alto",CONFIG!$B$18,IF(Z103="Medio",CONFIG!$B$17,CONFIG!$B$16)))))</f>
        <v/>
      </c>
      <c r="AC103" s="23" t="str">
        <f aca="false">IF(A103="","",IF(ISNUMBER(S103),EDATE(S103,12),IF(ISNUMBER(N103),EDATE(N103,12),"Falta fecha")))</f>
        <v/>
      </c>
      <c r="AD103" s="26" t="str">
        <f aca="false">IF(A103="","",MID(IF(P103&lt;&gt;"Sí"," · Expediente incompleto","")&amp;IF(OR(Q103="",Q103="Pendiente")," · Falta el Beneficiario Controlador","")&amp;IF(M103=""," · Sin perfil transaccional","")&amp;IF(AND(ISNUMBER(AB103),AB103&lt;CONFIG!$B$6)," · Evaluación de riesgo vencida","")&amp;IF(AND(ISNUMBER(AC103),AC103&lt;CONFIG!$B$6)," · Verificación anual vencida","")&amp;IF(AND(ISNUMBER(R103),ISNUMBER(S103),S103-R103&gt;92)," · Comprobante de domicilio con más de 3 meses","")&amp;IF(AND(T103&lt;&gt;"",U103="")," · Ajuste del REC sin justificación",""),4,400))</f>
        <v/>
      </c>
      <c r="AE103" s="9" t="str">
        <f aca="false">IF(A103="","",IF(AD103="","Al día","Revisar"))</f>
        <v/>
      </c>
      <c r="AF103" s="9" t="str">
        <f aca="false">IF(A103="","",COUNTIF(OPERACIONES!$C$6:$C$505,A103)&amp;" / $"&amp;FIXED(SUMIF(OPERACIONES!$C$6:$C$505,A103,OPERACIONES!$E$6:$E$505),0))</f>
        <v/>
      </c>
    </row>
    <row r="104" customFormat="false" ht="15" hidden="false" customHeight="false" outlineLevel="0" collapsed="false">
      <c r="A104" s="21"/>
      <c r="B104" s="21"/>
      <c r="C104" s="21"/>
      <c r="D104" s="21"/>
      <c r="E104" s="21"/>
      <c r="F104" s="21"/>
      <c r="G104" s="21"/>
      <c r="H104" s="21"/>
      <c r="I104" s="21"/>
      <c r="J104" s="21"/>
      <c r="K104" s="21"/>
      <c r="L104" s="21"/>
      <c r="M104" s="22"/>
      <c r="N104" s="20"/>
      <c r="O104" s="20"/>
      <c r="P104" s="21"/>
      <c r="Q104" s="21"/>
      <c r="R104" s="20"/>
      <c r="S104" s="20"/>
      <c r="T104" s="21"/>
      <c r="U104" s="21"/>
      <c r="V104" s="9" t="str">
        <f aca="false">IF(A104="","",SUMIFS(CONFIG!$F$5:$F$26,CONFIG!$D$5:$D$26,"Tipo de persona",CONFIG!$E$5:$E$26,C104)+SUMIFS(CONFIG!$F$5:$F$26,CONFIG!$D$5:$D$26,"Residencia",CONFIG!$E$5:$E$26,E104)+SUMIFS(CONFIG!$F$5:$F$26,CONFIG!$D$5:$D$26,"Nacionalidad",CONFIG!$E$5:$E$26,F104)+SUMIFS(CONFIG!$F$5:$F$26,CONFIG!$D$5:$D$26,"Jurisdicción de riesgo",CONFIG!$E$5:$E$26,G104)+SUMIFS(CONFIG!$F$5:$F$26,CONFIG!$D$5:$D$26,"PEP",CONFIG!$E$5:$E$26,H104)+SUMIFS(CONFIG!$F$5:$F$26,CONFIG!$D$5:$D$26,"En listas",CONFIG!$E$5:$E$26,I104)+SUMIFS(CONFIG!$F$5:$F$26,CONFIG!$D$5:$D$26,"Riesgo de su actividad económica",CONFIG!$E$5:$E$26,J104)+SUMIFS(CONFIG!$F$5:$F$26,CONFIG!$D$5:$D$26,"Canal",CONFIG!$E$5:$E$26,K104)+SUMIFS(CONFIG!$F$5:$F$26,CONFIG!$D$5:$D$26,"Origen de recursos documentado",CONFIG!$E$5:$E$26,L104))</f>
        <v/>
      </c>
      <c r="W104" s="9" t="str">
        <f aca="false">IF(A104="","",IF(SUMIF(OPERACIONES!$C$6:$C$505,A104,OPERACIONES!$E$6:$E$505)&gt;0,IF(SUMIF(OPERACIONES!$C$6:$C$505,A104,OPERACIONES!$F$6:$F$505)/SUMIF(OPERACIONES!$C$6:$C$505,A104,OPERACIONES!$E$6:$E$505)&gt;0.5,CONFIG!$B$20,IF(SUMIF(OPERACIONES!$C$6:$C$505,A104,OPERACIONES!$F$6:$F$505)&gt;0,CONFIG!$B$21,0)),0)+IF(COUNTIFS(OPERACIONES!$C$6:$C$505,A104,OPERACIONES!$AQ$6:$AQ$505,1)&gt;0,CONFIG!$B$22,0)+IF(COUNTIFS(OPERACIONES!$C$6:$C$505,A104,OPERACIONES!$H$6:$H$505,"Sí")&gt;0,CONFIG!$B$23,0))</f>
        <v/>
      </c>
      <c r="X104" s="9" t="str">
        <f aca="false">IF(A104="","",V104+W104)</f>
        <v/>
      </c>
      <c r="Y104" s="9" t="str">
        <f aca="false">IF(A104="","",IF(X104&lt;=CONFIG!$B$13,"Bajo",IF(X104&lt;=CONFIG!$B$14,"Medio","Alto")))</f>
        <v/>
      </c>
      <c r="Z104" s="25" t="str">
        <f aca="false">IF(A104="","",IF(OR(H104="Extranjera",AND(E104="No residente",G104="Sí"),I104="Sí"),"Alto",IF(T104&lt;&gt;"",T104,Y104)))</f>
        <v/>
      </c>
      <c r="AA104" s="26" t="str">
        <f aca="false">IF(A104="","",IF(H104="Extranjera","Alto obligatorio: PEP extranjera (RCG 23 Bis 4)",IF(AND(E104="No residente",G104="Sí"),"Alto obligatorio: no residente vinculado a jurisdicción de riesgo (RCG 23 Bis 4)",IF(I104="Sí","Alto por criterio: persona en listas. Evalúa no operar y Aviso de 24 h",IF(T104&lt;&gt;"","Ajuste del REC: "&amp;U104,"Modelo: "&amp;X104&amp;" puntos")))))</f>
        <v/>
      </c>
      <c r="AB104" s="23" t="str">
        <f aca="false">IF(A104="","",IF(COUNT(N104,O104)=0,"Falta fecha",EDATE(MAX(N104,O104),IF(Z104="Alto",CONFIG!$B$18,IF(Z104="Medio",CONFIG!$B$17,CONFIG!$B$16)))))</f>
        <v/>
      </c>
      <c r="AC104" s="23" t="str">
        <f aca="false">IF(A104="","",IF(ISNUMBER(S104),EDATE(S104,12),IF(ISNUMBER(N104),EDATE(N104,12),"Falta fecha")))</f>
        <v/>
      </c>
      <c r="AD104" s="26" t="str">
        <f aca="false">IF(A104="","",MID(IF(P104&lt;&gt;"Sí"," · Expediente incompleto","")&amp;IF(OR(Q104="",Q104="Pendiente")," · Falta el Beneficiario Controlador","")&amp;IF(M104=""," · Sin perfil transaccional","")&amp;IF(AND(ISNUMBER(AB104),AB104&lt;CONFIG!$B$6)," · Evaluación de riesgo vencida","")&amp;IF(AND(ISNUMBER(AC104),AC104&lt;CONFIG!$B$6)," · Verificación anual vencida","")&amp;IF(AND(ISNUMBER(R104),ISNUMBER(S104),S104-R104&gt;92)," · Comprobante de domicilio con más de 3 meses","")&amp;IF(AND(T104&lt;&gt;"",U104="")," · Ajuste del REC sin justificación",""),4,400))</f>
        <v/>
      </c>
      <c r="AE104" s="9" t="str">
        <f aca="false">IF(A104="","",IF(AD104="","Al día","Revisar"))</f>
        <v/>
      </c>
      <c r="AF104" s="9" t="str">
        <f aca="false">IF(A104="","",COUNTIF(OPERACIONES!$C$6:$C$505,A104)&amp;" / $"&amp;FIXED(SUMIF(OPERACIONES!$C$6:$C$505,A104,OPERACIONES!$E$6:$E$505),0))</f>
        <v/>
      </c>
    </row>
    <row r="105" customFormat="false" ht="15" hidden="false" customHeight="false" outlineLevel="0" collapsed="false">
      <c r="A105" s="21"/>
      <c r="B105" s="21"/>
      <c r="C105" s="21"/>
      <c r="D105" s="21"/>
      <c r="E105" s="21"/>
      <c r="F105" s="21"/>
      <c r="G105" s="21"/>
      <c r="H105" s="21"/>
      <c r="I105" s="21"/>
      <c r="J105" s="21"/>
      <c r="K105" s="21"/>
      <c r="L105" s="21"/>
      <c r="M105" s="22"/>
      <c r="N105" s="20"/>
      <c r="O105" s="20"/>
      <c r="P105" s="21"/>
      <c r="Q105" s="21"/>
      <c r="R105" s="20"/>
      <c r="S105" s="20"/>
      <c r="T105" s="21"/>
      <c r="U105" s="21"/>
      <c r="V105" s="9" t="str">
        <f aca="false">IF(A105="","",SUMIFS(CONFIG!$F$5:$F$26,CONFIG!$D$5:$D$26,"Tipo de persona",CONFIG!$E$5:$E$26,C105)+SUMIFS(CONFIG!$F$5:$F$26,CONFIG!$D$5:$D$26,"Residencia",CONFIG!$E$5:$E$26,E105)+SUMIFS(CONFIG!$F$5:$F$26,CONFIG!$D$5:$D$26,"Nacionalidad",CONFIG!$E$5:$E$26,F105)+SUMIFS(CONFIG!$F$5:$F$26,CONFIG!$D$5:$D$26,"Jurisdicción de riesgo",CONFIG!$E$5:$E$26,G105)+SUMIFS(CONFIG!$F$5:$F$26,CONFIG!$D$5:$D$26,"PEP",CONFIG!$E$5:$E$26,H105)+SUMIFS(CONFIG!$F$5:$F$26,CONFIG!$D$5:$D$26,"En listas",CONFIG!$E$5:$E$26,I105)+SUMIFS(CONFIG!$F$5:$F$26,CONFIG!$D$5:$D$26,"Riesgo de su actividad económica",CONFIG!$E$5:$E$26,J105)+SUMIFS(CONFIG!$F$5:$F$26,CONFIG!$D$5:$D$26,"Canal",CONFIG!$E$5:$E$26,K105)+SUMIFS(CONFIG!$F$5:$F$26,CONFIG!$D$5:$D$26,"Origen de recursos documentado",CONFIG!$E$5:$E$26,L105))</f>
        <v/>
      </c>
      <c r="W105" s="9" t="str">
        <f aca="false">IF(A105="","",IF(SUMIF(OPERACIONES!$C$6:$C$505,A105,OPERACIONES!$E$6:$E$505)&gt;0,IF(SUMIF(OPERACIONES!$C$6:$C$505,A105,OPERACIONES!$F$6:$F$505)/SUMIF(OPERACIONES!$C$6:$C$505,A105,OPERACIONES!$E$6:$E$505)&gt;0.5,CONFIG!$B$20,IF(SUMIF(OPERACIONES!$C$6:$C$505,A105,OPERACIONES!$F$6:$F$505)&gt;0,CONFIG!$B$21,0)),0)+IF(COUNTIFS(OPERACIONES!$C$6:$C$505,A105,OPERACIONES!$AQ$6:$AQ$505,1)&gt;0,CONFIG!$B$22,0)+IF(COUNTIFS(OPERACIONES!$C$6:$C$505,A105,OPERACIONES!$H$6:$H$505,"Sí")&gt;0,CONFIG!$B$23,0))</f>
        <v/>
      </c>
      <c r="X105" s="9" t="str">
        <f aca="false">IF(A105="","",V105+W105)</f>
        <v/>
      </c>
      <c r="Y105" s="9" t="str">
        <f aca="false">IF(A105="","",IF(X105&lt;=CONFIG!$B$13,"Bajo",IF(X105&lt;=CONFIG!$B$14,"Medio","Alto")))</f>
        <v/>
      </c>
      <c r="Z105" s="25" t="str">
        <f aca="false">IF(A105="","",IF(OR(H105="Extranjera",AND(E105="No residente",G105="Sí"),I105="Sí"),"Alto",IF(T105&lt;&gt;"",T105,Y105)))</f>
        <v/>
      </c>
      <c r="AA105" s="26" t="str">
        <f aca="false">IF(A105="","",IF(H105="Extranjera","Alto obligatorio: PEP extranjera (RCG 23 Bis 4)",IF(AND(E105="No residente",G105="Sí"),"Alto obligatorio: no residente vinculado a jurisdicción de riesgo (RCG 23 Bis 4)",IF(I105="Sí","Alto por criterio: persona en listas. Evalúa no operar y Aviso de 24 h",IF(T105&lt;&gt;"","Ajuste del REC: "&amp;U105,"Modelo: "&amp;X105&amp;" puntos")))))</f>
        <v/>
      </c>
      <c r="AB105" s="23" t="str">
        <f aca="false">IF(A105="","",IF(COUNT(N105,O105)=0,"Falta fecha",EDATE(MAX(N105,O105),IF(Z105="Alto",CONFIG!$B$18,IF(Z105="Medio",CONFIG!$B$17,CONFIG!$B$16)))))</f>
        <v/>
      </c>
      <c r="AC105" s="23" t="str">
        <f aca="false">IF(A105="","",IF(ISNUMBER(S105),EDATE(S105,12),IF(ISNUMBER(N105),EDATE(N105,12),"Falta fecha")))</f>
        <v/>
      </c>
      <c r="AD105" s="26" t="str">
        <f aca="false">IF(A105="","",MID(IF(P105&lt;&gt;"Sí"," · Expediente incompleto","")&amp;IF(OR(Q105="",Q105="Pendiente")," · Falta el Beneficiario Controlador","")&amp;IF(M105=""," · Sin perfil transaccional","")&amp;IF(AND(ISNUMBER(AB105),AB105&lt;CONFIG!$B$6)," · Evaluación de riesgo vencida","")&amp;IF(AND(ISNUMBER(AC105),AC105&lt;CONFIG!$B$6)," · Verificación anual vencida","")&amp;IF(AND(ISNUMBER(R105),ISNUMBER(S105),S105-R105&gt;92)," · Comprobante de domicilio con más de 3 meses","")&amp;IF(AND(T105&lt;&gt;"",U105="")," · Ajuste del REC sin justificación",""),4,400))</f>
        <v/>
      </c>
      <c r="AE105" s="9" t="str">
        <f aca="false">IF(A105="","",IF(AD105="","Al día","Revisar"))</f>
        <v/>
      </c>
      <c r="AF105" s="9" t="str">
        <f aca="false">IF(A105="","",COUNTIF(OPERACIONES!$C$6:$C$505,A105)&amp;" / $"&amp;FIXED(SUMIF(OPERACIONES!$C$6:$C$505,A105,OPERACIONES!$E$6:$E$505),0))</f>
        <v/>
      </c>
    </row>
    <row r="106" customFormat="false" ht="15" hidden="false" customHeight="false" outlineLevel="0" collapsed="false">
      <c r="A106" s="21"/>
      <c r="B106" s="21"/>
      <c r="C106" s="21"/>
      <c r="D106" s="21"/>
      <c r="E106" s="21"/>
      <c r="F106" s="21"/>
      <c r="G106" s="21"/>
      <c r="H106" s="21"/>
      <c r="I106" s="21"/>
      <c r="J106" s="21"/>
      <c r="K106" s="21"/>
      <c r="L106" s="21"/>
      <c r="M106" s="22"/>
      <c r="N106" s="20"/>
      <c r="O106" s="20"/>
      <c r="P106" s="21"/>
      <c r="Q106" s="21"/>
      <c r="R106" s="20"/>
      <c r="S106" s="20"/>
      <c r="T106" s="21"/>
      <c r="U106" s="21"/>
      <c r="V106" s="9" t="str">
        <f aca="false">IF(A106="","",SUMIFS(CONFIG!$F$5:$F$26,CONFIG!$D$5:$D$26,"Tipo de persona",CONFIG!$E$5:$E$26,C106)+SUMIFS(CONFIG!$F$5:$F$26,CONFIG!$D$5:$D$26,"Residencia",CONFIG!$E$5:$E$26,E106)+SUMIFS(CONFIG!$F$5:$F$26,CONFIG!$D$5:$D$26,"Nacionalidad",CONFIG!$E$5:$E$26,F106)+SUMIFS(CONFIG!$F$5:$F$26,CONFIG!$D$5:$D$26,"Jurisdicción de riesgo",CONFIG!$E$5:$E$26,G106)+SUMIFS(CONFIG!$F$5:$F$26,CONFIG!$D$5:$D$26,"PEP",CONFIG!$E$5:$E$26,H106)+SUMIFS(CONFIG!$F$5:$F$26,CONFIG!$D$5:$D$26,"En listas",CONFIG!$E$5:$E$26,I106)+SUMIFS(CONFIG!$F$5:$F$26,CONFIG!$D$5:$D$26,"Riesgo de su actividad económica",CONFIG!$E$5:$E$26,J106)+SUMIFS(CONFIG!$F$5:$F$26,CONFIG!$D$5:$D$26,"Canal",CONFIG!$E$5:$E$26,K106)+SUMIFS(CONFIG!$F$5:$F$26,CONFIG!$D$5:$D$26,"Origen de recursos documentado",CONFIG!$E$5:$E$26,L106))</f>
        <v/>
      </c>
      <c r="W106" s="9" t="str">
        <f aca="false">IF(A106="","",IF(SUMIF(OPERACIONES!$C$6:$C$505,A106,OPERACIONES!$E$6:$E$505)&gt;0,IF(SUMIF(OPERACIONES!$C$6:$C$505,A106,OPERACIONES!$F$6:$F$505)/SUMIF(OPERACIONES!$C$6:$C$505,A106,OPERACIONES!$E$6:$E$505)&gt;0.5,CONFIG!$B$20,IF(SUMIF(OPERACIONES!$C$6:$C$505,A106,OPERACIONES!$F$6:$F$505)&gt;0,CONFIG!$B$21,0)),0)+IF(COUNTIFS(OPERACIONES!$C$6:$C$505,A106,OPERACIONES!$AQ$6:$AQ$505,1)&gt;0,CONFIG!$B$22,0)+IF(COUNTIFS(OPERACIONES!$C$6:$C$505,A106,OPERACIONES!$H$6:$H$505,"Sí")&gt;0,CONFIG!$B$23,0))</f>
        <v/>
      </c>
      <c r="X106" s="9" t="str">
        <f aca="false">IF(A106="","",V106+W106)</f>
        <v/>
      </c>
      <c r="Y106" s="9" t="str">
        <f aca="false">IF(A106="","",IF(X106&lt;=CONFIG!$B$13,"Bajo",IF(X106&lt;=CONFIG!$B$14,"Medio","Alto")))</f>
        <v/>
      </c>
      <c r="Z106" s="25" t="str">
        <f aca="false">IF(A106="","",IF(OR(H106="Extranjera",AND(E106="No residente",G106="Sí"),I106="Sí"),"Alto",IF(T106&lt;&gt;"",T106,Y106)))</f>
        <v/>
      </c>
      <c r="AA106" s="26" t="str">
        <f aca="false">IF(A106="","",IF(H106="Extranjera","Alto obligatorio: PEP extranjera (RCG 23 Bis 4)",IF(AND(E106="No residente",G106="Sí"),"Alto obligatorio: no residente vinculado a jurisdicción de riesgo (RCG 23 Bis 4)",IF(I106="Sí","Alto por criterio: persona en listas. Evalúa no operar y Aviso de 24 h",IF(T106&lt;&gt;"","Ajuste del REC: "&amp;U106,"Modelo: "&amp;X106&amp;" puntos")))))</f>
        <v/>
      </c>
      <c r="AB106" s="23" t="str">
        <f aca="false">IF(A106="","",IF(COUNT(N106,O106)=0,"Falta fecha",EDATE(MAX(N106,O106),IF(Z106="Alto",CONFIG!$B$18,IF(Z106="Medio",CONFIG!$B$17,CONFIG!$B$16)))))</f>
        <v/>
      </c>
      <c r="AC106" s="23" t="str">
        <f aca="false">IF(A106="","",IF(ISNUMBER(S106),EDATE(S106,12),IF(ISNUMBER(N106),EDATE(N106,12),"Falta fecha")))</f>
        <v/>
      </c>
      <c r="AD106" s="26" t="str">
        <f aca="false">IF(A106="","",MID(IF(P106&lt;&gt;"Sí"," · Expediente incompleto","")&amp;IF(OR(Q106="",Q106="Pendiente")," · Falta el Beneficiario Controlador","")&amp;IF(M106=""," · Sin perfil transaccional","")&amp;IF(AND(ISNUMBER(AB106),AB106&lt;CONFIG!$B$6)," · Evaluación de riesgo vencida","")&amp;IF(AND(ISNUMBER(AC106),AC106&lt;CONFIG!$B$6)," · Verificación anual vencida","")&amp;IF(AND(ISNUMBER(R106),ISNUMBER(S106),S106-R106&gt;92)," · Comprobante de domicilio con más de 3 meses","")&amp;IF(AND(T106&lt;&gt;"",U106="")," · Ajuste del REC sin justificación",""),4,400))</f>
        <v/>
      </c>
      <c r="AE106" s="9" t="str">
        <f aca="false">IF(A106="","",IF(AD106="","Al día","Revisar"))</f>
        <v/>
      </c>
      <c r="AF106" s="9" t="str">
        <f aca="false">IF(A106="","",COUNTIF(OPERACIONES!$C$6:$C$505,A106)&amp;" / $"&amp;FIXED(SUMIF(OPERACIONES!$C$6:$C$505,A106,OPERACIONES!$E$6:$E$505),0))</f>
        <v/>
      </c>
    </row>
    <row r="107" customFormat="false" ht="15" hidden="false" customHeight="false" outlineLevel="0" collapsed="false">
      <c r="A107" s="21"/>
      <c r="B107" s="21"/>
      <c r="C107" s="21"/>
      <c r="D107" s="21"/>
      <c r="E107" s="21"/>
      <c r="F107" s="21"/>
      <c r="G107" s="21"/>
      <c r="H107" s="21"/>
      <c r="I107" s="21"/>
      <c r="J107" s="21"/>
      <c r="K107" s="21"/>
      <c r="L107" s="21"/>
      <c r="M107" s="22"/>
      <c r="N107" s="20"/>
      <c r="O107" s="20"/>
      <c r="P107" s="21"/>
      <c r="Q107" s="21"/>
      <c r="R107" s="20"/>
      <c r="S107" s="20"/>
      <c r="T107" s="21"/>
      <c r="U107" s="21"/>
      <c r="V107" s="9" t="str">
        <f aca="false">IF(A107="","",SUMIFS(CONFIG!$F$5:$F$26,CONFIG!$D$5:$D$26,"Tipo de persona",CONFIG!$E$5:$E$26,C107)+SUMIFS(CONFIG!$F$5:$F$26,CONFIG!$D$5:$D$26,"Residencia",CONFIG!$E$5:$E$26,E107)+SUMIFS(CONFIG!$F$5:$F$26,CONFIG!$D$5:$D$26,"Nacionalidad",CONFIG!$E$5:$E$26,F107)+SUMIFS(CONFIG!$F$5:$F$26,CONFIG!$D$5:$D$26,"Jurisdicción de riesgo",CONFIG!$E$5:$E$26,G107)+SUMIFS(CONFIG!$F$5:$F$26,CONFIG!$D$5:$D$26,"PEP",CONFIG!$E$5:$E$26,H107)+SUMIFS(CONFIG!$F$5:$F$26,CONFIG!$D$5:$D$26,"En listas",CONFIG!$E$5:$E$26,I107)+SUMIFS(CONFIG!$F$5:$F$26,CONFIG!$D$5:$D$26,"Riesgo de su actividad económica",CONFIG!$E$5:$E$26,J107)+SUMIFS(CONFIG!$F$5:$F$26,CONFIG!$D$5:$D$26,"Canal",CONFIG!$E$5:$E$26,K107)+SUMIFS(CONFIG!$F$5:$F$26,CONFIG!$D$5:$D$26,"Origen de recursos documentado",CONFIG!$E$5:$E$26,L107))</f>
        <v/>
      </c>
      <c r="W107" s="9" t="str">
        <f aca="false">IF(A107="","",IF(SUMIF(OPERACIONES!$C$6:$C$505,A107,OPERACIONES!$E$6:$E$505)&gt;0,IF(SUMIF(OPERACIONES!$C$6:$C$505,A107,OPERACIONES!$F$6:$F$505)/SUMIF(OPERACIONES!$C$6:$C$505,A107,OPERACIONES!$E$6:$E$505)&gt;0.5,CONFIG!$B$20,IF(SUMIF(OPERACIONES!$C$6:$C$505,A107,OPERACIONES!$F$6:$F$505)&gt;0,CONFIG!$B$21,0)),0)+IF(COUNTIFS(OPERACIONES!$C$6:$C$505,A107,OPERACIONES!$AQ$6:$AQ$505,1)&gt;0,CONFIG!$B$22,0)+IF(COUNTIFS(OPERACIONES!$C$6:$C$505,A107,OPERACIONES!$H$6:$H$505,"Sí")&gt;0,CONFIG!$B$23,0))</f>
        <v/>
      </c>
      <c r="X107" s="9" t="str">
        <f aca="false">IF(A107="","",V107+W107)</f>
        <v/>
      </c>
      <c r="Y107" s="9" t="str">
        <f aca="false">IF(A107="","",IF(X107&lt;=CONFIG!$B$13,"Bajo",IF(X107&lt;=CONFIG!$B$14,"Medio","Alto")))</f>
        <v/>
      </c>
      <c r="Z107" s="25" t="str">
        <f aca="false">IF(A107="","",IF(OR(H107="Extranjera",AND(E107="No residente",G107="Sí"),I107="Sí"),"Alto",IF(T107&lt;&gt;"",T107,Y107)))</f>
        <v/>
      </c>
      <c r="AA107" s="26" t="str">
        <f aca="false">IF(A107="","",IF(H107="Extranjera","Alto obligatorio: PEP extranjera (RCG 23 Bis 4)",IF(AND(E107="No residente",G107="Sí"),"Alto obligatorio: no residente vinculado a jurisdicción de riesgo (RCG 23 Bis 4)",IF(I107="Sí","Alto por criterio: persona en listas. Evalúa no operar y Aviso de 24 h",IF(T107&lt;&gt;"","Ajuste del REC: "&amp;U107,"Modelo: "&amp;X107&amp;" puntos")))))</f>
        <v/>
      </c>
      <c r="AB107" s="23" t="str">
        <f aca="false">IF(A107="","",IF(COUNT(N107,O107)=0,"Falta fecha",EDATE(MAX(N107,O107),IF(Z107="Alto",CONFIG!$B$18,IF(Z107="Medio",CONFIG!$B$17,CONFIG!$B$16)))))</f>
        <v/>
      </c>
      <c r="AC107" s="23" t="str">
        <f aca="false">IF(A107="","",IF(ISNUMBER(S107),EDATE(S107,12),IF(ISNUMBER(N107),EDATE(N107,12),"Falta fecha")))</f>
        <v/>
      </c>
      <c r="AD107" s="26" t="str">
        <f aca="false">IF(A107="","",MID(IF(P107&lt;&gt;"Sí"," · Expediente incompleto","")&amp;IF(OR(Q107="",Q107="Pendiente")," · Falta el Beneficiario Controlador","")&amp;IF(M107=""," · Sin perfil transaccional","")&amp;IF(AND(ISNUMBER(AB107),AB107&lt;CONFIG!$B$6)," · Evaluación de riesgo vencida","")&amp;IF(AND(ISNUMBER(AC107),AC107&lt;CONFIG!$B$6)," · Verificación anual vencida","")&amp;IF(AND(ISNUMBER(R107),ISNUMBER(S107),S107-R107&gt;92)," · Comprobante de domicilio con más de 3 meses","")&amp;IF(AND(T107&lt;&gt;"",U107="")," · Ajuste del REC sin justificación",""),4,400))</f>
        <v/>
      </c>
      <c r="AE107" s="9" t="str">
        <f aca="false">IF(A107="","",IF(AD107="","Al día","Revisar"))</f>
        <v/>
      </c>
      <c r="AF107" s="9" t="str">
        <f aca="false">IF(A107="","",COUNTIF(OPERACIONES!$C$6:$C$505,A107)&amp;" / $"&amp;FIXED(SUMIF(OPERACIONES!$C$6:$C$505,A107,OPERACIONES!$E$6:$E$505),0))</f>
        <v/>
      </c>
    </row>
    <row r="108" customFormat="false" ht="15" hidden="false" customHeight="false" outlineLevel="0" collapsed="false">
      <c r="A108" s="21"/>
      <c r="B108" s="21"/>
      <c r="C108" s="21"/>
      <c r="D108" s="21"/>
      <c r="E108" s="21"/>
      <c r="F108" s="21"/>
      <c r="G108" s="21"/>
      <c r="H108" s="21"/>
      <c r="I108" s="21"/>
      <c r="J108" s="21"/>
      <c r="K108" s="21"/>
      <c r="L108" s="21"/>
      <c r="M108" s="22"/>
      <c r="N108" s="20"/>
      <c r="O108" s="20"/>
      <c r="P108" s="21"/>
      <c r="Q108" s="21"/>
      <c r="R108" s="20"/>
      <c r="S108" s="20"/>
      <c r="T108" s="21"/>
      <c r="U108" s="21"/>
      <c r="V108" s="9" t="str">
        <f aca="false">IF(A108="","",SUMIFS(CONFIG!$F$5:$F$26,CONFIG!$D$5:$D$26,"Tipo de persona",CONFIG!$E$5:$E$26,C108)+SUMIFS(CONFIG!$F$5:$F$26,CONFIG!$D$5:$D$26,"Residencia",CONFIG!$E$5:$E$26,E108)+SUMIFS(CONFIG!$F$5:$F$26,CONFIG!$D$5:$D$26,"Nacionalidad",CONFIG!$E$5:$E$26,F108)+SUMIFS(CONFIG!$F$5:$F$26,CONFIG!$D$5:$D$26,"Jurisdicción de riesgo",CONFIG!$E$5:$E$26,G108)+SUMIFS(CONFIG!$F$5:$F$26,CONFIG!$D$5:$D$26,"PEP",CONFIG!$E$5:$E$26,H108)+SUMIFS(CONFIG!$F$5:$F$26,CONFIG!$D$5:$D$26,"En listas",CONFIG!$E$5:$E$26,I108)+SUMIFS(CONFIG!$F$5:$F$26,CONFIG!$D$5:$D$26,"Riesgo de su actividad económica",CONFIG!$E$5:$E$26,J108)+SUMIFS(CONFIG!$F$5:$F$26,CONFIG!$D$5:$D$26,"Canal",CONFIG!$E$5:$E$26,K108)+SUMIFS(CONFIG!$F$5:$F$26,CONFIG!$D$5:$D$26,"Origen de recursos documentado",CONFIG!$E$5:$E$26,L108))</f>
        <v/>
      </c>
      <c r="W108" s="9" t="str">
        <f aca="false">IF(A108="","",IF(SUMIF(OPERACIONES!$C$6:$C$505,A108,OPERACIONES!$E$6:$E$505)&gt;0,IF(SUMIF(OPERACIONES!$C$6:$C$505,A108,OPERACIONES!$F$6:$F$505)/SUMIF(OPERACIONES!$C$6:$C$505,A108,OPERACIONES!$E$6:$E$505)&gt;0.5,CONFIG!$B$20,IF(SUMIF(OPERACIONES!$C$6:$C$505,A108,OPERACIONES!$F$6:$F$505)&gt;0,CONFIG!$B$21,0)),0)+IF(COUNTIFS(OPERACIONES!$C$6:$C$505,A108,OPERACIONES!$AQ$6:$AQ$505,1)&gt;0,CONFIG!$B$22,0)+IF(COUNTIFS(OPERACIONES!$C$6:$C$505,A108,OPERACIONES!$H$6:$H$505,"Sí")&gt;0,CONFIG!$B$23,0))</f>
        <v/>
      </c>
      <c r="X108" s="9" t="str">
        <f aca="false">IF(A108="","",V108+W108)</f>
        <v/>
      </c>
      <c r="Y108" s="9" t="str">
        <f aca="false">IF(A108="","",IF(X108&lt;=CONFIG!$B$13,"Bajo",IF(X108&lt;=CONFIG!$B$14,"Medio","Alto")))</f>
        <v/>
      </c>
      <c r="Z108" s="25" t="str">
        <f aca="false">IF(A108="","",IF(OR(H108="Extranjera",AND(E108="No residente",G108="Sí"),I108="Sí"),"Alto",IF(T108&lt;&gt;"",T108,Y108)))</f>
        <v/>
      </c>
      <c r="AA108" s="26" t="str">
        <f aca="false">IF(A108="","",IF(H108="Extranjera","Alto obligatorio: PEP extranjera (RCG 23 Bis 4)",IF(AND(E108="No residente",G108="Sí"),"Alto obligatorio: no residente vinculado a jurisdicción de riesgo (RCG 23 Bis 4)",IF(I108="Sí","Alto por criterio: persona en listas. Evalúa no operar y Aviso de 24 h",IF(T108&lt;&gt;"","Ajuste del REC: "&amp;U108,"Modelo: "&amp;X108&amp;" puntos")))))</f>
        <v/>
      </c>
      <c r="AB108" s="23" t="str">
        <f aca="false">IF(A108="","",IF(COUNT(N108,O108)=0,"Falta fecha",EDATE(MAX(N108,O108),IF(Z108="Alto",CONFIG!$B$18,IF(Z108="Medio",CONFIG!$B$17,CONFIG!$B$16)))))</f>
        <v/>
      </c>
      <c r="AC108" s="23" t="str">
        <f aca="false">IF(A108="","",IF(ISNUMBER(S108),EDATE(S108,12),IF(ISNUMBER(N108),EDATE(N108,12),"Falta fecha")))</f>
        <v/>
      </c>
      <c r="AD108" s="26" t="str">
        <f aca="false">IF(A108="","",MID(IF(P108&lt;&gt;"Sí"," · Expediente incompleto","")&amp;IF(OR(Q108="",Q108="Pendiente")," · Falta el Beneficiario Controlador","")&amp;IF(M108=""," · Sin perfil transaccional","")&amp;IF(AND(ISNUMBER(AB108),AB108&lt;CONFIG!$B$6)," · Evaluación de riesgo vencida","")&amp;IF(AND(ISNUMBER(AC108),AC108&lt;CONFIG!$B$6)," · Verificación anual vencida","")&amp;IF(AND(ISNUMBER(R108),ISNUMBER(S108),S108-R108&gt;92)," · Comprobante de domicilio con más de 3 meses","")&amp;IF(AND(T108&lt;&gt;"",U108="")," · Ajuste del REC sin justificación",""),4,400))</f>
        <v/>
      </c>
      <c r="AE108" s="9" t="str">
        <f aca="false">IF(A108="","",IF(AD108="","Al día","Revisar"))</f>
        <v/>
      </c>
      <c r="AF108" s="9" t="str">
        <f aca="false">IF(A108="","",COUNTIF(OPERACIONES!$C$6:$C$505,A108)&amp;" / $"&amp;FIXED(SUMIF(OPERACIONES!$C$6:$C$505,A108,OPERACIONES!$E$6:$E$505),0))</f>
        <v/>
      </c>
    </row>
    <row r="109" customFormat="false" ht="15" hidden="false" customHeight="false" outlineLevel="0" collapsed="false">
      <c r="A109" s="21"/>
      <c r="B109" s="21"/>
      <c r="C109" s="21"/>
      <c r="D109" s="21"/>
      <c r="E109" s="21"/>
      <c r="F109" s="21"/>
      <c r="G109" s="21"/>
      <c r="H109" s="21"/>
      <c r="I109" s="21"/>
      <c r="J109" s="21"/>
      <c r="K109" s="21"/>
      <c r="L109" s="21"/>
      <c r="M109" s="22"/>
      <c r="N109" s="20"/>
      <c r="O109" s="20"/>
      <c r="P109" s="21"/>
      <c r="Q109" s="21"/>
      <c r="R109" s="20"/>
      <c r="S109" s="20"/>
      <c r="T109" s="21"/>
      <c r="U109" s="21"/>
      <c r="V109" s="9" t="str">
        <f aca="false">IF(A109="","",SUMIFS(CONFIG!$F$5:$F$26,CONFIG!$D$5:$D$26,"Tipo de persona",CONFIG!$E$5:$E$26,C109)+SUMIFS(CONFIG!$F$5:$F$26,CONFIG!$D$5:$D$26,"Residencia",CONFIG!$E$5:$E$26,E109)+SUMIFS(CONFIG!$F$5:$F$26,CONFIG!$D$5:$D$26,"Nacionalidad",CONFIG!$E$5:$E$26,F109)+SUMIFS(CONFIG!$F$5:$F$26,CONFIG!$D$5:$D$26,"Jurisdicción de riesgo",CONFIG!$E$5:$E$26,G109)+SUMIFS(CONFIG!$F$5:$F$26,CONFIG!$D$5:$D$26,"PEP",CONFIG!$E$5:$E$26,H109)+SUMIFS(CONFIG!$F$5:$F$26,CONFIG!$D$5:$D$26,"En listas",CONFIG!$E$5:$E$26,I109)+SUMIFS(CONFIG!$F$5:$F$26,CONFIG!$D$5:$D$26,"Riesgo de su actividad económica",CONFIG!$E$5:$E$26,J109)+SUMIFS(CONFIG!$F$5:$F$26,CONFIG!$D$5:$D$26,"Canal",CONFIG!$E$5:$E$26,K109)+SUMIFS(CONFIG!$F$5:$F$26,CONFIG!$D$5:$D$26,"Origen de recursos documentado",CONFIG!$E$5:$E$26,L109))</f>
        <v/>
      </c>
      <c r="W109" s="9" t="str">
        <f aca="false">IF(A109="","",IF(SUMIF(OPERACIONES!$C$6:$C$505,A109,OPERACIONES!$E$6:$E$505)&gt;0,IF(SUMIF(OPERACIONES!$C$6:$C$505,A109,OPERACIONES!$F$6:$F$505)/SUMIF(OPERACIONES!$C$6:$C$505,A109,OPERACIONES!$E$6:$E$505)&gt;0.5,CONFIG!$B$20,IF(SUMIF(OPERACIONES!$C$6:$C$505,A109,OPERACIONES!$F$6:$F$505)&gt;0,CONFIG!$B$21,0)),0)+IF(COUNTIFS(OPERACIONES!$C$6:$C$505,A109,OPERACIONES!$AQ$6:$AQ$505,1)&gt;0,CONFIG!$B$22,0)+IF(COUNTIFS(OPERACIONES!$C$6:$C$505,A109,OPERACIONES!$H$6:$H$505,"Sí")&gt;0,CONFIG!$B$23,0))</f>
        <v/>
      </c>
      <c r="X109" s="9" t="str">
        <f aca="false">IF(A109="","",V109+W109)</f>
        <v/>
      </c>
      <c r="Y109" s="9" t="str">
        <f aca="false">IF(A109="","",IF(X109&lt;=CONFIG!$B$13,"Bajo",IF(X109&lt;=CONFIG!$B$14,"Medio","Alto")))</f>
        <v/>
      </c>
      <c r="Z109" s="25" t="str">
        <f aca="false">IF(A109="","",IF(OR(H109="Extranjera",AND(E109="No residente",G109="Sí"),I109="Sí"),"Alto",IF(T109&lt;&gt;"",T109,Y109)))</f>
        <v/>
      </c>
      <c r="AA109" s="26" t="str">
        <f aca="false">IF(A109="","",IF(H109="Extranjera","Alto obligatorio: PEP extranjera (RCG 23 Bis 4)",IF(AND(E109="No residente",G109="Sí"),"Alto obligatorio: no residente vinculado a jurisdicción de riesgo (RCG 23 Bis 4)",IF(I109="Sí","Alto por criterio: persona en listas. Evalúa no operar y Aviso de 24 h",IF(T109&lt;&gt;"","Ajuste del REC: "&amp;U109,"Modelo: "&amp;X109&amp;" puntos")))))</f>
        <v/>
      </c>
      <c r="AB109" s="23" t="str">
        <f aca="false">IF(A109="","",IF(COUNT(N109,O109)=0,"Falta fecha",EDATE(MAX(N109,O109),IF(Z109="Alto",CONFIG!$B$18,IF(Z109="Medio",CONFIG!$B$17,CONFIG!$B$16)))))</f>
        <v/>
      </c>
      <c r="AC109" s="23" t="str">
        <f aca="false">IF(A109="","",IF(ISNUMBER(S109),EDATE(S109,12),IF(ISNUMBER(N109),EDATE(N109,12),"Falta fecha")))</f>
        <v/>
      </c>
      <c r="AD109" s="26" t="str">
        <f aca="false">IF(A109="","",MID(IF(P109&lt;&gt;"Sí"," · Expediente incompleto","")&amp;IF(OR(Q109="",Q109="Pendiente")," · Falta el Beneficiario Controlador","")&amp;IF(M109=""," · Sin perfil transaccional","")&amp;IF(AND(ISNUMBER(AB109),AB109&lt;CONFIG!$B$6)," · Evaluación de riesgo vencida","")&amp;IF(AND(ISNUMBER(AC109),AC109&lt;CONFIG!$B$6)," · Verificación anual vencida","")&amp;IF(AND(ISNUMBER(R109),ISNUMBER(S109),S109-R109&gt;92)," · Comprobante de domicilio con más de 3 meses","")&amp;IF(AND(T109&lt;&gt;"",U109="")," · Ajuste del REC sin justificación",""),4,400))</f>
        <v/>
      </c>
      <c r="AE109" s="9" t="str">
        <f aca="false">IF(A109="","",IF(AD109="","Al día","Revisar"))</f>
        <v/>
      </c>
      <c r="AF109" s="9" t="str">
        <f aca="false">IF(A109="","",COUNTIF(OPERACIONES!$C$6:$C$505,A109)&amp;" / $"&amp;FIXED(SUMIF(OPERACIONES!$C$6:$C$505,A109,OPERACIONES!$E$6:$E$505),0))</f>
        <v/>
      </c>
    </row>
    <row r="110" customFormat="false" ht="15" hidden="false" customHeight="false" outlineLevel="0" collapsed="false">
      <c r="A110" s="21"/>
      <c r="B110" s="21"/>
      <c r="C110" s="21"/>
      <c r="D110" s="21"/>
      <c r="E110" s="21"/>
      <c r="F110" s="21"/>
      <c r="G110" s="21"/>
      <c r="H110" s="21"/>
      <c r="I110" s="21"/>
      <c r="J110" s="21"/>
      <c r="K110" s="21"/>
      <c r="L110" s="21"/>
      <c r="M110" s="22"/>
      <c r="N110" s="20"/>
      <c r="O110" s="20"/>
      <c r="P110" s="21"/>
      <c r="Q110" s="21"/>
      <c r="R110" s="20"/>
      <c r="S110" s="20"/>
      <c r="T110" s="21"/>
      <c r="U110" s="21"/>
      <c r="V110" s="9" t="str">
        <f aca="false">IF(A110="","",SUMIFS(CONFIG!$F$5:$F$26,CONFIG!$D$5:$D$26,"Tipo de persona",CONFIG!$E$5:$E$26,C110)+SUMIFS(CONFIG!$F$5:$F$26,CONFIG!$D$5:$D$26,"Residencia",CONFIG!$E$5:$E$26,E110)+SUMIFS(CONFIG!$F$5:$F$26,CONFIG!$D$5:$D$26,"Nacionalidad",CONFIG!$E$5:$E$26,F110)+SUMIFS(CONFIG!$F$5:$F$26,CONFIG!$D$5:$D$26,"Jurisdicción de riesgo",CONFIG!$E$5:$E$26,G110)+SUMIFS(CONFIG!$F$5:$F$26,CONFIG!$D$5:$D$26,"PEP",CONFIG!$E$5:$E$26,H110)+SUMIFS(CONFIG!$F$5:$F$26,CONFIG!$D$5:$D$26,"En listas",CONFIG!$E$5:$E$26,I110)+SUMIFS(CONFIG!$F$5:$F$26,CONFIG!$D$5:$D$26,"Riesgo de su actividad económica",CONFIG!$E$5:$E$26,J110)+SUMIFS(CONFIG!$F$5:$F$26,CONFIG!$D$5:$D$26,"Canal",CONFIG!$E$5:$E$26,K110)+SUMIFS(CONFIG!$F$5:$F$26,CONFIG!$D$5:$D$26,"Origen de recursos documentado",CONFIG!$E$5:$E$26,L110))</f>
        <v/>
      </c>
      <c r="W110" s="9" t="str">
        <f aca="false">IF(A110="","",IF(SUMIF(OPERACIONES!$C$6:$C$505,A110,OPERACIONES!$E$6:$E$505)&gt;0,IF(SUMIF(OPERACIONES!$C$6:$C$505,A110,OPERACIONES!$F$6:$F$505)/SUMIF(OPERACIONES!$C$6:$C$505,A110,OPERACIONES!$E$6:$E$505)&gt;0.5,CONFIG!$B$20,IF(SUMIF(OPERACIONES!$C$6:$C$505,A110,OPERACIONES!$F$6:$F$505)&gt;0,CONFIG!$B$21,0)),0)+IF(COUNTIFS(OPERACIONES!$C$6:$C$505,A110,OPERACIONES!$AQ$6:$AQ$505,1)&gt;0,CONFIG!$B$22,0)+IF(COUNTIFS(OPERACIONES!$C$6:$C$505,A110,OPERACIONES!$H$6:$H$505,"Sí")&gt;0,CONFIG!$B$23,0))</f>
        <v/>
      </c>
      <c r="X110" s="9" t="str">
        <f aca="false">IF(A110="","",V110+W110)</f>
        <v/>
      </c>
      <c r="Y110" s="9" t="str">
        <f aca="false">IF(A110="","",IF(X110&lt;=CONFIG!$B$13,"Bajo",IF(X110&lt;=CONFIG!$B$14,"Medio","Alto")))</f>
        <v/>
      </c>
      <c r="Z110" s="25" t="str">
        <f aca="false">IF(A110="","",IF(OR(H110="Extranjera",AND(E110="No residente",G110="Sí"),I110="Sí"),"Alto",IF(T110&lt;&gt;"",T110,Y110)))</f>
        <v/>
      </c>
      <c r="AA110" s="26" t="str">
        <f aca="false">IF(A110="","",IF(H110="Extranjera","Alto obligatorio: PEP extranjera (RCG 23 Bis 4)",IF(AND(E110="No residente",G110="Sí"),"Alto obligatorio: no residente vinculado a jurisdicción de riesgo (RCG 23 Bis 4)",IF(I110="Sí","Alto por criterio: persona en listas. Evalúa no operar y Aviso de 24 h",IF(T110&lt;&gt;"","Ajuste del REC: "&amp;U110,"Modelo: "&amp;X110&amp;" puntos")))))</f>
        <v/>
      </c>
      <c r="AB110" s="23" t="str">
        <f aca="false">IF(A110="","",IF(COUNT(N110,O110)=0,"Falta fecha",EDATE(MAX(N110,O110),IF(Z110="Alto",CONFIG!$B$18,IF(Z110="Medio",CONFIG!$B$17,CONFIG!$B$16)))))</f>
        <v/>
      </c>
      <c r="AC110" s="23" t="str">
        <f aca="false">IF(A110="","",IF(ISNUMBER(S110),EDATE(S110,12),IF(ISNUMBER(N110),EDATE(N110,12),"Falta fecha")))</f>
        <v/>
      </c>
      <c r="AD110" s="26" t="str">
        <f aca="false">IF(A110="","",MID(IF(P110&lt;&gt;"Sí"," · Expediente incompleto","")&amp;IF(OR(Q110="",Q110="Pendiente")," · Falta el Beneficiario Controlador","")&amp;IF(M110=""," · Sin perfil transaccional","")&amp;IF(AND(ISNUMBER(AB110),AB110&lt;CONFIG!$B$6)," · Evaluación de riesgo vencida","")&amp;IF(AND(ISNUMBER(AC110),AC110&lt;CONFIG!$B$6)," · Verificación anual vencida","")&amp;IF(AND(ISNUMBER(R110),ISNUMBER(S110),S110-R110&gt;92)," · Comprobante de domicilio con más de 3 meses","")&amp;IF(AND(T110&lt;&gt;"",U110="")," · Ajuste del REC sin justificación",""),4,400))</f>
        <v/>
      </c>
      <c r="AE110" s="9" t="str">
        <f aca="false">IF(A110="","",IF(AD110="","Al día","Revisar"))</f>
        <v/>
      </c>
      <c r="AF110" s="9" t="str">
        <f aca="false">IF(A110="","",COUNTIF(OPERACIONES!$C$6:$C$505,A110)&amp;" / $"&amp;FIXED(SUMIF(OPERACIONES!$C$6:$C$505,A110,OPERACIONES!$E$6:$E$505),0))</f>
        <v/>
      </c>
    </row>
    <row r="111" customFormat="false" ht="15" hidden="false" customHeight="false" outlineLevel="0" collapsed="false">
      <c r="A111" s="21"/>
      <c r="B111" s="21"/>
      <c r="C111" s="21"/>
      <c r="D111" s="21"/>
      <c r="E111" s="21"/>
      <c r="F111" s="21"/>
      <c r="G111" s="21"/>
      <c r="H111" s="21"/>
      <c r="I111" s="21"/>
      <c r="J111" s="21"/>
      <c r="K111" s="21"/>
      <c r="L111" s="21"/>
      <c r="M111" s="22"/>
      <c r="N111" s="20"/>
      <c r="O111" s="20"/>
      <c r="P111" s="21"/>
      <c r="Q111" s="21"/>
      <c r="R111" s="20"/>
      <c r="S111" s="20"/>
      <c r="T111" s="21"/>
      <c r="U111" s="21"/>
      <c r="V111" s="9" t="str">
        <f aca="false">IF(A111="","",SUMIFS(CONFIG!$F$5:$F$26,CONFIG!$D$5:$D$26,"Tipo de persona",CONFIG!$E$5:$E$26,C111)+SUMIFS(CONFIG!$F$5:$F$26,CONFIG!$D$5:$D$26,"Residencia",CONFIG!$E$5:$E$26,E111)+SUMIFS(CONFIG!$F$5:$F$26,CONFIG!$D$5:$D$26,"Nacionalidad",CONFIG!$E$5:$E$26,F111)+SUMIFS(CONFIG!$F$5:$F$26,CONFIG!$D$5:$D$26,"Jurisdicción de riesgo",CONFIG!$E$5:$E$26,G111)+SUMIFS(CONFIG!$F$5:$F$26,CONFIG!$D$5:$D$26,"PEP",CONFIG!$E$5:$E$26,H111)+SUMIFS(CONFIG!$F$5:$F$26,CONFIG!$D$5:$D$26,"En listas",CONFIG!$E$5:$E$26,I111)+SUMIFS(CONFIG!$F$5:$F$26,CONFIG!$D$5:$D$26,"Riesgo de su actividad económica",CONFIG!$E$5:$E$26,J111)+SUMIFS(CONFIG!$F$5:$F$26,CONFIG!$D$5:$D$26,"Canal",CONFIG!$E$5:$E$26,K111)+SUMIFS(CONFIG!$F$5:$F$26,CONFIG!$D$5:$D$26,"Origen de recursos documentado",CONFIG!$E$5:$E$26,L111))</f>
        <v/>
      </c>
      <c r="W111" s="9" t="str">
        <f aca="false">IF(A111="","",IF(SUMIF(OPERACIONES!$C$6:$C$505,A111,OPERACIONES!$E$6:$E$505)&gt;0,IF(SUMIF(OPERACIONES!$C$6:$C$505,A111,OPERACIONES!$F$6:$F$505)/SUMIF(OPERACIONES!$C$6:$C$505,A111,OPERACIONES!$E$6:$E$505)&gt;0.5,CONFIG!$B$20,IF(SUMIF(OPERACIONES!$C$6:$C$505,A111,OPERACIONES!$F$6:$F$505)&gt;0,CONFIG!$B$21,0)),0)+IF(COUNTIFS(OPERACIONES!$C$6:$C$505,A111,OPERACIONES!$AQ$6:$AQ$505,1)&gt;0,CONFIG!$B$22,0)+IF(COUNTIFS(OPERACIONES!$C$6:$C$505,A111,OPERACIONES!$H$6:$H$505,"Sí")&gt;0,CONFIG!$B$23,0))</f>
        <v/>
      </c>
      <c r="X111" s="9" t="str">
        <f aca="false">IF(A111="","",V111+W111)</f>
        <v/>
      </c>
      <c r="Y111" s="9" t="str">
        <f aca="false">IF(A111="","",IF(X111&lt;=CONFIG!$B$13,"Bajo",IF(X111&lt;=CONFIG!$B$14,"Medio","Alto")))</f>
        <v/>
      </c>
      <c r="Z111" s="25" t="str">
        <f aca="false">IF(A111="","",IF(OR(H111="Extranjera",AND(E111="No residente",G111="Sí"),I111="Sí"),"Alto",IF(T111&lt;&gt;"",T111,Y111)))</f>
        <v/>
      </c>
      <c r="AA111" s="26" t="str">
        <f aca="false">IF(A111="","",IF(H111="Extranjera","Alto obligatorio: PEP extranjera (RCG 23 Bis 4)",IF(AND(E111="No residente",G111="Sí"),"Alto obligatorio: no residente vinculado a jurisdicción de riesgo (RCG 23 Bis 4)",IF(I111="Sí","Alto por criterio: persona en listas. Evalúa no operar y Aviso de 24 h",IF(T111&lt;&gt;"","Ajuste del REC: "&amp;U111,"Modelo: "&amp;X111&amp;" puntos")))))</f>
        <v/>
      </c>
      <c r="AB111" s="23" t="str">
        <f aca="false">IF(A111="","",IF(COUNT(N111,O111)=0,"Falta fecha",EDATE(MAX(N111,O111),IF(Z111="Alto",CONFIG!$B$18,IF(Z111="Medio",CONFIG!$B$17,CONFIG!$B$16)))))</f>
        <v/>
      </c>
      <c r="AC111" s="23" t="str">
        <f aca="false">IF(A111="","",IF(ISNUMBER(S111),EDATE(S111,12),IF(ISNUMBER(N111),EDATE(N111,12),"Falta fecha")))</f>
        <v/>
      </c>
      <c r="AD111" s="26" t="str">
        <f aca="false">IF(A111="","",MID(IF(P111&lt;&gt;"Sí"," · Expediente incompleto","")&amp;IF(OR(Q111="",Q111="Pendiente")," · Falta el Beneficiario Controlador","")&amp;IF(M111=""," · Sin perfil transaccional","")&amp;IF(AND(ISNUMBER(AB111),AB111&lt;CONFIG!$B$6)," · Evaluación de riesgo vencida","")&amp;IF(AND(ISNUMBER(AC111),AC111&lt;CONFIG!$B$6)," · Verificación anual vencida","")&amp;IF(AND(ISNUMBER(R111),ISNUMBER(S111),S111-R111&gt;92)," · Comprobante de domicilio con más de 3 meses","")&amp;IF(AND(T111&lt;&gt;"",U111="")," · Ajuste del REC sin justificación",""),4,400))</f>
        <v/>
      </c>
      <c r="AE111" s="9" t="str">
        <f aca="false">IF(A111="","",IF(AD111="","Al día","Revisar"))</f>
        <v/>
      </c>
      <c r="AF111" s="9" t="str">
        <f aca="false">IF(A111="","",COUNTIF(OPERACIONES!$C$6:$C$505,A111)&amp;" / $"&amp;FIXED(SUMIF(OPERACIONES!$C$6:$C$505,A111,OPERACIONES!$E$6:$E$505),0))</f>
        <v/>
      </c>
    </row>
    <row r="112" customFormat="false" ht="15" hidden="false" customHeight="false" outlineLevel="0" collapsed="false">
      <c r="A112" s="21"/>
      <c r="B112" s="21"/>
      <c r="C112" s="21"/>
      <c r="D112" s="21"/>
      <c r="E112" s="21"/>
      <c r="F112" s="21"/>
      <c r="G112" s="21"/>
      <c r="H112" s="21"/>
      <c r="I112" s="21"/>
      <c r="J112" s="21"/>
      <c r="K112" s="21"/>
      <c r="L112" s="21"/>
      <c r="M112" s="22"/>
      <c r="N112" s="20"/>
      <c r="O112" s="20"/>
      <c r="P112" s="21"/>
      <c r="Q112" s="21"/>
      <c r="R112" s="20"/>
      <c r="S112" s="20"/>
      <c r="T112" s="21"/>
      <c r="U112" s="21"/>
      <c r="V112" s="9" t="str">
        <f aca="false">IF(A112="","",SUMIFS(CONFIG!$F$5:$F$26,CONFIG!$D$5:$D$26,"Tipo de persona",CONFIG!$E$5:$E$26,C112)+SUMIFS(CONFIG!$F$5:$F$26,CONFIG!$D$5:$D$26,"Residencia",CONFIG!$E$5:$E$26,E112)+SUMIFS(CONFIG!$F$5:$F$26,CONFIG!$D$5:$D$26,"Nacionalidad",CONFIG!$E$5:$E$26,F112)+SUMIFS(CONFIG!$F$5:$F$26,CONFIG!$D$5:$D$26,"Jurisdicción de riesgo",CONFIG!$E$5:$E$26,G112)+SUMIFS(CONFIG!$F$5:$F$26,CONFIG!$D$5:$D$26,"PEP",CONFIG!$E$5:$E$26,H112)+SUMIFS(CONFIG!$F$5:$F$26,CONFIG!$D$5:$D$26,"En listas",CONFIG!$E$5:$E$26,I112)+SUMIFS(CONFIG!$F$5:$F$26,CONFIG!$D$5:$D$26,"Riesgo de su actividad económica",CONFIG!$E$5:$E$26,J112)+SUMIFS(CONFIG!$F$5:$F$26,CONFIG!$D$5:$D$26,"Canal",CONFIG!$E$5:$E$26,K112)+SUMIFS(CONFIG!$F$5:$F$26,CONFIG!$D$5:$D$26,"Origen de recursos documentado",CONFIG!$E$5:$E$26,L112))</f>
        <v/>
      </c>
      <c r="W112" s="9" t="str">
        <f aca="false">IF(A112="","",IF(SUMIF(OPERACIONES!$C$6:$C$505,A112,OPERACIONES!$E$6:$E$505)&gt;0,IF(SUMIF(OPERACIONES!$C$6:$C$505,A112,OPERACIONES!$F$6:$F$505)/SUMIF(OPERACIONES!$C$6:$C$505,A112,OPERACIONES!$E$6:$E$505)&gt;0.5,CONFIG!$B$20,IF(SUMIF(OPERACIONES!$C$6:$C$505,A112,OPERACIONES!$F$6:$F$505)&gt;0,CONFIG!$B$21,0)),0)+IF(COUNTIFS(OPERACIONES!$C$6:$C$505,A112,OPERACIONES!$AQ$6:$AQ$505,1)&gt;0,CONFIG!$B$22,0)+IF(COUNTIFS(OPERACIONES!$C$6:$C$505,A112,OPERACIONES!$H$6:$H$505,"Sí")&gt;0,CONFIG!$B$23,0))</f>
        <v/>
      </c>
      <c r="X112" s="9" t="str">
        <f aca="false">IF(A112="","",V112+W112)</f>
        <v/>
      </c>
      <c r="Y112" s="9" t="str">
        <f aca="false">IF(A112="","",IF(X112&lt;=CONFIG!$B$13,"Bajo",IF(X112&lt;=CONFIG!$B$14,"Medio","Alto")))</f>
        <v/>
      </c>
      <c r="Z112" s="25" t="str">
        <f aca="false">IF(A112="","",IF(OR(H112="Extranjera",AND(E112="No residente",G112="Sí"),I112="Sí"),"Alto",IF(T112&lt;&gt;"",T112,Y112)))</f>
        <v/>
      </c>
      <c r="AA112" s="26" t="str">
        <f aca="false">IF(A112="","",IF(H112="Extranjera","Alto obligatorio: PEP extranjera (RCG 23 Bis 4)",IF(AND(E112="No residente",G112="Sí"),"Alto obligatorio: no residente vinculado a jurisdicción de riesgo (RCG 23 Bis 4)",IF(I112="Sí","Alto por criterio: persona en listas. Evalúa no operar y Aviso de 24 h",IF(T112&lt;&gt;"","Ajuste del REC: "&amp;U112,"Modelo: "&amp;X112&amp;" puntos")))))</f>
        <v/>
      </c>
      <c r="AB112" s="23" t="str">
        <f aca="false">IF(A112="","",IF(COUNT(N112,O112)=0,"Falta fecha",EDATE(MAX(N112,O112),IF(Z112="Alto",CONFIG!$B$18,IF(Z112="Medio",CONFIG!$B$17,CONFIG!$B$16)))))</f>
        <v/>
      </c>
      <c r="AC112" s="23" t="str">
        <f aca="false">IF(A112="","",IF(ISNUMBER(S112),EDATE(S112,12),IF(ISNUMBER(N112),EDATE(N112,12),"Falta fecha")))</f>
        <v/>
      </c>
      <c r="AD112" s="26" t="str">
        <f aca="false">IF(A112="","",MID(IF(P112&lt;&gt;"Sí"," · Expediente incompleto","")&amp;IF(OR(Q112="",Q112="Pendiente")," · Falta el Beneficiario Controlador","")&amp;IF(M112=""," · Sin perfil transaccional","")&amp;IF(AND(ISNUMBER(AB112),AB112&lt;CONFIG!$B$6)," · Evaluación de riesgo vencida","")&amp;IF(AND(ISNUMBER(AC112),AC112&lt;CONFIG!$B$6)," · Verificación anual vencida","")&amp;IF(AND(ISNUMBER(R112),ISNUMBER(S112),S112-R112&gt;92)," · Comprobante de domicilio con más de 3 meses","")&amp;IF(AND(T112&lt;&gt;"",U112="")," · Ajuste del REC sin justificación",""),4,400))</f>
        <v/>
      </c>
      <c r="AE112" s="9" t="str">
        <f aca="false">IF(A112="","",IF(AD112="","Al día","Revisar"))</f>
        <v/>
      </c>
      <c r="AF112" s="9" t="str">
        <f aca="false">IF(A112="","",COUNTIF(OPERACIONES!$C$6:$C$505,A112)&amp;" / $"&amp;FIXED(SUMIF(OPERACIONES!$C$6:$C$505,A112,OPERACIONES!$E$6:$E$505),0))</f>
        <v/>
      </c>
    </row>
    <row r="113" customFormat="false" ht="15" hidden="false" customHeight="false" outlineLevel="0" collapsed="false">
      <c r="A113" s="21"/>
      <c r="B113" s="21"/>
      <c r="C113" s="21"/>
      <c r="D113" s="21"/>
      <c r="E113" s="21"/>
      <c r="F113" s="21"/>
      <c r="G113" s="21"/>
      <c r="H113" s="21"/>
      <c r="I113" s="21"/>
      <c r="J113" s="21"/>
      <c r="K113" s="21"/>
      <c r="L113" s="21"/>
      <c r="M113" s="22"/>
      <c r="N113" s="20"/>
      <c r="O113" s="20"/>
      <c r="P113" s="21"/>
      <c r="Q113" s="21"/>
      <c r="R113" s="20"/>
      <c r="S113" s="20"/>
      <c r="T113" s="21"/>
      <c r="U113" s="21"/>
      <c r="V113" s="9" t="str">
        <f aca="false">IF(A113="","",SUMIFS(CONFIG!$F$5:$F$26,CONFIG!$D$5:$D$26,"Tipo de persona",CONFIG!$E$5:$E$26,C113)+SUMIFS(CONFIG!$F$5:$F$26,CONFIG!$D$5:$D$26,"Residencia",CONFIG!$E$5:$E$26,E113)+SUMIFS(CONFIG!$F$5:$F$26,CONFIG!$D$5:$D$26,"Nacionalidad",CONFIG!$E$5:$E$26,F113)+SUMIFS(CONFIG!$F$5:$F$26,CONFIG!$D$5:$D$26,"Jurisdicción de riesgo",CONFIG!$E$5:$E$26,G113)+SUMIFS(CONFIG!$F$5:$F$26,CONFIG!$D$5:$D$26,"PEP",CONFIG!$E$5:$E$26,H113)+SUMIFS(CONFIG!$F$5:$F$26,CONFIG!$D$5:$D$26,"En listas",CONFIG!$E$5:$E$26,I113)+SUMIFS(CONFIG!$F$5:$F$26,CONFIG!$D$5:$D$26,"Riesgo de su actividad económica",CONFIG!$E$5:$E$26,J113)+SUMIFS(CONFIG!$F$5:$F$26,CONFIG!$D$5:$D$26,"Canal",CONFIG!$E$5:$E$26,K113)+SUMIFS(CONFIG!$F$5:$F$26,CONFIG!$D$5:$D$26,"Origen de recursos documentado",CONFIG!$E$5:$E$26,L113))</f>
        <v/>
      </c>
      <c r="W113" s="9" t="str">
        <f aca="false">IF(A113="","",IF(SUMIF(OPERACIONES!$C$6:$C$505,A113,OPERACIONES!$E$6:$E$505)&gt;0,IF(SUMIF(OPERACIONES!$C$6:$C$505,A113,OPERACIONES!$F$6:$F$505)/SUMIF(OPERACIONES!$C$6:$C$505,A113,OPERACIONES!$E$6:$E$505)&gt;0.5,CONFIG!$B$20,IF(SUMIF(OPERACIONES!$C$6:$C$505,A113,OPERACIONES!$F$6:$F$505)&gt;0,CONFIG!$B$21,0)),0)+IF(COUNTIFS(OPERACIONES!$C$6:$C$505,A113,OPERACIONES!$AQ$6:$AQ$505,1)&gt;0,CONFIG!$B$22,0)+IF(COUNTIFS(OPERACIONES!$C$6:$C$505,A113,OPERACIONES!$H$6:$H$505,"Sí")&gt;0,CONFIG!$B$23,0))</f>
        <v/>
      </c>
      <c r="X113" s="9" t="str">
        <f aca="false">IF(A113="","",V113+W113)</f>
        <v/>
      </c>
      <c r="Y113" s="9" t="str">
        <f aca="false">IF(A113="","",IF(X113&lt;=CONFIG!$B$13,"Bajo",IF(X113&lt;=CONFIG!$B$14,"Medio","Alto")))</f>
        <v/>
      </c>
      <c r="Z113" s="25" t="str">
        <f aca="false">IF(A113="","",IF(OR(H113="Extranjera",AND(E113="No residente",G113="Sí"),I113="Sí"),"Alto",IF(T113&lt;&gt;"",T113,Y113)))</f>
        <v/>
      </c>
      <c r="AA113" s="26" t="str">
        <f aca="false">IF(A113="","",IF(H113="Extranjera","Alto obligatorio: PEP extranjera (RCG 23 Bis 4)",IF(AND(E113="No residente",G113="Sí"),"Alto obligatorio: no residente vinculado a jurisdicción de riesgo (RCG 23 Bis 4)",IF(I113="Sí","Alto por criterio: persona en listas. Evalúa no operar y Aviso de 24 h",IF(T113&lt;&gt;"","Ajuste del REC: "&amp;U113,"Modelo: "&amp;X113&amp;" puntos")))))</f>
        <v/>
      </c>
      <c r="AB113" s="23" t="str">
        <f aca="false">IF(A113="","",IF(COUNT(N113,O113)=0,"Falta fecha",EDATE(MAX(N113,O113),IF(Z113="Alto",CONFIG!$B$18,IF(Z113="Medio",CONFIG!$B$17,CONFIG!$B$16)))))</f>
        <v/>
      </c>
      <c r="AC113" s="23" t="str">
        <f aca="false">IF(A113="","",IF(ISNUMBER(S113),EDATE(S113,12),IF(ISNUMBER(N113),EDATE(N113,12),"Falta fecha")))</f>
        <v/>
      </c>
      <c r="AD113" s="26" t="str">
        <f aca="false">IF(A113="","",MID(IF(P113&lt;&gt;"Sí"," · Expediente incompleto","")&amp;IF(OR(Q113="",Q113="Pendiente")," · Falta el Beneficiario Controlador","")&amp;IF(M113=""," · Sin perfil transaccional","")&amp;IF(AND(ISNUMBER(AB113),AB113&lt;CONFIG!$B$6)," · Evaluación de riesgo vencida","")&amp;IF(AND(ISNUMBER(AC113),AC113&lt;CONFIG!$B$6)," · Verificación anual vencida","")&amp;IF(AND(ISNUMBER(R113),ISNUMBER(S113),S113-R113&gt;92)," · Comprobante de domicilio con más de 3 meses","")&amp;IF(AND(T113&lt;&gt;"",U113="")," · Ajuste del REC sin justificación",""),4,400))</f>
        <v/>
      </c>
      <c r="AE113" s="9" t="str">
        <f aca="false">IF(A113="","",IF(AD113="","Al día","Revisar"))</f>
        <v/>
      </c>
      <c r="AF113" s="9" t="str">
        <f aca="false">IF(A113="","",COUNTIF(OPERACIONES!$C$6:$C$505,A113)&amp;" / $"&amp;FIXED(SUMIF(OPERACIONES!$C$6:$C$505,A113,OPERACIONES!$E$6:$E$505),0))</f>
        <v/>
      </c>
    </row>
    <row r="114" customFormat="false" ht="15" hidden="false" customHeight="false" outlineLevel="0" collapsed="false">
      <c r="A114" s="21"/>
      <c r="B114" s="21"/>
      <c r="C114" s="21"/>
      <c r="D114" s="21"/>
      <c r="E114" s="21"/>
      <c r="F114" s="21"/>
      <c r="G114" s="21"/>
      <c r="H114" s="21"/>
      <c r="I114" s="21"/>
      <c r="J114" s="21"/>
      <c r="K114" s="21"/>
      <c r="L114" s="21"/>
      <c r="M114" s="22"/>
      <c r="N114" s="20"/>
      <c r="O114" s="20"/>
      <c r="P114" s="21"/>
      <c r="Q114" s="21"/>
      <c r="R114" s="20"/>
      <c r="S114" s="20"/>
      <c r="T114" s="21"/>
      <c r="U114" s="21"/>
      <c r="V114" s="9" t="str">
        <f aca="false">IF(A114="","",SUMIFS(CONFIG!$F$5:$F$26,CONFIG!$D$5:$D$26,"Tipo de persona",CONFIG!$E$5:$E$26,C114)+SUMIFS(CONFIG!$F$5:$F$26,CONFIG!$D$5:$D$26,"Residencia",CONFIG!$E$5:$E$26,E114)+SUMIFS(CONFIG!$F$5:$F$26,CONFIG!$D$5:$D$26,"Nacionalidad",CONFIG!$E$5:$E$26,F114)+SUMIFS(CONFIG!$F$5:$F$26,CONFIG!$D$5:$D$26,"Jurisdicción de riesgo",CONFIG!$E$5:$E$26,G114)+SUMIFS(CONFIG!$F$5:$F$26,CONFIG!$D$5:$D$26,"PEP",CONFIG!$E$5:$E$26,H114)+SUMIFS(CONFIG!$F$5:$F$26,CONFIG!$D$5:$D$26,"En listas",CONFIG!$E$5:$E$26,I114)+SUMIFS(CONFIG!$F$5:$F$26,CONFIG!$D$5:$D$26,"Riesgo de su actividad económica",CONFIG!$E$5:$E$26,J114)+SUMIFS(CONFIG!$F$5:$F$26,CONFIG!$D$5:$D$26,"Canal",CONFIG!$E$5:$E$26,K114)+SUMIFS(CONFIG!$F$5:$F$26,CONFIG!$D$5:$D$26,"Origen de recursos documentado",CONFIG!$E$5:$E$26,L114))</f>
        <v/>
      </c>
      <c r="W114" s="9" t="str">
        <f aca="false">IF(A114="","",IF(SUMIF(OPERACIONES!$C$6:$C$505,A114,OPERACIONES!$E$6:$E$505)&gt;0,IF(SUMIF(OPERACIONES!$C$6:$C$505,A114,OPERACIONES!$F$6:$F$505)/SUMIF(OPERACIONES!$C$6:$C$505,A114,OPERACIONES!$E$6:$E$505)&gt;0.5,CONFIG!$B$20,IF(SUMIF(OPERACIONES!$C$6:$C$505,A114,OPERACIONES!$F$6:$F$505)&gt;0,CONFIG!$B$21,0)),0)+IF(COUNTIFS(OPERACIONES!$C$6:$C$505,A114,OPERACIONES!$AQ$6:$AQ$505,1)&gt;0,CONFIG!$B$22,0)+IF(COUNTIFS(OPERACIONES!$C$6:$C$505,A114,OPERACIONES!$H$6:$H$505,"Sí")&gt;0,CONFIG!$B$23,0))</f>
        <v/>
      </c>
      <c r="X114" s="9" t="str">
        <f aca="false">IF(A114="","",V114+W114)</f>
        <v/>
      </c>
      <c r="Y114" s="9" t="str">
        <f aca="false">IF(A114="","",IF(X114&lt;=CONFIG!$B$13,"Bajo",IF(X114&lt;=CONFIG!$B$14,"Medio","Alto")))</f>
        <v/>
      </c>
      <c r="Z114" s="25" t="str">
        <f aca="false">IF(A114="","",IF(OR(H114="Extranjera",AND(E114="No residente",G114="Sí"),I114="Sí"),"Alto",IF(T114&lt;&gt;"",T114,Y114)))</f>
        <v/>
      </c>
      <c r="AA114" s="26" t="str">
        <f aca="false">IF(A114="","",IF(H114="Extranjera","Alto obligatorio: PEP extranjera (RCG 23 Bis 4)",IF(AND(E114="No residente",G114="Sí"),"Alto obligatorio: no residente vinculado a jurisdicción de riesgo (RCG 23 Bis 4)",IF(I114="Sí","Alto por criterio: persona en listas. Evalúa no operar y Aviso de 24 h",IF(T114&lt;&gt;"","Ajuste del REC: "&amp;U114,"Modelo: "&amp;X114&amp;" puntos")))))</f>
        <v/>
      </c>
      <c r="AB114" s="23" t="str">
        <f aca="false">IF(A114="","",IF(COUNT(N114,O114)=0,"Falta fecha",EDATE(MAX(N114,O114),IF(Z114="Alto",CONFIG!$B$18,IF(Z114="Medio",CONFIG!$B$17,CONFIG!$B$16)))))</f>
        <v/>
      </c>
      <c r="AC114" s="23" t="str">
        <f aca="false">IF(A114="","",IF(ISNUMBER(S114),EDATE(S114,12),IF(ISNUMBER(N114),EDATE(N114,12),"Falta fecha")))</f>
        <v/>
      </c>
      <c r="AD114" s="26" t="str">
        <f aca="false">IF(A114="","",MID(IF(P114&lt;&gt;"Sí"," · Expediente incompleto","")&amp;IF(OR(Q114="",Q114="Pendiente")," · Falta el Beneficiario Controlador","")&amp;IF(M114=""," · Sin perfil transaccional","")&amp;IF(AND(ISNUMBER(AB114),AB114&lt;CONFIG!$B$6)," · Evaluación de riesgo vencida","")&amp;IF(AND(ISNUMBER(AC114),AC114&lt;CONFIG!$B$6)," · Verificación anual vencida","")&amp;IF(AND(ISNUMBER(R114),ISNUMBER(S114),S114-R114&gt;92)," · Comprobante de domicilio con más de 3 meses","")&amp;IF(AND(T114&lt;&gt;"",U114="")," · Ajuste del REC sin justificación",""),4,400))</f>
        <v/>
      </c>
      <c r="AE114" s="9" t="str">
        <f aca="false">IF(A114="","",IF(AD114="","Al día","Revisar"))</f>
        <v/>
      </c>
      <c r="AF114" s="9" t="str">
        <f aca="false">IF(A114="","",COUNTIF(OPERACIONES!$C$6:$C$505,A114)&amp;" / $"&amp;FIXED(SUMIF(OPERACIONES!$C$6:$C$505,A114,OPERACIONES!$E$6:$E$505),0))</f>
        <v/>
      </c>
    </row>
    <row r="115" customFormat="false" ht="15" hidden="false" customHeight="false" outlineLevel="0" collapsed="false">
      <c r="A115" s="21"/>
      <c r="B115" s="21"/>
      <c r="C115" s="21"/>
      <c r="D115" s="21"/>
      <c r="E115" s="21"/>
      <c r="F115" s="21"/>
      <c r="G115" s="21"/>
      <c r="H115" s="21"/>
      <c r="I115" s="21"/>
      <c r="J115" s="21"/>
      <c r="K115" s="21"/>
      <c r="L115" s="21"/>
      <c r="M115" s="22"/>
      <c r="N115" s="20"/>
      <c r="O115" s="20"/>
      <c r="P115" s="21"/>
      <c r="Q115" s="21"/>
      <c r="R115" s="20"/>
      <c r="S115" s="20"/>
      <c r="T115" s="21"/>
      <c r="U115" s="21"/>
      <c r="V115" s="9" t="str">
        <f aca="false">IF(A115="","",SUMIFS(CONFIG!$F$5:$F$26,CONFIG!$D$5:$D$26,"Tipo de persona",CONFIG!$E$5:$E$26,C115)+SUMIFS(CONFIG!$F$5:$F$26,CONFIG!$D$5:$D$26,"Residencia",CONFIG!$E$5:$E$26,E115)+SUMIFS(CONFIG!$F$5:$F$26,CONFIG!$D$5:$D$26,"Nacionalidad",CONFIG!$E$5:$E$26,F115)+SUMIFS(CONFIG!$F$5:$F$26,CONFIG!$D$5:$D$26,"Jurisdicción de riesgo",CONFIG!$E$5:$E$26,G115)+SUMIFS(CONFIG!$F$5:$F$26,CONFIG!$D$5:$D$26,"PEP",CONFIG!$E$5:$E$26,H115)+SUMIFS(CONFIG!$F$5:$F$26,CONFIG!$D$5:$D$26,"En listas",CONFIG!$E$5:$E$26,I115)+SUMIFS(CONFIG!$F$5:$F$26,CONFIG!$D$5:$D$26,"Riesgo de su actividad económica",CONFIG!$E$5:$E$26,J115)+SUMIFS(CONFIG!$F$5:$F$26,CONFIG!$D$5:$D$26,"Canal",CONFIG!$E$5:$E$26,K115)+SUMIFS(CONFIG!$F$5:$F$26,CONFIG!$D$5:$D$26,"Origen de recursos documentado",CONFIG!$E$5:$E$26,L115))</f>
        <v/>
      </c>
      <c r="W115" s="9" t="str">
        <f aca="false">IF(A115="","",IF(SUMIF(OPERACIONES!$C$6:$C$505,A115,OPERACIONES!$E$6:$E$505)&gt;0,IF(SUMIF(OPERACIONES!$C$6:$C$505,A115,OPERACIONES!$F$6:$F$505)/SUMIF(OPERACIONES!$C$6:$C$505,A115,OPERACIONES!$E$6:$E$505)&gt;0.5,CONFIG!$B$20,IF(SUMIF(OPERACIONES!$C$6:$C$505,A115,OPERACIONES!$F$6:$F$505)&gt;0,CONFIG!$B$21,0)),0)+IF(COUNTIFS(OPERACIONES!$C$6:$C$505,A115,OPERACIONES!$AQ$6:$AQ$505,1)&gt;0,CONFIG!$B$22,0)+IF(COUNTIFS(OPERACIONES!$C$6:$C$505,A115,OPERACIONES!$H$6:$H$505,"Sí")&gt;0,CONFIG!$B$23,0))</f>
        <v/>
      </c>
      <c r="X115" s="9" t="str">
        <f aca="false">IF(A115="","",V115+W115)</f>
        <v/>
      </c>
      <c r="Y115" s="9" t="str">
        <f aca="false">IF(A115="","",IF(X115&lt;=CONFIG!$B$13,"Bajo",IF(X115&lt;=CONFIG!$B$14,"Medio","Alto")))</f>
        <v/>
      </c>
      <c r="Z115" s="25" t="str">
        <f aca="false">IF(A115="","",IF(OR(H115="Extranjera",AND(E115="No residente",G115="Sí"),I115="Sí"),"Alto",IF(T115&lt;&gt;"",T115,Y115)))</f>
        <v/>
      </c>
      <c r="AA115" s="26" t="str">
        <f aca="false">IF(A115="","",IF(H115="Extranjera","Alto obligatorio: PEP extranjera (RCG 23 Bis 4)",IF(AND(E115="No residente",G115="Sí"),"Alto obligatorio: no residente vinculado a jurisdicción de riesgo (RCG 23 Bis 4)",IF(I115="Sí","Alto por criterio: persona en listas. Evalúa no operar y Aviso de 24 h",IF(T115&lt;&gt;"","Ajuste del REC: "&amp;U115,"Modelo: "&amp;X115&amp;" puntos")))))</f>
        <v/>
      </c>
      <c r="AB115" s="23" t="str">
        <f aca="false">IF(A115="","",IF(COUNT(N115,O115)=0,"Falta fecha",EDATE(MAX(N115,O115),IF(Z115="Alto",CONFIG!$B$18,IF(Z115="Medio",CONFIG!$B$17,CONFIG!$B$16)))))</f>
        <v/>
      </c>
      <c r="AC115" s="23" t="str">
        <f aca="false">IF(A115="","",IF(ISNUMBER(S115),EDATE(S115,12),IF(ISNUMBER(N115),EDATE(N115,12),"Falta fecha")))</f>
        <v/>
      </c>
      <c r="AD115" s="26" t="str">
        <f aca="false">IF(A115="","",MID(IF(P115&lt;&gt;"Sí"," · Expediente incompleto","")&amp;IF(OR(Q115="",Q115="Pendiente")," · Falta el Beneficiario Controlador","")&amp;IF(M115=""," · Sin perfil transaccional","")&amp;IF(AND(ISNUMBER(AB115),AB115&lt;CONFIG!$B$6)," · Evaluación de riesgo vencida","")&amp;IF(AND(ISNUMBER(AC115),AC115&lt;CONFIG!$B$6)," · Verificación anual vencida","")&amp;IF(AND(ISNUMBER(R115),ISNUMBER(S115),S115-R115&gt;92)," · Comprobante de domicilio con más de 3 meses","")&amp;IF(AND(T115&lt;&gt;"",U115="")," · Ajuste del REC sin justificación",""),4,400))</f>
        <v/>
      </c>
      <c r="AE115" s="9" t="str">
        <f aca="false">IF(A115="","",IF(AD115="","Al día","Revisar"))</f>
        <v/>
      </c>
      <c r="AF115" s="9" t="str">
        <f aca="false">IF(A115="","",COUNTIF(OPERACIONES!$C$6:$C$505,A115)&amp;" / $"&amp;FIXED(SUMIF(OPERACIONES!$C$6:$C$505,A115,OPERACIONES!$E$6:$E$505),0))</f>
        <v/>
      </c>
    </row>
    <row r="116" customFormat="false" ht="15" hidden="false" customHeight="false" outlineLevel="0" collapsed="false">
      <c r="A116" s="21"/>
      <c r="B116" s="21"/>
      <c r="C116" s="21"/>
      <c r="D116" s="21"/>
      <c r="E116" s="21"/>
      <c r="F116" s="21"/>
      <c r="G116" s="21"/>
      <c r="H116" s="21"/>
      <c r="I116" s="21"/>
      <c r="J116" s="21"/>
      <c r="K116" s="21"/>
      <c r="L116" s="21"/>
      <c r="M116" s="22"/>
      <c r="N116" s="20"/>
      <c r="O116" s="20"/>
      <c r="P116" s="21"/>
      <c r="Q116" s="21"/>
      <c r="R116" s="20"/>
      <c r="S116" s="20"/>
      <c r="T116" s="21"/>
      <c r="U116" s="21"/>
      <c r="V116" s="9" t="str">
        <f aca="false">IF(A116="","",SUMIFS(CONFIG!$F$5:$F$26,CONFIG!$D$5:$D$26,"Tipo de persona",CONFIG!$E$5:$E$26,C116)+SUMIFS(CONFIG!$F$5:$F$26,CONFIG!$D$5:$D$26,"Residencia",CONFIG!$E$5:$E$26,E116)+SUMIFS(CONFIG!$F$5:$F$26,CONFIG!$D$5:$D$26,"Nacionalidad",CONFIG!$E$5:$E$26,F116)+SUMIFS(CONFIG!$F$5:$F$26,CONFIG!$D$5:$D$26,"Jurisdicción de riesgo",CONFIG!$E$5:$E$26,G116)+SUMIFS(CONFIG!$F$5:$F$26,CONFIG!$D$5:$D$26,"PEP",CONFIG!$E$5:$E$26,H116)+SUMIFS(CONFIG!$F$5:$F$26,CONFIG!$D$5:$D$26,"En listas",CONFIG!$E$5:$E$26,I116)+SUMIFS(CONFIG!$F$5:$F$26,CONFIG!$D$5:$D$26,"Riesgo de su actividad económica",CONFIG!$E$5:$E$26,J116)+SUMIFS(CONFIG!$F$5:$F$26,CONFIG!$D$5:$D$26,"Canal",CONFIG!$E$5:$E$26,K116)+SUMIFS(CONFIG!$F$5:$F$26,CONFIG!$D$5:$D$26,"Origen de recursos documentado",CONFIG!$E$5:$E$26,L116))</f>
        <v/>
      </c>
      <c r="W116" s="9" t="str">
        <f aca="false">IF(A116="","",IF(SUMIF(OPERACIONES!$C$6:$C$505,A116,OPERACIONES!$E$6:$E$505)&gt;0,IF(SUMIF(OPERACIONES!$C$6:$C$505,A116,OPERACIONES!$F$6:$F$505)/SUMIF(OPERACIONES!$C$6:$C$505,A116,OPERACIONES!$E$6:$E$505)&gt;0.5,CONFIG!$B$20,IF(SUMIF(OPERACIONES!$C$6:$C$505,A116,OPERACIONES!$F$6:$F$505)&gt;0,CONFIG!$B$21,0)),0)+IF(COUNTIFS(OPERACIONES!$C$6:$C$505,A116,OPERACIONES!$AQ$6:$AQ$505,1)&gt;0,CONFIG!$B$22,0)+IF(COUNTIFS(OPERACIONES!$C$6:$C$505,A116,OPERACIONES!$H$6:$H$505,"Sí")&gt;0,CONFIG!$B$23,0))</f>
        <v/>
      </c>
      <c r="X116" s="9" t="str">
        <f aca="false">IF(A116="","",V116+W116)</f>
        <v/>
      </c>
      <c r="Y116" s="9" t="str">
        <f aca="false">IF(A116="","",IF(X116&lt;=CONFIG!$B$13,"Bajo",IF(X116&lt;=CONFIG!$B$14,"Medio","Alto")))</f>
        <v/>
      </c>
      <c r="Z116" s="25" t="str">
        <f aca="false">IF(A116="","",IF(OR(H116="Extranjera",AND(E116="No residente",G116="Sí"),I116="Sí"),"Alto",IF(T116&lt;&gt;"",T116,Y116)))</f>
        <v/>
      </c>
      <c r="AA116" s="26" t="str">
        <f aca="false">IF(A116="","",IF(H116="Extranjera","Alto obligatorio: PEP extranjera (RCG 23 Bis 4)",IF(AND(E116="No residente",G116="Sí"),"Alto obligatorio: no residente vinculado a jurisdicción de riesgo (RCG 23 Bis 4)",IF(I116="Sí","Alto por criterio: persona en listas. Evalúa no operar y Aviso de 24 h",IF(T116&lt;&gt;"","Ajuste del REC: "&amp;U116,"Modelo: "&amp;X116&amp;" puntos")))))</f>
        <v/>
      </c>
      <c r="AB116" s="23" t="str">
        <f aca="false">IF(A116="","",IF(COUNT(N116,O116)=0,"Falta fecha",EDATE(MAX(N116,O116),IF(Z116="Alto",CONFIG!$B$18,IF(Z116="Medio",CONFIG!$B$17,CONFIG!$B$16)))))</f>
        <v/>
      </c>
      <c r="AC116" s="23" t="str">
        <f aca="false">IF(A116="","",IF(ISNUMBER(S116),EDATE(S116,12),IF(ISNUMBER(N116),EDATE(N116,12),"Falta fecha")))</f>
        <v/>
      </c>
      <c r="AD116" s="26" t="str">
        <f aca="false">IF(A116="","",MID(IF(P116&lt;&gt;"Sí"," · Expediente incompleto","")&amp;IF(OR(Q116="",Q116="Pendiente")," · Falta el Beneficiario Controlador","")&amp;IF(M116=""," · Sin perfil transaccional","")&amp;IF(AND(ISNUMBER(AB116),AB116&lt;CONFIG!$B$6)," · Evaluación de riesgo vencida","")&amp;IF(AND(ISNUMBER(AC116),AC116&lt;CONFIG!$B$6)," · Verificación anual vencida","")&amp;IF(AND(ISNUMBER(R116),ISNUMBER(S116),S116-R116&gt;92)," · Comprobante de domicilio con más de 3 meses","")&amp;IF(AND(T116&lt;&gt;"",U116="")," · Ajuste del REC sin justificación",""),4,400))</f>
        <v/>
      </c>
      <c r="AE116" s="9" t="str">
        <f aca="false">IF(A116="","",IF(AD116="","Al día","Revisar"))</f>
        <v/>
      </c>
      <c r="AF116" s="9" t="str">
        <f aca="false">IF(A116="","",COUNTIF(OPERACIONES!$C$6:$C$505,A116)&amp;" / $"&amp;FIXED(SUMIF(OPERACIONES!$C$6:$C$505,A116,OPERACIONES!$E$6:$E$505),0))</f>
        <v/>
      </c>
    </row>
    <row r="117" customFormat="false" ht="15" hidden="false" customHeight="false" outlineLevel="0" collapsed="false">
      <c r="A117" s="21"/>
      <c r="B117" s="21"/>
      <c r="C117" s="21"/>
      <c r="D117" s="21"/>
      <c r="E117" s="21"/>
      <c r="F117" s="21"/>
      <c r="G117" s="21"/>
      <c r="H117" s="21"/>
      <c r="I117" s="21"/>
      <c r="J117" s="21"/>
      <c r="K117" s="21"/>
      <c r="L117" s="21"/>
      <c r="M117" s="22"/>
      <c r="N117" s="20"/>
      <c r="O117" s="20"/>
      <c r="P117" s="21"/>
      <c r="Q117" s="21"/>
      <c r="R117" s="20"/>
      <c r="S117" s="20"/>
      <c r="T117" s="21"/>
      <c r="U117" s="21"/>
      <c r="V117" s="9" t="str">
        <f aca="false">IF(A117="","",SUMIFS(CONFIG!$F$5:$F$26,CONFIG!$D$5:$D$26,"Tipo de persona",CONFIG!$E$5:$E$26,C117)+SUMIFS(CONFIG!$F$5:$F$26,CONFIG!$D$5:$D$26,"Residencia",CONFIG!$E$5:$E$26,E117)+SUMIFS(CONFIG!$F$5:$F$26,CONFIG!$D$5:$D$26,"Nacionalidad",CONFIG!$E$5:$E$26,F117)+SUMIFS(CONFIG!$F$5:$F$26,CONFIG!$D$5:$D$26,"Jurisdicción de riesgo",CONFIG!$E$5:$E$26,G117)+SUMIFS(CONFIG!$F$5:$F$26,CONFIG!$D$5:$D$26,"PEP",CONFIG!$E$5:$E$26,H117)+SUMIFS(CONFIG!$F$5:$F$26,CONFIG!$D$5:$D$26,"En listas",CONFIG!$E$5:$E$26,I117)+SUMIFS(CONFIG!$F$5:$F$26,CONFIG!$D$5:$D$26,"Riesgo de su actividad económica",CONFIG!$E$5:$E$26,J117)+SUMIFS(CONFIG!$F$5:$F$26,CONFIG!$D$5:$D$26,"Canal",CONFIG!$E$5:$E$26,K117)+SUMIFS(CONFIG!$F$5:$F$26,CONFIG!$D$5:$D$26,"Origen de recursos documentado",CONFIG!$E$5:$E$26,L117))</f>
        <v/>
      </c>
      <c r="W117" s="9" t="str">
        <f aca="false">IF(A117="","",IF(SUMIF(OPERACIONES!$C$6:$C$505,A117,OPERACIONES!$E$6:$E$505)&gt;0,IF(SUMIF(OPERACIONES!$C$6:$C$505,A117,OPERACIONES!$F$6:$F$505)/SUMIF(OPERACIONES!$C$6:$C$505,A117,OPERACIONES!$E$6:$E$505)&gt;0.5,CONFIG!$B$20,IF(SUMIF(OPERACIONES!$C$6:$C$505,A117,OPERACIONES!$F$6:$F$505)&gt;0,CONFIG!$B$21,0)),0)+IF(COUNTIFS(OPERACIONES!$C$6:$C$505,A117,OPERACIONES!$AQ$6:$AQ$505,1)&gt;0,CONFIG!$B$22,0)+IF(COUNTIFS(OPERACIONES!$C$6:$C$505,A117,OPERACIONES!$H$6:$H$505,"Sí")&gt;0,CONFIG!$B$23,0))</f>
        <v/>
      </c>
      <c r="X117" s="9" t="str">
        <f aca="false">IF(A117="","",V117+W117)</f>
        <v/>
      </c>
      <c r="Y117" s="9" t="str">
        <f aca="false">IF(A117="","",IF(X117&lt;=CONFIG!$B$13,"Bajo",IF(X117&lt;=CONFIG!$B$14,"Medio","Alto")))</f>
        <v/>
      </c>
      <c r="Z117" s="25" t="str">
        <f aca="false">IF(A117="","",IF(OR(H117="Extranjera",AND(E117="No residente",G117="Sí"),I117="Sí"),"Alto",IF(T117&lt;&gt;"",T117,Y117)))</f>
        <v/>
      </c>
      <c r="AA117" s="26" t="str">
        <f aca="false">IF(A117="","",IF(H117="Extranjera","Alto obligatorio: PEP extranjera (RCG 23 Bis 4)",IF(AND(E117="No residente",G117="Sí"),"Alto obligatorio: no residente vinculado a jurisdicción de riesgo (RCG 23 Bis 4)",IF(I117="Sí","Alto por criterio: persona en listas. Evalúa no operar y Aviso de 24 h",IF(T117&lt;&gt;"","Ajuste del REC: "&amp;U117,"Modelo: "&amp;X117&amp;" puntos")))))</f>
        <v/>
      </c>
      <c r="AB117" s="23" t="str">
        <f aca="false">IF(A117="","",IF(COUNT(N117,O117)=0,"Falta fecha",EDATE(MAX(N117,O117),IF(Z117="Alto",CONFIG!$B$18,IF(Z117="Medio",CONFIG!$B$17,CONFIG!$B$16)))))</f>
        <v/>
      </c>
      <c r="AC117" s="23" t="str">
        <f aca="false">IF(A117="","",IF(ISNUMBER(S117),EDATE(S117,12),IF(ISNUMBER(N117),EDATE(N117,12),"Falta fecha")))</f>
        <v/>
      </c>
      <c r="AD117" s="26" t="str">
        <f aca="false">IF(A117="","",MID(IF(P117&lt;&gt;"Sí"," · Expediente incompleto","")&amp;IF(OR(Q117="",Q117="Pendiente")," · Falta el Beneficiario Controlador","")&amp;IF(M117=""," · Sin perfil transaccional","")&amp;IF(AND(ISNUMBER(AB117),AB117&lt;CONFIG!$B$6)," · Evaluación de riesgo vencida","")&amp;IF(AND(ISNUMBER(AC117),AC117&lt;CONFIG!$B$6)," · Verificación anual vencida","")&amp;IF(AND(ISNUMBER(R117),ISNUMBER(S117),S117-R117&gt;92)," · Comprobante de domicilio con más de 3 meses","")&amp;IF(AND(T117&lt;&gt;"",U117="")," · Ajuste del REC sin justificación",""),4,400))</f>
        <v/>
      </c>
      <c r="AE117" s="9" t="str">
        <f aca="false">IF(A117="","",IF(AD117="","Al día","Revisar"))</f>
        <v/>
      </c>
      <c r="AF117" s="9" t="str">
        <f aca="false">IF(A117="","",COUNTIF(OPERACIONES!$C$6:$C$505,A117)&amp;" / $"&amp;FIXED(SUMIF(OPERACIONES!$C$6:$C$505,A117,OPERACIONES!$E$6:$E$505),0))</f>
        <v/>
      </c>
    </row>
    <row r="118" customFormat="false" ht="15" hidden="false" customHeight="false" outlineLevel="0" collapsed="false">
      <c r="A118" s="21"/>
      <c r="B118" s="21"/>
      <c r="C118" s="21"/>
      <c r="D118" s="21"/>
      <c r="E118" s="21"/>
      <c r="F118" s="21"/>
      <c r="G118" s="21"/>
      <c r="H118" s="21"/>
      <c r="I118" s="21"/>
      <c r="J118" s="21"/>
      <c r="K118" s="21"/>
      <c r="L118" s="21"/>
      <c r="M118" s="22"/>
      <c r="N118" s="20"/>
      <c r="O118" s="20"/>
      <c r="P118" s="21"/>
      <c r="Q118" s="21"/>
      <c r="R118" s="20"/>
      <c r="S118" s="20"/>
      <c r="T118" s="21"/>
      <c r="U118" s="21"/>
      <c r="V118" s="9" t="str">
        <f aca="false">IF(A118="","",SUMIFS(CONFIG!$F$5:$F$26,CONFIG!$D$5:$D$26,"Tipo de persona",CONFIG!$E$5:$E$26,C118)+SUMIFS(CONFIG!$F$5:$F$26,CONFIG!$D$5:$D$26,"Residencia",CONFIG!$E$5:$E$26,E118)+SUMIFS(CONFIG!$F$5:$F$26,CONFIG!$D$5:$D$26,"Nacionalidad",CONFIG!$E$5:$E$26,F118)+SUMIFS(CONFIG!$F$5:$F$26,CONFIG!$D$5:$D$26,"Jurisdicción de riesgo",CONFIG!$E$5:$E$26,G118)+SUMIFS(CONFIG!$F$5:$F$26,CONFIG!$D$5:$D$26,"PEP",CONFIG!$E$5:$E$26,H118)+SUMIFS(CONFIG!$F$5:$F$26,CONFIG!$D$5:$D$26,"En listas",CONFIG!$E$5:$E$26,I118)+SUMIFS(CONFIG!$F$5:$F$26,CONFIG!$D$5:$D$26,"Riesgo de su actividad económica",CONFIG!$E$5:$E$26,J118)+SUMIFS(CONFIG!$F$5:$F$26,CONFIG!$D$5:$D$26,"Canal",CONFIG!$E$5:$E$26,K118)+SUMIFS(CONFIG!$F$5:$F$26,CONFIG!$D$5:$D$26,"Origen de recursos documentado",CONFIG!$E$5:$E$26,L118))</f>
        <v/>
      </c>
      <c r="W118" s="9" t="str">
        <f aca="false">IF(A118="","",IF(SUMIF(OPERACIONES!$C$6:$C$505,A118,OPERACIONES!$E$6:$E$505)&gt;0,IF(SUMIF(OPERACIONES!$C$6:$C$505,A118,OPERACIONES!$F$6:$F$505)/SUMIF(OPERACIONES!$C$6:$C$505,A118,OPERACIONES!$E$6:$E$505)&gt;0.5,CONFIG!$B$20,IF(SUMIF(OPERACIONES!$C$6:$C$505,A118,OPERACIONES!$F$6:$F$505)&gt;0,CONFIG!$B$21,0)),0)+IF(COUNTIFS(OPERACIONES!$C$6:$C$505,A118,OPERACIONES!$AQ$6:$AQ$505,1)&gt;0,CONFIG!$B$22,0)+IF(COUNTIFS(OPERACIONES!$C$6:$C$505,A118,OPERACIONES!$H$6:$H$505,"Sí")&gt;0,CONFIG!$B$23,0))</f>
        <v/>
      </c>
      <c r="X118" s="9" t="str">
        <f aca="false">IF(A118="","",V118+W118)</f>
        <v/>
      </c>
      <c r="Y118" s="9" t="str">
        <f aca="false">IF(A118="","",IF(X118&lt;=CONFIG!$B$13,"Bajo",IF(X118&lt;=CONFIG!$B$14,"Medio","Alto")))</f>
        <v/>
      </c>
      <c r="Z118" s="25" t="str">
        <f aca="false">IF(A118="","",IF(OR(H118="Extranjera",AND(E118="No residente",G118="Sí"),I118="Sí"),"Alto",IF(T118&lt;&gt;"",T118,Y118)))</f>
        <v/>
      </c>
      <c r="AA118" s="26" t="str">
        <f aca="false">IF(A118="","",IF(H118="Extranjera","Alto obligatorio: PEP extranjera (RCG 23 Bis 4)",IF(AND(E118="No residente",G118="Sí"),"Alto obligatorio: no residente vinculado a jurisdicción de riesgo (RCG 23 Bis 4)",IF(I118="Sí","Alto por criterio: persona en listas. Evalúa no operar y Aviso de 24 h",IF(T118&lt;&gt;"","Ajuste del REC: "&amp;U118,"Modelo: "&amp;X118&amp;" puntos")))))</f>
        <v/>
      </c>
      <c r="AB118" s="23" t="str">
        <f aca="false">IF(A118="","",IF(COUNT(N118,O118)=0,"Falta fecha",EDATE(MAX(N118,O118),IF(Z118="Alto",CONFIG!$B$18,IF(Z118="Medio",CONFIG!$B$17,CONFIG!$B$16)))))</f>
        <v/>
      </c>
      <c r="AC118" s="23" t="str">
        <f aca="false">IF(A118="","",IF(ISNUMBER(S118),EDATE(S118,12),IF(ISNUMBER(N118),EDATE(N118,12),"Falta fecha")))</f>
        <v/>
      </c>
      <c r="AD118" s="26" t="str">
        <f aca="false">IF(A118="","",MID(IF(P118&lt;&gt;"Sí"," · Expediente incompleto","")&amp;IF(OR(Q118="",Q118="Pendiente")," · Falta el Beneficiario Controlador","")&amp;IF(M118=""," · Sin perfil transaccional","")&amp;IF(AND(ISNUMBER(AB118),AB118&lt;CONFIG!$B$6)," · Evaluación de riesgo vencida","")&amp;IF(AND(ISNUMBER(AC118),AC118&lt;CONFIG!$B$6)," · Verificación anual vencida","")&amp;IF(AND(ISNUMBER(R118),ISNUMBER(S118),S118-R118&gt;92)," · Comprobante de domicilio con más de 3 meses","")&amp;IF(AND(T118&lt;&gt;"",U118="")," · Ajuste del REC sin justificación",""),4,400))</f>
        <v/>
      </c>
      <c r="AE118" s="9" t="str">
        <f aca="false">IF(A118="","",IF(AD118="","Al día","Revisar"))</f>
        <v/>
      </c>
      <c r="AF118" s="9" t="str">
        <f aca="false">IF(A118="","",COUNTIF(OPERACIONES!$C$6:$C$505,A118)&amp;" / $"&amp;FIXED(SUMIF(OPERACIONES!$C$6:$C$505,A118,OPERACIONES!$E$6:$E$505),0))</f>
        <v/>
      </c>
    </row>
    <row r="119" customFormat="false" ht="15" hidden="false" customHeight="false" outlineLevel="0" collapsed="false">
      <c r="A119" s="21"/>
      <c r="B119" s="21"/>
      <c r="C119" s="21"/>
      <c r="D119" s="21"/>
      <c r="E119" s="21"/>
      <c r="F119" s="21"/>
      <c r="G119" s="21"/>
      <c r="H119" s="21"/>
      <c r="I119" s="21"/>
      <c r="J119" s="21"/>
      <c r="K119" s="21"/>
      <c r="L119" s="21"/>
      <c r="M119" s="22"/>
      <c r="N119" s="20"/>
      <c r="O119" s="20"/>
      <c r="P119" s="21"/>
      <c r="Q119" s="21"/>
      <c r="R119" s="20"/>
      <c r="S119" s="20"/>
      <c r="T119" s="21"/>
      <c r="U119" s="21"/>
      <c r="V119" s="9" t="str">
        <f aca="false">IF(A119="","",SUMIFS(CONFIG!$F$5:$F$26,CONFIG!$D$5:$D$26,"Tipo de persona",CONFIG!$E$5:$E$26,C119)+SUMIFS(CONFIG!$F$5:$F$26,CONFIG!$D$5:$D$26,"Residencia",CONFIG!$E$5:$E$26,E119)+SUMIFS(CONFIG!$F$5:$F$26,CONFIG!$D$5:$D$26,"Nacionalidad",CONFIG!$E$5:$E$26,F119)+SUMIFS(CONFIG!$F$5:$F$26,CONFIG!$D$5:$D$26,"Jurisdicción de riesgo",CONFIG!$E$5:$E$26,G119)+SUMIFS(CONFIG!$F$5:$F$26,CONFIG!$D$5:$D$26,"PEP",CONFIG!$E$5:$E$26,H119)+SUMIFS(CONFIG!$F$5:$F$26,CONFIG!$D$5:$D$26,"En listas",CONFIG!$E$5:$E$26,I119)+SUMIFS(CONFIG!$F$5:$F$26,CONFIG!$D$5:$D$26,"Riesgo de su actividad económica",CONFIG!$E$5:$E$26,J119)+SUMIFS(CONFIG!$F$5:$F$26,CONFIG!$D$5:$D$26,"Canal",CONFIG!$E$5:$E$26,K119)+SUMIFS(CONFIG!$F$5:$F$26,CONFIG!$D$5:$D$26,"Origen de recursos documentado",CONFIG!$E$5:$E$26,L119))</f>
        <v/>
      </c>
      <c r="W119" s="9" t="str">
        <f aca="false">IF(A119="","",IF(SUMIF(OPERACIONES!$C$6:$C$505,A119,OPERACIONES!$E$6:$E$505)&gt;0,IF(SUMIF(OPERACIONES!$C$6:$C$505,A119,OPERACIONES!$F$6:$F$505)/SUMIF(OPERACIONES!$C$6:$C$505,A119,OPERACIONES!$E$6:$E$505)&gt;0.5,CONFIG!$B$20,IF(SUMIF(OPERACIONES!$C$6:$C$505,A119,OPERACIONES!$F$6:$F$505)&gt;0,CONFIG!$B$21,0)),0)+IF(COUNTIFS(OPERACIONES!$C$6:$C$505,A119,OPERACIONES!$AQ$6:$AQ$505,1)&gt;0,CONFIG!$B$22,0)+IF(COUNTIFS(OPERACIONES!$C$6:$C$505,A119,OPERACIONES!$H$6:$H$505,"Sí")&gt;0,CONFIG!$B$23,0))</f>
        <v/>
      </c>
      <c r="X119" s="9" t="str">
        <f aca="false">IF(A119="","",V119+W119)</f>
        <v/>
      </c>
      <c r="Y119" s="9" t="str">
        <f aca="false">IF(A119="","",IF(X119&lt;=CONFIG!$B$13,"Bajo",IF(X119&lt;=CONFIG!$B$14,"Medio","Alto")))</f>
        <v/>
      </c>
      <c r="Z119" s="25" t="str">
        <f aca="false">IF(A119="","",IF(OR(H119="Extranjera",AND(E119="No residente",G119="Sí"),I119="Sí"),"Alto",IF(T119&lt;&gt;"",T119,Y119)))</f>
        <v/>
      </c>
      <c r="AA119" s="26" t="str">
        <f aca="false">IF(A119="","",IF(H119="Extranjera","Alto obligatorio: PEP extranjera (RCG 23 Bis 4)",IF(AND(E119="No residente",G119="Sí"),"Alto obligatorio: no residente vinculado a jurisdicción de riesgo (RCG 23 Bis 4)",IF(I119="Sí","Alto por criterio: persona en listas. Evalúa no operar y Aviso de 24 h",IF(T119&lt;&gt;"","Ajuste del REC: "&amp;U119,"Modelo: "&amp;X119&amp;" puntos")))))</f>
        <v/>
      </c>
      <c r="AB119" s="23" t="str">
        <f aca="false">IF(A119="","",IF(COUNT(N119,O119)=0,"Falta fecha",EDATE(MAX(N119,O119),IF(Z119="Alto",CONFIG!$B$18,IF(Z119="Medio",CONFIG!$B$17,CONFIG!$B$16)))))</f>
        <v/>
      </c>
      <c r="AC119" s="23" t="str">
        <f aca="false">IF(A119="","",IF(ISNUMBER(S119),EDATE(S119,12),IF(ISNUMBER(N119),EDATE(N119,12),"Falta fecha")))</f>
        <v/>
      </c>
      <c r="AD119" s="26" t="str">
        <f aca="false">IF(A119="","",MID(IF(P119&lt;&gt;"Sí"," · Expediente incompleto","")&amp;IF(OR(Q119="",Q119="Pendiente")," · Falta el Beneficiario Controlador","")&amp;IF(M119=""," · Sin perfil transaccional","")&amp;IF(AND(ISNUMBER(AB119),AB119&lt;CONFIG!$B$6)," · Evaluación de riesgo vencida","")&amp;IF(AND(ISNUMBER(AC119),AC119&lt;CONFIG!$B$6)," · Verificación anual vencida","")&amp;IF(AND(ISNUMBER(R119),ISNUMBER(S119),S119-R119&gt;92)," · Comprobante de domicilio con más de 3 meses","")&amp;IF(AND(T119&lt;&gt;"",U119="")," · Ajuste del REC sin justificación",""),4,400))</f>
        <v/>
      </c>
      <c r="AE119" s="9" t="str">
        <f aca="false">IF(A119="","",IF(AD119="","Al día","Revisar"))</f>
        <v/>
      </c>
      <c r="AF119" s="9" t="str">
        <f aca="false">IF(A119="","",COUNTIF(OPERACIONES!$C$6:$C$505,A119)&amp;" / $"&amp;FIXED(SUMIF(OPERACIONES!$C$6:$C$505,A119,OPERACIONES!$E$6:$E$505),0))</f>
        <v/>
      </c>
    </row>
    <row r="120" customFormat="false" ht="15" hidden="false" customHeight="false" outlineLevel="0" collapsed="false">
      <c r="A120" s="21"/>
      <c r="B120" s="21"/>
      <c r="C120" s="21"/>
      <c r="D120" s="21"/>
      <c r="E120" s="21"/>
      <c r="F120" s="21"/>
      <c r="G120" s="21"/>
      <c r="H120" s="21"/>
      <c r="I120" s="21"/>
      <c r="J120" s="21"/>
      <c r="K120" s="21"/>
      <c r="L120" s="21"/>
      <c r="M120" s="22"/>
      <c r="N120" s="20"/>
      <c r="O120" s="20"/>
      <c r="P120" s="21"/>
      <c r="Q120" s="21"/>
      <c r="R120" s="20"/>
      <c r="S120" s="20"/>
      <c r="T120" s="21"/>
      <c r="U120" s="21"/>
      <c r="V120" s="9" t="str">
        <f aca="false">IF(A120="","",SUMIFS(CONFIG!$F$5:$F$26,CONFIG!$D$5:$D$26,"Tipo de persona",CONFIG!$E$5:$E$26,C120)+SUMIFS(CONFIG!$F$5:$F$26,CONFIG!$D$5:$D$26,"Residencia",CONFIG!$E$5:$E$26,E120)+SUMIFS(CONFIG!$F$5:$F$26,CONFIG!$D$5:$D$26,"Nacionalidad",CONFIG!$E$5:$E$26,F120)+SUMIFS(CONFIG!$F$5:$F$26,CONFIG!$D$5:$D$26,"Jurisdicción de riesgo",CONFIG!$E$5:$E$26,G120)+SUMIFS(CONFIG!$F$5:$F$26,CONFIG!$D$5:$D$26,"PEP",CONFIG!$E$5:$E$26,H120)+SUMIFS(CONFIG!$F$5:$F$26,CONFIG!$D$5:$D$26,"En listas",CONFIG!$E$5:$E$26,I120)+SUMIFS(CONFIG!$F$5:$F$26,CONFIG!$D$5:$D$26,"Riesgo de su actividad económica",CONFIG!$E$5:$E$26,J120)+SUMIFS(CONFIG!$F$5:$F$26,CONFIG!$D$5:$D$26,"Canal",CONFIG!$E$5:$E$26,K120)+SUMIFS(CONFIG!$F$5:$F$26,CONFIG!$D$5:$D$26,"Origen de recursos documentado",CONFIG!$E$5:$E$26,L120))</f>
        <v/>
      </c>
      <c r="W120" s="9" t="str">
        <f aca="false">IF(A120="","",IF(SUMIF(OPERACIONES!$C$6:$C$505,A120,OPERACIONES!$E$6:$E$505)&gt;0,IF(SUMIF(OPERACIONES!$C$6:$C$505,A120,OPERACIONES!$F$6:$F$505)/SUMIF(OPERACIONES!$C$6:$C$505,A120,OPERACIONES!$E$6:$E$505)&gt;0.5,CONFIG!$B$20,IF(SUMIF(OPERACIONES!$C$6:$C$505,A120,OPERACIONES!$F$6:$F$505)&gt;0,CONFIG!$B$21,0)),0)+IF(COUNTIFS(OPERACIONES!$C$6:$C$505,A120,OPERACIONES!$AQ$6:$AQ$505,1)&gt;0,CONFIG!$B$22,0)+IF(COUNTIFS(OPERACIONES!$C$6:$C$505,A120,OPERACIONES!$H$6:$H$505,"Sí")&gt;0,CONFIG!$B$23,0))</f>
        <v/>
      </c>
      <c r="X120" s="9" t="str">
        <f aca="false">IF(A120="","",V120+W120)</f>
        <v/>
      </c>
      <c r="Y120" s="9" t="str">
        <f aca="false">IF(A120="","",IF(X120&lt;=CONFIG!$B$13,"Bajo",IF(X120&lt;=CONFIG!$B$14,"Medio","Alto")))</f>
        <v/>
      </c>
      <c r="Z120" s="25" t="str">
        <f aca="false">IF(A120="","",IF(OR(H120="Extranjera",AND(E120="No residente",G120="Sí"),I120="Sí"),"Alto",IF(T120&lt;&gt;"",T120,Y120)))</f>
        <v/>
      </c>
      <c r="AA120" s="26" t="str">
        <f aca="false">IF(A120="","",IF(H120="Extranjera","Alto obligatorio: PEP extranjera (RCG 23 Bis 4)",IF(AND(E120="No residente",G120="Sí"),"Alto obligatorio: no residente vinculado a jurisdicción de riesgo (RCG 23 Bis 4)",IF(I120="Sí","Alto por criterio: persona en listas. Evalúa no operar y Aviso de 24 h",IF(T120&lt;&gt;"","Ajuste del REC: "&amp;U120,"Modelo: "&amp;X120&amp;" puntos")))))</f>
        <v/>
      </c>
      <c r="AB120" s="23" t="str">
        <f aca="false">IF(A120="","",IF(COUNT(N120,O120)=0,"Falta fecha",EDATE(MAX(N120,O120),IF(Z120="Alto",CONFIG!$B$18,IF(Z120="Medio",CONFIG!$B$17,CONFIG!$B$16)))))</f>
        <v/>
      </c>
      <c r="AC120" s="23" t="str">
        <f aca="false">IF(A120="","",IF(ISNUMBER(S120),EDATE(S120,12),IF(ISNUMBER(N120),EDATE(N120,12),"Falta fecha")))</f>
        <v/>
      </c>
      <c r="AD120" s="26" t="str">
        <f aca="false">IF(A120="","",MID(IF(P120&lt;&gt;"Sí"," · Expediente incompleto","")&amp;IF(OR(Q120="",Q120="Pendiente")," · Falta el Beneficiario Controlador","")&amp;IF(M120=""," · Sin perfil transaccional","")&amp;IF(AND(ISNUMBER(AB120),AB120&lt;CONFIG!$B$6)," · Evaluación de riesgo vencida","")&amp;IF(AND(ISNUMBER(AC120),AC120&lt;CONFIG!$B$6)," · Verificación anual vencida","")&amp;IF(AND(ISNUMBER(R120),ISNUMBER(S120),S120-R120&gt;92)," · Comprobante de domicilio con más de 3 meses","")&amp;IF(AND(T120&lt;&gt;"",U120="")," · Ajuste del REC sin justificación",""),4,400))</f>
        <v/>
      </c>
      <c r="AE120" s="9" t="str">
        <f aca="false">IF(A120="","",IF(AD120="","Al día","Revisar"))</f>
        <v/>
      </c>
      <c r="AF120" s="9" t="str">
        <f aca="false">IF(A120="","",COUNTIF(OPERACIONES!$C$6:$C$505,A120)&amp;" / $"&amp;FIXED(SUMIF(OPERACIONES!$C$6:$C$505,A120,OPERACIONES!$E$6:$E$505),0))</f>
        <v/>
      </c>
    </row>
    <row r="121" customFormat="false" ht="15" hidden="false" customHeight="false" outlineLevel="0" collapsed="false">
      <c r="A121" s="21"/>
      <c r="B121" s="21"/>
      <c r="C121" s="21"/>
      <c r="D121" s="21"/>
      <c r="E121" s="21"/>
      <c r="F121" s="21"/>
      <c r="G121" s="21"/>
      <c r="H121" s="21"/>
      <c r="I121" s="21"/>
      <c r="J121" s="21"/>
      <c r="K121" s="21"/>
      <c r="L121" s="21"/>
      <c r="M121" s="22"/>
      <c r="N121" s="20"/>
      <c r="O121" s="20"/>
      <c r="P121" s="21"/>
      <c r="Q121" s="21"/>
      <c r="R121" s="20"/>
      <c r="S121" s="20"/>
      <c r="T121" s="21"/>
      <c r="U121" s="21"/>
      <c r="V121" s="9" t="str">
        <f aca="false">IF(A121="","",SUMIFS(CONFIG!$F$5:$F$26,CONFIG!$D$5:$D$26,"Tipo de persona",CONFIG!$E$5:$E$26,C121)+SUMIFS(CONFIG!$F$5:$F$26,CONFIG!$D$5:$D$26,"Residencia",CONFIG!$E$5:$E$26,E121)+SUMIFS(CONFIG!$F$5:$F$26,CONFIG!$D$5:$D$26,"Nacionalidad",CONFIG!$E$5:$E$26,F121)+SUMIFS(CONFIG!$F$5:$F$26,CONFIG!$D$5:$D$26,"Jurisdicción de riesgo",CONFIG!$E$5:$E$26,G121)+SUMIFS(CONFIG!$F$5:$F$26,CONFIG!$D$5:$D$26,"PEP",CONFIG!$E$5:$E$26,H121)+SUMIFS(CONFIG!$F$5:$F$26,CONFIG!$D$5:$D$26,"En listas",CONFIG!$E$5:$E$26,I121)+SUMIFS(CONFIG!$F$5:$F$26,CONFIG!$D$5:$D$26,"Riesgo de su actividad económica",CONFIG!$E$5:$E$26,J121)+SUMIFS(CONFIG!$F$5:$F$26,CONFIG!$D$5:$D$26,"Canal",CONFIG!$E$5:$E$26,K121)+SUMIFS(CONFIG!$F$5:$F$26,CONFIG!$D$5:$D$26,"Origen de recursos documentado",CONFIG!$E$5:$E$26,L121))</f>
        <v/>
      </c>
      <c r="W121" s="9" t="str">
        <f aca="false">IF(A121="","",IF(SUMIF(OPERACIONES!$C$6:$C$505,A121,OPERACIONES!$E$6:$E$505)&gt;0,IF(SUMIF(OPERACIONES!$C$6:$C$505,A121,OPERACIONES!$F$6:$F$505)/SUMIF(OPERACIONES!$C$6:$C$505,A121,OPERACIONES!$E$6:$E$505)&gt;0.5,CONFIG!$B$20,IF(SUMIF(OPERACIONES!$C$6:$C$505,A121,OPERACIONES!$F$6:$F$505)&gt;0,CONFIG!$B$21,0)),0)+IF(COUNTIFS(OPERACIONES!$C$6:$C$505,A121,OPERACIONES!$AQ$6:$AQ$505,1)&gt;0,CONFIG!$B$22,0)+IF(COUNTIFS(OPERACIONES!$C$6:$C$505,A121,OPERACIONES!$H$6:$H$505,"Sí")&gt;0,CONFIG!$B$23,0))</f>
        <v/>
      </c>
      <c r="X121" s="9" t="str">
        <f aca="false">IF(A121="","",V121+W121)</f>
        <v/>
      </c>
      <c r="Y121" s="9" t="str">
        <f aca="false">IF(A121="","",IF(X121&lt;=CONFIG!$B$13,"Bajo",IF(X121&lt;=CONFIG!$B$14,"Medio","Alto")))</f>
        <v/>
      </c>
      <c r="Z121" s="25" t="str">
        <f aca="false">IF(A121="","",IF(OR(H121="Extranjera",AND(E121="No residente",G121="Sí"),I121="Sí"),"Alto",IF(T121&lt;&gt;"",T121,Y121)))</f>
        <v/>
      </c>
      <c r="AA121" s="26" t="str">
        <f aca="false">IF(A121="","",IF(H121="Extranjera","Alto obligatorio: PEP extranjera (RCG 23 Bis 4)",IF(AND(E121="No residente",G121="Sí"),"Alto obligatorio: no residente vinculado a jurisdicción de riesgo (RCG 23 Bis 4)",IF(I121="Sí","Alto por criterio: persona en listas. Evalúa no operar y Aviso de 24 h",IF(T121&lt;&gt;"","Ajuste del REC: "&amp;U121,"Modelo: "&amp;X121&amp;" puntos")))))</f>
        <v/>
      </c>
      <c r="AB121" s="23" t="str">
        <f aca="false">IF(A121="","",IF(COUNT(N121,O121)=0,"Falta fecha",EDATE(MAX(N121,O121),IF(Z121="Alto",CONFIG!$B$18,IF(Z121="Medio",CONFIG!$B$17,CONFIG!$B$16)))))</f>
        <v/>
      </c>
      <c r="AC121" s="23" t="str">
        <f aca="false">IF(A121="","",IF(ISNUMBER(S121),EDATE(S121,12),IF(ISNUMBER(N121),EDATE(N121,12),"Falta fecha")))</f>
        <v/>
      </c>
      <c r="AD121" s="26" t="str">
        <f aca="false">IF(A121="","",MID(IF(P121&lt;&gt;"Sí"," · Expediente incompleto","")&amp;IF(OR(Q121="",Q121="Pendiente")," · Falta el Beneficiario Controlador","")&amp;IF(M121=""," · Sin perfil transaccional","")&amp;IF(AND(ISNUMBER(AB121),AB121&lt;CONFIG!$B$6)," · Evaluación de riesgo vencida","")&amp;IF(AND(ISNUMBER(AC121),AC121&lt;CONFIG!$B$6)," · Verificación anual vencida","")&amp;IF(AND(ISNUMBER(R121),ISNUMBER(S121),S121-R121&gt;92)," · Comprobante de domicilio con más de 3 meses","")&amp;IF(AND(T121&lt;&gt;"",U121="")," · Ajuste del REC sin justificación",""),4,400))</f>
        <v/>
      </c>
      <c r="AE121" s="9" t="str">
        <f aca="false">IF(A121="","",IF(AD121="","Al día","Revisar"))</f>
        <v/>
      </c>
      <c r="AF121" s="9" t="str">
        <f aca="false">IF(A121="","",COUNTIF(OPERACIONES!$C$6:$C$505,A121)&amp;" / $"&amp;FIXED(SUMIF(OPERACIONES!$C$6:$C$505,A121,OPERACIONES!$E$6:$E$505),0))</f>
        <v/>
      </c>
    </row>
    <row r="122" customFormat="false" ht="15" hidden="false" customHeight="false" outlineLevel="0" collapsed="false">
      <c r="A122" s="21"/>
      <c r="B122" s="21"/>
      <c r="C122" s="21"/>
      <c r="D122" s="21"/>
      <c r="E122" s="21"/>
      <c r="F122" s="21"/>
      <c r="G122" s="21"/>
      <c r="H122" s="21"/>
      <c r="I122" s="21"/>
      <c r="J122" s="21"/>
      <c r="K122" s="21"/>
      <c r="L122" s="21"/>
      <c r="M122" s="22"/>
      <c r="N122" s="20"/>
      <c r="O122" s="20"/>
      <c r="P122" s="21"/>
      <c r="Q122" s="21"/>
      <c r="R122" s="20"/>
      <c r="S122" s="20"/>
      <c r="T122" s="21"/>
      <c r="U122" s="21"/>
      <c r="V122" s="9" t="str">
        <f aca="false">IF(A122="","",SUMIFS(CONFIG!$F$5:$F$26,CONFIG!$D$5:$D$26,"Tipo de persona",CONFIG!$E$5:$E$26,C122)+SUMIFS(CONFIG!$F$5:$F$26,CONFIG!$D$5:$D$26,"Residencia",CONFIG!$E$5:$E$26,E122)+SUMIFS(CONFIG!$F$5:$F$26,CONFIG!$D$5:$D$26,"Nacionalidad",CONFIG!$E$5:$E$26,F122)+SUMIFS(CONFIG!$F$5:$F$26,CONFIG!$D$5:$D$26,"Jurisdicción de riesgo",CONFIG!$E$5:$E$26,G122)+SUMIFS(CONFIG!$F$5:$F$26,CONFIG!$D$5:$D$26,"PEP",CONFIG!$E$5:$E$26,H122)+SUMIFS(CONFIG!$F$5:$F$26,CONFIG!$D$5:$D$26,"En listas",CONFIG!$E$5:$E$26,I122)+SUMIFS(CONFIG!$F$5:$F$26,CONFIG!$D$5:$D$26,"Riesgo de su actividad económica",CONFIG!$E$5:$E$26,J122)+SUMIFS(CONFIG!$F$5:$F$26,CONFIG!$D$5:$D$26,"Canal",CONFIG!$E$5:$E$26,K122)+SUMIFS(CONFIG!$F$5:$F$26,CONFIG!$D$5:$D$26,"Origen de recursos documentado",CONFIG!$E$5:$E$26,L122))</f>
        <v/>
      </c>
      <c r="W122" s="9" t="str">
        <f aca="false">IF(A122="","",IF(SUMIF(OPERACIONES!$C$6:$C$505,A122,OPERACIONES!$E$6:$E$505)&gt;0,IF(SUMIF(OPERACIONES!$C$6:$C$505,A122,OPERACIONES!$F$6:$F$505)/SUMIF(OPERACIONES!$C$6:$C$505,A122,OPERACIONES!$E$6:$E$505)&gt;0.5,CONFIG!$B$20,IF(SUMIF(OPERACIONES!$C$6:$C$505,A122,OPERACIONES!$F$6:$F$505)&gt;0,CONFIG!$B$21,0)),0)+IF(COUNTIFS(OPERACIONES!$C$6:$C$505,A122,OPERACIONES!$AQ$6:$AQ$505,1)&gt;0,CONFIG!$B$22,0)+IF(COUNTIFS(OPERACIONES!$C$6:$C$505,A122,OPERACIONES!$H$6:$H$505,"Sí")&gt;0,CONFIG!$B$23,0))</f>
        <v/>
      </c>
      <c r="X122" s="9" t="str">
        <f aca="false">IF(A122="","",V122+W122)</f>
        <v/>
      </c>
      <c r="Y122" s="9" t="str">
        <f aca="false">IF(A122="","",IF(X122&lt;=CONFIG!$B$13,"Bajo",IF(X122&lt;=CONFIG!$B$14,"Medio","Alto")))</f>
        <v/>
      </c>
      <c r="Z122" s="25" t="str">
        <f aca="false">IF(A122="","",IF(OR(H122="Extranjera",AND(E122="No residente",G122="Sí"),I122="Sí"),"Alto",IF(T122&lt;&gt;"",T122,Y122)))</f>
        <v/>
      </c>
      <c r="AA122" s="26" t="str">
        <f aca="false">IF(A122="","",IF(H122="Extranjera","Alto obligatorio: PEP extranjera (RCG 23 Bis 4)",IF(AND(E122="No residente",G122="Sí"),"Alto obligatorio: no residente vinculado a jurisdicción de riesgo (RCG 23 Bis 4)",IF(I122="Sí","Alto por criterio: persona en listas. Evalúa no operar y Aviso de 24 h",IF(T122&lt;&gt;"","Ajuste del REC: "&amp;U122,"Modelo: "&amp;X122&amp;" puntos")))))</f>
        <v/>
      </c>
      <c r="AB122" s="23" t="str">
        <f aca="false">IF(A122="","",IF(COUNT(N122,O122)=0,"Falta fecha",EDATE(MAX(N122,O122),IF(Z122="Alto",CONFIG!$B$18,IF(Z122="Medio",CONFIG!$B$17,CONFIG!$B$16)))))</f>
        <v/>
      </c>
      <c r="AC122" s="23" t="str">
        <f aca="false">IF(A122="","",IF(ISNUMBER(S122),EDATE(S122,12),IF(ISNUMBER(N122),EDATE(N122,12),"Falta fecha")))</f>
        <v/>
      </c>
      <c r="AD122" s="26" t="str">
        <f aca="false">IF(A122="","",MID(IF(P122&lt;&gt;"Sí"," · Expediente incompleto","")&amp;IF(OR(Q122="",Q122="Pendiente")," · Falta el Beneficiario Controlador","")&amp;IF(M122=""," · Sin perfil transaccional","")&amp;IF(AND(ISNUMBER(AB122),AB122&lt;CONFIG!$B$6)," · Evaluación de riesgo vencida","")&amp;IF(AND(ISNUMBER(AC122),AC122&lt;CONFIG!$B$6)," · Verificación anual vencida","")&amp;IF(AND(ISNUMBER(R122),ISNUMBER(S122),S122-R122&gt;92)," · Comprobante de domicilio con más de 3 meses","")&amp;IF(AND(T122&lt;&gt;"",U122="")," · Ajuste del REC sin justificación",""),4,400))</f>
        <v/>
      </c>
      <c r="AE122" s="9" t="str">
        <f aca="false">IF(A122="","",IF(AD122="","Al día","Revisar"))</f>
        <v/>
      </c>
      <c r="AF122" s="9" t="str">
        <f aca="false">IF(A122="","",COUNTIF(OPERACIONES!$C$6:$C$505,A122)&amp;" / $"&amp;FIXED(SUMIF(OPERACIONES!$C$6:$C$505,A122,OPERACIONES!$E$6:$E$505),0))</f>
        <v/>
      </c>
    </row>
    <row r="123" customFormat="false" ht="15" hidden="false" customHeight="false" outlineLevel="0" collapsed="false">
      <c r="A123" s="21"/>
      <c r="B123" s="21"/>
      <c r="C123" s="21"/>
      <c r="D123" s="21"/>
      <c r="E123" s="21"/>
      <c r="F123" s="21"/>
      <c r="G123" s="21"/>
      <c r="H123" s="21"/>
      <c r="I123" s="21"/>
      <c r="J123" s="21"/>
      <c r="K123" s="21"/>
      <c r="L123" s="21"/>
      <c r="M123" s="22"/>
      <c r="N123" s="20"/>
      <c r="O123" s="20"/>
      <c r="P123" s="21"/>
      <c r="Q123" s="21"/>
      <c r="R123" s="20"/>
      <c r="S123" s="20"/>
      <c r="T123" s="21"/>
      <c r="U123" s="21"/>
      <c r="V123" s="9" t="str">
        <f aca="false">IF(A123="","",SUMIFS(CONFIG!$F$5:$F$26,CONFIG!$D$5:$D$26,"Tipo de persona",CONFIG!$E$5:$E$26,C123)+SUMIFS(CONFIG!$F$5:$F$26,CONFIG!$D$5:$D$26,"Residencia",CONFIG!$E$5:$E$26,E123)+SUMIFS(CONFIG!$F$5:$F$26,CONFIG!$D$5:$D$26,"Nacionalidad",CONFIG!$E$5:$E$26,F123)+SUMIFS(CONFIG!$F$5:$F$26,CONFIG!$D$5:$D$26,"Jurisdicción de riesgo",CONFIG!$E$5:$E$26,G123)+SUMIFS(CONFIG!$F$5:$F$26,CONFIG!$D$5:$D$26,"PEP",CONFIG!$E$5:$E$26,H123)+SUMIFS(CONFIG!$F$5:$F$26,CONFIG!$D$5:$D$26,"En listas",CONFIG!$E$5:$E$26,I123)+SUMIFS(CONFIG!$F$5:$F$26,CONFIG!$D$5:$D$26,"Riesgo de su actividad económica",CONFIG!$E$5:$E$26,J123)+SUMIFS(CONFIG!$F$5:$F$26,CONFIG!$D$5:$D$26,"Canal",CONFIG!$E$5:$E$26,K123)+SUMIFS(CONFIG!$F$5:$F$26,CONFIG!$D$5:$D$26,"Origen de recursos documentado",CONFIG!$E$5:$E$26,L123))</f>
        <v/>
      </c>
      <c r="W123" s="9" t="str">
        <f aca="false">IF(A123="","",IF(SUMIF(OPERACIONES!$C$6:$C$505,A123,OPERACIONES!$E$6:$E$505)&gt;0,IF(SUMIF(OPERACIONES!$C$6:$C$505,A123,OPERACIONES!$F$6:$F$505)/SUMIF(OPERACIONES!$C$6:$C$505,A123,OPERACIONES!$E$6:$E$505)&gt;0.5,CONFIG!$B$20,IF(SUMIF(OPERACIONES!$C$6:$C$505,A123,OPERACIONES!$F$6:$F$505)&gt;0,CONFIG!$B$21,0)),0)+IF(COUNTIFS(OPERACIONES!$C$6:$C$505,A123,OPERACIONES!$AQ$6:$AQ$505,1)&gt;0,CONFIG!$B$22,0)+IF(COUNTIFS(OPERACIONES!$C$6:$C$505,A123,OPERACIONES!$H$6:$H$505,"Sí")&gt;0,CONFIG!$B$23,0))</f>
        <v/>
      </c>
      <c r="X123" s="9" t="str">
        <f aca="false">IF(A123="","",V123+W123)</f>
        <v/>
      </c>
      <c r="Y123" s="9" t="str">
        <f aca="false">IF(A123="","",IF(X123&lt;=CONFIG!$B$13,"Bajo",IF(X123&lt;=CONFIG!$B$14,"Medio","Alto")))</f>
        <v/>
      </c>
      <c r="Z123" s="25" t="str">
        <f aca="false">IF(A123="","",IF(OR(H123="Extranjera",AND(E123="No residente",G123="Sí"),I123="Sí"),"Alto",IF(T123&lt;&gt;"",T123,Y123)))</f>
        <v/>
      </c>
      <c r="AA123" s="26" t="str">
        <f aca="false">IF(A123="","",IF(H123="Extranjera","Alto obligatorio: PEP extranjera (RCG 23 Bis 4)",IF(AND(E123="No residente",G123="Sí"),"Alto obligatorio: no residente vinculado a jurisdicción de riesgo (RCG 23 Bis 4)",IF(I123="Sí","Alto por criterio: persona en listas. Evalúa no operar y Aviso de 24 h",IF(T123&lt;&gt;"","Ajuste del REC: "&amp;U123,"Modelo: "&amp;X123&amp;" puntos")))))</f>
        <v/>
      </c>
      <c r="AB123" s="23" t="str">
        <f aca="false">IF(A123="","",IF(COUNT(N123,O123)=0,"Falta fecha",EDATE(MAX(N123,O123),IF(Z123="Alto",CONFIG!$B$18,IF(Z123="Medio",CONFIG!$B$17,CONFIG!$B$16)))))</f>
        <v/>
      </c>
      <c r="AC123" s="23" t="str">
        <f aca="false">IF(A123="","",IF(ISNUMBER(S123),EDATE(S123,12),IF(ISNUMBER(N123),EDATE(N123,12),"Falta fecha")))</f>
        <v/>
      </c>
      <c r="AD123" s="26" t="str">
        <f aca="false">IF(A123="","",MID(IF(P123&lt;&gt;"Sí"," · Expediente incompleto","")&amp;IF(OR(Q123="",Q123="Pendiente")," · Falta el Beneficiario Controlador","")&amp;IF(M123=""," · Sin perfil transaccional","")&amp;IF(AND(ISNUMBER(AB123),AB123&lt;CONFIG!$B$6)," · Evaluación de riesgo vencida","")&amp;IF(AND(ISNUMBER(AC123),AC123&lt;CONFIG!$B$6)," · Verificación anual vencida","")&amp;IF(AND(ISNUMBER(R123),ISNUMBER(S123),S123-R123&gt;92)," · Comprobante de domicilio con más de 3 meses","")&amp;IF(AND(T123&lt;&gt;"",U123="")," · Ajuste del REC sin justificación",""),4,400))</f>
        <v/>
      </c>
      <c r="AE123" s="9" t="str">
        <f aca="false">IF(A123="","",IF(AD123="","Al día","Revisar"))</f>
        <v/>
      </c>
      <c r="AF123" s="9" t="str">
        <f aca="false">IF(A123="","",COUNTIF(OPERACIONES!$C$6:$C$505,A123)&amp;" / $"&amp;FIXED(SUMIF(OPERACIONES!$C$6:$C$505,A123,OPERACIONES!$E$6:$E$505),0))</f>
        <v/>
      </c>
    </row>
    <row r="124" customFormat="false" ht="15" hidden="false" customHeight="false" outlineLevel="0" collapsed="false">
      <c r="A124" s="21"/>
      <c r="B124" s="21"/>
      <c r="C124" s="21"/>
      <c r="D124" s="21"/>
      <c r="E124" s="21"/>
      <c r="F124" s="21"/>
      <c r="G124" s="21"/>
      <c r="H124" s="21"/>
      <c r="I124" s="21"/>
      <c r="J124" s="21"/>
      <c r="K124" s="21"/>
      <c r="L124" s="21"/>
      <c r="M124" s="22"/>
      <c r="N124" s="20"/>
      <c r="O124" s="20"/>
      <c r="P124" s="21"/>
      <c r="Q124" s="21"/>
      <c r="R124" s="20"/>
      <c r="S124" s="20"/>
      <c r="T124" s="21"/>
      <c r="U124" s="21"/>
      <c r="V124" s="9" t="str">
        <f aca="false">IF(A124="","",SUMIFS(CONFIG!$F$5:$F$26,CONFIG!$D$5:$D$26,"Tipo de persona",CONFIG!$E$5:$E$26,C124)+SUMIFS(CONFIG!$F$5:$F$26,CONFIG!$D$5:$D$26,"Residencia",CONFIG!$E$5:$E$26,E124)+SUMIFS(CONFIG!$F$5:$F$26,CONFIG!$D$5:$D$26,"Nacionalidad",CONFIG!$E$5:$E$26,F124)+SUMIFS(CONFIG!$F$5:$F$26,CONFIG!$D$5:$D$26,"Jurisdicción de riesgo",CONFIG!$E$5:$E$26,G124)+SUMIFS(CONFIG!$F$5:$F$26,CONFIG!$D$5:$D$26,"PEP",CONFIG!$E$5:$E$26,H124)+SUMIFS(CONFIG!$F$5:$F$26,CONFIG!$D$5:$D$26,"En listas",CONFIG!$E$5:$E$26,I124)+SUMIFS(CONFIG!$F$5:$F$26,CONFIG!$D$5:$D$26,"Riesgo de su actividad económica",CONFIG!$E$5:$E$26,J124)+SUMIFS(CONFIG!$F$5:$F$26,CONFIG!$D$5:$D$26,"Canal",CONFIG!$E$5:$E$26,K124)+SUMIFS(CONFIG!$F$5:$F$26,CONFIG!$D$5:$D$26,"Origen de recursos documentado",CONFIG!$E$5:$E$26,L124))</f>
        <v/>
      </c>
      <c r="W124" s="9" t="str">
        <f aca="false">IF(A124="","",IF(SUMIF(OPERACIONES!$C$6:$C$505,A124,OPERACIONES!$E$6:$E$505)&gt;0,IF(SUMIF(OPERACIONES!$C$6:$C$505,A124,OPERACIONES!$F$6:$F$505)/SUMIF(OPERACIONES!$C$6:$C$505,A124,OPERACIONES!$E$6:$E$505)&gt;0.5,CONFIG!$B$20,IF(SUMIF(OPERACIONES!$C$6:$C$505,A124,OPERACIONES!$F$6:$F$505)&gt;0,CONFIG!$B$21,0)),0)+IF(COUNTIFS(OPERACIONES!$C$6:$C$505,A124,OPERACIONES!$AQ$6:$AQ$505,1)&gt;0,CONFIG!$B$22,0)+IF(COUNTIFS(OPERACIONES!$C$6:$C$505,A124,OPERACIONES!$H$6:$H$505,"Sí")&gt;0,CONFIG!$B$23,0))</f>
        <v/>
      </c>
      <c r="X124" s="9" t="str">
        <f aca="false">IF(A124="","",V124+W124)</f>
        <v/>
      </c>
      <c r="Y124" s="9" t="str">
        <f aca="false">IF(A124="","",IF(X124&lt;=CONFIG!$B$13,"Bajo",IF(X124&lt;=CONFIG!$B$14,"Medio","Alto")))</f>
        <v/>
      </c>
      <c r="Z124" s="25" t="str">
        <f aca="false">IF(A124="","",IF(OR(H124="Extranjera",AND(E124="No residente",G124="Sí"),I124="Sí"),"Alto",IF(T124&lt;&gt;"",T124,Y124)))</f>
        <v/>
      </c>
      <c r="AA124" s="26" t="str">
        <f aca="false">IF(A124="","",IF(H124="Extranjera","Alto obligatorio: PEP extranjera (RCG 23 Bis 4)",IF(AND(E124="No residente",G124="Sí"),"Alto obligatorio: no residente vinculado a jurisdicción de riesgo (RCG 23 Bis 4)",IF(I124="Sí","Alto por criterio: persona en listas. Evalúa no operar y Aviso de 24 h",IF(T124&lt;&gt;"","Ajuste del REC: "&amp;U124,"Modelo: "&amp;X124&amp;" puntos")))))</f>
        <v/>
      </c>
      <c r="AB124" s="23" t="str">
        <f aca="false">IF(A124="","",IF(COUNT(N124,O124)=0,"Falta fecha",EDATE(MAX(N124,O124),IF(Z124="Alto",CONFIG!$B$18,IF(Z124="Medio",CONFIG!$B$17,CONFIG!$B$16)))))</f>
        <v/>
      </c>
      <c r="AC124" s="23" t="str">
        <f aca="false">IF(A124="","",IF(ISNUMBER(S124),EDATE(S124,12),IF(ISNUMBER(N124),EDATE(N124,12),"Falta fecha")))</f>
        <v/>
      </c>
      <c r="AD124" s="26" t="str">
        <f aca="false">IF(A124="","",MID(IF(P124&lt;&gt;"Sí"," · Expediente incompleto","")&amp;IF(OR(Q124="",Q124="Pendiente")," · Falta el Beneficiario Controlador","")&amp;IF(M124=""," · Sin perfil transaccional","")&amp;IF(AND(ISNUMBER(AB124),AB124&lt;CONFIG!$B$6)," · Evaluación de riesgo vencida","")&amp;IF(AND(ISNUMBER(AC124),AC124&lt;CONFIG!$B$6)," · Verificación anual vencida","")&amp;IF(AND(ISNUMBER(R124),ISNUMBER(S124),S124-R124&gt;92)," · Comprobante de domicilio con más de 3 meses","")&amp;IF(AND(T124&lt;&gt;"",U124="")," · Ajuste del REC sin justificación",""),4,400))</f>
        <v/>
      </c>
      <c r="AE124" s="9" t="str">
        <f aca="false">IF(A124="","",IF(AD124="","Al día","Revisar"))</f>
        <v/>
      </c>
      <c r="AF124" s="9" t="str">
        <f aca="false">IF(A124="","",COUNTIF(OPERACIONES!$C$6:$C$505,A124)&amp;" / $"&amp;FIXED(SUMIF(OPERACIONES!$C$6:$C$505,A124,OPERACIONES!$E$6:$E$505),0))</f>
        <v/>
      </c>
    </row>
    <row r="125" customFormat="false" ht="15" hidden="false" customHeight="false" outlineLevel="0" collapsed="false">
      <c r="A125" s="21"/>
      <c r="B125" s="21"/>
      <c r="C125" s="21"/>
      <c r="D125" s="21"/>
      <c r="E125" s="21"/>
      <c r="F125" s="21"/>
      <c r="G125" s="21"/>
      <c r="H125" s="21"/>
      <c r="I125" s="21"/>
      <c r="J125" s="21"/>
      <c r="K125" s="21"/>
      <c r="L125" s="21"/>
      <c r="M125" s="22"/>
      <c r="N125" s="20"/>
      <c r="O125" s="20"/>
      <c r="P125" s="21"/>
      <c r="Q125" s="21"/>
      <c r="R125" s="20"/>
      <c r="S125" s="20"/>
      <c r="T125" s="21"/>
      <c r="U125" s="21"/>
      <c r="V125" s="9" t="str">
        <f aca="false">IF(A125="","",SUMIFS(CONFIG!$F$5:$F$26,CONFIG!$D$5:$D$26,"Tipo de persona",CONFIG!$E$5:$E$26,C125)+SUMIFS(CONFIG!$F$5:$F$26,CONFIG!$D$5:$D$26,"Residencia",CONFIG!$E$5:$E$26,E125)+SUMIFS(CONFIG!$F$5:$F$26,CONFIG!$D$5:$D$26,"Nacionalidad",CONFIG!$E$5:$E$26,F125)+SUMIFS(CONFIG!$F$5:$F$26,CONFIG!$D$5:$D$26,"Jurisdicción de riesgo",CONFIG!$E$5:$E$26,G125)+SUMIFS(CONFIG!$F$5:$F$26,CONFIG!$D$5:$D$26,"PEP",CONFIG!$E$5:$E$26,H125)+SUMIFS(CONFIG!$F$5:$F$26,CONFIG!$D$5:$D$26,"En listas",CONFIG!$E$5:$E$26,I125)+SUMIFS(CONFIG!$F$5:$F$26,CONFIG!$D$5:$D$26,"Riesgo de su actividad económica",CONFIG!$E$5:$E$26,J125)+SUMIFS(CONFIG!$F$5:$F$26,CONFIG!$D$5:$D$26,"Canal",CONFIG!$E$5:$E$26,K125)+SUMIFS(CONFIG!$F$5:$F$26,CONFIG!$D$5:$D$26,"Origen de recursos documentado",CONFIG!$E$5:$E$26,L125))</f>
        <v/>
      </c>
      <c r="W125" s="9" t="str">
        <f aca="false">IF(A125="","",IF(SUMIF(OPERACIONES!$C$6:$C$505,A125,OPERACIONES!$E$6:$E$505)&gt;0,IF(SUMIF(OPERACIONES!$C$6:$C$505,A125,OPERACIONES!$F$6:$F$505)/SUMIF(OPERACIONES!$C$6:$C$505,A125,OPERACIONES!$E$6:$E$505)&gt;0.5,CONFIG!$B$20,IF(SUMIF(OPERACIONES!$C$6:$C$505,A125,OPERACIONES!$F$6:$F$505)&gt;0,CONFIG!$B$21,0)),0)+IF(COUNTIFS(OPERACIONES!$C$6:$C$505,A125,OPERACIONES!$AQ$6:$AQ$505,1)&gt;0,CONFIG!$B$22,0)+IF(COUNTIFS(OPERACIONES!$C$6:$C$505,A125,OPERACIONES!$H$6:$H$505,"Sí")&gt;0,CONFIG!$B$23,0))</f>
        <v/>
      </c>
      <c r="X125" s="9" t="str">
        <f aca="false">IF(A125="","",V125+W125)</f>
        <v/>
      </c>
      <c r="Y125" s="9" t="str">
        <f aca="false">IF(A125="","",IF(X125&lt;=CONFIG!$B$13,"Bajo",IF(X125&lt;=CONFIG!$B$14,"Medio","Alto")))</f>
        <v/>
      </c>
      <c r="Z125" s="25" t="str">
        <f aca="false">IF(A125="","",IF(OR(H125="Extranjera",AND(E125="No residente",G125="Sí"),I125="Sí"),"Alto",IF(T125&lt;&gt;"",T125,Y125)))</f>
        <v/>
      </c>
      <c r="AA125" s="26" t="str">
        <f aca="false">IF(A125="","",IF(H125="Extranjera","Alto obligatorio: PEP extranjera (RCG 23 Bis 4)",IF(AND(E125="No residente",G125="Sí"),"Alto obligatorio: no residente vinculado a jurisdicción de riesgo (RCG 23 Bis 4)",IF(I125="Sí","Alto por criterio: persona en listas. Evalúa no operar y Aviso de 24 h",IF(T125&lt;&gt;"","Ajuste del REC: "&amp;U125,"Modelo: "&amp;X125&amp;" puntos")))))</f>
        <v/>
      </c>
      <c r="AB125" s="23" t="str">
        <f aca="false">IF(A125="","",IF(COUNT(N125,O125)=0,"Falta fecha",EDATE(MAX(N125,O125),IF(Z125="Alto",CONFIG!$B$18,IF(Z125="Medio",CONFIG!$B$17,CONFIG!$B$16)))))</f>
        <v/>
      </c>
      <c r="AC125" s="23" t="str">
        <f aca="false">IF(A125="","",IF(ISNUMBER(S125),EDATE(S125,12),IF(ISNUMBER(N125),EDATE(N125,12),"Falta fecha")))</f>
        <v/>
      </c>
      <c r="AD125" s="26" t="str">
        <f aca="false">IF(A125="","",MID(IF(P125&lt;&gt;"Sí"," · Expediente incompleto","")&amp;IF(OR(Q125="",Q125="Pendiente")," · Falta el Beneficiario Controlador","")&amp;IF(M125=""," · Sin perfil transaccional","")&amp;IF(AND(ISNUMBER(AB125),AB125&lt;CONFIG!$B$6)," · Evaluación de riesgo vencida","")&amp;IF(AND(ISNUMBER(AC125),AC125&lt;CONFIG!$B$6)," · Verificación anual vencida","")&amp;IF(AND(ISNUMBER(R125),ISNUMBER(S125),S125-R125&gt;92)," · Comprobante de domicilio con más de 3 meses","")&amp;IF(AND(T125&lt;&gt;"",U125="")," · Ajuste del REC sin justificación",""),4,400))</f>
        <v/>
      </c>
      <c r="AE125" s="9" t="str">
        <f aca="false">IF(A125="","",IF(AD125="","Al día","Revisar"))</f>
        <v/>
      </c>
      <c r="AF125" s="9" t="str">
        <f aca="false">IF(A125="","",COUNTIF(OPERACIONES!$C$6:$C$505,A125)&amp;" / $"&amp;FIXED(SUMIF(OPERACIONES!$C$6:$C$505,A125,OPERACIONES!$E$6:$E$505),0))</f>
        <v/>
      </c>
    </row>
    <row r="126" customFormat="false" ht="15" hidden="false" customHeight="false" outlineLevel="0" collapsed="false">
      <c r="A126" s="21"/>
      <c r="B126" s="21"/>
      <c r="C126" s="21"/>
      <c r="D126" s="21"/>
      <c r="E126" s="21"/>
      <c r="F126" s="21"/>
      <c r="G126" s="21"/>
      <c r="H126" s="21"/>
      <c r="I126" s="21"/>
      <c r="J126" s="21"/>
      <c r="K126" s="21"/>
      <c r="L126" s="21"/>
      <c r="M126" s="22"/>
      <c r="N126" s="20"/>
      <c r="O126" s="20"/>
      <c r="P126" s="21"/>
      <c r="Q126" s="21"/>
      <c r="R126" s="20"/>
      <c r="S126" s="20"/>
      <c r="T126" s="21"/>
      <c r="U126" s="21"/>
      <c r="V126" s="9" t="str">
        <f aca="false">IF(A126="","",SUMIFS(CONFIG!$F$5:$F$26,CONFIG!$D$5:$D$26,"Tipo de persona",CONFIG!$E$5:$E$26,C126)+SUMIFS(CONFIG!$F$5:$F$26,CONFIG!$D$5:$D$26,"Residencia",CONFIG!$E$5:$E$26,E126)+SUMIFS(CONFIG!$F$5:$F$26,CONFIG!$D$5:$D$26,"Nacionalidad",CONFIG!$E$5:$E$26,F126)+SUMIFS(CONFIG!$F$5:$F$26,CONFIG!$D$5:$D$26,"Jurisdicción de riesgo",CONFIG!$E$5:$E$26,G126)+SUMIFS(CONFIG!$F$5:$F$26,CONFIG!$D$5:$D$26,"PEP",CONFIG!$E$5:$E$26,H126)+SUMIFS(CONFIG!$F$5:$F$26,CONFIG!$D$5:$D$26,"En listas",CONFIG!$E$5:$E$26,I126)+SUMIFS(CONFIG!$F$5:$F$26,CONFIG!$D$5:$D$26,"Riesgo de su actividad económica",CONFIG!$E$5:$E$26,J126)+SUMIFS(CONFIG!$F$5:$F$26,CONFIG!$D$5:$D$26,"Canal",CONFIG!$E$5:$E$26,K126)+SUMIFS(CONFIG!$F$5:$F$26,CONFIG!$D$5:$D$26,"Origen de recursos documentado",CONFIG!$E$5:$E$26,L126))</f>
        <v/>
      </c>
      <c r="W126" s="9" t="str">
        <f aca="false">IF(A126="","",IF(SUMIF(OPERACIONES!$C$6:$C$505,A126,OPERACIONES!$E$6:$E$505)&gt;0,IF(SUMIF(OPERACIONES!$C$6:$C$505,A126,OPERACIONES!$F$6:$F$505)/SUMIF(OPERACIONES!$C$6:$C$505,A126,OPERACIONES!$E$6:$E$505)&gt;0.5,CONFIG!$B$20,IF(SUMIF(OPERACIONES!$C$6:$C$505,A126,OPERACIONES!$F$6:$F$505)&gt;0,CONFIG!$B$21,0)),0)+IF(COUNTIFS(OPERACIONES!$C$6:$C$505,A126,OPERACIONES!$AQ$6:$AQ$505,1)&gt;0,CONFIG!$B$22,0)+IF(COUNTIFS(OPERACIONES!$C$6:$C$505,A126,OPERACIONES!$H$6:$H$505,"Sí")&gt;0,CONFIG!$B$23,0))</f>
        <v/>
      </c>
      <c r="X126" s="9" t="str">
        <f aca="false">IF(A126="","",V126+W126)</f>
        <v/>
      </c>
      <c r="Y126" s="9" t="str">
        <f aca="false">IF(A126="","",IF(X126&lt;=CONFIG!$B$13,"Bajo",IF(X126&lt;=CONFIG!$B$14,"Medio","Alto")))</f>
        <v/>
      </c>
      <c r="Z126" s="25" t="str">
        <f aca="false">IF(A126="","",IF(OR(H126="Extranjera",AND(E126="No residente",G126="Sí"),I126="Sí"),"Alto",IF(T126&lt;&gt;"",T126,Y126)))</f>
        <v/>
      </c>
      <c r="AA126" s="26" t="str">
        <f aca="false">IF(A126="","",IF(H126="Extranjera","Alto obligatorio: PEP extranjera (RCG 23 Bis 4)",IF(AND(E126="No residente",G126="Sí"),"Alto obligatorio: no residente vinculado a jurisdicción de riesgo (RCG 23 Bis 4)",IF(I126="Sí","Alto por criterio: persona en listas. Evalúa no operar y Aviso de 24 h",IF(T126&lt;&gt;"","Ajuste del REC: "&amp;U126,"Modelo: "&amp;X126&amp;" puntos")))))</f>
        <v/>
      </c>
      <c r="AB126" s="23" t="str">
        <f aca="false">IF(A126="","",IF(COUNT(N126,O126)=0,"Falta fecha",EDATE(MAX(N126,O126),IF(Z126="Alto",CONFIG!$B$18,IF(Z126="Medio",CONFIG!$B$17,CONFIG!$B$16)))))</f>
        <v/>
      </c>
      <c r="AC126" s="23" t="str">
        <f aca="false">IF(A126="","",IF(ISNUMBER(S126),EDATE(S126,12),IF(ISNUMBER(N126),EDATE(N126,12),"Falta fecha")))</f>
        <v/>
      </c>
      <c r="AD126" s="26" t="str">
        <f aca="false">IF(A126="","",MID(IF(P126&lt;&gt;"Sí"," · Expediente incompleto","")&amp;IF(OR(Q126="",Q126="Pendiente")," · Falta el Beneficiario Controlador","")&amp;IF(M126=""," · Sin perfil transaccional","")&amp;IF(AND(ISNUMBER(AB126),AB126&lt;CONFIG!$B$6)," · Evaluación de riesgo vencida","")&amp;IF(AND(ISNUMBER(AC126),AC126&lt;CONFIG!$B$6)," · Verificación anual vencida","")&amp;IF(AND(ISNUMBER(R126),ISNUMBER(S126),S126-R126&gt;92)," · Comprobante de domicilio con más de 3 meses","")&amp;IF(AND(T126&lt;&gt;"",U126="")," · Ajuste del REC sin justificación",""),4,400))</f>
        <v/>
      </c>
      <c r="AE126" s="9" t="str">
        <f aca="false">IF(A126="","",IF(AD126="","Al día","Revisar"))</f>
        <v/>
      </c>
      <c r="AF126" s="9" t="str">
        <f aca="false">IF(A126="","",COUNTIF(OPERACIONES!$C$6:$C$505,A126)&amp;" / $"&amp;FIXED(SUMIF(OPERACIONES!$C$6:$C$505,A126,OPERACIONES!$E$6:$E$505),0))</f>
        <v/>
      </c>
    </row>
    <row r="127" customFormat="false" ht="15" hidden="false" customHeight="false" outlineLevel="0" collapsed="false">
      <c r="A127" s="21"/>
      <c r="B127" s="21"/>
      <c r="C127" s="21"/>
      <c r="D127" s="21"/>
      <c r="E127" s="21"/>
      <c r="F127" s="21"/>
      <c r="G127" s="21"/>
      <c r="H127" s="21"/>
      <c r="I127" s="21"/>
      <c r="J127" s="21"/>
      <c r="K127" s="21"/>
      <c r="L127" s="21"/>
      <c r="M127" s="22"/>
      <c r="N127" s="20"/>
      <c r="O127" s="20"/>
      <c r="P127" s="21"/>
      <c r="Q127" s="21"/>
      <c r="R127" s="20"/>
      <c r="S127" s="20"/>
      <c r="T127" s="21"/>
      <c r="U127" s="21"/>
      <c r="V127" s="9" t="str">
        <f aca="false">IF(A127="","",SUMIFS(CONFIG!$F$5:$F$26,CONFIG!$D$5:$D$26,"Tipo de persona",CONFIG!$E$5:$E$26,C127)+SUMIFS(CONFIG!$F$5:$F$26,CONFIG!$D$5:$D$26,"Residencia",CONFIG!$E$5:$E$26,E127)+SUMIFS(CONFIG!$F$5:$F$26,CONFIG!$D$5:$D$26,"Nacionalidad",CONFIG!$E$5:$E$26,F127)+SUMIFS(CONFIG!$F$5:$F$26,CONFIG!$D$5:$D$26,"Jurisdicción de riesgo",CONFIG!$E$5:$E$26,G127)+SUMIFS(CONFIG!$F$5:$F$26,CONFIG!$D$5:$D$26,"PEP",CONFIG!$E$5:$E$26,H127)+SUMIFS(CONFIG!$F$5:$F$26,CONFIG!$D$5:$D$26,"En listas",CONFIG!$E$5:$E$26,I127)+SUMIFS(CONFIG!$F$5:$F$26,CONFIG!$D$5:$D$26,"Riesgo de su actividad económica",CONFIG!$E$5:$E$26,J127)+SUMIFS(CONFIG!$F$5:$F$26,CONFIG!$D$5:$D$26,"Canal",CONFIG!$E$5:$E$26,K127)+SUMIFS(CONFIG!$F$5:$F$26,CONFIG!$D$5:$D$26,"Origen de recursos documentado",CONFIG!$E$5:$E$26,L127))</f>
        <v/>
      </c>
      <c r="W127" s="9" t="str">
        <f aca="false">IF(A127="","",IF(SUMIF(OPERACIONES!$C$6:$C$505,A127,OPERACIONES!$E$6:$E$505)&gt;0,IF(SUMIF(OPERACIONES!$C$6:$C$505,A127,OPERACIONES!$F$6:$F$505)/SUMIF(OPERACIONES!$C$6:$C$505,A127,OPERACIONES!$E$6:$E$505)&gt;0.5,CONFIG!$B$20,IF(SUMIF(OPERACIONES!$C$6:$C$505,A127,OPERACIONES!$F$6:$F$505)&gt;0,CONFIG!$B$21,0)),0)+IF(COUNTIFS(OPERACIONES!$C$6:$C$505,A127,OPERACIONES!$AQ$6:$AQ$505,1)&gt;0,CONFIG!$B$22,0)+IF(COUNTIFS(OPERACIONES!$C$6:$C$505,A127,OPERACIONES!$H$6:$H$505,"Sí")&gt;0,CONFIG!$B$23,0))</f>
        <v/>
      </c>
      <c r="X127" s="9" t="str">
        <f aca="false">IF(A127="","",V127+W127)</f>
        <v/>
      </c>
      <c r="Y127" s="9" t="str">
        <f aca="false">IF(A127="","",IF(X127&lt;=CONFIG!$B$13,"Bajo",IF(X127&lt;=CONFIG!$B$14,"Medio","Alto")))</f>
        <v/>
      </c>
      <c r="Z127" s="25" t="str">
        <f aca="false">IF(A127="","",IF(OR(H127="Extranjera",AND(E127="No residente",G127="Sí"),I127="Sí"),"Alto",IF(T127&lt;&gt;"",T127,Y127)))</f>
        <v/>
      </c>
      <c r="AA127" s="26" t="str">
        <f aca="false">IF(A127="","",IF(H127="Extranjera","Alto obligatorio: PEP extranjera (RCG 23 Bis 4)",IF(AND(E127="No residente",G127="Sí"),"Alto obligatorio: no residente vinculado a jurisdicción de riesgo (RCG 23 Bis 4)",IF(I127="Sí","Alto por criterio: persona en listas. Evalúa no operar y Aviso de 24 h",IF(T127&lt;&gt;"","Ajuste del REC: "&amp;U127,"Modelo: "&amp;X127&amp;" puntos")))))</f>
        <v/>
      </c>
      <c r="AB127" s="23" t="str">
        <f aca="false">IF(A127="","",IF(COUNT(N127,O127)=0,"Falta fecha",EDATE(MAX(N127,O127),IF(Z127="Alto",CONFIG!$B$18,IF(Z127="Medio",CONFIG!$B$17,CONFIG!$B$16)))))</f>
        <v/>
      </c>
      <c r="AC127" s="23" t="str">
        <f aca="false">IF(A127="","",IF(ISNUMBER(S127),EDATE(S127,12),IF(ISNUMBER(N127),EDATE(N127,12),"Falta fecha")))</f>
        <v/>
      </c>
      <c r="AD127" s="26" t="str">
        <f aca="false">IF(A127="","",MID(IF(P127&lt;&gt;"Sí"," · Expediente incompleto","")&amp;IF(OR(Q127="",Q127="Pendiente")," · Falta el Beneficiario Controlador","")&amp;IF(M127=""," · Sin perfil transaccional","")&amp;IF(AND(ISNUMBER(AB127),AB127&lt;CONFIG!$B$6)," · Evaluación de riesgo vencida","")&amp;IF(AND(ISNUMBER(AC127),AC127&lt;CONFIG!$B$6)," · Verificación anual vencida","")&amp;IF(AND(ISNUMBER(R127),ISNUMBER(S127),S127-R127&gt;92)," · Comprobante de domicilio con más de 3 meses","")&amp;IF(AND(T127&lt;&gt;"",U127="")," · Ajuste del REC sin justificación",""),4,400))</f>
        <v/>
      </c>
      <c r="AE127" s="9" t="str">
        <f aca="false">IF(A127="","",IF(AD127="","Al día","Revisar"))</f>
        <v/>
      </c>
      <c r="AF127" s="9" t="str">
        <f aca="false">IF(A127="","",COUNTIF(OPERACIONES!$C$6:$C$505,A127)&amp;" / $"&amp;FIXED(SUMIF(OPERACIONES!$C$6:$C$505,A127,OPERACIONES!$E$6:$E$505),0))</f>
        <v/>
      </c>
    </row>
    <row r="128" customFormat="false" ht="15" hidden="false" customHeight="false" outlineLevel="0" collapsed="false">
      <c r="A128" s="21"/>
      <c r="B128" s="21"/>
      <c r="C128" s="21"/>
      <c r="D128" s="21"/>
      <c r="E128" s="21"/>
      <c r="F128" s="21"/>
      <c r="G128" s="21"/>
      <c r="H128" s="21"/>
      <c r="I128" s="21"/>
      <c r="J128" s="21"/>
      <c r="K128" s="21"/>
      <c r="L128" s="21"/>
      <c r="M128" s="22"/>
      <c r="N128" s="20"/>
      <c r="O128" s="20"/>
      <c r="P128" s="21"/>
      <c r="Q128" s="21"/>
      <c r="R128" s="20"/>
      <c r="S128" s="20"/>
      <c r="T128" s="21"/>
      <c r="U128" s="21"/>
      <c r="V128" s="9" t="str">
        <f aca="false">IF(A128="","",SUMIFS(CONFIG!$F$5:$F$26,CONFIG!$D$5:$D$26,"Tipo de persona",CONFIG!$E$5:$E$26,C128)+SUMIFS(CONFIG!$F$5:$F$26,CONFIG!$D$5:$D$26,"Residencia",CONFIG!$E$5:$E$26,E128)+SUMIFS(CONFIG!$F$5:$F$26,CONFIG!$D$5:$D$26,"Nacionalidad",CONFIG!$E$5:$E$26,F128)+SUMIFS(CONFIG!$F$5:$F$26,CONFIG!$D$5:$D$26,"Jurisdicción de riesgo",CONFIG!$E$5:$E$26,G128)+SUMIFS(CONFIG!$F$5:$F$26,CONFIG!$D$5:$D$26,"PEP",CONFIG!$E$5:$E$26,H128)+SUMIFS(CONFIG!$F$5:$F$26,CONFIG!$D$5:$D$26,"En listas",CONFIG!$E$5:$E$26,I128)+SUMIFS(CONFIG!$F$5:$F$26,CONFIG!$D$5:$D$26,"Riesgo de su actividad económica",CONFIG!$E$5:$E$26,J128)+SUMIFS(CONFIG!$F$5:$F$26,CONFIG!$D$5:$D$26,"Canal",CONFIG!$E$5:$E$26,K128)+SUMIFS(CONFIG!$F$5:$F$26,CONFIG!$D$5:$D$26,"Origen de recursos documentado",CONFIG!$E$5:$E$26,L128))</f>
        <v/>
      </c>
      <c r="W128" s="9" t="str">
        <f aca="false">IF(A128="","",IF(SUMIF(OPERACIONES!$C$6:$C$505,A128,OPERACIONES!$E$6:$E$505)&gt;0,IF(SUMIF(OPERACIONES!$C$6:$C$505,A128,OPERACIONES!$F$6:$F$505)/SUMIF(OPERACIONES!$C$6:$C$505,A128,OPERACIONES!$E$6:$E$505)&gt;0.5,CONFIG!$B$20,IF(SUMIF(OPERACIONES!$C$6:$C$505,A128,OPERACIONES!$F$6:$F$505)&gt;0,CONFIG!$B$21,0)),0)+IF(COUNTIFS(OPERACIONES!$C$6:$C$505,A128,OPERACIONES!$AQ$6:$AQ$505,1)&gt;0,CONFIG!$B$22,0)+IF(COUNTIFS(OPERACIONES!$C$6:$C$505,A128,OPERACIONES!$H$6:$H$505,"Sí")&gt;0,CONFIG!$B$23,0))</f>
        <v/>
      </c>
      <c r="X128" s="9" t="str">
        <f aca="false">IF(A128="","",V128+W128)</f>
        <v/>
      </c>
      <c r="Y128" s="9" t="str">
        <f aca="false">IF(A128="","",IF(X128&lt;=CONFIG!$B$13,"Bajo",IF(X128&lt;=CONFIG!$B$14,"Medio","Alto")))</f>
        <v/>
      </c>
      <c r="Z128" s="25" t="str">
        <f aca="false">IF(A128="","",IF(OR(H128="Extranjera",AND(E128="No residente",G128="Sí"),I128="Sí"),"Alto",IF(T128&lt;&gt;"",T128,Y128)))</f>
        <v/>
      </c>
      <c r="AA128" s="26" t="str">
        <f aca="false">IF(A128="","",IF(H128="Extranjera","Alto obligatorio: PEP extranjera (RCG 23 Bis 4)",IF(AND(E128="No residente",G128="Sí"),"Alto obligatorio: no residente vinculado a jurisdicción de riesgo (RCG 23 Bis 4)",IF(I128="Sí","Alto por criterio: persona en listas. Evalúa no operar y Aviso de 24 h",IF(T128&lt;&gt;"","Ajuste del REC: "&amp;U128,"Modelo: "&amp;X128&amp;" puntos")))))</f>
        <v/>
      </c>
      <c r="AB128" s="23" t="str">
        <f aca="false">IF(A128="","",IF(COUNT(N128,O128)=0,"Falta fecha",EDATE(MAX(N128,O128),IF(Z128="Alto",CONFIG!$B$18,IF(Z128="Medio",CONFIG!$B$17,CONFIG!$B$16)))))</f>
        <v/>
      </c>
      <c r="AC128" s="23" t="str">
        <f aca="false">IF(A128="","",IF(ISNUMBER(S128),EDATE(S128,12),IF(ISNUMBER(N128),EDATE(N128,12),"Falta fecha")))</f>
        <v/>
      </c>
      <c r="AD128" s="26" t="str">
        <f aca="false">IF(A128="","",MID(IF(P128&lt;&gt;"Sí"," · Expediente incompleto","")&amp;IF(OR(Q128="",Q128="Pendiente")," · Falta el Beneficiario Controlador","")&amp;IF(M128=""," · Sin perfil transaccional","")&amp;IF(AND(ISNUMBER(AB128),AB128&lt;CONFIG!$B$6)," · Evaluación de riesgo vencida","")&amp;IF(AND(ISNUMBER(AC128),AC128&lt;CONFIG!$B$6)," · Verificación anual vencida","")&amp;IF(AND(ISNUMBER(R128),ISNUMBER(S128),S128-R128&gt;92)," · Comprobante de domicilio con más de 3 meses","")&amp;IF(AND(T128&lt;&gt;"",U128="")," · Ajuste del REC sin justificación",""),4,400))</f>
        <v/>
      </c>
      <c r="AE128" s="9" t="str">
        <f aca="false">IF(A128="","",IF(AD128="","Al día","Revisar"))</f>
        <v/>
      </c>
      <c r="AF128" s="9" t="str">
        <f aca="false">IF(A128="","",COUNTIF(OPERACIONES!$C$6:$C$505,A128)&amp;" / $"&amp;FIXED(SUMIF(OPERACIONES!$C$6:$C$505,A128,OPERACIONES!$E$6:$E$505),0))</f>
        <v/>
      </c>
    </row>
    <row r="129" customFormat="false" ht="15" hidden="false" customHeight="false" outlineLevel="0" collapsed="false">
      <c r="A129" s="21"/>
      <c r="B129" s="21"/>
      <c r="C129" s="21"/>
      <c r="D129" s="21"/>
      <c r="E129" s="21"/>
      <c r="F129" s="21"/>
      <c r="G129" s="21"/>
      <c r="H129" s="21"/>
      <c r="I129" s="21"/>
      <c r="J129" s="21"/>
      <c r="K129" s="21"/>
      <c r="L129" s="21"/>
      <c r="M129" s="22"/>
      <c r="N129" s="20"/>
      <c r="O129" s="20"/>
      <c r="P129" s="21"/>
      <c r="Q129" s="21"/>
      <c r="R129" s="20"/>
      <c r="S129" s="20"/>
      <c r="T129" s="21"/>
      <c r="U129" s="21"/>
      <c r="V129" s="9" t="str">
        <f aca="false">IF(A129="","",SUMIFS(CONFIG!$F$5:$F$26,CONFIG!$D$5:$D$26,"Tipo de persona",CONFIG!$E$5:$E$26,C129)+SUMIFS(CONFIG!$F$5:$F$26,CONFIG!$D$5:$D$26,"Residencia",CONFIG!$E$5:$E$26,E129)+SUMIFS(CONFIG!$F$5:$F$26,CONFIG!$D$5:$D$26,"Nacionalidad",CONFIG!$E$5:$E$26,F129)+SUMIFS(CONFIG!$F$5:$F$26,CONFIG!$D$5:$D$26,"Jurisdicción de riesgo",CONFIG!$E$5:$E$26,G129)+SUMIFS(CONFIG!$F$5:$F$26,CONFIG!$D$5:$D$26,"PEP",CONFIG!$E$5:$E$26,H129)+SUMIFS(CONFIG!$F$5:$F$26,CONFIG!$D$5:$D$26,"En listas",CONFIG!$E$5:$E$26,I129)+SUMIFS(CONFIG!$F$5:$F$26,CONFIG!$D$5:$D$26,"Riesgo de su actividad económica",CONFIG!$E$5:$E$26,J129)+SUMIFS(CONFIG!$F$5:$F$26,CONFIG!$D$5:$D$26,"Canal",CONFIG!$E$5:$E$26,K129)+SUMIFS(CONFIG!$F$5:$F$26,CONFIG!$D$5:$D$26,"Origen de recursos documentado",CONFIG!$E$5:$E$26,L129))</f>
        <v/>
      </c>
      <c r="W129" s="9" t="str">
        <f aca="false">IF(A129="","",IF(SUMIF(OPERACIONES!$C$6:$C$505,A129,OPERACIONES!$E$6:$E$505)&gt;0,IF(SUMIF(OPERACIONES!$C$6:$C$505,A129,OPERACIONES!$F$6:$F$505)/SUMIF(OPERACIONES!$C$6:$C$505,A129,OPERACIONES!$E$6:$E$505)&gt;0.5,CONFIG!$B$20,IF(SUMIF(OPERACIONES!$C$6:$C$505,A129,OPERACIONES!$F$6:$F$505)&gt;0,CONFIG!$B$21,0)),0)+IF(COUNTIFS(OPERACIONES!$C$6:$C$505,A129,OPERACIONES!$AQ$6:$AQ$505,1)&gt;0,CONFIG!$B$22,0)+IF(COUNTIFS(OPERACIONES!$C$6:$C$505,A129,OPERACIONES!$H$6:$H$505,"Sí")&gt;0,CONFIG!$B$23,0))</f>
        <v/>
      </c>
      <c r="X129" s="9" t="str">
        <f aca="false">IF(A129="","",V129+W129)</f>
        <v/>
      </c>
      <c r="Y129" s="9" t="str">
        <f aca="false">IF(A129="","",IF(X129&lt;=CONFIG!$B$13,"Bajo",IF(X129&lt;=CONFIG!$B$14,"Medio","Alto")))</f>
        <v/>
      </c>
      <c r="Z129" s="25" t="str">
        <f aca="false">IF(A129="","",IF(OR(H129="Extranjera",AND(E129="No residente",G129="Sí"),I129="Sí"),"Alto",IF(T129&lt;&gt;"",T129,Y129)))</f>
        <v/>
      </c>
      <c r="AA129" s="26" t="str">
        <f aca="false">IF(A129="","",IF(H129="Extranjera","Alto obligatorio: PEP extranjera (RCG 23 Bis 4)",IF(AND(E129="No residente",G129="Sí"),"Alto obligatorio: no residente vinculado a jurisdicción de riesgo (RCG 23 Bis 4)",IF(I129="Sí","Alto por criterio: persona en listas. Evalúa no operar y Aviso de 24 h",IF(T129&lt;&gt;"","Ajuste del REC: "&amp;U129,"Modelo: "&amp;X129&amp;" puntos")))))</f>
        <v/>
      </c>
      <c r="AB129" s="23" t="str">
        <f aca="false">IF(A129="","",IF(COUNT(N129,O129)=0,"Falta fecha",EDATE(MAX(N129,O129),IF(Z129="Alto",CONFIG!$B$18,IF(Z129="Medio",CONFIG!$B$17,CONFIG!$B$16)))))</f>
        <v/>
      </c>
      <c r="AC129" s="23" t="str">
        <f aca="false">IF(A129="","",IF(ISNUMBER(S129),EDATE(S129,12),IF(ISNUMBER(N129),EDATE(N129,12),"Falta fecha")))</f>
        <v/>
      </c>
      <c r="AD129" s="26" t="str">
        <f aca="false">IF(A129="","",MID(IF(P129&lt;&gt;"Sí"," · Expediente incompleto","")&amp;IF(OR(Q129="",Q129="Pendiente")," · Falta el Beneficiario Controlador","")&amp;IF(M129=""," · Sin perfil transaccional","")&amp;IF(AND(ISNUMBER(AB129),AB129&lt;CONFIG!$B$6)," · Evaluación de riesgo vencida","")&amp;IF(AND(ISNUMBER(AC129),AC129&lt;CONFIG!$B$6)," · Verificación anual vencida","")&amp;IF(AND(ISNUMBER(R129),ISNUMBER(S129),S129-R129&gt;92)," · Comprobante de domicilio con más de 3 meses","")&amp;IF(AND(T129&lt;&gt;"",U129="")," · Ajuste del REC sin justificación",""),4,400))</f>
        <v/>
      </c>
      <c r="AE129" s="9" t="str">
        <f aca="false">IF(A129="","",IF(AD129="","Al día","Revisar"))</f>
        <v/>
      </c>
      <c r="AF129" s="9" t="str">
        <f aca="false">IF(A129="","",COUNTIF(OPERACIONES!$C$6:$C$505,A129)&amp;" / $"&amp;FIXED(SUMIF(OPERACIONES!$C$6:$C$505,A129,OPERACIONES!$E$6:$E$505),0))</f>
        <v/>
      </c>
    </row>
    <row r="130" customFormat="false" ht="15" hidden="false" customHeight="false" outlineLevel="0" collapsed="false">
      <c r="A130" s="21"/>
      <c r="B130" s="21"/>
      <c r="C130" s="21"/>
      <c r="D130" s="21"/>
      <c r="E130" s="21"/>
      <c r="F130" s="21"/>
      <c r="G130" s="21"/>
      <c r="H130" s="21"/>
      <c r="I130" s="21"/>
      <c r="J130" s="21"/>
      <c r="K130" s="21"/>
      <c r="L130" s="21"/>
      <c r="M130" s="22"/>
      <c r="N130" s="20"/>
      <c r="O130" s="20"/>
      <c r="P130" s="21"/>
      <c r="Q130" s="21"/>
      <c r="R130" s="20"/>
      <c r="S130" s="20"/>
      <c r="T130" s="21"/>
      <c r="U130" s="21"/>
      <c r="V130" s="9" t="str">
        <f aca="false">IF(A130="","",SUMIFS(CONFIG!$F$5:$F$26,CONFIG!$D$5:$D$26,"Tipo de persona",CONFIG!$E$5:$E$26,C130)+SUMIFS(CONFIG!$F$5:$F$26,CONFIG!$D$5:$D$26,"Residencia",CONFIG!$E$5:$E$26,E130)+SUMIFS(CONFIG!$F$5:$F$26,CONFIG!$D$5:$D$26,"Nacionalidad",CONFIG!$E$5:$E$26,F130)+SUMIFS(CONFIG!$F$5:$F$26,CONFIG!$D$5:$D$26,"Jurisdicción de riesgo",CONFIG!$E$5:$E$26,G130)+SUMIFS(CONFIG!$F$5:$F$26,CONFIG!$D$5:$D$26,"PEP",CONFIG!$E$5:$E$26,H130)+SUMIFS(CONFIG!$F$5:$F$26,CONFIG!$D$5:$D$26,"En listas",CONFIG!$E$5:$E$26,I130)+SUMIFS(CONFIG!$F$5:$F$26,CONFIG!$D$5:$D$26,"Riesgo de su actividad económica",CONFIG!$E$5:$E$26,J130)+SUMIFS(CONFIG!$F$5:$F$26,CONFIG!$D$5:$D$26,"Canal",CONFIG!$E$5:$E$26,K130)+SUMIFS(CONFIG!$F$5:$F$26,CONFIG!$D$5:$D$26,"Origen de recursos documentado",CONFIG!$E$5:$E$26,L130))</f>
        <v/>
      </c>
      <c r="W130" s="9" t="str">
        <f aca="false">IF(A130="","",IF(SUMIF(OPERACIONES!$C$6:$C$505,A130,OPERACIONES!$E$6:$E$505)&gt;0,IF(SUMIF(OPERACIONES!$C$6:$C$505,A130,OPERACIONES!$F$6:$F$505)/SUMIF(OPERACIONES!$C$6:$C$505,A130,OPERACIONES!$E$6:$E$505)&gt;0.5,CONFIG!$B$20,IF(SUMIF(OPERACIONES!$C$6:$C$505,A130,OPERACIONES!$F$6:$F$505)&gt;0,CONFIG!$B$21,0)),0)+IF(COUNTIFS(OPERACIONES!$C$6:$C$505,A130,OPERACIONES!$AQ$6:$AQ$505,1)&gt;0,CONFIG!$B$22,0)+IF(COUNTIFS(OPERACIONES!$C$6:$C$505,A130,OPERACIONES!$H$6:$H$505,"Sí")&gt;0,CONFIG!$B$23,0))</f>
        <v/>
      </c>
      <c r="X130" s="9" t="str">
        <f aca="false">IF(A130="","",V130+W130)</f>
        <v/>
      </c>
      <c r="Y130" s="9" t="str">
        <f aca="false">IF(A130="","",IF(X130&lt;=CONFIG!$B$13,"Bajo",IF(X130&lt;=CONFIG!$B$14,"Medio","Alto")))</f>
        <v/>
      </c>
      <c r="Z130" s="25" t="str">
        <f aca="false">IF(A130="","",IF(OR(H130="Extranjera",AND(E130="No residente",G130="Sí"),I130="Sí"),"Alto",IF(T130&lt;&gt;"",T130,Y130)))</f>
        <v/>
      </c>
      <c r="AA130" s="26" t="str">
        <f aca="false">IF(A130="","",IF(H130="Extranjera","Alto obligatorio: PEP extranjera (RCG 23 Bis 4)",IF(AND(E130="No residente",G130="Sí"),"Alto obligatorio: no residente vinculado a jurisdicción de riesgo (RCG 23 Bis 4)",IF(I130="Sí","Alto por criterio: persona en listas. Evalúa no operar y Aviso de 24 h",IF(T130&lt;&gt;"","Ajuste del REC: "&amp;U130,"Modelo: "&amp;X130&amp;" puntos")))))</f>
        <v/>
      </c>
      <c r="AB130" s="23" t="str">
        <f aca="false">IF(A130="","",IF(COUNT(N130,O130)=0,"Falta fecha",EDATE(MAX(N130,O130),IF(Z130="Alto",CONFIG!$B$18,IF(Z130="Medio",CONFIG!$B$17,CONFIG!$B$16)))))</f>
        <v/>
      </c>
      <c r="AC130" s="23" t="str">
        <f aca="false">IF(A130="","",IF(ISNUMBER(S130),EDATE(S130,12),IF(ISNUMBER(N130),EDATE(N130,12),"Falta fecha")))</f>
        <v/>
      </c>
      <c r="AD130" s="26" t="str">
        <f aca="false">IF(A130="","",MID(IF(P130&lt;&gt;"Sí"," · Expediente incompleto","")&amp;IF(OR(Q130="",Q130="Pendiente")," · Falta el Beneficiario Controlador","")&amp;IF(M130=""," · Sin perfil transaccional","")&amp;IF(AND(ISNUMBER(AB130),AB130&lt;CONFIG!$B$6)," · Evaluación de riesgo vencida","")&amp;IF(AND(ISNUMBER(AC130),AC130&lt;CONFIG!$B$6)," · Verificación anual vencida","")&amp;IF(AND(ISNUMBER(R130),ISNUMBER(S130),S130-R130&gt;92)," · Comprobante de domicilio con más de 3 meses","")&amp;IF(AND(T130&lt;&gt;"",U130="")," · Ajuste del REC sin justificación",""),4,400))</f>
        <v/>
      </c>
      <c r="AE130" s="9" t="str">
        <f aca="false">IF(A130="","",IF(AD130="","Al día","Revisar"))</f>
        <v/>
      </c>
      <c r="AF130" s="9" t="str">
        <f aca="false">IF(A130="","",COUNTIF(OPERACIONES!$C$6:$C$505,A130)&amp;" / $"&amp;FIXED(SUMIF(OPERACIONES!$C$6:$C$505,A130,OPERACIONES!$E$6:$E$505),0))</f>
        <v/>
      </c>
    </row>
    <row r="131" customFormat="false" ht="15" hidden="false" customHeight="false" outlineLevel="0" collapsed="false">
      <c r="A131" s="21"/>
      <c r="B131" s="21"/>
      <c r="C131" s="21"/>
      <c r="D131" s="21"/>
      <c r="E131" s="21"/>
      <c r="F131" s="21"/>
      <c r="G131" s="21"/>
      <c r="H131" s="21"/>
      <c r="I131" s="21"/>
      <c r="J131" s="21"/>
      <c r="K131" s="21"/>
      <c r="L131" s="21"/>
      <c r="M131" s="22"/>
      <c r="N131" s="20"/>
      <c r="O131" s="20"/>
      <c r="P131" s="21"/>
      <c r="Q131" s="21"/>
      <c r="R131" s="20"/>
      <c r="S131" s="20"/>
      <c r="T131" s="21"/>
      <c r="U131" s="21"/>
      <c r="V131" s="9" t="str">
        <f aca="false">IF(A131="","",SUMIFS(CONFIG!$F$5:$F$26,CONFIG!$D$5:$D$26,"Tipo de persona",CONFIG!$E$5:$E$26,C131)+SUMIFS(CONFIG!$F$5:$F$26,CONFIG!$D$5:$D$26,"Residencia",CONFIG!$E$5:$E$26,E131)+SUMIFS(CONFIG!$F$5:$F$26,CONFIG!$D$5:$D$26,"Nacionalidad",CONFIG!$E$5:$E$26,F131)+SUMIFS(CONFIG!$F$5:$F$26,CONFIG!$D$5:$D$26,"Jurisdicción de riesgo",CONFIG!$E$5:$E$26,G131)+SUMIFS(CONFIG!$F$5:$F$26,CONFIG!$D$5:$D$26,"PEP",CONFIG!$E$5:$E$26,H131)+SUMIFS(CONFIG!$F$5:$F$26,CONFIG!$D$5:$D$26,"En listas",CONFIG!$E$5:$E$26,I131)+SUMIFS(CONFIG!$F$5:$F$26,CONFIG!$D$5:$D$26,"Riesgo de su actividad económica",CONFIG!$E$5:$E$26,J131)+SUMIFS(CONFIG!$F$5:$F$26,CONFIG!$D$5:$D$26,"Canal",CONFIG!$E$5:$E$26,K131)+SUMIFS(CONFIG!$F$5:$F$26,CONFIG!$D$5:$D$26,"Origen de recursos documentado",CONFIG!$E$5:$E$26,L131))</f>
        <v/>
      </c>
      <c r="W131" s="9" t="str">
        <f aca="false">IF(A131="","",IF(SUMIF(OPERACIONES!$C$6:$C$505,A131,OPERACIONES!$E$6:$E$505)&gt;0,IF(SUMIF(OPERACIONES!$C$6:$C$505,A131,OPERACIONES!$F$6:$F$505)/SUMIF(OPERACIONES!$C$6:$C$505,A131,OPERACIONES!$E$6:$E$505)&gt;0.5,CONFIG!$B$20,IF(SUMIF(OPERACIONES!$C$6:$C$505,A131,OPERACIONES!$F$6:$F$505)&gt;0,CONFIG!$B$21,0)),0)+IF(COUNTIFS(OPERACIONES!$C$6:$C$505,A131,OPERACIONES!$AQ$6:$AQ$505,1)&gt;0,CONFIG!$B$22,0)+IF(COUNTIFS(OPERACIONES!$C$6:$C$505,A131,OPERACIONES!$H$6:$H$505,"Sí")&gt;0,CONFIG!$B$23,0))</f>
        <v/>
      </c>
      <c r="X131" s="9" t="str">
        <f aca="false">IF(A131="","",V131+W131)</f>
        <v/>
      </c>
      <c r="Y131" s="9" t="str">
        <f aca="false">IF(A131="","",IF(X131&lt;=CONFIG!$B$13,"Bajo",IF(X131&lt;=CONFIG!$B$14,"Medio","Alto")))</f>
        <v/>
      </c>
      <c r="Z131" s="25" t="str">
        <f aca="false">IF(A131="","",IF(OR(H131="Extranjera",AND(E131="No residente",G131="Sí"),I131="Sí"),"Alto",IF(T131&lt;&gt;"",T131,Y131)))</f>
        <v/>
      </c>
      <c r="AA131" s="26" t="str">
        <f aca="false">IF(A131="","",IF(H131="Extranjera","Alto obligatorio: PEP extranjera (RCG 23 Bis 4)",IF(AND(E131="No residente",G131="Sí"),"Alto obligatorio: no residente vinculado a jurisdicción de riesgo (RCG 23 Bis 4)",IF(I131="Sí","Alto por criterio: persona en listas. Evalúa no operar y Aviso de 24 h",IF(T131&lt;&gt;"","Ajuste del REC: "&amp;U131,"Modelo: "&amp;X131&amp;" puntos")))))</f>
        <v/>
      </c>
      <c r="AB131" s="23" t="str">
        <f aca="false">IF(A131="","",IF(COUNT(N131,O131)=0,"Falta fecha",EDATE(MAX(N131,O131),IF(Z131="Alto",CONFIG!$B$18,IF(Z131="Medio",CONFIG!$B$17,CONFIG!$B$16)))))</f>
        <v/>
      </c>
      <c r="AC131" s="23" t="str">
        <f aca="false">IF(A131="","",IF(ISNUMBER(S131),EDATE(S131,12),IF(ISNUMBER(N131),EDATE(N131,12),"Falta fecha")))</f>
        <v/>
      </c>
      <c r="AD131" s="26" t="str">
        <f aca="false">IF(A131="","",MID(IF(P131&lt;&gt;"Sí"," · Expediente incompleto","")&amp;IF(OR(Q131="",Q131="Pendiente")," · Falta el Beneficiario Controlador","")&amp;IF(M131=""," · Sin perfil transaccional","")&amp;IF(AND(ISNUMBER(AB131),AB131&lt;CONFIG!$B$6)," · Evaluación de riesgo vencida","")&amp;IF(AND(ISNUMBER(AC131),AC131&lt;CONFIG!$B$6)," · Verificación anual vencida","")&amp;IF(AND(ISNUMBER(R131),ISNUMBER(S131),S131-R131&gt;92)," · Comprobante de domicilio con más de 3 meses","")&amp;IF(AND(T131&lt;&gt;"",U131="")," · Ajuste del REC sin justificación",""),4,400))</f>
        <v/>
      </c>
      <c r="AE131" s="9" t="str">
        <f aca="false">IF(A131="","",IF(AD131="","Al día","Revisar"))</f>
        <v/>
      </c>
      <c r="AF131" s="9" t="str">
        <f aca="false">IF(A131="","",COUNTIF(OPERACIONES!$C$6:$C$505,A131)&amp;" / $"&amp;FIXED(SUMIF(OPERACIONES!$C$6:$C$505,A131,OPERACIONES!$E$6:$E$505),0))</f>
        <v/>
      </c>
    </row>
    <row r="132" customFormat="false" ht="15" hidden="false" customHeight="false" outlineLevel="0" collapsed="false">
      <c r="A132" s="21"/>
      <c r="B132" s="21"/>
      <c r="C132" s="21"/>
      <c r="D132" s="21"/>
      <c r="E132" s="21"/>
      <c r="F132" s="21"/>
      <c r="G132" s="21"/>
      <c r="H132" s="21"/>
      <c r="I132" s="21"/>
      <c r="J132" s="21"/>
      <c r="K132" s="21"/>
      <c r="L132" s="21"/>
      <c r="M132" s="22"/>
      <c r="N132" s="20"/>
      <c r="O132" s="20"/>
      <c r="P132" s="21"/>
      <c r="Q132" s="21"/>
      <c r="R132" s="20"/>
      <c r="S132" s="20"/>
      <c r="T132" s="21"/>
      <c r="U132" s="21"/>
      <c r="V132" s="9" t="str">
        <f aca="false">IF(A132="","",SUMIFS(CONFIG!$F$5:$F$26,CONFIG!$D$5:$D$26,"Tipo de persona",CONFIG!$E$5:$E$26,C132)+SUMIFS(CONFIG!$F$5:$F$26,CONFIG!$D$5:$D$26,"Residencia",CONFIG!$E$5:$E$26,E132)+SUMIFS(CONFIG!$F$5:$F$26,CONFIG!$D$5:$D$26,"Nacionalidad",CONFIG!$E$5:$E$26,F132)+SUMIFS(CONFIG!$F$5:$F$26,CONFIG!$D$5:$D$26,"Jurisdicción de riesgo",CONFIG!$E$5:$E$26,G132)+SUMIFS(CONFIG!$F$5:$F$26,CONFIG!$D$5:$D$26,"PEP",CONFIG!$E$5:$E$26,H132)+SUMIFS(CONFIG!$F$5:$F$26,CONFIG!$D$5:$D$26,"En listas",CONFIG!$E$5:$E$26,I132)+SUMIFS(CONFIG!$F$5:$F$26,CONFIG!$D$5:$D$26,"Riesgo de su actividad económica",CONFIG!$E$5:$E$26,J132)+SUMIFS(CONFIG!$F$5:$F$26,CONFIG!$D$5:$D$26,"Canal",CONFIG!$E$5:$E$26,K132)+SUMIFS(CONFIG!$F$5:$F$26,CONFIG!$D$5:$D$26,"Origen de recursos documentado",CONFIG!$E$5:$E$26,L132))</f>
        <v/>
      </c>
      <c r="W132" s="9" t="str">
        <f aca="false">IF(A132="","",IF(SUMIF(OPERACIONES!$C$6:$C$505,A132,OPERACIONES!$E$6:$E$505)&gt;0,IF(SUMIF(OPERACIONES!$C$6:$C$505,A132,OPERACIONES!$F$6:$F$505)/SUMIF(OPERACIONES!$C$6:$C$505,A132,OPERACIONES!$E$6:$E$505)&gt;0.5,CONFIG!$B$20,IF(SUMIF(OPERACIONES!$C$6:$C$505,A132,OPERACIONES!$F$6:$F$505)&gt;0,CONFIG!$B$21,0)),0)+IF(COUNTIFS(OPERACIONES!$C$6:$C$505,A132,OPERACIONES!$AQ$6:$AQ$505,1)&gt;0,CONFIG!$B$22,0)+IF(COUNTIFS(OPERACIONES!$C$6:$C$505,A132,OPERACIONES!$H$6:$H$505,"Sí")&gt;0,CONFIG!$B$23,0))</f>
        <v/>
      </c>
      <c r="X132" s="9" t="str">
        <f aca="false">IF(A132="","",V132+W132)</f>
        <v/>
      </c>
      <c r="Y132" s="9" t="str">
        <f aca="false">IF(A132="","",IF(X132&lt;=CONFIG!$B$13,"Bajo",IF(X132&lt;=CONFIG!$B$14,"Medio","Alto")))</f>
        <v/>
      </c>
      <c r="Z132" s="25" t="str">
        <f aca="false">IF(A132="","",IF(OR(H132="Extranjera",AND(E132="No residente",G132="Sí"),I132="Sí"),"Alto",IF(T132&lt;&gt;"",T132,Y132)))</f>
        <v/>
      </c>
      <c r="AA132" s="26" t="str">
        <f aca="false">IF(A132="","",IF(H132="Extranjera","Alto obligatorio: PEP extranjera (RCG 23 Bis 4)",IF(AND(E132="No residente",G132="Sí"),"Alto obligatorio: no residente vinculado a jurisdicción de riesgo (RCG 23 Bis 4)",IF(I132="Sí","Alto por criterio: persona en listas. Evalúa no operar y Aviso de 24 h",IF(T132&lt;&gt;"","Ajuste del REC: "&amp;U132,"Modelo: "&amp;X132&amp;" puntos")))))</f>
        <v/>
      </c>
      <c r="AB132" s="23" t="str">
        <f aca="false">IF(A132="","",IF(COUNT(N132,O132)=0,"Falta fecha",EDATE(MAX(N132,O132),IF(Z132="Alto",CONFIG!$B$18,IF(Z132="Medio",CONFIG!$B$17,CONFIG!$B$16)))))</f>
        <v/>
      </c>
      <c r="AC132" s="23" t="str">
        <f aca="false">IF(A132="","",IF(ISNUMBER(S132),EDATE(S132,12),IF(ISNUMBER(N132),EDATE(N132,12),"Falta fecha")))</f>
        <v/>
      </c>
      <c r="AD132" s="26" t="str">
        <f aca="false">IF(A132="","",MID(IF(P132&lt;&gt;"Sí"," · Expediente incompleto","")&amp;IF(OR(Q132="",Q132="Pendiente")," · Falta el Beneficiario Controlador","")&amp;IF(M132=""," · Sin perfil transaccional","")&amp;IF(AND(ISNUMBER(AB132),AB132&lt;CONFIG!$B$6)," · Evaluación de riesgo vencida","")&amp;IF(AND(ISNUMBER(AC132),AC132&lt;CONFIG!$B$6)," · Verificación anual vencida","")&amp;IF(AND(ISNUMBER(R132),ISNUMBER(S132),S132-R132&gt;92)," · Comprobante de domicilio con más de 3 meses","")&amp;IF(AND(T132&lt;&gt;"",U132="")," · Ajuste del REC sin justificación",""),4,400))</f>
        <v/>
      </c>
      <c r="AE132" s="9" t="str">
        <f aca="false">IF(A132="","",IF(AD132="","Al día","Revisar"))</f>
        <v/>
      </c>
      <c r="AF132" s="9" t="str">
        <f aca="false">IF(A132="","",COUNTIF(OPERACIONES!$C$6:$C$505,A132)&amp;" / $"&amp;FIXED(SUMIF(OPERACIONES!$C$6:$C$505,A132,OPERACIONES!$E$6:$E$505),0))</f>
        <v/>
      </c>
    </row>
    <row r="133" customFormat="false" ht="15" hidden="false" customHeight="false" outlineLevel="0" collapsed="false">
      <c r="A133" s="21"/>
      <c r="B133" s="21"/>
      <c r="C133" s="21"/>
      <c r="D133" s="21"/>
      <c r="E133" s="21"/>
      <c r="F133" s="21"/>
      <c r="G133" s="21"/>
      <c r="H133" s="21"/>
      <c r="I133" s="21"/>
      <c r="J133" s="21"/>
      <c r="K133" s="21"/>
      <c r="L133" s="21"/>
      <c r="M133" s="22"/>
      <c r="N133" s="20"/>
      <c r="O133" s="20"/>
      <c r="P133" s="21"/>
      <c r="Q133" s="21"/>
      <c r="R133" s="20"/>
      <c r="S133" s="20"/>
      <c r="T133" s="21"/>
      <c r="U133" s="21"/>
      <c r="V133" s="9" t="str">
        <f aca="false">IF(A133="","",SUMIFS(CONFIG!$F$5:$F$26,CONFIG!$D$5:$D$26,"Tipo de persona",CONFIG!$E$5:$E$26,C133)+SUMIFS(CONFIG!$F$5:$F$26,CONFIG!$D$5:$D$26,"Residencia",CONFIG!$E$5:$E$26,E133)+SUMIFS(CONFIG!$F$5:$F$26,CONFIG!$D$5:$D$26,"Nacionalidad",CONFIG!$E$5:$E$26,F133)+SUMIFS(CONFIG!$F$5:$F$26,CONFIG!$D$5:$D$26,"Jurisdicción de riesgo",CONFIG!$E$5:$E$26,G133)+SUMIFS(CONFIG!$F$5:$F$26,CONFIG!$D$5:$D$26,"PEP",CONFIG!$E$5:$E$26,H133)+SUMIFS(CONFIG!$F$5:$F$26,CONFIG!$D$5:$D$26,"En listas",CONFIG!$E$5:$E$26,I133)+SUMIFS(CONFIG!$F$5:$F$26,CONFIG!$D$5:$D$26,"Riesgo de su actividad económica",CONFIG!$E$5:$E$26,J133)+SUMIFS(CONFIG!$F$5:$F$26,CONFIG!$D$5:$D$26,"Canal",CONFIG!$E$5:$E$26,K133)+SUMIFS(CONFIG!$F$5:$F$26,CONFIG!$D$5:$D$26,"Origen de recursos documentado",CONFIG!$E$5:$E$26,L133))</f>
        <v/>
      </c>
      <c r="W133" s="9" t="str">
        <f aca="false">IF(A133="","",IF(SUMIF(OPERACIONES!$C$6:$C$505,A133,OPERACIONES!$E$6:$E$505)&gt;0,IF(SUMIF(OPERACIONES!$C$6:$C$505,A133,OPERACIONES!$F$6:$F$505)/SUMIF(OPERACIONES!$C$6:$C$505,A133,OPERACIONES!$E$6:$E$505)&gt;0.5,CONFIG!$B$20,IF(SUMIF(OPERACIONES!$C$6:$C$505,A133,OPERACIONES!$F$6:$F$505)&gt;0,CONFIG!$B$21,0)),0)+IF(COUNTIFS(OPERACIONES!$C$6:$C$505,A133,OPERACIONES!$AQ$6:$AQ$505,1)&gt;0,CONFIG!$B$22,0)+IF(COUNTIFS(OPERACIONES!$C$6:$C$505,A133,OPERACIONES!$H$6:$H$505,"Sí")&gt;0,CONFIG!$B$23,0))</f>
        <v/>
      </c>
      <c r="X133" s="9" t="str">
        <f aca="false">IF(A133="","",V133+W133)</f>
        <v/>
      </c>
      <c r="Y133" s="9" t="str">
        <f aca="false">IF(A133="","",IF(X133&lt;=CONFIG!$B$13,"Bajo",IF(X133&lt;=CONFIG!$B$14,"Medio","Alto")))</f>
        <v/>
      </c>
      <c r="Z133" s="25" t="str">
        <f aca="false">IF(A133="","",IF(OR(H133="Extranjera",AND(E133="No residente",G133="Sí"),I133="Sí"),"Alto",IF(T133&lt;&gt;"",T133,Y133)))</f>
        <v/>
      </c>
      <c r="AA133" s="26" t="str">
        <f aca="false">IF(A133="","",IF(H133="Extranjera","Alto obligatorio: PEP extranjera (RCG 23 Bis 4)",IF(AND(E133="No residente",G133="Sí"),"Alto obligatorio: no residente vinculado a jurisdicción de riesgo (RCG 23 Bis 4)",IF(I133="Sí","Alto por criterio: persona en listas. Evalúa no operar y Aviso de 24 h",IF(T133&lt;&gt;"","Ajuste del REC: "&amp;U133,"Modelo: "&amp;X133&amp;" puntos")))))</f>
        <v/>
      </c>
      <c r="AB133" s="23" t="str">
        <f aca="false">IF(A133="","",IF(COUNT(N133,O133)=0,"Falta fecha",EDATE(MAX(N133,O133),IF(Z133="Alto",CONFIG!$B$18,IF(Z133="Medio",CONFIG!$B$17,CONFIG!$B$16)))))</f>
        <v/>
      </c>
      <c r="AC133" s="23" t="str">
        <f aca="false">IF(A133="","",IF(ISNUMBER(S133),EDATE(S133,12),IF(ISNUMBER(N133),EDATE(N133,12),"Falta fecha")))</f>
        <v/>
      </c>
      <c r="AD133" s="26" t="str">
        <f aca="false">IF(A133="","",MID(IF(P133&lt;&gt;"Sí"," · Expediente incompleto","")&amp;IF(OR(Q133="",Q133="Pendiente")," · Falta el Beneficiario Controlador","")&amp;IF(M133=""," · Sin perfil transaccional","")&amp;IF(AND(ISNUMBER(AB133),AB133&lt;CONFIG!$B$6)," · Evaluación de riesgo vencida","")&amp;IF(AND(ISNUMBER(AC133),AC133&lt;CONFIG!$B$6)," · Verificación anual vencida","")&amp;IF(AND(ISNUMBER(R133),ISNUMBER(S133),S133-R133&gt;92)," · Comprobante de domicilio con más de 3 meses","")&amp;IF(AND(T133&lt;&gt;"",U133="")," · Ajuste del REC sin justificación",""),4,400))</f>
        <v/>
      </c>
      <c r="AE133" s="9" t="str">
        <f aca="false">IF(A133="","",IF(AD133="","Al día","Revisar"))</f>
        <v/>
      </c>
      <c r="AF133" s="9" t="str">
        <f aca="false">IF(A133="","",COUNTIF(OPERACIONES!$C$6:$C$505,A133)&amp;" / $"&amp;FIXED(SUMIF(OPERACIONES!$C$6:$C$505,A133,OPERACIONES!$E$6:$E$505),0))</f>
        <v/>
      </c>
    </row>
    <row r="134" customFormat="false" ht="15" hidden="false" customHeight="false" outlineLevel="0" collapsed="false">
      <c r="A134" s="21"/>
      <c r="B134" s="21"/>
      <c r="C134" s="21"/>
      <c r="D134" s="21"/>
      <c r="E134" s="21"/>
      <c r="F134" s="21"/>
      <c r="G134" s="21"/>
      <c r="H134" s="21"/>
      <c r="I134" s="21"/>
      <c r="J134" s="21"/>
      <c r="K134" s="21"/>
      <c r="L134" s="21"/>
      <c r="M134" s="22"/>
      <c r="N134" s="20"/>
      <c r="O134" s="20"/>
      <c r="P134" s="21"/>
      <c r="Q134" s="21"/>
      <c r="R134" s="20"/>
      <c r="S134" s="20"/>
      <c r="T134" s="21"/>
      <c r="U134" s="21"/>
      <c r="V134" s="9" t="str">
        <f aca="false">IF(A134="","",SUMIFS(CONFIG!$F$5:$F$26,CONFIG!$D$5:$D$26,"Tipo de persona",CONFIG!$E$5:$E$26,C134)+SUMIFS(CONFIG!$F$5:$F$26,CONFIG!$D$5:$D$26,"Residencia",CONFIG!$E$5:$E$26,E134)+SUMIFS(CONFIG!$F$5:$F$26,CONFIG!$D$5:$D$26,"Nacionalidad",CONFIG!$E$5:$E$26,F134)+SUMIFS(CONFIG!$F$5:$F$26,CONFIG!$D$5:$D$26,"Jurisdicción de riesgo",CONFIG!$E$5:$E$26,G134)+SUMIFS(CONFIG!$F$5:$F$26,CONFIG!$D$5:$D$26,"PEP",CONFIG!$E$5:$E$26,H134)+SUMIFS(CONFIG!$F$5:$F$26,CONFIG!$D$5:$D$26,"En listas",CONFIG!$E$5:$E$26,I134)+SUMIFS(CONFIG!$F$5:$F$26,CONFIG!$D$5:$D$26,"Riesgo de su actividad económica",CONFIG!$E$5:$E$26,J134)+SUMIFS(CONFIG!$F$5:$F$26,CONFIG!$D$5:$D$26,"Canal",CONFIG!$E$5:$E$26,K134)+SUMIFS(CONFIG!$F$5:$F$26,CONFIG!$D$5:$D$26,"Origen de recursos documentado",CONFIG!$E$5:$E$26,L134))</f>
        <v/>
      </c>
      <c r="W134" s="9" t="str">
        <f aca="false">IF(A134="","",IF(SUMIF(OPERACIONES!$C$6:$C$505,A134,OPERACIONES!$E$6:$E$505)&gt;0,IF(SUMIF(OPERACIONES!$C$6:$C$505,A134,OPERACIONES!$F$6:$F$505)/SUMIF(OPERACIONES!$C$6:$C$505,A134,OPERACIONES!$E$6:$E$505)&gt;0.5,CONFIG!$B$20,IF(SUMIF(OPERACIONES!$C$6:$C$505,A134,OPERACIONES!$F$6:$F$505)&gt;0,CONFIG!$B$21,0)),0)+IF(COUNTIFS(OPERACIONES!$C$6:$C$505,A134,OPERACIONES!$AQ$6:$AQ$505,1)&gt;0,CONFIG!$B$22,0)+IF(COUNTIFS(OPERACIONES!$C$6:$C$505,A134,OPERACIONES!$H$6:$H$505,"Sí")&gt;0,CONFIG!$B$23,0))</f>
        <v/>
      </c>
      <c r="X134" s="9" t="str">
        <f aca="false">IF(A134="","",V134+W134)</f>
        <v/>
      </c>
      <c r="Y134" s="9" t="str">
        <f aca="false">IF(A134="","",IF(X134&lt;=CONFIG!$B$13,"Bajo",IF(X134&lt;=CONFIG!$B$14,"Medio","Alto")))</f>
        <v/>
      </c>
      <c r="Z134" s="25" t="str">
        <f aca="false">IF(A134="","",IF(OR(H134="Extranjera",AND(E134="No residente",G134="Sí"),I134="Sí"),"Alto",IF(T134&lt;&gt;"",T134,Y134)))</f>
        <v/>
      </c>
      <c r="AA134" s="26" t="str">
        <f aca="false">IF(A134="","",IF(H134="Extranjera","Alto obligatorio: PEP extranjera (RCG 23 Bis 4)",IF(AND(E134="No residente",G134="Sí"),"Alto obligatorio: no residente vinculado a jurisdicción de riesgo (RCG 23 Bis 4)",IF(I134="Sí","Alto por criterio: persona en listas. Evalúa no operar y Aviso de 24 h",IF(T134&lt;&gt;"","Ajuste del REC: "&amp;U134,"Modelo: "&amp;X134&amp;" puntos")))))</f>
        <v/>
      </c>
      <c r="AB134" s="23" t="str">
        <f aca="false">IF(A134="","",IF(COUNT(N134,O134)=0,"Falta fecha",EDATE(MAX(N134,O134),IF(Z134="Alto",CONFIG!$B$18,IF(Z134="Medio",CONFIG!$B$17,CONFIG!$B$16)))))</f>
        <v/>
      </c>
      <c r="AC134" s="23" t="str">
        <f aca="false">IF(A134="","",IF(ISNUMBER(S134),EDATE(S134,12),IF(ISNUMBER(N134),EDATE(N134,12),"Falta fecha")))</f>
        <v/>
      </c>
      <c r="AD134" s="26" t="str">
        <f aca="false">IF(A134="","",MID(IF(P134&lt;&gt;"Sí"," · Expediente incompleto","")&amp;IF(OR(Q134="",Q134="Pendiente")," · Falta el Beneficiario Controlador","")&amp;IF(M134=""," · Sin perfil transaccional","")&amp;IF(AND(ISNUMBER(AB134),AB134&lt;CONFIG!$B$6)," · Evaluación de riesgo vencida","")&amp;IF(AND(ISNUMBER(AC134),AC134&lt;CONFIG!$B$6)," · Verificación anual vencida","")&amp;IF(AND(ISNUMBER(R134),ISNUMBER(S134),S134-R134&gt;92)," · Comprobante de domicilio con más de 3 meses","")&amp;IF(AND(T134&lt;&gt;"",U134="")," · Ajuste del REC sin justificación",""),4,400))</f>
        <v/>
      </c>
      <c r="AE134" s="9" t="str">
        <f aca="false">IF(A134="","",IF(AD134="","Al día","Revisar"))</f>
        <v/>
      </c>
      <c r="AF134" s="9" t="str">
        <f aca="false">IF(A134="","",COUNTIF(OPERACIONES!$C$6:$C$505,A134)&amp;" / $"&amp;FIXED(SUMIF(OPERACIONES!$C$6:$C$505,A134,OPERACIONES!$E$6:$E$505),0))</f>
        <v/>
      </c>
    </row>
    <row r="135" customFormat="false" ht="15" hidden="false" customHeight="false" outlineLevel="0" collapsed="false">
      <c r="A135" s="21"/>
      <c r="B135" s="21"/>
      <c r="C135" s="21"/>
      <c r="D135" s="21"/>
      <c r="E135" s="21"/>
      <c r="F135" s="21"/>
      <c r="G135" s="21"/>
      <c r="H135" s="21"/>
      <c r="I135" s="21"/>
      <c r="J135" s="21"/>
      <c r="K135" s="21"/>
      <c r="L135" s="21"/>
      <c r="M135" s="22"/>
      <c r="N135" s="20"/>
      <c r="O135" s="20"/>
      <c r="P135" s="21"/>
      <c r="Q135" s="21"/>
      <c r="R135" s="20"/>
      <c r="S135" s="20"/>
      <c r="T135" s="21"/>
      <c r="U135" s="21"/>
      <c r="V135" s="9" t="str">
        <f aca="false">IF(A135="","",SUMIFS(CONFIG!$F$5:$F$26,CONFIG!$D$5:$D$26,"Tipo de persona",CONFIG!$E$5:$E$26,C135)+SUMIFS(CONFIG!$F$5:$F$26,CONFIG!$D$5:$D$26,"Residencia",CONFIG!$E$5:$E$26,E135)+SUMIFS(CONFIG!$F$5:$F$26,CONFIG!$D$5:$D$26,"Nacionalidad",CONFIG!$E$5:$E$26,F135)+SUMIFS(CONFIG!$F$5:$F$26,CONFIG!$D$5:$D$26,"Jurisdicción de riesgo",CONFIG!$E$5:$E$26,G135)+SUMIFS(CONFIG!$F$5:$F$26,CONFIG!$D$5:$D$26,"PEP",CONFIG!$E$5:$E$26,H135)+SUMIFS(CONFIG!$F$5:$F$26,CONFIG!$D$5:$D$26,"En listas",CONFIG!$E$5:$E$26,I135)+SUMIFS(CONFIG!$F$5:$F$26,CONFIG!$D$5:$D$26,"Riesgo de su actividad económica",CONFIG!$E$5:$E$26,J135)+SUMIFS(CONFIG!$F$5:$F$26,CONFIG!$D$5:$D$26,"Canal",CONFIG!$E$5:$E$26,K135)+SUMIFS(CONFIG!$F$5:$F$26,CONFIG!$D$5:$D$26,"Origen de recursos documentado",CONFIG!$E$5:$E$26,L135))</f>
        <v/>
      </c>
      <c r="W135" s="9" t="str">
        <f aca="false">IF(A135="","",IF(SUMIF(OPERACIONES!$C$6:$C$505,A135,OPERACIONES!$E$6:$E$505)&gt;0,IF(SUMIF(OPERACIONES!$C$6:$C$505,A135,OPERACIONES!$F$6:$F$505)/SUMIF(OPERACIONES!$C$6:$C$505,A135,OPERACIONES!$E$6:$E$505)&gt;0.5,CONFIG!$B$20,IF(SUMIF(OPERACIONES!$C$6:$C$505,A135,OPERACIONES!$F$6:$F$505)&gt;0,CONFIG!$B$21,0)),0)+IF(COUNTIFS(OPERACIONES!$C$6:$C$505,A135,OPERACIONES!$AQ$6:$AQ$505,1)&gt;0,CONFIG!$B$22,0)+IF(COUNTIFS(OPERACIONES!$C$6:$C$505,A135,OPERACIONES!$H$6:$H$505,"Sí")&gt;0,CONFIG!$B$23,0))</f>
        <v/>
      </c>
      <c r="X135" s="9" t="str">
        <f aca="false">IF(A135="","",V135+W135)</f>
        <v/>
      </c>
      <c r="Y135" s="9" t="str">
        <f aca="false">IF(A135="","",IF(X135&lt;=CONFIG!$B$13,"Bajo",IF(X135&lt;=CONFIG!$B$14,"Medio","Alto")))</f>
        <v/>
      </c>
      <c r="Z135" s="25" t="str">
        <f aca="false">IF(A135="","",IF(OR(H135="Extranjera",AND(E135="No residente",G135="Sí"),I135="Sí"),"Alto",IF(T135&lt;&gt;"",T135,Y135)))</f>
        <v/>
      </c>
      <c r="AA135" s="26" t="str">
        <f aca="false">IF(A135="","",IF(H135="Extranjera","Alto obligatorio: PEP extranjera (RCG 23 Bis 4)",IF(AND(E135="No residente",G135="Sí"),"Alto obligatorio: no residente vinculado a jurisdicción de riesgo (RCG 23 Bis 4)",IF(I135="Sí","Alto por criterio: persona en listas. Evalúa no operar y Aviso de 24 h",IF(T135&lt;&gt;"","Ajuste del REC: "&amp;U135,"Modelo: "&amp;X135&amp;" puntos")))))</f>
        <v/>
      </c>
      <c r="AB135" s="23" t="str">
        <f aca="false">IF(A135="","",IF(COUNT(N135,O135)=0,"Falta fecha",EDATE(MAX(N135,O135),IF(Z135="Alto",CONFIG!$B$18,IF(Z135="Medio",CONFIG!$B$17,CONFIG!$B$16)))))</f>
        <v/>
      </c>
      <c r="AC135" s="23" t="str">
        <f aca="false">IF(A135="","",IF(ISNUMBER(S135),EDATE(S135,12),IF(ISNUMBER(N135),EDATE(N135,12),"Falta fecha")))</f>
        <v/>
      </c>
      <c r="AD135" s="26" t="str">
        <f aca="false">IF(A135="","",MID(IF(P135&lt;&gt;"Sí"," · Expediente incompleto","")&amp;IF(OR(Q135="",Q135="Pendiente")," · Falta el Beneficiario Controlador","")&amp;IF(M135=""," · Sin perfil transaccional","")&amp;IF(AND(ISNUMBER(AB135),AB135&lt;CONFIG!$B$6)," · Evaluación de riesgo vencida","")&amp;IF(AND(ISNUMBER(AC135),AC135&lt;CONFIG!$B$6)," · Verificación anual vencida","")&amp;IF(AND(ISNUMBER(R135),ISNUMBER(S135),S135-R135&gt;92)," · Comprobante de domicilio con más de 3 meses","")&amp;IF(AND(T135&lt;&gt;"",U135="")," · Ajuste del REC sin justificación",""),4,400))</f>
        <v/>
      </c>
      <c r="AE135" s="9" t="str">
        <f aca="false">IF(A135="","",IF(AD135="","Al día","Revisar"))</f>
        <v/>
      </c>
      <c r="AF135" s="9" t="str">
        <f aca="false">IF(A135="","",COUNTIF(OPERACIONES!$C$6:$C$505,A135)&amp;" / $"&amp;FIXED(SUMIF(OPERACIONES!$C$6:$C$505,A135,OPERACIONES!$E$6:$E$505),0))</f>
        <v/>
      </c>
    </row>
    <row r="136" customFormat="false" ht="15" hidden="false" customHeight="false" outlineLevel="0" collapsed="false">
      <c r="A136" s="21"/>
      <c r="B136" s="21"/>
      <c r="C136" s="21"/>
      <c r="D136" s="21"/>
      <c r="E136" s="21"/>
      <c r="F136" s="21"/>
      <c r="G136" s="21"/>
      <c r="H136" s="21"/>
      <c r="I136" s="21"/>
      <c r="J136" s="21"/>
      <c r="K136" s="21"/>
      <c r="L136" s="21"/>
      <c r="M136" s="22"/>
      <c r="N136" s="20"/>
      <c r="O136" s="20"/>
      <c r="P136" s="21"/>
      <c r="Q136" s="21"/>
      <c r="R136" s="20"/>
      <c r="S136" s="20"/>
      <c r="T136" s="21"/>
      <c r="U136" s="21"/>
      <c r="V136" s="9" t="str">
        <f aca="false">IF(A136="","",SUMIFS(CONFIG!$F$5:$F$26,CONFIG!$D$5:$D$26,"Tipo de persona",CONFIG!$E$5:$E$26,C136)+SUMIFS(CONFIG!$F$5:$F$26,CONFIG!$D$5:$D$26,"Residencia",CONFIG!$E$5:$E$26,E136)+SUMIFS(CONFIG!$F$5:$F$26,CONFIG!$D$5:$D$26,"Nacionalidad",CONFIG!$E$5:$E$26,F136)+SUMIFS(CONFIG!$F$5:$F$26,CONFIG!$D$5:$D$26,"Jurisdicción de riesgo",CONFIG!$E$5:$E$26,G136)+SUMIFS(CONFIG!$F$5:$F$26,CONFIG!$D$5:$D$26,"PEP",CONFIG!$E$5:$E$26,H136)+SUMIFS(CONFIG!$F$5:$F$26,CONFIG!$D$5:$D$26,"En listas",CONFIG!$E$5:$E$26,I136)+SUMIFS(CONFIG!$F$5:$F$26,CONFIG!$D$5:$D$26,"Riesgo de su actividad económica",CONFIG!$E$5:$E$26,J136)+SUMIFS(CONFIG!$F$5:$F$26,CONFIG!$D$5:$D$26,"Canal",CONFIG!$E$5:$E$26,K136)+SUMIFS(CONFIG!$F$5:$F$26,CONFIG!$D$5:$D$26,"Origen de recursos documentado",CONFIG!$E$5:$E$26,L136))</f>
        <v/>
      </c>
      <c r="W136" s="9" t="str">
        <f aca="false">IF(A136="","",IF(SUMIF(OPERACIONES!$C$6:$C$505,A136,OPERACIONES!$E$6:$E$505)&gt;0,IF(SUMIF(OPERACIONES!$C$6:$C$505,A136,OPERACIONES!$F$6:$F$505)/SUMIF(OPERACIONES!$C$6:$C$505,A136,OPERACIONES!$E$6:$E$505)&gt;0.5,CONFIG!$B$20,IF(SUMIF(OPERACIONES!$C$6:$C$505,A136,OPERACIONES!$F$6:$F$505)&gt;0,CONFIG!$B$21,0)),0)+IF(COUNTIFS(OPERACIONES!$C$6:$C$505,A136,OPERACIONES!$AQ$6:$AQ$505,1)&gt;0,CONFIG!$B$22,0)+IF(COUNTIFS(OPERACIONES!$C$6:$C$505,A136,OPERACIONES!$H$6:$H$505,"Sí")&gt;0,CONFIG!$B$23,0))</f>
        <v/>
      </c>
      <c r="X136" s="9" t="str">
        <f aca="false">IF(A136="","",V136+W136)</f>
        <v/>
      </c>
      <c r="Y136" s="9" t="str">
        <f aca="false">IF(A136="","",IF(X136&lt;=CONFIG!$B$13,"Bajo",IF(X136&lt;=CONFIG!$B$14,"Medio","Alto")))</f>
        <v/>
      </c>
      <c r="Z136" s="25" t="str">
        <f aca="false">IF(A136="","",IF(OR(H136="Extranjera",AND(E136="No residente",G136="Sí"),I136="Sí"),"Alto",IF(T136&lt;&gt;"",T136,Y136)))</f>
        <v/>
      </c>
      <c r="AA136" s="26" t="str">
        <f aca="false">IF(A136="","",IF(H136="Extranjera","Alto obligatorio: PEP extranjera (RCG 23 Bis 4)",IF(AND(E136="No residente",G136="Sí"),"Alto obligatorio: no residente vinculado a jurisdicción de riesgo (RCG 23 Bis 4)",IF(I136="Sí","Alto por criterio: persona en listas. Evalúa no operar y Aviso de 24 h",IF(T136&lt;&gt;"","Ajuste del REC: "&amp;U136,"Modelo: "&amp;X136&amp;" puntos")))))</f>
        <v/>
      </c>
      <c r="AB136" s="23" t="str">
        <f aca="false">IF(A136="","",IF(COUNT(N136,O136)=0,"Falta fecha",EDATE(MAX(N136,O136),IF(Z136="Alto",CONFIG!$B$18,IF(Z136="Medio",CONFIG!$B$17,CONFIG!$B$16)))))</f>
        <v/>
      </c>
      <c r="AC136" s="23" t="str">
        <f aca="false">IF(A136="","",IF(ISNUMBER(S136),EDATE(S136,12),IF(ISNUMBER(N136),EDATE(N136,12),"Falta fecha")))</f>
        <v/>
      </c>
      <c r="AD136" s="26" t="str">
        <f aca="false">IF(A136="","",MID(IF(P136&lt;&gt;"Sí"," · Expediente incompleto","")&amp;IF(OR(Q136="",Q136="Pendiente")," · Falta el Beneficiario Controlador","")&amp;IF(M136=""," · Sin perfil transaccional","")&amp;IF(AND(ISNUMBER(AB136),AB136&lt;CONFIG!$B$6)," · Evaluación de riesgo vencida","")&amp;IF(AND(ISNUMBER(AC136),AC136&lt;CONFIG!$B$6)," · Verificación anual vencida","")&amp;IF(AND(ISNUMBER(R136),ISNUMBER(S136),S136-R136&gt;92)," · Comprobante de domicilio con más de 3 meses","")&amp;IF(AND(T136&lt;&gt;"",U136="")," · Ajuste del REC sin justificación",""),4,400))</f>
        <v/>
      </c>
      <c r="AE136" s="9" t="str">
        <f aca="false">IF(A136="","",IF(AD136="","Al día","Revisar"))</f>
        <v/>
      </c>
      <c r="AF136" s="9" t="str">
        <f aca="false">IF(A136="","",COUNTIF(OPERACIONES!$C$6:$C$505,A136)&amp;" / $"&amp;FIXED(SUMIF(OPERACIONES!$C$6:$C$505,A136,OPERACIONES!$E$6:$E$505),0))</f>
        <v/>
      </c>
    </row>
    <row r="137" customFormat="false" ht="15" hidden="false" customHeight="false" outlineLevel="0" collapsed="false">
      <c r="A137" s="21"/>
      <c r="B137" s="21"/>
      <c r="C137" s="21"/>
      <c r="D137" s="21"/>
      <c r="E137" s="21"/>
      <c r="F137" s="21"/>
      <c r="G137" s="21"/>
      <c r="H137" s="21"/>
      <c r="I137" s="21"/>
      <c r="J137" s="21"/>
      <c r="K137" s="21"/>
      <c r="L137" s="21"/>
      <c r="M137" s="22"/>
      <c r="N137" s="20"/>
      <c r="O137" s="20"/>
      <c r="P137" s="21"/>
      <c r="Q137" s="21"/>
      <c r="R137" s="20"/>
      <c r="S137" s="20"/>
      <c r="T137" s="21"/>
      <c r="U137" s="21"/>
      <c r="V137" s="9" t="str">
        <f aca="false">IF(A137="","",SUMIFS(CONFIG!$F$5:$F$26,CONFIG!$D$5:$D$26,"Tipo de persona",CONFIG!$E$5:$E$26,C137)+SUMIFS(CONFIG!$F$5:$F$26,CONFIG!$D$5:$D$26,"Residencia",CONFIG!$E$5:$E$26,E137)+SUMIFS(CONFIG!$F$5:$F$26,CONFIG!$D$5:$D$26,"Nacionalidad",CONFIG!$E$5:$E$26,F137)+SUMIFS(CONFIG!$F$5:$F$26,CONFIG!$D$5:$D$26,"Jurisdicción de riesgo",CONFIG!$E$5:$E$26,G137)+SUMIFS(CONFIG!$F$5:$F$26,CONFIG!$D$5:$D$26,"PEP",CONFIG!$E$5:$E$26,H137)+SUMIFS(CONFIG!$F$5:$F$26,CONFIG!$D$5:$D$26,"En listas",CONFIG!$E$5:$E$26,I137)+SUMIFS(CONFIG!$F$5:$F$26,CONFIG!$D$5:$D$26,"Riesgo de su actividad económica",CONFIG!$E$5:$E$26,J137)+SUMIFS(CONFIG!$F$5:$F$26,CONFIG!$D$5:$D$26,"Canal",CONFIG!$E$5:$E$26,K137)+SUMIFS(CONFIG!$F$5:$F$26,CONFIG!$D$5:$D$26,"Origen de recursos documentado",CONFIG!$E$5:$E$26,L137))</f>
        <v/>
      </c>
      <c r="W137" s="9" t="str">
        <f aca="false">IF(A137="","",IF(SUMIF(OPERACIONES!$C$6:$C$505,A137,OPERACIONES!$E$6:$E$505)&gt;0,IF(SUMIF(OPERACIONES!$C$6:$C$505,A137,OPERACIONES!$F$6:$F$505)/SUMIF(OPERACIONES!$C$6:$C$505,A137,OPERACIONES!$E$6:$E$505)&gt;0.5,CONFIG!$B$20,IF(SUMIF(OPERACIONES!$C$6:$C$505,A137,OPERACIONES!$F$6:$F$505)&gt;0,CONFIG!$B$21,0)),0)+IF(COUNTIFS(OPERACIONES!$C$6:$C$505,A137,OPERACIONES!$AQ$6:$AQ$505,1)&gt;0,CONFIG!$B$22,0)+IF(COUNTIFS(OPERACIONES!$C$6:$C$505,A137,OPERACIONES!$H$6:$H$505,"Sí")&gt;0,CONFIG!$B$23,0))</f>
        <v/>
      </c>
      <c r="X137" s="9" t="str">
        <f aca="false">IF(A137="","",V137+W137)</f>
        <v/>
      </c>
      <c r="Y137" s="9" t="str">
        <f aca="false">IF(A137="","",IF(X137&lt;=CONFIG!$B$13,"Bajo",IF(X137&lt;=CONFIG!$B$14,"Medio","Alto")))</f>
        <v/>
      </c>
      <c r="Z137" s="25" t="str">
        <f aca="false">IF(A137="","",IF(OR(H137="Extranjera",AND(E137="No residente",G137="Sí"),I137="Sí"),"Alto",IF(T137&lt;&gt;"",T137,Y137)))</f>
        <v/>
      </c>
      <c r="AA137" s="26" t="str">
        <f aca="false">IF(A137="","",IF(H137="Extranjera","Alto obligatorio: PEP extranjera (RCG 23 Bis 4)",IF(AND(E137="No residente",G137="Sí"),"Alto obligatorio: no residente vinculado a jurisdicción de riesgo (RCG 23 Bis 4)",IF(I137="Sí","Alto por criterio: persona en listas. Evalúa no operar y Aviso de 24 h",IF(T137&lt;&gt;"","Ajuste del REC: "&amp;U137,"Modelo: "&amp;X137&amp;" puntos")))))</f>
        <v/>
      </c>
      <c r="AB137" s="23" t="str">
        <f aca="false">IF(A137="","",IF(COUNT(N137,O137)=0,"Falta fecha",EDATE(MAX(N137,O137),IF(Z137="Alto",CONFIG!$B$18,IF(Z137="Medio",CONFIG!$B$17,CONFIG!$B$16)))))</f>
        <v/>
      </c>
      <c r="AC137" s="23" t="str">
        <f aca="false">IF(A137="","",IF(ISNUMBER(S137),EDATE(S137,12),IF(ISNUMBER(N137),EDATE(N137,12),"Falta fecha")))</f>
        <v/>
      </c>
      <c r="AD137" s="26" t="str">
        <f aca="false">IF(A137="","",MID(IF(P137&lt;&gt;"Sí"," · Expediente incompleto","")&amp;IF(OR(Q137="",Q137="Pendiente")," · Falta el Beneficiario Controlador","")&amp;IF(M137=""," · Sin perfil transaccional","")&amp;IF(AND(ISNUMBER(AB137),AB137&lt;CONFIG!$B$6)," · Evaluación de riesgo vencida","")&amp;IF(AND(ISNUMBER(AC137),AC137&lt;CONFIG!$B$6)," · Verificación anual vencida","")&amp;IF(AND(ISNUMBER(R137),ISNUMBER(S137),S137-R137&gt;92)," · Comprobante de domicilio con más de 3 meses","")&amp;IF(AND(T137&lt;&gt;"",U137="")," · Ajuste del REC sin justificación",""),4,400))</f>
        <v/>
      </c>
      <c r="AE137" s="9" t="str">
        <f aca="false">IF(A137="","",IF(AD137="","Al día","Revisar"))</f>
        <v/>
      </c>
      <c r="AF137" s="9" t="str">
        <f aca="false">IF(A137="","",COUNTIF(OPERACIONES!$C$6:$C$505,A137)&amp;" / $"&amp;FIXED(SUMIF(OPERACIONES!$C$6:$C$505,A137,OPERACIONES!$E$6:$E$505),0))</f>
        <v/>
      </c>
    </row>
    <row r="138" customFormat="false" ht="15" hidden="false" customHeight="false" outlineLevel="0" collapsed="false">
      <c r="A138" s="21"/>
      <c r="B138" s="21"/>
      <c r="C138" s="21"/>
      <c r="D138" s="21"/>
      <c r="E138" s="21"/>
      <c r="F138" s="21"/>
      <c r="G138" s="21"/>
      <c r="H138" s="21"/>
      <c r="I138" s="21"/>
      <c r="J138" s="21"/>
      <c r="K138" s="21"/>
      <c r="L138" s="21"/>
      <c r="M138" s="22"/>
      <c r="N138" s="20"/>
      <c r="O138" s="20"/>
      <c r="P138" s="21"/>
      <c r="Q138" s="21"/>
      <c r="R138" s="20"/>
      <c r="S138" s="20"/>
      <c r="T138" s="21"/>
      <c r="U138" s="21"/>
      <c r="V138" s="9" t="str">
        <f aca="false">IF(A138="","",SUMIFS(CONFIG!$F$5:$F$26,CONFIG!$D$5:$D$26,"Tipo de persona",CONFIG!$E$5:$E$26,C138)+SUMIFS(CONFIG!$F$5:$F$26,CONFIG!$D$5:$D$26,"Residencia",CONFIG!$E$5:$E$26,E138)+SUMIFS(CONFIG!$F$5:$F$26,CONFIG!$D$5:$D$26,"Nacionalidad",CONFIG!$E$5:$E$26,F138)+SUMIFS(CONFIG!$F$5:$F$26,CONFIG!$D$5:$D$26,"Jurisdicción de riesgo",CONFIG!$E$5:$E$26,G138)+SUMIFS(CONFIG!$F$5:$F$26,CONFIG!$D$5:$D$26,"PEP",CONFIG!$E$5:$E$26,H138)+SUMIFS(CONFIG!$F$5:$F$26,CONFIG!$D$5:$D$26,"En listas",CONFIG!$E$5:$E$26,I138)+SUMIFS(CONFIG!$F$5:$F$26,CONFIG!$D$5:$D$26,"Riesgo de su actividad económica",CONFIG!$E$5:$E$26,J138)+SUMIFS(CONFIG!$F$5:$F$26,CONFIG!$D$5:$D$26,"Canal",CONFIG!$E$5:$E$26,K138)+SUMIFS(CONFIG!$F$5:$F$26,CONFIG!$D$5:$D$26,"Origen de recursos documentado",CONFIG!$E$5:$E$26,L138))</f>
        <v/>
      </c>
      <c r="W138" s="9" t="str">
        <f aca="false">IF(A138="","",IF(SUMIF(OPERACIONES!$C$6:$C$505,A138,OPERACIONES!$E$6:$E$505)&gt;0,IF(SUMIF(OPERACIONES!$C$6:$C$505,A138,OPERACIONES!$F$6:$F$505)/SUMIF(OPERACIONES!$C$6:$C$505,A138,OPERACIONES!$E$6:$E$505)&gt;0.5,CONFIG!$B$20,IF(SUMIF(OPERACIONES!$C$6:$C$505,A138,OPERACIONES!$F$6:$F$505)&gt;0,CONFIG!$B$21,0)),0)+IF(COUNTIFS(OPERACIONES!$C$6:$C$505,A138,OPERACIONES!$AQ$6:$AQ$505,1)&gt;0,CONFIG!$B$22,0)+IF(COUNTIFS(OPERACIONES!$C$6:$C$505,A138,OPERACIONES!$H$6:$H$505,"Sí")&gt;0,CONFIG!$B$23,0))</f>
        <v/>
      </c>
      <c r="X138" s="9" t="str">
        <f aca="false">IF(A138="","",V138+W138)</f>
        <v/>
      </c>
      <c r="Y138" s="9" t="str">
        <f aca="false">IF(A138="","",IF(X138&lt;=CONFIG!$B$13,"Bajo",IF(X138&lt;=CONFIG!$B$14,"Medio","Alto")))</f>
        <v/>
      </c>
      <c r="Z138" s="25" t="str">
        <f aca="false">IF(A138="","",IF(OR(H138="Extranjera",AND(E138="No residente",G138="Sí"),I138="Sí"),"Alto",IF(T138&lt;&gt;"",T138,Y138)))</f>
        <v/>
      </c>
      <c r="AA138" s="26" t="str">
        <f aca="false">IF(A138="","",IF(H138="Extranjera","Alto obligatorio: PEP extranjera (RCG 23 Bis 4)",IF(AND(E138="No residente",G138="Sí"),"Alto obligatorio: no residente vinculado a jurisdicción de riesgo (RCG 23 Bis 4)",IF(I138="Sí","Alto por criterio: persona en listas. Evalúa no operar y Aviso de 24 h",IF(T138&lt;&gt;"","Ajuste del REC: "&amp;U138,"Modelo: "&amp;X138&amp;" puntos")))))</f>
        <v/>
      </c>
      <c r="AB138" s="23" t="str">
        <f aca="false">IF(A138="","",IF(COUNT(N138,O138)=0,"Falta fecha",EDATE(MAX(N138,O138),IF(Z138="Alto",CONFIG!$B$18,IF(Z138="Medio",CONFIG!$B$17,CONFIG!$B$16)))))</f>
        <v/>
      </c>
      <c r="AC138" s="23" t="str">
        <f aca="false">IF(A138="","",IF(ISNUMBER(S138),EDATE(S138,12),IF(ISNUMBER(N138),EDATE(N138,12),"Falta fecha")))</f>
        <v/>
      </c>
      <c r="AD138" s="26" t="str">
        <f aca="false">IF(A138="","",MID(IF(P138&lt;&gt;"Sí"," · Expediente incompleto","")&amp;IF(OR(Q138="",Q138="Pendiente")," · Falta el Beneficiario Controlador","")&amp;IF(M138=""," · Sin perfil transaccional","")&amp;IF(AND(ISNUMBER(AB138),AB138&lt;CONFIG!$B$6)," · Evaluación de riesgo vencida","")&amp;IF(AND(ISNUMBER(AC138),AC138&lt;CONFIG!$B$6)," · Verificación anual vencida","")&amp;IF(AND(ISNUMBER(R138),ISNUMBER(S138),S138-R138&gt;92)," · Comprobante de domicilio con más de 3 meses","")&amp;IF(AND(T138&lt;&gt;"",U138="")," · Ajuste del REC sin justificación",""),4,400))</f>
        <v/>
      </c>
      <c r="AE138" s="9" t="str">
        <f aca="false">IF(A138="","",IF(AD138="","Al día","Revisar"))</f>
        <v/>
      </c>
      <c r="AF138" s="9" t="str">
        <f aca="false">IF(A138="","",COUNTIF(OPERACIONES!$C$6:$C$505,A138)&amp;" / $"&amp;FIXED(SUMIF(OPERACIONES!$C$6:$C$505,A138,OPERACIONES!$E$6:$E$505),0))</f>
        <v/>
      </c>
    </row>
    <row r="139" customFormat="false" ht="15" hidden="false" customHeight="false" outlineLevel="0" collapsed="false">
      <c r="A139" s="21"/>
      <c r="B139" s="21"/>
      <c r="C139" s="21"/>
      <c r="D139" s="21"/>
      <c r="E139" s="21"/>
      <c r="F139" s="21"/>
      <c r="G139" s="21"/>
      <c r="H139" s="21"/>
      <c r="I139" s="21"/>
      <c r="J139" s="21"/>
      <c r="K139" s="21"/>
      <c r="L139" s="21"/>
      <c r="M139" s="22"/>
      <c r="N139" s="20"/>
      <c r="O139" s="20"/>
      <c r="P139" s="21"/>
      <c r="Q139" s="21"/>
      <c r="R139" s="20"/>
      <c r="S139" s="20"/>
      <c r="T139" s="21"/>
      <c r="U139" s="21"/>
      <c r="V139" s="9" t="str">
        <f aca="false">IF(A139="","",SUMIFS(CONFIG!$F$5:$F$26,CONFIG!$D$5:$D$26,"Tipo de persona",CONFIG!$E$5:$E$26,C139)+SUMIFS(CONFIG!$F$5:$F$26,CONFIG!$D$5:$D$26,"Residencia",CONFIG!$E$5:$E$26,E139)+SUMIFS(CONFIG!$F$5:$F$26,CONFIG!$D$5:$D$26,"Nacionalidad",CONFIG!$E$5:$E$26,F139)+SUMIFS(CONFIG!$F$5:$F$26,CONFIG!$D$5:$D$26,"Jurisdicción de riesgo",CONFIG!$E$5:$E$26,G139)+SUMIFS(CONFIG!$F$5:$F$26,CONFIG!$D$5:$D$26,"PEP",CONFIG!$E$5:$E$26,H139)+SUMIFS(CONFIG!$F$5:$F$26,CONFIG!$D$5:$D$26,"En listas",CONFIG!$E$5:$E$26,I139)+SUMIFS(CONFIG!$F$5:$F$26,CONFIG!$D$5:$D$26,"Riesgo de su actividad económica",CONFIG!$E$5:$E$26,J139)+SUMIFS(CONFIG!$F$5:$F$26,CONFIG!$D$5:$D$26,"Canal",CONFIG!$E$5:$E$26,K139)+SUMIFS(CONFIG!$F$5:$F$26,CONFIG!$D$5:$D$26,"Origen de recursos documentado",CONFIG!$E$5:$E$26,L139))</f>
        <v/>
      </c>
      <c r="W139" s="9" t="str">
        <f aca="false">IF(A139="","",IF(SUMIF(OPERACIONES!$C$6:$C$505,A139,OPERACIONES!$E$6:$E$505)&gt;0,IF(SUMIF(OPERACIONES!$C$6:$C$505,A139,OPERACIONES!$F$6:$F$505)/SUMIF(OPERACIONES!$C$6:$C$505,A139,OPERACIONES!$E$6:$E$505)&gt;0.5,CONFIG!$B$20,IF(SUMIF(OPERACIONES!$C$6:$C$505,A139,OPERACIONES!$F$6:$F$505)&gt;0,CONFIG!$B$21,0)),0)+IF(COUNTIFS(OPERACIONES!$C$6:$C$505,A139,OPERACIONES!$AQ$6:$AQ$505,1)&gt;0,CONFIG!$B$22,0)+IF(COUNTIFS(OPERACIONES!$C$6:$C$505,A139,OPERACIONES!$H$6:$H$505,"Sí")&gt;0,CONFIG!$B$23,0))</f>
        <v/>
      </c>
      <c r="X139" s="9" t="str">
        <f aca="false">IF(A139="","",V139+W139)</f>
        <v/>
      </c>
      <c r="Y139" s="9" t="str">
        <f aca="false">IF(A139="","",IF(X139&lt;=CONFIG!$B$13,"Bajo",IF(X139&lt;=CONFIG!$B$14,"Medio","Alto")))</f>
        <v/>
      </c>
      <c r="Z139" s="25" t="str">
        <f aca="false">IF(A139="","",IF(OR(H139="Extranjera",AND(E139="No residente",G139="Sí"),I139="Sí"),"Alto",IF(T139&lt;&gt;"",T139,Y139)))</f>
        <v/>
      </c>
      <c r="AA139" s="26" t="str">
        <f aca="false">IF(A139="","",IF(H139="Extranjera","Alto obligatorio: PEP extranjera (RCG 23 Bis 4)",IF(AND(E139="No residente",G139="Sí"),"Alto obligatorio: no residente vinculado a jurisdicción de riesgo (RCG 23 Bis 4)",IF(I139="Sí","Alto por criterio: persona en listas. Evalúa no operar y Aviso de 24 h",IF(T139&lt;&gt;"","Ajuste del REC: "&amp;U139,"Modelo: "&amp;X139&amp;" puntos")))))</f>
        <v/>
      </c>
      <c r="AB139" s="23" t="str">
        <f aca="false">IF(A139="","",IF(COUNT(N139,O139)=0,"Falta fecha",EDATE(MAX(N139,O139),IF(Z139="Alto",CONFIG!$B$18,IF(Z139="Medio",CONFIG!$B$17,CONFIG!$B$16)))))</f>
        <v/>
      </c>
      <c r="AC139" s="23" t="str">
        <f aca="false">IF(A139="","",IF(ISNUMBER(S139),EDATE(S139,12),IF(ISNUMBER(N139),EDATE(N139,12),"Falta fecha")))</f>
        <v/>
      </c>
      <c r="AD139" s="26" t="str">
        <f aca="false">IF(A139="","",MID(IF(P139&lt;&gt;"Sí"," · Expediente incompleto","")&amp;IF(OR(Q139="",Q139="Pendiente")," · Falta el Beneficiario Controlador","")&amp;IF(M139=""," · Sin perfil transaccional","")&amp;IF(AND(ISNUMBER(AB139),AB139&lt;CONFIG!$B$6)," · Evaluación de riesgo vencida","")&amp;IF(AND(ISNUMBER(AC139),AC139&lt;CONFIG!$B$6)," · Verificación anual vencida","")&amp;IF(AND(ISNUMBER(R139),ISNUMBER(S139),S139-R139&gt;92)," · Comprobante de domicilio con más de 3 meses","")&amp;IF(AND(T139&lt;&gt;"",U139="")," · Ajuste del REC sin justificación",""),4,400))</f>
        <v/>
      </c>
      <c r="AE139" s="9" t="str">
        <f aca="false">IF(A139="","",IF(AD139="","Al día","Revisar"))</f>
        <v/>
      </c>
      <c r="AF139" s="9" t="str">
        <f aca="false">IF(A139="","",COUNTIF(OPERACIONES!$C$6:$C$505,A139)&amp;" / $"&amp;FIXED(SUMIF(OPERACIONES!$C$6:$C$505,A139,OPERACIONES!$E$6:$E$505),0))</f>
        <v/>
      </c>
    </row>
    <row r="140" customFormat="false" ht="15" hidden="false" customHeight="false" outlineLevel="0" collapsed="false">
      <c r="A140" s="21"/>
      <c r="B140" s="21"/>
      <c r="C140" s="21"/>
      <c r="D140" s="21"/>
      <c r="E140" s="21"/>
      <c r="F140" s="21"/>
      <c r="G140" s="21"/>
      <c r="H140" s="21"/>
      <c r="I140" s="21"/>
      <c r="J140" s="21"/>
      <c r="K140" s="21"/>
      <c r="L140" s="21"/>
      <c r="M140" s="22"/>
      <c r="N140" s="20"/>
      <c r="O140" s="20"/>
      <c r="P140" s="21"/>
      <c r="Q140" s="21"/>
      <c r="R140" s="20"/>
      <c r="S140" s="20"/>
      <c r="T140" s="21"/>
      <c r="U140" s="21"/>
      <c r="V140" s="9" t="str">
        <f aca="false">IF(A140="","",SUMIFS(CONFIG!$F$5:$F$26,CONFIG!$D$5:$D$26,"Tipo de persona",CONFIG!$E$5:$E$26,C140)+SUMIFS(CONFIG!$F$5:$F$26,CONFIG!$D$5:$D$26,"Residencia",CONFIG!$E$5:$E$26,E140)+SUMIFS(CONFIG!$F$5:$F$26,CONFIG!$D$5:$D$26,"Nacionalidad",CONFIG!$E$5:$E$26,F140)+SUMIFS(CONFIG!$F$5:$F$26,CONFIG!$D$5:$D$26,"Jurisdicción de riesgo",CONFIG!$E$5:$E$26,G140)+SUMIFS(CONFIG!$F$5:$F$26,CONFIG!$D$5:$D$26,"PEP",CONFIG!$E$5:$E$26,H140)+SUMIFS(CONFIG!$F$5:$F$26,CONFIG!$D$5:$D$26,"En listas",CONFIG!$E$5:$E$26,I140)+SUMIFS(CONFIG!$F$5:$F$26,CONFIG!$D$5:$D$26,"Riesgo de su actividad económica",CONFIG!$E$5:$E$26,J140)+SUMIFS(CONFIG!$F$5:$F$26,CONFIG!$D$5:$D$26,"Canal",CONFIG!$E$5:$E$26,K140)+SUMIFS(CONFIG!$F$5:$F$26,CONFIG!$D$5:$D$26,"Origen de recursos documentado",CONFIG!$E$5:$E$26,L140))</f>
        <v/>
      </c>
      <c r="W140" s="9" t="str">
        <f aca="false">IF(A140="","",IF(SUMIF(OPERACIONES!$C$6:$C$505,A140,OPERACIONES!$E$6:$E$505)&gt;0,IF(SUMIF(OPERACIONES!$C$6:$C$505,A140,OPERACIONES!$F$6:$F$505)/SUMIF(OPERACIONES!$C$6:$C$505,A140,OPERACIONES!$E$6:$E$505)&gt;0.5,CONFIG!$B$20,IF(SUMIF(OPERACIONES!$C$6:$C$505,A140,OPERACIONES!$F$6:$F$505)&gt;0,CONFIG!$B$21,0)),0)+IF(COUNTIFS(OPERACIONES!$C$6:$C$505,A140,OPERACIONES!$AQ$6:$AQ$505,1)&gt;0,CONFIG!$B$22,0)+IF(COUNTIFS(OPERACIONES!$C$6:$C$505,A140,OPERACIONES!$H$6:$H$505,"Sí")&gt;0,CONFIG!$B$23,0))</f>
        <v/>
      </c>
      <c r="X140" s="9" t="str">
        <f aca="false">IF(A140="","",V140+W140)</f>
        <v/>
      </c>
      <c r="Y140" s="9" t="str">
        <f aca="false">IF(A140="","",IF(X140&lt;=CONFIG!$B$13,"Bajo",IF(X140&lt;=CONFIG!$B$14,"Medio","Alto")))</f>
        <v/>
      </c>
      <c r="Z140" s="25" t="str">
        <f aca="false">IF(A140="","",IF(OR(H140="Extranjera",AND(E140="No residente",G140="Sí"),I140="Sí"),"Alto",IF(T140&lt;&gt;"",T140,Y140)))</f>
        <v/>
      </c>
      <c r="AA140" s="26" t="str">
        <f aca="false">IF(A140="","",IF(H140="Extranjera","Alto obligatorio: PEP extranjera (RCG 23 Bis 4)",IF(AND(E140="No residente",G140="Sí"),"Alto obligatorio: no residente vinculado a jurisdicción de riesgo (RCG 23 Bis 4)",IF(I140="Sí","Alto por criterio: persona en listas. Evalúa no operar y Aviso de 24 h",IF(T140&lt;&gt;"","Ajuste del REC: "&amp;U140,"Modelo: "&amp;X140&amp;" puntos")))))</f>
        <v/>
      </c>
      <c r="AB140" s="23" t="str">
        <f aca="false">IF(A140="","",IF(COUNT(N140,O140)=0,"Falta fecha",EDATE(MAX(N140,O140),IF(Z140="Alto",CONFIG!$B$18,IF(Z140="Medio",CONFIG!$B$17,CONFIG!$B$16)))))</f>
        <v/>
      </c>
      <c r="AC140" s="23" t="str">
        <f aca="false">IF(A140="","",IF(ISNUMBER(S140),EDATE(S140,12),IF(ISNUMBER(N140),EDATE(N140,12),"Falta fecha")))</f>
        <v/>
      </c>
      <c r="AD140" s="26" t="str">
        <f aca="false">IF(A140="","",MID(IF(P140&lt;&gt;"Sí"," · Expediente incompleto","")&amp;IF(OR(Q140="",Q140="Pendiente")," · Falta el Beneficiario Controlador","")&amp;IF(M140=""," · Sin perfil transaccional","")&amp;IF(AND(ISNUMBER(AB140),AB140&lt;CONFIG!$B$6)," · Evaluación de riesgo vencida","")&amp;IF(AND(ISNUMBER(AC140),AC140&lt;CONFIG!$B$6)," · Verificación anual vencida","")&amp;IF(AND(ISNUMBER(R140),ISNUMBER(S140),S140-R140&gt;92)," · Comprobante de domicilio con más de 3 meses","")&amp;IF(AND(T140&lt;&gt;"",U140="")," · Ajuste del REC sin justificación",""),4,400))</f>
        <v/>
      </c>
      <c r="AE140" s="9" t="str">
        <f aca="false">IF(A140="","",IF(AD140="","Al día","Revisar"))</f>
        <v/>
      </c>
      <c r="AF140" s="9" t="str">
        <f aca="false">IF(A140="","",COUNTIF(OPERACIONES!$C$6:$C$505,A140)&amp;" / $"&amp;FIXED(SUMIF(OPERACIONES!$C$6:$C$505,A140,OPERACIONES!$E$6:$E$505),0))</f>
        <v/>
      </c>
    </row>
    <row r="141" customFormat="false" ht="15" hidden="false" customHeight="false" outlineLevel="0" collapsed="false">
      <c r="A141" s="21"/>
      <c r="B141" s="21"/>
      <c r="C141" s="21"/>
      <c r="D141" s="21"/>
      <c r="E141" s="21"/>
      <c r="F141" s="21"/>
      <c r="G141" s="21"/>
      <c r="H141" s="21"/>
      <c r="I141" s="21"/>
      <c r="J141" s="21"/>
      <c r="K141" s="21"/>
      <c r="L141" s="21"/>
      <c r="M141" s="22"/>
      <c r="N141" s="20"/>
      <c r="O141" s="20"/>
      <c r="P141" s="21"/>
      <c r="Q141" s="21"/>
      <c r="R141" s="20"/>
      <c r="S141" s="20"/>
      <c r="T141" s="21"/>
      <c r="U141" s="21"/>
      <c r="V141" s="9" t="str">
        <f aca="false">IF(A141="","",SUMIFS(CONFIG!$F$5:$F$26,CONFIG!$D$5:$D$26,"Tipo de persona",CONFIG!$E$5:$E$26,C141)+SUMIFS(CONFIG!$F$5:$F$26,CONFIG!$D$5:$D$26,"Residencia",CONFIG!$E$5:$E$26,E141)+SUMIFS(CONFIG!$F$5:$F$26,CONFIG!$D$5:$D$26,"Nacionalidad",CONFIG!$E$5:$E$26,F141)+SUMIFS(CONFIG!$F$5:$F$26,CONFIG!$D$5:$D$26,"Jurisdicción de riesgo",CONFIG!$E$5:$E$26,G141)+SUMIFS(CONFIG!$F$5:$F$26,CONFIG!$D$5:$D$26,"PEP",CONFIG!$E$5:$E$26,H141)+SUMIFS(CONFIG!$F$5:$F$26,CONFIG!$D$5:$D$26,"En listas",CONFIG!$E$5:$E$26,I141)+SUMIFS(CONFIG!$F$5:$F$26,CONFIG!$D$5:$D$26,"Riesgo de su actividad económica",CONFIG!$E$5:$E$26,J141)+SUMIFS(CONFIG!$F$5:$F$26,CONFIG!$D$5:$D$26,"Canal",CONFIG!$E$5:$E$26,K141)+SUMIFS(CONFIG!$F$5:$F$26,CONFIG!$D$5:$D$26,"Origen de recursos documentado",CONFIG!$E$5:$E$26,L141))</f>
        <v/>
      </c>
      <c r="W141" s="9" t="str">
        <f aca="false">IF(A141="","",IF(SUMIF(OPERACIONES!$C$6:$C$505,A141,OPERACIONES!$E$6:$E$505)&gt;0,IF(SUMIF(OPERACIONES!$C$6:$C$505,A141,OPERACIONES!$F$6:$F$505)/SUMIF(OPERACIONES!$C$6:$C$505,A141,OPERACIONES!$E$6:$E$505)&gt;0.5,CONFIG!$B$20,IF(SUMIF(OPERACIONES!$C$6:$C$505,A141,OPERACIONES!$F$6:$F$505)&gt;0,CONFIG!$B$21,0)),0)+IF(COUNTIFS(OPERACIONES!$C$6:$C$505,A141,OPERACIONES!$AQ$6:$AQ$505,1)&gt;0,CONFIG!$B$22,0)+IF(COUNTIFS(OPERACIONES!$C$6:$C$505,A141,OPERACIONES!$H$6:$H$505,"Sí")&gt;0,CONFIG!$B$23,0))</f>
        <v/>
      </c>
      <c r="X141" s="9" t="str">
        <f aca="false">IF(A141="","",V141+W141)</f>
        <v/>
      </c>
      <c r="Y141" s="9" t="str">
        <f aca="false">IF(A141="","",IF(X141&lt;=CONFIG!$B$13,"Bajo",IF(X141&lt;=CONFIG!$B$14,"Medio","Alto")))</f>
        <v/>
      </c>
      <c r="Z141" s="25" t="str">
        <f aca="false">IF(A141="","",IF(OR(H141="Extranjera",AND(E141="No residente",G141="Sí"),I141="Sí"),"Alto",IF(T141&lt;&gt;"",T141,Y141)))</f>
        <v/>
      </c>
      <c r="AA141" s="26" t="str">
        <f aca="false">IF(A141="","",IF(H141="Extranjera","Alto obligatorio: PEP extranjera (RCG 23 Bis 4)",IF(AND(E141="No residente",G141="Sí"),"Alto obligatorio: no residente vinculado a jurisdicción de riesgo (RCG 23 Bis 4)",IF(I141="Sí","Alto por criterio: persona en listas. Evalúa no operar y Aviso de 24 h",IF(T141&lt;&gt;"","Ajuste del REC: "&amp;U141,"Modelo: "&amp;X141&amp;" puntos")))))</f>
        <v/>
      </c>
      <c r="AB141" s="23" t="str">
        <f aca="false">IF(A141="","",IF(COUNT(N141,O141)=0,"Falta fecha",EDATE(MAX(N141,O141),IF(Z141="Alto",CONFIG!$B$18,IF(Z141="Medio",CONFIG!$B$17,CONFIG!$B$16)))))</f>
        <v/>
      </c>
      <c r="AC141" s="23" t="str">
        <f aca="false">IF(A141="","",IF(ISNUMBER(S141),EDATE(S141,12),IF(ISNUMBER(N141),EDATE(N141,12),"Falta fecha")))</f>
        <v/>
      </c>
      <c r="AD141" s="26" t="str">
        <f aca="false">IF(A141="","",MID(IF(P141&lt;&gt;"Sí"," · Expediente incompleto","")&amp;IF(OR(Q141="",Q141="Pendiente")," · Falta el Beneficiario Controlador","")&amp;IF(M141=""," · Sin perfil transaccional","")&amp;IF(AND(ISNUMBER(AB141),AB141&lt;CONFIG!$B$6)," · Evaluación de riesgo vencida","")&amp;IF(AND(ISNUMBER(AC141),AC141&lt;CONFIG!$B$6)," · Verificación anual vencida","")&amp;IF(AND(ISNUMBER(R141),ISNUMBER(S141),S141-R141&gt;92)," · Comprobante de domicilio con más de 3 meses","")&amp;IF(AND(T141&lt;&gt;"",U141="")," · Ajuste del REC sin justificación",""),4,400))</f>
        <v/>
      </c>
      <c r="AE141" s="9" t="str">
        <f aca="false">IF(A141="","",IF(AD141="","Al día","Revisar"))</f>
        <v/>
      </c>
      <c r="AF141" s="9" t="str">
        <f aca="false">IF(A141="","",COUNTIF(OPERACIONES!$C$6:$C$505,A141)&amp;" / $"&amp;FIXED(SUMIF(OPERACIONES!$C$6:$C$505,A141,OPERACIONES!$E$6:$E$505),0))</f>
        <v/>
      </c>
    </row>
    <row r="142" customFormat="false" ht="15" hidden="false" customHeight="false" outlineLevel="0" collapsed="false">
      <c r="A142" s="21"/>
      <c r="B142" s="21"/>
      <c r="C142" s="21"/>
      <c r="D142" s="21"/>
      <c r="E142" s="21"/>
      <c r="F142" s="21"/>
      <c r="G142" s="21"/>
      <c r="H142" s="21"/>
      <c r="I142" s="21"/>
      <c r="J142" s="21"/>
      <c r="K142" s="21"/>
      <c r="L142" s="21"/>
      <c r="M142" s="22"/>
      <c r="N142" s="20"/>
      <c r="O142" s="20"/>
      <c r="P142" s="21"/>
      <c r="Q142" s="21"/>
      <c r="R142" s="20"/>
      <c r="S142" s="20"/>
      <c r="T142" s="21"/>
      <c r="U142" s="21"/>
      <c r="V142" s="9" t="str">
        <f aca="false">IF(A142="","",SUMIFS(CONFIG!$F$5:$F$26,CONFIG!$D$5:$D$26,"Tipo de persona",CONFIG!$E$5:$E$26,C142)+SUMIFS(CONFIG!$F$5:$F$26,CONFIG!$D$5:$D$26,"Residencia",CONFIG!$E$5:$E$26,E142)+SUMIFS(CONFIG!$F$5:$F$26,CONFIG!$D$5:$D$26,"Nacionalidad",CONFIG!$E$5:$E$26,F142)+SUMIFS(CONFIG!$F$5:$F$26,CONFIG!$D$5:$D$26,"Jurisdicción de riesgo",CONFIG!$E$5:$E$26,G142)+SUMIFS(CONFIG!$F$5:$F$26,CONFIG!$D$5:$D$26,"PEP",CONFIG!$E$5:$E$26,H142)+SUMIFS(CONFIG!$F$5:$F$26,CONFIG!$D$5:$D$26,"En listas",CONFIG!$E$5:$E$26,I142)+SUMIFS(CONFIG!$F$5:$F$26,CONFIG!$D$5:$D$26,"Riesgo de su actividad económica",CONFIG!$E$5:$E$26,J142)+SUMIFS(CONFIG!$F$5:$F$26,CONFIG!$D$5:$D$26,"Canal",CONFIG!$E$5:$E$26,K142)+SUMIFS(CONFIG!$F$5:$F$26,CONFIG!$D$5:$D$26,"Origen de recursos documentado",CONFIG!$E$5:$E$26,L142))</f>
        <v/>
      </c>
      <c r="W142" s="9" t="str">
        <f aca="false">IF(A142="","",IF(SUMIF(OPERACIONES!$C$6:$C$505,A142,OPERACIONES!$E$6:$E$505)&gt;0,IF(SUMIF(OPERACIONES!$C$6:$C$505,A142,OPERACIONES!$F$6:$F$505)/SUMIF(OPERACIONES!$C$6:$C$505,A142,OPERACIONES!$E$6:$E$505)&gt;0.5,CONFIG!$B$20,IF(SUMIF(OPERACIONES!$C$6:$C$505,A142,OPERACIONES!$F$6:$F$505)&gt;0,CONFIG!$B$21,0)),0)+IF(COUNTIFS(OPERACIONES!$C$6:$C$505,A142,OPERACIONES!$AQ$6:$AQ$505,1)&gt;0,CONFIG!$B$22,0)+IF(COUNTIFS(OPERACIONES!$C$6:$C$505,A142,OPERACIONES!$H$6:$H$505,"Sí")&gt;0,CONFIG!$B$23,0))</f>
        <v/>
      </c>
      <c r="X142" s="9" t="str">
        <f aca="false">IF(A142="","",V142+W142)</f>
        <v/>
      </c>
      <c r="Y142" s="9" t="str">
        <f aca="false">IF(A142="","",IF(X142&lt;=CONFIG!$B$13,"Bajo",IF(X142&lt;=CONFIG!$B$14,"Medio","Alto")))</f>
        <v/>
      </c>
      <c r="Z142" s="25" t="str">
        <f aca="false">IF(A142="","",IF(OR(H142="Extranjera",AND(E142="No residente",G142="Sí"),I142="Sí"),"Alto",IF(T142&lt;&gt;"",T142,Y142)))</f>
        <v/>
      </c>
      <c r="AA142" s="26" t="str">
        <f aca="false">IF(A142="","",IF(H142="Extranjera","Alto obligatorio: PEP extranjera (RCG 23 Bis 4)",IF(AND(E142="No residente",G142="Sí"),"Alto obligatorio: no residente vinculado a jurisdicción de riesgo (RCG 23 Bis 4)",IF(I142="Sí","Alto por criterio: persona en listas. Evalúa no operar y Aviso de 24 h",IF(T142&lt;&gt;"","Ajuste del REC: "&amp;U142,"Modelo: "&amp;X142&amp;" puntos")))))</f>
        <v/>
      </c>
      <c r="AB142" s="23" t="str">
        <f aca="false">IF(A142="","",IF(COUNT(N142,O142)=0,"Falta fecha",EDATE(MAX(N142,O142),IF(Z142="Alto",CONFIG!$B$18,IF(Z142="Medio",CONFIG!$B$17,CONFIG!$B$16)))))</f>
        <v/>
      </c>
      <c r="AC142" s="23" t="str">
        <f aca="false">IF(A142="","",IF(ISNUMBER(S142),EDATE(S142,12),IF(ISNUMBER(N142),EDATE(N142,12),"Falta fecha")))</f>
        <v/>
      </c>
      <c r="AD142" s="26" t="str">
        <f aca="false">IF(A142="","",MID(IF(P142&lt;&gt;"Sí"," · Expediente incompleto","")&amp;IF(OR(Q142="",Q142="Pendiente")," · Falta el Beneficiario Controlador","")&amp;IF(M142=""," · Sin perfil transaccional","")&amp;IF(AND(ISNUMBER(AB142),AB142&lt;CONFIG!$B$6)," · Evaluación de riesgo vencida","")&amp;IF(AND(ISNUMBER(AC142),AC142&lt;CONFIG!$B$6)," · Verificación anual vencida","")&amp;IF(AND(ISNUMBER(R142),ISNUMBER(S142),S142-R142&gt;92)," · Comprobante de domicilio con más de 3 meses","")&amp;IF(AND(T142&lt;&gt;"",U142="")," · Ajuste del REC sin justificación",""),4,400))</f>
        <v/>
      </c>
      <c r="AE142" s="9" t="str">
        <f aca="false">IF(A142="","",IF(AD142="","Al día","Revisar"))</f>
        <v/>
      </c>
      <c r="AF142" s="9" t="str">
        <f aca="false">IF(A142="","",COUNTIF(OPERACIONES!$C$6:$C$505,A142)&amp;" / $"&amp;FIXED(SUMIF(OPERACIONES!$C$6:$C$505,A142,OPERACIONES!$E$6:$E$505),0))</f>
        <v/>
      </c>
    </row>
    <row r="143" customFormat="false" ht="15" hidden="false" customHeight="false" outlineLevel="0" collapsed="false">
      <c r="A143" s="21"/>
      <c r="B143" s="21"/>
      <c r="C143" s="21"/>
      <c r="D143" s="21"/>
      <c r="E143" s="21"/>
      <c r="F143" s="21"/>
      <c r="G143" s="21"/>
      <c r="H143" s="21"/>
      <c r="I143" s="21"/>
      <c r="J143" s="21"/>
      <c r="K143" s="21"/>
      <c r="L143" s="21"/>
      <c r="M143" s="22"/>
      <c r="N143" s="20"/>
      <c r="O143" s="20"/>
      <c r="P143" s="21"/>
      <c r="Q143" s="21"/>
      <c r="R143" s="20"/>
      <c r="S143" s="20"/>
      <c r="T143" s="21"/>
      <c r="U143" s="21"/>
      <c r="V143" s="9" t="str">
        <f aca="false">IF(A143="","",SUMIFS(CONFIG!$F$5:$F$26,CONFIG!$D$5:$D$26,"Tipo de persona",CONFIG!$E$5:$E$26,C143)+SUMIFS(CONFIG!$F$5:$F$26,CONFIG!$D$5:$D$26,"Residencia",CONFIG!$E$5:$E$26,E143)+SUMIFS(CONFIG!$F$5:$F$26,CONFIG!$D$5:$D$26,"Nacionalidad",CONFIG!$E$5:$E$26,F143)+SUMIFS(CONFIG!$F$5:$F$26,CONFIG!$D$5:$D$26,"Jurisdicción de riesgo",CONFIG!$E$5:$E$26,G143)+SUMIFS(CONFIG!$F$5:$F$26,CONFIG!$D$5:$D$26,"PEP",CONFIG!$E$5:$E$26,H143)+SUMIFS(CONFIG!$F$5:$F$26,CONFIG!$D$5:$D$26,"En listas",CONFIG!$E$5:$E$26,I143)+SUMIFS(CONFIG!$F$5:$F$26,CONFIG!$D$5:$D$26,"Riesgo de su actividad económica",CONFIG!$E$5:$E$26,J143)+SUMIFS(CONFIG!$F$5:$F$26,CONFIG!$D$5:$D$26,"Canal",CONFIG!$E$5:$E$26,K143)+SUMIFS(CONFIG!$F$5:$F$26,CONFIG!$D$5:$D$26,"Origen de recursos documentado",CONFIG!$E$5:$E$26,L143))</f>
        <v/>
      </c>
      <c r="W143" s="9" t="str">
        <f aca="false">IF(A143="","",IF(SUMIF(OPERACIONES!$C$6:$C$505,A143,OPERACIONES!$E$6:$E$505)&gt;0,IF(SUMIF(OPERACIONES!$C$6:$C$505,A143,OPERACIONES!$F$6:$F$505)/SUMIF(OPERACIONES!$C$6:$C$505,A143,OPERACIONES!$E$6:$E$505)&gt;0.5,CONFIG!$B$20,IF(SUMIF(OPERACIONES!$C$6:$C$505,A143,OPERACIONES!$F$6:$F$505)&gt;0,CONFIG!$B$21,0)),0)+IF(COUNTIFS(OPERACIONES!$C$6:$C$505,A143,OPERACIONES!$AQ$6:$AQ$505,1)&gt;0,CONFIG!$B$22,0)+IF(COUNTIFS(OPERACIONES!$C$6:$C$505,A143,OPERACIONES!$H$6:$H$505,"Sí")&gt;0,CONFIG!$B$23,0))</f>
        <v/>
      </c>
      <c r="X143" s="9" t="str">
        <f aca="false">IF(A143="","",V143+W143)</f>
        <v/>
      </c>
      <c r="Y143" s="9" t="str">
        <f aca="false">IF(A143="","",IF(X143&lt;=CONFIG!$B$13,"Bajo",IF(X143&lt;=CONFIG!$B$14,"Medio","Alto")))</f>
        <v/>
      </c>
      <c r="Z143" s="25" t="str">
        <f aca="false">IF(A143="","",IF(OR(H143="Extranjera",AND(E143="No residente",G143="Sí"),I143="Sí"),"Alto",IF(T143&lt;&gt;"",T143,Y143)))</f>
        <v/>
      </c>
      <c r="AA143" s="26" t="str">
        <f aca="false">IF(A143="","",IF(H143="Extranjera","Alto obligatorio: PEP extranjera (RCG 23 Bis 4)",IF(AND(E143="No residente",G143="Sí"),"Alto obligatorio: no residente vinculado a jurisdicción de riesgo (RCG 23 Bis 4)",IF(I143="Sí","Alto por criterio: persona en listas. Evalúa no operar y Aviso de 24 h",IF(T143&lt;&gt;"","Ajuste del REC: "&amp;U143,"Modelo: "&amp;X143&amp;" puntos")))))</f>
        <v/>
      </c>
      <c r="AB143" s="23" t="str">
        <f aca="false">IF(A143="","",IF(COUNT(N143,O143)=0,"Falta fecha",EDATE(MAX(N143,O143),IF(Z143="Alto",CONFIG!$B$18,IF(Z143="Medio",CONFIG!$B$17,CONFIG!$B$16)))))</f>
        <v/>
      </c>
      <c r="AC143" s="23" t="str">
        <f aca="false">IF(A143="","",IF(ISNUMBER(S143),EDATE(S143,12),IF(ISNUMBER(N143),EDATE(N143,12),"Falta fecha")))</f>
        <v/>
      </c>
      <c r="AD143" s="26" t="str">
        <f aca="false">IF(A143="","",MID(IF(P143&lt;&gt;"Sí"," · Expediente incompleto","")&amp;IF(OR(Q143="",Q143="Pendiente")," · Falta el Beneficiario Controlador","")&amp;IF(M143=""," · Sin perfil transaccional","")&amp;IF(AND(ISNUMBER(AB143),AB143&lt;CONFIG!$B$6)," · Evaluación de riesgo vencida","")&amp;IF(AND(ISNUMBER(AC143),AC143&lt;CONFIG!$B$6)," · Verificación anual vencida","")&amp;IF(AND(ISNUMBER(R143),ISNUMBER(S143),S143-R143&gt;92)," · Comprobante de domicilio con más de 3 meses","")&amp;IF(AND(T143&lt;&gt;"",U143="")," · Ajuste del REC sin justificación",""),4,400))</f>
        <v/>
      </c>
      <c r="AE143" s="9" t="str">
        <f aca="false">IF(A143="","",IF(AD143="","Al día","Revisar"))</f>
        <v/>
      </c>
      <c r="AF143" s="9" t="str">
        <f aca="false">IF(A143="","",COUNTIF(OPERACIONES!$C$6:$C$505,A143)&amp;" / $"&amp;FIXED(SUMIF(OPERACIONES!$C$6:$C$505,A143,OPERACIONES!$E$6:$E$505),0))</f>
        <v/>
      </c>
    </row>
    <row r="144" customFormat="false" ht="15" hidden="false" customHeight="false" outlineLevel="0" collapsed="false">
      <c r="A144" s="21"/>
      <c r="B144" s="21"/>
      <c r="C144" s="21"/>
      <c r="D144" s="21"/>
      <c r="E144" s="21"/>
      <c r="F144" s="21"/>
      <c r="G144" s="21"/>
      <c r="H144" s="21"/>
      <c r="I144" s="21"/>
      <c r="J144" s="21"/>
      <c r="K144" s="21"/>
      <c r="L144" s="21"/>
      <c r="M144" s="22"/>
      <c r="N144" s="20"/>
      <c r="O144" s="20"/>
      <c r="P144" s="21"/>
      <c r="Q144" s="21"/>
      <c r="R144" s="20"/>
      <c r="S144" s="20"/>
      <c r="T144" s="21"/>
      <c r="U144" s="21"/>
      <c r="V144" s="9" t="str">
        <f aca="false">IF(A144="","",SUMIFS(CONFIG!$F$5:$F$26,CONFIG!$D$5:$D$26,"Tipo de persona",CONFIG!$E$5:$E$26,C144)+SUMIFS(CONFIG!$F$5:$F$26,CONFIG!$D$5:$D$26,"Residencia",CONFIG!$E$5:$E$26,E144)+SUMIFS(CONFIG!$F$5:$F$26,CONFIG!$D$5:$D$26,"Nacionalidad",CONFIG!$E$5:$E$26,F144)+SUMIFS(CONFIG!$F$5:$F$26,CONFIG!$D$5:$D$26,"Jurisdicción de riesgo",CONFIG!$E$5:$E$26,G144)+SUMIFS(CONFIG!$F$5:$F$26,CONFIG!$D$5:$D$26,"PEP",CONFIG!$E$5:$E$26,H144)+SUMIFS(CONFIG!$F$5:$F$26,CONFIG!$D$5:$D$26,"En listas",CONFIG!$E$5:$E$26,I144)+SUMIFS(CONFIG!$F$5:$F$26,CONFIG!$D$5:$D$26,"Riesgo de su actividad económica",CONFIG!$E$5:$E$26,J144)+SUMIFS(CONFIG!$F$5:$F$26,CONFIG!$D$5:$D$26,"Canal",CONFIG!$E$5:$E$26,K144)+SUMIFS(CONFIG!$F$5:$F$26,CONFIG!$D$5:$D$26,"Origen de recursos documentado",CONFIG!$E$5:$E$26,L144))</f>
        <v/>
      </c>
      <c r="W144" s="9" t="str">
        <f aca="false">IF(A144="","",IF(SUMIF(OPERACIONES!$C$6:$C$505,A144,OPERACIONES!$E$6:$E$505)&gt;0,IF(SUMIF(OPERACIONES!$C$6:$C$505,A144,OPERACIONES!$F$6:$F$505)/SUMIF(OPERACIONES!$C$6:$C$505,A144,OPERACIONES!$E$6:$E$505)&gt;0.5,CONFIG!$B$20,IF(SUMIF(OPERACIONES!$C$6:$C$505,A144,OPERACIONES!$F$6:$F$505)&gt;0,CONFIG!$B$21,0)),0)+IF(COUNTIFS(OPERACIONES!$C$6:$C$505,A144,OPERACIONES!$AQ$6:$AQ$505,1)&gt;0,CONFIG!$B$22,0)+IF(COUNTIFS(OPERACIONES!$C$6:$C$505,A144,OPERACIONES!$H$6:$H$505,"Sí")&gt;0,CONFIG!$B$23,0))</f>
        <v/>
      </c>
      <c r="X144" s="9" t="str">
        <f aca="false">IF(A144="","",V144+W144)</f>
        <v/>
      </c>
      <c r="Y144" s="9" t="str">
        <f aca="false">IF(A144="","",IF(X144&lt;=CONFIG!$B$13,"Bajo",IF(X144&lt;=CONFIG!$B$14,"Medio","Alto")))</f>
        <v/>
      </c>
      <c r="Z144" s="25" t="str">
        <f aca="false">IF(A144="","",IF(OR(H144="Extranjera",AND(E144="No residente",G144="Sí"),I144="Sí"),"Alto",IF(T144&lt;&gt;"",T144,Y144)))</f>
        <v/>
      </c>
      <c r="AA144" s="26" t="str">
        <f aca="false">IF(A144="","",IF(H144="Extranjera","Alto obligatorio: PEP extranjera (RCG 23 Bis 4)",IF(AND(E144="No residente",G144="Sí"),"Alto obligatorio: no residente vinculado a jurisdicción de riesgo (RCG 23 Bis 4)",IF(I144="Sí","Alto por criterio: persona en listas. Evalúa no operar y Aviso de 24 h",IF(T144&lt;&gt;"","Ajuste del REC: "&amp;U144,"Modelo: "&amp;X144&amp;" puntos")))))</f>
        <v/>
      </c>
      <c r="AB144" s="23" t="str">
        <f aca="false">IF(A144="","",IF(COUNT(N144,O144)=0,"Falta fecha",EDATE(MAX(N144,O144),IF(Z144="Alto",CONFIG!$B$18,IF(Z144="Medio",CONFIG!$B$17,CONFIG!$B$16)))))</f>
        <v/>
      </c>
      <c r="AC144" s="23" t="str">
        <f aca="false">IF(A144="","",IF(ISNUMBER(S144),EDATE(S144,12),IF(ISNUMBER(N144),EDATE(N144,12),"Falta fecha")))</f>
        <v/>
      </c>
      <c r="AD144" s="26" t="str">
        <f aca="false">IF(A144="","",MID(IF(P144&lt;&gt;"Sí"," · Expediente incompleto","")&amp;IF(OR(Q144="",Q144="Pendiente")," · Falta el Beneficiario Controlador","")&amp;IF(M144=""," · Sin perfil transaccional","")&amp;IF(AND(ISNUMBER(AB144),AB144&lt;CONFIG!$B$6)," · Evaluación de riesgo vencida","")&amp;IF(AND(ISNUMBER(AC144),AC144&lt;CONFIG!$B$6)," · Verificación anual vencida","")&amp;IF(AND(ISNUMBER(R144),ISNUMBER(S144),S144-R144&gt;92)," · Comprobante de domicilio con más de 3 meses","")&amp;IF(AND(T144&lt;&gt;"",U144="")," · Ajuste del REC sin justificación",""),4,400))</f>
        <v/>
      </c>
      <c r="AE144" s="9" t="str">
        <f aca="false">IF(A144="","",IF(AD144="","Al día","Revisar"))</f>
        <v/>
      </c>
      <c r="AF144" s="9" t="str">
        <f aca="false">IF(A144="","",COUNTIF(OPERACIONES!$C$6:$C$505,A144)&amp;" / $"&amp;FIXED(SUMIF(OPERACIONES!$C$6:$C$505,A144,OPERACIONES!$E$6:$E$505),0))</f>
        <v/>
      </c>
    </row>
    <row r="145" customFormat="false" ht="15" hidden="false" customHeight="false" outlineLevel="0" collapsed="false">
      <c r="A145" s="21"/>
      <c r="B145" s="21"/>
      <c r="C145" s="21"/>
      <c r="D145" s="21"/>
      <c r="E145" s="21"/>
      <c r="F145" s="21"/>
      <c r="G145" s="21"/>
      <c r="H145" s="21"/>
      <c r="I145" s="21"/>
      <c r="J145" s="21"/>
      <c r="K145" s="21"/>
      <c r="L145" s="21"/>
      <c r="M145" s="22"/>
      <c r="N145" s="20"/>
      <c r="O145" s="20"/>
      <c r="P145" s="21"/>
      <c r="Q145" s="21"/>
      <c r="R145" s="20"/>
      <c r="S145" s="20"/>
      <c r="T145" s="21"/>
      <c r="U145" s="21"/>
      <c r="V145" s="9" t="str">
        <f aca="false">IF(A145="","",SUMIFS(CONFIG!$F$5:$F$26,CONFIG!$D$5:$D$26,"Tipo de persona",CONFIG!$E$5:$E$26,C145)+SUMIFS(CONFIG!$F$5:$F$26,CONFIG!$D$5:$D$26,"Residencia",CONFIG!$E$5:$E$26,E145)+SUMIFS(CONFIG!$F$5:$F$26,CONFIG!$D$5:$D$26,"Nacionalidad",CONFIG!$E$5:$E$26,F145)+SUMIFS(CONFIG!$F$5:$F$26,CONFIG!$D$5:$D$26,"Jurisdicción de riesgo",CONFIG!$E$5:$E$26,G145)+SUMIFS(CONFIG!$F$5:$F$26,CONFIG!$D$5:$D$26,"PEP",CONFIG!$E$5:$E$26,H145)+SUMIFS(CONFIG!$F$5:$F$26,CONFIG!$D$5:$D$26,"En listas",CONFIG!$E$5:$E$26,I145)+SUMIFS(CONFIG!$F$5:$F$26,CONFIG!$D$5:$D$26,"Riesgo de su actividad económica",CONFIG!$E$5:$E$26,J145)+SUMIFS(CONFIG!$F$5:$F$26,CONFIG!$D$5:$D$26,"Canal",CONFIG!$E$5:$E$26,K145)+SUMIFS(CONFIG!$F$5:$F$26,CONFIG!$D$5:$D$26,"Origen de recursos documentado",CONFIG!$E$5:$E$26,L145))</f>
        <v/>
      </c>
      <c r="W145" s="9" t="str">
        <f aca="false">IF(A145="","",IF(SUMIF(OPERACIONES!$C$6:$C$505,A145,OPERACIONES!$E$6:$E$505)&gt;0,IF(SUMIF(OPERACIONES!$C$6:$C$505,A145,OPERACIONES!$F$6:$F$505)/SUMIF(OPERACIONES!$C$6:$C$505,A145,OPERACIONES!$E$6:$E$505)&gt;0.5,CONFIG!$B$20,IF(SUMIF(OPERACIONES!$C$6:$C$505,A145,OPERACIONES!$F$6:$F$505)&gt;0,CONFIG!$B$21,0)),0)+IF(COUNTIFS(OPERACIONES!$C$6:$C$505,A145,OPERACIONES!$AQ$6:$AQ$505,1)&gt;0,CONFIG!$B$22,0)+IF(COUNTIFS(OPERACIONES!$C$6:$C$505,A145,OPERACIONES!$H$6:$H$505,"Sí")&gt;0,CONFIG!$B$23,0))</f>
        <v/>
      </c>
      <c r="X145" s="9" t="str">
        <f aca="false">IF(A145="","",V145+W145)</f>
        <v/>
      </c>
      <c r="Y145" s="9" t="str">
        <f aca="false">IF(A145="","",IF(X145&lt;=CONFIG!$B$13,"Bajo",IF(X145&lt;=CONFIG!$B$14,"Medio","Alto")))</f>
        <v/>
      </c>
      <c r="Z145" s="25" t="str">
        <f aca="false">IF(A145="","",IF(OR(H145="Extranjera",AND(E145="No residente",G145="Sí"),I145="Sí"),"Alto",IF(T145&lt;&gt;"",T145,Y145)))</f>
        <v/>
      </c>
      <c r="AA145" s="26" t="str">
        <f aca="false">IF(A145="","",IF(H145="Extranjera","Alto obligatorio: PEP extranjera (RCG 23 Bis 4)",IF(AND(E145="No residente",G145="Sí"),"Alto obligatorio: no residente vinculado a jurisdicción de riesgo (RCG 23 Bis 4)",IF(I145="Sí","Alto por criterio: persona en listas. Evalúa no operar y Aviso de 24 h",IF(T145&lt;&gt;"","Ajuste del REC: "&amp;U145,"Modelo: "&amp;X145&amp;" puntos")))))</f>
        <v/>
      </c>
      <c r="AB145" s="23" t="str">
        <f aca="false">IF(A145="","",IF(COUNT(N145,O145)=0,"Falta fecha",EDATE(MAX(N145,O145),IF(Z145="Alto",CONFIG!$B$18,IF(Z145="Medio",CONFIG!$B$17,CONFIG!$B$16)))))</f>
        <v/>
      </c>
      <c r="AC145" s="23" t="str">
        <f aca="false">IF(A145="","",IF(ISNUMBER(S145),EDATE(S145,12),IF(ISNUMBER(N145),EDATE(N145,12),"Falta fecha")))</f>
        <v/>
      </c>
      <c r="AD145" s="26" t="str">
        <f aca="false">IF(A145="","",MID(IF(P145&lt;&gt;"Sí"," · Expediente incompleto","")&amp;IF(OR(Q145="",Q145="Pendiente")," · Falta el Beneficiario Controlador","")&amp;IF(M145=""," · Sin perfil transaccional","")&amp;IF(AND(ISNUMBER(AB145),AB145&lt;CONFIG!$B$6)," · Evaluación de riesgo vencida","")&amp;IF(AND(ISNUMBER(AC145),AC145&lt;CONFIG!$B$6)," · Verificación anual vencida","")&amp;IF(AND(ISNUMBER(R145),ISNUMBER(S145),S145-R145&gt;92)," · Comprobante de domicilio con más de 3 meses","")&amp;IF(AND(T145&lt;&gt;"",U145="")," · Ajuste del REC sin justificación",""),4,400))</f>
        <v/>
      </c>
      <c r="AE145" s="9" t="str">
        <f aca="false">IF(A145="","",IF(AD145="","Al día","Revisar"))</f>
        <v/>
      </c>
      <c r="AF145" s="9" t="str">
        <f aca="false">IF(A145="","",COUNTIF(OPERACIONES!$C$6:$C$505,A145)&amp;" / $"&amp;FIXED(SUMIF(OPERACIONES!$C$6:$C$505,A145,OPERACIONES!$E$6:$E$505),0))</f>
        <v/>
      </c>
    </row>
    <row r="146" customFormat="false" ht="15" hidden="false" customHeight="false" outlineLevel="0" collapsed="false">
      <c r="A146" s="21"/>
      <c r="B146" s="21"/>
      <c r="C146" s="21"/>
      <c r="D146" s="21"/>
      <c r="E146" s="21"/>
      <c r="F146" s="21"/>
      <c r="G146" s="21"/>
      <c r="H146" s="21"/>
      <c r="I146" s="21"/>
      <c r="J146" s="21"/>
      <c r="K146" s="21"/>
      <c r="L146" s="21"/>
      <c r="M146" s="22"/>
      <c r="N146" s="20"/>
      <c r="O146" s="20"/>
      <c r="P146" s="21"/>
      <c r="Q146" s="21"/>
      <c r="R146" s="20"/>
      <c r="S146" s="20"/>
      <c r="T146" s="21"/>
      <c r="U146" s="21"/>
      <c r="V146" s="9" t="str">
        <f aca="false">IF(A146="","",SUMIFS(CONFIG!$F$5:$F$26,CONFIG!$D$5:$D$26,"Tipo de persona",CONFIG!$E$5:$E$26,C146)+SUMIFS(CONFIG!$F$5:$F$26,CONFIG!$D$5:$D$26,"Residencia",CONFIG!$E$5:$E$26,E146)+SUMIFS(CONFIG!$F$5:$F$26,CONFIG!$D$5:$D$26,"Nacionalidad",CONFIG!$E$5:$E$26,F146)+SUMIFS(CONFIG!$F$5:$F$26,CONFIG!$D$5:$D$26,"Jurisdicción de riesgo",CONFIG!$E$5:$E$26,G146)+SUMIFS(CONFIG!$F$5:$F$26,CONFIG!$D$5:$D$26,"PEP",CONFIG!$E$5:$E$26,H146)+SUMIFS(CONFIG!$F$5:$F$26,CONFIG!$D$5:$D$26,"En listas",CONFIG!$E$5:$E$26,I146)+SUMIFS(CONFIG!$F$5:$F$26,CONFIG!$D$5:$D$26,"Riesgo de su actividad económica",CONFIG!$E$5:$E$26,J146)+SUMIFS(CONFIG!$F$5:$F$26,CONFIG!$D$5:$D$26,"Canal",CONFIG!$E$5:$E$26,K146)+SUMIFS(CONFIG!$F$5:$F$26,CONFIG!$D$5:$D$26,"Origen de recursos documentado",CONFIG!$E$5:$E$26,L146))</f>
        <v/>
      </c>
      <c r="W146" s="9" t="str">
        <f aca="false">IF(A146="","",IF(SUMIF(OPERACIONES!$C$6:$C$505,A146,OPERACIONES!$E$6:$E$505)&gt;0,IF(SUMIF(OPERACIONES!$C$6:$C$505,A146,OPERACIONES!$F$6:$F$505)/SUMIF(OPERACIONES!$C$6:$C$505,A146,OPERACIONES!$E$6:$E$505)&gt;0.5,CONFIG!$B$20,IF(SUMIF(OPERACIONES!$C$6:$C$505,A146,OPERACIONES!$F$6:$F$505)&gt;0,CONFIG!$B$21,0)),0)+IF(COUNTIFS(OPERACIONES!$C$6:$C$505,A146,OPERACIONES!$AQ$6:$AQ$505,1)&gt;0,CONFIG!$B$22,0)+IF(COUNTIFS(OPERACIONES!$C$6:$C$505,A146,OPERACIONES!$H$6:$H$505,"Sí")&gt;0,CONFIG!$B$23,0))</f>
        <v/>
      </c>
      <c r="X146" s="9" t="str">
        <f aca="false">IF(A146="","",V146+W146)</f>
        <v/>
      </c>
      <c r="Y146" s="9" t="str">
        <f aca="false">IF(A146="","",IF(X146&lt;=CONFIG!$B$13,"Bajo",IF(X146&lt;=CONFIG!$B$14,"Medio","Alto")))</f>
        <v/>
      </c>
      <c r="Z146" s="25" t="str">
        <f aca="false">IF(A146="","",IF(OR(H146="Extranjera",AND(E146="No residente",G146="Sí"),I146="Sí"),"Alto",IF(T146&lt;&gt;"",T146,Y146)))</f>
        <v/>
      </c>
      <c r="AA146" s="26" t="str">
        <f aca="false">IF(A146="","",IF(H146="Extranjera","Alto obligatorio: PEP extranjera (RCG 23 Bis 4)",IF(AND(E146="No residente",G146="Sí"),"Alto obligatorio: no residente vinculado a jurisdicción de riesgo (RCG 23 Bis 4)",IF(I146="Sí","Alto por criterio: persona en listas. Evalúa no operar y Aviso de 24 h",IF(T146&lt;&gt;"","Ajuste del REC: "&amp;U146,"Modelo: "&amp;X146&amp;" puntos")))))</f>
        <v/>
      </c>
      <c r="AB146" s="23" t="str">
        <f aca="false">IF(A146="","",IF(COUNT(N146,O146)=0,"Falta fecha",EDATE(MAX(N146,O146),IF(Z146="Alto",CONFIG!$B$18,IF(Z146="Medio",CONFIG!$B$17,CONFIG!$B$16)))))</f>
        <v/>
      </c>
      <c r="AC146" s="23" t="str">
        <f aca="false">IF(A146="","",IF(ISNUMBER(S146),EDATE(S146,12),IF(ISNUMBER(N146),EDATE(N146,12),"Falta fecha")))</f>
        <v/>
      </c>
      <c r="AD146" s="26" t="str">
        <f aca="false">IF(A146="","",MID(IF(P146&lt;&gt;"Sí"," · Expediente incompleto","")&amp;IF(OR(Q146="",Q146="Pendiente")," · Falta el Beneficiario Controlador","")&amp;IF(M146=""," · Sin perfil transaccional","")&amp;IF(AND(ISNUMBER(AB146),AB146&lt;CONFIG!$B$6)," · Evaluación de riesgo vencida","")&amp;IF(AND(ISNUMBER(AC146),AC146&lt;CONFIG!$B$6)," · Verificación anual vencida","")&amp;IF(AND(ISNUMBER(R146),ISNUMBER(S146),S146-R146&gt;92)," · Comprobante de domicilio con más de 3 meses","")&amp;IF(AND(T146&lt;&gt;"",U146="")," · Ajuste del REC sin justificación",""),4,400))</f>
        <v/>
      </c>
      <c r="AE146" s="9" t="str">
        <f aca="false">IF(A146="","",IF(AD146="","Al día","Revisar"))</f>
        <v/>
      </c>
      <c r="AF146" s="9" t="str">
        <f aca="false">IF(A146="","",COUNTIF(OPERACIONES!$C$6:$C$505,A146)&amp;" / $"&amp;FIXED(SUMIF(OPERACIONES!$C$6:$C$505,A146,OPERACIONES!$E$6:$E$505),0))</f>
        <v/>
      </c>
    </row>
    <row r="147" customFormat="false" ht="15" hidden="false" customHeight="false" outlineLevel="0" collapsed="false">
      <c r="A147" s="21"/>
      <c r="B147" s="21"/>
      <c r="C147" s="21"/>
      <c r="D147" s="21"/>
      <c r="E147" s="21"/>
      <c r="F147" s="21"/>
      <c r="G147" s="21"/>
      <c r="H147" s="21"/>
      <c r="I147" s="21"/>
      <c r="J147" s="21"/>
      <c r="K147" s="21"/>
      <c r="L147" s="21"/>
      <c r="M147" s="22"/>
      <c r="N147" s="20"/>
      <c r="O147" s="20"/>
      <c r="P147" s="21"/>
      <c r="Q147" s="21"/>
      <c r="R147" s="20"/>
      <c r="S147" s="20"/>
      <c r="T147" s="21"/>
      <c r="U147" s="21"/>
      <c r="V147" s="9" t="str">
        <f aca="false">IF(A147="","",SUMIFS(CONFIG!$F$5:$F$26,CONFIG!$D$5:$D$26,"Tipo de persona",CONFIG!$E$5:$E$26,C147)+SUMIFS(CONFIG!$F$5:$F$26,CONFIG!$D$5:$D$26,"Residencia",CONFIG!$E$5:$E$26,E147)+SUMIFS(CONFIG!$F$5:$F$26,CONFIG!$D$5:$D$26,"Nacionalidad",CONFIG!$E$5:$E$26,F147)+SUMIFS(CONFIG!$F$5:$F$26,CONFIG!$D$5:$D$26,"Jurisdicción de riesgo",CONFIG!$E$5:$E$26,G147)+SUMIFS(CONFIG!$F$5:$F$26,CONFIG!$D$5:$D$26,"PEP",CONFIG!$E$5:$E$26,H147)+SUMIFS(CONFIG!$F$5:$F$26,CONFIG!$D$5:$D$26,"En listas",CONFIG!$E$5:$E$26,I147)+SUMIFS(CONFIG!$F$5:$F$26,CONFIG!$D$5:$D$26,"Riesgo de su actividad económica",CONFIG!$E$5:$E$26,J147)+SUMIFS(CONFIG!$F$5:$F$26,CONFIG!$D$5:$D$26,"Canal",CONFIG!$E$5:$E$26,K147)+SUMIFS(CONFIG!$F$5:$F$26,CONFIG!$D$5:$D$26,"Origen de recursos documentado",CONFIG!$E$5:$E$26,L147))</f>
        <v/>
      </c>
      <c r="W147" s="9" t="str">
        <f aca="false">IF(A147="","",IF(SUMIF(OPERACIONES!$C$6:$C$505,A147,OPERACIONES!$E$6:$E$505)&gt;0,IF(SUMIF(OPERACIONES!$C$6:$C$505,A147,OPERACIONES!$F$6:$F$505)/SUMIF(OPERACIONES!$C$6:$C$505,A147,OPERACIONES!$E$6:$E$505)&gt;0.5,CONFIG!$B$20,IF(SUMIF(OPERACIONES!$C$6:$C$505,A147,OPERACIONES!$F$6:$F$505)&gt;0,CONFIG!$B$21,0)),0)+IF(COUNTIFS(OPERACIONES!$C$6:$C$505,A147,OPERACIONES!$AQ$6:$AQ$505,1)&gt;0,CONFIG!$B$22,0)+IF(COUNTIFS(OPERACIONES!$C$6:$C$505,A147,OPERACIONES!$H$6:$H$505,"Sí")&gt;0,CONFIG!$B$23,0))</f>
        <v/>
      </c>
      <c r="X147" s="9" t="str">
        <f aca="false">IF(A147="","",V147+W147)</f>
        <v/>
      </c>
      <c r="Y147" s="9" t="str">
        <f aca="false">IF(A147="","",IF(X147&lt;=CONFIG!$B$13,"Bajo",IF(X147&lt;=CONFIG!$B$14,"Medio","Alto")))</f>
        <v/>
      </c>
      <c r="Z147" s="25" t="str">
        <f aca="false">IF(A147="","",IF(OR(H147="Extranjera",AND(E147="No residente",G147="Sí"),I147="Sí"),"Alto",IF(T147&lt;&gt;"",T147,Y147)))</f>
        <v/>
      </c>
      <c r="AA147" s="26" t="str">
        <f aca="false">IF(A147="","",IF(H147="Extranjera","Alto obligatorio: PEP extranjera (RCG 23 Bis 4)",IF(AND(E147="No residente",G147="Sí"),"Alto obligatorio: no residente vinculado a jurisdicción de riesgo (RCG 23 Bis 4)",IF(I147="Sí","Alto por criterio: persona en listas. Evalúa no operar y Aviso de 24 h",IF(T147&lt;&gt;"","Ajuste del REC: "&amp;U147,"Modelo: "&amp;X147&amp;" puntos")))))</f>
        <v/>
      </c>
      <c r="AB147" s="23" t="str">
        <f aca="false">IF(A147="","",IF(COUNT(N147,O147)=0,"Falta fecha",EDATE(MAX(N147,O147),IF(Z147="Alto",CONFIG!$B$18,IF(Z147="Medio",CONFIG!$B$17,CONFIG!$B$16)))))</f>
        <v/>
      </c>
      <c r="AC147" s="23" t="str">
        <f aca="false">IF(A147="","",IF(ISNUMBER(S147),EDATE(S147,12),IF(ISNUMBER(N147),EDATE(N147,12),"Falta fecha")))</f>
        <v/>
      </c>
      <c r="AD147" s="26" t="str">
        <f aca="false">IF(A147="","",MID(IF(P147&lt;&gt;"Sí"," · Expediente incompleto","")&amp;IF(OR(Q147="",Q147="Pendiente")," · Falta el Beneficiario Controlador","")&amp;IF(M147=""," · Sin perfil transaccional","")&amp;IF(AND(ISNUMBER(AB147),AB147&lt;CONFIG!$B$6)," · Evaluación de riesgo vencida","")&amp;IF(AND(ISNUMBER(AC147),AC147&lt;CONFIG!$B$6)," · Verificación anual vencida","")&amp;IF(AND(ISNUMBER(R147),ISNUMBER(S147),S147-R147&gt;92)," · Comprobante de domicilio con más de 3 meses","")&amp;IF(AND(T147&lt;&gt;"",U147="")," · Ajuste del REC sin justificación",""),4,400))</f>
        <v/>
      </c>
      <c r="AE147" s="9" t="str">
        <f aca="false">IF(A147="","",IF(AD147="","Al día","Revisar"))</f>
        <v/>
      </c>
      <c r="AF147" s="9" t="str">
        <f aca="false">IF(A147="","",COUNTIF(OPERACIONES!$C$6:$C$505,A147)&amp;" / $"&amp;FIXED(SUMIF(OPERACIONES!$C$6:$C$505,A147,OPERACIONES!$E$6:$E$505),0))</f>
        <v/>
      </c>
    </row>
    <row r="148" customFormat="false" ht="15" hidden="false" customHeight="false" outlineLevel="0" collapsed="false">
      <c r="A148" s="21"/>
      <c r="B148" s="21"/>
      <c r="C148" s="21"/>
      <c r="D148" s="21"/>
      <c r="E148" s="21"/>
      <c r="F148" s="21"/>
      <c r="G148" s="21"/>
      <c r="H148" s="21"/>
      <c r="I148" s="21"/>
      <c r="J148" s="21"/>
      <c r="K148" s="21"/>
      <c r="L148" s="21"/>
      <c r="M148" s="22"/>
      <c r="N148" s="20"/>
      <c r="O148" s="20"/>
      <c r="P148" s="21"/>
      <c r="Q148" s="21"/>
      <c r="R148" s="20"/>
      <c r="S148" s="20"/>
      <c r="T148" s="21"/>
      <c r="U148" s="21"/>
      <c r="V148" s="9" t="str">
        <f aca="false">IF(A148="","",SUMIFS(CONFIG!$F$5:$F$26,CONFIG!$D$5:$D$26,"Tipo de persona",CONFIG!$E$5:$E$26,C148)+SUMIFS(CONFIG!$F$5:$F$26,CONFIG!$D$5:$D$26,"Residencia",CONFIG!$E$5:$E$26,E148)+SUMIFS(CONFIG!$F$5:$F$26,CONFIG!$D$5:$D$26,"Nacionalidad",CONFIG!$E$5:$E$26,F148)+SUMIFS(CONFIG!$F$5:$F$26,CONFIG!$D$5:$D$26,"Jurisdicción de riesgo",CONFIG!$E$5:$E$26,G148)+SUMIFS(CONFIG!$F$5:$F$26,CONFIG!$D$5:$D$26,"PEP",CONFIG!$E$5:$E$26,H148)+SUMIFS(CONFIG!$F$5:$F$26,CONFIG!$D$5:$D$26,"En listas",CONFIG!$E$5:$E$26,I148)+SUMIFS(CONFIG!$F$5:$F$26,CONFIG!$D$5:$D$26,"Riesgo de su actividad económica",CONFIG!$E$5:$E$26,J148)+SUMIFS(CONFIG!$F$5:$F$26,CONFIG!$D$5:$D$26,"Canal",CONFIG!$E$5:$E$26,K148)+SUMIFS(CONFIG!$F$5:$F$26,CONFIG!$D$5:$D$26,"Origen de recursos documentado",CONFIG!$E$5:$E$26,L148))</f>
        <v/>
      </c>
      <c r="W148" s="9" t="str">
        <f aca="false">IF(A148="","",IF(SUMIF(OPERACIONES!$C$6:$C$505,A148,OPERACIONES!$E$6:$E$505)&gt;0,IF(SUMIF(OPERACIONES!$C$6:$C$505,A148,OPERACIONES!$F$6:$F$505)/SUMIF(OPERACIONES!$C$6:$C$505,A148,OPERACIONES!$E$6:$E$505)&gt;0.5,CONFIG!$B$20,IF(SUMIF(OPERACIONES!$C$6:$C$505,A148,OPERACIONES!$F$6:$F$505)&gt;0,CONFIG!$B$21,0)),0)+IF(COUNTIFS(OPERACIONES!$C$6:$C$505,A148,OPERACIONES!$AQ$6:$AQ$505,1)&gt;0,CONFIG!$B$22,0)+IF(COUNTIFS(OPERACIONES!$C$6:$C$505,A148,OPERACIONES!$H$6:$H$505,"Sí")&gt;0,CONFIG!$B$23,0))</f>
        <v/>
      </c>
      <c r="X148" s="9" t="str">
        <f aca="false">IF(A148="","",V148+W148)</f>
        <v/>
      </c>
      <c r="Y148" s="9" t="str">
        <f aca="false">IF(A148="","",IF(X148&lt;=CONFIG!$B$13,"Bajo",IF(X148&lt;=CONFIG!$B$14,"Medio","Alto")))</f>
        <v/>
      </c>
      <c r="Z148" s="25" t="str">
        <f aca="false">IF(A148="","",IF(OR(H148="Extranjera",AND(E148="No residente",G148="Sí"),I148="Sí"),"Alto",IF(T148&lt;&gt;"",T148,Y148)))</f>
        <v/>
      </c>
      <c r="AA148" s="26" t="str">
        <f aca="false">IF(A148="","",IF(H148="Extranjera","Alto obligatorio: PEP extranjera (RCG 23 Bis 4)",IF(AND(E148="No residente",G148="Sí"),"Alto obligatorio: no residente vinculado a jurisdicción de riesgo (RCG 23 Bis 4)",IF(I148="Sí","Alto por criterio: persona en listas. Evalúa no operar y Aviso de 24 h",IF(T148&lt;&gt;"","Ajuste del REC: "&amp;U148,"Modelo: "&amp;X148&amp;" puntos")))))</f>
        <v/>
      </c>
      <c r="AB148" s="23" t="str">
        <f aca="false">IF(A148="","",IF(COUNT(N148,O148)=0,"Falta fecha",EDATE(MAX(N148,O148),IF(Z148="Alto",CONFIG!$B$18,IF(Z148="Medio",CONFIG!$B$17,CONFIG!$B$16)))))</f>
        <v/>
      </c>
      <c r="AC148" s="23" t="str">
        <f aca="false">IF(A148="","",IF(ISNUMBER(S148),EDATE(S148,12),IF(ISNUMBER(N148),EDATE(N148,12),"Falta fecha")))</f>
        <v/>
      </c>
      <c r="AD148" s="26" t="str">
        <f aca="false">IF(A148="","",MID(IF(P148&lt;&gt;"Sí"," · Expediente incompleto","")&amp;IF(OR(Q148="",Q148="Pendiente")," · Falta el Beneficiario Controlador","")&amp;IF(M148=""," · Sin perfil transaccional","")&amp;IF(AND(ISNUMBER(AB148),AB148&lt;CONFIG!$B$6)," · Evaluación de riesgo vencida","")&amp;IF(AND(ISNUMBER(AC148),AC148&lt;CONFIG!$B$6)," · Verificación anual vencida","")&amp;IF(AND(ISNUMBER(R148),ISNUMBER(S148),S148-R148&gt;92)," · Comprobante de domicilio con más de 3 meses","")&amp;IF(AND(T148&lt;&gt;"",U148="")," · Ajuste del REC sin justificación",""),4,400))</f>
        <v/>
      </c>
      <c r="AE148" s="9" t="str">
        <f aca="false">IF(A148="","",IF(AD148="","Al día","Revisar"))</f>
        <v/>
      </c>
      <c r="AF148" s="9" t="str">
        <f aca="false">IF(A148="","",COUNTIF(OPERACIONES!$C$6:$C$505,A148)&amp;" / $"&amp;FIXED(SUMIF(OPERACIONES!$C$6:$C$505,A148,OPERACIONES!$E$6:$E$505),0))</f>
        <v/>
      </c>
    </row>
    <row r="149" customFormat="false" ht="15" hidden="false" customHeight="false" outlineLevel="0" collapsed="false">
      <c r="A149" s="21"/>
      <c r="B149" s="21"/>
      <c r="C149" s="21"/>
      <c r="D149" s="21"/>
      <c r="E149" s="21"/>
      <c r="F149" s="21"/>
      <c r="G149" s="21"/>
      <c r="H149" s="21"/>
      <c r="I149" s="21"/>
      <c r="J149" s="21"/>
      <c r="K149" s="21"/>
      <c r="L149" s="21"/>
      <c r="M149" s="22"/>
      <c r="N149" s="20"/>
      <c r="O149" s="20"/>
      <c r="P149" s="21"/>
      <c r="Q149" s="21"/>
      <c r="R149" s="20"/>
      <c r="S149" s="20"/>
      <c r="T149" s="21"/>
      <c r="U149" s="21"/>
      <c r="V149" s="9" t="str">
        <f aca="false">IF(A149="","",SUMIFS(CONFIG!$F$5:$F$26,CONFIG!$D$5:$D$26,"Tipo de persona",CONFIG!$E$5:$E$26,C149)+SUMIFS(CONFIG!$F$5:$F$26,CONFIG!$D$5:$D$26,"Residencia",CONFIG!$E$5:$E$26,E149)+SUMIFS(CONFIG!$F$5:$F$26,CONFIG!$D$5:$D$26,"Nacionalidad",CONFIG!$E$5:$E$26,F149)+SUMIFS(CONFIG!$F$5:$F$26,CONFIG!$D$5:$D$26,"Jurisdicción de riesgo",CONFIG!$E$5:$E$26,G149)+SUMIFS(CONFIG!$F$5:$F$26,CONFIG!$D$5:$D$26,"PEP",CONFIG!$E$5:$E$26,H149)+SUMIFS(CONFIG!$F$5:$F$26,CONFIG!$D$5:$D$26,"En listas",CONFIG!$E$5:$E$26,I149)+SUMIFS(CONFIG!$F$5:$F$26,CONFIG!$D$5:$D$26,"Riesgo de su actividad económica",CONFIG!$E$5:$E$26,J149)+SUMIFS(CONFIG!$F$5:$F$26,CONFIG!$D$5:$D$26,"Canal",CONFIG!$E$5:$E$26,K149)+SUMIFS(CONFIG!$F$5:$F$26,CONFIG!$D$5:$D$26,"Origen de recursos documentado",CONFIG!$E$5:$E$26,L149))</f>
        <v/>
      </c>
      <c r="W149" s="9" t="str">
        <f aca="false">IF(A149="","",IF(SUMIF(OPERACIONES!$C$6:$C$505,A149,OPERACIONES!$E$6:$E$505)&gt;0,IF(SUMIF(OPERACIONES!$C$6:$C$505,A149,OPERACIONES!$F$6:$F$505)/SUMIF(OPERACIONES!$C$6:$C$505,A149,OPERACIONES!$E$6:$E$505)&gt;0.5,CONFIG!$B$20,IF(SUMIF(OPERACIONES!$C$6:$C$505,A149,OPERACIONES!$F$6:$F$505)&gt;0,CONFIG!$B$21,0)),0)+IF(COUNTIFS(OPERACIONES!$C$6:$C$505,A149,OPERACIONES!$AQ$6:$AQ$505,1)&gt;0,CONFIG!$B$22,0)+IF(COUNTIFS(OPERACIONES!$C$6:$C$505,A149,OPERACIONES!$H$6:$H$505,"Sí")&gt;0,CONFIG!$B$23,0))</f>
        <v/>
      </c>
      <c r="X149" s="9" t="str">
        <f aca="false">IF(A149="","",V149+W149)</f>
        <v/>
      </c>
      <c r="Y149" s="9" t="str">
        <f aca="false">IF(A149="","",IF(X149&lt;=CONFIG!$B$13,"Bajo",IF(X149&lt;=CONFIG!$B$14,"Medio","Alto")))</f>
        <v/>
      </c>
      <c r="Z149" s="25" t="str">
        <f aca="false">IF(A149="","",IF(OR(H149="Extranjera",AND(E149="No residente",G149="Sí"),I149="Sí"),"Alto",IF(T149&lt;&gt;"",T149,Y149)))</f>
        <v/>
      </c>
      <c r="AA149" s="26" t="str">
        <f aca="false">IF(A149="","",IF(H149="Extranjera","Alto obligatorio: PEP extranjera (RCG 23 Bis 4)",IF(AND(E149="No residente",G149="Sí"),"Alto obligatorio: no residente vinculado a jurisdicción de riesgo (RCG 23 Bis 4)",IF(I149="Sí","Alto por criterio: persona en listas. Evalúa no operar y Aviso de 24 h",IF(T149&lt;&gt;"","Ajuste del REC: "&amp;U149,"Modelo: "&amp;X149&amp;" puntos")))))</f>
        <v/>
      </c>
      <c r="AB149" s="23" t="str">
        <f aca="false">IF(A149="","",IF(COUNT(N149,O149)=0,"Falta fecha",EDATE(MAX(N149,O149),IF(Z149="Alto",CONFIG!$B$18,IF(Z149="Medio",CONFIG!$B$17,CONFIG!$B$16)))))</f>
        <v/>
      </c>
      <c r="AC149" s="23" t="str">
        <f aca="false">IF(A149="","",IF(ISNUMBER(S149),EDATE(S149,12),IF(ISNUMBER(N149),EDATE(N149,12),"Falta fecha")))</f>
        <v/>
      </c>
      <c r="AD149" s="26" t="str">
        <f aca="false">IF(A149="","",MID(IF(P149&lt;&gt;"Sí"," · Expediente incompleto","")&amp;IF(OR(Q149="",Q149="Pendiente")," · Falta el Beneficiario Controlador","")&amp;IF(M149=""," · Sin perfil transaccional","")&amp;IF(AND(ISNUMBER(AB149),AB149&lt;CONFIG!$B$6)," · Evaluación de riesgo vencida","")&amp;IF(AND(ISNUMBER(AC149),AC149&lt;CONFIG!$B$6)," · Verificación anual vencida","")&amp;IF(AND(ISNUMBER(R149),ISNUMBER(S149),S149-R149&gt;92)," · Comprobante de domicilio con más de 3 meses","")&amp;IF(AND(T149&lt;&gt;"",U149="")," · Ajuste del REC sin justificación",""),4,400))</f>
        <v/>
      </c>
      <c r="AE149" s="9" t="str">
        <f aca="false">IF(A149="","",IF(AD149="","Al día","Revisar"))</f>
        <v/>
      </c>
      <c r="AF149" s="9" t="str">
        <f aca="false">IF(A149="","",COUNTIF(OPERACIONES!$C$6:$C$505,A149)&amp;" / $"&amp;FIXED(SUMIF(OPERACIONES!$C$6:$C$505,A149,OPERACIONES!$E$6:$E$505),0))</f>
        <v/>
      </c>
    </row>
    <row r="150" customFormat="false" ht="15" hidden="false" customHeight="false" outlineLevel="0" collapsed="false">
      <c r="A150" s="21"/>
      <c r="B150" s="21"/>
      <c r="C150" s="21"/>
      <c r="D150" s="21"/>
      <c r="E150" s="21"/>
      <c r="F150" s="21"/>
      <c r="G150" s="21"/>
      <c r="H150" s="21"/>
      <c r="I150" s="21"/>
      <c r="J150" s="21"/>
      <c r="K150" s="21"/>
      <c r="L150" s="21"/>
      <c r="M150" s="22"/>
      <c r="N150" s="20"/>
      <c r="O150" s="20"/>
      <c r="P150" s="21"/>
      <c r="Q150" s="21"/>
      <c r="R150" s="20"/>
      <c r="S150" s="20"/>
      <c r="T150" s="21"/>
      <c r="U150" s="21"/>
      <c r="V150" s="9" t="str">
        <f aca="false">IF(A150="","",SUMIFS(CONFIG!$F$5:$F$26,CONFIG!$D$5:$D$26,"Tipo de persona",CONFIG!$E$5:$E$26,C150)+SUMIFS(CONFIG!$F$5:$F$26,CONFIG!$D$5:$D$26,"Residencia",CONFIG!$E$5:$E$26,E150)+SUMIFS(CONFIG!$F$5:$F$26,CONFIG!$D$5:$D$26,"Nacionalidad",CONFIG!$E$5:$E$26,F150)+SUMIFS(CONFIG!$F$5:$F$26,CONFIG!$D$5:$D$26,"Jurisdicción de riesgo",CONFIG!$E$5:$E$26,G150)+SUMIFS(CONFIG!$F$5:$F$26,CONFIG!$D$5:$D$26,"PEP",CONFIG!$E$5:$E$26,H150)+SUMIFS(CONFIG!$F$5:$F$26,CONFIG!$D$5:$D$26,"En listas",CONFIG!$E$5:$E$26,I150)+SUMIFS(CONFIG!$F$5:$F$26,CONFIG!$D$5:$D$26,"Riesgo de su actividad económica",CONFIG!$E$5:$E$26,J150)+SUMIFS(CONFIG!$F$5:$F$26,CONFIG!$D$5:$D$26,"Canal",CONFIG!$E$5:$E$26,K150)+SUMIFS(CONFIG!$F$5:$F$26,CONFIG!$D$5:$D$26,"Origen de recursos documentado",CONFIG!$E$5:$E$26,L150))</f>
        <v/>
      </c>
      <c r="W150" s="9" t="str">
        <f aca="false">IF(A150="","",IF(SUMIF(OPERACIONES!$C$6:$C$505,A150,OPERACIONES!$E$6:$E$505)&gt;0,IF(SUMIF(OPERACIONES!$C$6:$C$505,A150,OPERACIONES!$F$6:$F$505)/SUMIF(OPERACIONES!$C$6:$C$505,A150,OPERACIONES!$E$6:$E$505)&gt;0.5,CONFIG!$B$20,IF(SUMIF(OPERACIONES!$C$6:$C$505,A150,OPERACIONES!$F$6:$F$505)&gt;0,CONFIG!$B$21,0)),0)+IF(COUNTIFS(OPERACIONES!$C$6:$C$505,A150,OPERACIONES!$AQ$6:$AQ$505,1)&gt;0,CONFIG!$B$22,0)+IF(COUNTIFS(OPERACIONES!$C$6:$C$505,A150,OPERACIONES!$H$6:$H$505,"Sí")&gt;0,CONFIG!$B$23,0))</f>
        <v/>
      </c>
      <c r="X150" s="9" t="str">
        <f aca="false">IF(A150="","",V150+W150)</f>
        <v/>
      </c>
      <c r="Y150" s="9" t="str">
        <f aca="false">IF(A150="","",IF(X150&lt;=CONFIG!$B$13,"Bajo",IF(X150&lt;=CONFIG!$B$14,"Medio","Alto")))</f>
        <v/>
      </c>
      <c r="Z150" s="25" t="str">
        <f aca="false">IF(A150="","",IF(OR(H150="Extranjera",AND(E150="No residente",G150="Sí"),I150="Sí"),"Alto",IF(T150&lt;&gt;"",T150,Y150)))</f>
        <v/>
      </c>
      <c r="AA150" s="26" t="str">
        <f aca="false">IF(A150="","",IF(H150="Extranjera","Alto obligatorio: PEP extranjera (RCG 23 Bis 4)",IF(AND(E150="No residente",G150="Sí"),"Alto obligatorio: no residente vinculado a jurisdicción de riesgo (RCG 23 Bis 4)",IF(I150="Sí","Alto por criterio: persona en listas. Evalúa no operar y Aviso de 24 h",IF(T150&lt;&gt;"","Ajuste del REC: "&amp;U150,"Modelo: "&amp;X150&amp;" puntos")))))</f>
        <v/>
      </c>
      <c r="AB150" s="23" t="str">
        <f aca="false">IF(A150="","",IF(COUNT(N150,O150)=0,"Falta fecha",EDATE(MAX(N150,O150),IF(Z150="Alto",CONFIG!$B$18,IF(Z150="Medio",CONFIG!$B$17,CONFIG!$B$16)))))</f>
        <v/>
      </c>
      <c r="AC150" s="23" t="str">
        <f aca="false">IF(A150="","",IF(ISNUMBER(S150),EDATE(S150,12),IF(ISNUMBER(N150),EDATE(N150,12),"Falta fecha")))</f>
        <v/>
      </c>
      <c r="AD150" s="26" t="str">
        <f aca="false">IF(A150="","",MID(IF(P150&lt;&gt;"Sí"," · Expediente incompleto","")&amp;IF(OR(Q150="",Q150="Pendiente")," · Falta el Beneficiario Controlador","")&amp;IF(M150=""," · Sin perfil transaccional","")&amp;IF(AND(ISNUMBER(AB150),AB150&lt;CONFIG!$B$6)," · Evaluación de riesgo vencida","")&amp;IF(AND(ISNUMBER(AC150),AC150&lt;CONFIG!$B$6)," · Verificación anual vencida","")&amp;IF(AND(ISNUMBER(R150),ISNUMBER(S150),S150-R150&gt;92)," · Comprobante de domicilio con más de 3 meses","")&amp;IF(AND(T150&lt;&gt;"",U150="")," · Ajuste del REC sin justificación",""),4,400))</f>
        <v/>
      </c>
      <c r="AE150" s="9" t="str">
        <f aca="false">IF(A150="","",IF(AD150="","Al día","Revisar"))</f>
        <v/>
      </c>
      <c r="AF150" s="9" t="str">
        <f aca="false">IF(A150="","",COUNTIF(OPERACIONES!$C$6:$C$505,A150)&amp;" / $"&amp;FIXED(SUMIF(OPERACIONES!$C$6:$C$505,A150,OPERACIONES!$E$6:$E$505),0))</f>
        <v/>
      </c>
    </row>
    <row r="151" customFormat="false" ht="15" hidden="false" customHeight="false" outlineLevel="0" collapsed="false">
      <c r="A151" s="21"/>
      <c r="B151" s="21"/>
      <c r="C151" s="21"/>
      <c r="D151" s="21"/>
      <c r="E151" s="21"/>
      <c r="F151" s="21"/>
      <c r="G151" s="21"/>
      <c r="H151" s="21"/>
      <c r="I151" s="21"/>
      <c r="J151" s="21"/>
      <c r="K151" s="21"/>
      <c r="L151" s="21"/>
      <c r="M151" s="22"/>
      <c r="N151" s="20"/>
      <c r="O151" s="20"/>
      <c r="P151" s="21"/>
      <c r="Q151" s="21"/>
      <c r="R151" s="20"/>
      <c r="S151" s="20"/>
      <c r="T151" s="21"/>
      <c r="U151" s="21"/>
      <c r="V151" s="9" t="str">
        <f aca="false">IF(A151="","",SUMIFS(CONFIG!$F$5:$F$26,CONFIG!$D$5:$D$26,"Tipo de persona",CONFIG!$E$5:$E$26,C151)+SUMIFS(CONFIG!$F$5:$F$26,CONFIG!$D$5:$D$26,"Residencia",CONFIG!$E$5:$E$26,E151)+SUMIFS(CONFIG!$F$5:$F$26,CONFIG!$D$5:$D$26,"Nacionalidad",CONFIG!$E$5:$E$26,F151)+SUMIFS(CONFIG!$F$5:$F$26,CONFIG!$D$5:$D$26,"Jurisdicción de riesgo",CONFIG!$E$5:$E$26,G151)+SUMIFS(CONFIG!$F$5:$F$26,CONFIG!$D$5:$D$26,"PEP",CONFIG!$E$5:$E$26,H151)+SUMIFS(CONFIG!$F$5:$F$26,CONFIG!$D$5:$D$26,"En listas",CONFIG!$E$5:$E$26,I151)+SUMIFS(CONFIG!$F$5:$F$26,CONFIG!$D$5:$D$26,"Riesgo de su actividad económica",CONFIG!$E$5:$E$26,J151)+SUMIFS(CONFIG!$F$5:$F$26,CONFIG!$D$5:$D$26,"Canal",CONFIG!$E$5:$E$26,K151)+SUMIFS(CONFIG!$F$5:$F$26,CONFIG!$D$5:$D$26,"Origen de recursos documentado",CONFIG!$E$5:$E$26,L151))</f>
        <v/>
      </c>
      <c r="W151" s="9" t="str">
        <f aca="false">IF(A151="","",IF(SUMIF(OPERACIONES!$C$6:$C$505,A151,OPERACIONES!$E$6:$E$505)&gt;0,IF(SUMIF(OPERACIONES!$C$6:$C$505,A151,OPERACIONES!$F$6:$F$505)/SUMIF(OPERACIONES!$C$6:$C$505,A151,OPERACIONES!$E$6:$E$505)&gt;0.5,CONFIG!$B$20,IF(SUMIF(OPERACIONES!$C$6:$C$505,A151,OPERACIONES!$F$6:$F$505)&gt;0,CONFIG!$B$21,0)),0)+IF(COUNTIFS(OPERACIONES!$C$6:$C$505,A151,OPERACIONES!$AQ$6:$AQ$505,1)&gt;0,CONFIG!$B$22,0)+IF(COUNTIFS(OPERACIONES!$C$6:$C$505,A151,OPERACIONES!$H$6:$H$505,"Sí")&gt;0,CONFIG!$B$23,0))</f>
        <v/>
      </c>
      <c r="X151" s="9" t="str">
        <f aca="false">IF(A151="","",V151+W151)</f>
        <v/>
      </c>
      <c r="Y151" s="9" t="str">
        <f aca="false">IF(A151="","",IF(X151&lt;=CONFIG!$B$13,"Bajo",IF(X151&lt;=CONFIG!$B$14,"Medio","Alto")))</f>
        <v/>
      </c>
      <c r="Z151" s="25" t="str">
        <f aca="false">IF(A151="","",IF(OR(H151="Extranjera",AND(E151="No residente",G151="Sí"),I151="Sí"),"Alto",IF(T151&lt;&gt;"",T151,Y151)))</f>
        <v/>
      </c>
      <c r="AA151" s="26" t="str">
        <f aca="false">IF(A151="","",IF(H151="Extranjera","Alto obligatorio: PEP extranjera (RCG 23 Bis 4)",IF(AND(E151="No residente",G151="Sí"),"Alto obligatorio: no residente vinculado a jurisdicción de riesgo (RCG 23 Bis 4)",IF(I151="Sí","Alto por criterio: persona en listas. Evalúa no operar y Aviso de 24 h",IF(T151&lt;&gt;"","Ajuste del REC: "&amp;U151,"Modelo: "&amp;X151&amp;" puntos")))))</f>
        <v/>
      </c>
      <c r="AB151" s="23" t="str">
        <f aca="false">IF(A151="","",IF(COUNT(N151,O151)=0,"Falta fecha",EDATE(MAX(N151,O151),IF(Z151="Alto",CONFIG!$B$18,IF(Z151="Medio",CONFIG!$B$17,CONFIG!$B$16)))))</f>
        <v/>
      </c>
      <c r="AC151" s="23" t="str">
        <f aca="false">IF(A151="","",IF(ISNUMBER(S151),EDATE(S151,12),IF(ISNUMBER(N151),EDATE(N151,12),"Falta fecha")))</f>
        <v/>
      </c>
      <c r="AD151" s="26" t="str">
        <f aca="false">IF(A151="","",MID(IF(P151&lt;&gt;"Sí"," · Expediente incompleto","")&amp;IF(OR(Q151="",Q151="Pendiente")," · Falta el Beneficiario Controlador","")&amp;IF(M151=""," · Sin perfil transaccional","")&amp;IF(AND(ISNUMBER(AB151),AB151&lt;CONFIG!$B$6)," · Evaluación de riesgo vencida","")&amp;IF(AND(ISNUMBER(AC151),AC151&lt;CONFIG!$B$6)," · Verificación anual vencida","")&amp;IF(AND(ISNUMBER(R151),ISNUMBER(S151),S151-R151&gt;92)," · Comprobante de domicilio con más de 3 meses","")&amp;IF(AND(T151&lt;&gt;"",U151="")," · Ajuste del REC sin justificación",""),4,400))</f>
        <v/>
      </c>
      <c r="AE151" s="9" t="str">
        <f aca="false">IF(A151="","",IF(AD151="","Al día","Revisar"))</f>
        <v/>
      </c>
      <c r="AF151" s="9" t="str">
        <f aca="false">IF(A151="","",COUNTIF(OPERACIONES!$C$6:$C$505,A151)&amp;" / $"&amp;FIXED(SUMIF(OPERACIONES!$C$6:$C$505,A151,OPERACIONES!$E$6:$E$505),0))</f>
        <v/>
      </c>
    </row>
    <row r="152" customFormat="false" ht="15" hidden="false" customHeight="false" outlineLevel="0" collapsed="false">
      <c r="A152" s="21"/>
      <c r="B152" s="21"/>
      <c r="C152" s="21"/>
      <c r="D152" s="21"/>
      <c r="E152" s="21"/>
      <c r="F152" s="21"/>
      <c r="G152" s="21"/>
      <c r="H152" s="21"/>
      <c r="I152" s="21"/>
      <c r="J152" s="21"/>
      <c r="K152" s="21"/>
      <c r="L152" s="21"/>
      <c r="M152" s="22"/>
      <c r="N152" s="20"/>
      <c r="O152" s="20"/>
      <c r="P152" s="21"/>
      <c r="Q152" s="21"/>
      <c r="R152" s="20"/>
      <c r="S152" s="20"/>
      <c r="T152" s="21"/>
      <c r="U152" s="21"/>
      <c r="V152" s="9" t="str">
        <f aca="false">IF(A152="","",SUMIFS(CONFIG!$F$5:$F$26,CONFIG!$D$5:$D$26,"Tipo de persona",CONFIG!$E$5:$E$26,C152)+SUMIFS(CONFIG!$F$5:$F$26,CONFIG!$D$5:$D$26,"Residencia",CONFIG!$E$5:$E$26,E152)+SUMIFS(CONFIG!$F$5:$F$26,CONFIG!$D$5:$D$26,"Nacionalidad",CONFIG!$E$5:$E$26,F152)+SUMIFS(CONFIG!$F$5:$F$26,CONFIG!$D$5:$D$26,"Jurisdicción de riesgo",CONFIG!$E$5:$E$26,G152)+SUMIFS(CONFIG!$F$5:$F$26,CONFIG!$D$5:$D$26,"PEP",CONFIG!$E$5:$E$26,H152)+SUMIFS(CONFIG!$F$5:$F$26,CONFIG!$D$5:$D$26,"En listas",CONFIG!$E$5:$E$26,I152)+SUMIFS(CONFIG!$F$5:$F$26,CONFIG!$D$5:$D$26,"Riesgo de su actividad económica",CONFIG!$E$5:$E$26,J152)+SUMIFS(CONFIG!$F$5:$F$26,CONFIG!$D$5:$D$26,"Canal",CONFIG!$E$5:$E$26,K152)+SUMIFS(CONFIG!$F$5:$F$26,CONFIG!$D$5:$D$26,"Origen de recursos documentado",CONFIG!$E$5:$E$26,L152))</f>
        <v/>
      </c>
      <c r="W152" s="9" t="str">
        <f aca="false">IF(A152="","",IF(SUMIF(OPERACIONES!$C$6:$C$505,A152,OPERACIONES!$E$6:$E$505)&gt;0,IF(SUMIF(OPERACIONES!$C$6:$C$505,A152,OPERACIONES!$F$6:$F$505)/SUMIF(OPERACIONES!$C$6:$C$505,A152,OPERACIONES!$E$6:$E$505)&gt;0.5,CONFIG!$B$20,IF(SUMIF(OPERACIONES!$C$6:$C$505,A152,OPERACIONES!$F$6:$F$505)&gt;0,CONFIG!$B$21,0)),0)+IF(COUNTIFS(OPERACIONES!$C$6:$C$505,A152,OPERACIONES!$AQ$6:$AQ$505,1)&gt;0,CONFIG!$B$22,0)+IF(COUNTIFS(OPERACIONES!$C$6:$C$505,A152,OPERACIONES!$H$6:$H$505,"Sí")&gt;0,CONFIG!$B$23,0))</f>
        <v/>
      </c>
      <c r="X152" s="9" t="str">
        <f aca="false">IF(A152="","",V152+W152)</f>
        <v/>
      </c>
      <c r="Y152" s="9" t="str">
        <f aca="false">IF(A152="","",IF(X152&lt;=CONFIG!$B$13,"Bajo",IF(X152&lt;=CONFIG!$B$14,"Medio","Alto")))</f>
        <v/>
      </c>
      <c r="Z152" s="25" t="str">
        <f aca="false">IF(A152="","",IF(OR(H152="Extranjera",AND(E152="No residente",G152="Sí"),I152="Sí"),"Alto",IF(T152&lt;&gt;"",T152,Y152)))</f>
        <v/>
      </c>
      <c r="AA152" s="26" t="str">
        <f aca="false">IF(A152="","",IF(H152="Extranjera","Alto obligatorio: PEP extranjera (RCG 23 Bis 4)",IF(AND(E152="No residente",G152="Sí"),"Alto obligatorio: no residente vinculado a jurisdicción de riesgo (RCG 23 Bis 4)",IF(I152="Sí","Alto por criterio: persona en listas. Evalúa no operar y Aviso de 24 h",IF(T152&lt;&gt;"","Ajuste del REC: "&amp;U152,"Modelo: "&amp;X152&amp;" puntos")))))</f>
        <v/>
      </c>
      <c r="AB152" s="23" t="str">
        <f aca="false">IF(A152="","",IF(COUNT(N152,O152)=0,"Falta fecha",EDATE(MAX(N152,O152),IF(Z152="Alto",CONFIG!$B$18,IF(Z152="Medio",CONFIG!$B$17,CONFIG!$B$16)))))</f>
        <v/>
      </c>
      <c r="AC152" s="23" t="str">
        <f aca="false">IF(A152="","",IF(ISNUMBER(S152),EDATE(S152,12),IF(ISNUMBER(N152),EDATE(N152,12),"Falta fecha")))</f>
        <v/>
      </c>
      <c r="AD152" s="26" t="str">
        <f aca="false">IF(A152="","",MID(IF(P152&lt;&gt;"Sí"," · Expediente incompleto","")&amp;IF(OR(Q152="",Q152="Pendiente")," · Falta el Beneficiario Controlador","")&amp;IF(M152=""," · Sin perfil transaccional","")&amp;IF(AND(ISNUMBER(AB152),AB152&lt;CONFIG!$B$6)," · Evaluación de riesgo vencida","")&amp;IF(AND(ISNUMBER(AC152),AC152&lt;CONFIG!$B$6)," · Verificación anual vencida","")&amp;IF(AND(ISNUMBER(R152),ISNUMBER(S152),S152-R152&gt;92)," · Comprobante de domicilio con más de 3 meses","")&amp;IF(AND(T152&lt;&gt;"",U152="")," · Ajuste del REC sin justificación",""),4,400))</f>
        <v/>
      </c>
      <c r="AE152" s="9" t="str">
        <f aca="false">IF(A152="","",IF(AD152="","Al día","Revisar"))</f>
        <v/>
      </c>
      <c r="AF152" s="9" t="str">
        <f aca="false">IF(A152="","",COUNTIF(OPERACIONES!$C$6:$C$505,A152)&amp;" / $"&amp;FIXED(SUMIF(OPERACIONES!$C$6:$C$505,A152,OPERACIONES!$E$6:$E$505),0))</f>
        <v/>
      </c>
    </row>
    <row r="153" customFormat="false" ht="15" hidden="false" customHeight="false" outlineLevel="0" collapsed="false">
      <c r="A153" s="21"/>
      <c r="B153" s="21"/>
      <c r="C153" s="21"/>
      <c r="D153" s="21"/>
      <c r="E153" s="21"/>
      <c r="F153" s="21"/>
      <c r="G153" s="21"/>
      <c r="H153" s="21"/>
      <c r="I153" s="21"/>
      <c r="J153" s="21"/>
      <c r="K153" s="21"/>
      <c r="L153" s="21"/>
      <c r="M153" s="22"/>
      <c r="N153" s="20"/>
      <c r="O153" s="20"/>
      <c r="P153" s="21"/>
      <c r="Q153" s="21"/>
      <c r="R153" s="20"/>
      <c r="S153" s="20"/>
      <c r="T153" s="21"/>
      <c r="U153" s="21"/>
      <c r="V153" s="9" t="str">
        <f aca="false">IF(A153="","",SUMIFS(CONFIG!$F$5:$F$26,CONFIG!$D$5:$D$26,"Tipo de persona",CONFIG!$E$5:$E$26,C153)+SUMIFS(CONFIG!$F$5:$F$26,CONFIG!$D$5:$D$26,"Residencia",CONFIG!$E$5:$E$26,E153)+SUMIFS(CONFIG!$F$5:$F$26,CONFIG!$D$5:$D$26,"Nacionalidad",CONFIG!$E$5:$E$26,F153)+SUMIFS(CONFIG!$F$5:$F$26,CONFIG!$D$5:$D$26,"Jurisdicción de riesgo",CONFIG!$E$5:$E$26,G153)+SUMIFS(CONFIG!$F$5:$F$26,CONFIG!$D$5:$D$26,"PEP",CONFIG!$E$5:$E$26,H153)+SUMIFS(CONFIG!$F$5:$F$26,CONFIG!$D$5:$D$26,"En listas",CONFIG!$E$5:$E$26,I153)+SUMIFS(CONFIG!$F$5:$F$26,CONFIG!$D$5:$D$26,"Riesgo de su actividad económica",CONFIG!$E$5:$E$26,J153)+SUMIFS(CONFIG!$F$5:$F$26,CONFIG!$D$5:$D$26,"Canal",CONFIG!$E$5:$E$26,K153)+SUMIFS(CONFIG!$F$5:$F$26,CONFIG!$D$5:$D$26,"Origen de recursos documentado",CONFIG!$E$5:$E$26,L153))</f>
        <v/>
      </c>
      <c r="W153" s="9" t="str">
        <f aca="false">IF(A153="","",IF(SUMIF(OPERACIONES!$C$6:$C$505,A153,OPERACIONES!$E$6:$E$505)&gt;0,IF(SUMIF(OPERACIONES!$C$6:$C$505,A153,OPERACIONES!$F$6:$F$505)/SUMIF(OPERACIONES!$C$6:$C$505,A153,OPERACIONES!$E$6:$E$505)&gt;0.5,CONFIG!$B$20,IF(SUMIF(OPERACIONES!$C$6:$C$505,A153,OPERACIONES!$F$6:$F$505)&gt;0,CONFIG!$B$21,0)),0)+IF(COUNTIFS(OPERACIONES!$C$6:$C$505,A153,OPERACIONES!$AQ$6:$AQ$505,1)&gt;0,CONFIG!$B$22,0)+IF(COUNTIFS(OPERACIONES!$C$6:$C$505,A153,OPERACIONES!$H$6:$H$505,"Sí")&gt;0,CONFIG!$B$23,0))</f>
        <v/>
      </c>
      <c r="X153" s="9" t="str">
        <f aca="false">IF(A153="","",V153+W153)</f>
        <v/>
      </c>
      <c r="Y153" s="9" t="str">
        <f aca="false">IF(A153="","",IF(X153&lt;=CONFIG!$B$13,"Bajo",IF(X153&lt;=CONFIG!$B$14,"Medio","Alto")))</f>
        <v/>
      </c>
      <c r="Z153" s="25" t="str">
        <f aca="false">IF(A153="","",IF(OR(H153="Extranjera",AND(E153="No residente",G153="Sí"),I153="Sí"),"Alto",IF(T153&lt;&gt;"",T153,Y153)))</f>
        <v/>
      </c>
      <c r="AA153" s="26" t="str">
        <f aca="false">IF(A153="","",IF(H153="Extranjera","Alto obligatorio: PEP extranjera (RCG 23 Bis 4)",IF(AND(E153="No residente",G153="Sí"),"Alto obligatorio: no residente vinculado a jurisdicción de riesgo (RCG 23 Bis 4)",IF(I153="Sí","Alto por criterio: persona en listas. Evalúa no operar y Aviso de 24 h",IF(T153&lt;&gt;"","Ajuste del REC: "&amp;U153,"Modelo: "&amp;X153&amp;" puntos")))))</f>
        <v/>
      </c>
      <c r="AB153" s="23" t="str">
        <f aca="false">IF(A153="","",IF(COUNT(N153,O153)=0,"Falta fecha",EDATE(MAX(N153,O153),IF(Z153="Alto",CONFIG!$B$18,IF(Z153="Medio",CONFIG!$B$17,CONFIG!$B$16)))))</f>
        <v/>
      </c>
      <c r="AC153" s="23" t="str">
        <f aca="false">IF(A153="","",IF(ISNUMBER(S153),EDATE(S153,12),IF(ISNUMBER(N153),EDATE(N153,12),"Falta fecha")))</f>
        <v/>
      </c>
      <c r="AD153" s="26" t="str">
        <f aca="false">IF(A153="","",MID(IF(P153&lt;&gt;"Sí"," · Expediente incompleto","")&amp;IF(OR(Q153="",Q153="Pendiente")," · Falta el Beneficiario Controlador","")&amp;IF(M153=""," · Sin perfil transaccional","")&amp;IF(AND(ISNUMBER(AB153),AB153&lt;CONFIG!$B$6)," · Evaluación de riesgo vencida","")&amp;IF(AND(ISNUMBER(AC153),AC153&lt;CONFIG!$B$6)," · Verificación anual vencida","")&amp;IF(AND(ISNUMBER(R153),ISNUMBER(S153),S153-R153&gt;92)," · Comprobante de domicilio con más de 3 meses","")&amp;IF(AND(T153&lt;&gt;"",U153="")," · Ajuste del REC sin justificación",""),4,400))</f>
        <v/>
      </c>
      <c r="AE153" s="9" t="str">
        <f aca="false">IF(A153="","",IF(AD153="","Al día","Revisar"))</f>
        <v/>
      </c>
      <c r="AF153" s="9" t="str">
        <f aca="false">IF(A153="","",COUNTIF(OPERACIONES!$C$6:$C$505,A153)&amp;" / $"&amp;FIXED(SUMIF(OPERACIONES!$C$6:$C$505,A153,OPERACIONES!$E$6:$E$505),0))</f>
        <v/>
      </c>
    </row>
    <row r="154" customFormat="false" ht="15" hidden="false" customHeight="false" outlineLevel="0" collapsed="false">
      <c r="A154" s="21"/>
      <c r="B154" s="21"/>
      <c r="C154" s="21"/>
      <c r="D154" s="21"/>
      <c r="E154" s="21"/>
      <c r="F154" s="21"/>
      <c r="G154" s="21"/>
      <c r="H154" s="21"/>
      <c r="I154" s="21"/>
      <c r="J154" s="21"/>
      <c r="K154" s="21"/>
      <c r="L154" s="21"/>
      <c r="M154" s="22"/>
      <c r="N154" s="20"/>
      <c r="O154" s="20"/>
      <c r="P154" s="21"/>
      <c r="Q154" s="21"/>
      <c r="R154" s="20"/>
      <c r="S154" s="20"/>
      <c r="T154" s="21"/>
      <c r="U154" s="21"/>
      <c r="V154" s="9" t="str">
        <f aca="false">IF(A154="","",SUMIFS(CONFIG!$F$5:$F$26,CONFIG!$D$5:$D$26,"Tipo de persona",CONFIG!$E$5:$E$26,C154)+SUMIFS(CONFIG!$F$5:$F$26,CONFIG!$D$5:$D$26,"Residencia",CONFIG!$E$5:$E$26,E154)+SUMIFS(CONFIG!$F$5:$F$26,CONFIG!$D$5:$D$26,"Nacionalidad",CONFIG!$E$5:$E$26,F154)+SUMIFS(CONFIG!$F$5:$F$26,CONFIG!$D$5:$D$26,"Jurisdicción de riesgo",CONFIG!$E$5:$E$26,G154)+SUMIFS(CONFIG!$F$5:$F$26,CONFIG!$D$5:$D$26,"PEP",CONFIG!$E$5:$E$26,H154)+SUMIFS(CONFIG!$F$5:$F$26,CONFIG!$D$5:$D$26,"En listas",CONFIG!$E$5:$E$26,I154)+SUMIFS(CONFIG!$F$5:$F$26,CONFIG!$D$5:$D$26,"Riesgo de su actividad económica",CONFIG!$E$5:$E$26,J154)+SUMIFS(CONFIG!$F$5:$F$26,CONFIG!$D$5:$D$26,"Canal",CONFIG!$E$5:$E$26,K154)+SUMIFS(CONFIG!$F$5:$F$26,CONFIG!$D$5:$D$26,"Origen de recursos documentado",CONFIG!$E$5:$E$26,L154))</f>
        <v/>
      </c>
      <c r="W154" s="9" t="str">
        <f aca="false">IF(A154="","",IF(SUMIF(OPERACIONES!$C$6:$C$505,A154,OPERACIONES!$E$6:$E$505)&gt;0,IF(SUMIF(OPERACIONES!$C$6:$C$505,A154,OPERACIONES!$F$6:$F$505)/SUMIF(OPERACIONES!$C$6:$C$505,A154,OPERACIONES!$E$6:$E$505)&gt;0.5,CONFIG!$B$20,IF(SUMIF(OPERACIONES!$C$6:$C$505,A154,OPERACIONES!$F$6:$F$505)&gt;0,CONFIG!$B$21,0)),0)+IF(COUNTIFS(OPERACIONES!$C$6:$C$505,A154,OPERACIONES!$AQ$6:$AQ$505,1)&gt;0,CONFIG!$B$22,0)+IF(COUNTIFS(OPERACIONES!$C$6:$C$505,A154,OPERACIONES!$H$6:$H$505,"Sí")&gt;0,CONFIG!$B$23,0))</f>
        <v/>
      </c>
      <c r="X154" s="9" t="str">
        <f aca="false">IF(A154="","",V154+W154)</f>
        <v/>
      </c>
      <c r="Y154" s="9" t="str">
        <f aca="false">IF(A154="","",IF(X154&lt;=CONFIG!$B$13,"Bajo",IF(X154&lt;=CONFIG!$B$14,"Medio","Alto")))</f>
        <v/>
      </c>
      <c r="Z154" s="25" t="str">
        <f aca="false">IF(A154="","",IF(OR(H154="Extranjera",AND(E154="No residente",G154="Sí"),I154="Sí"),"Alto",IF(T154&lt;&gt;"",T154,Y154)))</f>
        <v/>
      </c>
      <c r="AA154" s="26" t="str">
        <f aca="false">IF(A154="","",IF(H154="Extranjera","Alto obligatorio: PEP extranjera (RCG 23 Bis 4)",IF(AND(E154="No residente",G154="Sí"),"Alto obligatorio: no residente vinculado a jurisdicción de riesgo (RCG 23 Bis 4)",IF(I154="Sí","Alto por criterio: persona en listas. Evalúa no operar y Aviso de 24 h",IF(T154&lt;&gt;"","Ajuste del REC: "&amp;U154,"Modelo: "&amp;X154&amp;" puntos")))))</f>
        <v/>
      </c>
      <c r="AB154" s="23" t="str">
        <f aca="false">IF(A154="","",IF(COUNT(N154,O154)=0,"Falta fecha",EDATE(MAX(N154,O154),IF(Z154="Alto",CONFIG!$B$18,IF(Z154="Medio",CONFIG!$B$17,CONFIG!$B$16)))))</f>
        <v/>
      </c>
      <c r="AC154" s="23" t="str">
        <f aca="false">IF(A154="","",IF(ISNUMBER(S154),EDATE(S154,12),IF(ISNUMBER(N154),EDATE(N154,12),"Falta fecha")))</f>
        <v/>
      </c>
      <c r="AD154" s="26" t="str">
        <f aca="false">IF(A154="","",MID(IF(P154&lt;&gt;"Sí"," · Expediente incompleto","")&amp;IF(OR(Q154="",Q154="Pendiente")," · Falta el Beneficiario Controlador","")&amp;IF(M154=""," · Sin perfil transaccional","")&amp;IF(AND(ISNUMBER(AB154),AB154&lt;CONFIG!$B$6)," · Evaluación de riesgo vencida","")&amp;IF(AND(ISNUMBER(AC154),AC154&lt;CONFIG!$B$6)," · Verificación anual vencida","")&amp;IF(AND(ISNUMBER(R154),ISNUMBER(S154),S154-R154&gt;92)," · Comprobante de domicilio con más de 3 meses","")&amp;IF(AND(T154&lt;&gt;"",U154="")," · Ajuste del REC sin justificación",""),4,400))</f>
        <v/>
      </c>
      <c r="AE154" s="9" t="str">
        <f aca="false">IF(A154="","",IF(AD154="","Al día","Revisar"))</f>
        <v/>
      </c>
      <c r="AF154" s="9" t="str">
        <f aca="false">IF(A154="","",COUNTIF(OPERACIONES!$C$6:$C$505,A154)&amp;" / $"&amp;FIXED(SUMIF(OPERACIONES!$C$6:$C$505,A154,OPERACIONES!$E$6:$E$505),0))</f>
        <v/>
      </c>
    </row>
    <row r="155" customFormat="false" ht="15" hidden="false" customHeight="false" outlineLevel="0" collapsed="false">
      <c r="A155" s="21"/>
      <c r="B155" s="21"/>
      <c r="C155" s="21"/>
      <c r="D155" s="21"/>
      <c r="E155" s="21"/>
      <c r="F155" s="21"/>
      <c r="G155" s="21"/>
      <c r="H155" s="21"/>
      <c r="I155" s="21"/>
      <c r="J155" s="21"/>
      <c r="K155" s="21"/>
      <c r="L155" s="21"/>
      <c r="M155" s="22"/>
      <c r="N155" s="20"/>
      <c r="O155" s="20"/>
      <c r="P155" s="21"/>
      <c r="Q155" s="21"/>
      <c r="R155" s="20"/>
      <c r="S155" s="20"/>
      <c r="T155" s="21"/>
      <c r="U155" s="21"/>
      <c r="V155" s="9" t="str">
        <f aca="false">IF(A155="","",SUMIFS(CONFIG!$F$5:$F$26,CONFIG!$D$5:$D$26,"Tipo de persona",CONFIG!$E$5:$E$26,C155)+SUMIFS(CONFIG!$F$5:$F$26,CONFIG!$D$5:$D$26,"Residencia",CONFIG!$E$5:$E$26,E155)+SUMIFS(CONFIG!$F$5:$F$26,CONFIG!$D$5:$D$26,"Nacionalidad",CONFIG!$E$5:$E$26,F155)+SUMIFS(CONFIG!$F$5:$F$26,CONFIG!$D$5:$D$26,"Jurisdicción de riesgo",CONFIG!$E$5:$E$26,G155)+SUMIFS(CONFIG!$F$5:$F$26,CONFIG!$D$5:$D$26,"PEP",CONFIG!$E$5:$E$26,H155)+SUMIFS(CONFIG!$F$5:$F$26,CONFIG!$D$5:$D$26,"En listas",CONFIG!$E$5:$E$26,I155)+SUMIFS(CONFIG!$F$5:$F$26,CONFIG!$D$5:$D$26,"Riesgo de su actividad económica",CONFIG!$E$5:$E$26,J155)+SUMIFS(CONFIG!$F$5:$F$26,CONFIG!$D$5:$D$26,"Canal",CONFIG!$E$5:$E$26,K155)+SUMIFS(CONFIG!$F$5:$F$26,CONFIG!$D$5:$D$26,"Origen de recursos documentado",CONFIG!$E$5:$E$26,L155))</f>
        <v/>
      </c>
      <c r="W155" s="9" t="str">
        <f aca="false">IF(A155="","",IF(SUMIF(OPERACIONES!$C$6:$C$505,A155,OPERACIONES!$E$6:$E$505)&gt;0,IF(SUMIF(OPERACIONES!$C$6:$C$505,A155,OPERACIONES!$F$6:$F$505)/SUMIF(OPERACIONES!$C$6:$C$505,A155,OPERACIONES!$E$6:$E$505)&gt;0.5,CONFIG!$B$20,IF(SUMIF(OPERACIONES!$C$6:$C$505,A155,OPERACIONES!$F$6:$F$505)&gt;0,CONFIG!$B$21,0)),0)+IF(COUNTIFS(OPERACIONES!$C$6:$C$505,A155,OPERACIONES!$AQ$6:$AQ$505,1)&gt;0,CONFIG!$B$22,0)+IF(COUNTIFS(OPERACIONES!$C$6:$C$505,A155,OPERACIONES!$H$6:$H$505,"Sí")&gt;0,CONFIG!$B$23,0))</f>
        <v/>
      </c>
      <c r="X155" s="9" t="str">
        <f aca="false">IF(A155="","",V155+W155)</f>
        <v/>
      </c>
      <c r="Y155" s="9" t="str">
        <f aca="false">IF(A155="","",IF(X155&lt;=CONFIG!$B$13,"Bajo",IF(X155&lt;=CONFIG!$B$14,"Medio","Alto")))</f>
        <v/>
      </c>
      <c r="Z155" s="25" t="str">
        <f aca="false">IF(A155="","",IF(OR(H155="Extranjera",AND(E155="No residente",G155="Sí"),I155="Sí"),"Alto",IF(T155&lt;&gt;"",T155,Y155)))</f>
        <v/>
      </c>
      <c r="AA155" s="26" t="str">
        <f aca="false">IF(A155="","",IF(H155="Extranjera","Alto obligatorio: PEP extranjera (RCG 23 Bis 4)",IF(AND(E155="No residente",G155="Sí"),"Alto obligatorio: no residente vinculado a jurisdicción de riesgo (RCG 23 Bis 4)",IF(I155="Sí","Alto por criterio: persona en listas. Evalúa no operar y Aviso de 24 h",IF(T155&lt;&gt;"","Ajuste del REC: "&amp;U155,"Modelo: "&amp;X155&amp;" puntos")))))</f>
        <v/>
      </c>
      <c r="AB155" s="23" t="str">
        <f aca="false">IF(A155="","",IF(COUNT(N155,O155)=0,"Falta fecha",EDATE(MAX(N155,O155),IF(Z155="Alto",CONFIG!$B$18,IF(Z155="Medio",CONFIG!$B$17,CONFIG!$B$16)))))</f>
        <v/>
      </c>
      <c r="AC155" s="23" t="str">
        <f aca="false">IF(A155="","",IF(ISNUMBER(S155),EDATE(S155,12),IF(ISNUMBER(N155),EDATE(N155,12),"Falta fecha")))</f>
        <v/>
      </c>
      <c r="AD155" s="26" t="str">
        <f aca="false">IF(A155="","",MID(IF(P155&lt;&gt;"Sí"," · Expediente incompleto","")&amp;IF(OR(Q155="",Q155="Pendiente")," · Falta el Beneficiario Controlador","")&amp;IF(M155=""," · Sin perfil transaccional","")&amp;IF(AND(ISNUMBER(AB155),AB155&lt;CONFIG!$B$6)," · Evaluación de riesgo vencida","")&amp;IF(AND(ISNUMBER(AC155),AC155&lt;CONFIG!$B$6)," · Verificación anual vencida","")&amp;IF(AND(ISNUMBER(R155),ISNUMBER(S155),S155-R155&gt;92)," · Comprobante de domicilio con más de 3 meses","")&amp;IF(AND(T155&lt;&gt;"",U155="")," · Ajuste del REC sin justificación",""),4,400))</f>
        <v/>
      </c>
      <c r="AE155" s="9" t="str">
        <f aca="false">IF(A155="","",IF(AD155="","Al día","Revisar"))</f>
        <v/>
      </c>
      <c r="AF155" s="9" t="str">
        <f aca="false">IF(A155="","",COUNTIF(OPERACIONES!$C$6:$C$505,A155)&amp;" / $"&amp;FIXED(SUMIF(OPERACIONES!$C$6:$C$505,A155,OPERACIONES!$E$6:$E$505),0))</f>
        <v/>
      </c>
    </row>
    <row r="156" customFormat="false" ht="15" hidden="false" customHeight="false" outlineLevel="0" collapsed="false">
      <c r="A156" s="21"/>
      <c r="B156" s="21"/>
      <c r="C156" s="21"/>
      <c r="D156" s="21"/>
      <c r="E156" s="21"/>
      <c r="F156" s="21"/>
      <c r="G156" s="21"/>
      <c r="H156" s="21"/>
      <c r="I156" s="21"/>
      <c r="J156" s="21"/>
      <c r="K156" s="21"/>
      <c r="L156" s="21"/>
      <c r="M156" s="22"/>
      <c r="N156" s="20"/>
      <c r="O156" s="20"/>
      <c r="P156" s="21"/>
      <c r="Q156" s="21"/>
      <c r="R156" s="20"/>
      <c r="S156" s="20"/>
      <c r="T156" s="21"/>
      <c r="U156" s="21"/>
      <c r="V156" s="9" t="str">
        <f aca="false">IF(A156="","",SUMIFS(CONFIG!$F$5:$F$26,CONFIG!$D$5:$D$26,"Tipo de persona",CONFIG!$E$5:$E$26,C156)+SUMIFS(CONFIG!$F$5:$F$26,CONFIG!$D$5:$D$26,"Residencia",CONFIG!$E$5:$E$26,E156)+SUMIFS(CONFIG!$F$5:$F$26,CONFIG!$D$5:$D$26,"Nacionalidad",CONFIG!$E$5:$E$26,F156)+SUMIFS(CONFIG!$F$5:$F$26,CONFIG!$D$5:$D$26,"Jurisdicción de riesgo",CONFIG!$E$5:$E$26,G156)+SUMIFS(CONFIG!$F$5:$F$26,CONFIG!$D$5:$D$26,"PEP",CONFIG!$E$5:$E$26,H156)+SUMIFS(CONFIG!$F$5:$F$26,CONFIG!$D$5:$D$26,"En listas",CONFIG!$E$5:$E$26,I156)+SUMIFS(CONFIG!$F$5:$F$26,CONFIG!$D$5:$D$26,"Riesgo de su actividad económica",CONFIG!$E$5:$E$26,J156)+SUMIFS(CONFIG!$F$5:$F$26,CONFIG!$D$5:$D$26,"Canal",CONFIG!$E$5:$E$26,K156)+SUMIFS(CONFIG!$F$5:$F$26,CONFIG!$D$5:$D$26,"Origen de recursos documentado",CONFIG!$E$5:$E$26,L156))</f>
        <v/>
      </c>
      <c r="W156" s="9" t="str">
        <f aca="false">IF(A156="","",IF(SUMIF(OPERACIONES!$C$6:$C$505,A156,OPERACIONES!$E$6:$E$505)&gt;0,IF(SUMIF(OPERACIONES!$C$6:$C$505,A156,OPERACIONES!$F$6:$F$505)/SUMIF(OPERACIONES!$C$6:$C$505,A156,OPERACIONES!$E$6:$E$505)&gt;0.5,CONFIG!$B$20,IF(SUMIF(OPERACIONES!$C$6:$C$505,A156,OPERACIONES!$F$6:$F$505)&gt;0,CONFIG!$B$21,0)),0)+IF(COUNTIFS(OPERACIONES!$C$6:$C$505,A156,OPERACIONES!$AQ$6:$AQ$505,1)&gt;0,CONFIG!$B$22,0)+IF(COUNTIFS(OPERACIONES!$C$6:$C$505,A156,OPERACIONES!$H$6:$H$505,"Sí")&gt;0,CONFIG!$B$23,0))</f>
        <v/>
      </c>
      <c r="X156" s="9" t="str">
        <f aca="false">IF(A156="","",V156+W156)</f>
        <v/>
      </c>
      <c r="Y156" s="9" t="str">
        <f aca="false">IF(A156="","",IF(X156&lt;=CONFIG!$B$13,"Bajo",IF(X156&lt;=CONFIG!$B$14,"Medio","Alto")))</f>
        <v/>
      </c>
      <c r="Z156" s="25" t="str">
        <f aca="false">IF(A156="","",IF(OR(H156="Extranjera",AND(E156="No residente",G156="Sí"),I156="Sí"),"Alto",IF(T156&lt;&gt;"",T156,Y156)))</f>
        <v/>
      </c>
      <c r="AA156" s="26" t="str">
        <f aca="false">IF(A156="","",IF(H156="Extranjera","Alto obligatorio: PEP extranjera (RCG 23 Bis 4)",IF(AND(E156="No residente",G156="Sí"),"Alto obligatorio: no residente vinculado a jurisdicción de riesgo (RCG 23 Bis 4)",IF(I156="Sí","Alto por criterio: persona en listas. Evalúa no operar y Aviso de 24 h",IF(T156&lt;&gt;"","Ajuste del REC: "&amp;U156,"Modelo: "&amp;X156&amp;" puntos")))))</f>
        <v/>
      </c>
      <c r="AB156" s="23" t="str">
        <f aca="false">IF(A156="","",IF(COUNT(N156,O156)=0,"Falta fecha",EDATE(MAX(N156,O156),IF(Z156="Alto",CONFIG!$B$18,IF(Z156="Medio",CONFIG!$B$17,CONFIG!$B$16)))))</f>
        <v/>
      </c>
      <c r="AC156" s="23" t="str">
        <f aca="false">IF(A156="","",IF(ISNUMBER(S156),EDATE(S156,12),IF(ISNUMBER(N156),EDATE(N156,12),"Falta fecha")))</f>
        <v/>
      </c>
      <c r="AD156" s="26" t="str">
        <f aca="false">IF(A156="","",MID(IF(P156&lt;&gt;"Sí"," · Expediente incompleto","")&amp;IF(OR(Q156="",Q156="Pendiente")," · Falta el Beneficiario Controlador","")&amp;IF(M156=""," · Sin perfil transaccional","")&amp;IF(AND(ISNUMBER(AB156),AB156&lt;CONFIG!$B$6)," · Evaluación de riesgo vencida","")&amp;IF(AND(ISNUMBER(AC156),AC156&lt;CONFIG!$B$6)," · Verificación anual vencida","")&amp;IF(AND(ISNUMBER(R156),ISNUMBER(S156),S156-R156&gt;92)," · Comprobante de domicilio con más de 3 meses","")&amp;IF(AND(T156&lt;&gt;"",U156="")," · Ajuste del REC sin justificación",""),4,400))</f>
        <v/>
      </c>
      <c r="AE156" s="9" t="str">
        <f aca="false">IF(A156="","",IF(AD156="","Al día","Revisar"))</f>
        <v/>
      </c>
      <c r="AF156" s="9" t="str">
        <f aca="false">IF(A156="","",COUNTIF(OPERACIONES!$C$6:$C$505,A156)&amp;" / $"&amp;FIXED(SUMIF(OPERACIONES!$C$6:$C$505,A156,OPERACIONES!$E$6:$E$505),0))</f>
        <v/>
      </c>
    </row>
    <row r="157" customFormat="false" ht="15" hidden="false" customHeight="false" outlineLevel="0" collapsed="false">
      <c r="A157" s="21"/>
      <c r="B157" s="21"/>
      <c r="C157" s="21"/>
      <c r="D157" s="21"/>
      <c r="E157" s="21"/>
      <c r="F157" s="21"/>
      <c r="G157" s="21"/>
      <c r="H157" s="21"/>
      <c r="I157" s="21"/>
      <c r="J157" s="21"/>
      <c r="K157" s="21"/>
      <c r="L157" s="21"/>
      <c r="M157" s="22"/>
      <c r="N157" s="20"/>
      <c r="O157" s="20"/>
      <c r="P157" s="21"/>
      <c r="Q157" s="21"/>
      <c r="R157" s="20"/>
      <c r="S157" s="20"/>
      <c r="T157" s="21"/>
      <c r="U157" s="21"/>
      <c r="V157" s="9" t="str">
        <f aca="false">IF(A157="","",SUMIFS(CONFIG!$F$5:$F$26,CONFIG!$D$5:$D$26,"Tipo de persona",CONFIG!$E$5:$E$26,C157)+SUMIFS(CONFIG!$F$5:$F$26,CONFIG!$D$5:$D$26,"Residencia",CONFIG!$E$5:$E$26,E157)+SUMIFS(CONFIG!$F$5:$F$26,CONFIG!$D$5:$D$26,"Nacionalidad",CONFIG!$E$5:$E$26,F157)+SUMIFS(CONFIG!$F$5:$F$26,CONFIG!$D$5:$D$26,"Jurisdicción de riesgo",CONFIG!$E$5:$E$26,G157)+SUMIFS(CONFIG!$F$5:$F$26,CONFIG!$D$5:$D$26,"PEP",CONFIG!$E$5:$E$26,H157)+SUMIFS(CONFIG!$F$5:$F$26,CONFIG!$D$5:$D$26,"En listas",CONFIG!$E$5:$E$26,I157)+SUMIFS(CONFIG!$F$5:$F$26,CONFIG!$D$5:$D$26,"Riesgo de su actividad económica",CONFIG!$E$5:$E$26,J157)+SUMIFS(CONFIG!$F$5:$F$26,CONFIG!$D$5:$D$26,"Canal",CONFIG!$E$5:$E$26,K157)+SUMIFS(CONFIG!$F$5:$F$26,CONFIG!$D$5:$D$26,"Origen de recursos documentado",CONFIG!$E$5:$E$26,L157))</f>
        <v/>
      </c>
      <c r="W157" s="9" t="str">
        <f aca="false">IF(A157="","",IF(SUMIF(OPERACIONES!$C$6:$C$505,A157,OPERACIONES!$E$6:$E$505)&gt;0,IF(SUMIF(OPERACIONES!$C$6:$C$505,A157,OPERACIONES!$F$6:$F$505)/SUMIF(OPERACIONES!$C$6:$C$505,A157,OPERACIONES!$E$6:$E$505)&gt;0.5,CONFIG!$B$20,IF(SUMIF(OPERACIONES!$C$6:$C$505,A157,OPERACIONES!$F$6:$F$505)&gt;0,CONFIG!$B$21,0)),0)+IF(COUNTIFS(OPERACIONES!$C$6:$C$505,A157,OPERACIONES!$AQ$6:$AQ$505,1)&gt;0,CONFIG!$B$22,0)+IF(COUNTIFS(OPERACIONES!$C$6:$C$505,A157,OPERACIONES!$H$6:$H$505,"Sí")&gt;0,CONFIG!$B$23,0))</f>
        <v/>
      </c>
      <c r="X157" s="9" t="str">
        <f aca="false">IF(A157="","",V157+W157)</f>
        <v/>
      </c>
      <c r="Y157" s="9" t="str">
        <f aca="false">IF(A157="","",IF(X157&lt;=CONFIG!$B$13,"Bajo",IF(X157&lt;=CONFIG!$B$14,"Medio","Alto")))</f>
        <v/>
      </c>
      <c r="Z157" s="25" t="str">
        <f aca="false">IF(A157="","",IF(OR(H157="Extranjera",AND(E157="No residente",G157="Sí"),I157="Sí"),"Alto",IF(T157&lt;&gt;"",T157,Y157)))</f>
        <v/>
      </c>
      <c r="AA157" s="26" t="str">
        <f aca="false">IF(A157="","",IF(H157="Extranjera","Alto obligatorio: PEP extranjera (RCG 23 Bis 4)",IF(AND(E157="No residente",G157="Sí"),"Alto obligatorio: no residente vinculado a jurisdicción de riesgo (RCG 23 Bis 4)",IF(I157="Sí","Alto por criterio: persona en listas. Evalúa no operar y Aviso de 24 h",IF(T157&lt;&gt;"","Ajuste del REC: "&amp;U157,"Modelo: "&amp;X157&amp;" puntos")))))</f>
        <v/>
      </c>
      <c r="AB157" s="23" t="str">
        <f aca="false">IF(A157="","",IF(COUNT(N157,O157)=0,"Falta fecha",EDATE(MAX(N157,O157),IF(Z157="Alto",CONFIG!$B$18,IF(Z157="Medio",CONFIG!$B$17,CONFIG!$B$16)))))</f>
        <v/>
      </c>
      <c r="AC157" s="23" t="str">
        <f aca="false">IF(A157="","",IF(ISNUMBER(S157),EDATE(S157,12),IF(ISNUMBER(N157),EDATE(N157,12),"Falta fecha")))</f>
        <v/>
      </c>
      <c r="AD157" s="26" t="str">
        <f aca="false">IF(A157="","",MID(IF(P157&lt;&gt;"Sí"," · Expediente incompleto","")&amp;IF(OR(Q157="",Q157="Pendiente")," · Falta el Beneficiario Controlador","")&amp;IF(M157=""," · Sin perfil transaccional","")&amp;IF(AND(ISNUMBER(AB157),AB157&lt;CONFIG!$B$6)," · Evaluación de riesgo vencida","")&amp;IF(AND(ISNUMBER(AC157),AC157&lt;CONFIG!$B$6)," · Verificación anual vencida","")&amp;IF(AND(ISNUMBER(R157),ISNUMBER(S157),S157-R157&gt;92)," · Comprobante de domicilio con más de 3 meses","")&amp;IF(AND(T157&lt;&gt;"",U157="")," · Ajuste del REC sin justificación",""),4,400))</f>
        <v/>
      </c>
      <c r="AE157" s="9" t="str">
        <f aca="false">IF(A157="","",IF(AD157="","Al día","Revisar"))</f>
        <v/>
      </c>
      <c r="AF157" s="9" t="str">
        <f aca="false">IF(A157="","",COUNTIF(OPERACIONES!$C$6:$C$505,A157)&amp;" / $"&amp;FIXED(SUMIF(OPERACIONES!$C$6:$C$505,A157,OPERACIONES!$E$6:$E$505),0))</f>
        <v/>
      </c>
    </row>
    <row r="158" customFormat="false" ht="15" hidden="false" customHeight="false" outlineLevel="0" collapsed="false">
      <c r="A158" s="21"/>
      <c r="B158" s="21"/>
      <c r="C158" s="21"/>
      <c r="D158" s="21"/>
      <c r="E158" s="21"/>
      <c r="F158" s="21"/>
      <c r="G158" s="21"/>
      <c r="H158" s="21"/>
      <c r="I158" s="21"/>
      <c r="J158" s="21"/>
      <c r="K158" s="21"/>
      <c r="L158" s="21"/>
      <c r="M158" s="22"/>
      <c r="N158" s="20"/>
      <c r="O158" s="20"/>
      <c r="P158" s="21"/>
      <c r="Q158" s="21"/>
      <c r="R158" s="20"/>
      <c r="S158" s="20"/>
      <c r="T158" s="21"/>
      <c r="U158" s="21"/>
      <c r="V158" s="9" t="str">
        <f aca="false">IF(A158="","",SUMIFS(CONFIG!$F$5:$F$26,CONFIG!$D$5:$D$26,"Tipo de persona",CONFIG!$E$5:$E$26,C158)+SUMIFS(CONFIG!$F$5:$F$26,CONFIG!$D$5:$D$26,"Residencia",CONFIG!$E$5:$E$26,E158)+SUMIFS(CONFIG!$F$5:$F$26,CONFIG!$D$5:$D$26,"Nacionalidad",CONFIG!$E$5:$E$26,F158)+SUMIFS(CONFIG!$F$5:$F$26,CONFIG!$D$5:$D$26,"Jurisdicción de riesgo",CONFIG!$E$5:$E$26,G158)+SUMIFS(CONFIG!$F$5:$F$26,CONFIG!$D$5:$D$26,"PEP",CONFIG!$E$5:$E$26,H158)+SUMIFS(CONFIG!$F$5:$F$26,CONFIG!$D$5:$D$26,"En listas",CONFIG!$E$5:$E$26,I158)+SUMIFS(CONFIG!$F$5:$F$26,CONFIG!$D$5:$D$26,"Riesgo de su actividad económica",CONFIG!$E$5:$E$26,J158)+SUMIFS(CONFIG!$F$5:$F$26,CONFIG!$D$5:$D$26,"Canal",CONFIG!$E$5:$E$26,K158)+SUMIFS(CONFIG!$F$5:$F$26,CONFIG!$D$5:$D$26,"Origen de recursos documentado",CONFIG!$E$5:$E$26,L158))</f>
        <v/>
      </c>
      <c r="W158" s="9" t="str">
        <f aca="false">IF(A158="","",IF(SUMIF(OPERACIONES!$C$6:$C$505,A158,OPERACIONES!$E$6:$E$505)&gt;0,IF(SUMIF(OPERACIONES!$C$6:$C$505,A158,OPERACIONES!$F$6:$F$505)/SUMIF(OPERACIONES!$C$6:$C$505,A158,OPERACIONES!$E$6:$E$505)&gt;0.5,CONFIG!$B$20,IF(SUMIF(OPERACIONES!$C$6:$C$505,A158,OPERACIONES!$F$6:$F$505)&gt;0,CONFIG!$B$21,0)),0)+IF(COUNTIFS(OPERACIONES!$C$6:$C$505,A158,OPERACIONES!$AQ$6:$AQ$505,1)&gt;0,CONFIG!$B$22,0)+IF(COUNTIFS(OPERACIONES!$C$6:$C$505,A158,OPERACIONES!$H$6:$H$505,"Sí")&gt;0,CONFIG!$B$23,0))</f>
        <v/>
      </c>
      <c r="X158" s="9" t="str">
        <f aca="false">IF(A158="","",V158+W158)</f>
        <v/>
      </c>
      <c r="Y158" s="9" t="str">
        <f aca="false">IF(A158="","",IF(X158&lt;=CONFIG!$B$13,"Bajo",IF(X158&lt;=CONFIG!$B$14,"Medio","Alto")))</f>
        <v/>
      </c>
      <c r="Z158" s="25" t="str">
        <f aca="false">IF(A158="","",IF(OR(H158="Extranjera",AND(E158="No residente",G158="Sí"),I158="Sí"),"Alto",IF(T158&lt;&gt;"",T158,Y158)))</f>
        <v/>
      </c>
      <c r="AA158" s="26" t="str">
        <f aca="false">IF(A158="","",IF(H158="Extranjera","Alto obligatorio: PEP extranjera (RCG 23 Bis 4)",IF(AND(E158="No residente",G158="Sí"),"Alto obligatorio: no residente vinculado a jurisdicción de riesgo (RCG 23 Bis 4)",IF(I158="Sí","Alto por criterio: persona en listas. Evalúa no operar y Aviso de 24 h",IF(T158&lt;&gt;"","Ajuste del REC: "&amp;U158,"Modelo: "&amp;X158&amp;" puntos")))))</f>
        <v/>
      </c>
      <c r="AB158" s="23" t="str">
        <f aca="false">IF(A158="","",IF(COUNT(N158,O158)=0,"Falta fecha",EDATE(MAX(N158,O158),IF(Z158="Alto",CONFIG!$B$18,IF(Z158="Medio",CONFIG!$B$17,CONFIG!$B$16)))))</f>
        <v/>
      </c>
      <c r="AC158" s="23" t="str">
        <f aca="false">IF(A158="","",IF(ISNUMBER(S158),EDATE(S158,12),IF(ISNUMBER(N158),EDATE(N158,12),"Falta fecha")))</f>
        <v/>
      </c>
      <c r="AD158" s="26" t="str">
        <f aca="false">IF(A158="","",MID(IF(P158&lt;&gt;"Sí"," · Expediente incompleto","")&amp;IF(OR(Q158="",Q158="Pendiente")," · Falta el Beneficiario Controlador","")&amp;IF(M158=""," · Sin perfil transaccional","")&amp;IF(AND(ISNUMBER(AB158),AB158&lt;CONFIG!$B$6)," · Evaluación de riesgo vencida","")&amp;IF(AND(ISNUMBER(AC158),AC158&lt;CONFIG!$B$6)," · Verificación anual vencida","")&amp;IF(AND(ISNUMBER(R158),ISNUMBER(S158),S158-R158&gt;92)," · Comprobante de domicilio con más de 3 meses","")&amp;IF(AND(T158&lt;&gt;"",U158="")," · Ajuste del REC sin justificación",""),4,400))</f>
        <v/>
      </c>
      <c r="AE158" s="9" t="str">
        <f aca="false">IF(A158="","",IF(AD158="","Al día","Revisar"))</f>
        <v/>
      </c>
      <c r="AF158" s="9" t="str">
        <f aca="false">IF(A158="","",COUNTIF(OPERACIONES!$C$6:$C$505,A158)&amp;" / $"&amp;FIXED(SUMIF(OPERACIONES!$C$6:$C$505,A158,OPERACIONES!$E$6:$E$505),0))</f>
        <v/>
      </c>
    </row>
    <row r="159" customFormat="false" ht="15" hidden="false" customHeight="false" outlineLevel="0" collapsed="false">
      <c r="A159" s="21"/>
      <c r="B159" s="21"/>
      <c r="C159" s="21"/>
      <c r="D159" s="21"/>
      <c r="E159" s="21"/>
      <c r="F159" s="21"/>
      <c r="G159" s="21"/>
      <c r="H159" s="21"/>
      <c r="I159" s="21"/>
      <c r="J159" s="21"/>
      <c r="K159" s="21"/>
      <c r="L159" s="21"/>
      <c r="M159" s="22"/>
      <c r="N159" s="20"/>
      <c r="O159" s="20"/>
      <c r="P159" s="21"/>
      <c r="Q159" s="21"/>
      <c r="R159" s="20"/>
      <c r="S159" s="20"/>
      <c r="T159" s="21"/>
      <c r="U159" s="21"/>
      <c r="V159" s="9" t="str">
        <f aca="false">IF(A159="","",SUMIFS(CONFIG!$F$5:$F$26,CONFIG!$D$5:$D$26,"Tipo de persona",CONFIG!$E$5:$E$26,C159)+SUMIFS(CONFIG!$F$5:$F$26,CONFIG!$D$5:$D$26,"Residencia",CONFIG!$E$5:$E$26,E159)+SUMIFS(CONFIG!$F$5:$F$26,CONFIG!$D$5:$D$26,"Nacionalidad",CONFIG!$E$5:$E$26,F159)+SUMIFS(CONFIG!$F$5:$F$26,CONFIG!$D$5:$D$26,"Jurisdicción de riesgo",CONFIG!$E$5:$E$26,G159)+SUMIFS(CONFIG!$F$5:$F$26,CONFIG!$D$5:$D$26,"PEP",CONFIG!$E$5:$E$26,H159)+SUMIFS(CONFIG!$F$5:$F$26,CONFIG!$D$5:$D$26,"En listas",CONFIG!$E$5:$E$26,I159)+SUMIFS(CONFIG!$F$5:$F$26,CONFIG!$D$5:$D$26,"Riesgo de su actividad económica",CONFIG!$E$5:$E$26,J159)+SUMIFS(CONFIG!$F$5:$F$26,CONFIG!$D$5:$D$26,"Canal",CONFIG!$E$5:$E$26,K159)+SUMIFS(CONFIG!$F$5:$F$26,CONFIG!$D$5:$D$26,"Origen de recursos documentado",CONFIG!$E$5:$E$26,L159))</f>
        <v/>
      </c>
      <c r="W159" s="9" t="str">
        <f aca="false">IF(A159="","",IF(SUMIF(OPERACIONES!$C$6:$C$505,A159,OPERACIONES!$E$6:$E$505)&gt;0,IF(SUMIF(OPERACIONES!$C$6:$C$505,A159,OPERACIONES!$F$6:$F$505)/SUMIF(OPERACIONES!$C$6:$C$505,A159,OPERACIONES!$E$6:$E$505)&gt;0.5,CONFIG!$B$20,IF(SUMIF(OPERACIONES!$C$6:$C$505,A159,OPERACIONES!$F$6:$F$505)&gt;0,CONFIG!$B$21,0)),0)+IF(COUNTIFS(OPERACIONES!$C$6:$C$505,A159,OPERACIONES!$AQ$6:$AQ$505,1)&gt;0,CONFIG!$B$22,0)+IF(COUNTIFS(OPERACIONES!$C$6:$C$505,A159,OPERACIONES!$H$6:$H$505,"Sí")&gt;0,CONFIG!$B$23,0))</f>
        <v/>
      </c>
      <c r="X159" s="9" t="str">
        <f aca="false">IF(A159="","",V159+W159)</f>
        <v/>
      </c>
      <c r="Y159" s="9" t="str">
        <f aca="false">IF(A159="","",IF(X159&lt;=CONFIG!$B$13,"Bajo",IF(X159&lt;=CONFIG!$B$14,"Medio","Alto")))</f>
        <v/>
      </c>
      <c r="Z159" s="25" t="str">
        <f aca="false">IF(A159="","",IF(OR(H159="Extranjera",AND(E159="No residente",G159="Sí"),I159="Sí"),"Alto",IF(T159&lt;&gt;"",T159,Y159)))</f>
        <v/>
      </c>
      <c r="AA159" s="26" t="str">
        <f aca="false">IF(A159="","",IF(H159="Extranjera","Alto obligatorio: PEP extranjera (RCG 23 Bis 4)",IF(AND(E159="No residente",G159="Sí"),"Alto obligatorio: no residente vinculado a jurisdicción de riesgo (RCG 23 Bis 4)",IF(I159="Sí","Alto por criterio: persona en listas. Evalúa no operar y Aviso de 24 h",IF(T159&lt;&gt;"","Ajuste del REC: "&amp;U159,"Modelo: "&amp;X159&amp;" puntos")))))</f>
        <v/>
      </c>
      <c r="AB159" s="23" t="str">
        <f aca="false">IF(A159="","",IF(COUNT(N159,O159)=0,"Falta fecha",EDATE(MAX(N159,O159),IF(Z159="Alto",CONFIG!$B$18,IF(Z159="Medio",CONFIG!$B$17,CONFIG!$B$16)))))</f>
        <v/>
      </c>
      <c r="AC159" s="23" t="str">
        <f aca="false">IF(A159="","",IF(ISNUMBER(S159),EDATE(S159,12),IF(ISNUMBER(N159),EDATE(N159,12),"Falta fecha")))</f>
        <v/>
      </c>
      <c r="AD159" s="26" t="str">
        <f aca="false">IF(A159="","",MID(IF(P159&lt;&gt;"Sí"," · Expediente incompleto","")&amp;IF(OR(Q159="",Q159="Pendiente")," · Falta el Beneficiario Controlador","")&amp;IF(M159=""," · Sin perfil transaccional","")&amp;IF(AND(ISNUMBER(AB159),AB159&lt;CONFIG!$B$6)," · Evaluación de riesgo vencida","")&amp;IF(AND(ISNUMBER(AC159),AC159&lt;CONFIG!$B$6)," · Verificación anual vencida","")&amp;IF(AND(ISNUMBER(R159),ISNUMBER(S159),S159-R159&gt;92)," · Comprobante de domicilio con más de 3 meses","")&amp;IF(AND(T159&lt;&gt;"",U159="")," · Ajuste del REC sin justificación",""),4,400))</f>
        <v/>
      </c>
      <c r="AE159" s="9" t="str">
        <f aca="false">IF(A159="","",IF(AD159="","Al día","Revisar"))</f>
        <v/>
      </c>
      <c r="AF159" s="9" t="str">
        <f aca="false">IF(A159="","",COUNTIF(OPERACIONES!$C$6:$C$505,A159)&amp;" / $"&amp;FIXED(SUMIF(OPERACIONES!$C$6:$C$505,A159,OPERACIONES!$E$6:$E$505),0))</f>
        <v/>
      </c>
    </row>
    <row r="160" customFormat="false" ht="15" hidden="false" customHeight="false" outlineLevel="0" collapsed="false">
      <c r="A160" s="21"/>
      <c r="B160" s="21"/>
      <c r="C160" s="21"/>
      <c r="D160" s="21"/>
      <c r="E160" s="21"/>
      <c r="F160" s="21"/>
      <c r="G160" s="21"/>
      <c r="H160" s="21"/>
      <c r="I160" s="21"/>
      <c r="J160" s="21"/>
      <c r="K160" s="21"/>
      <c r="L160" s="21"/>
      <c r="M160" s="22"/>
      <c r="N160" s="20"/>
      <c r="O160" s="20"/>
      <c r="P160" s="21"/>
      <c r="Q160" s="21"/>
      <c r="R160" s="20"/>
      <c r="S160" s="20"/>
      <c r="T160" s="21"/>
      <c r="U160" s="21"/>
      <c r="V160" s="9" t="str">
        <f aca="false">IF(A160="","",SUMIFS(CONFIG!$F$5:$F$26,CONFIG!$D$5:$D$26,"Tipo de persona",CONFIG!$E$5:$E$26,C160)+SUMIFS(CONFIG!$F$5:$F$26,CONFIG!$D$5:$D$26,"Residencia",CONFIG!$E$5:$E$26,E160)+SUMIFS(CONFIG!$F$5:$F$26,CONFIG!$D$5:$D$26,"Nacionalidad",CONFIG!$E$5:$E$26,F160)+SUMIFS(CONFIG!$F$5:$F$26,CONFIG!$D$5:$D$26,"Jurisdicción de riesgo",CONFIG!$E$5:$E$26,G160)+SUMIFS(CONFIG!$F$5:$F$26,CONFIG!$D$5:$D$26,"PEP",CONFIG!$E$5:$E$26,H160)+SUMIFS(CONFIG!$F$5:$F$26,CONFIG!$D$5:$D$26,"En listas",CONFIG!$E$5:$E$26,I160)+SUMIFS(CONFIG!$F$5:$F$26,CONFIG!$D$5:$D$26,"Riesgo de su actividad económica",CONFIG!$E$5:$E$26,J160)+SUMIFS(CONFIG!$F$5:$F$26,CONFIG!$D$5:$D$26,"Canal",CONFIG!$E$5:$E$26,K160)+SUMIFS(CONFIG!$F$5:$F$26,CONFIG!$D$5:$D$26,"Origen de recursos documentado",CONFIG!$E$5:$E$26,L160))</f>
        <v/>
      </c>
      <c r="W160" s="9" t="str">
        <f aca="false">IF(A160="","",IF(SUMIF(OPERACIONES!$C$6:$C$505,A160,OPERACIONES!$E$6:$E$505)&gt;0,IF(SUMIF(OPERACIONES!$C$6:$C$505,A160,OPERACIONES!$F$6:$F$505)/SUMIF(OPERACIONES!$C$6:$C$505,A160,OPERACIONES!$E$6:$E$505)&gt;0.5,CONFIG!$B$20,IF(SUMIF(OPERACIONES!$C$6:$C$505,A160,OPERACIONES!$F$6:$F$505)&gt;0,CONFIG!$B$21,0)),0)+IF(COUNTIFS(OPERACIONES!$C$6:$C$505,A160,OPERACIONES!$AQ$6:$AQ$505,1)&gt;0,CONFIG!$B$22,0)+IF(COUNTIFS(OPERACIONES!$C$6:$C$505,A160,OPERACIONES!$H$6:$H$505,"Sí")&gt;0,CONFIG!$B$23,0))</f>
        <v/>
      </c>
      <c r="X160" s="9" t="str">
        <f aca="false">IF(A160="","",V160+W160)</f>
        <v/>
      </c>
      <c r="Y160" s="9" t="str">
        <f aca="false">IF(A160="","",IF(X160&lt;=CONFIG!$B$13,"Bajo",IF(X160&lt;=CONFIG!$B$14,"Medio","Alto")))</f>
        <v/>
      </c>
      <c r="Z160" s="25" t="str">
        <f aca="false">IF(A160="","",IF(OR(H160="Extranjera",AND(E160="No residente",G160="Sí"),I160="Sí"),"Alto",IF(T160&lt;&gt;"",T160,Y160)))</f>
        <v/>
      </c>
      <c r="AA160" s="26" t="str">
        <f aca="false">IF(A160="","",IF(H160="Extranjera","Alto obligatorio: PEP extranjera (RCG 23 Bis 4)",IF(AND(E160="No residente",G160="Sí"),"Alto obligatorio: no residente vinculado a jurisdicción de riesgo (RCG 23 Bis 4)",IF(I160="Sí","Alto por criterio: persona en listas. Evalúa no operar y Aviso de 24 h",IF(T160&lt;&gt;"","Ajuste del REC: "&amp;U160,"Modelo: "&amp;X160&amp;" puntos")))))</f>
        <v/>
      </c>
      <c r="AB160" s="23" t="str">
        <f aca="false">IF(A160="","",IF(COUNT(N160,O160)=0,"Falta fecha",EDATE(MAX(N160,O160),IF(Z160="Alto",CONFIG!$B$18,IF(Z160="Medio",CONFIG!$B$17,CONFIG!$B$16)))))</f>
        <v/>
      </c>
      <c r="AC160" s="23" t="str">
        <f aca="false">IF(A160="","",IF(ISNUMBER(S160),EDATE(S160,12),IF(ISNUMBER(N160),EDATE(N160,12),"Falta fecha")))</f>
        <v/>
      </c>
      <c r="AD160" s="26" t="str">
        <f aca="false">IF(A160="","",MID(IF(P160&lt;&gt;"Sí"," · Expediente incompleto","")&amp;IF(OR(Q160="",Q160="Pendiente")," · Falta el Beneficiario Controlador","")&amp;IF(M160=""," · Sin perfil transaccional","")&amp;IF(AND(ISNUMBER(AB160),AB160&lt;CONFIG!$B$6)," · Evaluación de riesgo vencida","")&amp;IF(AND(ISNUMBER(AC160),AC160&lt;CONFIG!$B$6)," · Verificación anual vencida","")&amp;IF(AND(ISNUMBER(R160),ISNUMBER(S160),S160-R160&gt;92)," · Comprobante de domicilio con más de 3 meses","")&amp;IF(AND(T160&lt;&gt;"",U160="")," · Ajuste del REC sin justificación",""),4,400))</f>
        <v/>
      </c>
      <c r="AE160" s="9" t="str">
        <f aca="false">IF(A160="","",IF(AD160="","Al día","Revisar"))</f>
        <v/>
      </c>
      <c r="AF160" s="9" t="str">
        <f aca="false">IF(A160="","",COUNTIF(OPERACIONES!$C$6:$C$505,A160)&amp;" / $"&amp;FIXED(SUMIF(OPERACIONES!$C$6:$C$505,A160,OPERACIONES!$E$6:$E$505),0))</f>
        <v/>
      </c>
    </row>
    <row r="161" customFormat="false" ht="15" hidden="false" customHeight="false" outlineLevel="0" collapsed="false">
      <c r="A161" s="21"/>
      <c r="B161" s="21"/>
      <c r="C161" s="21"/>
      <c r="D161" s="21"/>
      <c r="E161" s="21"/>
      <c r="F161" s="21"/>
      <c r="G161" s="21"/>
      <c r="H161" s="21"/>
      <c r="I161" s="21"/>
      <c r="J161" s="21"/>
      <c r="K161" s="21"/>
      <c r="L161" s="21"/>
      <c r="M161" s="22"/>
      <c r="N161" s="20"/>
      <c r="O161" s="20"/>
      <c r="P161" s="21"/>
      <c r="Q161" s="21"/>
      <c r="R161" s="20"/>
      <c r="S161" s="20"/>
      <c r="T161" s="21"/>
      <c r="U161" s="21"/>
      <c r="V161" s="9" t="str">
        <f aca="false">IF(A161="","",SUMIFS(CONFIG!$F$5:$F$26,CONFIG!$D$5:$D$26,"Tipo de persona",CONFIG!$E$5:$E$26,C161)+SUMIFS(CONFIG!$F$5:$F$26,CONFIG!$D$5:$D$26,"Residencia",CONFIG!$E$5:$E$26,E161)+SUMIFS(CONFIG!$F$5:$F$26,CONFIG!$D$5:$D$26,"Nacionalidad",CONFIG!$E$5:$E$26,F161)+SUMIFS(CONFIG!$F$5:$F$26,CONFIG!$D$5:$D$26,"Jurisdicción de riesgo",CONFIG!$E$5:$E$26,G161)+SUMIFS(CONFIG!$F$5:$F$26,CONFIG!$D$5:$D$26,"PEP",CONFIG!$E$5:$E$26,H161)+SUMIFS(CONFIG!$F$5:$F$26,CONFIG!$D$5:$D$26,"En listas",CONFIG!$E$5:$E$26,I161)+SUMIFS(CONFIG!$F$5:$F$26,CONFIG!$D$5:$D$26,"Riesgo de su actividad económica",CONFIG!$E$5:$E$26,J161)+SUMIFS(CONFIG!$F$5:$F$26,CONFIG!$D$5:$D$26,"Canal",CONFIG!$E$5:$E$26,K161)+SUMIFS(CONFIG!$F$5:$F$26,CONFIG!$D$5:$D$26,"Origen de recursos documentado",CONFIG!$E$5:$E$26,L161))</f>
        <v/>
      </c>
      <c r="W161" s="9" t="str">
        <f aca="false">IF(A161="","",IF(SUMIF(OPERACIONES!$C$6:$C$505,A161,OPERACIONES!$E$6:$E$505)&gt;0,IF(SUMIF(OPERACIONES!$C$6:$C$505,A161,OPERACIONES!$F$6:$F$505)/SUMIF(OPERACIONES!$C$6:$C$505,A161,OPERACIONES!$E$6:$E$505)&gt;0.5,CONFIG!$B$20,IF(SUMIF(OPERACIONES!$C$6:$C$505,A161,OPERACIONES!$F$6:$F$505)&gt;0,CONFIG!$B$21,0)),0)+IF(COUNTIFS(OPERACIONES!$C$6:$C$505,A161,OPERACIONES!$AQ$6:$AQ$505,1)&gt;0,CONFIG!$B$22,0)+IF(COUNTIFS(OPERACIONES!$C$6:$C$505,A161,OPERACIONES!$H$6:$H$505,"Sí")&gt;0,CONFIG!$B$23,0))</f>
        <v/>
      </c>
      <c r="X161" s="9" t="str">
        <f aca="false">IF(A161="","",V161+W161)</f>
        <v/>
      </c>
      <c r="Y161" s="9" t="str">
        <f aca="false">IF(A161="","",IF(X161&lt;=CONFIG!$B$13,"Bajo",IF(X161&lt;=CONFIG!$B$14,"Medio","Alto")))</f>
        <v/>
      </c>
      <c r="Z161" s="25" t="str">
        <f aca="false">IF(A161="","",IF(OR(H161="Extranjera",AND(E161="No residente",G161="Sí"),I161="Sí"),"Alto",IF(T161&lt;&gt;"",T161,Y161)))</f>
        <v/>
      </c>
      <c r="AA161" s="26" t="str">
        <f aca="false">IF(A161="","",IF(H161="Extranjera","Alto obligatorio: PEP extranjera (RCG 23 Bis 4)",IF(AND(E161="No residente",G161="Sí"),"Alto obligatorio: no residente vinculado a jurisdicción de riesgo (RCG 23 Bis 4)",IF(I161="Sí","Alto por criterio: persona en listas. Evalúa no operar y Aviso de 24 h",IF(T161&lt;&gt;"","Ajuste del REC: "&amp;U161,"Modelo: "&amp;X161&amp;" puntos")))))</f>
        <v/>
      </c>
      <c r="AB161" s="23" t="str">
        <f aca="false">IF(A161="","",IF(COUNT(N161,O161)=0,"Falta fecha",EDATE(MAX(N161,O161),IF(Z161="Alto",CONFIG!$B$18,IF(Z161="Medio",CONFIG!$B$17,CONFIG!$B$16)))))</f>
        <v/>
      </c>
      <c r="AC161" s="23" t="str">
        <f aca="false">IF(A161="","",IF(ISNUMBER(S161),EDATE(S161,12),IF(ISNUMBER(N161),EDATE(N161,12),"Falta fecha")))</f>
        <v/>
      </c>
      <c r="AD161" s="26" t="str">
        <f aca="false">IF(A161="","",MID(IF(P161&lt;&gt;"Sí"," · Expediente incompleto","")&amp;IF(OR(Q161="",Q161="Pendiente")," · Falta el Beneficiario Controlador","")&amp;IF(M161=""," · Sin perfil transaccional","")&amp;IF(AND(ISNUMBER(AB161),AB161&lt;CONFIG!$B$6)," · Evaluación de riesgo vencida","")&amp;IF(AND(ISNUMBER(AC161),AC161&lt;CONFIG!$B$6)," · Verificación anual vencida","")&amp;IF(AND(ISNUMBER(R161),ISNUMBER(S161),S161-R161&gt;92)," · Comprobante de domicilio con más de 3 meses","")&amp;IF(AND(T161&lt;&gt;"",U161="")," · Ajuste del REC sin justificación",""),4,400))</f>
        <v/>
      </c>
      <c r="AE161" s="9" t="str">
        <f aca="false">IF(A161="","",IF(AD161="","Al día","Revisar"))</f>
        <v/>
      </c>
      <c r="AF161" s="9" t="str">
        <f aca="false">IF(A161="","",COUNTIF(OPERACIONES!$C$6:$C$505,A161)&amp;" / $"&amp;FIXED(SUMIF(OPERACIONES!$C$6:$C$505,A161,OPERACIONES!$E$6:$E$505),0))</f>
        <v/>
      </c>
    </row>
    <row r="162" customFormat="false" ht="15" hidden="false" customHeight="false" outlineLevel="0" collapsed="false">
      <c r="A162" s="21"/>
      <c r="B162" s="21"/>
      <c r="C162" s="21"/>
      <c r="D162" s="21"/>
      <c r="E162" s="21"/>
      <c r="F162" s="21"/>
      <c r="G162" s="21"/>
      <c r="H162" s="21"/>
      <c r="I162" s="21"/>
      <c r="J162" s="21"/>
      <c r="K162" s="21"/>
      <c r="L162" s="21"/>
      <c r="M162" s="22"/>
      <c r="N162" s="20"/>
      <c r="O162" s="20"/>
      <c r="P162" s="21"/>
      <c r="Q162" s="21"/>
      <c r="R162" s="20"/>
      <c r="S162" s="20"/>
      <c r="T162" s="21"/>
      <c r="U162" s="21"/>
      <c r="V162" s="9" t="str">
        <f aca="false">IF(A162="","",SUMIFS(CONFIG!$F$5:$F$26,CONFIG!$D$5:$D$26,"Tipo de persona",CONFIG!$E$5:$E$26,C162)+SUMIFS(CONFIG!$F$5:$F$26,CONFIG!$D$5:$D$26,"Residencia",CONFIG!$E$5:$E$26,E162)+SUMIFS(CONFIG!$F$5:$F$26,CONFIG!$D$5:$D$26,"Nacionalidad",CONFIG!$E$5:$E$26,F162)+SUMIFS(CONFIG!$F$5:$F$26,CONFIG!$D$5:$D$26,"Jurisdicción de riesgo",CONFIG!$E$5:$E$26,G162)+SUMIFS(CONFIG!$F$5:$F$26,CONFIG!$D$5:$D$26,"PEP",CONFIG!$E$5:$E$26,H162)+SUMIFS(CONFIG!$F$5:$F$26,CONFIG!$D$5:$D$26,"En listas",CONFIG!$E$5:$E$26,I162)+SUMIFS(CONFIG!$F$5:$F$26,CONFIG!$D$5:$D$26,"Riesgo de su actividad económica",CONFIG!$E$5:$E$26,J162)+SUMIFS(CONFIG!$F$5:$F$26,CONFIG!$D$5:$D$26,"Canal",CONFIG!$E$5:$E$26,K162)+SUMIFS(CONFIG!$F$5:$F$26,CONFIG!$D$5:$D$26,"Origen de recursos documentado",CONFIG!$E$5:$E$26,L162))</f>
        <v/>
      </c>
      <c r="W162" s="9" t="str">
        <f aca="false">IF(A162="","",IF(SUMIF(OPERACIONES!$C$6:$C$505,A162,OPERACIONES!$E$6:$E$505)&gt;0,IF(SUMIF(OPERACIONES!$C$6:$C$505,A162,OPERACIONES!$F$6:$F$505)/SUMIF(OPERACIONES!$C$6:$C$505,A162,OPERACIONES!$E$6:$E$505)&gt;0.5,CONFIG!$B$20,IF(SUMIF(OPERACIONES!$C$6:$C$505,A162,OPERACIONES!$F$6:$F$505)&gt;0,CONFIG!$B$21,0)),0)+IF(COUNTIFS(OPERACIONES!$C$6:$C$505,A162,OPERACIONES!$AQ$6:$AQ$505,1)&gt;0,CONFIG!$B$22,0)+IF(COUNTIFS(OPERACIONES!$C$6:$C$505,A162,OPERACIONES!$H$6:$H$505,"Sí")&gt;0,CONFIG!$B$23,0))</f>
        <v/>
      </c>
      <c r="X162" s="9" t="str">
        <f aca="false">IF(A162="","",V162+W162)</f>
        <v/>
      </c>
      <c r="Y162" s="9" t="str">
        <f aca="false">IF(A162="","",IF(X162&lt;=CONFIG!$B$13,"Bajo",IF(X162&lt;=CONFIG!$B$14,"Medio","Alto")))</f>
        <v/>
      </c>
      <c r="Z162" s="25" t="str">
        <f aca="false">IF(A162="","",IF(OR(H162="Extranjera",AND(E162="No residente",G162="Sí"),I162="Sí"),"Alto",IF(T162&lt;&gt;"",T162,Y162)))</f>
        <v/>
      </c>
      <c r="AA162" s="26" t="str">
        <f aca="false">IF(A162="","",IF(H162="Extranjera","Alto obligatorio: PEP extranjera (RCG 23 Bis 4)",IF(AND(E162="No residente",G162="Sí"),"Alto obligatorio: no residente vinculado a jurisdicción de riesgo (RCG 23 Bis 4)",IF(I162="Sí","Alto por criterio: persona en listas. Evalúa no operar y Aviso de 24 h",IF(T162&lt;&gt;"","Ajuste del REC: "&amp;U162,"Modelo: "&amp;X162&amp;" puntos")))))</f>
        <v/>
      </c>
      <c r="AB162" s="23" t="str">
        <f aca="false">IF(A162="","",IF(COUNT(N162,O162)=0,"Falta fecha",EDATE(MAX(N162,O162),IF(Z162="Alto",CONFIG!$B$18,IF(Z162="Medio",CONFIG!$B$17,CONFIG!$B$16)))))</f>
        <v/>
      </c>
      <c r="AC162" s="23" t="str">
        <f aca="false">IF(A162="","",IF(ISNUMBER(S162),EDATE(S162,12),IF(ISNUMBER(N162),EDATE(N162,12),"Falta fecha")))</f>
        <v/>
      </c>
      <c r="AD162" s="26" t="str">
        <f aca="false">IF(A162="","",MID(IF(P162&lt;&gt;"Sí"," · Expediente incompleto","")&amp;IF(OR(Q162="",Q162="Pendiente")," · Falta el Beneficiario Controlador","")&amp;IF(M162=""," · Sin perfil transaccional","")&amp;IF(AND(ISNUMBER(AB162),AB162&lt;CONFIG!$B$6)," · Evaluación de riesgo vencida","")&amp;IF(AND(ISNUMBER(AC162),AC162&lt;CONFIG!$B$6)," · Verificación anual vencida","")&amp;IF(AND(ISNUMBER(R162),ISNUMBER(S162),S162-R162&gt;92)," · Comprobante de domicilio con más de 3 meses","")&amp;IF(AND(T162&lt;&gt;"",U162="")," · Ajuste del REC sin justificación",""),4,400))</f>
        <v/>
      </c>
      <c r="AE162" s="9" t="str">
        <f aca="false">IF(A162="","",IF(AD162="","Al día","Revisar"))</f>
        <v/>
      </c>
      <c r="AF162" s="9" t="str">
        <f aca="false">IF(A162="","",COUNTIF(OPERACIONES!$C$6:$C$505,A162)&amp;" / $"&amp;FIXED(SUMIF(OPERACIONES!$C$6:$C$505,A162,OPERACIONES!$E$6:$E$505),0))</f>
        <v/>
      </c>
    </row>
    <row r="163" customFormat="false" ht="15" hidden="false" customHeight="false" outlineLevel="0" collapsed="false">
      <c r="A163" s="21"/>
      <c r="B163" s="21"/>
      <c r="C163" s="21"/>
      <c r="D163" s="21"/>
      <c r="E163" s="21"/>
      <c r="F163" s="21"/>
      <c r="G163" s="21"/>
      <c r="H163" s="21"/>
      <c r="I163" s="21"/>
      <c r="J163" s="21"/>
      <c r="K163" s="21"/>
      <c r="L163" s="21"/>
      <c r="M163" s="22"/>
      <c r="N163" s="20"/>
      <c r="O163" s="20"/>
      <c r="P163" s="21"/>
      <c r="Q163" s="21"/>
      <c r="R163" s="20"/>
      <c r="S163" s="20"/>
      <c r="T163" s="21"/>
      <c r="U163" s="21"/>
      <c r="V163" s="9" t="str">
        <f aca="false">IF(A163="","",SUMIFS(CONFIG!$F$5:$F$26,CONFIG!$D$5:$D$26,"Tipo de persona",CONFIG!$E$5:$E$26,C163)+SUMIFS(CONFIG!$F$5:$F$26,CONFIG!$D$5:$D$26,"Residencia",CONFIG!$E$5:$E$26,E163)+SUMIFS(CONFIG!$F$5:$F$26,CONFIG!$D$5:$D$26,"Nacionalidad",CONFIG!$E$5:$E$26,F163)+SUMIFS(CONFIG!$F$5:$F$26,CONFIG!$D$5:$D$26,"Jurisdicción de riesgo",CONFIG!$E$5:$E$26,G163)+SUMIFS(CONFIG!$F$5:$F$26,CONFIG!$D$5:$D$26,"PEP",CONFIG!$E$5:$E$26,H163)+SUMIFS(CONFIG!$F$5:$F$26,CONFIG!$D$5:$D$26,"En listas",CONFIG!$E$5:$E$26,I163)+SUMIFS(CONFIG!$F$5:$F$26,CONFIG!$D$5:$D$26,"Riesgo de su actividad económica",CONFIG!$E$5:$E$26,J163)+SUMIFS(CONFIG!$F$5:$F$26,CONFIG!$D$5:$D$26,"Canal",CONFIG!$E$5:$E$26,K163)+SUMIFS(CONFIG!$F$5:$F$26,CONFIG!$D$5:$D$26,"Origen de recursos documentado",CONFIG!$E$5:$E$26,L163))</f>
        <v/>
      </c>
      <c r="W163" s="9" t="str">
        <f aca="false">IF(A163="","",IF(SUMIF(OPERACIONES!$C$6:$C$505,A163,OPERACIONES!$E$6:$E$505)&gt;0,IF(SUMIF(OPERACIONES!$C$6:$C$505,A163,OPERACIONES!$F$6:$F$505)/SUMIF(OPERACIONES!$C$6:$C$505,A163,OPERACIONES!$E$6:$E$505)&gt;0.5,CONFIG!$B$20,IF(SUMIF(OPERACIONES!$C$6:$C$505,A163,OPERACIONES!$F$6:$F$505)&gt;0,CONFIG!$B$21,0)),0)+IF(COUNTIFS(OPERACIONES!$C$6:$C$505,A163,OPERACIONES!$AQ$6:$AQ$505,1)&gt;0,CONFIG!$B$22,0)+IF(COUNTIFS(OPERACIONES!$C$6:$C$505,A163,OPERACIONES!$H$6:$H$505,"Sí")&gt;0,CONFIG!$B$23,0))</f>
        <v/>
      </c>
      <c r="X163" s="9" t="str">
        <f aca="false">IF(A163="","",V163+W163)</f>
        <v/>
      </c>
      <c r="Y163" s="9" t="str">
        <f aca="false">IF(A163="","",IF(X163&lt;=CONFIG!$B$13,"Bajo",IF(X163&lt;=CONFIG!$B$14,"Medio","Alto")))</f>
        <v/>
      </c>
      <c r="Z163" s="25" t="str">
        <f aca="false">IF(A163="","",IF(OR(H163="Extranjera",AND(E163="No residente",G163="Sí"),I163="Sí"),"Alto",IF(T163&lt;&gt;"",T163,Y163)))</f>
        <v/>
      </c>
      <c r="AA163" s="26" t="str">
        <f aca="false">IF(A163="","",IF(H163="Extranjera","Alto obligatorio: PEP extranjera (RCG 23 Bis 4)",IF(AND(E163="No residente",G163="Sí"),"Alto obligatorio: no residente vinculado a jurisdicción de riesgo (RCG 23 Bis 4)",IF(I163="Sí","Alto por criterio: persona en listas. Evalúa no operar y Aviso de 24 h",IF(T163&lt;&gt;"","Ajuste del REC: "&amp;U163,"Modelo: "&amp;X163&amp;" puntos")))))</f>
        <v/>
      </c>
      <c r="AB163" s="23" t="str">
        <f aca="false">IF(A163="","",IF(COUNT(N163,O163)=0,"Falta fecha",EDATE(MAX(N163,O163),IF(Z163="Alto",CONFIG!$B$18,IF(Z163="Medio",CONFIG!$B$17,CONFIG!$B$16)))))</f>
        <v/>
      </c>
      <c r="AC163" s="23" t="str">
        <f aca="false">IF(A163="","",IF(ISNUMBER(S163),EDATE(S163,12),IF(ISNUMBER(N163),EDATE(N163,12),"Falta fecha")))</f>
        <v/>
      </c>
      <c r="AD163" s="26" t="str">
        <f aca="false">IF(A163="","",MID(IF(P163&lt;&gt;"Sí"," · Expediente incompleto","")&amp;IF(OR(Q163="",Q163="Pendiente")," · Falta el Beneficiario Controlador","")&amp;IF(M163=""," · Sin perfil transaccional","")&amp;IF(AND(ISNUMBER(AB163),AB163&lt;CONFIG!$B$6)," · Evaluación de riesgo vencida","")&amp;IF(AND(ISNUMBER(AC163),AC163&lt;CONFIG!$B$6)," · Verificación anual vencida","")&amp;IF(AND(ISNUMBER(R163),ISNUMBER(S163),S163-R163&gt;92)," · Comprobante de domicilio con más de 3 meses","")&amp;IF(AND(T163&lt;&gt;"",U163="")," · Ajuste del REC sin justificación",""),4,400))</f>
        <v/>
      </c>
      <c r="AE163" s="9" t="str">
        <f aca="false">IF(A163="","",IF(AD163="","Al día","Revisar"))</f>
        <v/>
      </c>
      <c r="AF163" s="9" t="str">
        <f aca="false">IF(A163="","",COUNTIF(OPERACIONES!$C$6:$C$505,A163)&amp;" / $"&amp;FIXED(SUMIF(OPERACIONES!$C$6:$C$505,A163,OPERACIONES!$E$6:$E$505),0))</f>
        <v/>
      </c>
    </row>
    <row r="164" customFormat="false" ht="15" hidden="false" customHeight="false" outlineLevel="0" collapsed="false">
      <c r="A164" s="21"/>
      <c r="B164" s="21"/>
      <c r="C164" s="21"/>
      <c r="D164" s="21"/>
      <c r="E164" s="21"/>
      <c r="F164" s="21"/>
      <c r="G164" s="21"/>
      <c r="H164" s="21"/>
      <c r="I164" s="21"/>
      <c r="J164" s="21"/>
      <c r="K164" s="21"/>
      <c r="L164" s="21"/>
      <c r="M164" s="22"/>
      <c r="N164" s="20"/>
      <c r="O164" s="20"/>
      <c r="P164" s="21"/>
      <c r="Q164" s="21"/>
      <c r="R164" s="20"/>
      <c r="S164" s="20"/>
      <c r="T164" s="21"/>
      <c r="U164" s="21"/>
      <c r="V164" s="9" t="str">
        <f aca="false">IF(A164="","",SUMIFS(CONFIG!$F$5:$F$26,CONFIG!$D$5:$D$26,"Tipo de persona",CONFIG!$E$5:$E$26,C164)+SUMIFS(CONFIG!$F$5:$F$26,CONFIG!$D$5:$D$26,"Residencia",CONFIG!$E$5:$E$26,E164)+SUMIFS(CONFIG!$F$5:$F$26,CONFIG!$D$5:$D$26,"Nacionalidad",CONFIG!$E$5:$E$26,F164)+SUMIFS(CONFIG!$F$5:$F$26,CONFIG!$D$5:$D$26,"Jurisdicción de riesgo",CONFIG!$E$5:$E$26,G164)+SUMIFS(CONFIG!$F$5:$F$26,CONFIG!$D$5:$D$26,"PEP",CONFIG!$E$5:$E$26,H164)+SUMIFS(CONFIG!$F$5:$F$26,CONFIG!$D$5:$D$26,"En listas",CONFIG!$E$5:$E$26,I164)+SUMIFS(CONFIG!$F$5:$F$26,CONFIG!$D$5:$D$26,"Riesgo de su actividad económica",CONFIG!$E$5:$E$26,J164)+SUMIFS(CONFIG!$F$5:$F$26,CONFIG!$D$5:$D$26,"Canal",CONFIG!$E$5:$E$26,K164)+SUMIFS(CONFIG!$F$5:$F$26,CONFIG!$D$5:$D$26,"Origen de recursos documentado",CONFIG!$E$5:$E$26,L164))</f>
        <v/>
      </c>
      <c r="W164" s="9" t="str">
        <f aca="false">IF(A164="","",IF(SUMIF(OPERACIONES!$C$6:$C$505,A164,OPERACIONES!$E$6:$E$505)&gt;0,IF(SUMIF(OPERACIONES!$C$6:$C$505,A164,OPERACIONES!$F$6:$F$505)/SUMIF(OPERACIONES!$C$6:$C$505,A164,OPERACIONES!$E$6:$E$505)&gt;0.5,CONFIG!$B$20,IF(SUMIF(OPERACIONES!$C$6:$C$505,A164,OPERACIONES!$F$6:$F$505)&gt;0,CONFIG!$B$21,0)),0)+IF(COUNTIFS(OPERACIONES!$C$6:$C$505,A164,OPERACIONES!$AQ$6:$AQ$505,1)&gt;0,CONFIG!$B$22,0)+IF(COUNTIFS(OPERACIONES!$C$6:$C$505,A164,OPERACIONES!$H$6:$H$505,"Sí")&gt;0,CONFIG!$B$23,0))</f>
        <v/>
      </c>
      <c r="X164" s="9" t="str">
        <f aca="false">IF(A164="","",V164+W164)</f>
        <v/>
      </c>
      <c r="Y164" s="9" t="str">
        <f aca="false">IF(A164="","",IF(X164&lt;=CONFIG!$B$13,"Bajo",IF(X164&lt;=CONFIG!$B$14,"Medio","Alto")))</f>
        <v/>
      </c>
      <c r="Z164" s="25" t="str">
        <f aca="false">IF(A164="","",IF(OR(H164="Extranjera",AND(E164="No residente",G164="Sí"),I164="Sí"),"Alto",IF(T164&lt;&gt;"",T164,Y164)))</f>
        <v/>
      </c>
      <c r="AA164" s="26" t="str">
        <f aca="false">IF(A164="","",IF(H164="Extranjera","Alto obligatorio: PEP extranjera (RCG 23 Bis 4)",IF(AND(E164="No residente",G164="Sí"),"Alto obligatorio: no residente vinculado a jurisdicción de riesgo (RCG 23 Bis 4)",IF(I164="Sí","Alto por criterio: persona en listas. Evalúa no operar y Aviso de 24 h",IF(T164&lt;&gt;"","Ajuste del REC: "&amp;U164,"Modelo: "&amp;X164&amp;" puntos")))))</f>
        <v/>
      </c>
      <c r="AB164" s="23" t="str">
        <f aca="false">IF(A164="","",IF(COUNT(N164,O164)=0,"Falta fecha",EDATE(MAX(N164,O164),IF(Z164="Alto",CONFIG!$B$18,IF(Z164="Medio",CONFIG!$B$17,CONFIG!$B$16)))))</f>
        <v/>
      </c>
      <c r="AC164" s="23" t="str">
        <f aca="false">IF(A164="","",IF(ISNUMBER(S164),EDATE(S164,12),IF(ISNUMBER(N164),EDATE(N164,12),"Falta fecha")))</f>
        <v/>
      </c>
      <c r="AD164" s="26" t="str">
        <f aca="false">IF(A164="","",MID(IF(P164&lt;&gt;"Sí"," · Expediente incompleto","")&amp;IF(OR(Q164="",Q164="Pendiente")," · Falta el Beneficiario Controlador","")&amp;IF(M164=""," · Sin perfil transaccional","")&amp;IF(AND(ISNUMBER(AB164),AB164&lt;CONFIG!$B$6)," · Evaluación de riesgo vencida","")&amp;IF(AND(ISNUMBER(AC164),AC164&lt;CONFIG!$B$6)," · Verificación anual vencida","")&amp;IF(AND(ISNUMBER(R164),ISNUMBER(S164),S164-R164&gt;92)," · Comprobante de domicilio con más de 3 meses","")&amp;IF(AND(T164&lt;&gt;"",U164="")," · Ajuste del REC sin justificación",""),4,400))</f>
        <v/>
      </c>
      <c r="AE164" s="9" t="str">
        <f aca="false">IF(A164="","",IF(AD164="","Al día","Revisar"))</f>
        <v/>
      </c>
      <c r="AF164" s="9" t="str">
        <f aca="false">IF(A164="","",COUNTIF(OPERACIONES!$C$6:$C$505,A164)&amp;" / $"&amp;FIXED(SUMIF(OPERACIONES!$C$6:$C$505,A164,OPERACIONES!$E$6:$E$505),0))</f>
        <v/>
      </c>
    </row>
    <row r="165" customFormat="false" ht="15" hidden="false" customHeight="false" outlineLevel="0" collapsed="false">
      <c r="A165" s="21"/>
      <c r="B165" s="21"/>
      <c r="C165" s="21"/>
      <c r="D165" s="21"/>
      <c r="E165" s="21"/>
      <c r="F165" s="21"/>
      <c r="G165" s="21"/>
      <c r="H165" s="21"/>
      <c r="I165" s="21"/>
      <c r="J165" s="21"/>
      <c r="K165" s="21"/>
      <c r="L165" s="21"/>
      <c r="M165" s="22"/>
      <c r="N165" s="20"/>
      <c r="O165" s="20"/>
      <c r="P165" s="21"/>
      <c r="Q165" s="21"/>
      <c r="R165" s="20"/>
      <c r="S165" s="20"/>
      <c r="T165" s="21"/>
      <c r="U165" s="21"/>
      <c r="V165" s="9" t="str">
        <f aca="false">IF(A165="","",SUMIFS(CONFIG!$F$5:$F$26,CONFIG!$D$5:$D$26,"Tipo de persona",CONFIG!$E$5:$E$26,C165)+SUMIFS(CONFIG!$F$5:$F$26,CONFIG!$D$5:$D$26,"Residencia",CONFIG!$E$5:$E$26,E165)+SUMIFS(CONFIG!$F$5:$F$26,CONFIG!$D$5:$D$26,"Nacionalidad",CONFIG!$E$5:$E$26,F165)+SUMIFS(CONFIG!$F$5:$F$26,CONFIG!$D$5:$D$26,"Jurisdicción de riesgo",CONFIG!$E$5:$E$26,G165)+SUMIFS(CONFIG!$F$5:$F$26,CONFIG!$D$5:$D$26,"PEP",CONFIG!$E$5:$E$26,H165)+SUMIFS(CONFIG!$F$5:$F$26,CONFIG!$D$5:$D$26,"En listas",CONFIG!$E$5:$E$26,I165)+SUMIFS(CONFIG!$F$5:$F$26,CONFIG!$D$5:$D$26,"Riesgo de su actividad económica",CONFIG!$E$5:$E$26,J165)+SUMIFS(CONFIG!$F$5:$F$26,CONFIG!$D$5:$D$26,"Canal",CONFIG!$E$5:$E$26,K165)+SUMIFS(CONFIG!$F$5:$F$26,CONFIG!$D$5:$D$26,"Origen de recursos documentado",CONFIG!$E$5:$E$26,L165))</f>
        <v/>
      </c>
      <c r="W165" s="9" t="str">
        <f aca="false">IF(A165="","",IF(SUMIF(OPERACIONES!$C$6:$C$505,A165,OPERACIONES!$E$6:$E$505)&gt;0,IF(SUMIF(OPERACIONES!$C$6:$C$505,A165,OPERACIONES!$F$6:$F$505)/SUMIF(OPERACIONES!$C$6:$C$505,A165,OPERACIONES!$E$6:$E$505)&gt;0.5,CONFIG!$B$20,IF(SUMIF(OPERACIONES!$C$6:$C$505,A165,OPERACIONES!$F$6:$F$505)&gt;0,CONFIG!$B$21,0)),0)+IF(COUNTIFS(OPERACIONES!$C$6:$C$505,A165,OPERACIONES!$AQ$6:$AQ$505,1)&gt;0,CONFIG!$B$22,0)+IF(COUNTIFS(OPERACIONES!$C$6:$C$505,A165,OPERACIONES!$H$6:$H$505,"Sí")&gt;0,CONFIG!$B$23,0))</f>
        <v/>
      </c>
      <c r="X165" s="9" t="str">
        <f aca="false">IF(A165="","",V165+W165)</f>
        <v/>
      </c>
      <c r="Y165" s="9" t="str">
        <f aca="false">IF(A165="","",IF(X165&lt;=CONFIG!$B$13,"Bajo",IF(X165&lt;=CONFIG!$B$14,"Medio","Alto")))</f>
        <v/>
      </c>
      <c r="Z165" s="25" t="str">
        <f aca="false">IF(A165="","",IF(OR(H165="Extranjera",AND(E165="No residente",G165="Sí"),I165="Sí"),"Alto",IF(T165&lt;&gt;"",T165,Y165)))</f>
        <v/>
      </c>
      <c r="AA165" s="26" t="str">
        <f aca="false">IF(A165="","",IF(H165="Extranjera","Alto obligatorio: PEP extranjera (RCG 23 Bis 4)",IF(AND(E165="No residente",G165="Sí"),"Alto obligatorio: no residente vinculado a jurisdicción de riesgo (RCG 23 Bis 4)",IF(I165="Sí","Alto por criterio: persona en listas. Evalúa no operar y Aviso de 24 h",IF(T165&lt;&gt;"","Ajuste del REC: "&amp;U165,"Modelo: "&amp;X165&amp;" puntos")))))</f>
        <v/>
      </c>
      <c r="AB165" s="23" t="str">
        <f aca="false">IF(A165="","",IF(COUNT(N165,O165)=0,"Falta fecha",EDATE(MAX(N165,O165),IF(Z165="Alto",CONFIG!$B$18,IF(Z165="Medio",CONFIG!$B$17,CONFIG!$B$16)))))</f>
        <v/>
      </c>
      <c r="AC165" s="23" t="str">
        <f aca="false">IF(A165="","",IF(ISNUMBER(S165),EDATE(S165,12),IF(ISNUMBER(N165),EDATE(N165,12),"Falta fecha")))</f>
        <v/>
      </c>
      <c r="AD165" s="26" t="str">
        <f aca="false">IF(A165="","",MID(IF(P165&lt;&gt;"Sí"," · Expediente incompleto","")&amp;IF(OR(Q165="",Q165="Pendiente")," · Falta el Beneficiario Controlador","")&amp;IF(M165=""," · Sin perfil transaccional","")&amp;IF(AND(ISNUMBER(AB165),AB165&lt;CONFIG!$B$6)," · Evaluación de riesgo vencida","")&amp;IF(AND(ISNUMBER(AC165),AC165&lt;CONFIG!$B$6)," · Verificación anual vencida","")&amp;IF(AND(ISNUMBER(R165),ISNUMBER(S165),S165-R165&gt;92)," · Comprobante de domicilio con más de 3 meses","")&amp;IF(AND(T165&lt;&gt;"",U165="")," · Ajuste del REC sin justificación",""),4,400))</f>
        <v/>
      </c>
      <c r="AE165" s="9" t="str">
        <f aca="false">IF(A165="","",IF(AD165="","Al día","Revisar"))</f>
        <v/>
      </c>
      <c r="AF165" s="9" t="str">
        <f aca="false">IF(A165="","",COUNTIF(OPERACIONES!$C$6:$C$505,A165)&amp;" / $"&amp;FIXED(SUMIF(OPERACIONES!$C$6:$C$505,A165,OPERACIONES!$E$6:$E$505),0))</f>
        <v/>
      </c>
    </row>
    <row r="166" customFormat="false" ht="15" hidden="false" customHeight="false" outlineLevel="0" collapsed="false">
      <c r="A166" s="21"/>
      <c r="B166" s="21"/>
      <c r="C166" s="21"/>
      <c r="D166" s="21"/>
      <c r="E166" s="21"/>
      <c r="F166" s="21"/>
      <c r="G166" s="21"/>
      <c r="H166" s="21"/>
      <c r="I166" s="21"/>
      <c r="J166" s="21"/>
      <c r="K166" s="21"/>
      <c r="L166" s="21"/>
      <c r="M166" s="22"/>
      <c r="N166" s="20"/>
      <c r="O166" s="20"/>
      <c r="P166" s="21"/>
      <c r="Q166" s="21"/>
      <c r="R166" s="20"/>
      <c r="S166" s="20"/>
      <c r="T166" s="21"/>
      <c r="U166" s="21"/>
      <c r="V166" s="9" t="str">
        <f aca="false">IF(A166="","",SUMIFS(CONFIG!$F$5:$F$26,CONFIG!$D$5:$D$26,"Tipo de persona",CONFIG!$E$5:$E$26,C166)+SUMIFS(CONFIG!$F$5:$F$26,CONFIG!$D$5:$D$26,"Residencia",CONFIG!$E$5:$E$26,E166)+SUMIFS(CONFIG!$F$5:$F$26,CONFIG!$D$5:$D$26,"Nacionalidad",CONFIG!$E$5:$E$26,F166)+SUMIFS(CONFIG!$F$5:$F$26,CONFIG!$D$5:$D$26,"Jurisdicción de riesgo",CONFIG!$E$5:$E$26,G166)+SUMIFS(CONFIG!$F$5:$F$26,CONFIG!$D$5:$D$26,"PEP",CONFIG!$E$5:$E$26,H166)+SUMIFS(CONFIG!$F$5:$F$26,CONFIG!$D$5:$D$26,"En listas",CONFIG!$E$5:$E$26,I166)+SUMIFS(CONFIG!$F$5:$F$26,CONFIG!$D$5:$D$26,"Riesgo de su actividad económica",CONFIG!$E$5:$E$26,J166)+SUMIFS(CONFIG!$F$5:$F$26,CONFIG!$D$5:$D$26,"Canal",CONFIG!$E$5:$E$26,K166)+SUMIFS(CONFIG!$F$5:$F$26,CONFIG!$D$5:$D$26,"Origen de recursos documentado",CONFIG!$E$5:$E$26,L166))</f>
        <v/>
      </c>
      <c r="W166" s="9" t="str">
        <f aca="false">IF(A166="","",IF(SUMIF(OPERACIONES!$C$6:$C$505,A166,OPERACIONES!$E$6:$E$505)&gt;0,IF(SUMIF(OPERACIONES!$C$6:$C$505,A166,OPERACIONES!$F$6:$F$505)/SUMIF(OPERACIONES!$C$6:$C$505,A166,OPERACIONES!$E$6:$E$505)&gt;0.5,CONFIG!$B$20,IF(SUMIF(OPERACIONES!$C$6:$C$505,A166,OPERACIONES!$F$6:$F$505)&gt;0,CONFIG!$B$21,0)),0)+IF(COUNTIFS(OPERACIONES!$C$6:$C$505,A166,OPERACIONES!$AQ$6:$AQ$505,1)&gt;0,CONFIG!$B$22,0)+IF(COUNTIFS(OPERACIONES!$C$6:$C$505,A166,OPERACIONES!$H$6:$H$505,"Sí")&gt;0,CONFIG!$B$23,0))</f>
        <v/>
      </c>
      <c r="X166" s="9" t="str">
        <f aca="false">IF(A166="","",V166+W166)</f>
        <v/>
      </c>
      <c r="Y166" s="9" t="str">
        <f aca="false">IF(A166="","",IF(X166&lt;=CONFIG!$B$13,"Bajo",IF(X166&lt;=CONFIG!$B$14,"Medio","Alto")))</f>
        <v/>
      </c>
      <c r="Z166" s="25" t="str">
        <f aca="false">IF(A166="","",IF(OR(H166="Extranjera",AND(E166="No residente",G166="Sí"),I166="Sí"),"Alto",IF(T166&lt;&gt;"",T166,Y166)))</f>
        <v/>
      </c>
      <c r="AA166" s="26" t="str">
        <f aca="false">IF(A166="","",IF(H166="Extranjera","Alto obligatorio: PEP extranjera (RCG 23 Bis 4)",IF(AND(E166="No residente",G166="Sí"),"Alto obligatorio: no residente vinculado a jurisdicción de riesgo (RCG 23 Bis 4)",IF(I166="Sí","Alto por criterio: persona en listas. Evalúa no operar y Aviso de 24 h",IF(T166&lt;&gt;"","Ajuste del REC: "&amp;U166,"Modelo: "&amp;X166&amp;" puntos")))))</f>
        <v/>
      </c>
      <c r="AB166" s="23" t="str">
        <f aca="false">IF(A166="","",IF(COUNT(N166,O166)=0,"Falta fecha",EDATE(MAX(N166,O166),IF(Z166="Alto",CONFIG!$B$18,IF(Z166="Medio",CONFIG!$B$17,CONFIG!$B$16)))))</f>
        <v/>
      </c>
      <c r="AC166" s="23" t="str">
        <f aca="false">IF(A166="","",IF(ISNUMBER(S166),EDATE(S166,12),IF(ISNUMBER(N166),EDATE(N166,12),"Falta fecha")))</f>
        <v/>
      </c>
      <c r="AD166" s="26" t="str">
        <f aca="false">IF(A166="","",MID(IF(P166&lt;&gt;"Sí"," · Expediente incompleto","")&amp;IF(OR(Q166="",Q166="Pendiente")," · Falta el Beneficiario Controlador","")&amp;IF(M166=""," · Sin perfil transaccional","")&amp;IF(AND(ISNUMBER(AB166),AB166&lt;CONFIG!$B$6)," · Evaluación de riesgo vencida","")&amp;IF(AND(ISNUMBER(AC166),AC166&lt;CONFIG!$B$6)," · Verificación anual vencida","")&amp;IF(AND(ISNUMBER(R166),ISNUMBER(S166),S166-R166&gt;92)," · Comprobante de domicilio con más de 3 meses","")&amp;IF(AND(T166&lt;&gt;"",U166="")," · Ajuste del REC sin justificación",""),4,400))</f>
        <v/>
      </c>
      <c r="AE166" s="9" t="str">
        <f aca="false">IF(A166="","",IF(AD166="","Al día","Revisar"))</f>
        <v/>
      </c>
      <c r="AF166" s="9" t="str">
        <f aca="false">IF(A166="","",COUNTIF(OPERACIONES!$C$6:$C$505,A166)&amp;" / $"&amp;FIXED(SUMIF(OPERACIONES!$C$6:$C$505,A166,OPERACIONES!$E$6:$E$505),0))</f>
        <v/>
      </c>
    </row>
    <row r="167" customFormat="false" ht="15" hidden="false" customHeight="false" outlineLevel="0" collapsed="false">
      <c r="A167" s="21"/>
      <c r="B167" s="21"/>
      <c r="C167" s="21"/>
      <c r="D167" s="21"/>
      <c r="E167" s="21"/>
      <c r="F167" s="21"/>
      <c r="G167" s="21"/>
      <c r="H167" s="21"/>
      <c r="I167" s="21"/>
      <c r="J167" s="21"/>
      <c r="K167" s="21"/>
      <c r="L167" s="21"/>
      <c r="M167" s="22"/>
      <c r="N167" s="20"/>
      <c r="O167" s="20"/>
      <c r="P167" s="21"/>
      <c r="Q167" s="21"/>
      <c r="R167" s="20"/>
      <c r="S167" s="20"/>
      <c r="T167" s="21"/>
      <c r="U167" s="21"/>
      <c r="V167" s="9" t="str">
        <f aca="false">IF(A167="","",SUMIFS(CONFIG!$F$5:$F$26,CONFIG!$D$5:$D$26,"Tipo de persona",CONFIG!$E$5:$E$26,C167)+SUMIFS(CONFIG!$F$5:$F$26,CONFIG!$D$5:$D$26,"Residencia",CONFIG!$E$5:$E$26,E167)+SUMIFS(CONFIG!$F$5:$F$26,CONFIG!$D$5:$D$26,"Nacionalidad",CONFIG!$E$5:$E$26,F167)+SUMIFS(CONFIG!$F$5:$F$26,CONFIG!$D$5:$D$26,"Jurisdicción de riesgo",CONFIG!$E$5:$E$26,G167)+SUMIFS(CONFIG!$F$5:$F$26,CONFIG!$D$5:$D$26,"PEP",CONFIG!$E$5:$E$26,H167)+SUMIFS(CONFIG!$F$5:$F$26,CONFIG!$D$5:$D$26,"En listas",CONFIG!$E$5:$E$26,I167)+SUMIFS(CONFIG!$F$5:$F$26,CONFIG!$D$5:$D$26,"Riesgo de su actividad económica",CONFIG!$E$5:$E$26,J167)+SUMIFS(CONFIG!$F$5:$F$26,CONFIG!$D$5:$D$26,"Canal",CONFIG!$E$5:$E$26,K167)+SUMIFS(CONFIG!$F$5:$F$26,CONFIG!$D$5:$D$26,"Origen de recursos documentado",CONFIG!$E$5:$E$26,L167))</f>
        <v/>
      </c>
      <c r="W167" s="9" t="str">
        <f aca="false">IF(A167="","",IF(SUMIF(OPERACIONES!$C$6:$C$505,A167,OPERACIONES!$E$6:$E$505)&gt;0,IF(SUMIF(OPERACIONES!$C$6:$C$505,A167,OPERACIONES!$F$6:$F$505)/SUMIF(OPERACIONES!$C$6:$C$505,A167,OPERACIONES!$E$6:$E$505)&gt;0.5,CONFIG!$B$20,IF(SUMIF(OPERACIONES!$C$6:$C$505,A167,OPERACIONES!$F$6:$F$505)&gt;0,CONFIG!$B$21,0)),0)+IF(COUNTIFS(OPERACIONES!$C$6:$C$505,A167,OPERACIONES!$AQ$6:$AQ$505,1)&gt;0,CONFIG!$B$22,0)+IF(COUNTIFS(OPERACIONES!$C$6:$C$505,A167,OPERACIONES!$H$6:$H$505,"Sí")&gt;0,CONFIG!$B$23,0))</f>
        <v/>
      </c>
      <c r="X167" s="9" t="str">
        <f aca="false">IF(A167="","",V167+W167)</f>
        <v/>
      </c>
      <c r="Y167" s="9" t="str">
        <f aca="false">IF(A167="","",IF(X167&lt;=CONFIG!$B$13,"Bajo",IF(X167&lt;=CONFIG!$B$14,"Medio","Alto")))</f>
        <v/>
      </c>
      <c r="Z167" s="25" t="str">
        <f aca="false">IF(A167="","",IF(OR(H167="Extranjera",AND(E167="No residente",G167="Sí"),I167="Sí"),"Alto",IF(T167&lt;&gt;"",T167,Y167)))</f>
        <v/>
      </c>
      <c r="AA167" s="26" t="str">
        <f aca="false">IF(A167="","",IF(H167="Extranjera","Alto obligatorio: PEP extranjera (RCG 23 Bis 4)",IF(AND(E167="No residente",G167="Sí"),"Alto obligatorio: no residente vinculado a jurisdicción de riesgo (RCG 23 Bis 4)",IF(I167="Sí","Alto por criterio: persona en listas. Evalúa no operar y Aviso de 24 h",IF(T167&lt;&gt;"","Ajuste del REC: "&amp;U167,"Modelo: "&amp;X167&amp;" puntos")))))</f>
        <v/>
      </c>
      <c r="AB167" s="23" t="str">
        <f aca="false">IF(A167="","",IF(COUNT(N167,O167)=0,"Falta fecha",EDATE(MAX(N167,O167),IF(Z167="Alto",CONFIG!$B$18,IF(Z167="Medio",CONFIG!$B$17,CONFIG!$B$16)))))</f>
        <v/>
      </c>
      <c r="AC167" s="23" t="str">
        <f aca="false">IF(A167="","",IF(ISNUMBER(S167),EDATE(S167,12),IF(ISNUMBER(N167),EDATE(N167,12),"Falta fecha")))</f>
        <v/>
      </c>
      <c r="AD167" s="26" t="str">
        <f aca="false">IF(A167="","",MID(IF(P167&lt;&gt;"Sí"," · Expediente incompleto","")&amp;IF(OR(Q167="",Q167="Pendiente")," · Falta el Beneficiario Controlador","")&amp;IF(M167=""," · Sin perfil transaccional","")&amp;IF(AND(ISNUMBER(AB167),AB167&lt;CONFIG!$B$6)," · Evaluación de riesgo vencida","")&amp;IF(AND(ISNUMBER(AC167),AC167&lt;CONFIG!$B$6)," · Verificación anual vencida","")&amp;IF(AND(ISNUMBER(R167),ISNUMBER(S167),S167-R167&gt;92)," · Comprobante de domicilio con más de 3 meses","")&amp;IF(AND(T167&lt;&gt;"",U167="")," · Ajuste del REC sin justificación",""),4,400))</f>
        <v/>
      </c>
      <c r="AE167" s="9" t="str">
        <f aca="false">IF(A167="","",IF(AD167="","Al día","Revisar"))</f>
        <v/>
      </c>
      <c r="AF167" s="9" t="str">
        <f aca="false">IF(A167="","",COUNTIF(OPERACIONES!$C$6:$C$505,A167)&amp;" / $"&amp;FIXED(SUMIF(OPERACIONES!$C$6:$C$505,A167,OPERACIONES!$E$6:$E$505),0))</f>
        <v/>
      </c>
    </row>
    <row r="168" customFormat="false" ht="15" hidden="false" customHeight="false" outlineLevel="0" collapsed="false">
      <c r="A168" s="21"/>
      <c r="B168" s="21"/>
      <c r="C168" s="21"/>
      <c r="D168" s="21"/>
      <c r="E168" s="21"/>
      <c r="F168" s="21"/>
      <c r="G168" s="21"/>
      <c r="H168" s="21"/>
      <c r="I168" s="21"/>
      <c r="J168" s="21"/>
      <c r="K168" s="21"/>
      <c r="L168" s="21"/>
      <c r="M168" s="22"/>
      <c r="N168" s="20"/>
      <c r="O168" s="20"/>
      <c r="P168" s="21"/>
      <c r="Q168" s="21"/>
      <c r="R168" s="20"/>
      <c r="S168" s="20"/>
      <c r="T168" s="21"/>
      <c r="U168" s="21"/>
      <c r="V168" s="9" t="str">
        <f aca="false">IF(A168="","",SUMIFS(CONFIG!$F$5:$F$26,CONFIG!$D$5:$D$26,"Tipo de persona",CONFIG!$E$5:$E$26,C168)+SUMIFS(CONFIG!$F$5:$F$26,CONFIG!$D$5:$D$26,"Residencia",CONFIG!$E$5:$E$26,E168)+SUMIFS(CONFIG!$F$5:$F$26,CONFIG!$D$5:$D$26,"Nacionalidad",CONFIG!$E$5:$E$26,F168)+SUMIFS(CONFIG!$F$5:$F$26,CONFIG!$D$5:$D$26,"Jurisdicción de riesgo",CONFIG!$E$5:$E$26,G168)+SUMIFS(CONFIG!$F$5:$F$26,CONFIG!$D$5:$D$26,"PEP",CONFIG!$E$5:$E$26,H168)+SUMIFS(CONFIG!$F$5:$F$26,CONFIG!$D$5:$D$26,"En listas",CONFIG!$E$5:$E$26,I168)+SUMIFS(CONFIG!$F$5:$F$26,CONFIG!$D$5:$D$26,"Riesgo de su actividad económica",CONFIG!$E$5:$E$26,J168)+SUMIFS(CONFIG!$F$5:$F$26,CONFIG!$D$5:$D$26,"Canal",CONFIG!$E$5:$E$26,K168)+SUMIFS(CONFIG!$F$5:$F$26,CONFIG!$D$5:$D$26,"Origen de recursos documentado",CONFIG!$E$5:$E$26,L168))</f>
        <v/>
      </c>
      <c r="W168" s="9" t="str">
        <f aca="false">IF(A168="","",IF(SUMIF(OPERACIONES!$C$6:$C$505,A168,OPERACIONES!$E$6:$E$505)&gt;0,IF(SUMIF(OPERACIONES!$C$6:$C$505,A168,OPERACIONES!$F$6:$F$505)/SUMIF(OPERACIONES!$C$6:$C$505,A168,OPERACIONES!$E$6:$E$505)&gt;0.5,CONFIG!$B$20,IF(SUMIF(OPERACIONES!$C$6:$C$505,A168,OPERACIONES!$F$6:$F$505)&gt;0,CONFIG!$B$21,0)),0)+IF(COUNTIFS(OPERACIONES!$C$6:$C$505,A168,OPERACIONES!$AQ$6:$AQ$505,1)&gt;0,CONFIG!$B$22,0)+IF(COUNTIFS(OPERACIONES!$C$6:$C$505,A168,OPERACIONES!$H$6:$H$505,"Sí")&gt;0,CONFIG!$B$23,0))</f>
        <v/>
      </c>
      <c r="X168" s="9" t="str">
        <f aca="false">IF(A168="","",V168+W168)</f>
        <v/>
      </c>
      <c r="Y168" s="9" t="str">
        <f aca="false">IF(A168="","",IF(X168&lt;=CONFIG!$B$13,"Bajo",IF(X168&lt;=CONFIG!$B$14,"Medio","Alto")))</f>
        <v/>
      </c>
      <c r="Z168" s="25" t="str">
        <f aca="false">IF(A168="","",IF(OR(H168="Extranjera",AND(E168="No residente",G168="Sí"),I168="Sí"),"Alto",IF(T168&lt;&gt;"",T168,Y168)))</f>
        <v/>
      </c>
      <c r="AA168" s="26" t="str">
        <f aca="false">IF(A168="","",IF(H168="Extranjera","Alto obligatorio: PEP extranjera (RCG 23 Bis 4)",IF(AND(E168="No residente",G168="Sí"),"Alto obligatorio: no residente vinculado a jurisdicción de riesgo (RCG 23 Bis 4)",IF(I168="Sí","Alto por criterio: persona en listas. Evalúa no operar y Aviso de 24 h",IF(T168&lt;&gt;"","Ajuste del REC: "&amp;U168,"Modelo: "&amp;X168&amp;" puntos")))))</f>
        <v/>
      </c>
      <c r="AB168" s="23" t="str">
        <f aca="false">IF(A168="","",IF(COUNT(N168,O168)=0,"Falta fecha",EDATE(MAX(N168,O168),IF(Z168="Alto",CONFIG!$B$18,IF(Z168="Medio",CONFIG!$B$17,CONFIG!$B$16)))))</f>
        <v/>
      </c>
      <c r="AC168" s="23" t="str">
        <f aca="false">IF(A168="","",IF(ISNUMBER(S168),EDATE(S168,12),IF(ISNUMBER(N168),EDATE(N168,12),"Falta fecha")))</f>
        <v/>
      </c>
      <c r="AD168" s="26" t="str">
        <f aca="false">IF(A168="","",MID(IF(P168&lt;&gt;"Sí"," · Expediente incompleto","")&amp;IF(OR(Q168="",Q168="Pendiente")," · Falta el Beneficiario Controlador","")&amp;IF(M168=""," · Sin perfil transaccional","")&amp;IF(AND(ISNUMBER(AB168),AB168&lt;CONFIG!$B$6)," · Evaluación de riesgo vencida","")&amp;IF(AND(ISNUMBER(AC168),AC168&lt;CONFIG!$B$6)," · Verificación anual vencida","")&amp;IF(AND(ISNUMBER(R168),ISNUMBER(S168),S168-R168&gt;92)," · Comprobante de domicilio con más de 3 meses","")&amp;IF(AND(T168&lt;&gt;"",U168="")," · Ajuste del REC sin justificación",""),4,400))</f>
        <v/>
      </c>
      <c r="AE168" s="9" t="str">
        <f aca="false">IF(A168="","",IF(AD168="","Al día","Revisar"))</f>
        <v/>
      </c>
      <c r="AF168" s="9" t="str">
        <f aca="false">IF(A168="","",COUNTIF(OPERACIONES!$C$6:$C$505,A168)&amp;" / $"&amp;FIXED(SUMIF(OPERACIONES!$C$6:$C$505,A168,OPERACIONES!$E$6:$E$505),0))</f>
        <v/>
      </c>
    </row>
    <row r="169" customFormat="false" ht="15" hidden="false" customHeight="false" outlineLevel="0" collapsed="false">
      <c r="A169" s="21"/>
      <c r="B169" s="21"/>
      <c r="C169" s="21"/>
      <c r="D169" s="21"/>
      <c r="E169" s="21"/>
      <c r="F169" s="21"/>
      <c r="G169" s="21"/>
      <c r="H169" s="21"/>
      <c r="I169" s="21"/>
      <c r="J169" s="21"/>
      <c r="K169" s="21"/>
      <c r="L169" s="21"/>
      <c r="M169" s="22"/>
      <c r="N169" s="20"/>
      <c r="O169" s="20"/>
      <c r="P169" s="21"/>
      <c r="Q169" s="21"/>
      <c r="R169" s="20"/>
      <c r="S169" s="20"/>
      <c r="T169" s="21"/>
      <c r="U169" s="21"/>
      <c r="V169" s="9" t="str">
        <f aca="false">IF(A169="","",SUMIFS(CONFIG!$F$5:$F$26,CONFIG!$D$5:$D$26,"Tipo de persona",CONFIG!$E$5:$E$26,C169)+SUMIFS(CONFIG!$F$5:$F$26,CONFIG!$D$5:$D$26,"Residencia",CONFIG!$E$5:$E$26,E169)+SUMIFS(CONFIG!$F$5:$F$26,CONFIG!$D$5:$D$26,"Nacionalidad",CONFIG!$E$5:$E$26,F169)+SUMIFS(CONFIG!$F$5:$F$26,CONFIG!$D$5:$D$26,"Jurisdicción de riesgo",CONFIG!$E$5:$E$26,G169)+SUMIFS(CONFIG!$F$5:$F$26,CONFIG!$D$5:$D$26,"PEP",CONFIG!$E$5:$E$26,H169)+SUMIFS(CONFIG!$F$5:$F$26,CONFIG!$D$5:$D$26,"En listas",CONFIG!$E$5:$E$26,I169)+SUMIFS(CONFIG!$F$5:$F$26,CONFIG!$D$5:$D$26,"Riesgo de su actividad económica",CONFIG!$E$5:$E$26,J169)+SUMIFS(CONFIG!$F$5:$F$26,CONFIG!$D$5:$D$26,"Canal",CONFIG!$E$5:$E$26,K169)+SUMIFS(CONFIG!$F$5:$F$26,CONFIG!$D$5:$D$26,"Origen de recursos documentado",CONFIG!$E$5:$E$26,L169))</f>
        <v/>
      </c>
      <c r="W169" s="9" t="str">
        <f aca="false">IF(A169="","",IF(SUMIF(OPERACIONES!$C$6:$C$505,A169,OPERACIONES!$E$6:$E$505)&gt;0,IF(SUMIF(OPERACIONES!$C$6:$C$505,A169,OPERACIONES!$F$6:$F$505)/SUMIF(OPERACIONES!$C$6:$C$505,A169,OPERACIONES!$E$6:$E$505)&gt;0.5,CONFIG!$B$20,IF(SUMIF(OPERACIONES!$C$6:$C$505,A169,OPERACIONES!$F$6:$F$505)&gt;0,CONFIG!$B$21,0)),0)+IF(COUNTIFS(OPERACIONES!$C$6:$C$505,A169,OPERACIONES!$AQ$6:$AQ$505,1)&gt;0,CONFIG!$B$22,0)+IF(COUNTIFS(OPERACIONES!$C$6:$C$505,A169,OPERACIONES!$H$6:$H$505,"Sí")&gt;0,CONFIG!$B$23,0))</f>
        <v/>
      </c>
      <c r="X169" s="9" t="str">
        <f aca="false">IF(A169="","",V169+W169)</f>
        <v/>
      </c>
      <c r="Y169" s="9" t="str">
        <f aca="false">IF(A169="","",IF(X169&lt;=CONFIG!$B$13,"Bajo",IF(X169&lt;=CONFIG!$B$14,"Medio","Alto")))</f>
        <v/>
      </c>
      <c r="Z169" s="25" t="str">
        <f aca="false">IF(A169="","",IF(OR(H169="Extranjera",AND(E169="No residente",G169="Sí"),I169="Sí"),"Alto",IF(T169&lt;&gt;"",T169,Y169)))</f>
        <v/>
      </c>
      <c r="AA169" s="26" t="str">
        <f aca="false">IF(A169="","",IF(H169="Extranjera","Alto obligatorio: PEP extranjera (RCG 23 Bis 4)",IF(AND(E169="No residente",G169="Sí"),"Alto obligatorio: no residente vinculado a jurisdicción de riesgo (RCG 23 Bis 4)",IF(I169="Sí","Alto por criterio: persona en listas. Evalúa no operar y Aviso de 24 h",IF(T169&lt;&gt;"","Ajuste del REC: "&amp;U169,"Modelo: "&amp;X169&amp;" puntos")))))</f>
        <v/>
      </c>
      <c r="AB169" s="23" t="str">
        <f aca="false">IF(A169="","",IF(COUNT(N169,O169)=0,"Falta fecha",EDATE(MAX(N169,O169),IF(Z169="Alto",CONFIG!$B$18,IF(Z169="Medio",CONFIG!$B$17,CONFIG!$B$16)))))</f>
        <v/>
      </c>
      <c r="AC169" s="23" t="str">
        <f aca="false">IF(A169="","",IF(ISNUMBER(S169),EDATE(S169,12),IF(ISNUMBER(N169),EDATE(N169,12),"Falta fecha")))</f>
        <v/>
      </c>
      <c r="AD169" s="26" t="str">
        <f aca="false">IF(A169="","",MID(IF(P169&lt;&gt;"Sí"," · Expediente incompleto","")&amp;IF(OR(Q169="",Q169="Pendiente")," · Falta el Beneficiario Controlador","")&amp;IF(M169=""," · Sin perfil transaccional","")&amp;IF(AND(ISNUMBER(AB169),AB169&lt;CONFIG!$B$6)," · Evaluación de riesgo vencida","")&amp;IF(AND(ISNUMBER(AC169),AC169&lt;CONFIG!$B$6)," · Verificación anual vencida","")&amp;IF(AND(ISNUMBER(R169),ISNUMBER(S169),S169-R169&gt;92)," · Comprobante de domicilio con más de 3 meses","")&amp;IF(AND(T169&lt;&gt;"",U169="")," · Ajuste del REC sin justificación",""),4,400))</f>
        <v/>
      </c>
      <c r="AE169" s="9" t="str">
        <f aca="false">IF(A169="","",IF(AD169="","Al día","Revisar"))</f>
        <v/>
      </c>
      <c r="AF169" s="9" t="str">
        <f aca="false">IF(A169="","",COUNTIF(OPERACIONES!$C$6:$C$505,A169)&amp;" / $"&amp;FIXED(SUMIF(OPERACIONES!$C$6:$C$505,A169,OPERACIONES!$E$6:$E$505),0))</f>
        <v/>
      </c>
    </row>
    <row r="170" customFormat="false" ht="15" hidden="false" customHeight="false" outlineLevel="0" collapsed="false">
      <c r="A170" s="21"/>
      <c r="B170" s="21"/>
      <c r="C170" s="21"/>
      <c r="D170" s="21"/>
      <c r="E170" s="21"/>
      <c r="F170" s="21"/>
      <c r="G170" s="21"/>
      <c r="H170" s="21"/>
      <c r="I170" s="21"/>
      <c r="J170" s="21"/>
      <c r="K170" s="21"/>
      <c r="L170" s="21"/>
      <c r="M170" s="22"/>
      <c r="N170" s="20"/>
      <c r="O170" s="20"/>
      <c r="P170" s="21"/>
      <c r="Q170" s="21"/>
      <c r="R170" s="20"/>
      <c r="S170" s="20"/>
      <c r="T170" s="21"/>
      <c r="U170" s="21"/>
      <c r="V170" s="9" t="str">
        <f aca="false">IF(A170="","",SUMIFS(CONFIG!$F$5:$F$26,CONFIG!$D$5:$D$26,"Tipo de persona",CONFIG!$E$5:$E$26,C170)+SUMIFS(CONFIG!$F$5:$F$26,CONFIG!$D$5:$D$26,"Residencia",CONFIG!$E$5:$E$26,E170)+SUMIFS(CONFIG!$F$5:$F$26,CONFIG!$D$5:$D$26,"Nacionalidad",CONFIG!$E$5:$E$26,F170)+SUMIFS(CONFIG!$F$5:$F$26,CONFIG!$D$5:$D$26,"Jurisdicción de riesgo",CONFIG!$E$5:$E$26,G170)+SUMIFS(CONFIG!$F$5:$F$26,CONFIG!$D$5:$D$26,"PEP",CONFIG!$E$5:$E$26,H170)+SUMIFS(CONFIG!$F$5:$F$26,CONFIG!$D$5:$D$26,"En listas",CONFIG!$E$5:$E$26,I170)+SUMIFS(CONFIG!$F$5:$F$26,CONFIG!$D$5:$D$26,"Riesgo de su actividad económica",CONFIG!$E$5:$E$26,J170)+SUMIFS(CONFIG!$F$5:$F$26,CONFIG!$D$5:$D$26,"Canal",CONFIG!$E$5:$E$26,K170)+SUMIFS(CONFIG!$F$5:$F$26,CONFIG!$D$5:$D$26,"Origen de recursos documentado",CONFIG!$E$5:$E$26,L170))</f>
        <v/>
      </c>
      <c r="W170" s="9" t="str">
        <f aca="false">IF(A170="","",IF(SUMIF(OPERACIONES!$C$6:$C$505,A170,OPERACIONES!$E$6:$E$505)&gt;0,IF(SUMIF(OPERACIONES!$C$6:$C$505,A170,OPERACIONES!$F$6:$F$505)/SUMIF(OPERACIONES!$C$6:$C$505,A170,OPERACIONES!$E$6:$E$505)&gt;0.5,CONFIG!$B$20,IF(SUMIF(OPERACIONES!$C$6:$C$505,A170,OPERACIONES!$F$6:$F$505)&gt;0,CONFIG!$B$21,0)),0)+IF(COUNTIFS(OPERACIONES!$C$6:$C$505,A170,OPERACIONES!$AQ$6:$AQ$505,1)&gt;0,CONFIG!$B$22,0)+IF(COUNTIFS(OPERACIONES!$C$6:$C$505,A170,OPERACIONES!$H$6:$H$505,"Sí")&gt;0,CONFIG!$B$23,0))</f>
        <v/>
      </c>
      <c r="X170" s="9" t="str">
        <f aca="false">IF(A170="","",V170+W170)</f>
        <v/>
      </c>
      <c r="Y170" s="9" t="str">
        <f aca="false">IF(A170="","",IF(X170&lt;=CONFIG!$B$13,"Bajo",IF(X170&lt;=CONFIG!$B$14,"Medio","Alto")))</f>
        <v/>
      </c>
      <c r="Z170" s="25" t="str">
        <f aca="false">IF(A170="","",IF(OR(H170="Extranjera",AND(E170="No residente",G170="Sí"),I170="Sí"),"Alto",IF(T170&lt;&gt;"",T170,Y170)))</f>
        <v/>
      </c>
      <c r="AA170" s="26" t="str">
        <f aca="false">IF(A170="","",IF(H170="Extranjera","Alto obligatorio: PEP extranjera (RCG 23 Bis 4)",IF(AND(E170="No residente",G170="Sí"),"Alto obligatorio: no residente vinculado a jurisdicción de riesgo (RCG 23 Bis 4)",IF(I170="Sí","Alto por criterio: persona en listas. Evalúa no operar y Aviso de 24 h",IF(T170&lt;&gt;"","Ajuste del REC: "&amp;U170,"Modelo: "&amp;X170&amp;" puntos")))))</f>
        <v/>
      </c>
      <c r="AB170" s="23" t="str">
        <f aca="false">IF(A170="","",IF(COUNT(N170,O170)=0,"Falta fecha",EDATE(MAX(N170,O170),IF(Z170="Alto",CONFIG!$B$18,IF(Z170="Medio",CONFIG!$B$17,CONFIG!$B$16)))))</f>
        <v/>
      </c>
      <c r="AC170" s="23" t="str">
        <f aca="false">IF(A170="","",IF(ISNUMBER(S170),EDATE(S170,12),IF(ISNUMBER(N170),EDATE(N170,12),"Falta fecha")))</f>
        <v/>
      </c>
      <c r="AD170" s="26" t="str">
        <f aca="false">IF(A170="","",MID(IF(P170&lt;&gt;"Sí"," · Expediente incompleto","")&amp;IF(OR(Q170="",Q170="Pendiente")," · Falta el Beneficiario Controlador","")&amp;IF(M170=""," · Sin perfil transaccional","")&amp;IF(AND(ISNUMBER(AB170),AB170&lt;CONFIG!$B$6)," · Evaluación de riesgo vencida","")&amp;IF(AND(ISNUMBER(AC170),AC170&lt;CONFIG!$B$6)," · Verificación anual vencida","")&amp;IF(AND(ISNUMBER(R170),ISNUMBER(S170),S170-R170&gt;92)," · Comprobante de domicilio con más de 3 meses","")&amp;IF(AND(T170&lt;&gt;"",U170="")," · Ajuste del REC sin justificación",""),4,400))</f>
        <v/>
      </c>
      <c r="AE170" s="9" t="str">
        <f aca="false">IF(A170="","",IF(AD170="","Al día","Revisar"))</f>
        <v/>
      </c>
      <c r="AF170" s="9" t="str">
        <f aca="false">IF(A170="","",COUNTIF(OPERACIONES!$C$6:$C$505,A170)&amp;" / $"&amp;FIXED(SUMIF(OPERACIONES!$C$6:$C$505,A170,OPERACIONES!$E$6:$E$505),0))</f>
        <v/>
      </c>
    </row>
    <row r="171" customFormat="false" ht="15" hidden="false" customHeight="false" outlineLevel="0" collapsed="false">
      <c r="A171" s="21"/>
      <c r="B171" s="21"/>
      <c r="C171" s="21"/>
      <c r="D171" s="21"/>
      <c r="E171" s="21"/>
      <c r="F171" s="21"/>
      <c r="G171" s="21"/>
      <c r="H171" s="21"/>
      <c r="I171" s="21"/>
      <c r="J171" s="21"/>
      <c r="K171" s="21"/>
      <c r="L171" s="21"/>
      <c r="M171" s="22"/>
      <c r="N171" s="20"/>
      <c r="O171" s="20"/>
      <c r="P171" s="21"/>
      <c r="Q171" s="21"/>
      <c r="R171" s="20"/>
      <c r="S171" s="20"/>
      <c r="T171" s="21"/>
      <c r="U171" s="21"/>
      <c r="V171" s="9" t="str">
        <f aca="false">IF(A171="","",SUMIFS(CONFIG!$F$5:$F$26,CONFIG!$D$5:$D$26,"Tipo de persona",CONFIG!$E$5:$E$26,C171)+SUMIFS(CONFIG!$F$5:$F$26,CONFIG!$D$5:$D$26,"Residencia",CONFIG!$E$5:$E$26,E171)+SUMIFS(CONFIG!$F$5:$F$26,CONFIG!$D$5:$D$26,"Nacionalidad",CONFIG!$E$5:$E$26,F171)+SUMIFS(CONFIG!$F$5:$F$26,CONFIG!$D$5:$D$26,"Jurisdicción de riesgo",CONFIG!$E$5:$E$26,G171)+SUMIFS(CONFIG!$F$5:$F$26,CONFIG!$D$5:$D$26,"PEP",CONFIG!$E$5:$E$26,H171)+SUMIFS(CONFIG!$F$5:$F$26,CONFIG!$D$5:$D$26,"En listas",CONFIG!$E$5:$E$26,I171)+SUMIFS(CONFIG!$F$5:$F$26,CONFIG!$D$5:$D$26,"Riesgo de su actividad económica",CONFIG!$E$5:$E$26,J171)+SUMIFS(CONFIG!$F$5:$F$26,CONFIG!$D$5:$D$26,"Canal",CONFIG!$E$5:$E$26,K171)+SUMIFS(CONFIG!$F$5:$F$26,CONFIG!$D$5:$D$26,"Origen de recursos documentado",CONFIG!$E$5:$E$26,L171))</f>
        <v/>
      </c>
      <c r="W171" s="9" t="str">
        <f aca="false">IF(A171="","",IF(SUMIF(OPERACIONES!$C$6:$C$505,A171,OPERACIONES!$E$6:$E$505)&gt;0,IF(SUMIF(OPERACIONES!$C$6:$C$505,A171,OPERACIONES!$F$6:$F$505)/SUMIF(OPERACIONES!$C$6:$C$505,A171,OPERACIONES!$E$6:$E$505)&gt;0.5,CONFIG!$B$20,IF(SUMIF(OPERACIONES!$C$6:$C$505,A171,OPERACIONES!$F$6:$F$505)&gt;0,CONFIG!$B$21,0)),0)+IF(COUNTIFS(OPERACIONES!$C$6:$C$505,A171,OPERACIONES!$AQ$6:$AQ$505,1)&gt;0,CONFIG!$B$22,0)+IF(COUNTIFS(OPERACIONES!$C$6:$C$505,A171,OPERACIONES!$H$6:$H$505,"Sí")&gt;0,CONFIG!$B$23,0))</f>
        <v/>
      </c>
      <c r="X171" s="9" t="str">
        <f aca="false">IF(A171="","",V171+W171)</f>
        <v/>
      </c>
      <c r="Y171" s="9" t="str">
        <f aca="false">IF(A171="","",IF(X171&lt;=CONFIG!$B$13,"Bajo",IF(X171&lt;=CONFIG!$B$14,"Medio","Alto")))</f>
        <v/>
      </c>
      <c r="Z171" s="25" t="str">
        <f aca="false">IF(A171="","",IF(OR(H171="Extranjera",AND(E171="No residente",G171="Sí"),I171="Sí"),"Alto",IF(T171&lt;&gt;"",T171,Y171)))</f>
        <v/>
      </c>
      <c r="AA171" s="26" t="str">
        <f aca="false">IF(A171="","",IF(H171="Extranjera","Alto obligatorio: PEP extranjera (RCG 23 Bis 4)",IF(AND(E171="No residente",G171="Sí"),"Alto obligatorio: no residente vinculado a jurisdicción de riesgo (RCG 23 Bis 4)",IF(I171="Sí","Alto por criterio: persona en listas. Evalúa no operar y Aviso de 24 h",IF(T171&lt;&gt;"","Ajuste del REC: "&amp;U171,"Modelo: "&amp;X171&amp;" puntos")))))</f>
        <v/>
      </c>
      <c r="AB171" s="23" t="str">
        <f aca="false">IF(A171="","",IF(COUNT(N171,O171)=0,"Falta fecha",EDATE(MAX(N171,O171),IF(Z171="Alto",CONFIG!$B$18,IF(Z171="Medio",CONFIG!$B$17,CONFIG!$B$16)))))</f>
        <v/>
      </c>
      <c r="AC171" s="23" t="str">
        <f aca="false">IF(A171="","",IF(ISNUMBER(S171),EDATE(S171,12),IF(ISNUMBER(N171),EDATE(N171,12),"Falta fecha")))</f>
        <v/>
      </c>
      <c r="AD171" s="26" t="str">
        <f aca="false">IF(A171="","",MID(IF(P171&lt;&gt;"Sí"," · Expediente incompleto","")&amp;IF(OR(Q171="",Q171="Pendiente")," · Falta el Beneficiario Controlador","")&amp;IF(M171=""," · Sin perfil transaccional","")&amp;IF(AND(ISNUMBER(AB171),AB171&lt;CONFIG!$B$6)," · Evaluación de riesgo vencida","")&amp;IF(AND(ISNUMBER(AC171),AC171&lt;CONFIG!$B$6)," · Verificación anual vencida","")&amp;IF(AND(ISNUMBER(R171),ISNUMBER(S171),S171-R171&gt;92)," · Comprobante de domicilio con más de 3 meses","")&amp;IF(AND(T171&lt;&gt;"",U171="")," · Ajuste del REC sin justificación",""),4,400))</f>
        <v/>
      </c>
      <c r="AE171" s="9" t="str">
        <f aca="false">IF(A171="","",IF(AD171="","Al día","Revisar"))</f>
        <v/>
      </c>
      <c r="AF171" s="9" t="str">
        <f aca="false">IF(A171="","",COUNTIF(OPERACIONES!$C$6:$C$505,A171)&amp;" / $"&amp;FIXED(SUMIF(OPERACIONES!$C$6:$C$505,A171,OPERACIONES!$E$6:$E$505),0))</f>
        <v/>
      </c>
    </row>
    <row r="172" customFormat="false" ht="15" hidden="false" customHeight="false" outlineLevel="0" collapsed="false">
      <c r="A172" s="21"/>
      <c r="B172" s="21"/>
      <c r="C172" s="21"/>
      <c r="D172" s="21"/>
      <c r="E172" s="21"/>
      <c r="F172" s="21"/>
      <c r="G172" s="21"/>
      <c r="H172" s="21"/>
      <c r="I172" s="21"/>
      <c r="J172" s="21"/>
      <c r="K172" s="21"/>
      <c r="L172" s="21"/>
      <c r="M172" s="22"/>
      <c r="N172" s="20"/>
      <c r="O172" s="20"/>
      <c r="P172" s="21"/>
      <c r="Q172" s="21"/>
      <c r="R172" s="20"/>
      <c r="S172" s="20"/>
      <c r="T172" s="21"/>
      <c r="U172" s="21"/>
      <c r="V172" s="9" t="str">
        <f aca="false">IF(A172="","",SUMIFS(CONFIG!$F$5:$F$26,CONFIG!$D$5:$D$26,"Tipo de persona",CONFIG!$E$5:$E$26,C172)+SUMIFS(CONFIG!$F$5:$F$26,CONFIG!$D$5:$D$26,"Residencia",CONFIG!$E$5:$E$26,E172)+SUMIFS(CONFIG!$F$5:$F$26,CONFIG!$D$5:$D$26,"Nacionalidad",CONFIG!$E$5:$E$26,F172)+SUMIFS(CONFIG!$F$5:$F$26,CONFIG!$D$5:$D$26,"Jurisdicción de riesgo",CONFIG!$E$5:$E$26,G172)+SUMIFS(CONFIG!$F$5:$F$26,CONFIG!$D$5:$D$26,"PEP",CONFIG!$E$5:$E$26,H172)+SUMIFS(CONFIG!$F$5:$F$26,CONFIG!$D$5:$D$26,"En listas",CONFIG!$E$5:$E$26,I172)+SUMIFS(CONFIG!$F$5:$F$26,CONFIG!$D$5:$D$26,"Riesgo de su actividad económica",CONFIG!$E$5:$E$26,J172)+SUMIFS(CONFIG!$F$5:$F$26,CONFIG!$D$5:$D$26,"Canal",CONFIG!$E$5:$E$26,K172)+SUMIFS(CONFIG!$F$5:$F$26,CONFIG!$D$5:$D$26,"Origen de recursos documentado",CONFIG!$E$5:$E$26,L172))</f>
        <v/>
      </c>
      <c r="W172" s="9" t="str">
        <f aca="false">IF(A172="","",IF(SUMIF(OPERACIONES!$C$6:$C$505,A172,OPERACIONES!$E$6:$E$505)&gt;0,IF(SUMIF(OPERACIONES!$C$6:$C$505,A172,OPERACIONES!$F$6:$F$505)/SUMIF(OPERACIONES!$C$6:$C$505,A172,OPERACIONES!$E$6:$E$505)&gt;0.5,CONFIG!$B$20,IF(SUMIF(OPERACIONES!$C$6:$C$505,A172,OPERACIONES!$F$6:$F$505)&gt;0,CONFIG!$B$21,0)),0)+IF(COUNTIFS(OPERACIONES!$C$6:$C$505,A172,OPERACIONES!$AQ$6:$AQ$505,1)&gt;0,CONFIG!$B$22,0)+IF(COUNTIFS(OPERACIONES!$C$6:$C$505,A172,OPERACIONES!$H$6:$H$505,"Sí")&gt;0,CONFIG!$B$23,0))</f>
        <v/>
      </c>
      <c r="X172" s="9" t="str">
        <f aca="false">IF(A172="","",V172+W172)</f>
        <v/>
      </c>
      <c r="Y172" s="9" t="str">
        <f aca="false">IF(A172="","",IF(X172&lt;=CONFIG!$B$13,"Bajo",IF(X172&lt;=CONFIG!$B$14,"Medio","Alto")))</f>
        <v/>
      </c>
      <c r="Z172" s="25" t="str">
        <f aca="false">IF(A172="","",IF(OR(H172="Extranjera",AND(E172="No residente",G172="Sí"),I172="Sí"),"Alto",IF(T172&lt;&gt;"",T172,Y172)))</f>
        <v/>
      </c>
      <c r="AA172" s="26" t="str">
        <f aca="false">IF(A172="","",IF(H172="Extranjera","Alto obligatorio: PEP extranjera (RCG 23 Bis 4)",IF(AND(E172="No residente",G172="Sí"),"Alto obligatorio: no residente vinculado a jurisdicción de riesgo (RCG 23 Bis 4)",IF(I172="Sí","Alto por criterio: persona en listas. Evalúa no operar y Aviso de 24 h",IF(T172&lt;&gt;"","Ajuste del REC: "&amp;U172,"Modelo: "&amp;X172&amp;" puntos")))))</f>
        <v/>
      </c>
      <c r="AB172" s="23" t="str">
        <f aca="false">IF(A172="","",IF(COUNT(N172,O172)=0,"Falta fecha",EDATE(MAX(N172,O172),IF(Z172="Alto",CONFIG!$B$18,IF(Z172="Medio",CONFIG!$B$17,CONFIG!$B$16)))))</f>
        <v/>
      </c>
      <c r="AC172" s="23" t="str">
        <f aca="false">IF(A172="","",IF(ISNUMBER(S172),EDATE(S172,12),IF(ISNUMBER(N172),EDATE(N172,12),"Falta fecha")))</f>
        <v/>
      </c>
      <c r="AD172" s="26" t="str">
        <f aca="false">IF(A172="","",MID(IF(P172&lt;&gt;"Sí"," · Expediente incompleto","")&amp;IF(OR(Q172="",Q172="Pendiente")," · Falta el Beneficiario Controlador","")&amp;IF(M172=""," · Sin perfil transaccional","")&amp;IF(AND(ISNUMBER(AB172),AB172&lt;CONFIG!$B$6)," · Evaluación de riesgo vencida","")&amp;IF(AND(ISNUMBER(AC172),AC172&lt;CONFIG!$B$6)," · Verificación anual vencida","")&amp;IF(AND(ISNUMBER(R172),ISNUMBER(S172),S172-R172&gt;92)," · Comprobante de domicilio con más de 3 meses","")&amp;IF(AND(T172&lt;&gt;"",U172="")," · Ajuste del REC sin justificación",""),4,400))</f>
        <v/>
      </c>
      <c r="AE172" s="9" t="str">
        <f aca="false">IF(A172="","",IF(AD172="","Al día","Revisar"))</f>
        <v/>
      </c>
      <c r="AF172" s="9" t="str">
        <f aca="false">IF(A172="","",COUNTIF(OPERACIONES!$C$6:$C$505,A172)&amp;" / $"&amp;FIXED(SUMIF(OPERACIONES!$C$6:$C$505,A172,OPERACIONES!$E$6:$E$505),0))</f>
        <v/>
      </c>
    </row>
    <row r="173" customFormat="false" ht="15" hidden="false" customHeight="false" outlineLevel="0" collapsed="false">
      <c r="A173" s="21"/>
      <c r="B173" s="21"/>
      <c r="C173" s="21"/>
      <c r="D173" s="21"/>
      <c r="E173" s="21"/>
      <c r="F173" s="21"/>
      <c r="G173" s="21"/>
      <c r="H173" s="21"/>
      <c r="I173" s="21"/>
      <c r="J173" s="21"/>
      <c r="K173" s="21"/>
      <c r="L173" s="21"/>
      <c r="M173" s="22"/>
      <c r="N173" s="20"/>
      <c r="O173" s="20"/>
      <c r="P173" s="21"/>
      <c r="Q173" s="21"/>
      <c r="R173" s="20"/>
      <c r="S173" s="20"/>
      <c r="T173" s="21"/>
      <c r="U173" s="21"/>
      <c r="V173" s="9" t="str">
        <f aca="false">IF(A173="","",SUMIFS(CONFIG!$F$5:$F$26,CONFIG!$D$5:$D$26,"Tipo de persona",CONFIG!$E$5:$E$26,C173)+SUMIFS(CONFIG!$F$5:$F$26,CONFIG!$D$5:$D$26,"Residencia",CONFIG!$E$5:$E$26,E173)+SUMIFS(CONFIG!$F$5:$F$26,CONFIG!$D$5:$D$26,"Nacionalidad",CONFIG!$E$5:$E$26,F173)+SUMIFS(CONFIG!$F$5:$F$26,CONFIG!$D$5:$D$26,"Jurisdicción de riesgo",CONFIG!$E$5:$E$26,G173)+SUMIFS(CONFIG!$F$5:$F$26,CONFIG!$D$5:$D$26,"PEP",CONFIG!$E$5:$E$26,H173)+SUMIFS(CONFIG!$F$5:$F$26,CONFIG!$D$5:$D$26,"En listas",CONFIG!$E$5:$E$26,I173)+SUMIFS(CONFIG!$F$5:$F$26,CONFIG!$D$5:$D$26,"Riesgo de su actividad económica",CONFIG!$E$5:$E$26,J173)+SUMIFS(CONFIG!$F$5:$F$26,CONFIG!$D$5:$D$26,"Canal",CONFIG!$E$5:$E$26,K173)+SUMIFS(CONFIG!$F$5:$F$26,CONFIG!$D$5:$D$26,"Origen de recursos documentado",CONFIG!$E$5:$E$26,L173))</f>
        <v/>
      </c>
      <c r="W173" s="9" t="str">
        <f aca="false">IF(A173="","",IF(SUMIF(OPERACIONES!$C$6:$C$505,A173,OPERACIONES!$E$6:$E$505)&gt;0,IF(SUMIF(OPERACIONES!$C$6:$C$505,A173,OPERACIONES!$F$6:$F$505)/SUMIF(OPERACIONES!$C$6:$C$505,A173,OPERACIONES!$E$6:$E$505)&gt;0.5,CONFIG!$B$20,IF(SUMIF(OPERACIONES!$C$6:$C$505,A173,OPERACIONES!$F$6:$F$505)&gt;0,CONFIG!$B$21,0)),0)+IF(COUNTIFS(OPERACIONES!$C$6:$C$505,A173,OPERACIONES!$AQ$6:$AQ$505,1)&gt;0,CONFIG!$B$22,0)+IF(COUNTIFS(OPERACIONES!$C$6:$C$505,A173,OPERACIONES!$H$6:$H$505,"Sí")&gt;0,CONFIG!$B$23,0))</f>
        <v/>
      </c>
      <c r="X173" s="9" t="str">
        <f aca="false">IF(A173="","",V173+W173)</f>
        <v/>
      </c>
      <c r="Y173" s="9" t="str">
        <f aca="false">IF(A173="","",IF(X173&lt;=CONFIG!$B$13,"Bajo",IF(X173&lt;=CONFIG!$B$14,"Medio","Alto")))</f>
        <v/>
      </c>
      <c r="Z173" s="25" t="str">
        <f aca="false">IF(A173="","",IF(OR(H173="Extranjera",AND(E173="No residente",G173="Sí"),I173="Sí"),"Alto",IF(T173&lt;&gt;"",T173,Y173)))</f>
        <v/>
      </c>
      <c r="AA173" s="26" t="str">
        <f aca="false">IF(A173="","",IF(H173="Extranjera","Alto obligatorio: PEP extranjera (RCG 23 Bis 4)",IF(AND(E173="No residente",G173="Sí"),"Alto obligatorio: no residente vinculado a jurisdicción de riesgo (RCG 23 Bis 4)",IF(I173="Sí","Alto por criterio: persona en listas. Evalúa no operar y Aviso de 24 h",IF(T173&lt;&gt;"","Ajuste del REC: "&amp;U173,"Modelo: "&amp;X173&amp;" puntos")))))</f>
        <v/>
      </c>
      <c r="AB173" s="23" t="str">
        <f aca="false">IF(A173="","",IF(COUNT(N173,O173)=0,"Falta fecha",EDATE(MAX(N173,O173),IF(Z173="Alto",CONFIG!$B$18,IF(Z173="Medio",CONFIG!$B$17,CONFIG!$B$16)))))</f>
        <v/>
      </c>
      <c r="AC173" s="23" t="str">
        <f aca="false">IF(A173="","",IF(ISNUMBER(S173),EDATE(S173,12),IF(ISNUMBER(N173),EDATE(N173,12),"Falta fecha")))</f>
        <v/>
      </c>
      <c r="AD173" s="26" t="str">
        <f aca="false">IF(A173="","",MID(IF(P173&lt;&gt;"Sí"," · Expediente incompleto","")&amp;IF(OR(Q173="",Q173="Pendiente")," · Falta el Beneficiario Controlador","")&amp;IF(M173=""," · Sin perfil transaccional","")&amp;IF(AND(ISNUMBER(AB173),AB173&lt;CONFIG!$B$6)," · Evaluación de riesgo vencida","")&amp;IF(AND(ISNUMBER(AC173),AC173&lt;CONFIG!$B$6)," · Verificación anual vencida","")&amp;IF(AND(ISNUMBER(R173),ISNUMBER(S173),S173-R173&gt;92)," · Comprobante de domicilio con más de 3 meses","")&amp;IF(AND(T173&lt;&gt;"",U173="")," · Ajuste del REC sin justificación",""),4,400))</f>
        <v/>
      </c>
      <c r="AE173" s="9" t="str">
        <f aca="false">IF(A173="","",IF(AD173="","Al día","Revisar"))</f>
        <v/>
      </c>
      <c r="AF173" s="9" t="str">
        <f aca="false">IF(A173="","",COUNTIF(OPERACIONES!$C$6:$C$505,A173)&amp;" / $"&amp;FIXED(SUMIF(OPERACIONES!$C$6:$C$505,A173,OPERACIONES!$E$6:$E$505),0))</f>
        <v/>
      </c>
    </row>
    <row r="174" customFormat="false" ht="15" hidden="false" customHeight="false" outlineLevel="0" collapsed="false">
      <c r="A174" s="21"/>
      <c r="B174" s="21"/>
      <c r="C174" s="21"/>
      <c r="D174" s="21"/>
      <c r="E174" s="21"/>
      <c r="F174" s="21"/>
      <c r="G174" s="21"/>
      <c r="H174" s="21"/>
      <c r="I174" s="21"/>
      <c r="J174" s="21"/>
      <c r="K174" s="21"/>
      <c r="L174" s="21"/>
      <c r="M174" s="22"/>
      <c r="N174" s="20"/>
      <c r="O174" s="20"/>
      <c r="P174" s="21"/>
      <c r="Q174" s="21"/>
      <c r="R174" s="20"/>
      <c r="S174" s="20"/>
      <c r="T174" s="21"/>
      <c r="U174" s="21"/>
      <c r="V174" s="9" t="str">
        <f aca="false">IF(A174="","",SUMIFS(CONFIG!$F$5:$F$26,CONFIG!$D$5:$D$26,"Tipo de persona",CONFIG!$E$5:$E$26,C174)+SUMIFS(CONFIG!$F$5:$F$26,CONFIG!$D$5:$D$26,"Residencia",CONFIG!$E$5:$E$26,E174)+SUMIFS(CONFIG!$F$5:$F$26,CONFIG!$D$5:$D$26,"Nacionalidad",CONFIG!$E$5:$E$26,F174)+SUMIFS(CONFIG!$F$5:$F$26,CONFIG!$D$5:$D$26,"Jurisdicción de riesgo",CONFIG!$E$5:$E$26,G174)+SUMIFS(CONFIG!$F$5:$F$26,CONFIG!$D$5:$D$26,"PEP",CONFIG!$E$5:$E$26,H174)+SUMIFS(CONFIG!$F$5:$F$26,CONFIG!$D$5:$D$26,"En listas",CONFIG!$E$5:$E$26,I174)+SUMIFS(CONFIG!$F$5:$F$26,CONFIG!$D$5:$D$26,"Riesgo de su actividad económica",CONFIG!$E$5:$E$26,J174)+SUMIFS(CONFIG!$F$5:$F$26,CONFIG!$D$5:$D$26,"Canal",CONFIG!$E$5:$E$26,K174)+SUMIFS(CONFIG!$F$5:$F$26,CONFIG!$D$5:$D$26,"Origen de recursos documentado",CONFIG!$E$5:$E$26,L174))</f>
        <v/>
      </c>
      <c r="W174" s="9" t="str">
        <f aca="false">IF(A174="","",IF(SUMIF(OPERACIONES!$C$6:$C$505,A174,OPERACIONES!$E$6:$E$505)&gt;0,IF(SUMIF(OPERACIONES!$C$6:$C$505,A174,OPERACIONES!$F$6:$F$505)/SUMIF(OPERACIONES!$C$6:$C$505,A174,OPERACIONES!$E$6:$E$505)&gt;0.5,CONFIG!$B$20,IF(SUMIF(OPERACIONES!$C$6:$C$505,A174,OPERACIONES!$F$6:$F$505)&gt;0,CONFIG!$B$21,0)),0)+IF(COUNTIFS(OPERACIONES!$C$6:$C$505,A174,OPERACIONES!$AQ$6:$AQ$505,1)&gt;0,CONFIG!$B$22,0)+IF(COUNTIFS(OPERACIONES!$C$6:$C$505,A174,OPERACIONES!$H$6:$H$505,"Sí")&gt;0,CONFIG!$B$23,0))</f>
        <v/>
      </c>
      <c r="X174" s="9" t="str">
        <f aca="false">IF(A174="","",V174+W174)</f>
        <v/>
      </c>
      <c r="Y174" s="9" t="str">
        <f aca="false">IF(A174="","",IF(X174&lt;=CONFIG!$B$13,"Bajo",IF(X174&lt;=CONFIG!$B$14,"Medio","Alto")))</f>
        <v/>
      </c>
      <c r="Z174" s="25" t="str">
        <f aca="false">IF(A174="","",IF(OR(H174="Extranjera",AND(E174="No residente",G174="Sí"),I174="Sí"),"Alto",IF(T174&lt;&gt;"",T174,Y174)))</f>
        <v/>
      </c>
      <c r="AA174" s="26" t="str">
        <f aca="false">IF(A174="","",IF(H174="Extranjera","Alto obligatorio: PEP extranjera (RCG 23 Bis 4)",IF(AND(E174="No residente",G174="Sí"),"Alto obligatorio: no residente vinculado a jurisdicción de riesgo (RCG 23 Bis 4)",IF(I174="Sí","Alto por criterio: persona en listas. Evalúa no operar y Aviso de 24 h",IF(T174&lt;&gt;"","Ajuste del REC: "&amp;U174,"Modelo: "&amp;X174&amp;" puntos")))))</f>
        <v/>
      </c>
      <c r="AB174" s="23" t="str">
        <f aca="false">IF(A174="","",IF(COUNT(N174,O174)=0,"Falta fecha",EDATE(MAX(N174,O174),IF(Z174="Alto",CONFIG!$B$18,IF(Z174="Medio",CONFIG!$B$17,CONFIG!$B$16)))))</f>
        <v/>
      </c>
      <c r="AC174" s="23" t="str">
        <f aca="false">IF(A174="","",IF(ISNUMBER(S174),EDATE(S174,12),IF(ISNUMBER(N174),EDATE(N174,12),"Falta fecha")))</f>
        <v/>
      </c>
      <c r="AD174" s="26" t="str">
        <f aca="false">IF(A174="","",MID(IF(P174&lt;&gt;"Sí"," · Expediente incompleto","")&amp;IF(OR(Q174="",Q174="Pendiente")," · Falta el Beneficiario Controlador","")&amp;IF(M174=""," · Sin perfil transaccional","")&amp;IF(AND(ISNUMBER(AB174),AB174&lt;CONFIG!$B$6)," · Evaluación de riesgo vencida","")&amp;IF(AND(ISNUMBER(AC174),AC174&lt;CONFIG!$B$6)," · Verificación anual vencida","")&amp;IF(AND(ISNUMBER(R174),ISNUMBER(S174),S174-R174&gt;92)," · Comprobante de domicilio con más de 3 meses","")&amp;IF(AND(T174&lt;&gt;"",U174="")," · Ajuste del REC sin justificación",""),4,400))</f>
        <v/>
      </c>
      <c r="AE174" s="9" t="str">
        <f aca="false">IF(A174="","",IF(AD174="","Al día","Revisar"))</f>
        <v/>
      </c>
      <c r="AF174" s="9" t="str">
        <f aca="false">IF(A174="","",COUNTIF(OPERACIONES!$C$6:$C$505,A174)&amp;" / $"&amp;FIXED(SUMIF(OPERACIONES!$C$6:$C$505,A174,OPERACIONES!$E$6:$E$505),0))</f>
        <v/>
      </c>
    </row>
    <row r="175" customFormat="false" ht="15" hidden="false" customHeight="false" outlineLevel="0" collapsed="false">
      <c r="A175" s="21"/>
      <c r="B175" s="21"/>
      <c r="C175" s="21"/>
      <c r="D175" s="21"/>
      <c r="E175" s="21"/>
      <c r="F175" s="21"/>
      <c r="G175" s="21"/>
      <c r="H175" s="21"/>
      <c r="I175" s="21"/>
      <c r="J175" s="21"/>
      <c r="K175" s="21"/>
      <c r="L175" s="21"/>
      <c r="M175" s="22"/>
      <c r="N175" s="20"/>
      <c r="O175" s="20"/>
      <c r="P175" s="21"/>
      <c r="Q175" s="21"/>
      <c r="R175" s="20"/>
      <c r="S175" s="20"/>
      <c r="T175" s="21"/>
      <c r="U175" s="21"/>
      <c r="V175" s="9" t="str">
        <f aca="false">IF(A175="","",SUMIFS(CONFIG!$F$5:$F$26,CONFIG!$D$5:$D$26,"Tipo de persona",CONFIG!$E$5:$E$26,C175)+SUMIFS(CONFIG!$F$5:$F$26,CONFIG!$D$5:$D$26,"Residencia",CONFIG!$E$5:$E$26,E175)+SUMIFS(CONFIG!$F$5:$F$26,CONFIG!$D$5:$D$26,"Nacionalidad",CONFIG!$E$5:$E$26,F175)+SUMIFS(CONFIG!$F$5:$F$26,CONFIG!$D$5:$D$26,"Jurisdicción de riesgo",CONFIG!$E$5:$E$26,G175)+SUMIFS(CONFIG!$F$5:$F$26,CONFIG!$D$5:$D$26,"PEP",CONFIG!$E$5:$E$26,H175)+SUMIFS(CONFIG!$F$5:$F$26,CONFIG!$D$5:$D$26,"En listas",CONFIG!$E$5:$E$26,I175)+SUMIFS(CONFIG!$F$5:$F$26,CONFIG!$D$5:$D$26,"Riesgo de su actividad económica",CONFIG!$E$5:$E$26,J175)+SUMIFS(CONFIG!$F$5:$F$26,CONFIG!$D$5:$D$26,"Canal",CONFIG!$E$5:$E$26,K175)+SUMIFS(CONFIG!$F$5:$F$26,CONFIG!$D$5:$D$26,"Origen de recursos documentado",CONFIG!$E$5:$E$26,L175))</f>
        <v/>
      </c>
      <c r="W175" s="9" t="str">
        <f aca="false">IF(A175="","",IF(SUMIF(OPERACIONES!$C$6:$C$505,A175,OPERACIONES!$E$6:$E$505)&gt;0,IF(SUMIF(OPERACIONES!$C$6:$C$505,A175,OPERACIONES!$F$6:$F$505)/SUMIF(OPERACIONES!$C$6:$C$505,A175,OPERACIONES!$E$6:$E$505)&gt;0.5,CONFIG!$B$20,IF(SUMIF(OPERACIONES!$C$6:$C$505,A175,OPERACIONES!$F$6:$F$505)&gt;0,CONFIG!$B$21,0)),0)+IF(COUNTIFS(OPERACIONES!$C$6:$C$505,A175,OPERACIONES!$AQ$6:$AQ$505,1)&gt;0,CONFIG!$B$22,0)+IF(COUNTIFS(OPERACIONES!$C$6:$C$505,A175,OPERACIONES!$H$6:$H$505,"Sí")&gt;0,CONFIG!$B$23,0))</f>
        <v/>
      </c>
      <c r="X175" s="9" t="str">
        <f aca="false">IF(A175="","",V175+W175)</f>
        <v/>
      </c>
      <c r="Y175" s="9" t="str">
        <f aca="false">IF(A175="","",IF(X175&lt;=CONFIG!$B$13,"Bajo",IF(X175&lt;=CONFIG!$B$14,"Medio","Alto")))</f>
        <v/>
      </c>
      <c r="Z175" s="25" t="str">
        <f aca="false">IF(A175="","",IF(OR(H175="Extranjera",AND(E175="No residente",G175="Sí"),I175="Sí"),"Alto",IF(T175&lt;&gt;"",T175,Y175)))</f>
        <v/>
      </c>
      <c r="AA175" s="26" t="str">
        <f aca="false">IF(A175="","",IF(H175="Extranjera","Alto obligatorio: PEP extranjera (RCG 23 Bis 4)",IF(AND(E175="No residente",G175="Sí"),"Alto obligatorio: no residente vinculado a jurisdicción de riesgo (RCG 23 Bis 4)",IF(I175="Sí","Alto por criterio: persona en listas. Evalúa no operar y Aviso de 24 h",IF(T175&lt;&gt;"","Ajuste del REC: "&amp;U175,"Modelo: "&amp;X175&amp;" puntos")))))</f>
        <v/>
      </c>
      <c r="AB175" s="23" t="str">
        <f aca="false">IF(A175="","",IF(COUNT(N175,O175)=0,"Falta fecha",EDATE(MAX(N175,O175),IF(Z175="Alto",CONFIG!$B$18,IF(Z175="Medio",CONFIG!$B$17,CONFIG!$B$16)))))</f>
        <v/>
      </c>
      <c r="AC175" s="23" t="str">
        <f aca="false">IF(A175="","",IF(ISNUMBER(S175),EDATE(S175,12),IF(ISNUMBER(N175),EDATE(N175,12),"Falta fecha")))</f>
        <v/>
      </c>
      <c r="AD175" s="26" t="str">
        <f aca="false">IF(A175="","",MID(IF(P175&lt;&gt;"Sí"," · Expediente incompleto","")&amp;IF(OR(Q175="",Q175="Pendiente")," · Falta el Beneficiario Controlador","")&amp;IF(M175=""," · Sin perfil transaccional","")&amp;IF(AND(ISNUMBER(AB175),AB175&lt;CONFIG!$B$6)," · Evaluación de riesgo vencida","")&amp;IF(AND(ISNUMBER(AC175),AC175&lt;CONFIG!$B$6)," · Verificación anual vencida","")&amp;IF(AND(ISNUMBER(R175),ISNUMBER(S175),S175-R175&gt;92)," · Comprobante de domicilio con más de 3 meses","")&amp;IF(AND(T175&lt;&gt;"",U175="")," · Ajuste del REC sin justificación",""),4,400))</f>
        <v/>
      </c>
      <c r="AE175" s="9" t="str">
        <f aca="false">IF(A175="","",IF(AD175="","Al día","Revisar"))</f>
        <v/>
      </c>
      <c r="AF175" s="9" t="str">
        <f aca="false">IF(A175="","",COUNTIF(OPERACIONES!$C$6:$C$505,A175)&amp;" / $"&amp;FIXED(SUMIF(OPERACIONES!$C$6:$C$505,A175,OPERACIONES!$E$6:$E$505),0))</f>
        <v/>
      </c>
    </row>
    <row r="176" customFormat="false" ht="15" hidden="false" customHeight="false" outlineLevel="0" collapsed="false">
      <c r="A176" s="21"/>
      <c r="B176" s="21"/>
      <c r="C176" s="21"/>
      <c r="D176" s="21"/>
      <c r="E176" s="21"/>
      <c r="F176" s="21"/>
      <c r="G176" s="21"/>
      <c r="H176" s="21"/>
      <c r="I176" s="21"/>
      <c r="J176" s="21"/>
      <c r="K176" s="21"/>
      <c r="L176" s="21"/>
      <c r="M176" s="22"/>
      <c r="N176" s="20"/>
      <c r="O176" s="20"/>
      <c r="P176" s="21"/>
      <c r="Q176" s="21"/>
      <c r="R176" s="20"/>
      <c r="S176" s="20"/>
      <c r="T176" s="21"/>
      <c r="U176" s="21"/>
      <c r="V176" s="9" t="str">
        <f aca="false">IF(A176="","",SUMIFS(CONFIG!$F$5:$F$26,CONFIG!$D$5:$D$26,"Tipo de persona",CONFIG!$E$5:$E$26,C176)+SUMIFS(CONFIG!$F$5:$F$26,CONFIG!$D$5:$D$26,"Residencia",CONFIG!$E$5:$E$26,E176)+SUMIFS(CONFIG!$F$5:$F$26,CONFIG!$D$5:$D$26,"Nacionalidad",CONFIG!$E$5:$E$26,F176)+SUMIFS(CONFIG!$F$5:$F$26,CONFIG!$D$5:$D$26,"Jurisdicción de riesgo",CONFIG!$E$5:$E$26,G176)+SUMIFS(CONFIG!$F$5:$F$26,CONFIG!$D$5:$D$26,"PEP",CONFIG!$E$5:$E$26,H176)+SUMIFS(CONFIG!$F$5:$F$26,CONFIG!$D$5:$D$26,"En listas",CONFIG!$E$5:$E$26,I176)+SUMIFS(CONFIG!$F$5:$F$26,CONFIG!$D$5:$D$26,"Riesgo de su actividad económica",CONFIG!$E$5:$E$26,J176)+SUMIFS(CONFIG!$F$5:$F$26,CONFIG!$D$5:$D$26,"Canal",CONFIG!$E$5:$E$26,K176)+SUMIFS(CONFIG!$F$5:$F$26,CONFIG!$D$5:$D$26,"Origen de recursos documentado",CONFIG!$E$5:$E$26,L176))</f>
        <v/>
      </c>
      <c r="W176" s="9" t="str">
        <f aca="false">IF(A176="","",IF(SUMIF(OPERACIONES!$C$6:$C$505,A176,OPERACIONES!$E$6:$E$505)&gt;0,IF(SUMIF(OPERACIONES!$C$6:$C$505,A176,OPERACIONES!$F$6:$F$505)/SUMIF(OPERACIONES!$C$6:$C$505,A176,OPERACIONES!$E$6:$E$505)&gt;0.5,CONFIG!$B$20,IF(SUMIF(OPERACIONES!$C$6:$C$505,A176,OPERACIONES!$F$6:$F$505)&gt;0,CONFIG!$B$21,0)),0)+IF(COUNTIFS(OPERACIONES!$C$6:$C$505,A176,OPERACIONES!$AQ$6:$AQ$505,1)&gt;0,CONFIG!$B$22,0)+IF(COUNTIFS(OPERACIONES!$C$6:$C$505,A176,OPERACIONES!$H$6:$H$505,"Sí")&gt;0,CONFIG!$B$23,0))</f>
        <v/>
      </c>
      <c r="X176" s="9" t="str">
        <f aca="false">IF(A176="","",V176+W176)</f>
        <v/>
      </c>
      <c r="Y176" s="9" t="str">
        <f aca="false">IF(A176="","",IF(X176&lt;=CONFIG!$B$13,"Bajo",IF(X176&lt;=CONFIG!$B$14,"Medio","Alto")))</f>
        <v/>
      </c>
      <c r="Z176" s="25" t="str">
        <f aca="false">IF(A176="","",IF(OR(H176="Extranjera",AND(E176="No residente",G176="Sí"),I176="Sí"),"Alto",IF(T176&lt;&gt;"",T176,Y176)))</f>
        <v/>
      </c>
      <c r="AA176" s="26" t="str">
        <f aca="false">IF(A176="","",IF(H176="Extranjera","Alto obligatorio: PEP extranjera (RCG 23 Bis 4)",IF(AND(E176="No residente",G176="Sí"),"Alto obligatorio: no residente vinculado a jurisdicción de riesgo (RCG 23 Bis 4)",IF(I176="Sí","Alto por criterio: persona en listas. Evalúa no operar y Aviso de 24 h",IF(T176&lt;&gt;"","Ajuste del REC: "&amp;U176,"Modelo: "&amp;X176&amp;" puntos")))))</f>
        <v/>
      </c>
      <c r="AB176" s="23" t="str">
        <f aca="false">IF(A176="","",IF(COUNT(N176,O176)=0,"Falta fecha",EDATE(MAX(N176,O176),IF(Z176="Alto",CONFIG!$B$18,IF(Z176="Medio",CONFIG!$B$17,CONFIG!$B$16)))))</f>
        <v/>
      </c>
      <c r="AC176" s="23" t="str">
        <f aca="false">IF(A176="","",IF(ISNUMBER(S176),EDATE(S176,12),IF(ISNUMBER(N176),EDATE(N176,12),"Falta fecha")))</f>
        <v/>
      </c>
      <c r="AD176" s="26" t="str">
        <f aca="false">IF(A176="","",MID(IF(P176&lt;&gt;"Sí"," · Expediente incompleto","")&amp;IF(OR(Q176="",Q176="Pendiente")," · Falta el Beneficiario Controlador","")&amp;IF(M176=""," · Sin perfil transaccional","")&amp;IF(AND(ISNUMBER(AB176),AB176&lt;CONFIG!$B$6)," · Evaluación de riesgo vencida","")&amp;IF(AND(ISNUMBER(AC176),AC176&lt;CONFIG!$B$6)," · Verificación anual vencida","")&amp;IF(AND(ISNUMBER(R176),ISNUMBER(S176),S176-R176&gt;92)," · Comprobante de domicilio con más de 3 meses","")&amp;IF(AND(T176&lt;&gt;"",U176="")," · Ajuste del REC sin justificación",""),4,400))</f>
        <v/>
      </c>
      <c r="AE176" s="9" t="str">
        <f aca="false">IF(A176="","",IF(AD176="","Al día","Revisar"))</f>
        <v/>
      </c>
      <c r="AF176" s="9" t="str">
        <f aca="false">IF(A176="","",COUNTIF(OPERACIONES!$C$6:$C$505,A176)&amp;" / $"&amp;FIXED(SUMIF(OPERACIONES!$C$6:$C$505,A176,OPERACIONES!$E$6:$E$505),0))</f>
        <v/>
      </c>
    </row>
    <row r="177" customFormat="false" ht="15" hidden="false" customHeight="false" outlineLevel="0" collapsed="false">
      <c r="A177" s="21"/>
      <c r="B177" s="21"/>
      <c r="C177" s="21"/>
      <c r="D177" s="21"/>
      <c r="E177" s="21"/>
      <c r="F177" s="21"/>
      <c r="G177" s="21"/>
      <c r="H177" s="21"/>
      <c r="I177" s="21"/>
      <c r="J177" s="21"/>
      <c r="K177" s="21"/>
      <c r="L177" s="21"/>
      <c r="M177" s="22"/>
      <c r="N177" s="20"/>
      <c r="O177" s="20"/>
      <c r="P177" s="21"/>
      <c r="Q177" s="21"/>
      <c r="R177" s="20"/>
      <c r="S177" s="20"/>
      <c r="T177" s="21"/>
      <c r="U177" s="21"/>
      <c r="V177" s="9" t="str">
        <f aca="false">IF(A177="","",SUMIFS(CONFIG!$F$5:$F$26,CONFIG!$D$5:$D$26,"Tipo de persona",CONFIG!$E$5:$E$26,C177)+SUMIFS(CONFIG!$F$5:$F$26,CONFIG!$D$5:$D$26,"Residencia",CONFIG!$E$5:$E$26,E177)+SUMIFS(CONFIG!$F$5:$F$26,CONFIG!$D$5:$D$26,"Nacionalidad",CONFIG!$E$5:$E$26,F177)+SUMIFS(CONFIG!$F$5:$F$26,CONFIG!$D$5:$D$26,"Jurisdicción de riesgo",CONFIG!$E$5:$E$26,G177)+SUMIFS(CONFIG!$F$5:$F$26,CONFIG!$D$5:$D$26,"PEP",CONFIG!$E$5:$E$26,H177)+SUMIFS(CONFIG!$F$5:$F$26,CONFIG!$D$5:$D$26,"En listas",CONFIG!$E$5:$E$26,I177)+SUMIFS(CONFIG!$F$5:$F$26,CONFIG!$D$5:$D$26,"Riesgo de su actividad económica",CONFIG!$E$5:$E$26,J177)+SUMIFS(CONFIG!$F$5:$F$26,CONFIG!$D$5:$D$26,"Canal",CONFIG!$E$5:$E$26,K177)+SUMIFS(CONFIG!$F$5:$F$26,CONFIG!$D$5:$D$26,"Origen de recursos documentado",CONFIG!$E$5:$E$26,L177))</f>
        <v/>
      </c>
      <c r="W177" s="9" t="str">
        <f aca="false">IF(A177="","",IF(SUMIF(OPERACIONES!$C$6:$C$505,A177,OPERACIONES!$E$6:$E$505)&gt;0,IF(SUMIF(OPERACIONES!$C$6:$C$505,A177,OPERACIONES!$F$6:$F$505)/SUMIF(OPERACIONES!$C$6:$C$505,A177,OPERACIONES!$E$6:$E$505)&gt;0.5,CONFIG!$B$20,IF(SUMIF(OPERACIONES!$C$6:$C$505,A177,OPERACIONES!$F$6:$F$505)&gt;0,CONFIG!$B$21,0)),0)+IF(COUNTIFS(OPERACIONES!$C$6:$C$505,A177,OPERACIONES!$AQ$6:$AQ$505,1)&gt;0,CONFIG!$B$22,0)+IF(COUNTIFS(OPERACIONES!$C$6:$C$505,A177,OPERACIONES!$H$6:$H$505,"Sí")&gt;0,CONFIG!$B$23,0))</f>
        <v/>
      </c>
      <c r="X177" s="9" t="str">
        <f aca="false">IF(A177="","",V177+W177)</f>
        <v/>
      </c>
      <c r="Y177" s="9" t="str">
        <f aca="false">IF(A177="","",IF(X177&lt;=CONFIG!$B$13,"Bajo",IF(X177&lt;=CONFIG!$B$14,"Medio","Alto")))</f>
        <v/>
      </c>
      <c r="Z177" s="25" t="str">
        <f aca="false">IF(A177="","",IF(OR(H177="Extranjera",AND(E177="No residente",G177="Sí"),I177="Sí"),"Alto",IF(T177&lt;&gt;"",T177,Y177)))</f>
        <v/>
      </c>
      <c r="AA177" s="26" t="str">
        <f aca="false">IF(A177="","",IF(H177="Extranjera","Alto obligatorio: PEP extranjera (RCG 23 Bis 4)",IF(AND(E177="No residente",G177="Sí"),"Alto obligatorio: no residente vinculado a jurisdicción de riesgo (RCG 23 Bis 4)",IF(I177="Sí","Alto por criterio: persona en listas. Evalúa no operar y Aviso de 24 h",IF(T177&lt;&gt;"","Ajuste del REC: "&amp;U177,"Modelo: "&amp;X177&amp;" puntos")))))</f>
        <v/>
      </c>
      <c r="AB177" s="23" t="str">
        <f aca="false">IF(A177="","",IF(COUNT(N177,O177)=0,"Falta fecha",EDATE(MAX(N177,O177),IF(Z177="Alto",CONFIG!$B$18,IF(Z177="Medio",CONFIG!$B$17,CONFIG!$B$16)))))</f>
        <v/>
      </c>
      <c r="AC177" s="23" t="str">
        <f aca="false">IF(A177="","",IF(ISNUMBER(S177),EDATE(S177,12),IF(ISNUMBER(N177),EDATE(N177,12),"Falta fecha")))</f>
        <v/>
      </c>
      <c r="AD177" s="26" t="str">
        <f aca="false">IF(A177="","",MID(IF(P177&lt;&gt;"Sí"," · Expediente incompleto","")&amp;IF(OR(Q177="",Q177="Pendiente")," · Falta el Beneficiario Controlador","")&amp;IF(M177=""," · Sin perfil transaccional","")&amp;IF(AND(ISNUMBER(AB177),AB177&lt;CONFIG!$B$6)," · Evaluación de riesgo vencida","")&amp;IF(AND(ISNUMBER(AC177),AC177&lt;CONFIG!$B$6)," · Verificación anual vencida","")&amp;IF(AND(ISNUMBER(R177),ISNUMBER(S177),S177-R177&gt;92)," · Comprobante de domicilio con más de 3 meses","")&amp;IF(AND(T177&lt;&gt;"",U177="")," · Ajuste del REC sin justificación",""),4,400))</f>
        <v/>
      </c>
      <c r="AE177" s="9" t="str">
        <f aca="false">IF(A177="","",IF(AD177="","Al día","Revisar"))</f>
        <v/>
      </c>
      <c r="AF177" s="9" t="str">
        <f aca="false">IF(A177="","",COUNTIF(OPERACIONES!$C$6:$C$505,A177)&amp;" / $"&amp;FIXED(SUMIF(OPERACIONES!$C$6:$C$505,A177,OPERACIONES!$E$6:$E$505),0))</f>
        <v/>
      </c>
    </row>
    <row r="178" customFormat="false" ht="15" hidden="false" customHeight="false" outlineLevel="0" collapsed="false">
      <c r="A178" s="21"/>
      <c r="B178" s="21"/>
      <c r="C178" s="21"/>
      <c r="D178" s="21"/>
      <c r="E178" s="21"/>
      <c r="F178" s="21"/>
      <c r="G178" s="21"/>
      <c r="H178" s="21"/>
      <c r="I178" s="21"/>
      <c r="J178" s="21"/>
      <c r="K178" s="21"/>
      <c r="L178" s="21"/>
      <c r="M178" s="22"/>
      <c r="N178" s="20"/>
      <c r="O178" s="20"/>
      <c r="P178" s="21"/>
      <c r="Q178" s="21"/>
      <c r="R178" s="20"/>
      <c r="S178" s="20"/>
      <c r="T178" s="21"/>
      <c r="U178" s="21"/>
      <c r="V178" s="9" t="str">
        <f aca="false">IF(A178="","",SUMIFS(CONFIG!$F$5:$F$26,CONFIG!$D$5:$D$26,"Tipo de persona",CONFIG!$E$5:$E$26,C178)+SUMIFS(CONFIG!$F$5:$F$26,CONFIG!$D$5:$D$26,"Residencia",CONFIG!$E$5:$E$26,E178)+SUMIFS(CONFIG!$F$5:$F$26,CONFIG!$D$5:$D$26,"Nacionalidad",CONFIG!$E$5:$E$26,F178)+SUMIFS(CONFIG!$F$5:$F$26,CONFIG!$D$5:$D$26,"Jurisdicción de riesgo",CONFIG!$E$5:$E$26,G178)+SUMIFS(CONFIG!$F$5:$F$26,CONFIG!$D$5:$D$26,"PEP",CONFIG!$E$5:$E$26,H178)+SUMIFS(CONFIG!$F$5:$F$26,CONFIG!$D$5:$D$26,"En listas",CONFIG!$E$5:$E$26,I178)+SUMIFS(CONFIG!$F$5:$F$26,CONFIG!$D$5:$D$26,"Riesgo de su actividad económica",CONFIG!$E$5:$E$26,J178)+SUMIFS(CONFIG!$F$5:$F$26,CONFIG!$D$5:$D$26,"Canal",CONFIG!$E$5:$E$26,K178)+SUMIFS(CONFIG!$F$5:$F$26,CONFIG!$D$5:$D$26,"Origen de recursos documentado",CONFIG!$E$5:$E$26,L178))</f>
        <v/>
      </c>
      <c r="W178" s="9" t="str">
        <f aca="false">IF(A178="","",IF(SUMIF(OPERACIONES!$C$6:$C$505,A178,OPERACIONES!$E$6:$E$505)&gt;0,IF(SUMIF(OPERACIONES!$C$6:$C$505,A178,OPERACIONES!$F$6:$F$505)/SUMIF(OPERACIONES!$C$6:$C$505,A178,OPERACIONES!$E$6:$E$505)&gt;0.5,CONFIG!$B$20,IF(SUMIF(OPERACIONES!$C$6:$C$505,A178,OPERACIONES!$F$6:$F$505)&gt;0,CONFIG!$B$21,0)),0)+IF(COUNTIFS(OPERACIONES!$C$6:$C$505,A178,OPERACIONES!$AQ$6:$AQ$505,1)&gt;0,CONFIG!$B$22,0)+IF(COUNTIFS(OPERACIONES!$C$6:$C$505,A178,OPERACIONES!$H$6:$H$505,"Sí")&gt;0,CONFIG!$B$23,0))</f>
        <v/>
      </c>
      <c r="X178" s="9" t="str">
        <f aca="false">IF(A178="","",V178+W178)</f>
        <v/>
      </c>
      <c r="Y178" s="9" t="str">
        <f aca="false">IF(A178="","",IF(X178&lt;=CONFIG!$B$13,"Bajo",IF(X178&lt;=CONFIG!$B$14,"Medio","Alto")))</f>
        <v/>
      </c>
      <c r="Z178" s="25" t="str">
        <f aca="false">IF(A178="","",IF(OR(H178="Extranjera",AND(E178="No residente",G178="Sí"),I178="Sí"),"Alto",IF(T178&lt;&gt;"",T178,Y178)))</f>
        <v/>
      </c>
      <c r="AA178" s="26" t="str">
        <f aca="false">IF(A178="","",IF(H178="Extranjera","Alto obligatorio: PEP extranjera (RCG 23 Bis 4)",IF(AND(E178="No residente",G178="Sí"),"Alto obligatorio: no residente vinculado a jurisdicción de riesgo (RCG 23 Bis 4)",IF(I178="Sí","Alto por criterio: persona en listas. Evalúa no operar y Aviso de 24 h",IF(T178&lt;&gt;"","Ajuste del REC: "&amp;U178,"Modelo: "&amp;X178&amp;" puntos")))))</f>
        <v/>
      </c>
      <c r="AB178" s="23" t="str">
        <f aca="false">IF(A178="","",IF(COUNT(N178,O178)=0,"Falta fecha",EDATE(MAX(N178,O178),IF(Z178="Alto",CONFIG!$B$18,IF(Z178="Medio",CONFIG!$B$17,CONFIG!$B$16)))))</f>
        <v/>
      </c>
      <c r="AC178" s="23" t="str">
        <f aca="false">IF(A178="","",IF(ISNUMBER(S178),EDATE(S178,12),IF(ISNUMBER(N178),EDATE(N178,12),"Falta fecha")))</f>
        <v/>
      </c>
      <c r="AD178" s="26" t="str">
        <f aca="false">IF(A178="","",MID(IF(P178&lt;&gt;"Sí"," · Expediente incompleto","")&amp;IF(OR(Q178="",Q178="Pendiente")," · Falta el Beneficiario Controlador","")&amp;IF(M178=""," · Sin perfil transaccional","")&amp;IF(AND(ISNUMBER(AB178),AB178&lt;CONFIG!$B$6)," · Evaluación de riesgo vencida","")&amp;IF(AND(ISNUMBER(AC178),AC178&lt;CONFIG!$B$6)," · Verificación anual vencida","")&amp;IF(AND(ISNUMBER(R178),ISNUMBER(S178),S178-R178&gt;92)," · Comprobante de domicilio con más de 3 meses","")&amp;IF(AND(T178&lt;&gt;"",U178="")," · Ajuste del REC sin justificación",""),4,400))</f>
        <v/>
      </c>
      <c r="AE178" s="9" t="str">
        <f aca="false">IF(A178="","",IF(AD178="","Al día","Revisar"))</f>
        <v/>
      </c>
      <c r="AF178" s="9" t="str">
        <f aca="false">IF(A178="","",COUNTIF(OPERACIONES!$C$6:$C$505,A178)&amp;" / $"&amp;FIXED(SUMIF(OPERACIONES!$C$6:$C$505,A178,OPERACIONES!$E$6:$E$505),0))</f>
        <v/>
      </c>
    </row>
    <row r="179" customFormat="false" ht="15" hidden="false" customHeight="false" outlineLevel="0" collapsed="false">
      <c r="A179" s="21"/>
      <c r="B179" s="21"/>
      <c r="C179" s="21"/>
      <c r="D179" s="21"/>
      <c r="E179" s="21"/>
      <c r="F179" s="21"/>
      <c r="G179" s="21"/>
      <c r="H179" s="21"/>
      <c r="I179" s="21"/>
      <c r="J179" s="21"/>
      <c r="K179" s="21"/>
      <c r="L179" s="21"/>
      <c r="M179" s="22"/>
      <c r="N179" s="20"/>
      <c r="O179" s="20"/>
      <c r="P179" s="21"/>
      <c r="Q179" s="21"/>
      <c r="R179" s="20"/>
      <c r="S179" s="20"/>
      <c r="T179" s="21"/>
      <c r="U179" s="21"/>
      <c r="V179" s="9" t="str">
        <f aca="false">IF(A179="","",SUMIFS(CONFIG!$F$5:$F$26,CONFIG!$D$5:$D$26,"Tipo de persona",CONFIG!$E$5:$E$26,C179)+SUMIFS(CONFIG!$F$5:$F$26,CONFIG!$D$5:$D$26,"Residencia",CONFIG!$E$5:$E$26,E179)+SUMIFS(CONFIG!$F$5:$F$26,CONFIG!$D$5:$D$26,"Nacionalidad",CONFIG!$E$5:$E$26,F179)+SUMIFS(CONFIG!$F$5:$F$26,CONFIG!$D$5:$D$26,"Jurisdicción de riesgo",CONFIG!$E$5:$E$26,G179)+SUMIFS(CONFIG!$F$5:$F$26,CONFIG!$D$5:$D$26,"PEP",CONFIG!$E$5:$E$26,H179)+SUMIFS(CONFIG!$F$5:$F$26,CONFIG!$D$5:$D$26,"En listas",CONFIG!$E$5:$E$26,I179)+SUMIFS(CONFIG!$F$5:$F$26,CONFIG!$D$5:$D$26,"Riesgo de su actividad económica",CONFIG!$E$5:$E$26,J179)+SUMIFS(CONFIG!$F$5:$F$26,CONFIG!$D$5:$D$26,"Canal",CONFIG!$E$5:$E$26,K179)+SUMIFS(CONFIG!$F$5:$F$26,CONFIG!$D$5:$D$26,"Origen de recursos documentado",CONFIG!$E$5:$E$26,L179))</f>
        <v/>
      </c>
      <c r="W179" s="9" t="str">
        <f aca="false">IF(A179="","",IF(SUMIF(OPERACIONES!$C$6:$C$505,A179,OPERACIONES!$E$6:$E$505)&gt;0,IF(SUMIF(OPERACIONES!$C$6:$C$505,A179,OPERACIONES!$F$6:$F$505)/SUMIF(OPERACIONES!$C$6:$C$505,A179,OPERACIONES!$E$6:$E$505)&gt;0.5,CONFIG!$B$20,IF(SUMIF(OPERACIONES!$C$6:$C$505,A179,OPERACIONES!$F$6:$F$505)&gt;0,CONFIG!$B$21,0)),0)+IF(COUNTIFS(OPERACIONES!$C$6:$C$505,A179,OPERACIONES!$AQ$6:$AQ$505,1)&gt;0,CONFIG!$B$22,0)+IF(COUNTIFS(OPERACIONES!$C$6:$C$505,A179,OPERACIONES!$H$6:$H$505,"Sí")&gt;0,CONFIG!$B$23,0))</f>
        <v/>
      </c>
      <c r="X179" s="9" t="str">
        <f aca="false">IF(A179="","",V179+W179)</f>
        <v/>
      </c>
      <c r="Y179" s="9" t="str">
        <f aca="false">IF(A179="","",IF(X179&lt;=CONFIG!$B$13,"Bajo",IF(X179&lt;=CONFIG!$B$14,"Medio","Alto")))</f>
        <v/>
      </c>
      <c r="Z179" s="25" t="str">
        <f aca="false">IF(A179="","",IF(OR(H179="Extranjera",AND(E179="No residente",G179="Sí"),I179="Sí"),"Alto",IF(T179&lt;&gt;"",T179,Y179)))</f>
        <v/>
      </c>
      <c r="AA179" s="26" t="str">
        <f aca="false">IF(A179="","",IF(H179="Extranjera","Alto obligatorio: PEP extranjera (RCG 23 Bis 4)",IF(AND(E179="No residente",G179="Sí"),"Alto obligatorio: no residente vinculado a jurisdicción de riesgo (RCG 23 Bis 4)",IF(I179="Sí","Alto por criterio: persona en listas. Evalúa no operar y Aviso de 24 h",IF(T179&lt;&gt;"","Ajuste del REC: "&amp;U179,"Modelo: "&amp;X179&amp;" puntos")))))</f>
        <v/>
      </c>
      <c r="AB179" s="23" t="str">
        <f aca="false">IF(A179="","",IF(COUNT(N179,O179)=0,"Falta fecha",EDATE(MAX(N179,O179),IF(Z179="Alto",CONFIG!$B$18,IF(Z179="Medio",CONFIG!$B$17,CONFIG!$B$16)))))</f>
        <v/>
      </c>
      <c r="AC179" s="23" t="str">
        <f aca="false">IF(A179="","",IF(ISNUMBER(S179),EDATE(S179,12),IF(ISNUMBER(N179),EDATE(N179,12),"Falta fecha")))</f>
        <v/>
      </c>
      <c r="AD179" s="26" t="str">
        <f aca="false">IF(A179="","",MID(IF(P179&lt;&gt;"Sí"," · Expediente incompleto","")&amp;IF(OR(Q179="",Q179="Pendiente")," · Falta el Beneficiario Controlador","")&amp;IF(M179=""," · Sin perfil transaccional","")&amp;IF(AND(ISNUMBER(AB179),AB179&lt;CONFIG!$B$6)," · Evaluación de riesgo vencida","")&amp;IF(AND(ISNUMBER(AC179),AC179&lt;CONFIG!$B$6)," · Verificación anual vencida","")&amp;IF(AND(ISNUMBER(R179),ISNUMBER(S179),S179-R179&gt;92)," · Comprobante de domicilio con más de 3 meses","")&amp;IF(AND(T179&lt;&gt;"",U179="")," · Ajuste del REC sin justificación",""),4,400))</f>
        <v/>
      </c>
      <c r="AE179" s="9" t="str">
        <f aca="false">IF(A179="","",IF(AD179="","Al día","Revisar"))</f>
        <v/>
      </c>
      <c r="AF179" s="9" t="str">
        <f aca="false">IF(A179="","",COUNTIF(OPERACIONES!$C$6:$C$505,A179)&amp;" / $"&amp;FIXED(SUMIF(OPERACIONES!$C$6:$C$505,A179,OPERACIONES!$E$6:$E$505),0))</f>
        <v/>
      </c>
    </row>
    <row r="180" customFormat="false" ht="15" hidden="false" customHeight="false" outlineLevel="0" collapsed="false">
      <c r="A180" s="21"/>
      <c r="B180" s="21"/>
      <c r="C180" s="21"/>
      <c r="D180" s="21"/>
      <c r="E180" s="21"/>
      <c r="F180" s="21"/>
      <c r="G180" s="21"/>
      <c r="H180" s="21"/>
      <c r="I180" s="21"/>
      <c r="J180" s="21"/>
      <c r="K180" s="21"/>
      <c r="L180" s="21"/>
      <c r="M180" s="22"/>
      <c r="N180" s="20"/>
      <c r="O180" s="20"/>
      <c r="P180" s="21"/>
      <c r="Q180" s="21"/>
      <c r="R180" s="20"/>
      <c r="S180" s="20"/>
      <c r="T180" s="21"/>
      <c r="U180" s="21"/>
      <c r="V180" s="9" t="str">
        <f aca="false">IF(A180="","",SUMIFS(CONFIG!$F$5:$F$26,CONFIG!$D$5:$D$26,"Tipo de persona",CONFIG!$E$5:$E$26,C180)+SUMIFS(CONFIG!$F$5:$F$26,CONFIG!$D$5:$D$26,"Residencia",CONFIG!$E$5:$E$26,E180)+SUMIFS(CONFIG!$F$5:$F$26,CONFIG!$D$5:$D$26,"Nacionalidad",CONFIG!$E$5:$E$26,F180)+SUMIFS(CONFIG!$F$5:$F$26,CONFIG!$D$5:$D$26,"Jurisdicción de riesgo",CONFIG!$E$5:$E$26,G180)+SUMIFS(CONFIG!$F$5:$F$26,CONFIG!$D$5:$D$26,"PEP",CONFIG!$E$5:$E$26,H180)+SUMIFS(CONFIG!$F$5:$F$26,CONFIG!$D$5:$D$26,"En listas",CONFIG!$E$5:$E$26,I180)+SUMIFS(CONFIG!$F$5:$F$26,CONFIG!$D$5:$D$26,"Riesgo de su actividad económica",CONFIG!$E$5:$E$26,J180)+SUMIFS(CONFIG!$F$5:$F$26,CONFIG!$D$5:$D$26,"Canal",CONFIG!$E$5:$E$26,K180)+SUMIFS(CONFIG!$F$5:$F$26,CONFIG!$D$5:$D$26,"Origen de recursos documentado",CONFIG!$E$5:$E$26,L180))</f>
        <v/>
      </c>
      <c r="W180" s="9" t="str">
        <f aca="false">IF(A180="","",IF(SUMIF(OPERACIONES!$C$6:$C$505,A180,OPERACIONES!$E$6:$E$505)&gt;0,IF(SUMIF(OPERACIONES!$C$6:$C$505,A180,OPERACIONES!$F$6:$F$505)/SUMIF(OPERACIONES!$C$6:$C$505,A180,OPERACIONES!$E$6:$E$505)&gt;0.5,CONFIG!$B$20,IF(SUMIF(OPERACIONES!$C$6:$C$505,A180,OPERACIONES!$F$6:$F$505)&gt;0,CONFIG!$B$21,0)),0)+IF(COUNTIFS(OPERACIONES!$C$6:$C$505,A180,OPERACIONES!$AQ$6:$AQ$505,1)&gt;0,CONFIG!$B$22,0)+IF(COUNTIFS(OPERACIONES!$C$6:$C$505,A180,OPERACIONES!$H$6:$H$505,"Sí")&gt;0,CONFIG!$B$23,0))</f>
        <v/>
      </c>
      <c r="X180" s="9" t="str">
        <f aca="false">IF(A180="","",V180+W180)</f>
        <v/>
      </c>
      <c r="Y180" s="9" t="str">
        <f aca="false">IF(A180="","",IF(X180&lt;=CONFIG!$B$13,"Bajo",IF(X180&lt;=CONFIG!$B$14,"Medio","Alto")))</f>
        <v/>
      </c>
      <c r="Z180" s="25" t="str">
        <f aca="false">IF(A180="","",IF(OR(H180="Extranjera",AND(E180="No residente",G180="Sí"),I180="Sí"),"Alto",IF(T180&lt;&gt;"",T180,Y180)))</f>
        <v/>
      </c>
      <c r="AA180" s="26" t="str">
        <f aca="false">IF(A180="","",IF(H180="Extranjera","Alto obligatorio: PEP extranjera (RCG 23 Bis 4)",IF(AND(E180="No residente",G180="Sí"),"Alto obligatorio: no residente vinculado a jurisdicción de riesgo (RCG 23 Bis 4)",IF(I180="Sí","Alto por criterio: persona en listas. Evalúa no operar y Aviso de 24 h",IF(T180&lt;&gt;"","Ajuste del REC: "&amp;U180,"Modelo: "&amp;X180&amp;" puntos")))))</f>
        <v/>
      </c>
      <c r="AB180" s="23" t="str">
        <f aca="false">IF(A180="","",IF(COUNT(N180,O180)=0,"Falta fecha",EDATE(MAX(N180,O180),IF(Z180="Alto",CONFIG!$B$18,IF(Z180="Medio",CONFIG!$B$17,CONFIG!$B$16)))))</f>
        <v/>
      </c>
      <c r="AC180" s="23" t="str">
        <f aca="false">IF(A180="","",IF(ISNUMBER(S180),EDATE(S180,12),IF(ISNUMBER(N180),EDATE(N180,12),"Falta fecha")))</f>
        <v/>
      </c>
      <c r="AD180" s="26" t="str">
        <f aca="false">IF(A180="","",MID(IF(P180&lt;&gt;"Sí"," · Expediente incompleto","")&amp;IF(OR(Q180="",Q180="Pendiente")," · Falta el Beneficiario Controlador","")&amp;IF(M180=""," · Sin perfil transaccional","")&amp;IF(AND(ISNUMBER(AB180),AB180&lt;CONFIG!$B$6)," · Evaluación de riesgo vencida","")&amp;IF(AND(ISNUMBER(AC180),AC180&lt;CONFIG!$B$6)," · Verificación anual vencida","")&amp;IF(AND(ISNUMBER(R180),ISNUMBER(S180),S180-R180&gt;92)," · Comprobante de domicilio con más de 3 meses","")&amp;IF(AND(T180&lt;&gt;"",U180="")," · Ajuste del REC sin justificación",""),4,400))</f>
        <v/>
      </c>
      <c r="AE180" s="9" t="str">
        <f aca="false">IF(A180="","",IF(AD180="","Al día","Revisar"))</f>
        <v/>
      </c>
      <c r="AF180" s="9" t="str">
        <f aca="false">IF(A180="","",COUNTIF(OPERACIONES!$C$6:$C$505,A180)&amp;" / $"&amp;FIXED(SUMIF(OPERACIONES!$C$6:$C$505,A180,OPERACIONES!$E$6:$E$505),0))</f>
        <v/>
      </c>
    </row>
    <row r="181" customFormat="false" ht="15" hidden="false" customHeight="false" outlineLevel="0" collapsed="false">
      <c r="A181" s="21"/>
      <c r="B181" s="21"/>
      <c r="C181" s="21"/>
      <c r="D181" s="21"/>
      <c r="E181" s="21"/>
      <c r="F181" s="21"/>
      <c r="G181" s="21"/>
      <c r="H181" s="21"/>
      <c r="I181" s="21"/>
      <c r="J181" s="21"/>
      <c r="K181" s="21"/>
      <c r="L181" s="21"/>
      <c r="M181" s="22"/>
      <c r="N181" s="20"/>
      <c r="O181" s="20"/>
      <c r="P181" s="21"/>
      <c r="Q181" s="21"/>
      <c r="R181" s="20"/>
      <c r="S181" s="20"/>
      <c r="T181" s="21"/>
      <c r="U181" s="21"/>
      <c r="V181" s="9" t="str">
        <f aca="false">IF(A181="","",SUMIFS(CONFIG!$F$5:$F$26,CONFIG!$D$5:$D$26,"Tipo de persona",CONFIG!$E$5:$E$26,C181)+SUMIFS(CONFIG!$F$5:$F$26,CONFIG!$D$5:$D$26,"Residencia",CONFIG!$E$5:$E$26,E181)+SUMIFS(CONFIG!$F$5:$F$26,CONFIG!$D$5:$D$26,"Nacionalidad",CONFIG!$E$5:$E$26,F181)+SUMIFS(CONFIG!$F$5:$F$26,CONFIG!$D$5:$D$26,"Jurisdicción de riesgo",CONFIG!$E$5:$E$26,G181)+SUMIFS(CONFIG!$F$5:$F$26,CONFIG!$D$5:$D$26,"PEP",CONFIG!$E$5:$E$26,H181)+SUMIFS(CONFIG!$F$5:$F$26,CONFIG!$D$5:$D$26,"En listas",CONFIG!$E$5:$E$26,I181)+SUMIFS(CONFIG!$F$5:$F$26,CONFIG!$D$5:$D$26,"Riesgo de su actividad económica",CONFIG!$E$5:$E$26,J181)+SUMIFS(CONFIG!$F$5:$F$26,CONFIG!$D$5:$D$26,"Canal",CONFIG!$E$5:$E$26,K181)+SUMIFS(CONFIG!$F$5:$F$26,CONFIG!$D$5:$D$26,"Origen de recursos documentado",CONFIG!$E$5:$E$26,L181))</f>
        <v/>
      </c>
      <c r="W181" s="9" t="str">
        <f aca="false">IF(A181="","",IF(SUMIF(OPERACIONES!$C$6:$C$505,A181,OPERACIONES!$E$6:$E$505)&gt;0,IF(SUMIF(OPERACIONES!$C$6:$C$505,A181,OPERACIONES!$F$6:$F$505)/SUMIF(OPERACIONES!$C$6:$C$505,A181,OPERACIONES!$E$6:$E$505)&gt;0.5,CONFIG!$B$20,IF(SUMIF(OPERACIONES!$C$6:$C$505,A181,OPERACIONES!$F$6:$F$505)&gt;0,CONFIG!$B$21,0)),0)+IF(COUNTIFS(OPERACIONES!$C$6:$C$505,A181,OPERACIONES!$AQ$6:$AQ$505,1)&gt;0,CONFIG!$B$22,0)+IF(COUNTIFS(OPERACIONES!$C$6:$C$505,A181,OPERACIONES!$H$6:$H$505,"Sí")&gt;0,CONFIG!$B$23,0))</f>
        <v/>
      </c>
      <c r="X181" s="9" t="str">
        <f aca="false">IF(A181="","",V181+W181)</f>
        <v/>
      </c>
      <c r="Y181" s="9" t="str">
        <f aca="false">IF(A181="","",IF(X181&lt;=CONFIG!$B$13,"Bajo",IF(X181&lt;=CONFIG!$B$14,"Medio","Alto")))</f>
        <v/>
      </c>
      <c r="Z181" s="25" t="str">
        <f aca="false">IF(A181="","",IF(OR(H181="Extranjera",AND(E181="No residente",G181="Sí"),I181="Sí"),"Alto",IF(T181&lt;&gt;"",T181,Y181)))</f>
        <v/>
      </c>
      <c r="AA181" s="26" t="str">
        <f aca="false">IF(A181="","",IF(H181="Extranjera","Alto obligatorio: PEP extranjera (RCG 23 Bis 4)",IF(AND(E181="No residente",G181="Sí"),"Alto obligatorio: no residente vinculado a jurisdicción de riesgo (RCG 23 Bis 4)",IF(I181="Sí","Alto por criterio: persona en listas. Evalúa no operar y Aviso de 24 h",IF(T181&lt;&gt;"","Ajuste del REC: "&amp;U181,"Modelo: "&amp;X181&amp;" puntos")))))</f>
        <v/>
      </c>
      <c r="AB181" s="23" t="str">
        <f aca="false">IF(A181="","",IF(COUNT(N181,O181)=0,"Falta fecha",EDATE(MAX(N181,O181),IF(Z181="Alto",CONFIG!$B$18,IF(Z181="Medio",CONFIG!$B$17,CONFIG!$B$16)))))</f>
        <v/>
      </c>
      <c r="AC181" s="23" t="str">
        <f aca="false">IF(A181="","",IF(ISNUMBER(S181),EDATE(S181,12),IF(ISNUMBER(N181),EDATE(N181,12),"Falta fecha")))</f>
        <v/>
      </c>
      <c r="AD181" s="26" t="str">
        <f aca="false">IF(A181="","",MID(IF(P181&lt;&gt;"Sí"," · Expediente incompleto","")&amp;IF(OR(Q181="",Q181="Pendiente")," · Falta el Beneficiario Controlador","")&amp;IF(M181=""," · Sin perfil transaccional","")&amp;IF(AND(ISNUMBER(AB181),AB181&lt;CONFIG!$B$6)," · Evaluación de riesgo vencida","")&amp;IF(AND(ISNUMBER(AC181),AC181&lt;CONFIG!$B$6)," · Verificación anual vencida","")&amp;IF(AND(ISNUMBER(R181),ISNUMBER(S181),S181-R181&gt;92)," · Comprobante de domicilio con más de 3 meses","")&amp;IF(AND(T181&lt;&gt;"",U181="")," · Ajuste del REC sin justificación",""),4,400))</f>
        <v/>
      </c>
      <c r="AE181" s="9" t="str">
        <f aca="false">IF(A181="","",IF(AD181="","Al día","Revisar"))</f>
        <v/>
      </c>
      <c r="AF181" s="9" t="str">
        <f aca="false">IF(A181="","",COUNTIF(OPERACIONES!$C$6:$C$505,A181)&amp;" / $"&amp;FIXED(SUMIF(OPERACIONES!$C$6:$C$505,A181,OPERACIONES!$E$6:$E$505),0))</f>
        <v/>
      </c>
    </row>
    <row r="182" customFormat="false" ht="15" hidden="false" customHeight="false" outlineLevel="0" collapsed="false">
      <c r="A182" s="21"/>
      <c r="B182" s="21"/>
      <c r="C182" s="21"/>
      <c r="D182" s="21"/>
      <c r="E182" s="21"/>
      <c r="F182" s="21"/>
      <c r="G182" s="21"/>
      <c r="H182" s="21"/>
      <c r="I182" s="21"/>
      <c r="J182" s="21"/>
      <c r="K182" s="21"/>
      <c r="L182" s="21"/>
      <c r="M182" s="22"/>
      <c r="N182" s="20"/>
      <c r="O182" s="20"/>
      <c r="P182" s="21"/>
      <c r="Q182" s="21"/>
      <c r="R182" s="20"/>
      <c r="S182" s="20"/>
      <c r="T182" s="21"/>
      <c r="U182" s="21"/>
      <c r="V182" s="9" t="str">
        <f aca="false">IF(A182="","",SUMIFS(CONFIG!$F$5:$F$26,CONFIG!$D$5:$D$26,"Tipo de persona",CONFIG!$E$5:$E$26,C182)+SUMIFS(CONFIG!$F$5:$F$26,CONFIG!$D$5:$D$26,"Residencia",CONFIG!$E$5:$E$26,E182)+SUMIFS(CONFIG!$F$5:$F$26,CONFIG!$D$5:$D$26,"Nacionalidad",CONFIG!$E$5:$E$26,F182)+SUMIFS(CONFIG!$F$5:$F$26,CONFIG!$D$5:$D$26,"Jurisdicción de riesgo",CONFIG!$E$5:$E$26,G182)+SUMIFS(CONFIG!$F$5:$F$26,CONFIG!$D$5:$D$26,"PEP",CONFIG!$E$5:$E$26,H182)+SUMIFS(CONFIG!$F$5:$F$26,CONFIG!$D$5:$D$26,"En listas",CONFIG!$E$5:$E$26,I182)+SUMIFS(CONFIG!$F$5:$F$26,CONFIG!$D$5:$D$26,"Riesgo de su actividad económica",CONFIG!$E$5:$E$26,J182)+SUMIFS(CONFIG!$F$5:$F$26,CONFIG!$D$5:$D$26,"Canal",CONFIG!$E$5:$E$26,K182)+SUMIFS(CONFIG!$F$5:$F$26,CONFIG!$D$5:$D$26,"Origen de recursos documentado",CONFIG!$E$5:$E$26,L182))</f>
        <v/>
      </c>
      <c r="W182" s="9" t="str">
        <f aca="false">IF(A182="","",IF(SUMIF(OPERACIONES!$C$6:$C$505,A182,OPERACIONES!$E$6:$E$505)&gt;0,IF(SUMIF(OPERACIONES!$C$6:$C$505,A182,OPERACIONES!$F$6:$F$505)/SUMIF(OPERACIONES!$C$6:$C$505,A182,OPERACIONES!$E$6:$E$505)&gt;0.5,CONFIG!$B$20,IF(SUMIF(OPERACIONES!$C$6:$C$505,A182,OPERACIONES!$F$6:$F$505)&gt;0,CONFIG!$B$21,0)),0)+IF(COUNTIFS(OPERACIONES!$C$6:$C$505,A182,OPERACIONES!$AQ$6:$AQ$505,1)&gt;0,CONFIG!$B$22,0)+IF(COUNTIFS(OPERACIONES!$C$6:$C$505,A182,OPERACIONES!$H$6:$H$505,"Sí")&gt;0,CONFIG!$B$23,0))</f>
        <v/>
      </c>
      <c r="X182" s="9" t="str">
        <f aca="false">IF(A182="","",V182+W182)</f>
        <v/>
      </c>
      <c r="Y182" s="9" t="str">
        <f aca="false">IF(A182="","",IF(X182&lt;=CONFIG!$B$13,"Bajo",IF(X182&lt;=CONFIG!$B$14,"Medio","Alto")))</f>
        <v/>
      </c>
      <c r="Z182" s="25" t="str">
        <f aca="false">IF(A182="","",IF(OR(H182="Extranjera",AND(E182="No residente",G182="Sí"),I182="Sí"),"Alto",IF(T182&lt;&gt;"",T182,Y182)))</f>
        <v/>
      </c>
      <c r="AA182" s="26" t="str">
        <f aca="false">IF(A182="","",IF(H182="Extranjera","Alto obligatorio: PEP extranjera (RCG 23 Bis 4)",IF(AND(E182="No residente",G182="Sí"),"Alto obligatorio: no residente vinculado a jurisdicción de riesgo (RCG 23 Bis 4)",IF(I182="Sí","Alto por criterio: persona en listas. Evalúa no operar y Aviso de 24 h",IF(T182&lt;&gt;"","Ajuste del REC: "&amp;U182,"Modelo: "&amp;X182&amp;" puntos")))))</f>
        <v/>
      </c>
      <c r="AB182" s="23" t="str">
        <f aca="false">IF(A182="","",IF(COUNT(N182,O182)=0,"Falta fecha",EDATE(MAX(N182,O182),IF(Z182="Alto",CONFIG!$B$18,IF(Z182="Medio",CONFIG!$B$17,CONFIG!$B$16)))))</f>
        <v/>
      </c>
      <c r="AC182" s="23" t="str">
        <f aca="false">IF(A182="","",IF(ISNUMBER(S182),EDATE(S182,12),IF(ISNUMBER(N182),EDATE(N182,12),"Falta fecha")))</f>
        <v/>
      </c>
      <c r="AD182" s="26" t="str">
        <f aca="false">IF(A182="","",MID(IF(P182&lt;&gt;"Sí"," · Expediente incompleto","")&amp;IF(OR(Q182="",Q182="Pendiente")," · Falta el Beneficiario Controlador","")&amp;IF(M182=""," · Sin perfil transaccional","")&amp;IF(AND(ISNUMBER(AB182),AB182&lt;CONFIG!$B$6)," · Evaluación de riesgo vencida","")&amp;IF(AND(ISNUMBER(AC182),AC182&lt;CONFIG!$B$6)," · Verificación anual vencida","")&amp;IF(AND(ISNUMBER(R182),ISNUMBER(S182),S182-R182&gt;92)," · Comprobante de domicilio con más de 3 meses","")&amp;IF(AND(T182&lt;&gt;"",U182="")," · Ajuste del REC sin justificación",""),4,400))</f>
        <v/>
      </c>
      <c r="AE182" s="9" t="str">
        <f aca="false">IF(A182="","",IF(AD182="","Al día","Revisar"))</f>
        <v/>
      </c>
      <c r="AF182" s="9" t="str">
        <f aca="false">IF(A182="","",COUNTIF(OPERACIONES!$C$6:$C$505,A182)&amp;" / $"&amp;FIXED(SUMIF(OPERACIONES!$C$6:$C$505,A182,OPERACIONES!$E$6:$E$505),0))</f>
        <v/>
      </c>
    </row>
    <row r="183" customFormat="false" ht="15" hidden="false" customHeight="false" outlineLevel="0" collapsed="false">
      <c r="A183" s="21"/>
      <c r="B183" s="21"/>
      <c r="C183" s="21"/>
      <c r="D183" s="21"/>
      <c r="E183" s="21"/>
      <c r="F183" s="21"/>
      <c r="G183" s="21"/>
      <c r="H183" s="21"/>
      <c r="I183" s="21"/>
      <c r="J183" s="21"/>
      <c r="K183" s="21"/>
      <c r="L183" s="21"/>
      <c r="M183" s="22"/>
      <c r="N183" s="20"/>
      <c r="O183" s="20"/>
      <c r="P183" s="21"/>
      <c r="Q183" s="21"/>
      <c r="R183" s="20"/>
      <c r="S183" s="20"/>
      <c r="T183" s="21"/>
      <c r="U183" s="21"/>
      <c r="V183" s="9" t="str">
        <f aca="false">IF(A183="","",SUMIFS(CONFIG!$F$5:$F$26,CONFIG!$D$5:$D$26,"Tipo de persona",CONFIG!$E$5:$E$26,C183)+SUMIFS(CONFIG!$F$5:$F$26,CONFIG!$D$5:$D$26,"Residencia",CONFIG!$E$5:$E$26,E183)+SUMIFS(CONFIG!$F$5:$F$26,CONFIG!$D$5:$D$26,"Nacionalidad",CONFIG!$E$5:$E$26,F183)+SUMIFS(CONFIG!$F$5:$F$26,CONFIG!$D$5:$D$26,"Jurisdicción de riesgo",CONFIG!$E$5:$E$26,G183)+SUMIFS(CONFIG!$F$5:$F$26,CONFIG!$D$5:$D$26,"PEP",CONFIG!$E$5:$E$26,H183)+SUMIFS(CONFIG!$F$5:$F$26,CONFIG!$D$5:$D$26,"En listas",CONFIG!$E$5:$E$26,I183)+SUMIFS(CONFIG!$F$5:$F$26,CONFIG!$D$5:$D$26,"Riesgo de su actividad económica",CONFIG!$E$5:$E$26,J183)+SUMIFS(CONFIG!$F$5:$F$26,CONFIG!$D$5:$D$26,"Canal",CONFIG!$E$5:$E$26,K183)+SUMIFS(CONFIG!$F$5:$F$26,CONFIG!$D$5:$D$26,"Origen de recursos documentado",CONFIG!$E$5:$E$26,L183))</f>
        <v/>
      </c>
      <c r="W183" s="9" t="str">
        <f aca="false">IF(A183="","",IF(SUMIF(OPERACIONES!$C$6:$C$505,A183,OPERACIONES!$E$6:$E$505)&gt;0,IF(SUMIF(OPERACIONES!$C$6:$C$505,A183,OPERACIONES!$F$6:$F$505)/SUMIF(OPERACIONES!$C$6:$C$505,A183,OPERACIONES!$E$6:$E$505)&gt;0.5,CONFIG!$B$20,IF(SUMIF(OPERACIONES!$C$6:$C$505,A183,OPERACIONES!$F$6:$F$505)&gt;0,CONFIG!$B$21,0)),0)+IF(COUNTIFS(OPERACIONES!$C$6:$C$505,A183,OPERACIONES!$AQ$6:$AQ$505,1)&gt;0,CONFIG!$B$22,0)+IF(COUNTIFS(OPERACIONES!$C$6:$C$505,A183,OPERACIONES!$H$6:$H$505,"Sí")&gt;0,CONFIG!$B$23,0))</f>
        <v/>
      </c>
      <c r="X183" s="9" t="str">
        <f aca="false">IF(A183="","",V183+W183)</f>
        <v/>
      </c>
      <c r="Y183" s="9" t="str">
        <f aca="false">IF(A183="","",IF(X183&lt;=CONFIG!$B$13,"Bajo",IF(X183&lt;=CONFIG!$B$14,"Medio","Alto")))</f>
        <v/>
      </c>
      <c r="Z183" s="25" t="str">
        <f aca="false">IF(A183="","",IF(OR(H183="Extranjera",AND(E183="No residente",G183="Sí"),I183="Sí"),"Alto",IF(T183&lt;&gt;"",T183,Y183)))</f>
        <v/>
      </c>
      <c r="AA183" s="26" t="str">
        <f aca="false">IF(A183="","",IF(H183="Extranjera","Alto obligatorio: PEP extranjera (RCG 23 Bis 4)",IF(AND(E183="No residente",G183="Sí"),"Alto obligatorio: no residente vinculado a jurisdicción de riesgo (RCG 23 Bis 4)",IF(I183="Sí","Alto por criterio: persona en listas. Evalúa no operar y Aviso de 24 h",IF(T183&lt;&gt;"","Ajuste del REC: "&amp;U183,"Modelo: "&amp;X183&amp;" puntos")))))</f>
        <v/>
      </c>
      <c r="AB183" s="23" t="str">
        <f aca="false">IF(A183="","",IF(COUNT(N183,O183)=0,"Falta fecha",EDATE(MAX(N183,O183),IF(Z183="Alto",CONFIG!$B$18,IF(Z183="Medio",CONFIG!$B$17,CONFIG!$B$16)))))</f>
        <v/>
      </c>
      <c r="AC183" s="23" t="str">
        <f aca="false">IF(A183="","",IF(ISNUMBER(S183),EDATE(S183,12),IF(ISNUMBER(N183),EDATE(N183,12),"Falta fecha")))</f>
        <v/>
      </c>
      <c r="AD183" s="26" t="str">
        <f aca="false">IF(A183="","",MID(IF(P183&lt;&gt;"Sí"," · Expediente incompleto","")&amp;IF(OR(Q183="",Q183="Pendiente")," · Falta el Beneficiario Controlador","")&amp;IF(M183=""," · Sin perfil transaccional","")&amp;IF(AND(ISNUMBER(AB183),AB183&lt;CONFIG!$B$6)," · Evaluación de riesgo vencida","")&amp;IF(AND(ISNUMBER(AC183),AC183&lt;CONFIG!$B$6)," · Verificación anual vencida","")&amp;IF(AND(ISNUMBER(R183),ISNUMBER(S183),S183-R183&gt;92)," · Comprobante de domicilio con más de 3 meses","")&amp;IF(AND(T183&lt;&gt;"",U183="")," · Ajuste del REC sin justificación",""),4,400))</f>
        <v/>
      </c>
      <c r="AE183" s="9" t="str">
        <f aca="false">IF(A183="","",IF(AD183="","Al día","Revisar"))</f>
        <v/>
      </c>
      <c r="AF183" s="9" t="str">
        <f aca="false">IF(A183="","",COUNTIF(OPERACIONES!$C$6:$C$505,A183)&amp;" / $"&amp;FIXED(SUMIF(OPERACIONES!$C$6:$C$505,A183,OPERACIONES!$E$6:$E$505),0))</f>
        <v/>
      </c>
    </row>
    <row r="184" customFormat="false" ht="15" hidden="false" customHeight="false" outlineLevel="0" collapsed="false">
      <c r="A184" s="21"/>
      <c r="B184" s="21"/>
      <c r="C184" s="21"/>
      <c r="D184" s="21"/>
      <c r="E184" s="21"/>
      <c r="F184" s="21"/>
      <c r="G184" s="21"/>
      <c r="H184" s="21"/>
      <c r="I184" s="21"/>
      <c r="J184" s="21"/>
      <c r="K184" s="21"/>
      <c r="L184" s="21"/>
      <c r="M184" s="22"/>
      <c r="N184" s="20"/>
      <c r="O184" s="20"/>
      <c r="P184" s="21"/>
      <c r="Q184" s="21"/>
      <c r="R184" s="20"/>
      <c r="S184" s="20"/>
      <c r="T184" s="21"/>
      <c r="U184" s="21"/>
      <c r="V184" s="9" t="str">
        <f aca="false">IF(A184="","",SUMIFS(CONFIG!$F$5:$F$26,CONFIG!$D$5:$D$26,"Tipo de persona",CONFIG!$E$5:$E$26,C184)+SUMIFS(CONFIG!$F$5:$F$26,CONFIG!$D$5:$D$26,"Residencia",CONFIG!$E$5:$E$26,E184)+SUMIFS(CONFIG!$F$5:$F$26,CONFIG!$D$5:$D$26,"Nacionalidad",CONFIG!$E$5:$E$26,F184)+SUMIFS(CONFIG!$F$5:$F$26,CONFIG!$D$5:$D$26,"Jurisdicción de riesgo",CONFIG!$E$5:$E$26,G184)+SUMIFS(CONFIG!$F$5:$F$26,CONFIG!$D$5:$D$26,"PEP",CONFIG!$E$5:$E$26,H184)+SUMIFS(CONFIG!$F$5:$F$26,CONFIG!$D$5:$D$26,"En listas",CONFIG!$E$5:$E$26,I184)+SUMIFS(CONFIG!$F$5:$F$26,CONFIG!$D$5:$D$26,"Riesgo de su actividad económica",CONFIG!$E$5:$E$26,J184)+SUMIFS(CONFIG!$F$5:$F$26,CONFIG!$D$5:$D$26,"Canal",CONFIG!$E$5:$E$26,K184)+SUMIFS(CONFIG!$F$5:$F$26,CONFIG!$D$5:$D$26,"Origen de recursos documentado",CONFIG!$E$5:$E$26,L184))</f>
        <v/>
      </c>
      <c r="W184" s="9" t="str">
        <f aca="false">IF(A184="","",IF(SUMIF(OPERACIONES!$C$6:$C$505,A184,OPERACIONES!$E$6:$E$505)&gt;0,IF(SUMIF(OPERACIONES!$C$6:$C$505,A184,OPERACIONES!$F$6:$F$505)/SUMIF(OPERACIONES!$C$6:$C$505,A184,OPERACIONES!$E$6:$E$505)&gt;0.5,CONFIG!$B$20,IF(SUMIF(OPERACIONES!$C$6:$C$505,A184,OPERACIONES!$F$6:$F$505)&gt;0,CONFIG!$B$21,0)),0)+IF(COUNTIFS(OPERACIONES!$C$6:$C$505,A184,OPERACIONES!$AQ$6:$AQ$505,1)&gt;0,CONFIG!$B$22,0)+IF(COUNTIFS(OPERACIONES!$C$6:$C$505,A184,OPERACIONES!$H$6:$H$505,"Sí")&gt;0,CONFIG!$B$23,0))</f>
        <v/>
      </c>
      <c r="X184" s="9" t="str">
        <f aca="false">IF(A184="","",V184+W184)</f>
        <v/>
      </c>
      <c r="Y184" s="9" t="str">
        <f aca="false">IF(A184="","",IF(X184&lt;=CONFIG!$B$13,"Bajo",IF(X184&lt;=CONFIG!$B$14,"Medio","Alto")))</f>
        <v/>
      </c>
      <c r="Z184" s="25" t="str">
        <f aca="false">IF(A184="","",IF(OR(H184="Extranjera",AND(E184="No residente",G184="Sí"),I184="Sí"),"Alto",IF(T184&lt;&gt;"",T184,Y184)))</f>
        <v/>
      </c>
      <c r="AA184" s="26" t="str">
        <f aca="false">IF(A184="","",IF(H184="Extranjera","Alto obligatorio: PEP extranjera (RCG 23 Bis 4)",IF(AND(E184="No residente",G184="Sí"),"Alto obligatorio: no residente vinculado a jurisdicción de riesgo (RCG 23 Bis 4)",IF(I184="Sí","Alto por criterio: persona en listas. Evalúa no operar y Aviso de 24 h",IF(T184&lt;&gt;"","Ajuste del REC: "&amp;U184,"Modelo: "&amp;X184&amp;" puntos")))))</f>
        <v/>
      </c>
      <c r="AB184" s="23" t="str">
        <f aca="false">IF(A184="","",IF(COUNT(N184,O184)=0,"Falta fecha",EDATE(MAX(N184,O184),IF(Z184="Alto",CONFIG!$B$18,IF(Z184="Medio",CONFIG!$B$17,CONFIG!$B$16)))))</f>
        <v/>
      </c>
      <c r="AC184" s="23" t="str">
        <f aca="false">IF(A184="","",IF(ISNUMBER(S184),EDATE(S184,12),IF(ISNUMBER(N184),EDATE(N184,12),"Falta fecha")))</f>
        <v/>
      </c>
      <c r="AD184" s="26" t="str">
        <f aca="false">IF(A184="","",MID(IF(P184&lt;&gt;"Sí"," · Expediente incompleto","")&amp;IF(OR(Q184="",Q184="Pendiente")," · Falta el Beneficiario Controlador","")&amp;IF(M184=""," · Sin perfil transaccional","")&amp;IF(AND(ISNUMBER(AB184),AB184&lt;CONFIG!$B$6)," · Evaluación de riesgo vencida","")&amp;IF(AND(ISNUMBER(AC184),AC184&lt;CONFIG!$B$6)," · Verificación anual vencida","")&amp;IF(AND(ISNUMBER(R184),ISNUMBER(S184),S184-R184&gt;92)," · Comprobante de domicilio con más de 3 meses","")&amp;IF(AND(T184&lt;&gt;"",U184="")," · Ajuste del REC sin justificación",""),4,400))</f>
        <v/>
      </c>
      <c r="AE184" s="9" t="str">
        <f aca="false">IF(A184="","",IF(AD184="","Al día","Revisar"))</f>
        <v/>
      </c>
      <c r="AF184" s="9" t="str">
        <f aca="false">IF(A184="","",COUNTIF(OPERACIONES!$C$6:$C$505,A184)&amp;" / $"&amp;FIXED(SUMIF(OPERACIONES!$C$6:$C$505,A184,OPERACIONES!$E$6:$E$505),0))</f>
        <v/>
      </c>
    </row>
    <row r="185" customFormat="false" ht="15" hidden="false" customHeight="false" outlineLevel="0" collapsed="false">
      <c r="A185" s="21"/>
      <c r="B185" s="21"/>
      <c r="C185" s="21"/>
      <c r="D185" s="21"/>
      <c r="E185" s="21"/>
      <c r="F185" s="21"/>
      <c r="G185" s="21"/>
      <c r="H185" s="21"/>
      <c r="I185" s="21"/>
      <c r="J185" s="21"/>
      <c r="K185" s="21"/>
      <c r="L185" s="21"/>
      <c r="M185" s="22"/>
      <c r="N185" s="20"/>
      <c r="O185" s="20"/>
      <c r="P185" s="21"/>
      <c r="Q185" s="21"/>
      <c r="R185" s="20"/>
      <c r="S185" s="20"/>
      <c r="T185" s="21"/>
      <c r="U185" s="21"/>
      <c r="V185" s="9" t="str">
        <f aca="false">IF(A185="","",SUMIFS(CONFIG!$F$5:$F$26,CONFIG!$D$5:$D$26,"Tipo de persona",CONFIG!$E$5:$E$26,C185)+SUMIFS(CONFIG!$F$5:$F$26,CONFIG!$D$5:$D$26,"Residencia",CONFIG!$E$5:$E$26,E185)+SUMIFS(CONFIG!$F$5:$F$26,CONFIG!$D$5:$D$26,"Nacionalidad",CONFIG!$E$5:$E$26,F185)+SUMIFS(CONFIG!$F$5:$F$26,CONFIG!$D$5:$D$26,"Jurisdicción de riesgo",CONFIG!$E$5:$E$26,G185)+SUMIFS(CONFIG!$F$5:$F$26,CONFIG!$D$5:$D$26,"PEP",CONFIG!$E$5:$E$26,H185)+SUMIFS(CONFIG!$F$5:$F$26,CONFIG!$D$5:$D$26,"En listas",CONFIG!$E$5:$E$26,I185)+SUMIFS(CONFIG!$F$5:$F$26,CONFIG!$D$5:$D$26,"Riesgo de su actividad económica",CONFIG!$E$5:$E$26,J185)+SUMIFS(CONFIG!$F$5:$F$26,CONFIG!$D$5:$D$26,"Canal",CONFIG!$E$5:$E$26,K185)+SUMIFS(CONFIG!$F$5:$F$26,CONFIG!$D$5:$D$26,"Origen de recursos documentado",CONFIG!$E$5:$E$26,L185))</f>
        <v/>
      </c>
      <c r="W185" s="9" t="str">
        <f aca="false">IF(A185="","",IF(SUMIF(OPERACIONES!$C$6:$C$505,A185,OPERACIONES!$E$6:$E$505)&gt;0,IF(SUMIF(OPERACIONES!$C$6:$C$505,A185,OPERACIONES!$F$6:$F$505)/SUMIF(OPERACIONES!$C$6:$C$505,A185,OPERACIONES!$E$6:$E$505)&gt;0.5,CONFIG!$B$20,IF(SUMIF(OPERACIONES!$C$6:$C$505,A185,OPERACIONES!$F$6:$F$505)&gt;0,CONFIG!$B$21,0)),0)+IF(COUNTIFS(OPERACIONES!$C$6:$C$505,A185,OPERACIONES!$AQ$6:$AQ$505,1)&gt;0,CONFIG!$B$22,0)+IF(COUNTIFS(OPERACIONES!$C$6:$C$505,A185,OPERACIONES!$H$6:$H$505,"Sí")&gt;0,CONFIG!$B$23,0))</f>
        <v/>
      </c>
      <c r="X185" s="9" t="str">
        <f aca="false">IF(A185="","",V185+W185)</f>
        <v/>
      </c>
      <c r="Y185" s="9" t="str">
        <f aca="false">IF(A185="","",IF(X185&lt;=CONFIG!$B$13,"Bajo",IF(X185&lt;=CONFIG!$B$14,"Medio","Alto")))</f>
        <v/>
      </c>
      <c r="Z185" s="25" t="str">
        <f aca="false">IF(A185="","",IF(OR(H185="Extranjera",AND(E185="No residente",G185="Sí"),I185="Sí"),"Alto",IF(T185&lt;&gt;"",T185,Y185)))</f>
        <v/>
      </c>
      <c r="AA185" s="26" t="str">
        <f aca="false">IF(A185="","",IF(H185="Extranjera","Alto obligatorio: PEP extranjera (RCG 23 Bis 4)",IF(AND(E185="No residente",G185="Sí"),"Alto obligatorio: no residente vinculado a jurisdicción de riesgo (RCG 23 Bis 4)",IF(I185="Sí","Alto por criterio: persona en listas. Evalúa no operar y Aviso de 24 h",IF(T185&lt;&gt;"","Ajuste del REC: "&amp;U185,"Modelo: "&amp;X185&amp;" puntos")))))</f>
        <v/>
      </c>
      <c r="AB185" s="23" t="str">
        <f aca="false">IF(A185="","",IF(COUNT(N185,O185)=0,"Falta fecha",EDATE(MAX(N185,O185),IF(Z185="Alto",CONFIG!$B$18,IF(Z185="Medio",CONFIG!$B$17,CONFIG!$B$16)))))</f>
        <v/>
      </c>
      <c r="AC185" s="23" t="str">
        <f aca="false">IF(A185="","",IF(ISNUMBER(S185),EDATE(S185,12),IF(ISNUMBER(N185),EDATE(N185,12),"Falta fecha")))</f>
        <v/>
      </c>
      <c r="AD185" s="26" t="str">
        <f aca="false">IF(A185="","",MID(IF(P185&lt;&gt;"Sí"," · Expediente incompleto","")&amp;IF(OR(Q185="",Q185="Pendiente")," · Falta el Beneficiario Controlador","")&amp;IF(M185=""," · Sin perfil transaccional","")&amp;IF(AND(ISNUMBER(AB185),AB185&lt;CONFIG!$B$6)," · Evaluación de riesgo vencida","")&amp;IF(AND(ISNUMBER(AC185),AC185&lt;CONFIG!$B$6)," · Verificación anual vencida","")&amp;IF(AND(ISNUMBER(R185),ISNUMBER(S185),S185-R185&gt;92)," · Comprobante de domicilio con más de 3 meses","")&amp;IF(AND(T185&lt;&gt;"",U185="")," · Ajuste del REC sin justificación",""),4,400))</f>
        <v/>
      </c>
      <c r="AE185" s="9" t="str">
        <f aca="false">IF(A185="","",IF(AD185="","Al día","Revisar"))</f>
        <v/>
      </c>
      <c r="AF185" s="9" t="str">
        <f aca="false">IF(A185="","",COUNTIF(OPERACIONES!$C$6:$C$505,A185)&amp;" / $"&amp;FIXED(SUMIF(OPERACIONES!$C$6:$C$505,A185,OPERACIONES!$E$6:$E$505),0))</f>
        <v/>
      </c>
    </row>
    <row r="186" customFormat="false" ht="15" hidden="false" customHeight="false" outlineLevel="0" collapsed="false">
      <c r="A186" s="21"/>
      <c r="B186" s="21"/>
      <c r="C186" s="21"/>
      <c r="D186" s="21"/>
      <c r="E186" s="21"/>
      <c r="F186" s="21"/>
      <c r="G186" s="21"/>
      <c r="H186" s="21"/>
      <c r="I186" s="21"/>
      <c r="J186" s="21"/>
      <c r="K186" s="21"/>
      <c r="L186" s="21"/>
      <c r="M186" s="22"/>
      <c r="N186" s="20"/>
      <c r="O186" s="20"/>
      <c r="P186" s="21"/>
      <c r="Q186" s="21"/>
      <c r="R186" s="20"/>
      <c r="S186" s="20"/>
      <c r="T186" s="21"/>
      <c r="U186" s="21"/>
      <c r="V186" s="9" t="str">
        <f aca="false">IF(A186="","",SUMIFS(CONFIG!$F$5:$F$26,CONFIG!$D$5:$D$26,"Tipo de persona",CONFIG!$E$5:$E$26,C186)+SUMIFS(CONFIG!$F$5:$F$26,CONFIG!$D$5:$D$26,"Residencia",CONFIG!$E$5:$E$26,E186)+SUMIFS(CONFIG!$F$5:$F$26,CONFIG!$D$5:$D$26,"Nacionalidad",CONFIG!$E$5:$E$26,F186)+SUMIFS(CONFIG!$F$5:$F$26,CONFIG!$D$5:$D$26,"Jurisdicción de riesgo",CONFIG!$E$5:$E$26,G186)+SUMIFS(CONFIG!$F$5:$F$26,CONFIG!$D$5:$D$26,"PEP",CONFIG!$E$5:$E$26,H186)+SUMIFS(CONFIG!$F$5:$F$26,CONFIG!$D$5:$D$26,"En listas",CONFIG!$E$5:$E$26,I186)+SUMIFS(CONFIG!$F$5:$F$26,CONFIG!$D$5:$D$26,"Riesgo de su actividad económica",CONFIG!$E$5:$E$26,J186)+SUMIFS(CONFIG!$F$5:$F$26,CONFIG!$D$5:$D$26,"Canal",CONFIG!$E$5:$E$26,K186)+SUMIFS(CONFIG!$F$5:$F$26,CONFIG!$D$5:$D$26,"Origen de recursos documentado",CONFIG!$E$5:$E$26,L186))</f>
        <v/>
      </c>
      <c r="W186" s="9" t="str">
        <f aca="false">IF(A186="","",IF(SUMIF(OPERACIONES!$C$6:$C$505,A186,OPERACIONES!$E$6:$E$505)&gt;0,IF(SUMIF(OPERACIONES!$C$6:$C$505,A186,OPERACIONES!$F$6:$F$505)/SUMIF(OPERACIONES!$C$6:$C$505,A186,OPERACIONES!$E$6:$E$505)&gt;0.5,CONFIG!$B$20,IF(SUMIF(OPERACIONES!$C$6:$C$505,A186,OPERACIONES!$F$6:$F$505)&gt;0,CONFIG!$B$21,0)),0)+IF(COUNTIFS(OPERACIONES!$C$6:$C$505,A186,OPERACIONES!$AQ$6:$AQ$505,1)&gt;0,CONFIG!$B$22,0)+IF(COUNTIFS(OPERACIONES!$C$6:$C$505,A186,OPERACIONES!$H$6:$H$505,"Sí")&gt;0,CONFIG!$B$23,0))</f>
        <v/>
      </c>
      <c r="X186" s="9" t="str">
        <f aca="false">IF(A186="","",V186+W186)</f>
        <v/>
      </c>
      <c r="Y186" s="9" t="str">
        <f aca="false">IF(A186="","",IF(X186&lt;=CONFIG!$B$13,"Bajo",IF(X186&lt;=CONFIG!$B$14,"Medio","Alto")))</f>
        <v/>
      </c>
      <c r="Z186" s="25" t="str">
        <f aca="false">IF(A186="","",IF(OR(H186="Extranjera",AND(E186="No residente",G186="Sí"),I186="Sí"),"Alto",IF(T186&lt;&gt;"",T186,Y186)))</f>
        <v/>
      </c>
      <c r="AA186" s="26" t="str">
        <f aca="false">IF(A186="","",IF(H186="Extranjera","Alto obligatorio: PEP extranjera (RCG 23 Bis 4)",IF(AND(E186="No residente",G186="Sí"),"Alto obligatorio: no residente vinculado a jurisdicción de riesgo (RCG 23 Bis 4)",IF(I186="Sí","Alto por criterio: persona en listas. Evalúa no operar y Aviso de 24 h",IF(T186&lt;&gt;"","Ajuste del REC: "&amp;U186,"Modelo: "&amp;X186&amp;" puntos")))))</f>
        <v/>
      </c>
      <c r="AB186" s="23" t="str">
        <f aca="false">IF(A186="","",IF(COUNT(N186,O186)=0,"Falta fecha",EDATE(MAX(N186,O186),IF(Z186="Alto",CONFIG!$B$18,IF(Z186="Medio",CONFIG!$B$17,CONFIG!$B$16)))))</f>
        <v/>
      </c>
      <c r="AC186" s="23" t="str">
        <f aca="false">IF(A186="","",IF(ISNUMBER(S186),EDATE(S186,12),IF(ISNUMBER(N186),EDATE(N186,12),"Falta fecha")))</f>
        <v/>
      </c>
      <c r="AD186" s="26" t="str">
        <f aca="false">IF(A186="","",MID(IF(P186&lt;&gt;"Sí"," · Expediente incompleto","")&amp;IF(OR(Q186="",Q186="Pendiente")," · Falta el Beneficiario Controlador","")&amp;IF(M186=""," · Sin perfil transaccional","")&amp;IF(AND(ISNUMBER(AB186),AB186&lt;CONFIG!$B$6)," · Evaluación de riesgo vencida","")&amp;IF(AND(ISNUMBER(AC186),AC186&lt;CONFIG!$B$6)," · Verificación anual vencida","")&amp;IF(AND(ISNUMBER(R186),ISNUMBER(S186),S186-R186&gt;92)," · Comprobante de domicilio con más de 3 meses","")&amp;IF(AND(T186&lt;&gt;"",U186="")," · Ajuste del REC sin justificación",""),4,400))</f>
        <v/>
      </c>
      <c r="AE186" s="9" t="str">
        <f aca="false">IF(A186="","",IF(AD186="","Al día","Revisar"))</f>
        <v/>
      </c>
      <c r="AF186" s="9" t="str">
        <f aca="false">IF(A186="","",COUNTIF(OPERACIONES!$C$6:$C$505,A186)&amp;" / $"&amp;FIXED(SUMIF(OPERACIONES!$C$6:$C$505,A186,OPERACIONES!$E$6:$E$505),0))</f>
        <v/>
      </c>
    </row>
    <row r="187" customFormat="false" ht="15" hidden="false" customHeight="false" outlineLevel="0" collapsed="false">
      <c r="A187" s="21"/>
      <c r="B187" s="21"/>
      <c r="C187" s="21"/>
      <c r="D187" s="21"/>
      <c r="E187" s="21"/>
      <c r="F187" s="21"/>
      <c r="G187" s="21"/>
      <c r="H187" s="21"/>
      <c r="I187" s="21"/>
      <c r="J187" s="21"/>
      <c r="K187" s="21"/>
      <c r="L187" s="21"/>
      <c r="M187" s="22"/>
      <c r="N187" s="20"/>
      <c r="O187" s="20"/>
      <c r="P187" s="21"/>
      <c r="Q187" s="21"/>
      <c r="R187" s="20"/>
      <c r="S187" s="20"/>
      <c r="T187" s="21"/>
      <c r="U187" s="21"/>
      <c r="V187" s="9" t="str">
        <f aca="false">IF(A187="","",SUMIFS(CONFIG!$F$5:$F$26,CONFIG!$D$5:$D$26,"Tipo de persona",CONFIG!$E$5:$E$26,C187)+SUMIFS(CONFIG!$F$5:$F$26,CONFIG!$D$5:$D$26,"Residencia",CONFIG!$E$5:$E$26,E187)+SUMIFS(CONFIG!$F$5:$F$26,CONFIG!$D$5:$D$26,"Nacionalidad",CONFIG!$E$5:$E$26,F187)+SUMIFS(CONFIG!$F$5:$F$26,CONFIG!$D$5:$D$26,"Jurisdicción de riesgo",CONFIG!$E$5:$E$26,G187)+SUMIFS(CONFIG!$F$5:$F$26,CONFIG!$D$5:$D$26,"PEP",CONFIG!$E$5:$E$26,H187)+SUMIFS(CONFIG!$F$5:$F$26,CONFIG!$D$5:$D$26,"En listas",CONFIG!$E$5:$E$26,I187)+SUMIFS(CONFIG!$F$5:$F$26,CONFIG!$D$5:$D$26,"Riesgo de su actividad económica",CONFIG!$E$5:$E$26,J187)+SUMIFS(CONFIG!$F$5:$F$26,CONFIG!$D$5:$D$26,"Canal",CONFIG!$E$5:$E$26,K187)+SUMIFS(CONFIG!$F$5:$F$26,CONFIG!$D$5:$D$26,"Origen de recursos documentado",CONFIG!$E$5:$E$26,L187))</f>
        <v/>
      </c>
      <c r="W187" s="9" t="str">
        <f aca="false">IF(A187="","",IF(SUMIF(OPERACIONES!$C$6:$C$505,A187,OPERACIONES!$E$6:$E$505)&gt;0,IF(SUMIF(OPERACIONES!$C$6:$C$505,A187,OPERACIONES!$F$6:$F$505)/SUMIF(OPERACIONES!$C$6:$C$505,A187,OPERACIONES!$E$6:$E$505)&gt;0.5,CONFIG!$B$20,IF(SUMIF(OPERACIONES!$C$6:$C$505,A187,OPERACIONES!$F$6:$F$505)&gt;0,CONFIG!$B$21,0)),0)+IF(COUNTIFS(OPERACIONES!$C$6:$C$505,A187,OPERACIONES!$AQ$6:$AQ$505,1)&gt;0,CONFIG!$B$22,0)+IF(COUNTIFS(OPERACIONES!$C$6:$C$505,A187,OPERACIONES!$H$6:$H$505,"Sí")&gt;0,CONFIG!$B$23,0))</f>
        <v/>
      </c>
      <c r="X187" s="9" t="str">
        <f aca="false">IF(A187="","",V187+W187)</f>
        <v/>
      </c>
      <c r="Y187" s="9" t="str">
        <f aca="false">IF(A187="","",IF(X187&lt;=CONFIG!$B$13,"Bajo",IF(X187&lt;=CONFIG!$B$14,"Medio","Alto")))</f>
        <v/>
      </c>
      <c r="Z187" s="25" t="str">
        <f aca="false">IF(A187="","",IF(OR(H187="Extranjera",AND(E187="No residente",G187="Sí"),I187="Sí"),"Alto",IF(T187&lt;&gt;"",T187,Y187)))</f>
        <v/>
      </c>
      <c r="AA187" s="26" t="str">
        <f aca="false">IF(A187="","",IF(H187="Extranjera","Alto obligatorio: PEP extranjera (RCG 23 Bis 4)",IF(AND(E187="No residente",G187="Sí"),"Alto obligatorio: no residente vinculado a jurisdicción de riesgo (RCG 23 Bis 4)",IF(I187="Sí","Alto por criterio: persona en listas. Evalúa no operar y Aviso de 24 h",IF(T187&lt;&gt;"","Ajuste del REC: "&amp;U187,"Modelo: "&amp;X187&amp;" puntos")))))</f>
        <v/>
      </c>
      <c r="AB187" s="23" t="str">
        <f aca="false">IF(A187="","",IF(COUNT(N187,O187)=0,"Falta fecha",EDATE(MAX(N187,O187),IF(Z187="Alto",CONFIG!$B$18,IF(Z187="Medio",CONFIG!$B$17,CONFIG!$B$16)))))</f>
        <v/>
      </c>
      <c r="AC187" s="23" t="str">
        <f aca="false">IF(A187="","",IF(ISNUMBER(S187),EDATE(S187,12),IF(ISNUMBER(N187),EDATE(N187,12),"Falta fecha")))</f>
        <v/>
      </c>
      <c r="AD187" s="26" t="str">
        <f aca="false">IF(A187="","",MID(IF(P187&lt;&gt;"Sí"," · Expediente incompleto","")&amp;IF(OR(Q187="",Q187="Pendiente")," · Falta el Beneficiario Controlador","")&amp;IF(M187=""," · Sin perfil transaccional","")&amp;IF(AND(ISNUMBER(AB187),AB187&lt;CONFIG!$B$6)," · Evaluación de riesgo vencida","")&amp;IF(AND(ISNUMBER(AC187),AC187&lt;CONFIG!$B$6)," · Verificación anual vencida","")&amp;IF(AND(ISNUMBER(R187),ISNUMBER(S187),S187-R187&gt;92)," · Comprobante de domicilio con más de 3 meses","")&amp;IF(AND(T187&lt;&gt;"",U187="")," · Ajuste del REC sin justificación",""),4,400))</f>
        <v/>
      </c>
      <c r="AE187" s="9" t="str">
        <f aca="false">IF(A187="","",IF(AD187="","Al día","Revisar"))</f>
        <v/>
      </c>
      <c r="AF187" s="9" t="str">
        <f aca="false">IF(A187="","",COUNTIF(OPERACIONES!$C$6:$C$505,A187)&amp;" / $"&amp;FIXED(SUMIF(OPERACIONES!$C$6:$C$505,A187,OPERACIONES!$E$6:$E$505),0))</f>
        <v/>
      </c>
    </row>
    <row r="188" customFormat="false" ht="15" hidden="false" customHeight="false" outlineLevel="0" collapsed="false">
      <c r="A188" s="21"/>
      <c r="B188" s="21"/>
      <c r="C188" s="21"/>
      <c r="D188" s="21"/>
      <c r="E188" s="21"/>
      <c r="F188" s="21"/>
      <c r="G188" s="21"/>
      <c r="H188" s="21"/>
      <c r="I188" s="21"/>
      <c r="J188" s="21"/>
      <c r="K188" s="21"/>
      <c r="L188" s="21"/>
      <c r="M188" s="22"/>
      <c r="N188" s="20"/>
      <c r="O188" s="20"/>
      <c r="P188" s="21"/>
      <c r="Q188" s="21"/>
      <c r="R188" s="20"/>
      <c r="S188" s="20"/>
      <c r="T188" s="21"/>
      <c r="U188" s="21"/>
      <c r="V188" s="9" t="str">
        <f aca="false">IF(A188="","",SUMIFS(CONFIG!$F$5:$F$26,CONFIG!$D$5:$D$26,"Tipo de persona",CONFIG!$E$5:$E$26,C188)+SUMIFS(CONFIG!$F$5:$F$26,CONFIG!$D$5:$D$26,"Residencia",CONFIG!$E$5:$E$26,E188)+SUMIFS(CONFIG!$F$5:$F$26,CONFIG!$D$5:$D$26,"Nacionalidad",CONFIG!$E$5:$E$26,F188)+SUMIFS(CONFIG!$F$5:$F$26,CONFIG!$D$5:$D$26,"Jurisdicción de riesgo",CONFIG!$E$5:$E$26,G188)+SUMIFS(CONFIG!$F$5:$F$26,CONFIG!$D$5:$D$26,"PEP",CONFIG!$E$5:$E$26,H188)+SUMIFS(CONFIG!$F$5:$F$26,CONFIG!$D$5:$D$26,"En listas",CONFIG!$E$5:$E$26,I188)+SUMIFS(CONFIG!$F$5:$F$26,CONFIG!$D$5:$D$26,"Riesgo de su actividad económica",CONFIG!$E$5:$E$26,J188)+SUMIFS(CONFIG!$F$5:$F$26,CONFIG!$D$5:$D$26,"Canal",CONFIG!$E$5:$E$26,K188)+SUMIFS(CONFIG!$F$5:$F$26,CONFIG!$D$5:$D$26,"Origen de recursos documentado",CONFIG!$E$5:$E$26,L188))</f>
        <v/>
      </c>
      <c r="W188" s="9" t="str">
        <f aca="false">IF(A188="","",IF(SUMIF(OPERACIONES!$C$6:$C$505,A188,OPERACIONES!$E$6:$E$505)&gt;0,IF(SUMIF(OPERACIONES!$C$6:$C$505,A188,OPERACIONES!$F$6:$F$505)/SUMIF(OPERACIONES!$C$6:$C$505,A188,OPERACIONES!$E$6:$E$505)&gt;0.5,CONFIG!$B$20,IF(SUMIF(OPERACIONES!$C$6:$C$505,A188,OPERACIONES!$F$6:$F$505)&gt;0,CONFIG!$B$21,0)),0)+IF(COUNTIFS(OPERACIONES!$C$6:$C$505,A188,OPERACIONES!$AQ$6:$AQ$505,1)&gt;0,CONFIG!$B$22,0)+IF(COUNTIFS(OPERACIONES!$C$6:$C$505,A188,OPERACIONES!$H$6:$H$505,"Sí")&gt;0,CONFIG!$B$23,0))</f>
        <v/>
      </c>
      <c r="X188" s="9" t="str">
        <f aca="false">IF(A188="","",V188+W188)</f>
        <v/>
      </c>
      <c r="Y188" s="9" t="str">
        <f aca="false">IF(A188="","",IF(X188&lt;=CONFIG!$B$13,"Bajo",IF(X188&lt;=CONFIG!$B$14,"Medio","Alto")))</f>
        <v/>
      </c>
      <c r="Z188" s="25" t="str">
        <f aca="false">IF(A188="","",IF(OR(H188="Extranjera",AND(E188="No residente",G188="Sí"),I188="Sí"),"Alto",IF(T188&lt;&gt;"",T188,Y188)))</f>
        <v/>
      </c>
      <c r="AA188" s="26" t="str">
        <f aca="false">IF(A188="","",IF(H188="Extranjera","Alto obligatorio: PEP extranjera (RCG 23 Bis 4)",IF(AND(E188="No residente",G188="Sí"),"Alto obligatorio: no residente vinculado a jurisdicción de riesgo (RCG 23 Bis 4)",IF(I188="Sí","Alto por criterio: persona en listas. Evalúa no operar y Aviso de 24 h",IF(T188&lt;&gt;"","Ajuste del REC: "&amp;U188,"Modelo: "&amp;X188&amp;" puntos")))))</f>
        <v/>
      </c>
      <c r="AB188" s="23" t="str">
        <f aca="false">IF(A188="","",IF(COUNT(N188,O188)=0,"Falta fecha",EDATE(MAX(N188,O188),IF(Z188="Alto",CONFIG!$B$18,IF(Z188="Medio",CONFIG!$B$17,CONFIG!$B$16)))))</f>
        <v/>
      </c>
      <c r="AC188" s="23" t="str">
        <f aca="false">IF(A188="","",IF(ISNUMBER(S188),EDATE(S188,12),IF(ISNUMBER(N188),EDATE(N188,12),"Falta fecha")))</f>
        <v/>
      </c>
      <c r="AD188" s="26" t="str">
        <f aca="false">IF(A188="","",MID(IF(P188&lt;&gt;"Sí"," · Expediente incompleto","")&amp;IF(OR(Q188="",Q188="Pendiente")," · Falta el Beneficiario Controlador","")&amp;IF(M188=""," · Sin perfil transaccional","")&amp;IF(AND(ISNUMBER(AB188),AB188&lt;CONFIG!$B$6)," · Evaluación de riesgo vencida","")&amp;IF(AND(ISNUMBER(AC188),AC188&lt;CONFIG!$B$6)," · Verificación anual vencida","")&amp;IF(AND(ISNUMBER(R188),ISNUMBER(S188),S188-R188&gt;92)," · Comprobante de domicilio con más de 3 meses","")&amp;IF(AND(T188&lt;&gt;"",U188="")," · Ajuste del REC sin justificación",""),4,400))</f>
        <v/>
      </c>
      <c r="AE188" s="9" t="str">
        <f aca="false">IF(A188="","",IF(AD188="","Al día","Revisar"))</f>
        <v/>
      </c>
      <c r="AF188" s="9" t="str">
        <f aca="false">IF(A188="","",COUNTIF(OPERACIONES!$C$6:$C$505,A188)&amp;" / $"&amp;FIXED(SUMIF(OPERACIONES!$C$6:$C$505,A188,OPERACIONES!$E$6:$E$505),0))</f>
        <v/>
      </c>
    </row>
    <row r="189" customFormat="false" ht="15" hidden="false" customHeight="false" outlineLevel="0" collapsed="false">
      <c r="A189" s="21"/>
      <c r="B189" s="21"/>
      <c r="C189" s="21"/>
      <c r="D189" s="21"/>
      <c r="E189" s="21"/>
      <c r="F189" s="21"/>
      <c r="G189" s="21"/>
      <c r="H189" s="21"/>
      <c r="I189" s="21"/>
      <c r="J189" s="21"/>
      <c r="K189" s="21"/>
      <c r="L189" s="21"/>
      <c r="M189" s="22"/>
      <c r="N189" s="20"/>
      <c r="O189" s="20"/>
      <c r="P189" s="21"/>
      <c r="Q189" s="21"/>
      <c r="R189" s="20"/>
      <c r="S189" s="20"/>
      <c r="T189" s="21"/>
      <c r="U189" s="21"/>
      <c r="V189" s="9" t="str">
        <f aca="false">IF(A189="","",SUMIFS(CONFIG!$F$5:$F$26,CONFIG!$D$5:$D$26,"Tipo de persona",CONFIG!$E$5:$E$26,C189)+SUMIFS(CONFIG!$F$5:$F$26,CONFIG!$D$5:$D$26,"Residencia",CONFIG!$E$5:$E$26,E189)+SUMIFS(CONFIG!$F$5:$F$26,CONFIG!$D$5:$D$26,"Nacionalidad",CONFIG!$E$5:$E$26,F189)+SUMIFS(CONFIG!$F$5:$F$26,CONFIG!$D$5:$D$26,"Jurisdicción de riesgo",CONFIG!$E$5:$E$26,G189)+SUMIFS(CONFIG!$F$5:$F$26,CONFIG!$D$5:$D$26,"PEP",CONFIG!$E$5:$E$26,H189)+SUMIFS(CONFIG!$F$5:$F$26,CONFIG!$D$5:$D$26,"En listas",CONFIG!$E$5:$E$26,I189)+SUMIFS(CONFIG!$F$5:$F$26,CONFIG!$D$5:$D$26,"Riesgo de su actividad económica",CONFIG!$E$5:$E$26,J189)+SUMIFS(CONFIG!$F$5:$F$26,CONFIG!$D$5:$D$26,"Canal",CONFIG!$E$5:$E$26,K189)+SUMIFS(CONFIG!$F$5:$F$26,CONFIG!$D$5:$D$26,"Origen de recursos documentado",CONFIG!$E$5:$E$26,L189))</f>
        <v/>
      </c>
      <c r="W189" s="9" t="str">
        <f aca="false">IF(A189="","",IF(SUMIF(OPERACIONES!$C$6:$C$505,A189,OPERACIONES!$E$6:$E$505)&gt;0,IF(SUMIF(OPERACIONES!$C$6:$C$505,A189,OPERACIONES!$F$6:$F$505)/SUMIF(OPERACIONES!$C$6:$C$505,A189,OPERACIONES!$E$6:$E$505)&gt;0.5,CONFIG!$B$20,IF(SUMIF(OPERACIONES!$C$6:$C$505,A189,OPERACIONES!$F$6:$F$505)&gt;0,CONFIG!$B$21,0)),0)+IF(COUNTIFS(OPERACIONES!$C$6:$C$505,A189,OPERACIONES!$AQ$6:$AQ$505,1)&gt;0,CONFIG!$B$22,0)+IF(COUNTIFS(OPERACIONES!$C$6:$C$505,A189,OPERACIONES!$H$6:$H$505,"Sí")&gt;0,CONFIG!$B$23,0))</f>
        <v/>
      </c>
      <c r="X189" s="9" t="str">
        <f aca="false">IF(A189="","",V189+W189)</f>
        <v/>
      </c>
      <c r="Y189" s="9" t="str">
        <f aca="false">IF(A189="","",IF(X189&lt;=CONFIG!$B$13,"Bajo",IF(X189&lt;=CONFIG!$B$14,"Medio","Alto")))</f>
        <v/>
      </c>
      <c r="Z189" s="25" t="str">
        <f aca="false">IF(A189="","",IF(OR(H189="Extranjera",AND(E189="No residente",G189="Sí"),I189="Sí"),"Alto",IF(T189&lt;&gt;"",T189,Y189)))</f>
        <v/>
      </c>
      <c r="AA189" s="26" t="str">
        <f aca="false">IF(A189="","",IF(H189="Extranjera","Alto obligatorio: PEP extranjera (RCG 23 Bis 4)",IF(AND(E189="No residente",G189="Sí"),"Alto obligatorio: no residente vinculado a jurisdicción de riesgo (RCG 23 Bis 4)",IF(I189="Sí","Alto por criterio: persona en listas. Evalúa no operar y Aviso de 24 h",IF(T189&lt;&gt;"","Ajuste del REC: "&amp;U189,"Modelo: "&amp;X189&amp;" puntos")))))</f>
        <v/>
      </c>
      <c r="AB189" s="23" t="str">
        <f aca="false">IF(A189="","",IF(COUNT(N189,O189)=0,"Falta fecha",EDATE(MAX(N189,O189),IF(Z189="Alto",CONFIG!$B$18,IF(Z189="Medio",CONFIG!$B$17,CONFIG!$B$16)))))</f>
        <v/>
      </c>
      <c r="AC189" s="23" t="str">
        <f aca="false">IF(A189="","",IF(ISNUMBER(S189),EDATE(S189,12),IF(ISNUMBER(N189),EDATE(N189,12),"Falta fecha")))</f>
        <v/>
      </c>
      <c r="AD189" s="26" t="str">
        <f aca="false">IF(A189="","",MID(IF(P189&lt;&gt;"Sí"," · Expediente incompleto","")&amp;IF(OR(Q189="",Q189="Pendiente")," · Falta el Beneficiario Controlador","")&amp;IF(M189=""," · Sin perfil transaccional","")&amp;IF(AND(ISNUMBER(AB189),AB189&lt;CONFIG!$B$6)," · Evaluación de riesgo vencida","")&amp;IF(AND(ISNUMBER(AC189),AC189&lt;CONFIG!$B$6)," · Verificación anual vencida","")&amp;IF(AND(ISNUMBER(R189),ISNUMBER(S189),S189-R189&gt;92)," · Comprobante de domicilio con más de 3 meses","")&amp;IF(AND(T189&lt;&gt;"",U189="")," · Ajuste del REC sin justificación",""),4,400))</f>
        <v/>
      </c>
      <c r="AE189" s="9" t="str">
        <f aca="false">IF(A189="","",IF(AD189="","Al día","Revisar"))</f>
        <v/>
      </c>
      <c r="AF189" s="9" t="str">
        <f aca="false">IF(A189="","",COUNTIF(OPERACIONES!$C$6:$C$505,A189)&amp;" / $"&amp;FIXED(SUMIF(OPERACIONES!$C$6:$C$505,A189,OPERACIONES!$E$6:$E$505),0))</f>
        <v/>
      </c>
    </row>
    <row r="190" customFormat="false" ht="15" hidden="false" customHeight="false" outlineLevel="0" collapsed="false">
      <c r="A190" s="21"/>
      <c r="B190" s="21"/>
      <c r="C190" s="21"/>
      <c r="D190" s="21"/>
      <c r="E190" s="21"/>
      <c r="F190" s="21"/>
      <c r="G190" s="21"/>
      <c r="H190" s="21"/>
      <c r="I190" s="21"/>
      <c r="J190" s="21"/>
      <c r="K190" s="21"/>
      <c r="L190" s="21"/>
      <c r="M190" s="22"/>
      <c r="N190" s="20"/>
      <c r="O190" s="20"/>
      <c r="P190" s="21"/>
      <c r="Q190" s="21"/>
      <c r="R190" s="20"/>
      <c r="S190" s="20"/>
      <c r="T190" s="21"/>
      <c r="U190" s="21"/>
      <c r="V190" s="9" t="str">
        <f aca="false">IF(A190="","",SUMIFS(CONFIG!$F$5:$F$26,CONFIG!$D$5:$D$26,"Tipo de persona",CONFIG!$E$5:$E$26,C190)+SUMIFS(CONFIG!$F$5:$F$26,CONFIG!$D$5:$D$26,"Residencia",CONFIG!$E$5:$E$26,E190)+SUMIFS(CONFIG!$F$5:$F$26,CONFIG!$D$5:$D$26,"Nacionalidad",CONFIG!$E$5:$E$26,F190)+SUMIFS(CONFIG!$F$5:$F$26,CONFIG!$D$5:$D$26,"Jurisdicción de riesgo",CONFIG!$E$5:$E$26,G190)+SUMIFS(CONFIG!$F$5:$F$26,CONFIG!$D$5:$D$26,"PEP",CONFIG!$E$5:$E$26,H190)+SUMIFS(CONFIG!$F$5:$F$26,CONFIG!$D$5:$D$26,"En listas",CONFIG!$E$5:$E$26,I190)+SUMIFS(CONFIG!$F$5:$F$26,CONFIG!$D$5:$D$26,"Riesgo de su actividad económica",CONFIG!$E$5:$E$26,J190)+SUMIFS(CONFIG!$F$5:$F$26,CONFIG!$D$5:$D$26,"Canal",CONFIG!$E$5:$E$26,K190)+SUMIFS(CONFIG!$F$5:$F$26,CONFIG!$D$5:$D$26,"Origen de recursos documentado",CONFIG!$E$5:$E$26,L190))</f>
        <v/>
      </c>
      <c r="W190" s="9" t="str">
        <f aca="false">IF(A190="","",IF(SUMIF(OPERACIONES!$C$6:$C$505,A190,OPERACIONES!$E$6:$E$505)&gt;0,IF(SUMIF(OPERACIONES!$C$6:$C$505,A190,OPERACIONES!$F$6:$F$505)/SUMIF(OPERACIONES!$C$6:$C$505,A190,OPERACIONES!$E$6:$E$505)&gt;0.5,CONFIG!$B$20,IF(SUMIF(OPERACIONES!$C$6:$C$505,A190,OPERACIONES!$F$6:$F$505)&gt;0,CONFIG!$B$21,0)),0)+IF(COUNTIFS(OPERACIONES!$C$6:$C$505,A190,OPERACIONES!$AQ$6:$AQ$505,1)&gt;0,CONFIG!$B$22,0)+IF(COUNTIFS(OPERACIONES!$C$6:$C$505,A190,OPERACIONES!$H$6:$H$505,"Sí")&gt;0,CONFIG!$B$23,0))</f>
        <v/>
      </c>
      <c r="X190" s="9" t="str">
        <f aca="false">IF(A190="","",V190+W190)</f>
        <v/>
      </c>
      <c r="Y190" s="9" t="str">
        <f aca="false">IF(A190="","",IF(X190&lt;=CONFIG!$B$13,"Bajo",IF(X190&lt;=CONFIG!$B$14,"Medio","Alto")))</f>
        <v/>
      </c>
      <c r="Z190" s="25" t="str">
        <f aca="false">IF(A190="","",IF(OR(H190="Extranjera",AND(E190="No residente",G190="Sí"),I190="Sí"),"Alto",IF(T190&lt;&gt;"",T190,Y190)))</f>
        <v/>
      </c>
      <c r="AA190" s="26" t="str">
        <f aca="false">IF(A190="","",IF(H190="Extranjera","Alto obligatorio: PEP extranjera (RCG 23 Bis 4)",IF(AND(E190="No residente",G190="Sí"),"Alto obligatorio: no residente vinculado a jurisdicción de riesgo (RCG 23 Bis 4)",IF(I190="Sí","Alto por criterio: persona en listas. Evalúa no operar y Aviso de 24 h",IF(T190&lt;&gt;"","Ajuste del REC: "&amp;U190,"Modelo: "&amp;X190&amp;" puntos")))))</f>
        <v/>
      </c>
      <c r="AB190" s="23" t="str">
        <f aca="false">IF(A190="","",IF(COUNT(N190,O190)=0,"Falta fecha",EDATE(MAX(N190,O190),IF(Z190="Alto",CONFIG!$B$18,IF(Z190="Medio",CONFIG!$B$17,CONFIG!$B$16)))))</f>
        <v/>
      </c>
      <c r="AC190" s="23" t="str">
        <f aca="false">IF(A190="","",IF(ISNUMBER(S190),EDATE(S190,12),IF(ISNUMBER(N190),EDATE(N190,12),"Falta fecha")))</f>
        <v/>
      </c>
      <c r="AD190" s="26" t="str">
        <f aca="false">IF(A190="","",MID(IF(P190&lt;&gt;"Sí"," · Expediente incompleto","")&amp;IF(OR(Q190="",Q190="Pendiente")," · Falta el Beneficiario Controlador","")&amp;IF(M190=""," · Sin perfil transaccional","")&amp;IF(AND(ISNUMBER(AB190),AB190&lt;CONFIG!$B$6)," · Evaluación de riesgo vencida","")&amp;IF(AND(ISNUMBER(AC190),AC190&lt;CONFIG!$B$6)," · Verificación anual vencida","")&amp;IF(AND(ISNUMBER(R190),ISNUMBER(S190),S190-R190&gt;92)," · Comprobante de domicilio con más de 3 meses","")&amp;IF(AND(T190&lt;&gt;"",U190="")," · Ajuste del REC sin justificación",""),4,400))</f>
        <v/>
      </c>
      <c r="AE190" s="9" t="str">
        <f aca="false">IF(A190="","",IF(AD190="","Al día","Revisar"))</f>
        <v/>
      </c>
      <c r="AF190" s="9" t="str">
        <f aca="false">IF(A190="","",COUNTIF(OPERACIONES!$C$6:$C$505,A190)&amp;" / $"&amp;FIXED(SUMIF(OPERACIONES!$C$6:$C$505,A190,OPERACIONES!$E$6:$E$505),0))</f>
        <v/>
      </c>
    </row>
    <row r="191" customFormat="false" ht="15" hidden="false" customHeight="false" outlineLevel="0" collapsed="false">
      <c r="A191" s="21"/>
      <c r="B191" s="21"/>
      <c r="C191" s="21"/>
      <c r="D191" s="21"/>
      <c r="E191" s="21"/>
      <c r="F191" s="21"/>
      <c r="G191" s="21"/>
      <c r="H191" s="21"/>
      <c r="I191" s="21"/>
      <c r="J191" s="21"/>
      <c r="K191" s="21"/>
      <c r="L191" s="21"/>
      <c r="M191" s="22"/>
      <c r="N191" s="20"/>
      <c r="O191" s="20"/>
      <c r="P191" s="21"/>
      <c r="Q191" s="21"/>
      <c r="R191" s="20"/>
      <c r="S191" s="20"/>
      <c r="T191" s="21"/>
      <c r="U191" s="21"/>
      <c r="V191" s="9" t="str">
        <f aca="false">IF(A191="","",SUMIFS(CONFIG!$F$5:$F$26,CONFIG!$D$5:$D$26,"Tipo de persona",CONFIG!$E$5:$E$26,C191)+SUMIFS(CONFIG!$F$5:$F$26,CONFIG!$D$5:$D$26,"Residencia",CONFIG!$E$5:$E$26,E191)+SUMIFS(CONFIG!$F$5:$F$26,CONFIG!$D$5:$D$26,"Nacionalidad",CONFIG!$E$5:$E$26,F191)+SUMIFS(CONFIG!$F$5:$F$26,CONFIG!$D$5:$D$26,"Jurisdicción de riesgo",CONFIG!$E$5:$E$26,G191)+SUMIFS(CONFIG!$F$5:$F$26,CONFIG!$D$5:$D$26,"PEP",CONFIG!$E$5:$E$26,H191)+SUMIFS(CONFIG!$F$5:$F$26,CONFIG!$D$5:$D$26,"En listas",CONFIG!$E$5:$E$26,I191)+SUMIFS(CONFIG!$F$5:$F$26,CONFIG!$D$5:$D$26,"Riesgo de su actividad económica",CONFIG!$E$5:$E$26,J191)+SUMIFS(CONFIG!$F$5:$F$26,CONFIG!$D$5:$D$26,"Canal",CONFIG!$E$5:$E$26,K191)+SUMIFS(CONFIG!$F$5:$F$26,CONFIG!$D$5:$D$26,"Origen de recursos documentado",CONFIG!$E$5:$E$26,L191))</f>
        <v/>
      </c>
      <c r="W191" s="9" t="str">
        <f aca="false">IF(A191="","",IF(SUMIF(OPERACIONES!$C$6:$C$505,A191,OPERACIONES!$E$6:$E$505)&gt;0,IF(SUMIF(OPERACIONES!$C$6:$C$505,A191,OPERACIONES!$F$6:$F$505)/SUMIF(OPERACIONES!$C$6:$C$505,A191,OPERACIONES!$E$6:$E$505)&gt;0.5,CONFIG!$B$20,IF(SUMIF(OPERACIONES!$C$6:$C$505,A191,OPERACIONES!$F$6:$F$505)&gt;0,CONFIG!$B$21,0)),0)+IF(COUNTIFS(OPERACIONES!$C$6:$C$505,A191,OPERACIONES!$AQ$6:$AQ$505,1)&gt;0,CONFIG!$B$22,0)+IF(COUNTIFS(OPERACIONES!$C$6:$C$505,A191,OPERACIONES!$H$6:$H$505,"Sí")&gt;0,CONFIG!$B$23,0))</f>
        <v/>
      </c>
      <c r="X191" s="9" t="str">
        <f aca="false">IF(A191="","",V191+W191)</f>
        <v/>
      </c>
      <c r="Y191" s="9" t="str">
        <f aca="false">IF(A191="","",IF(X191&lt;=CONFIG!$B$13,"Bajo",IF(X191&lt;=CONFIG!$B$14,"Medio","Alto")))</f>
        <v/>
      </c>
      <c r="Z191" s="25" t="str">
        <f aca="false">IF(A191="","",IF(OR(H191="Extranjera",AND(E191="No residente",G191="Sí"),I191="Sí"),"Alto",IF(T191&lt;&gt;"",T191,Y191)))</f>
        <v/>
      </c>
      <c r="AA191" s="26" t="str">
        <f aca="false">IF(A191="","",IF(H191="Extranjera","Alto obligatorio: PEP extranjera (RCG 23 Bis 4)",IF(AND(E191="No residente",G191="Sí"),"Alto obligatorio: no residente vinculado a jurisdicción de riesgo (RCG 23 Bis 4)",IF(I191="Sí","Alto por criterio: persona en listas. Evalúa no operar y Aviso de 24 h",IF(T191&lt;&gt;"","Ajuste del REC: "&amp;U191,"Modelo: "&amp;X191&amp;" puntos")))))</f>
        <v/>
      </c>
      <c r="AB191" s="23" t="str">
        <f aca="false">IF(A191="","",IF(COUNT(N191,O191)=0,"Falta fecha",EDATE(MAX(N191,O191),IF(Z191="Alto",CONFIG!$B$18,IF(Z191="Medio",CONFIG!$B$17,CONFIG!$B$16)))))</f>
        <v/>
      </c>
      <c r="AC191" s="23" t="str">
        <f aca="false">IF(A191="","",IF(ISNUMBER(S191),EDATE(S191,12),IF(ISNUMBER(N191),EDATE(N191,12),"Falta fecha")))</f>
        <v/>
      </c>
      <c r="AD191" s="26" t="str">
        <f aca="false">IF(A191="","",MID(IF(P191&lt;&gt;"Sí"," · Expediente incompleto","")&amp;IF(OR(Q191="",Q191="Pendiente")," · Falta el Beneficiario Controlador","")&amp;IF(M191=""," · Sin perfil transaccional","")&amp;IF(AND(ISNUMBER(AB191),AB191&lt;CONFIG!$B$6)," · Evaluación de riesgo vencida","")&amp;IF(AND(ISNUMBER(AC191),AC191&lt;CONFIG!$B$6)," · Verificación anual vencida","")&amp;IF(AND(ISNUMBER(R191),ISNUMBER(S191),S191-R191&gt;92)," · Comprobante de domicilio con más de 3 meses","")&amp;IF(AND(T191&lt;&gt;"",U191="")," · Ajuste del REC sin justificación",""),4,400))</f>
        <v/>
      </c>
      <c r="AE191" s="9" t="str">
        <f aca="false">IF(A191="","",IF(AD191="","Al día","Revisar"))</f>
        <v/>
      </c>
      <c r="AF191" s="9" t="str">
        <f aca="false">IF(A191="","",COUNTIF(OPERACIONES!$C$6:$C$505,A191)&amp;" / $"&amp;FIXED(SUMIF(OPERACIONES!$C$6:$C$505,A191,OPERACIONES!$E$6:$E$505),0))</f>
        <v/>
      </c>
    </row>
    <row r="192" customFormat="false" ht="15" hidden="false" customHeight="false" outlineLevel="0" collapsed="false">
      <c r="A192" s="21"/>
      <c r="B192" s="21"/>
      <c r="C192" s="21"/>
      <c r="D192" s="21"/>
      <c r="E192" s="21"/>
      <c r="F192" s="21"/>
      <c r="G192" s="21"/>
      <c r="H192" s="21"/>
      <c r="I192" s="21"/>
      <c r="J192" s="21"/>
      <c r="K192" s="21"/>
      <c r="L192" s="21"/>
      <c r="M192" s="22"/>
      <c r="N192" s="20"/>
      <c r="O192" s="20"/>
      <c r="P192" s="21"/>
      <c r="Q192" s="21"/>
      <c r="R192" s="20"/>
      <c r="S192" s="20"/>
      <c r="T192" s="21"/>
      <c r="U192" s="21"/>
      <c r="V192" s="9" t="str">
        <f aca="false">IF(A192="","",SUMIFS(CONFIG!$F$5:$F$26,CONFIG!$D$5:$D$26,"Tipo de persona",CONFIG!$E$5:$E$26,C192)+SUMIFS(CONFIG!$F$5:$F$26,CONFIG!$D$5:$D$26,"Residencia",CONFIG!$E$5:$E$26,E192)+SUMIFS(CONFIG!$F$5:$F$26,CONFIG!$D$5:$D$26,"Nacionalidad",CONFIG!$E$5:$E$26,F192)+SUMIFS(CONFIG!$F$5:$F$26,CONFIG!$D$5:$D$26,"Jurisdicción de riesgo",CONFIG!$E$5:$E$26,G192)+SUMIFS(CONFIG!$F$5:$F$26,CONFIG!$D$5:$D$26,"PEP",CONFIG!$E$5:$E$26,H192)+SUMIFS(CONFIG!$F$5:$F$26,CONFIG!$D$5:$D$26,"En listas",CONFIG!$E$5:$E$26,I192)+SUMIFS(CONFIG!$F$5:$F$26,CONFIG!$D$5:$D$26,"Riesgo de su actividad económica",CONFIG!$E$5:$E$26,J192)+SUMIFS(CONFIG!$F$5:$F$26,CONFIG!$D$5:$D$26,"Canal",CONFIG!$E$5:$E$26,K192)+SUMIFS(CONFIG!$F$5:$F$26,CONFIG!$D$5:$D$26,"Origen de recursos documentado",CONFIG!$E$5:$E$26,L192))</f>
        <v/>
      </c>
      <c r="W192" s="9" t="str">
        <f aca="false">IF(A192="","",IF(SUMIF(OPERACIONES!$C$6:$C$505,A192,OPERACIONES!$E$6:$E$505)&gt;0,IF(SUMIF(OPERACIONES!$C$6:$C$505,A192,OPERACIONES!$F$6:$F$505)/SUMIF(OPERACIONES!$C$6:$C$505,A192,OPERACIONES!$E$6:$E$505)&gt;0.5,CONFIG!$B$20,IF(SUMIF(OPERACIONES!$C$6:$C$505,A192,OPERACIONES!$F$6:$F$505)&gt;0,CONFIG!$B$21,0)),0)+IF(COUNTIFS(OPERACIONES!$C$6:$C$505,A192,OPERACIONES!$AQ$6:$AQ$505,1)&gt;0,CONFIG!$B$22,0)+IF(COUNTIFS(OPERACIONES!$C$6:$C$505,A192,OPERACIONES!$H$6:$H$505,"Sí")&gt;0,CONFIG!$B$23,0))</f>
        <v/>
      </c>
      <c r="X192" s="9" t="str">
        <f aca="false">IF(A192="","",V192+W192)</f>
        <v/>
      </c>
      <c r="Y192" s="9" t="str">
        <f aca="false">IF(A192="","",IF(X192&lt;=CONFIG!$B$13,"Bajo",IF(X192&lt;=CONFIG!$B$14,"Medio","Alto")))</f>
        <v/>
      </c>
      <c r="Z192" s="25" t="str">
        <f aca="false">IF(A192="","",IF(OR(H192="Extranjera",AND(E192="No residente",G192="Sí"),I192="Sí"),"Alto",IF(T192&lt;&gt;"",T192,Y192)))</f>
        <v/>
      </c>
      <c r="AA192" s="26" t="str">
        <f aca="false">IF(A192="","",IF(H192="Extranjera","Alto obligatorio: PEP extranjera (RCG 23 Bis 4)",IF(AND(E192="No residente",G192="Sí"),"Alto obligatorio: no residente vinculado a jurisdicción de riesgo (RCG 23 Bis 4)",IF(I192="Sí","Alto por criterio: persona en listas. Evalúa no operar y Aviso de 24 h",IF(T192&lt;&gt;"","Ajuste del REC: "&amp;U192,"Modelo: "&amp;X192&amp;" puntos")))))</f>
        <v/>
      </c>
      <c r="AB192" s="23" t="str">
        <f aca="false">IF(A192="","",IF(COUNT(N192,O192)=0,"Falta fecha",EDATE(MAX(N192,O192),IF(Z192="Alto",CONFIG!$B$18,IF(Z192="Medio",CONFIG!$B$17,CONFIG!$B$16)))))</f>
        <v/>
      </c>
      <c r="AC192" s="23" t="str">
        <f aca="false">IF(A192="","",IF(ISNUMBER(S192),EDATE(S192,12),IF(ISNUMBER(N192),EDATE(N192,12),"Falta fecha")))</f>
        <v/>
      </c>
      <c r="AD192" s="26" t="str">
        <f aca="false">IF(A192="","",MID(IF(P192&lt;&gt;"Sí"," · Expediente incompleto","")&amp;IF(OR(Q192="",Q192="Pendiente")," · Falta el Beneficiario Controlador","")&amp;IF(M192=""," · Sin perfil transaccional","")&amp;IF(AND(ISNUMBER(AB192),AB192&lt;CONFIG!$B$6)," · Evaluación de riesgo vencida","")&amp;IF(AND(ISNUMBER(AC192),AC192&lt;CONFIG!$B$6)," · Verificación anual vencida","")&amp;IF(AND(ISNUMBER(R192),ISNUMBER(S192),S192-R192&gt;92)," · Comprobante de domicilio con más de 3 meses","")&amp;IF(AND(T192&lt;&gt;"",U192="")," · Ajuste del REC sin justificación",""),4,400))</f>
        <v/>
      </c>
      <c r="AE192" s="9" t="str">
        <f aca="false">IF(A192="","",IF(AD192="","Al día","Revisar"))</f>
        <v/>
      </c>
      <c r="AF192" s="9" t="str">
        <f aca="false">IF(A192="","",COUNTIF(OPERACIONES!$C$6:$C$505,A192)&amp;" / $"&amp;FIXED(SUMIF(OPERACIONES!$C$6:$C$505,A192,OPERACIONES!$E$6:$E$505),0))</f>
        <v/>
      </c>
    </row>
    <row r="193" customFormat="false" ht="15" hidden="false" customHeight="false" outlineLevel="0" collapsed="false">
      <c r="A193" s="21"/>
      <c r="B193" s="21"/>
      <c r="C193" s="21"/>
      <c r="D193" s="21"/>
      <c r="E193" s="21"/>
      <c r="F193" s="21"/>
      <c r="G193" s="21"/>
      <c r="H193" s="21"/>
      <c r="I193" s="21"/>
      <c r="J193" s="21"/>
      <c r="K193" s="21"/>
      <c r="L193" s="21"/>
      <c r="M193" s="22"/>
      <c r="N193" s="20"/>
      <c r="O193" s="20"/>
      <c r="P193" s="21"/>
      <c r="Q193" s="21"/>
      <c r="R193" s="20"/>
      <c r="S193" s="20"/>
      <c r="T193" s="21"/>
      <c r="U193" s="21"/>
      <c r="V193" s="9" t="str">
        <f aca="false">IF(A193="","",SUMIFS(CONFIG!$F$5:$F$26,CONFIG!$D$5:$D$26,"Tipo de persona",CONFIG!$E$5:$E$26,C193)+SUMIFS(CONFIG!$F$5:$F$26,CONFIG!$D$5:$D$26,"Residencia",CONFIG!$E$5:$E$26,E193)+SUMIFS(CONFIG!$F$5:$F$26,CONFIG!$D$5:$D$26,"Nacionalidad",CONFIG!$E$5:$E$26,F193)+SUMIFS(CONFIG!$F$5:$F$26,CONFIG!$D$5:$D$26,"Jurisdicción de riesgo",CONFIG!$E$5:$E$26,G193)+SUMIFS(CONFIG!$F$5:$F$26,CONFIG!$D$5:$D$26,"PEP",CONFIG!$E$5:$E$26,H193)+SUMIFS(CONFIG!$F$5:$F$26,CONFIG!$D$5:$D$26,"En listas",CONFIG!$E$5:$E$26,I193)+SUMIFS(CONFIG!$F$5:$F$26,CONFIG!$D$5:$D$26,"Riesgo de su actividad económica",CONFIG!$E$5:$E$26,J193)+SUMIFS(CONFIG!$F$5:$F$26,CONFIG!$D$5:$D$26,"Canal",CONFIG!$E$5:$E$26,K193)+SUMIFS(CONFIG!$F$5:$F$26,CONFIG!$D$5:$D$26,"Origen de recursos documentado",CONFIG!$E$5:$E$26,L193))</f>
        <v/>
      </c>
      <c r="W193" s="9" t="str">
        <f aca="false">IF(A193="","",IF(SUMIF(OPERACIONES!$C$6:$C$505,A193,OPERACIONES!$E$6:$E$505)&gt;0,IF(SUMIF(OPERACIONES!$C$6:$C$505,A193,OPERACIONES!$F$6:$F$505)/SUMIF(OPERACIONES!$C$6:$C$505,A193,OPERACIONES!$E$6:$E$505)&gt;0.5,CONFIG!$B$20,IF(SUMIF(OPERACIONES!$C$6:$C$505,A193,OPERACIONES!$F$6:$F$505)&gt;0,CONFIG!$B$21,0)),0)+IF(COUNTIFS(OPERACIONES!$C$6:$C$505,A193,OPERACIONES!$AQ$6:$AQ$505,1)&gt;0,CONFIG!$B$22,0)+IF(COUNTIFS(OPERACIONES!$C$6:$C$505,A193,OPERACIONES!$H$6:$H$505,"Sí")&gt;0,CONFIG!$B$23,0))</f>
        <v/>
      </c>
      <c r="X193" s="9" t="str">
        <f aca="false">IF(A193="","",V193+W193)</f>
        <v/>
      </c>
      <c r="Y193" s="9" t="str">
        <f aca="false">IF(A193="","",IF(X193&lt;=CONFIG!$B$13,"Bajo",IF(X193&lt;=CONFIG!$B$14,"Medio","Alto")))</f>
        <v/>
      </c>
      <c r="Z193" s="25" t="str">
        <f aca="false">IF(A193="","",IF(OR(H193="Extranjera",AND(E193="No residente",G193="Sí"),I193="Sí"),"Alto",IF(T193&lt;&gt;"",T193,Y193)))</f>
        <v/>
      </c>
      <c r="AA193" s="26" t="str">
        <f aca="false">IF(A193="","",IF(H193="Extranjera","Alto obligatorio: PEP extranjera (RCG 23 Bis 4)",IF(AND(E193="No residente",G193="Sí"),"Alto obligatorio: no residente vinculado a jurisdicción de riesgo (RCG 23 Bis 4)",IF(I193="Sí","Alto por criterio: persona en listas. Evalúa no operar y Aviso de 24 h",IF(T193&lt;&gt;"","Ajuste del REC: "&amp;U193,"Modelo: "&amp;X193&amp;" puntos")))))</f>
        <v/>
      </c>
      <c r="AB193" s="23" t="str">
        <f aca="false">IF(A193="","",IF(COUNT(N193,O193)=0,"Falta fecha",EDATE(MAX(N193,O193),IF(Z193="Alto",CONFIG!$B$18,IF(Z193="Medio",CONFIG!$B$17,CONFIG!$B$16)))))</f>
        <v/>
      </c>
      <c r="AC193" s="23" t="str">
        <f aca="false">IF(A193="","",IF(ISNUMBER(S193),EDATE(S193,12),IF(ISNUMBER(N193),EDATE(N193,12),"Falta fecha")))</f>
        <v/>
      </c>
      <c r="AD193" s="26" t="str">
        <f aca="false">IF(A193="","",MID(IF(P193&lt;&gt;"Sí"," · Expediente incompleto","")&amp;IF(OR(Q193="",Q193="Pendiente")," · Falta el Beneficiario Controlador","")&amp;IF(M193=""," · Sin perfil transaccional","")&amp;IF(AND(ISNUMBER(AB193),AB193&lt;CONFIG!$B$6)," · Evaluación de riesgo vencida","")&amp;IF(AND(ISNUMBER(AC193),AC193&lt;CONFIG!$B$6)," · Verificación anual vencida","")&amp;IF(AND(ISNUMBER(R193),ISNUMBER(S193),S193-R193&gt;92)," · Comprobante de domicilio con más de 3 meses","")&amp;IF(AND(T193&lt;&gt;"",U193="")," · Ajuste del REC sin justificación",""),4,400))</f>
        <v/>
      </c>
      <c r="AE193" s="9" t="str">
        <f aca="false">IF(A193="","",IF(AD193="","Al día","Revisar"))</f>
        <v/>
      </c>
      <c r="AF193" s="9" t="str">
        <f aca="false">IF(A193="","",COUNTIF(OPERACIONES!$C$6:$C$505,A193)&amp;" / $"&amp;FIXED(SUMIF(OPERACIONES!$C$6:$C$505,A193,OPERACIONES!$E$6:$E$505),0))</f>
        <v/>
      </c>
    </row>
    <row r="194" customFormat="false" ht="15" hidden="false" customHeight="false" outlineLevel="0" collapsed="false">
      <c r="A194" s="21"/>
      <c r="B194" s="21"/>
      <c r="C194" s="21"/>
      <c r="D194" s="21"/>
      <c r="E194" s="21"/>
      <c r="F194" s="21"/>
      <c r="G194" s="21"/>
      <c r="H194" s="21"/>
      <c r="I194" s="21"/>
      <c r="J194" s="21"/>
      <c r="K194" s="21"/>
      <c r="L194" s="21"/>
      <c r="M194" s="22"/>
      <c r="N194" s="20"/>
      <c r="O194" s="20"/>
      <c r="P194" s="21"/>
      <c r="Q194" s="21"/>
      <c r="R194" s="20"/>
      <c r="S194" s="20"/>
      <c r="T194" s="21"/>
      <c r="U194" s="21"/>
      <c r="V194" s="9" t="str">
        <f aca="false">IF(A194="","",SUMIFS(CONFIG!$F$5:$F$26,CONFIG!$D$5:$D$26,"Tipo de persona",CONFIG!$E$5:$E$26,C194)+SUMIFS(CONFIG!$F$5:$F$26,CONFIG!$D$5:$D$26,"Residencia",CONFIG!$E$5:$E$26,E194)+SUMIFS(CONFIG!$F$5:$F$26,CONFIG!$D$5:$D$26,"Nacionalidad",CONFIG!$E$5:$E$26,F194)+SUMIFS(CONFIG!$F$5:$F$26,CONFIG!$D$5:$D$26,"Jurisdicción de riesgo",CONFIG!$E$5:$E$26,G194)+SUMIFS(CONFIG!$F$5:$F$26,CONFIG!$D$5:$D$26,"PEP",CONFIG!$E$5:$E$26,H194)+SUMIFS(CONFIG!$F$5:$F$26,CONFIG!$D$5:$D$26,"En listas",CONFIG!$E$5:$E$26,I194)+SUMIFS(CONFIG!$F$5:$F$26,CONFIG!$D$5:$D$26,"Riesgo de su actividad económica",CONFIG!$E$5:$E$26,J194)+SUMIFS(CONFIG!$F$5:$F$26,CONFIG!$D$5:$D$26,"Canal",CONFIG!$E$5:$E$26,K194)+SUMIFS(CONFIG!$F$5:$F$26,CONFIG!$D$5:$D$26,"Origen de recursos documentado",CONFIG!$E$5:$E$26,L194))</f>
        <v/>
      </c>
      <c r="W194" s="9" t="str">
        <f aca="false">IF(A194="","",IF(SUMIF(OPERACIONES!$C$6:$C$505,A194,OPERACIONES!$E$6:$E$505)&gt;0,IF(SUMIF(OPERACIONES!$C$6:$C$505,A194,OPERACIONES!$F$6:$F$505)/SUMIF(OPERACIONES!$C$6:$C$505,A194,OPERACIONES!$E$6:$E$505)&gt;0.5,CONFIG!$B$20,IF(SUMIF(OPERACIONES!$C$6:$C$505,A194,OPERACIONES!$F$6:$F$505)&gt;0,CONFIG!$B$21,0)),0)+IF(COUNTIFS(OPERACIONES!$C$6:$C$505,A194,OPERACIONES!$AQ$6:$AQ$505,1)&gt;0,CONFIG!$B$22,0)+IF(COUNTIFS(OPERACIONES!$C$6:$C$505,A194,OPERACIONES!$H$6:$H$505,"Sí")&gt;0,CONFIG!$B$23,0))</f>
        <v/>
      </c>
      <c r="X194" s="9" t="str">
        <f aca="false">IF(A194="","",V194+W194)</f>
        <v/>
      </c>
      <c r="Y194" s="9" t="str">
        <f aca="false">IF(A194="","",IF(X194&lt;=CONFIG!$B$13,"Bajo",IF(X194&lt;=CONFIG!$B$14,"Medio","Alto")))</f>
        <v/>
      </c>
      <c r="Z194" s="25" t="str">
        <f aca="false">IF(A194="","",IF(OR(H194="Extranjera",AND(E194="No residente",G194="Sí"),I194="Sí"),"Alto",IF(T194&lt;&gt;"",T194,Y194)))</f>
        <v/>
      </c>
      <c r="AA194" s="26" t="str">
        <f aca="false">IF(A194="","",IF(H194="Extranjera","Alto obligatorio: PEP extranjera (RCG 23 Bis 4)",IF(AND(E194="No residente",G194="Sí"),"Alto obligatorio: no residente vinculado a jurisdicción de riesgo (RCG 23 Bis 4)",IF(I194="Sí","Alto por criterio: persona en listas. Evalúa no operar y Aviso de 24 h",IF(T194&lt;&gt;"","Ajuste del REC: "&amp;U194,"Modelo: "&amp;X194&amp;" puntos")))))</f>
        <v/>
      </c>
      <c r="AB194" s="23" t="str">
        <f aca="false">IF(A194="","",IF(COUNT(N194,O194)=0,"Falta fecha",EDATE(MAX(N194,O194),IF(Z194="Alto",CONFIG!$B$18,IF(Z194="Medio",CONFIG!$B$17,CONFIG!$B$16)))))</f>
        <v/>
      </c>
      <c r="AC194" s="23" t="str">
        <f aca="false">IF(A194="","",IF(ISNUMBER(S194),EDATE(S194,12),IF(ISNUMBER(N194),EDATE(N194,12),"Falta fecha")))</f>
        <v/>
      </c>
      <c r="AD194" s="26" t="str">
        <f aca="false">IF(A194="","",MID(IF(P194&lt;&gt;"Sí"," · Expediente incompleto","")&amp;IF(OR(Q194="",Q194="Pendiente")," · Falta el Beneficiario Controlador","")&amp;IF(M194=""," · Sin perfil transaccional","")&amp;IF(AND(ISNUMBER(AB194),AB194&lt;CONFIG!$B$6)," · Evaluación de riesgo vencida","")&amp;IF(AND(ISNUMBER(AC194),AC194&lt;CONFIG!$B$6)," · Verificación anual vencida","")&amp;IF(AND(ISNUMBER(R194),ISNUMBER(S194),S194-R194&gt;92)," · Comprobante de domicilio con más de 3 meses","")&amp;IF(AND(T194&lt;&gt;"",U194="")," · Ajuste del REC sin justificación",""),4,400))</f>
        <v/>
      </c>
      <c r="AE194" s="9" t="str">
        <f aca="false">IF(A194="","",IF(AD194="","Al día","Revisar"))</f>
        <v/>
      </c>
      <c r="AF194" s="9" t="str">
        <f aca="false">IF(A194="","",COUNTIF(OPERACIONES!$C$6:$C$505,A194)&amp;" / $"&amp;FIXED(SUMIF(OPERACIONES!$C$6:$C$505,A194,OPERACIONES!$E$6:$E$505),0))</f>
        <v/>
      </c>
    </row>
    <row r="195" customFormat="false" ht="15" hidden="false" customHeight="false" outlineLevel="0" collapsed="false">
      <c r="A195" s="21"/>
      <c r="B195" s="21"/>
      <c r="C195" s="21"/>
      <c r="D195" s="21"/>
      <c r="E195" s="21"/>
      <c r="F195" s="21"/>
      <c r="G195" s="21"/>
      <c r="H195" s="21"/>
      <c r="I195" s="21"/>
      <c r="J195" s="21"/>
      <c r="K195" s="21"/>
      <c r="L195" s="21"/>
      <c r="M195" s="22"/>
      <c r="N195" s="20"/>
      <c r="O195" s="20"/>
      <c r="P195" s="21"/>
      <c r="Q195" s="21"/>
      <c r="R195" s="20"/>
      <c r="S195" s="20"/>
      <c r="T195" s="21"/>
      <c r="U195" s="21"/>
      <c r="V195" s="9" t="str">
        <f aca="false">IF(A195="","",SUMIFS(CONFIG!$F$5:$F$26,CONFIG!$D$5:$D$26,"Tipo de persona",CONFIG!$E$5:$E$26,C195)+SUMIFS(CONFIG!$F$5:$F$26,CONFIG!$D$5:$D$26,"Residencia",CONFIG!$E$5:$E$26,E195)+SUMIFS(CONFIG!$F$5:$F$26,CONFIG!$D$5:$D$26,"Nacionalidad",CONFIG!$E$5:$E$26,F195)+SUMIFS(CONFIG!$F$5:$F$26,CONFIG!$D$5:$D$26,"Jurisdicción de riesgo",CONFIG!$E$5:$E$26,G195)+SUMIFS(CONFIG!$F$5:$F$26,CONFIG!$D$5:$D$26,"PEP",CONFIG!$E$5:$E$26,H195)+SUMIFS(CONFIG!$F$5:$F$26,CONFIG!$D$5:$D$26,"En listas",CONFIG!$E$5:$E$26,I195)+SUMIFS(CONFIG!$F$5:$F$26,CONFIG!$D$5:$D$26,"Riesgo de su actividad económica",CONFIG!$E$5:$E$26,J195)+SUMIFS(CONFIG!$F$5:$F$26,CONFIG!$D$5:$D$26,"Canal",CONFIG!$E$5:$E$26,K195)+SUMIFS(CONFIG!$F$5:$F$26,CONFIG!$D$5:$D$26,"Origen de recursos documentado",CONFIG!$E$5:$E$26,L195))</f>
        <v/>
      </c>
      <c r="W195" s="9" t="str">
        <f aca="false">IF(A195="","",IF(SUMIF(OPERACIONES!$C$6:$C$505,A195,OPERACIONES!$E$6:$E$505)&gt;0,IF(SUMIF(OPERACIONES!$C$6:$C$505,A195,OPERACIONES!$F$6:$F$505)/SUMIF(OPERACIONES!$C$6:$C$505,A195,OPERACIONES!$E$6:$E$505)&gt;0.5,CONFIG!$B$20,IF(SUMIF(OPERACIONES!$C$6:$C$505,A195,OPERACIONES!$F$6:$F$505)&gt;0,CONFIG!$B$21,0)),0)+IF(COUNTIFS(OPERACIONES!$C$6:$C$505,A195,OPERACIONES!$AQ$6:$AQ$505,1)&gt;0,CONFIG!$B$22,0)+IF(COUNTIFS(OPERACIONES!$C$6:$C$505,A195,OPERACIONES!$H$6:$H$505,"Sí")&gt;0,CONFIG!$B$23,0))</f>
        <v/>
      </c>
      <c r="X195" s="9" t="str">
        <f aca="false">IF(A195="","",V195+W195)</f>
        <v/>
      </c>
      <c r="Y195" s="9" t="str">
        <f aca="false">IF(A195="","",IF(X195&lt;=CONFIG!$B$13,"Bajo",IF(X195&lt;=CONFIG!$B$14,"Medio","Alto")))</f>
        <v/>
      </c>
      <c r="Z195" s="25" t="str">
        <f aca="false">IF(A195="","",IF(OR(H195="Extranjera",AND(E195="No residente",G195="Sí"),I195="Sí"),"Alto",IF(T195&lt;&gt;"",T195,Y195)))</f>
        <v/>
      </c>
      <c r="AA195" s="26" t="str">
        <f aca="false">IF(A195="","",IF(H195="Extranjera","Alto obligatorio: PEP extranjera (RCG 23 Bis 4)",IF(AND(E195="No residente",G195="Sí"),"Alto obligatorio: no residente vinculado a jurisdicción de riesgo (RCG 23 Bis 4)",IF(I195="Sí","Alto por criterio: persona en listas. Evalúa no operar y Aviso de 24 h",IF(T195&lt;&gt;"","Ajuste del REC: "&amp;U195,"Modelo: "&amp;X195&amp;" puntos")))))</f>
        <v/>
      </c>
      <c r="AB195" s="23" t="str">
        <f aca="false">IF(A195="","",IF(COUNT(N195,O195)=0,"Falta fecha",EDATE(MAX(N195,O195),IF(Z195="Alto",CONFIG!$B$18,IF(Z195="Medio",CONFIG!$B$17,CONFIG!$B$16)))))</f>
        <v/>
      </c>
      <c r="AC195" s="23" t="str">
        <f aca="false">IF(A195="","",IF(ISNUMBER(S195),EDATE(S195,12),IF(ISNUMBER(N195),EDATE(N195,12),"Falta fecha")))</f>
        <v/>
      </c>
      <c r="AD195" s="26" t="str">
        <f aca="false">IF(A195="","",MID(IF(P195&lt;&gt;"Sí"," · Expediente incompleto","")&amp;IF(OR(Q195="",Q195="Pendiente")," · Falta el Beneficiario Controlador","")&amp;IF(M195=""," · Sin perfil transaccional","")&amp;IF(AND(ISNUMBER(AB195),AB195&lt;CONFIG!$B$6)," · Evaluación de riesgo vencida","")&amp;IF(AND(ISNUMBER(AC195),AC195&lt;CONFIG!$B$6)," · Verificación anual vencida","")&amp;IF(AND(ISNUMBER(R195),ISNUMBER(S195),S195-R195&gt;92)," · Comprobante de domicilio con más de 3 meses","")&amp;IF(AND(T195&lt;&gt;"",U195="")," · Ajuste del REC sin justificación",""),4,400))</f>
        <v/>
      </c>
      <c r="AE195" s="9" t="str">
        <f aca="false">IF(A195="","",IF(AD195="","Al día","Revisar"))</f>
        <v/>
      </c>
      <c r="AF195" s="9" t="str">
        <f aca="false">IF(A195="","",COUNTIF(OPERACIONES!$C$6:$C$505,A195)&amp;" / $"&amp;FIXED(SUMIF(OPERACIONES!$C$6:$C$505,A195,OPERACIONES!$E$6:$E$505),0))</f>
        <v/>
      </c>
    </row>
    <row r="196" customFormat="false" ht="15" hidden="false" customHeight="false" outlineLevel="0" collapsed="false">
      <c r="A196" s="21"/>
      <c r="B196" s="21"/>
      <c r="C196" s="21"/>
      <c r="D196" s="21"/>
      <c r="E196" s="21"/>
      <c r="F196" s="21"/>
      <c r="G196" s="21"/>
      <c r="H196" s="21"/>
      <c r="I196" s="21"/>
      <c r="J196" s="21"/>
      <c r="K196" s="21"/>
      <c r="L196" s="21"/>
      <c r="M196" s="22"/>
      <c r="N196" s="20"/>
      <c r="O196" s="20"/>
      <c r="P196" s="21"/>
      <c r="Q196" s="21"/>
      <c r="R196" s="20"/>
      <c r="S196" s="20"/>
      <c r="T196" s="21"/>
      <c r="U196" s="21"/>
      <c r="V196" s="9" t="str">
        <f aca="false">IF(A196="","",SUMIFS(CONFIG!$F$5:$F$26,CONFIG!$D$5:$D$26,"Tipo de persona",CONFIG!$E$5:$E$26,C196)+SUMIFS(CONFIG!$F$5:$F$26,CONFIG!$D$5:$D$26,"Residencia",CONFIG!$E$5:$E$26,E196)+SUMIFS(CONFIG!$F$5:$F$26,CONFIG!$D$5:$D$26,"Nacionalidad",CONFIG!$E$5:$E$26,F196)+SUMIFS(CONFIG!$F$5:$F$26,CONFIG!$D$5:$D$26,"Jurisdicción de riesgo",CONFIG!$E$5:$E$26,G196)+SUMIFS(CONFIG!$F$5:$F$26,CONFIG!$D$5:$D$26,"PEP",CONFIG!$E$5:$E$26,H196)+SUMIFS(CONFIG!$F$5:$F$26,CONFIG!$D$5:$D$26,"En listas",CONFIG!$E$5:$E$26,I196)+SUMIFS(CONFIG!$F$5:$F$26,CONFIG!$D$5:$D$26,"Riesgo de su actividad económica",CONFIG!$E$5:$E$26,J196)+SUMIFS(CONFIG!$F$5:$F$26,CONFIG!$D$5:$D$26,"Canal",CONFIG!$E$5:$E$26,K196)+SUMIFS(CONFIG!$F$5:$F$26,CONFIG!$D$5:$D$26,"Origen de recursos documentado",CONFIG!$E$5:$E$26,L196))</f>
        <v/>
      </c>
      <c r="W196" s="9" t="str">
        <f aca="false">IF(A196="","",IF(SUMIF(OPERACIONES!$C$6:$C$505,A196,OPERACIONES!$E$6:$E$505)&gt;0,IF(SUMIF(OPERACIONES!$C$6:$C$505,A196,OPERACIONES!$F$6:$F$505)/SUMIF(OPERACIONES!$C$6:$C$505,A196,OPERACIONES!$E$6:$E$505)&gt;0.5,CONFIG!$B$20,IF(SUMIF(OPERACIONES!$C$6:$C$505,A196,OPERACIONES!$F$6:$F$505)&gt;0,CONFIG!$B$21,0)),0)+IF(COUNTIFS(OPERACIONES!$C$6:$C$505,A196,OPERACIONES!$AQ$6:$AQ$505,1)&gt;0,CONFIG!$B$22,0)+IF(COUNTIFS(OPERACIONES!$C$6:$C$505,A196,OPERACIONES!$H$6:$H$505,"Sí")&gt;0,CONFIG!$B$23,0))</f>
        <v/>
      </c>
      <c r="X196" s="9" t="str">
        <f aca="false">IF(A196="","",V196+W196)</f>
        <v/>
      </c>
      <c r="Y196" s="9" t="str">
        <f aca="false">IF(A196="","",IF(X196&lt;=CONFIG!$B$13,"Bajo",IF(X196&lt;=CONFIG!$B$14,"Medio","Alto")))</f>
        <v/>
      </c>
      <c r="Z196" s="25" t="str">
        <f aca="false">IF(A196="","",IF(OR(H196="Extranjera",AND(E196="No residente",G196="Sí"),I196="Sí"),"Alto",IF(T196&lt;&gt;"",T196,Y196)))</f>
        <v/>
      </c>
      <c r="AA196" s="26" t="str">
        <f aca="false">IF(A196="","",IF(H196="Extranjera","Alto obligatorio: PEP extranjera (RCG 23 Bis 4)",IF(AND(E196="No residente",G196="Sí"),"Alto obligatorio: no residente vinculado a jurisdicción de riesgo (RCG 23 Bis 4)",IF(I196="Sí","Alto por criterio: persona en listas. Evalúa no operar y Aviso de 24 h",IF(T196&lt;&gt;"","Ajuste del REC: "&amp;U196,"Modelo: "&amp;X196&amp;" puntos")))))</f>
        <v/>
      </c>
      <c r="AB196" s="23" t="str">
        <f aca="false">IF(A196="","",IF(COUNT(N196,O196)=0,"Falta fecha",EDATE(MAX(N196,O196),IF(Z196="Alto",CONFIG!$B$18,IF(Z196="Medio",CONFIG!$B$17,CONFIG!$B$16)))))</f>
        <v/>
      </c>
      <c r="AC196" s="23" t="str">
        <f aca="false">IF(A196="","",IF(ISNUMBER(S196),EDATE(S196,12),IF(ISNUMBER(N196),EDATE(N196,12),"Falta fecha")))</f>
        <v/>
      </c>
      <c r="AD196" s="26" t="str">
        <f aca="false">IF(A196="","",MID(IF(P196&lt;&gt;"Sí"," · Expediente incompleto","")&amp;IF(OR(Q196="",Q196="Pendiente")," · Falta el Beneficiario Controlador","")&amp;IF(M196=""," · Sin perfil transaccional","")&amp;IF(AND(ISNUMBER(AB196),AB196&lt;CONFIG!$B$6)," · Evaluación de riesgo vencida","")&amp;IF(AND(ISNUMBER(AC196),AC196&lt;CONFIG!$B$6)," · Verificación anual vencida","")&amp;IF(AND(ISNUMBER(R196),ISNUMBER(S196),S196-R196&gt;92)," · Comprobante de domicilio con más de 3 meses","")&amp;IF(AND(T196&lt;&gt;"",U196="")," · Ajuste del REC sin justificación",""),4,400))</f>
        <v/>
      </c>
      <c r="AE196" s="9" t="str">
        <f aca="false">IF(A196="","",IF(AD196="","Al día","Revisar"))</f>
        <v/>
      </c>
      <c r="AF196" s="9" t="str">
        <f aca="false">IF(A196="","",COUNTIF(OPERACIONES!$C$6:$C$505,A196)&amp;" / $"&amp;FIXED(SUMIF(OPERACIONES!$C$6:$C$505,A196,OPERACIONES!$E$6:$E$505),0))</f>
        <v/>
      </c>
    </row>
    <row r="197" customFormat="false" ht="15" hidden="false" customHeight="false" outlineLevel="0" collapsed="false">
      <c r="A197" s="21"/>
      <c r="B197" s="21"/>
      <c r="C197" s="21"/>
      <c r="D197" s="21"/>
      <c r="E197" s="21"/>
      <c r="F197" s="21"/>
      <c r="G197" s="21"/>
      <c r="H197" s="21"/>
      <c r="I197" s="21"/>
      <c r="J197" s="21"/>
      <c r="K197" s="21"/>
      <c r="L197" s="21"/>
      <c r="M197" s="22"/>
      <c r="N197" s="20"/>
      <c r="O197" s="20"/>
      <c r="P197" s="21"/>
      <c r="Q197" s="21"/>
      <c r="R197" s="20"/>
      <c r="S197" s="20"/>
      <c r="T197" s="21"/>
      <c r="U197" s="21"/>
      <c r="V197" s="9" t="str">
        <f aca="false">IF(A197="","",SUMIFS(CONFIG!$F$5:$F$26,CONFIG!$D$5:$D$26,"Tipo de persona",CONFIG!$E$5:$E$26,C197)+SUMIFS(CONFIG!$F$5:$F$26,CONFIG!$D$5:$D$26,"Residencia",CONFIG!$E$5:$E$26,E197)+SUMIFS(CONFIG!$F$5:$F$26,CONFIG!$D$5:$D$26,"Nacionalidad",CONFIG!$E$5:$E$26,F197)+SUMIFS(CONFIG!$F$5:$F$26,CONFIG!$D$5:$D$26,"Jurisdicción de riesgo",CONFIG!$E$5:$E$26,G197)+SUMIFS(CONFIG!$F$5:$F$26,CONFIG!$D$5:$D$26,"PEP",CONFIG!$E$5:$E$26,H197)+SUMIFS(CONFIG!$F$5:$F$26,CONFIG!$D$5:$D$26,"En listas",CONFIG!$E$5:$E$26,I197)+SUMIFS(CONFIG!$F$5:$F$26,CONFIG!$D$5:$D$26,"Riesgo de su actividad económica",CONFIG!$E$5:$E$26,J197)+SUMIFS(CONFIG!$F$5:$F$26,CONFIG!$D$5:$D$26,"Canal",CONFIG!$E$5:$E$26,K197)+SUMIFS(CONFIG!$F$5:$F$26,CONFIG!$D$5:$D$26,"Origen de recursos documentado",CONFIG!$E$5:$E$26,L197))</f>
        <v/>
      </c>
      <c r="W197" s="9" t="str">
        <f aca="false">IF(A197="","",IF(SUMIF(OPERACIONES!$C$6:$C$505,A197,OPERACIONES!$E$6:$E$505)&gt;0,IF(SUMIF(OPERACIONES!$C$6:$C$505,A197,OPERACIONES!$F$6:$F$505)/SUMIF(OPERACIONES!$C$6:$C$505,A197,OPERACIONES!$E$6:$E$505)&gt;0.5,CONFIG!$B$20,IF(SUMIF(OPERACIONES!$C$6:$C$505,A197,OPERACIONES!$F$6:$F$505)&gt;0,CONFIG!$B$21,0)),0)+IF(COUNTIFS(OPERACIONES!$C$6:$C$505,A197,OPERACIONES!$AQ$6:$AQ$505,1)&gt;0,CONFIG!$B$22,0)+IF(COUNTIFS(OPERACIONES!$C$6:$C$505,A197,OPERACIONES!$H$6:$H$505,"Sí")&gt;0,CONFIG!$B$23,0))</f>
        <v/>
      </c>
      <c r="X197" s="9" t="str">
        <f aca="false">IF(A197="","",V197+W197)</f>
        <v/>
      </c>
      <c r="Y197" s="9" t="str">
        <f aca="false">IF(A197="","",IF(X197&lt;=CONFIG!$B$13,"Bajo",IF(X197&lt;=CONFIG!$B$14,"Medio","Alto")))</f>
        <v/>
      </c>
      <c r="Z197" s="25" t="str">
        <f aca="false">IF(A197="","",IF(OR(H197="Extranjera",AND(E197="No residente",G197="Sí"),I197="Sí"),"Alto",IF(T197&lt;&gt;"",T197,Y197)))</f>
        <v/>
      </c>
      <c r="AA197" s="26" t="str">
        <f aca="false">IF(A197="","",IF(H197="Extranjera","Alto obligatorio: PEP extranjera (RCG 23 Bis 4)",IF(AND(E197="No residente",G197="Sí"),"Alto obligatorio: no residente vinculado a jurisdicción de riesgo (RCG 23 Bis 4)",IF(I197="Sí","Alto por criterio: persona en listas. Evalúa no operar y Aviso de 24 h",IF(T197&lt;&gt;"","Ajuste del REC: "&amp;U197,"Modelo: "&amp;X197&amp;" puntos")))))</f>
        <v/>
      </c>
      <c r="AB197" s="23" t="str">
        <f aca="false">IF(A197="","",IF(COUNT(N197,O197)=0,"Falta fecha",EDATE(MAX(N197,O197),IF(Z197="Alto",CONFIG!$B$18,IF(Z197="Medio",CONFIG!$B$17,CONFIG!$B$16)))))</f>
        <v/>
      </c>
      <c r="AC197" s="23" t="str">
        <f aca="false">IF(A197="","",IF(ISNUMBER(S197),EDATE(S197,12),IF(ISNUMBER(N197),EDATE(N197,12),"Falta fecha")))</f>
        <v/>
      </c>
      <c r="AD197" s="26" t="str">
        <f aca="false">IF(A197="","",MID(IF(P197&lt;&gt;"Sí"," · Expediente incompleto","")&amp;IF(OR(Q197="",Q197="Pendiente")," · Falta el Beneficiario Controlador","")&amp;IF(M197=""," · Sin perfil transaccional","")&amp;IF(AND(ISNUMBER(AB197),AB197&lt;CONFIG!$B$6)," · Evaluación de riesgo vencida","")&amp;IF(AND(ISNUMBER(AC197),AC197&lt;CONFIG!$B$6)," · Verificación anual vencida","")&amp;IF(AND(ISNUMBER(R197),ISNUMBER(S197),S197-R197&gt;92)," · Comprobante de domicilio con más de 3 meses","")&amp;IF(AND(T197&lt;&gt;"",U197="")," · Ajuste del REC sin justificación",""),4,400))</f>
        <v/>
      </c>
      <c r="AE197" s="9" t="str">
        <f aca="false">IF(A197="","",IF(AD197="","Al día","Revisar"))</f>
        <v/>
      </c>
      <c r="AF197" s="9" t="str">
        <f aca="false">IF(A197="","",COUNTIF(OPERACIONES!$C$6:$C$505,A197)&amp;" / $"&amp;FIXED(SUMIF(OPERACIONES!$C$6:$C$505,A197,OPERACIONES!$E$6:$E$505),0))</f>
        <v/>
      </c>
    </row>
    <row r="198" customFormat="false" ht="15" hidden="false" customHeight="false" outlineLevel="0" collapsed="false">
      <c r="A198" s="21"/>
      <c r="B198" s="21"/>
      <c r="C198" s="21"/>
      <c r="D198" s="21"/>
      <c r="E198" s="21"/>
      <c r="F198" s="21"/>
      <c r="G198" s="21"/>
      <c r="H198" s="21"/>
      <c r="I198" s="21"/>
      <c r="J198" s="21"/>
      <c r="K198" s="21"/>
      <c r="L198" s="21"/>
      <c r="M198" s="22"/>
      <c r="N198" s="20"/>
      <c r="O198" s="20"/>
      <c r="P198" s="21"/>
      <c r="Q198" s="21"/>
      <c r="R198" s="20"/>
      <c r="S198" s="20"/>
      <c r="T198" s="21"/>
      <c r="U198" s="21"/>
      <c r="V198" s="9" t="str">
        <f aca="false">IF(A198="","",SUMIFS(CONFIG!$F$5:$F$26,CONFIG!$D$5:$D$26,"Tipo de persona",CONFIG!$E$5:$E$26,C198)+SUMIFS(CONFIG!$F$5:$F$26,CONFIG!$D$5:$D$26,"Residencia",CONFIG!$E$5:$E$26,E198)+SUMIFS(CONFIG!$F$5:$F$26,CONFIG!$D$5:$D$26,"Nacionalidad",CONFIG!$E$5:$E$26,F198)+SUMIFS(CONFIG!$F$5:$F$26,CONFIG!$D$5:$D$26,"Jurisdicción de riesgo",CONFIG!$E$5:$E$26,G198)+SUMIFS(CONFIG!$F$5:$F$26,CONFIG!$D$5:$D$26,"PEP",CONFIG!$E$5:$E$26,H198)+SUMIFS(CONFIG!$F$5:$F$26,CONFIG!$D$5:$D$26,"En listas",CONFIG!$E$5:$E$26,I198)+SUMIFS(CONFIG!$F$5:$F$26,CONFIG!$D$5:$D$26,"Riesgo de su actividad económica",CONFIG!$E$5:$E$26,J198)+SUMIFS(CONFIG!$F$5:$F$26,CONFIG!$D$5:$D$26,"Canal",CONFIG!$E$5:$E$26,K198)+SUMIFS(CONFIG!$F$5:$F$26,CONFIG!$D$5:$D$26,"Origen de recursos documentado",CONFIG!$E$5:$E$26,L198))</f>
        <v/>
      </c>
      <c r="W198" s="9" t="str">
        <f aca="false">IF(A198="","",IF(SUMIF(OPERACIONES!$C$6:$C$505,A198,OPERACIONES!$E$6:$E$505)&gt;0,IF(SUMIF(OPERACIONES!$C$6:$C$505,A198,OPERACIONES!$F$6:$F$505)/SUMIF(OPERACIONES!$C$6:$C$505,A198,OPERACIONES!$E$6:$E$505)&gt;0.5,CONFIG!$B$20,IF(SUMIF(OPERACIONES!$C$6:$C$505,A198,OPERACIONES!$F$6:$F$505)&gt;0,CONFIG!$B$21,0)),0)+IF(COUNTIFS(OPERACIONES!$C$6:$C$505,A198,OPERACIONES!$AQ$6:$AQ$505,1)&gt;0,CONFIG!$B$22,0)+IF(COUNTIFS(OPERACIONES!$C$6:$C$505,A198,OPERACIONES!$H$6:$H$505,"Sí")&gt;0,CONFIG!$B$23,0))</f>
        <v/>
      </c>
      <c r="X198" s="9" t="str">
        <f aca="false">IF(A198="","",V198+W198)</f>
        <v/>
      </c>
      <c r="Y198" s="9" t="str">
        <f aca="false">IF(A198="","",IF(X198&lt;=CONFIG!$B$13,"Bajo",IF(X198&lt;=CONFIG!$B$14,"Medio","Alto")))</f>
        <v/>
      </c>
      <c r="Z198" s="25" t="str">
        <f aca="false">IF(A198="","",IF(OR(H198="Extranjera",AND(E198="No residente",G198="Sí"),I198="Sí"),"Alto",IF(T198&lt;&gt;"",T198,Y198)))</f>
        <v/>
      </c>
      <c r="AA198" s="26" t="str">
        <f aca="false">IF(A198="","",IF(H198="Extranjera","Alto obligatorio: PEP extranjera (RCG 23 Bis 4)",IF(AND(E198="No residente",G198="Sí"),"Alto obligatorio: no residente vinculado a jurisdicción de riesgo (RCG 23 Bis 4)",IF(I198="Sí","Alto por criterio: persona en listas. Evalúa no operar y Aviso de 24 h",IF(T198&lt;&gt;"","Ajuste del REC: "&amp;U198,"Modelo: "&amp;X198&amp;" puntos")))))</f>
        <v/>
      </c>
      <c r="AB198" s="23" t="str">
        <f aca="false">IF(A198="","",IF(COUNT(N198,O198)=0,"Falta fecha",EDATE(MAX(N198,O198),IF(Z198="Alto",CONFIG!$B$18,IF(Z198="Medio",CONFIG!$B$17,CONFIG!$B$16)))))</f>
        <v/>
      </c>
      <c r="AC198" s="23" t="str">
        <f aca="false">IF(A198="","",IF(ISNUMBER(S198),EDATE(S198,12),IF(ISNUMBER(N198),EDATE(N198,12),"Falta fecha")))</f>
        <v/>
      </c>
      <c r="AD198" s="26" t="str">
        <f aca="false">IF(A198="","",MID(IF(P198&lt;&gt;"Sí"," · Expediente incompleto","")&amp;IF(OR(Q198="",Q198="Pendiente")," · Falta el Beneficiario Controlador","")&amp;IF(M198=""," · Sin perfil transaccional","")&amp;IF(AND(ISNUMBER(AB198),AB198&lt;CONFIG!$B$6)," · Evaluación de riesgo vencida","")&amp;IF(AND(ISNUMBER(AC198),AC198&lt;CONFIG!$B$6)," · Verificación anual vencida","")&amp;IF(AND(ISNUMBER(R198),ISNUMBER(S198),S198-R198&gt;92)," · Comprobante de domicilio con más de 3 meses","")&amp;IF(AND(T198&lt;&gt;"",U198="")," · Ajuste del REC sin justificación",""),4,400))</f>
        <v/>
      </c>
      <c r="AE198" s="9" t="str">
        <f aca="false">IF(A198="","",IF(AD198="","Al día","Revisar"))</f>
        <v/>
      </c>
      <c r="AF198" s="9" t="str">
        <f aca="false">IF(A198="","",COUNTIF(OPERACIONES!$C$6:$C$505,A198)&amp;" / $"&amp;FIXED(SUMIF(OPERACIONES!$C$6:$C$505,A198,OPERACIONES!$E$6:$E$505),0))</f>
        <v/>
      </c>
    </row>
    <row r="199" customFormat="false" ht="15" hidden="false" customHeight="false" outlineLevel="0" collapsed="false">
      <c r="A199" s="21"/>
      <c r="B199" s="21"/>
      <c r="C199" s="21"/>
      <c r="D199" s="21"/>
      <c r="E199" s="21"/>
      <c r="F199" s="21"/>
      <c r="G199" s="21"/>
      <c r="H199" s="21"/>
      <c r="I199" s="21"/>
      <c r="J199" s="21"/>
      <c r="K199" s="21"/>
      <c r="L199" s="21"/>
      <c r="M199" s="22"/>
      <c r="N199" s="20"/>
      <c r="O199" s="20"/>
      <c r="P199" s="21"/>
      <c r="Q199" s="21"/>
      <c r="R199" s="20"/>
      <c r="S199" s="20"/>
      <c r="T199" s="21"/>
      <c r="U199" s="21"/>
      <c r="V199" s="9" t="str">
        <f aca="false">IF(A199="","",SUMIFS(CONFIG!$F$5:$F$26,CONFIG!$D$5:$D$26,"Tipo de persona",CONFIG!$E$5:$E$26,C199)+SUMIFS(CONFIG!$F$5:$F$26,CONFIG!$D$5:$D$26,"Residencia",CONFIG!$E$5:$E$26,E199)+SUMIFS(CONFIG!$F$5:$F$26,CONFIG!$D$5:$D$26,"Nacionalidad",CONFIG!$E$5:$E$26,F199)+SUMIFS(CONFIG!$F$5:$F$26,CONFIG!$D$5:$D$26,"Jurisdicción de riesgo",CONFIG!$E$5:$E$26,G199)+SUMIFS(CONFIG!$F$5:$F$26,CONFIG!$D$5:$D$26,"PEP",CONFIG!$E$5:$E$26,H199)+SUMIFS(CONFIG!$F$5:$F$26,CONFIG!$D$5:$D$26,"En listas",CONFIG!$E$5:$E$26,I199)+SUMIFS(CONFIG!$F$5:$F$26,CONFIG!$D$5:$D$26,"Riesgo de su actividad económica",CONFIG!$E$5:$E$26,J199)+SUMIFS(CONFIG!$F$5:$F$26,CONFIG!$D$5:$D$26,"Canal",CONFIG!$E$5:$E$26,K199)+SUMIFS(CONFIG!$F$5:$F$26,CONFIG!$D$5:$D$26,"Origen de recursos documentado",CONFIG!$E$5:$E$26,L199))</f>
        <v/>
      </c>
      <c r="W199" s="9" t="str">
        <f aca="false">IF(A199="","",IF(SUMIF(OPERACIONES!$C$6:$C$505,A199,OPERACIONES!$E$6:$E$505)&gt;0,IF(SUMIF(OPERACIONES!$C$6:$C$505,A199,OPERACIONES!$F$6:$F$505)/SUMIF(OPERACIONES!$C$6:$C$505,A199,OPERACIONES!$E$6:$E$505)&gt;0.5,CONFIG!$B$20,IF(SUMIF(OPERACIONES!$C$6:$C$505,A199,OPERACIONES!$F$6:$F$505)&gt;0,CONFIG!$B$21,0)),0)+IF(COUNTIFS(OPERACIONES!$C$6:$C$505,A199,OPERACIONES!$AQ$6:$AQ$505,1)&gt;0,CONFIG!$B$22,0)+IF(COUNTIFS(OPERACIONES!$C$6:$C$505,A199,OPERACIONES!$H$6:$H$505,"Sí")&gt;0,CONFIG!$B$23,0))</f>
        <v/>
      </c>
      <c r="X199" s="9" t="str">
        <f aca="false">IF(A199="","",V199+W199)</f>
        <v/>
      </c>
      <c r="Y199" s="9" t="str">
        <f aca="false">IF(A199="","",IF(X199&lt;=CONFIG!$B$13,"Bajo",IF(X199&lt;=CONFIG!$B$14,"Medio","Alto")))</f>
        <v/>
      </c>
      <c r="Z199" s="25" t="str">
        <f aca="false">IF(A199="","",IF(OR(H199="Extranjera",AND(E199="No residente",G199="Sí"),I199="Sí"),"Alto",IF(T199&lt;&gt;"",T199,Y199)))</f>
        <v/>
      </c>
      <c r="AA199" s="26" t="str">
        <f aca="false">IF(A199="","",IF(H199="Extranjera","Alto obligatorio: PEP extranjera (RCG 23 Bis 4)",IF(AND(E199="No residente",G199="Sí"),"Alto obligatorio: no residente vinculado a jurisdicción de riesgo (RCG 23 Bis 4)",IF(I199="Sí","Alto por criterio: persona en listas. Evalúa no operar y Aviso de 24 h",IF(T199&lt;&gt;"","Ajuste del REC: "&amp;U199,"Modelo: "&amp;X199&amp;" puntos")))))</f>
        <v/>
      </c>
      <c r="AB199" s="23" t="str">
        <f aca="false">IF(A199="","",IF(COUNT(N199,O199)=0,"Falta fecha",EDATE(MAX(N199,O199),IF(Z199="Alto",CONFIG!$B$18,IF(Z199="Medio",CONFIG!$B$17,CONFIG!$B$16)))))</f>
        <v/>
      </c>
      <c r="AC199" s="23" t="str">
        <f aca="false">IF(A199="","",IF(ISNUMBER(S199),EDATE(S199,12),IF(ISNUMBER(N199),EDATE(N199,12),"Falta fecha")))</f>
        <v/>
      </c>
      <c r="AD199" s="26" t="str">
        <f aca="false">IF(A199="","",MID(IF(P199&lt;&gt;"Sí"," · Expediente incompleto","")&amp;IF(OR(Q199="",Q199="Pendiente")," · Falta el Beneficiario Controlador","")&amp;IF(M199=""," · Sin perfil transaccional","")&amp;IF(AND(ISNUMBER(AB199),AB199&lt;CONFIG!$B$6)," · Evaluación de riesgo vencida","")&amp;IF(AND(ISNUMBER(AC199),AC199&lt;CONFIG!$B$6)," · Verificación anual vencida","")&amp;IF(AND(ISNUMBER(R199),ISNUMBER(S199),S199-R199&gt;92)," · Comprobante de domicilio con más de 3 meses","")&amp;IF(AND(T199&lt;&gt;"",U199="")," · Ajuste del REC sin justificación",""),4,400))</f>
        <v/>
      </c>
      <c r="AE199" s="9" t="str">
        <f aca="false">IF(A199="","",IF(AD199="","Al día","Revisar"))</f>
        <v/>
      </c>
      <c r="AF199" s="9" t="str">
        <f aca="false">IF(A199="","",COUNTIF(OPERACIONES!$C$6:$C$505,A199)&amp;" / $"&amp;FIXED(SUMIF(OPERACIONES!$C$6:$C$505,A199,OPERACIONES!$E$6:$E$505),0))</f>
        <v/>
      </c>
    </row>
    <row r="200" customFormat="false" ht="15" hidden="false" customHeight="false" outlineLevel="0" collapsed="false">
      <c r="A200" s="21"/>
      <c r="B200" s="21"/>
      <c r="C200" s="21"/>
      <c r="D200" s="21"/>
      <c r="E200" s="21"/>
      <c r="F200" s="21"/>
      <c r="G200" s="21"/>
      <c r="H200" s="21"/>
      <c r="I200" s="21"/>
      <c r="J200" s="21"/>
      <c r="K200" s="21"/>
      <c r="L200" s="21"/>
      <c r="M200" s="22"/>
      <c r="N200" s="20"/>
      <c r="O200" s="20"/>
      <c r="P200" s="21"/>
      <c r="Q200" s="21"/>
      <c r="R200" s="20"/>
      <c r="S200" s="20"/>
      <c r="T200" s="21"/>
      <c r="U200" s="21"/>
      <c r="V200" s="9" t="str">
        <f aca="false">IF(A200="","",SUMIFS(CONFIG!$F$5:$F$26,CONFIG!$D$5:$D$26,"Tipo de persona",CONFIG!$E$5:$E$26,C200)+SUMIFS(CONFIG!$F$5:$F$26,CONFIG!$D$5:$D$26,"Residencia",CONFIG!$E$5:$E$26,E200)+SUMIFS(CONFIG!$F$5:$F$26,CONFIG!$D$5:$D$26,"Nacionalidad",CONFIG!$E$5:$E$26,F200)+SUMIFS(CONFIG!$F$5:$F$26,CONFIG!$D$5:$D$26,"Jurisdicción de riesgo",CONFIG!$E$5:$E$26,G200)+SUMIFS(CONFIG!$F$5:$F$26,CONFIG!$D$5:$D$26,"PEP",CONFIG!$E$5:$E$26,H200)+SUMIFS(CONFIG!$F$5:$F$26,CONFIG!$D$5:$D$26,"En listas",CONFIG!$E$5:$E$26,I200)+SUMIFS(CONFIG!$F$5:$F$26,CONFIG!$D$5:$D$26,"Riesgo de su actividad económica",CONFIG!$E$5:$E$26,J200)+SUMIFS(CONFIG!$F$5:$F$26,CONFIG!$D$5:$D$26,"Canal",CONFIG!$E$5:$E$26,K200)+SUMIFS(CONFIG!$F$5:$F$26,CONFIG!$D$5:$D$26,"Origen de recursos documentado",CONFIG!$E$5:$E$26,L200))</f>
        <v/>
      </c>
      <c r="W200" s="9" t="str">
        <f aca="false">IF(A200="","",IF(SUMIF(OPERACIONES!$C$6:$C$505,A200,OPERACIONES!$E$6:$E$505)&gt;0,IF(SUMIF(OPERACIONES!$C$6:$C$505,A200,OPERACIONES!$F$6:$F$505)/SUMIF(OPERACIONES!$C$6:$C$505,A200,OPERACIONES!$E$6:$E$505)&gt;0.5,CONFIG!$B$20,IF(SUMIF(OPERACIONES!$C$6:$C$505,A200,OPERACIONES!$F$6:$F$505)&gt;0,CONFIG!$B$21,0)),0)+IF(COUNTIFS(OPERACIONES!$C$6:$C$505,A200,OPERACIONES!$AQ$6:$AQ$505,1)&gt;0,CONFIG!$B$22,0)+IF(COUNTIFS(OPERACIONES!$C$6:$C$505,A200,OPERACIONES!$H$6:$H$505,"Sí")&gt;0,CONFIG!$B$23,0))</f>
        <v/>
      </c>
      <c r="X200" s="9" t="str">
        <f aca="false">IF(A200="","",V200+W200)</f>
        <v/>
      </c>
      <c r="Y200" s="9" t="str">
        <f aca="false">IF(A200="","",IF(X200&lt;=CONFIG!$B$13,"Bajo",IF(X200&lt;=CONFIG!$B$14,"Medio","Alto")))</f>
        <v/>
      </c>
      <c r="Z200" s="25" t="str">
        <f aca="false">IF(A200="","",IF(OR(H200="Extranjera",AND(E200="No residente",G200="Sí"),I200="Sí"),"Alto",IF(T200&lt;&gt;"",T200,Y200)))</f>
        <v/>
      </c>
      <c r="AA200" s="26" t="str">
        <f aca="false">IF(A200="","",IF(H200="Extranjera","Alto obligatorio: PEP extranjera (RCG 23 Bis 4)",IF(AND(E200="No residente",G200="Sí"),"Alto obligatorio: no residente vinculado a jurisdicción de riesgo (RCG 23 Bis 4)",IF(I200="Sí","Alto por criterio: persona en listas. Evalúa no operar y Aviso de 24 h",IF(T200&lt;&gt;"","Ajuste del REC: "&amp;U200,"Modelo: "&amp;X200&amp;" puntos")))))</f>
        <v/>
      </c>
      <c r="AB200" s="23" t="str">
        <f aca="false">IF(A200="","",IF(COUNT(N200,O200)=0,"Falta fecha",EDATE(MAX(N200,O200),IF(Z200="Alto",CONFIG!$B$18,IF(Z200="Medio",CONFIG!$B$17,CONFIG!$B$16)))))</f>
        <v/>
      </c>
      <c r="AC200" s="23" t="str">
        <f aca="false">IF(A200="","",IF(ISNUMBER(S200),EDATE(S200,12),IF(ISNUMBER(N200),EDATE(N200,12),"Falta fecha")))</f>
        <v/>
      </c>
      <c r="AD200" s="26" t="str">
        <f aca="false">IF(A200="","",MID(IF(P200&lt;&gt;"Sí"," · Expediente incompleto","")&amp;IF(OR(Q200="",Q200="Pendiente")," · Falta el Beneficiario Controlador","")&amp;IF(M200=""," · Sin perfil transaccional","")&amp;IF(AND(ISNUMBER(AB200),AB200&lt;CONFIG!$B$6)," · Evaluación de riesgo vencida","")&amp;IF(AND(ISNUMBER(AC200),AC200&lt;CONFIG!$B$6)," · Verificación anual vencida","")&amp;IF(AND(ISNUMBER(R200),ISNUMBER(S200),S200-R200&gt;92)," · Comprobante de domicilio con más de 3 meses","")&amp;IF(AND(T200&lt;&gt;"",U200="")," · Ajuste del REC sin justificación",""),4,400))</f>
        <v/>
      </c>
      <c r="AE200" s="9" t="str">
        <f aca="false">IF(A200="","",IF(AD200="","Al día","Revisar"))</f>
        <v/>
      </c>
      <c r="AF200" s="9" t="str">
        <f aca="false">IF(A200="","",COUNTIF(OPERACIONES!$C$6:$C$505,A200)&amp;" / $"&amp;FIXED(SUMIF(OPERACIONES!$C$6:$C$505,A200,OPERACIONES!$E$6:$E$505),0))</f>
        <v/>
      </c>
    </row>
    <row r="201" customFormat="false" ht="15" hidden="false" customHeight="false" outlineLevel="0" collapsed="false">
      <c r="A201" s="21"/>
      <c r="B201" s="21"/>
      <c r="C201" s="21"/>
      <c r="D201" s="21"/>
      <c r="E201" s="21"/>
      <c r="F201" s="21"/>
      <c r="G201" s="21"/>
      <c r="H201" s="21"/>
      <c r="I201" s="21"/>
      <c r="J201" s="21"/>
      <c r="K201" s="21"/>
      <c r="L201" s="21"/>
      <c r="M201" s="22"/>
      <c r="N201" s="20"/>
      <c r="O201" s="20"/>
      <c r="P201" s="21"/>
      <c r="Q201" s="21"/>
      <c r="R201" s="20"/>
      <c r="S201" s="20"/>
      <c r="T201" s="21"/>
      <c r="U201" s="21"/>
      <c r="V201" s="9" t="str">
        <f aca="false">IF(A201="","",SUMIFS(CONFIG!$F$5:$F$26,CONFIG!$D$5:$D$26,"Tipo de persona",CONFIG!$E$5:$E$26,C201)+SUMIFS(CONFIG!$F$5:$F$26,CONFIG!$D$5:$D$26,"Residencia",CONFIG!$E$5:$E$26,E201)+SUMIFS(CONFIG!$F$5:$F$26,CONFIG!$D$5:$D$26,"Nacionalidad",CONFIG!$E$5:$E$26,F201)+SUMIFS(CONFIG!$F$5:$F$26,CONFIG!$D$5:$D$26,"Jurisdicción de riesgo",CONFIG!$E$5:$E$26,G201)+SUMIFS(CONFIG!$F$5:$F$26,CONFIG!$D$5:$D$26,"PEP",CONFIG!$E$5:$E$26,H201)+SUMIFS(CONFIG!$F$5:$F$26,CONFIG!$D$5:$D$26,"En listas",CONFIG!$E$5:$E$26,I201)+SUMIFS(CONFIG!$F$5:$F$26,CONFIG!$D$5:$D$26,"Riesgo de su actividad económica",CONFIG!$E$5:$E$26,J201)+SUMIFS(CONFIG!$F$5:$F$26,CONFIG!$D$5:$D$26,"Canal",CONFIG!$E$5:$E$26,K201)+SUMIFS(CONFIG!$F$5:$F$26,CONFIG!$D$5:$D$26,"Origen de recursos documentado",CONFIG!$E$5:$E$26,L201))</f>
        <v/>
      </c>
      <c r="W201" s="9" t="str">
        <f aca="false">IF(A201="","",IF(SUMIF(OPERACIONES!$C$6:$C$505,A201,OPERACIONES!$E$6:$E$505)&gt;0,IF(SUMIF(OPERACIONES!$C$6:$C$505,A201,OPERACIONES!$F$6:$F$505)/SUMIF(OPERACIONES!$C$6:$C$505,A201,OPERACIONES!$E$6:$E$505)&gt;0.5,CONFIG!$B$20,IF(SUMIF(OPERACIONES!$C$6:$C$505,A201,OPERACIONES!$F$6:$F$505)&gt;0,CONFIG!$B$21,0)),0)+IF(COUNTIFS(OPERACIONES!$C$6:$C$505,A201,OPERACIONES!$AQ$6:$AQ$505,1)&gt;0,CONFIG!$B$22,0)+IF(COUNTIFS(OPERACIONES!$C$6:$C$505,A201,OPERACIONES!$H$6:$H$505,"Sí")&gt;0,CONFIG!$B$23,0))</f>
        <v/>
      </c>
      <c r="X201" s="9" t="str">
        <f aca="false">IF(A201="","",V201+W201)</f>
        <v/>
      </c>
      <c r="Y201" s="9" t="str">
        <f aca="false">IF(A201="","",IF(X201&lt;=CONFIG!$B$13,"Bajo",IF(X201&lt;=CONFIG!$B$14,"Medio","Alto")))</f>
        <v/>
      </c>
      <c r="Z201" s="25" t="str">
        <f aca="false">IF(A201="","",IF(OR(H201="Extranjera",AND(E201="No residente",G201="Sí"),I201="Sí"),"Alto",IF(T201&lt;&gt;"",T201,Y201)))</f>
        <v/>
      </c>
      <c r="AA201" s="26" t="str">
        <f aca="false">IF(A201="","",IF(H201="Extranjera","Alto obligatorio: PEP extranjera (RCG 23 Bis 4)",IF(AND(E201="No residente",G201="Sí"),"Alto obligatorio: no residente vinculado a jurisdicción de riesgo (RCG 23 Bis 4)",IF(I201="Sí","Alto por criterio: persona en listas. Evalúa no operar y Aviso de 24 h",IF(T201&lt;&gt;"","Ajuste del REC: "&amp;U201,"Modelo: "&amp;X201&amp;" puntos")))))</f>
        <v/>
      </c>
      <c r="AB201" s="23" t="str">
        <f aca="false">IF(A201="","",IF(COUNT(N201,O201)=0,"Falta fecha",EDATE(MAX(N201,O201),IF(Z201="Alto",CONFIG!$B$18,IF(Z201="Medio",CONFIG!$B$17,CONFIG!$B$16)))))</f>
        <v/>
      </c>
      <c r="AC201" s="23" t="str">
        <f aca="false">IF(A201="","",IF(ISNUMBER(S201),EDATE(S201,12),IF(ISNUMBER(N201),EDATE(N201,12),"Falta fecha")))</f>
        <v/>
      </c>
      <c r="AD201" s="26" t="str">
        <f aca="false">IF(A201="","",MID(IF(P201&lt;&gt;"Sí"," · Expediente incompleto","")&amp;IF(OR(Q201="",Q201="Pendiente")," · Falta el Beneficiario Controlador","")&amp;IF(M201=""," · Sin perfil transaccional","")&amp;IF(AND(ISNUMBER(AB201),AB201&lt;CONFIG!$B$6)," · Evaluación de riesgo vencida","")&amp;IF(AND(ISNUMBER(AC201),AC201&lt;CONFIG!$B$6)," · Verificación anual vencida","")&amp;IF(AND(ISNUMBER(R201),ISNUMBER(S201),S201-R201&gt;92)," · Comprobante de domicilio con más de 3 meses","")&amp;IF(AND(T201&lt;&gt;"",U201="")," · Ajuste del REC sin justificación",""),4,400))</f>
        <v/>
      </c>
      <c r="AE201" s="9" t="str">
        <f aca="false">IF(A201="","",IF(AD201="","Al día","Revisar"))</f>
        <v/>
      </c>
      <c r="AF201" s="9" t="str">
        <f aca="false">IF(A201="","",COUNTIF(OPERACIONES!$C$6:$C$505,A201)&amp;" / $"&amp;FIXED(SUMIF(OPERACIONES!$C$6:$C$505,A201,OPERACIONES!$E$6:$E$505),0))</f>
        <v/>
      </c>
    </row>
    <row r="202" customFormat="false" ht="15" hidden="false" customHeight="false" outlineLevel="0" collapsed="false">
      <c r="A202" s="21"/>
      <c r="B202" s="21"/>
      <c r="C202" s="21"/>
      <c r="D202" s="21"/>
      <c r="E202" s="21"/>
      <c r="F202" s="21"/>
      <c r="G202" s="21"/>
      <c r="H202" s="21"/>
      <c r="I202" s="21"/>
      <c r="J202" s="21"/>
      <c r="K202" s="21"/>
      <c r="L202" s="21"/>
      <c r="M202" s="22"/>
      <c r="N202" s="20"/>
      <c r="O202" s="20"/>
      <c r="P202" s="21"/>
      <c r="Q202" s="21"/>
      <c r="R202" s="20"/>
      <c r="S202" s="20"/>
      <c r="T202" s="21"/>
      <c r="U202" s="21"/>
      <c r="V202" s="9" t="str">
        <f aca="false">IF(A202="","",SUMIFS(CONFIG!$F$5:$F$26,CONFIG!$D$5:$D$26,"Tipo de persona",CONFIG!$E$5:$E$26,C202)+SUMIFS(CONFIG!$F$5:$F$26,CONFIG!$D$5:$D$26,"Residencia",CONFIG!$E$5:$E$26,E202)+SUMIFS(CONFIG!$F$5:$F$26,CONFIG!$D$5:$D$26,"Nacionalidad",CONFIG!$E$5:$E$26,F202)+SUMIFS(CONFIG!$F$5:$F$26,CONFIG!$D$5:$D$26,"Jurisdicción de riesgo",CONFIG!$E$5:$E$26,G202)+SUMIFS(CONFIG!$F$5:$F$26,CONFIG!$D$5:$D$26,"PEP",CONFIG!$E$5:$E$26,H202)+SUMIFS(CONFIG!$F$5:$F$26,CONFIG!$D$5:$D$26,"En listas",CONFIG!$E$5:$E$26,I202)+SUMIFS(CONFIG!$F$5:$F$26,CONFIG!$D$5:$D$26,"Riesgo de su actividad económica",CONFIG!$E$5:$E$26,J202)+SUMIFS(CONFIG!$F$5:$F$26,CONFIG!$D$5:$D$26,"Canal",CONFIG!$E$5:$E$26,K202)+SUMIFS(CONFIG!$F$5:$F$26,CONFIG!$D$5:$D$26,"Origen de recursos documentado",CONFIG!$E$5:$E$26,L202))</f>
        <v/>
      </c>
      <c r="W202" s="9" t="str">
        <f aca="false">IF(A202="","",IF(SUMIF(OPERACIONES!$C$6:$C$505,A202,OPERACIONES!$E$6:$E$505)&gt;0,IF(SUMIF(OPERACIONES!$C$6:$C$505,A202,OPERACIONES!$F$6:$F$505)/SUMIF(OPERACIONES!$C$6:$C$505,A202,OPERACIONES!$E$6:$E$505)&gt;0.5,CONFIG!$B$20,IF(SUMIF(OPERACIONES!$C$6:$C$505,A202,OPERACIONES!$F$6:$F$505)&gt;0,CONFIG!$B$21,0)),0)+IF(COUNTIFS(OPERACIONES!$C$6:$C$505,A202,OPERACIONES!$AQ$6:$AQ$505,1)&gt;0,CONFIG!$B$22,0)+IF(COUNTIFS(OPERACIONES!$C$6:$C$505,A202,OPERACIONES!$H$6:$H$505,"Sí")&gt;0,CONFIG!$B$23,0))</f>
        <v/>
      </c>
      <c r="X202" s="9" t="str">
        <f aca="false">IF(A202="","",V202+W202)</f>
        <v/>
      </c>
      <c r="Y202" s="9" t="str">
        <f aca="false">IF(A202="","",IF(X202&lt;=CONFIG!$B$13,"Bajo",IF(X202&lt;=CONFIG!$B$14,"Medio","Alto")))</f>
        <v/>
      </c>
      <c r="Z202" s="25" t="str">
        <f aca="false">IF(A202="","",IF(OR(H202="Extranjera",AND(E202="No residente",G202="Sí"),I202="Sí"),"Alto",IF(T202&lt;&gt;"",T202,Y202)))</f>
        <v/>
      </c>
      <c r="AA202" s="26" t="str">
        <f aca="false">IF(A202="","",IF(H202="Extranjera","Alto obligatorio: PEP extranjera (RCG 23 Bis 4)",IF(AND(E202="No residente",G202="Sí"),"Alto obligatorio: no residente vinculado a jurisdicción de riesgo (RCG 23 Bis 4)",IF(I202="Sí","Alto por criterio: persona en listas. Evalúa no operar y Aviso de 24 h",IF(T202&lt;&gt;"","Ajuste del REC: "&amp;U202,"Modelo: "&amp;X202&amp;" puntos")))))</f>
        <v/>
      </c>
      <c r="AB202" s="23" t="str">
        <f aca="false">IF(A202="","",IF(COUNT(N202,O202)=0,"Falta fecha",EDATE(MAX(N202,O202),IF(Z202="Alto",CONFIG!$B$18,IF(Z202="Medio",CONFIG!$B$17,CONFIG!$B$16)))))</f>
        <v/>
      </c>
      <c r="AC202" s="23" t="str">
        <f aca="false">IF(A202="","",IF(ISNUMBER(S202),EDATE(S202,12),IF(ISNUMBER(N202),EDATE(N202,12),"Falta fecha")))</f>
        <v/>
      </c>
      <c r="AD202" s="26" t="str">
        <f aca="false">IF(A202="","",MID(IF(P202&lt;&gt;"Sí"," · Expediente incompleto","")&amp;IF(OR(Q202="",Q202="Pendiente")," · Falta el Beneficiario Controlador","")&amp;IF(M202=""," · Sin perfil transaccional","")&amp;IF(AND(ISNUMBER(AB202),AB202&lt;CONFIG!$B$6)," · Evaluación de riesgo vencida","")&amp;IF(AND(ISNUMBER(AC202),AC202&lt;CONFIG!$B$6)," · Verificación anual vencida","")&amp;IF(AND(ISNUMBER(R202),ISNUMBER(S202),S202-R202&gt;92)," · Comprobante de domicilio con más de 3 meses","")&amp;IF(AND(T202&lt;&gt;"",U202="")," · Ajuste del REC sin justificación",""),4,400))</f>
        <v/>
      </c>
      <c r="AE202" s="9" t="str">
        <f aca="false">IF(A202="","",IF(AD202="","Al día","Revisar"))</f>
        <v/>
      </c>
      <c r="AF202" s="9" t="str">
        <f aca="false">IF(A202="","",COUNTIF(OPERACIONES!$C$6:$C$505,A202)&amp;" / $"&amp;FIXED(SUMIF(OPERACIONES!$C$6:$C$505,A202,OPERACIONES!$E$6:$E$505),0))</f>
        <v/>
      </c>
    </row>
    <row r="203" customFormat="false" ht="15" hidden="false" customHeight="false" outlineLevel="0" collapsed="false">
      <c r="A203" s="21"/>
      <c r="B203" s="21"/>
      <c r="C203" s="21"/>
      <c r="D203" s="21"/>
      <c r="E203" s="21"/>
      <c r="F203" s="21"/>
      <c r="G203" s="21"/>
      <c r="H203" s="21"/>
      <c r="I203" s="21"/>
      <c r="J203" s="21"/>
      <c r="K203" s="21"/>
      <c r="L203" s="21"/>
      <c r="M203" s="22"/>
      <c r="N203" s="20"/>
      <c r="O203" s="20"/>
      <c r="P203" s="21"/>
      <c r="Q203" s="21"/>
      <c r="R203" s="20"/>
      <c r="S203" s="20"/>
      <c r="T203" s="21"/>
      <c r="U203" s="21"/>
      <c r="V203" s="9" t="str">
        <f aca="false">IF(A203="","",SUMIFS(CONFIG!$F$5:$F$26,CONFIG!$D$5:$D$26,"Tipo de persona",CONFIG!$E$5:$E$26,C203)+SUMIFS(CONFIG!$F$5:$F$26,CONFIG!$D$5:$D$26,"Residencia",CONFIG!$E$5:$E$26,E203)+SUMIFS(CONFIG!$F$5:$F$26,CONFIG!$D$5:$D$26,"Nacionalidad",CONFIG!$E$5:$E$26,F203)+SUMIFS(CONFIG!$F$5:$F$26,CONFIG!$D$5:$D$26,"Jurisdicción de riesgo",CONFIG!$E$5:$E$26,G203)+SUMIFS(CONFIG!$F$5:$F$26,CONFIG!$D$5:$D$26,"PEP",CONFIG!$E$5:$E$26,H203)+SUMIFS(CONFIG!$F$5:$F$26,CONFIG!$D$5:$D$26,"En listas",CONFIG!$E$5:$E$26,I203)+SUMIFS(CONFIG!$F$5:$F$26,CONFIG!$D$5:$D$26,"Riesgo de su actividad económica",CONFIG!$E$5:$E$26,J203)+SUMIFS(CONFIG!$F$5:$F$26,CONFIG!$D$5:$D$26,"Canal",CONFIG!$E$5:$E$26,K203)+SUMIFS(CONFIG!$F$5:$F$26,CONFIG!$D$5:$D$26,"Origen de recursos documentado",CONFIG!$E$5:$E$26,L203))</f>
        <v/>
      </c>
      <c r="W203" s="9" t="str">
        <f aca="false">IF(A203="","",IF(SUMIF(OPERACIONES!$C$6:$C$505,A203,OPERACIONES!$E$6:$E$505)&gt;0,IF(SUMIF(OPERACIONES!$C$6:$C$505,A203,OPERACIONES!$F$6:$F$505)/SUMIF(OPERACIONES!$C$6:$C$505,A203,OPERACIONES!$E$6:$E$505)&gt;0.5,CONFIG!$B$20,IF(SUMIF(OPERACIONES!$C$6:$C$505,A203,OPERACIONES!$F$6:$F$505)&gt;0,CONFIG!$B$21,0)),0)+IF(COUNTIFS(OPERACIONES!$C$6:$C$505,A203,OPERACIONES!$AQ$6:$AQ$505,1)&gt;0,CONFIG!$B$22,0)+IF(COUNTIFS(OPERACIONES!$C$6:$C$505,A203,OPERACIONES!$H$6:$H$505,"Sí")&gt;0,CONFIG!$B$23,0))</f>
        <v/>
      </c>
      <c r="X203" s="9" t="str">
        <f aca="false">IF(A203="","",V203+W203)</f>
        <v/>
      </c>
      <c r="Y203" s="9" t="str">
        <f aca="false">IF(A203="","",IF(X203&lt;=CONFIG!$B$13,"Bajo",IF(X203&lt;=CONFIG!$B$14,"Medio","Alto")))</f>
        <v/>
      </c>
      <c r="Z203" s="25" t="str">
        <f aca="false">IF(A203="","",IF(OR(H203="Extranjera",AND(E203="No residente",G203="Sí"),I203="Sí"),"Alto",IF(T203&lt;&gt;"",T203,Y203)))</f>
        <v/>
      </c>
      <c r="AA203" s="26" t="str">
        <f aca="false">IF(A203="","",IF(H203="Extranjera","Alto obligatorio: PEP extranjera (RCG 23 Bis 4)",IF(AND(E203="No residente",G203="Sí"),"Alto obligatorio: no residente vinculado a jurisdicción de riesgo (RCG 23 Bis 4)",IF(I203="Sí","Alto por criterio: persona en listas. Evalúa no operar y Aviso de 24 h",IF(T203&lt;&gt;"","Ajuste del REC: "&amp;U203,"Modelo: "&amp;X203&amp;" puntos")))))</f>
        <v/>
      </c>
      <c r="AB203" s="23" t="str">
        <f aca="false">IF(A203="","",IF(COUNT(N203,O203)=0,"Falta fecha",EDATE(MAX(N203,O203),IF(Z203="Alto",CONFIG!$B$18,IF(Z203="Medio",CONFIG!$B$17,CONFIG!$B$16)))))</f>
        <v/>
      </c>
      <c r="AC203" s="23" t="str">
        <f aca="false">IF(A203="","",IF(ISNUMBER(S203),EDATE(S203,12),IF(ISNUMBER(N203),EDATE(N203,12),"Falta fecha")))</f>
        <v/>
      </c>
      <c r="AD203" s="26" t="str">
        <f aca="false">IF(A203="","",MID(IF(P203&lt;&gt;"Sí"," · Expediente incompleto","")&amp;IF(OR(Q203="",Q203="Pendiente")," · Falta el Beneficiario Controlador","")&amp;IF(M203=""," · Sin perfil transaccional","")&amp;IF(AND(ISNUMBER(AB203),AB203&lt;CONFIG!$B$6)," · Evaluación de riesgo vencida","")&amp;IF(AND(ISNUMBER(AC203),AC203&lt;CONFIG!$B$6)," · Verificación anual vencida","")&amp;IF(AND(ISNUMBER(R203),ISNUMBER(S203),S203-R203&gt;92)," · Comprobante de domicilio con más de 3 meses","")&amp;IF(AND(T203&lt;&gt;"",U203="")," · Ajuste del REC sin justificación",""),4,400))</f>
        <v/>
      </c>
      <c r="AE203" s="9" t="str">
        <f aca="false">IF(A203="","",IF(AD203="","Al día","Revisar"))</f>
        <v/>
      </c>
      <c r="AF203" s="9" t="str">
        <f aca="false">IF(A203="","",COUNTIF(OPERACIONES!$C$6:$C$505,A203)&amp;" / $"&amp;FIXED(SUMIF(OPERACIONES!$C$6:$C$505,A203,OPERACIONES!$E$6:$E$505),0))</f>
        <v/>
      </c>
    </row>
    <row r="204" customFormat="false" ht="15" hidden="false" customHeight="false" outlineLevel="0" collapsed="false">
      <c r="A204" s="21"/>
      <c r="B204" s="21"/>
      <c r="C204" s="21"/>
      <c r="D204" s="21"/>
      <c r="E204" s="21"/>
      <c r="F204" s="21"/>
      <c r="G204" s="21"/>
      <c r="H204" s="21"/>
      <c r="I204" s="21"/>
      <c r="J204" s="21"/>
      <c r="K204" s="21"/>
      <c r="L204" s="21"/>
      <c r="M204" s="22"/>
      <c r="N204" s="20"/>
      <c r="O204" s="20"/>
      <c r="P204" s="21"/>
      <c r="Q204" s="21"/>
      <c r="R204" s="20"/>
      <c r="S204" s="20"/>
      <c r="T204" s="21"/>
      <c r="U204" s="21"/>
      <c r="V204" s="9" t="str">
        <f aca="false">IF(A204="","",SUMIFS(CONFIG!$F$5:$F$26,CONFIG!$D$5:$D$26,"Tipo de persona",CONFIG!$E$5:$E$26,C204)+SUMIFS(CONFIG!$F$5:$F$26,CONFIG!$D$5:$D$26,"Residencia",CONFIG!$E$5:$E$26,E204)+SUMIFS(CONFIG!$F$5:$F$26,CONFIG!$D$5:$D$26,"Nacionalidad",CONFIG!$E$5:$E$26,F204)+SUMIFS(CONFIG!$F$5:$F$26,CONFIG!$D$5:$D$26,"Jurisdicción de riesgo",CONFIG!$E$5:$E$26,G204)+SUMIFS(CONFIG!$F$5:$F$26,CONFIG!$D$5:$D$26,"PEP",CONFIG!$E$5:$E$26,H204)+SUMIFS(CONFIG!$F$5:$F$26,CONFIG!$D$5:$D$26,"En listas",CONFIG!$E$5:$E$26,I204)+SUMIFS(CONFIG!$F$5:$F$26,CONFIG!$D$5:$D$26,"Riesgo de su actividad económica",CONFIG!$E$5:$E$26,J204)+SUMIFS(CONFIG!$F$5:$F$26,CONFIG!$D$5:$D$26,"Canal",CONFIG!$E$5:$E$26,K204)+SUMIFS(CONFIG!$F$5:$F$26,CONFIG!$D$5:$D$26,"Origen de recursos documentado",CONFIG!$E$5:$E$26,L204))</f>
        <v/>
      </c>
      <c r="W204" s="9" t="str">
        <f aca="false">IF(A204="","",IF(SUMIF(OPERACIONES!$C$6:$C$505,A204,OPERACIONES!$E$6:$E$505)&gt;0,IF(SUMIF(OPERACIONES!$C$6:$C$505,A204,OPERACIONES!$F$6:$F$505)/SUMIF(OPERACIONES!$C$6:$C$505,A204,OPERACIONES!$E$6:$E$505)&gt;0.5,CONFIG!$B$20,IF(SUMIF(OPERACIONES!$C$6:$C$505,A204,OPERACIONES!$F$6:$F$505)&gt;0,CONFIG!$B$21,0)),0)+IF(COUNTIFS(OPERACIONES!$C$6:$C$505,A204,OPERACIONES!$AQ$6:$AQ$505,1)&gt;0,CONFIG!$B$22,0)+IF(COUNTIFS(OPERACIONES!$C$6:$C$505,A204,OPERACIONES!$H$6:$H$505,"Sí")&gt;0,CONFIG!$B$23,0))</f>
        <v/>
      </c>
      <c r="X204" s="9" t="str">
        <f aca="false">IF(A204="","",V204+W204)</f>
        <v/>
      </c>
      <c r="Y204" s="9" t="str">
        <f aca="false">IF(A204="","",IF(X204&lt;=CONFIG!$B$13,"Bajo",IF(X204&lt;=CONFIG!$B$14,"Medio","Alto")))</f>
        <v/>
      </c>
      <c r="Z204" s="25" t="str">
        <f aca="false">IF(A204="","",IF(OR(H204="Extranjera",AND(E204="No residente",G204="Sí"),I204="Sí"),"Alto",IF(T204&lt;&gt;"",T204,Y204)))</f>
        <v/>
      </c>
      <c r="AA204" s="26" t="str">
        <f aca="false">IF(A204="","",IF(H204="Extranjera","Alto obligatorio: PEP extranjera (RCG 23 Bis 4)",IF(AND(E204="No residente",G204="Sí"),"Alto obligatorio: no residente vinculado a jurisdicción de riesgo (RCG 23 Bis 4)",IF(I204="Sí","Alto por criterio: persona en listas. Evalúa no operar y Aviso de 24 h",IF(T204&lt;&gt;"","Ajuste del REC: "&amp;U204,"Modelo: "&amp;X204&amp;" puntos")))))</f>
        <v/>
      </c>
      <c r="AB204" s="23" t="str">
        <f aca="false">IF(A204="","",IF(COUNT(N204,O204)=0,"Falta fecha",EDATE(MAX(N204,O204),IF(Z204="Alto",CONFIG!$B$18,IF(Z204="Medio",CONFIG!$B$17,CONFIG!$B$16)))))</f>
        <v/>
      </c>
      <c r="AC204" s="23" t="str">
        <f aca="false">IF(A204="","",IF(ISNUMBER(S204),EDATE(S204,12),IF(ISNUMBER(N204),EDATE(N204,12),"Falta fecha")))</f>
        <v/>
      </c>
      <c r="AD204" s="26" t="str">
        <f aca="false">IF(A204="","",MID(IF(P204&lt;&gt;"Sí"," · Expediente incompleto","")&amp;IF(OR(Q204="",Q204="Pendiente")," · Falta el Beneficiario Controlador","")&amp;IF(M204=""," · Sin perfil transaccional","")&amp;IF(AND(ISNUMBER(AB204),AB204&lt;CONFIG!$B$6)," · Evaluación de riesgo vencida","")&amp;IF(AND(ISNUMBER(AC204),AC204&lt;CONFIG!$B$6)," · Verificación anual vencida","")&amp;IF(AND(ISNUMBER(R204),ISNUMBER(S204),S204-R204&gt;92)," · Comprobante de domicilio con más de 3 meses","")&amp;IF(AND(T204&lt;&gt;"",U204="")," · Ajuste del REC sin justificación",""),4,400))</f>
        <v/>
      </c>
      <c r="AE204" s="9" t="str">
        <f aca="false">IF(A204="","",IF(AD204="","Al día","Revisar"))</f>
        <v/>
      </c>
      <c r="AF204" s="9" t="str">
        <f aca="false">IF(A204="","",COUNTIF(OPERACIONES!$C$6:$C$505,A204)&amp;" / $"&amp;FIXED(SUMIF(OPERACIONES!$C$6:$C$505,A204,OPERACIONES!$E$6:$E$505),0))</f>
        <v/>
      </c>
    </row>
    <row r="205" customFormat="false" ht="15" hidden="false" customHeight="false" outlineLevel="0" collapsed="false">
      <c r="A205" s="21"/>
      <c r="B205" s="21"/>
      <c r="C205" s="21"/>
      <c r="D205" s="21"/>
      <c r="E205" s="21"/>
      <c r="F205" s="21"/>
      <c r="G205" s="21"/>
      <c r="H205" s="21"/>
      <c r="I205" s="21"/>
      <c r="J205" s="21"/>
      <c r="K205" s="21"/>
      <c r="L205" s="21"/>
      <c r="M205" s="22"/>
      <c r="N205" s="20"/>
      <c r="O205" s="20"/>
      <c r="P205" s="21"/>
      <c r="Q205" s="21"/>
      <c r="R205" s="20"/>
      <c r="S205" s="20"/>
      <c r="T205" s="21"/>
      <c r="U205" s="21"/>
      <c r="V205" s="9" t="str">
        <f aca="false">IF(A205="","",SUMIFS(CONFIG!$F$5:$F$26,CONFIG!$D$5:$D$26,"Tipo de persona",CONFIG!$E$5:$E$26,C205)+SUMIFS(CONFIG!$F$5:$F$26,CONFIG!$D$5:$D$26,"Residencia",CONFIG!$E$5:$E$26,E205)+SUMIFS(CONFIG!$F$5:$F$26,CONFIG!$D$5:$D$26,"Nacionalidad",CONFIG!$E$5:$E$26,F205)+SUMIFS(CONFIG!$F$5:$F$26,CONFIG!$D$5:$D$26,"Jurisdicción de riesgo",CONFIG!$E$5:$E$26,G205)+SUMIFS(CONFIG!$F$5:$F$26,CONFIG!$D$5:$D$26,"PEP",CONFIG!$E$5:$E$26,H205)+SUMIFS(CONFIG!$F$5:$F$26,CONFIG!$D$5:$D$26,"En listas",CONFIG!$E$5:$E$26,I205)+SUMIFS(CONFIG!$F$5:$F$26,CONFIG!$D$5:$D$26,"Riesgo de su actividad económica",CONFIG!$E$5:$E$26,J205)+SUMIFS(CONFIG!$F$5:$F$26,CONFIG!$D$5:$D$26,"Canal",CONFIG!$E$5:$E$26,K205)+SUMIFS(CONFIG!$F$5:$F$26,CONFIG!$D$5:$D$26,"Origen de recursos documentado",CONFIG!$E$5:$E$26,L205))</f>
        <v/>
      </c>
      <c r="W205" s="9" t="str">
        <f aca="false">IF(A205="","",IF(SUMIF(OPERACIONES!$C$6:$C$505,A205,OPERACIONES!$E$6:$E$505)&gt;0,IF(SUMIF(OPERACIONES!$C$6:$C$505,A205,OPERACIONES!$F$6:$F$505)/SUMIF(OPERACIONES!$C$6:$C$505,A205,OPERACIONES!$E$6:$E$505)&gt;0.5,CONFIG!$B$20,IF(SUMIF(OPERACIONES!$C$6:$C$505,A205,OPERACIONES!$F$6:$F$505)&gt;0,CONFIG!$B$21,0)),0)+IF(COUNTIFS(OPERACIONES!$C$6:$C$505,A205,OPERACIONES!$AQ$6:$AQ$505,1)&gt;0,CONFIG!$B$22,0)+IF(COUNTIFS(OPERACIONES!$C$6:$C$505,A205,OPERACIONES!$H$6:$H$505,"Sí")&gt;0,CONFIG!$B$23,0))</f>
        <v/>
      </c>
      <c r="X205" s="9" t="str">
        <f aca="false">IF(A205="","",V205+W205)</f>
        <v/>
      </c>
      <c r="Y205" s="9" t="str">
        <f aca="false">IF(A205="","",IF(X205&lt;=CONFIG!$B$13,"Bajo",IF(X205&lt;=CONFIG!$B$14,"Medio","Alto")))</f>
        <v/>
      </c>
      <c r="Z205" s="25" t="str">
        <f aca="false">IF(A205="","",IF(OR(H205="Extranjera",AND(E205="No residente",G205="Sí"),I205="Sí"),"Alto",IF(T205&lt;&gt;"",T205,Y205)))</f>
        <v/>
      </c>
      <c r="AA205" s="26" t="str">
        <f aca="false">IF(A205="","",IF(H205="Extranjera","Alto obligatorio: PEP extranjera (RCG 23 Bis 4)",IF(AND(E205="No residente",G205="Sí"),"Alto obligatorio: no residente vinculado a jurisdicción de riesgo (RCG 23 Bis 4)",IF(I205="Sí","Alto por criterio: persona en listas. Evalúa no operar y Aviso de 24 h",IF(T205&lt;&gt;"","Ajuste del REC: "&amp;U205,"Modelo: "&amp;X205&amp;" puntos")))))</f>
        <v/>
      </c>
      <c r="AB205" s="23" t="str">
        <f aca="false">IF(A205="","",IF(COUNT(N205,O205)=0,"Falta fecha",EDATE(MAX(N205,O205),IF(Z205="Alto",CONFIG!$B$18,IF(Z205="Medio",CONFIG!$B$17,CONFIG!$B$16)))))</f>
        <v/>
      </c>
      <c r="AC205" s="23" t="str">
        <f aca="false">IF(A205="","",IF(ISNUMBER(S205),EDATE(S205,12),IF(ISNUMBER(N205),EDATE(N205,12),"Falta fecha")))</f>
        <v/>
      </c>
      <c r="AD205" s="26" t="str">
        <f aca="false">IF(A205="","",MID(IF(P205&lt;&gt;"Sí"," · Expediente incompleto","")&amp;IF(OR(Q205="",Q205="Pendiente")," · Falta el Beneficiario Controlador","")&amp;IF(M205=""," · Sin perfil transaccional","")&amp;IF(AND(ISNUMBER(AB205),AB205&lt;CONFIG!$B$6)," · Evaluación de riesgo vencida","")&amp;IF(AND(ISNUMBER(AC205),AC205&lt;CONFIG!$B$6)," · Verificación anual vencida","")&amp;IF(AND(ISNUMBER(R205),ISNUMBER(S205),S205-R205&gt;92)," · Comprobante de domicilio con más de 3 meses","")&amp;IF(AND(T205&lt;&gt;"",U205="")," · Ajuste del REC sin justificación",""),4,400))</f>
        <v/>
      </c>
      <c r="AE205" s="9" t="str">
        <f aca="false">IF(A205="","",IF(AD205="","Al día","Revisar"))</f>
        <v/>
      </c>
      <c r="AF205" s="9" t="str">
        <f aca="false">IF(A205="","",COUNTIF(OPERACIONES!$C$6:$C$505,A205)&amp;" / $"&amp;FIXED(SUMIF(OPERACIONES!$C$6:$C$505,A205,OPERACIONES!$E$6:$E$505),0))</f>
        <v/>
      </c>
    </row>
    <row r="206" customFormat="false" ht="15" hidden="false" customHeight="false" outlineLevel="0" collapsed="false">
      <c r="A206" s="21"/>
      <c r="B206" s="21"/>
      <c r="C206" s="21"/>
      <c r="D206" s="21"/>
      <c r="E206" s="21"/>
      <c r="F206" s="21"/>
      <c r="G206" s="21"/>
      <c r="H206" s="21"/>
      <c r="I206" s="21"/>
      <c r="J206" s="21"/>
      <c r="K206" s="21"/>
      <c r="L206" s="21"/>
      <c r="M206" s="22"/>
      <c r="N206" s="20"/>
      <c r="O206" s="20"/>
      <c r="P206" s="21"/>
      <c r="Q206" s="21"/>
      <c r="R206" s="20"/>
      <c r="S206" s="20"/>
      <c r="T206" s="21"/>
      <c r="U206" s="21"/>
      <c r="V206" s="9" t="str">
        <f aca="false">IF(A206="","",SUMIFS(CONFIG!$F$5:$F$26,CONFIG!$D$5:$D$26,"Tipo de persona",CONFIG!$E$5:$E$26,C206)+SUMIFS(CONFIG!$F$5:$F$26,CONFIG!$D$5:$D$26,"Residencia",CONFIG!$E$5:$E$26,E206)+SUMIFS(CONFIG!$F$5:$F$26,CONFIG!$D$5:$D$26,"Nacionalidad",CONFIG!$E$5:$E$26,F206)+SUMIFS(CONFIG!$F$5:$F$26,CONFIG!$D$5:$D$26,"Jurisdicción de riesgo",CONFIG!$E$5:$E$26,G206)+SUMIFS(CONFIG!$F$5:$F$26,CONFIG!$D$5:$D$26,"PEP",CONFIG!$E$5:$E$26,H206)+SUMIFS(CONFIG!$F$5:$F$26,CONFIG!$D$5:$D$26,"En listas",CONFIG!$E$5:$E$26,I206)+SUMIFS(CONFIG!$F$5:$F$26,CONFIG!$D$5:$D$26,"Riesgo de su actividad económica",CONFIG!$E$5:$E$26,J206)+SUMIFS(CONFIG!$F$5:$F$26,CONFIG!$D$5:$D$26,"Canal",CONFIG!$E$5:$E$26,K206)+SUMIFS(CONFIG!$F$5:$F$26,CONFIG!$D$5:$D$26,"Origen de recursos documentado",CONFIG!$E$5:$E$26,L206))</f>
        <v/>
      </c>
      <c r="W206" s="9" t="str">
        <f aca="false">IF(A206="","",IF(SUMIF(OPERACIONES!$C$6:$C$505,A206,OPERACIONES!$E$6:$E$505)&gt;0,IF(SUMIF(OPERACIONES!$C$6:$C$505,A206,OPERACIONES!$F$6:$F$505)/SUMIF(OPERACIONES!$C$6:$C$505,A206,OPERACIONES!$E$6:$E$505)&gt;0.5,CONFIG!$B$20,IF(SUMIF(OPERACIONES!$C$6:$C$505,A206,OPERACIONES!$F$6:$F$505)&gt;0,CONFIG!$B$21,0)),0)+IF(COUNTIFS(OPERACIONES!$C$6:$C$505,A206,OPERACIONES!$AQ$6:$AQ$505,1)&gt;0,CONFIG!$B$22,0)+IF(COUNTIFS(OPERACIONES!$C$6:$C$505,A206,OPERACIONES!$H$6:$H$505,"Sí")&gt;0,CONFIG!$B$23,0))</f>
        <v/>
      </c>
      <c r="X206" s="9" t="str">
        <f aca="false">IF(A206="","",V206+W206)</f>
        <v/>
      </c>
      <c r="Y206" s="9" t="str">
        <f aca="false">IF(A206="","",IF(X206&lt;=CONFIG!$B$13,"Bajo",IF(X206&lt;=CONFIG!$B$14,"Medio","Alto")))</f>
        <v/>
      </c>
      <c r="Z206" s="25" t="str">
        <f aca="false">IF(A206="","",IF(OR(H206="Extranjera",AND(E206="No residente",G206="Sí"),I206="Sí"),"Alto",IF(T206&lt;&gt;"",T206,Y206)))</f>
        <v/>
      </c>
      <c r="AA206" s="26" t="str">
        <f aca="false">IF(A206="","",IF(H206="Extranjera","Alto obligatorio: PEP extranjera (RCG 23 Bis 4)",IF(AND(E206="No residente",G206="Sí"),"Alto obligatorio: no residente vinculado a jurisdicción de riesgo (RCG 23 Bis 4)",IF(I206="Sí","Alto por criterio: persona en listas. Evalúa no operar y Aviso de 24 h",IF(T206&lt;&gt;"","Ajuste del REC: "&amp;U206,"Modelo: "&amp;X206&amp;" puntos")))))</f>
        <v/>
      </c>
      <c r="AB206" s="23" t="str">
        <f aca="false">IF(A206="","",IF(COUNT(N206,O206)=0,"Falta fecha",EDATE(MAX(N206,O206),IF(Z206="Alto",CONFIG!$B$18,IF(Z206="Medio",CONFIG!$B$17,CONFIG!$B$16)))))</f>
        <v/>
      </c>
      <c r="AC206" s="23" t="str">
        <f aca="false">IF(A206="","",IF(ISNUMBER(S206),EDATE(S206,12),IF(ISNUMBER(N206),EDATE(N206,12),"Falta fecha")))</f>
        <v/>
      </c>
      <c r="AD206" s="26" t="str">
        <f aca="false">IF(A206="","",MID(IF(P206&lt;&gt;"Sí"," · Expediente incompleto","")&amp;IF(OR(Q206="",Q206="Pendiente")," · Falta el Beneficiario Controlador","")&amp;IF(M206=""," · Sin perfil transaccional","")&amp;IF(AND(ISNUMBER(AB206),AB206&lt;CONFIG!$B$6)," · Evaluación de riesgo vencida","")&amp;IF(AND(ISNUMBER(AC206),AC206&lt;CONFIG!$B$6)," · Verificación anual vencida","")&amp;IF(AND(ISNUMBER(R206),ISNUMBER(S206),S206-R206&gt;92)," · Comprobante de domicilio con más de 3 meses","")&amp;IF(AND(T206&lt;&gt;"",U206="")," · Ajuste del REC sin justificación",""),4,400))</f>
        <v/>
      </c>
      <c r="AE206" s="9" t="str">
        <f aca="false">IF(A206="","",IF(AD206="","Al día","Revisar"))</f>
        <v/>
      </c>
      <c r="AF206" s="9" t="str">
        <f aca="false">IF(A206="","",COUNTIF(OPERACIONES!$C$6:$C$505,A206)&amp;" / $"&amp;FIXED(SUMIF(OPERACIONES!$C$6:$C$505,A206,OPERACIONES!$E$6:$E$505),0))</f>
        <v/>
      </c>
    </row>
    <row r="207" customFormat="false" ht="15" hidden="false" customHeight="false" outlineLevel="0" collapsed="false">
      <c r="A207" s="21"/>
      <c r="B207" s="21"/>
      <c r="C207" s="21"/>
      <c r="D207" s="21"/>
      <c r="E207" s="21"/>
      <c r="F207" s="21"/>
      <c r="G207" s="21"/>
      <c r="H207" s="21"/>
      <c r="I207" s="21"/>
      <c r="J207" s="21"/>
      <c r="K207" s="21"/>
      <c r="L207" s="21"/>
      <c r="M207" s="22"/>
      <c r="N207" s="20"/>
      <c r="O207" s="20"/>
      <c r="P207" s="21"/>
      <c r="Q207" s="21"/>
      <c r="R207" s="20"/>
      <c r="S207" s="20"/>
      <c r="T207" s="21"/>
      <c r="U207" s="21"/>
      <c r="V207" s="9" t="str">
        <f aca="false">IF(A207="","",SUMIFS(CONFIG!$F$5:$F$26,CONFIG!$D$5:$D$26,"Tipo de persona",CONFIG!$E$5:$E$26,C207)+SUMIFS(CONFIG!$F$5:$F$26,CONFIG!$D$5:$D$26,"Residencia",CONFIG!$E$5:$E$26,E207)+SUMIFS(CONFIG!$F$5:$F$26,CONFIG!$D$5:$D$26,"Nacionalidad",CONFIG!$E$5:$E$26,F207)+SUMIFS(CONFIG!$F$5:$F$26,CONFIG!$D$5:$D$26,"Jurisdicción de riesgo",CONFIG!$E$5:$E$26,G207)+SUMIFS(CONFIG!$F$5:$F$26,CONFIG!$D$5:$D$26,"PEP",CONFIG!$E$5:$E$26,H207)+SUMIFS(CONFIG!$F$5:$F$26,CONFIG!$D$5:$D$26,"En listas",CONFIG!$E$5:$E$26,I207)+SUMIFS(CONFIG!$F$5:$F$26,CONFIG!$D$5:$D$26,"Riesgo de su actividad económica",CONFIG!$E$5:$E$26,J207)+SUMIFS(CONFIG!$F$5:$F$26,CONFIG!$D$5:$D$26,"Canal",CONFIG!$E$5:$E$26,K207)+SUMIFS(CONFIG!$F$5:$F$26,CONFIG!$D$5:$D$26,"Origen de recursos documentado",CONFIG!$E$5:$E$26,L207))</f>
        <v/>
      </c>
      <c r="W207" s="9" t="str">
        <f aca="false">IF(A207="","",IF(SUMIF(OPERACIONES!$C$6:$C$505,A207,OPERACIONES!$E$6:$E$505)&gt;0,IF(SUMIF(OPERACIONES!$C$6:$C$505,A207,OPERACIONES!$F$6:$F$505)/SUMIF(OPERACIONES!$C$6:$C$505,A207,OPERACIONES!$E$6:$E$505)&gt;0.5,CONFIG!$B$20,IF(SUMIF(OPERACIONES!$C$6:$C$505,A207,OPERACIONES!$F$6:$F$505)&gt;0,CONFIG!$B$21,0)),0)+IF(COUNTIFS(OPERACIONES!$C$6:$C$505,A207,OPERACIONES!$AQ$6:$AQ$505,1)&gt;0,CONFIG!$B$22,0)+IF(COUNTIFS(OPERACIONES!$C$6:$C$505,A207,OPERACIONES!$H$6:$H$505,"Sí")&gt;0,CONFIG!$B$23,0))</f>
        <v/>
      </c>
      <c r="X207" s="9" t="str">
        <f aca="false">IF(A207="","",V207+W207)</f>
        <v/>
      </c>
      <c r="Y207" s="9" t="str">
        <f aca="false">IF(A207="","",IF(X207&lt;=CONFIG!$B$13,"Bajo",IF(X207&lt;=CONFIG!$B$14,"Medio","Alto")))</f>
        <v/>
      </c>
      <c r="Z207" s="25" t="str">
        <f aca="false">IF(A207="","",IF(OR(H207="Extranjera",AND(E207="No residente",G207="Sí"),I207="Sí"),"Alto",IF(T207&lt;&gt;"",T207,Y207)))</f>
        <v/>
      </c>
      <c r="AA207" s="26" t="str">
        <f aca="false">IF(A207="","",IF(H207="Extranjera","Alto obligatorio: PEP extranjera (RCG 23 Bis 4)",IF(AND(E207="No residente",G207="Sí"),"Alto obligatorio: no residente vinculado a jurisdicción de riesgo (RCG 23 Bis 4)",IF(I207="Sí","Alto por criterio: persona en listas. Evalúa no operar y Aviso de 24 h",IF(T207&lt;&gt;"","Ajuste del REC: "&amp;U207,"Modelo: "&amp;X207&amp;" puntos")))))</f>
        <v/>
      </c>
      <c r="AB207" s="23" t="str">
        <f aca="false">IF(A207="","",IF(COUNT(N207,O207)=0,"Falta fecha",EDATE(MAX(N207,O207),IF(Z207="Alto",CONFIG!$B$18,IF(Z207="Medio",CONFIG!$B$17,CONFIG!$B$16)))))</f>
        <v/>
      </c>
      <c r="AC207" s="23" t="str">
        <f aca="false">IF(A207="","",IF(ISNUMBER(S207),EDATE(S207,12),IF(ISNUMBER(N207),EDATE(N207,12),"Falta fecha")))</f>
        <v/>
      </c>
      <c r="AD207" s="26" t="str">
        <f aca="false">IF(A207="","",MID(IF(P207&lt;&gt;"Sí"," · Expediente incompleto","")&amp;IF(OR(Q207="",Q207="Pendiente")," · Falta el Beneficiario Controlador","")&amp;IF(M207=""," · Sin perfil transaccional","")&amp;IF(AND(ISNUMBER(AB207),AB207&lt;CONFIG!$B$6)," · Evaluación de riesgo vencida","")&amp;IF(AND(ISNUMBER(AC207),AC207&lt;CONFIG!$B$6)," · Verificación anual vencida","")&amp;IF(AND(ISNUMBER(R207),ISNUMBER(S207),S207-R207&gt;92)," · Comprobante de domicilio con más de 3 meses","")&amp;IF(AND(T207&lt;&gt;"",U207="")," · Ajuste del REC sin justificación",""),4,400))</f>
        <v/>
      </c>
      <c r="AE207" s="9" t="str">
        <f aca="false">IF(A207="","",IF(AD207="","Al día","Revisar"))</f>
        <v/>
      </c>
      <c r="AF207" s="9" t="str">
        <f aca="false">IF(A207="","",COUNTIF(OPERACIONES!$C$6:$C$505,A207)&amp;" / $"&amp;FIXED(SUMIF(OPERACIONES!$C$6:$C$505,A207,OPERACIONES!$E$6:$E$505),0))</f>
        <v/>
      </c>
    </row>
    <row r="208" customFormat="false" ht="15" hidden="false" customHeight="false" outlineLevel="0" collapsed="false">
      <c r="A208" s="21"/>
      <c r="B208" s="21"/>
      <c r="C208" s="21"/>
      <c r="D208" s="21"/>
      <c r="E208" s="21"/>
      <c r="F208" s="21"/>
      <c r="G208" s="21"/>
      <c r="H208" s="21"/>
      <c r="I208" s="21"/>
      <c r="J208" s="21"/>
      <c r="K208" s="21"/>
      <c r="L208" s="21"/>
      <c r="M208" s="22"/>
      <c r="N208" s="20"/>
      <c r="O208" s="20"/>
      <c r="P208" s="21"/>
      <c r="Q208" s="21"/>
      <c r="R208" s="20"/>
      <c r="S208" s="20"/>
      <c r="T208" s="21"/>
      <c r="U208" s="21"/>
      <c r="V208" s="9" t="str">
        <f aca="false">IF(A208="","",SUMIFS(CONFIG!$F$5:$F$26,CONFIG!$D$5:$D$26,"Tipo de persona",CONFIG!$E$5:$E$26,C208)+SUMIFS(CONFIG!$F$5:$F$26,CONFIG!$D$5:$D$26,"Residencia",CONFIG!$E$5:$E$26,E208)+SUMIFS(CONFIG!$F$5:$F$26,CONFIG!$D$5:$D$26,"Nacionalidad",CONFIG!$E$5:$E$26,F208)+SUMIFS(CONFIG!$F$5:$F$26,CONFIG!$D$5:$D$26,"Jurisdicción de riesgo",CONFIG!$E$5:$E$26,G208)+SUMIFS(CONFIG!$F$5:$F$26,CONFIG!$D$5:$D$26,"PEP",CONFIG!$E$5:$E$26,H208)+SUMIFS(CONFIG!$F$5:$F$26,CONFIG!$D$5:$D$26,"En listas",CONFIG!$E$5:$E$26,I208)+SUMIFS(CONFIG!$F$5:$F$26,CONFIG!$D$5:$D$26,"Riesgo de su actividad económica",CONFIG!$E$5:$E$26,J208)+SUMIFS(CONFIG!$F$5:$F$26,CONFIG!$D$5:$D$26,"Canal",CONFIG!$E$5:$E$26,K208)+SUMIFS(CONFIG!$F$5:$F$26,CONFIG!$D$5:$D$26,"Origen de recursos documentado",CONFIG!$E$5:$E$26,L208))</f>
        <v/>
      </c>
      <c r="W208" s="9" t="str">
        <f aca="false">IF(A208="","",IF(SUMIF(OPERACIONES!$C$6:$C$505,A208,OPERACIONES!$E$6:$E$505)&gt;0,IF(SUMIF(OPERACIONES!$C$6:$C$505,A208,OPERACIONES!$F$6:$F$505)/SUMIF(OPERACIONES!$C$6:$C$505,A208,OPERACIONES!$E$6:$E$505)&gt;0.5,CONFIG!$B$20,IF(SUMIF(OPERACIONES!$C$6:$C$505,A208,OPERACIONES!$F$6:$F$505)&gt;0,CONFIG!$B$21,0)),0)+IF(COUNTIFS(OPERACIONES!$C$6:$C$505,A208,OPERACIONES!$AQ$6:$AQ$505,1)&gt;0,CONFIG!$B$22,0)+IF(COUNTIFS(OPERACIONES!$C$6:$C$505,A208,OPERACIONES!$H$6:$H$505,"Sí")&gt;0,CONFIG!$B$23,0))</f>
        <v/>
      </c>
      <c r="X208" s="9" t="str">
        <f aca="false">IF(A208="","",V208+W208)</f>
        <v/>
      </c>
      <c r="Y208" s="9" t="str">
        <f aca="false">IF(A208="","",IF(X208&lt;=CONFIG!$B$13,"Bajo",IF(X208&lt;=CONFIG!$B$14,"Medio","Alto")))</f>
        <v/>
      </c>
      <c r="Z208" s="25" t="str">
        <f aca="false">IF(A208="","",IF(OR(H208="Extranjera",AND(E208="No residente",G208="Sí"),I208="Sí"),"Alto",IF(T208&lt;&gt;"",T208,Y208)))</f>
        <v/>
      </c>
      <c r="AA208" s="26" t="str">
        <f aca="false">IF(A208="","",IF(H208="Extranjera","Alto obligatorio: PEP extranjera (RCG 23 Bis 4)",IF(AND(E208="No residente",G208="Sí"),"Alto obligatorio: no residente vinculado a jurisdicción de riesgo (RCG 23 Bis 4)",IF(I208="Sí","Alto por criterio: persona en listas. Evalúa no operar y Aviso de 24 h",IF(T208&lt;&gt;"","Ajuste del REC: "&amp;U208,"Modelo: "&amp;X208&amp;" puntos")))))</f>
        <v/>
      </c>
      <c r="AB208" s="23" t="str">
        <f aca="false">IF(A208="","",IF(COUNT(N208,O208)=0,"Falta fecha",EDATE(MAX(N208,O208),IF(Z208="Alto",CONFIG!$B$18,IF(Z208="Medio",CONFIG!$B$17,CONFIG!$B$16)))))</f>
        <v/>
      </c>
      <c r="AC208" s="23" t="str">
        <f aca="false">IF(A208="","",IF(ISNUMBER(S208),EDATE(S208,12),IF(ISNUMBER(N208),EDATE(N208,12),"Falta fecha")))</f>
        <v/>
      </c>
      <c r="AD208" s="26" t="str">
        <f aca="false">IF(A208="","",MID(IF(P208&lt;&gt;"Sí"," · Expediente incompleto","")&amp;IF(OR(Q208="",Q208="Pendiente")," · Falta el Beneficiario Controlador","")&amp;IF(M208=""," · Sin perfil transaccional","")&amp;IF(AND(ISNUMBER(AB208),AB208&lt;CONFIG!$B$6)," · Evaluación de riesgo vencida","")&amp;IF(AND(ISNUMBER(AC208),AC208&lt;CONFIG!$B$6)," · Verificación anual vencida","")&amp;IF(AND(ISNUMBER(R208),ISNUMBER(S208),S208-R208&gt;92)," · Comprobante de domicilio con más de 3 meses","")&amp;IF(AND(T208&lt;&gt;"",U208="")," · Ajuste del REC sin justificación",""),4,400))</f>
        <v/>
      </c>
      <c r="AE208" s="9" t="str">
        <f aca="false">IF(A208="","",IF(AD208="","Al día","Revisar"))</f>
        <v/>
      </c>
      <c r="AF208" s="9" t="str">
        <f aca="false">IF(A208="","",COUNTIF(OPERACIONES!$C$6:$C$505,A208)&amp;" / $"&amp;FIXED(SUMIF(OPERACIONES!$C$6:$C$505,A208,OPERACIONES!$E$6:$E$505),0))</f>
        <v/>
      </c>
    </row>
    <row r="209" customFormat="false" ht="15" hidden="false" customHeight="false" outlineLevel="0" collapsed="false">
      <c r="A209" s="21"/>
      <c r="B209" s="21"/>
      <c r="C209" s="21"/>
      <c r="D209" s="21"/>
      <c r="E209" s="21"/>
      <c r="F209" s="21"/>
      <c r="G209" s="21"/>
      <c r="H209" s="21"/>
      <c r="I209" s="21"/>
      <c r="J209" s="21"/>
      <c r="K209" s="21"/>
      <c r="L209" s="21"/>
      <c r="M209" s="22"/>
      <c r="N209" s="20"/>
      <c r="O209" s="20"/>
      <c r="P209" s="21"/>
      <c r="Q209" s="21"/>
      <c r="R209" s="20"/>
      <c r="S209" s="20"/>
      <c r="T209" s="21"/>
      <c r="U209" s="21"/>
      <c r="V209" s="9" t="str">
        <f aca="false">IF(A209="","",SUMIFS(CONFIG!$F$5:$F$26,CONFIG!$D$5:$D$26,"Tipo de persona",CONFIG!$E$5:$E$26,C209)+SUMIFS(CONFIG!$F$5:$F$26,CONFIG!$D$5:$D$26,"Residencia",CONFIG!$E$5:$E$26,E209)+SUMIFS(CONFIG!$F$5:$F$26,CONFIG!$D$5:$D$26,"Nacionalidad",CONFIG!$E$5:$E$26,F209)+SUMIFS(CONFIG!$F$5:$F$26,CONFIG!$D$5:$D$26,"Jurisdicción de riesgo",CONFIG!$E$5:$E$26,G209)+SUMIFS(CONFIG!$F$5:$F$26,CONFIG!$D$5:$D$26,"PEP",CONFIG!$E$5:$E$26,H209)+SUMIFS(CONFIG!$F$5:$F$26,CONFIG!$D$5:$D$26,"En listas",CONFIG!$E$5:$E$26,I209)+SUMIFS(CONFIG!$F$5:$F$26,CONFIG!$D$5:$D$26,"Riesgo de su actividad económica",CONFIG!$E$5:$E$26,J209)+SUMIFS(CONFIG!$F$5:$F$26,CONFIG!$D$5:$D$26,"Canal",CONFIG!$E$5:$E$26,K209)+SUMIFS(CONFIG!$F$5:$F$26,CONFIG!$D$5:$D$26,"Origen de recursos documentado",CONFIG!$E$5:$E$26,L209))</f>
        <v/>
      </c>
      <c r="W209" s="9" t="str">
        <f aca="false">IF(A209="","",IF(SUMIF(OPERACIONES!$C$6:$C$505,A209,OPERACIONES!$E$6:$E$505)&gt;0,IF(SUMIF(OPERACIONES!$C$6:$C$505,A209,OPERACIONES!$F$6:$F$505)/SUMIF(OPERACIONES!$C$6:$C$505,A209,OPERACIONES!$E$6:$E$505)&gt;0.5,CONFIG!$B$20,IF(SUMIF(OPERACIONES!$C$6:$C$505,A209,OPERACIONES!$F$6:$F$505)&gt;0,CONFIG!$B$21,0)),0)+IF(COUNTIFS(OPERACIONES!$C$6:$C$505,A209,OPERACIONES!$AQ$6:$AQ$505,1)&gt;0,CONFIG!$B$22,0)+IF(COUNTIFS(OPERACIONES!$C$6:$C$505,A209,OPERACIONES!$H$6:$H$505,"Sí")&gt;0,CONFIG!$B$23,0))</f>
        <v/>
      </c>
      <c r="X209" s="9" t="str">
        <f aca="false">IF(A209="","",V209+W209)</f>
        <v/>
      </c>
      <c r="Y209" s="9" t="str">
        <f aca="false">IF(A209="","",IF(X209&lt;=CONFIG!$B$13,"Bajo",IF(X209&lt;=CONFIG!$B$14,"Medio","Alto")))</f>
        <v/>
      </c>
      <c r="Z209" s="25" t="str">
        <f aca="false">IF(A209="","",IF(OR(H209="Extranjera",AND(E209="No residente",G209="Sí"),I209="Sí"),"Alto",IF(T209&lt;&gt;"",T209,Y209)))</f>
        <v/>
      </c>
      <c r="AA209" s="26" t="str">
        <f aca="false">IF(A209="","",IF(H209="Extranjera","Alto obligatorio: PEP extranjera (RCG 23 Bis 4)",IF(AND(E209="No residente",G209="Sí"),"Alto obligatorio: no residente vinculado a jurisdicción de riesgo (RCG 23 Bis 4)",IF(I209="Sí","Alto por criterio: persona en listas. Evalúa no operar y Aviso de 24 h",IF(T209&lt;&gt;"","Ajuste del REC: "&amp;U209,"Modelo: "&amp;X209&amp;" puntos")))))</f>
        <v/>
      </c>
      <c r="AB209" s="23" t="str">
        <f aca="false">IF(A209="","",IF(COUNT(N209,O209)=0,"Falta fecha",EDATE(MAX(N209,O209),IF(Z209="Alto",CONFIG!$B$18,IF(Z209="Medio",CONFIG!$B$17,CONFIG!$B$16)))))</f>
        <v/>
      </c>
      <c r="AC209" s="23" t="str">
        <f aca="false">IF(A209="","",IF(ISNUMBER(S209),EDATE(S209,12),IF(ISNUMBER(N209),EDATE(N209,12),"Falta fecha")))</f>
        <v/>
      </c>
      <c r="AD209" s="26" t="str">
        <f aca="false">IF(A209="","",MID(IF(P209&lt;&gt;"Sí"," · Expediente incompleto","")&amp;IF(OR(Q209="",Q209="Pendiente")," · Falta el Beneficiario Controlador","")&amp;IF(M209=""," · Sin perfil transaccional","")&amp;IF(AND(ISNUMBER(AB209),AB209&lt;CONFIG!$B$6)," · Evaluación de riesgo vencida","")&amp;IF(AND(ISNUMBER(AC209),AC209&lt;CONFIG!$B$6)," · Verificación anual vencida","")&amp;IF(AND(ISNUMBER(R209),ISNUMBER(S209),S209-R209&gt;92)," · Comprobante de domicilio con más de 3 meses","")&amp;IF(AND(T209&lt;&gt;"",U209="")," · Ajuste del REC sin justificación",""),4,400))</f>
        <v/>
      </c>
      <c r="AE209" s="9" t="str">
        <f aca="false">IF(A209="","",IF(AD209="","Al día","Revisar"))</f>
        <v/>
      </c>
      <c r="AF209" s="9" t="str">
        <f aca="false">IF(A209="","",COUNTIF(OPERACIONES!$C$6:$C$505,A209)&amp;" / $"&amp;FIXED(SUMIF(OPERACIONES!$C$6:$C$505,A209,OPERACIONES!$E$6:$E$505),0))</f>
        <v/>
      </c>
    </row>
    <row r="210" customFormat="false" ht="15" hidden="false" customHeight="false" outlineLevel="0" collapsed="false">
      <c r="A210" s="21"/>
      <c r="B210" s="21"/>
      <c r="C210" s="21"/>
      <c r="D210" s="21"/>
      <c r="E210" s="21"/>
      <c r="F210" s="21"/>
      <c r="G210" s="21"/>
      <c r="H210" s="21"/>
      <c r="I210" s="21"/>
      <c r="J210" s="21"/>
      <c r="K210" s="21"/>
      <c r="L210" s="21"/>
      <c r="M210" s="22"/>
      <c r="N210" s="20"/>
      <c r="O210" s="20"/>
      <c r="P210" s="21"/>
      <c r="Q210" s="21"/>
      <c r="R210" s="20"/>
      <c r="S210" s="20"/>
      <c r="T210" s="21"/>
      <c r="U210" s="21"/>
      <c r="V210" s="9" t="str">
        <f aca="false">IF(A210="","",SUMIFS(CONFIG!$F$5:$F$26,CONFIG!$D$5:$D$26,"Tipo de persona",CONFIG!$E$5:$E$26,C210)+SUMIFS(CONFIG!$F$5:$F$26,CONFIG!$D$5:$D$26,"Residencia",CONFIG!$E$5:$E$26,E210)+SUMIFS(CONFIG!$F$5:$F$26,CONFIG!$D$5:$D$26,"Nacionalidad",CONFIG!$E$5:$E$26,F210)+SUMIFS(CONFIG!$F$5:$F$26,CONFIG!$D$5:$D$26,"Jurisdicción de riesgo",CONFIG!$E$5:$E$26,G210)+SUMIFS(CONFIG!$F$5:$F$26,CONFIG!$D$5:$D$26,"PEP",CONFIG!$E$5:$E$26,H210)+SUMIFS(CONFIG!$F$5:$F$26,CONFIG!$D$5:$D$26,"En listas",CONFIG!$E$5:$E$26,I210)+SUMIFS(CONFIG!$F$5:$F$26,CONFIG!$D$5:$D$26,"Riesgo de su actividad económica",CONFIG!$E$5:$E$26,J210)+SUMIFS(CONFIG!$F$5:$F$26,CONFIG!$D$5:$D$26,"Canal",CONFIG!$E$5:$E$26,K210)+SUMIFS(CONFIG!$F$5:$F$26,CONFIG!$D$5:$D$26,"Origen de recursos documentado",CONFIG!$E$5:$E$26,L210))</f>
        <v/>
      </c>
      <c r="W210" s="9" t="str">
        <f aca="false">IF(A210="","",IF(SUMIF(OPERACIONES!$C$6:$C$505,A210,OPERACIONES!$E$6:$E$505)&gt;0,IF(SUMIF(OPERACIONES!$C$6:$C$505,A210,OPERACIONES!$F$6:$F$505)/SUMIF(OPERACIONES!$C$6:$C$505,A210,OPERACIONES!$E$6:$E$505)&gt;0.5,CONFIG!$B$20,IF(SUMIF(OPERACIONES!$C$6:$C$505,A210,OPERACIONES!$F$6:$F$505)&gt;0,CONFIG!$B$21,0)),0)+IF(COUNTIFS(OPERACIONES!$C$6:$C$505,A210,OPERACIONES!$AQ$6:$AQ$505,1)&gt;0,CONFIG!$B$22,0)+IF(COUNTIFS(OPERACIONES!$C$6:$C$505,A210,OPERACIONES!$H$6:$H$505,"Sí")&gt;0,CONFIG!$B$23,0))</f>
        <v/>
      </c>
      <c r="X210" s="9" t="str">
        <f aca="false">IF(A210="","",V210+W210)</f>
        <v/>
      </c>
      <c r="Y210" s="9" t="str">
        <f aca="false">IF(A210="","",IF(X210&lt;=CONFIG!$B$13,"Bajo",IF(X210&lt;=CONFIG!$B$14,"Medio","Alto")))</f>
        <v/>
      </c>
      <c r="Z210" s="25" t="str">
        <f aca="false">IF(A210="","",IF(OR(H210="Extranjera",AND(E210="No residente",G210="Sí"),I210="Sí"),"Alto",IF(T210&lt;&gt;"",T210,Y210)))</f>
        <v/>
      </c>
      <c r="AA210" s="26" t="str">
        <f aca="false">IF(A210="","",IF(H210="Extranjera","Alto obligatorio: PEP extranjera (RCG 23 Bis 4)",IF(AND(E210="No residente",G210="Sí"),"Alto obligatorio: no residente vinculado a jurisdicción de riesgo (RCG 23 Bis 4)",IF(I210="Sí","Alto por criterio: persona en listas. Evalúa no operar y Aviso de 24 h",IF(T210&lt;&gt;"","Ajuste del REC: "&amp;U210,"Modelo: "&amp;X210&amp;" puntos")))))</f>
        <v/>
      </c>
      <c r="AB210" s="23" t="str">
        <f aca="false">IF(A210="","",IF(COUNT(N210,O210)=0,"Falta fecha",EDATE(MAX(N210,O210),IF(Z210="Alto",CONFIG!$B$18,IF(Z210="Medio",CONFIG!$B$17,CONFIG!$B$16)))))</f>
        <v/>
      </c>
      <c r="AC210" s="23" t="str">
        <f aca="false">IF(A210="","",IF(ISNUMBER(S210),EDATE(S210,12),IF(ISNUMBER(N210),EDATE(N210,12),"Falta fecha")))</f>
        <v/>
      </c>
      <c r="AD210" s="26" t="str">
        <f aca="false">IF(A210="","",MID(IF(P210&lt;&gt;"Sí"," · Expediente incompleto","")&amp;IF(OR(Q210="",Q210="Pendiente")," · Falta el Beneficiario Controlador","")&amp;IF(M210=""," · Sin perfil transaccional","")&amp;IF(AND(ISNUMBER(AB210),AB210&lt;CONFIG!$B$6)," · Evaluación de riesgo vencida","")&amp;IF(AND(ISNUMBER(AC210),AC210&lt;CONFIG!$B$6)," · Verificación anual vencida","")&amp;IF(AND(ISNUMBER(R210),ISNUMBER(S210),S210-R210&gt;92)," · Comprobante de domicilio con más de 3 meses","")&amp;IF(AND(T210&lt;&gt;"",U210="")," · Ajuste del REC sin justificación",""),4,400))</f>
        <v/>
      </c>
      <c r="AE210" s="9" t="str">
        <f aca="false">IF(A210="","",IF(AD210="","Al día","Revisar"))</f>
        <v/>
      </c>
      <c r="AF210" s="9" t="str">
        <f aca="false">IF(A210="","",COUNTIF(OPERACIONES!$C$6:$C$505,A210)&amp;" / $"&amp;FIXED(SUMIF(OPERACIONES!$C$6:$C$505,A210,OPERACIONES!$E$6:$E$505),0))</f>
        <v/>
      </c>
    </row>
    <row r="211" customFormat="false" ht="15" hidden="false" customHeight="false" outlineLevel="0" collapsed="false">
      <c r="A211" s="21"/>
      <c r="B211" s="21"/>
      <c r="C211" s="21"/>
      <c r="D211" s="21"/>
      <c r="E211" s="21"/>
      <c r="F211" s="21"/>
      <c r="G211" s="21"/>
      <c r="H211" s="21"/>
      <c r="I211" s="21"/>
      <c r="J211" s="21"/>
      <c r="K211" s="21"/>
      <c r="L211" s="21"/>
      <c r="M211" s="22"/>
      <c r="N211" s="20"/>
      <c r="O211" s="20"/>
      <c r="P211" s="21"/>
      <c r="Q211" s="21"/>
      <c r="R211" s="20"/>
      <c r="S211" s="20"/>
      <c r="T211" s="21"/>
      <c r="U211" s="21"/>
      <c r="V211" s="9" t="str">
        <f aca="false">IF(A211="","",SUMIFS(CONFIG!$F$5:$F$26,CONFIG!$D$5:$D$26,"Tipo de persona",CONFIG!$E$5:$E$26,C211)+SUMIFS(CONFIG!$F$5:$F$26,CONFIG!$D$5:$D$26,"Residencia",CONFIG!$E$5:$E$26,E211)+SUMIFS(CONFIG!$F$5:$F$26,CONFIG!$D$5:$D$26,"Nacionalidad",CONFIG!$E$5:$E$26,F211)+SUMIFS(CONFIG!$F$5:$F$26,CONFIG!$D$5:$D$26,"Jurisdicción de riesgo",CONFIG!$E$5:$E$26,G211)+SUMIFS(CONFIG!$F$5:$F$26,CONFIG!$D$5:$D$26,"PEP",CONFIG!$E$5:$E$26,H211)+SUMIFS(CONFIG!$F$5:$F$26,CONFIG!$D$5:$D$26,"En listas",CONFIG!$E$5:$E$26,I211)+SUMIFS(CONFIG!$F$5:$F$26,CONFIG!$D$5:$D$26,"Riesgo de su actividad económica",CONFIG!$E$5:$E$26,J211)+SUMIFS(CONFIG!$F$5:$F$26,CONFIG!$D$5:$D$26,"Canal",CONFIG!$E$5:$E$26,K211)+SUMIFS(CONFIG!$F$5:$F$26,CONFIG!$D$5:$D$26,"Origen de recursos documentado",CONFIG!$E$5:$E$26,L211))</f>
        <v/>
      </c>
      <c r="W211" s="9" t="str">
        <f aca="false">IF(A211="","",IF(SUMIF(OPERACIONES!$C$6:$C$505,A211,OPERACIONES!$E$6:$E$505)&gt;0,IF(SUMIF(OPERACIONES!$C$6:$C$505,A211,OPERACIONES!$F$6:$F$505)/SUMIF(OPERACIONES!$C$6:$C$505,A211,OPERACIONES!$E$6:$E$505)&gt;0.5,CONFIG!$B$20,IF(SUMIF(OPERACIONES!$C$6:$C$505,A211,OPERACIONES!$F$6:$F$505)&gt;0,CONFIG!$B$21,0)),0)+IF(COUNTIFS(OPERACIONES!$C$6:$C$505,A211,OPERACIONES!$AQ$6:$AQ$505,1)&gt;0,CONFIG!$B$22,0)+IF(COUNTIFS(OPERACIONES!$C$6:$C$505,A211,OPERACIONES!$H$6:$H$505,"Sí")&gt;0,CONFIG!$B$23,0))</f>
        <v/>
      </c>
      <c r="X211" s="9" t="str">
        <f aca="false">IF(A211="","",V211+W211)</f>
        <v/>
      </c>
      <c r="Y211" s="9" t="str">
        <f aca="false">IF(A211="","",IF(X211&lt;=CONFIG!$B$13,"Bajo",IF(X211&lt;=CONFIG!$B$14,"Medio","Alto")))</f>
        <v/>
      </c>
      <c r="Z211" s="25" t="str">
        <f aca="false">IF(A211="","",IF(OR(H211="Extranjera",AND(E211="No residente",G211="Sí"),I211="Sí"),"Alto",IF(T211&lt;&gt;"",T211,Y211)))</f>
        <v/>
      </c>
      <c r="AA211" s="26" t="str">
        <f aca="false">IF(A211="","",IF(H211="Extranjera","Alto obligatorio: PEP extranjera (RCG 23 Bis 4)",IF(AND(E211="No residente",G211="Sí"),"Alto obligatorio: no residente vinculado a jurisdicción de riesgo (RCG 23 Bis 4)",IF(I211="Sí","Alto por criterio: persona en listas. Evalúa no operar y Aviso de 24 h",IF(T211&lt;&gt;"","Ajuste del REC: "&amp;U211,"Modelo: "&amp;X211&amp;" puntos")))))</f>
        <v/>
      </c>
      <c r="AB211" s="23" t="str">
        <f aca="false">IF(A211="","",IF(COUNT(N211,O211)=0,"Falta fecha",EDATE(MAX(N211,O211),IF(Z211="Alto",CONFIG!$B$18,IF(Z211="Medio",CONFIG!$B$17,CONFIG!$B$16)))))</f>
        <v/>
      </c>
      <c r="AC211" s="23" t="str">
        <f aca="false">IF(A211="","",IF(ISNUMBER(S211),EDATE(S211,12),IF(ISNUMBER(N211),EDATE(N211,12),"Falta fecha")))</f>
        <v/>
      </c>
      <c r="AD211" s="26" t="str">
        <f aca="false">IF(A211="","",MID(IF(P211&lt;&gt;"Sí"," · Expediente incompleto","")&amp;IF(OR(Q211="",Q211="Pendiente")," · Falta el Beneficiario Controlador","")&amp;IF(M211=""," · Sin perfil transaccional","")&amp;IF(AND(ISNUMBER(AB211),AB211&lt;CONFIG!$B$6)," · Evaluación de riesgo vencida","")&amp;IF(AND(ISNUMBER(AC211),AC211&lt;CONFIG!$B$6)," · Verificación anual vencida","")&amp;IF(AND(ISNUMBER(R211),ISNUMBER(S211),S211-R211&gt;92)," · Comprobante de domicilio con más de 3 meses","")&amp;IF(AND(T211&lt;&gt;"",U211="")," · Ajuste del REC sin justificación",""),4,400))</f>
        <v/>
      </c>
      <c r="AE211" s="9" t="str">
        <f aca="false">IF(A211="","",IF(AD211="","Al día","Revisar"))</f>
        <v/>
      </c>
      <c r="AF211" s="9" t="str">
        <f aca="false">IF(A211="","",COUNTIF(OPERACIONES!$C$6:$C$505,A211)&amp;" / $"&amp;FIXED(SUMIF(OPERACIONES!$C$6:$C$505,A211,OPERACIONES!$E$6:$E$505),0))</f>
        <v/>
      </c>
    </row>
    <row r="212" customFormat="false" ht="15" hidden="false" customHeight="false" outlineLevel="0" collapsed="false">
      <c r="A212" s="21"/>
      <c r="B212" s="21"/>
      <c r="C212" s="21"/>
      <c r="D212" s="21"/>
      <c r="E212" s="21"/>
      <c r="F212" s="21"/>
      <c r="G212" s="21"/>
      <c r="H212" s="21"/>
      <c r="I212" s="21"/>
      <c r="J212" s="21"/>
      <c r="K212" s="21"/>
      <c r="L212" s="21"/>
      <c r="M212" s="22"/>
      <c r="N212" s="20"/>
      <c r="O212" s="20"/>
      <c r="P212" s="21"/>
      <c r="Q212" s="21"/>
      <c r="R212" s="20"/>
      <c r="S212" s="20"/>
      <c r="T212" s="21"/>
      <c r="U212" s="21"/>
      <c r="V212" s="9" t="str">
        <f aca="false">IF(A212="","",SUMIFS(CONFIG!$F$5:$F$26,CONFIG!$D$5:$D$26,"Tipo de persona",CONFIG!$E$5:$E$26,C212)+SUMIFS(CONFIG!$F$5:$F$26,CONFIG!$D$5:$D$26,"Residencia",CONFIG!$E$5:$E$26,E212)+SUMIFS(CONFIG!$F$5:$F$26,CONFIG!$D$5:$D$26,"Nacionalidad",CONFIG!$E$5:$E$26,F212)+SUMIFS(CONFIG!$F$5:$F$26,CONFIG!$D$5:$D$26,"Jurisdicción de riesgo",CONFIG!$E$5:$E$26,G212)+SUMIFS(CONFIG!$F$5:$F$26,CONFIG!$D$5:$D$26,"PEP",CONFIG!$E$5:$E$26,H212)+SUMIFS(CONFIG!$F$5:$F$26,CONFIG!$D$5:$D$26,"En listas",CONFIG!$E$5:$E$26,I212)+SUMIFS(CONFIG!$F$5:$F$26,CONFIG!$D$5:$D$26,"Riesgo de su actividad económica",CONFIG!$E$5:$E$26,J212)+SUMIFS(CONFIG!$F$5:$F$26,CONFIG!$D$5:$D$26,"Canal",CONFIG!$E$5:$E$26,K212)+SUMIFS(CONFIG!$F$5:$F$26,CONFIG!$D$5:$D$26,"Origen de recursos documentado",CONFIG!$E$5:$E$26,L212))</f>
        <v/>
      </c>
      <c r="W212" s="9" t="str">
        <f aca="false">IF(A212="","",IF(SUMIF(OPERACIONES!$C$6:$C$505,A212,OPERACIONES!$E$6:$E$505)&gt;0,IF(SUMIF(OPERACIONES!$C$6:$C$505,A212,OPERACIONES!$F$6:$F$505)/SUMIF(OPERACIONES!$C$6:$C$505,A212,OPERACIONES!$E$6:$E$505)&gt;0.5,CONFIG!$B$20,IF(SUMIF(OPERACIONES!$C$6:$C$505,A212,OPERACIONES!$F$6:$F$505)&gt;0,CONFIG!$B$21,0)),0)+IF(COUNTIFS(OPERACIONES!$C$6:$C$505,A212,OPERACIONES!$AQ$6:$AQ$505,1)&gt;0,CONFIG!$B$22,0)+IF(COUNTIFS(OPERACIONES!$C$6:$C$505,A212,OPERACIONES!$H$6:$H$505,"Sí")&gt;0,CONFIG!$B$23,0))</f>
        <v/>
      </c>
      <c r="X212" s="9" t="str">
        <f aca="false">IF(A212="","",V212+W212)</f>
        <v/>
      </c>
      <c r="Y212" s="9" t="str">
        <f aca="false">IF(A212="","",IF(X212&lt;=CONFIG!$B$13,"Bajo",IF(X212&lt;=CONFIG!$B$14,"Medio","Alto")))</f>
        <v/>
      </c>
      <c r="Z212" s="25" t="str">
        <f aca="false">IF(A212="","",IF(OR(H212="Extranjera",AND(E212="No residente",G212="Sí"),I212="Sí"),"Alto",IF(T212&lt;&gt;"",T212,Y212)))</f>
        <v/>
      </c>
      <c r="AA212" s="26" t="str">
        <f aca="false">IF(A212="","",IF(H212="Extranjera","Alto obligatorio: PEP extranjera (RCG 23 Bis 4)",IF(AND(E212="No residente",G212="Sí"),"Alto obligatorio: no residente vinculado a jurisdicción de riesgo (RCG 23 Bis 4)",IF(I212="Sí","Alto por criterio: persona en listas. Evalúa no operar y Aviso de 24 h",IF(T212&lt;&gt;"","Ajuste del REC: "&amp;U212,"Modelo: "&amp;X212&amp;" puntos")))))</f>
        <v/>
      </c>
      <c r="AB212" s="23" t="str">
        <f aca="false">IF(A212="","",IF(COUNT(N212,O212)=0,"Falta fecha",EDATE(MAX(N212,O212),IF(Z212="Alto",CONFIG!$B$18,IF(Z212="Medio",CONFIG!$B$17,CONFIG!$B$16)))))</f>
        <v/>
      </c>
      <c r="AC212" s="23" t="str">
        <f aca="false">IF(A212="","",IF(ISNUMBER(S212),EDATE(S212,12),IF(ISNUMBER(N212),EDATE(N212,12),"Falta fecha")))</f>
        <v/>
      </c>
      <c r="AD212" s="26" t="str">
        <f aca="false">IF(A212="","",MID(IF(P212&lt;&gt;"Sí"," · Expediente incompleto","")&amp;IF(OR(Q212="",Q212="Pendiente")," · Falta el Beneficiario Controlador","")&amp;IF(M212=""," · Sin perfil transaccional","")&amp;IF(AND(ISNUMBER(AB212),AB212&lt;CONFIG!$B$6)," · Evaluación de riesgo vencida","")&amp;IF(AND(ISNUMBER(AC212),AC212&lt;CONFIG!$B$6)," · Verificación anual vencida","")&amp;IF(AND(ISNUMBER(R212),ISNUMBER(S212),S212-R212&gt;92)," · Comprobante de domicilio con más de 3 meses","")&amp;IF(AND(T212&lt;&gt;"",U212="")," · Ajuste del REC sin justificación",""),4,400))</f>
        <v/>
      </c>
      <c r="AE212" s="9" t="str">
        <f aca="false">IF(A212="","",IF(AD212="","Al día","Revisar"))</f>
        <v/>
      </c>
      <c r="AF212" s="9" t="str">
        <f aca="false">IF(A212="","",COUNTIF(OPERACIONES!$C$6:$C$505,A212)&amp;" / $"&amp;FIXED(SUMIF(OPERACIONES!$C$6:$C$505,A212,OPERACIONES!$E$6:$E$505),0))</f>
        <v/>
      </c>
    </row>
    <row r="213" customFormat="false" ht="15" hidden="false" customHeight="false" outlineLevel="0" collapsed="false">
      <c r="A213" s="21"/>
      <c r="B213" s="21"/>
      <c r="C213" s="21"/>
      <c r="D213" s="21"/>
      <c r="E213" s="21"/>
      <c r="F213" s="21"/>
      <c r="G213" s="21"/>
      <c r="H213" s="21"/>
      <c r="I213" s="21"/>
      <c r="J213" s="21"/>
      <c r="K213" s="21"/>
      <c r="L213" s="21"/>
      <c r="M213" s="22"/>
      <c r="N213" s="20"/>
      <c r="O213" s="20"/>
      <c r="P213" s="21"/>
      <c r="Q213" s="21"/>
      <c r="R213" s="20"/>
      <c r="S213" s="20"/>
      <c r="T213" s="21"/>
      <c r="U213" s="21"/>
      <c r="V213" s="9" t="str">
        <f aca="false">IF(A213="","",SUMIFS(CONFIG!$F$5:$F$26,CONFIG!$D$5:$D$26,"Tipo de persona",CONFIG!$E$5:$E$26,C213)+SUMIFS(CONFIG!$F$5:$F$26,CONFIG!$D$5:$D$26,"Residencia",CONFIG!$E$5:$E$26,E213)+SUMIFS(CONFIG!$F$5:$F$26,CONFIG!$D$5:$D$26,"Nacionalidad",CONFIG!$E$5:$E$26,F213)+SUMIFS(CONFIG!$F$5:$F$26,CONFIG!$D$5:$D$26,"Jurisdicción de riesgo",CONFIG!$E$5:$E$26,G213)+SUMIFS(CONFIG!$F$5:$F$26,CONFIG!$D$5:$D$26,"PEP",CONFIG!$E$5:$E$26,H213)+SUMIFS(CONFIG!$F$5:$F$26,CONFIG!$D$5:$D$26,"En listas",CONFIG!$E$5:$E$26,I213)+SUMIFS(CONFIG!$F$5:$F$26,CONFIG!$D$5:$D$26,"Riesgo de su actividad económica",CONFIG!$E$5:$E$26,J213)+SUMIFS(CONFIG!$F$5:$F$26,CONFIG!$D$5:$D$26,"Canal",CONFIG!$E$5:$E$26,K213)+SUMIFS(CONFIG!$F$5:$F$26,CONFIG!$D$5:$D$26,"Origen de recursos documentado",CONFIG!$E$5:$E$26,L213))</f>
        <v/>
      </c>
      <c r="W213" s="9" t="str">
        <f aca="false">IF(A213="","",IF(SUMIF(OPERACIONES!$C$6:$C$505,A213,OPERACIONES!$E$6:$E$505)&gt;0,IF(SUMIF(OPERACIONES!$C$6:$C$505,A213,OPERACIONES!$F$6:$F$505)/SUMIF(OPERACIONES!$C$6:$C$505,A213,OPERACIONES!$E$6:$E$505)&gt;0.5,CONFIG!$B$20,IF(SUMIF(OPERACIONES!$C$6:$C$505,A213,OPERACIONES!$F$6:$F$505)&gt;0,CONFIG!$B$21,0)),0)+IF(COUNTIFS(OPERACIONES!$C$6:$C$505,A213,OPERACIONES!$AQ$6:$AQ$505,1)&gt;0,CONFIG!$B$22,0)+IF(COUNTIFS(OPERACIONES!$C$6:$C$505,A213,OPERACIONES!$H$6:$H$505,"Sí")&gt;0,CONFIG!$B$23,0))</f>
        <v/>
      </c>
      <c r="X213" s="9" t="str">
        <f aca="false">IF(A213="","",V213+W213)</f>
        <v/>
      </c>
      <c r="Y213" s="9" t="str">
        <f aca="false">IF(A213="","",IF(X213&lt;=CONFIG!$B$13,"Bajo",IF(X213&lt;=CONFIG!$B$14,"Medio","Alto")))</f>
        <v/>
      </c>
      <c r="Z213" s="25" t="str">
        <f aca="false">IF(A213="","",IF(OR(H213="Extranjera",AND(E213="No residente",G213="Sí"),I213="Sí"),"Alto",IF(T213&lt;&gt;"",T213,Y213)))</f>
        <v/>
      </c>
      <c r="AA213" s="26" t="str">
        <f aca="false">IF(A213="","",IF(H213="Extranjera","Alto obligatorio: PEP extranjera (RCG 23 Bis 4)",IF(AND(E213="No residente",G213="Sí"),"Alto obligatorio: no residente vinculado a jurisdicción de riesgo (RCG 23 Bis 4)",IF(I213="Sí","Alto por criterio: persona en listas. Evalúa no operar y Aviso de 24 h",IF(T213&lt;&gt;"","Ajuste del REC: "&amp;U213,"Modelo: "&amp;X213&amp;" puntos")))))</f>
        <v/>
      </c>
      <c r="AB213" s="23" t="str">
        <f aca="false">IF(A213="","",IF(COUNT(N213,O213)=0,"Falta fecha",EDATE(MAX(N213,O213),IF(Z213="Alto",CONFIG!$B$18,IF(Z213="Medio",CONFIG!$B$17,CONFIG!$B$16)))))</f>
        <v/>
      </c>
      <c r="AC213" s="23" t="str">
        <f aca="false">IF(A213="","",IF(ISNUMBER(S213),EDATE(S213,12),IF(ISNUMBER(N213),EDATE(N213,12),"Falta fecha")))</f>
        <v/>
      </c>
      <c r="AD213" s="26" t="str">
        <f aca="false">IF(A213="","",MID(IF(P213&lt;&gt;"Sí"," · Expediente incompleto","")&amp;IF(OR(Q213="",Q213="Pendiente")," · Falta el Beneficiario Controlador","")&amp;IF(M213=""," · Sin perfil transaccional","")&amp;IF(AND(ISNUMBER(AB213),AB213&lt;CONFIG!$B$6)," · Evaluación de riesgo vencida","")&amp;IF(AND(ISNUMBER(AC213),AC213&lt;CONFIG!$B$6)," · Verificación anual vencida","")&amp;IF(AND(ISNUMBER(R213),ISNUMBER(S213),S213-R213&gt;92)," · Comprobante de domicilio con más de 3 meses","")&amp;IF(AND(T213&lt;&gt;"",U213="")," · Ajuste del REC sin justificación",""),4,400))</f>
        <v/>
      </c>
      <c r="AE213" s="9" t="str">
        <f aca="false">IF(A213="","",IF(AD213="","Al día","Revisar"))</f>
        <v/>
      </c>
      <c r="AF213" s="9" t="str">
        <f aca="false">IF(A213="","",COUNTIF(OPERACIONES!$C$6:$C$505,A213)&amp;" / $"&amp;FIXED(SUMIF(OPERACIONES!$C$6:$C$505,A213,OPERACIONES!$E$6:$E$505),0))</f>
        <v/>
      </c>
    </row>
    <row r="214" customFormat="false" ht="15" hidden="false" customHeight="false" outlineLevel="0" collapsed="false">
      <c r="A214" s="21"/>
      <c r="B214" s="21"/>
      <c r="C214" s="21"/>
      <c r="D214" s="21"/>
      <c r="E214" s="21"/>
      <c r="F214" s="21"/>
      <c r="G214" s="21"/>
      <c r="H214" s="21"/>
      <c r="I214" s="21"/>
      <c r="J214" s="21"/>
      <c r="K214" s="21"/>
      <c r="L214" s="21"/>
      <c r="M214" s="22"/>
      <c r="N214" s="20"/>
      <c r="O214" s="20"/>
      <c r="P214" s="21"/>
      <c r="Q214" s="21"/>
      <c r="R214" s="20"/>
      <c r="S214" s="20"/>
      <c r="T214" s="21"/>
      <c r="U214" s="21"/>
      <c r="V214" s="9" t="str">
        <f aca="false">IF(A214="","",SUMIFS(CONFIG!$F$5:$F$26,CONFIG!$D$5:$D$26,"Tipo de persona",CONFIG!$E$5:$E$26,C214)+SUMIFS(CONFIG!$F$5:$F$26,CONFIG!$D$5:$D$26,"Residencia",CONFIG!$E$5:$E$26,E214)+SUMIFS(CONFIG!$F$5:$F$26,CONFIG!$D$5:$D$26,"Nacionalidad",CONFIG!$E$5:$E$26,F214)+SUMIFS(CONFIG!$F$5:$F$26,CONFIG!$D$5:$D$26,"Jurisdicción de riesgo",CONFIG!$E$5:$E$26,G214)+SUMIFS(CONFIG!$F$5:$F$26,CONFIG!$D$5:$D$26,"PEP",CONFIG!$E$5:$E$26,H214)+SUMIFS(CONFIG!$F$5:$F$26,CONFIG!$D$5:$D$26,"En listas",CONFIG!$E$5:$E$26,I214)+SUMIFS(CONFIG!$F$5:$F$26,CONFIG!$D$5:$D$26,"Riesgo de su actividad económica",CONFIG!$E$5:$E$26,J214)+SUMIFS(CONFIG!$F$5:$F$26,CONFIG!$D$5:$D$26,"Canal",CONFIG!$E$5:$E$26,K214)+SUMIFS(CONFIG!$F$5:$F$26,CONFIG!$D$5:$D$26,"Origen de recursos documentado",CONFIG!$E$5:$E$26,L214))</f>
        <v/>
      </c>
      <c r="W214" s="9" t="str">
        <f aca="false">IF(A214="","",IF(SUMIF(OPERACIONES!$C$6:$C$505,A214,OPERACIONES!$E$6:$E$505)&gt;0,IF(SUMIF(OPERACIONES!$C$6:$C$505,A214,OPERACIONES!$F$6:$F$505)/SUMIF(OPERACIONES!$C$6:$C$505,A214,OPERACIONES!$E$6:$E$505)&gt;0.5,CONFIG!$B$20,IF(SUMIF(OPERACIONES!$C$6:$C$505,A214,OPERACIONES!$F$6:$F$505)&gt;0,CONFIG!$B$21,0)),0)+IF(COUNTIFS(OPERACIONES!$C$6:$C$505,A214,OPERACIONES!$AQ$6:$AQ$505,1)&gt;0,CONFIG!$B$22,0)+IF(COUNTIFS(OPERACIONES!$C$6:$C$505,A214,OPERACIONES!$H$6:$H$505,"Sí")&gt;0,CONFIG!$B$23,0))</f>
        <v/>
      </c>
      <c r="X214" s="9" t="str">
        <f aca="false">IF(A214="","",V214+W214)</f>
        <v/>
      </c>
      <c r="Y214" s="9" t="str">
        <f aca="false">IF(A214="","",IF(X214&lt;=CONFIG!$B$13,"Bajo",IF(X214&lt;=CONFIG!$B$14,"Medio","Alto")))</f>
        <v/>
      </c>
      <c r="Z214" s="25" t="str">
        <f aca="false">IF(A214="","",IF(OR(H214="Extranjera",AND(E214="No residente",G214="Sí"),I214="Sí"),"Alto",IF(T214&lt;&gt;"",T214,Y214)))</f>
        <v/>
      </c>
      <c r="AA214" s="26" t="str">
        <f aca="false">IF(A214="","",IF(H214="Extranjera","Alto obligatorio: PEP extranjera (RCG 23 Bis 4)",IF(AND(E214="No residente",G214="Sí"),"Alto obligatorio: no residente vinculado a jurisdicción de riesgo (RCG 23 Bis 4)",IF(I214="Sí","Alto por criterio: persona en listas. Evalúa no operar y Aviso de 24 h",IF(T214&lt;&gt;"","Ajuste del REC: "&amp;U214,"Modelo: "&amp;X214&amp;" puntos")))))</f>
        <v/>
      </c>
      <c r="AB214" s="23" t="str">
        <f aca="false">IF(A214="","",IF(COUNT(N214,O214)=0,"Falta fecha",EDATE(MAX(N214,O214),IF(Z214="Alto",CONFIG!$B$18,IF(Z214="Medio",CONFIG!$B$17,CONFIG!$B$16)))))</f>
        <v/>
      </c>
      <c r="AC214" s="23" t="str">
        <f aca="false">IF(A214="","",IF(ISNUMBER(S214),EDATE(S214,12),IF(ISNUMBER(N214),EDATE(N214,12),"Falta fecha")))</f>
        <v/>
      </c>
      <c r="AD214" s="26" t="str">
        <f aca="false">IF(A214="","",MID(IF(P214&lt;&gt;"Sí"," · Expediente incompleto","")&amp;IF(OR(Q214="",Q214="Pendiente")," · Falta el Beneficiario Controlador","")&amp;IF(M214=""," · Sin perfil transaccional","")&amp;IF(AND(ISNUMBER(AB214),AB214&lt;CONFIG!$B$6)," · Evaluación de riesgo vencida","")&amp;IF(AND(ISNUMBER(AC214),AC214&lt;CONFIG!$B$6)," · Verificación anual vencida","")&amp;IF(AND(ISNUMBER(R214),ISNUMBER(S214),S214-R214&gt;92)," · Comprobante de domicilio con más de 3 meses","")&amp;IF(AND(T214&lt;&gt;"",U214="")," · Ajuste del REC sin justificación",""),4,400))</f>
        <v/>
      </c>
      <c r="AE214" s="9" t="str">
        <f aca="false">IF(A214="","",IF(AD214="","Al día","Revisar"))</f>
        <v/>
      </c>
      <c r="AF214" s="9" t="str">
        <f aca="false">IF(A214="","",COUNTIF(OPERACIONES!$C$6:$C$505,A214)&amp;" / $"&amp;FIXED(SUMIF(OPERACIONES!$C$6:$C$505,A214,OPERACIONES!$E$6:$E$505),0))</f>
        <v/>
      </c>
    </row>
    <row r="215" customFormat="false" ht="15" hidden="false" customHeight="false" outlineLevel="0" collapsed="false">
      <c r="A215" s="21"/>
      <c r="B215" s="21"/>
      <c r="C215" s="21"/>
      <c r="D215" s="21"/>
      <c r="E215" s="21"/>
      <c r="F215" s="21"/>
      <c r="G215" s="21"/>
      <c r="H215" s="21"/>
      <c r="I215" s="21"/>
      <c r="J215" s="21"/>
      <c r="K215" s="21"/>
      <c r="L215" s="21"/>
      <c r="M215" s="22"/>
      <c r="N215" s="20"/>
      <c r="O215" s="20"/>
      <c r="P215" s="21"/>
      <c r="Q215" s="21"/>
      <c r="R215" s="20"/>
      <c r="S215" s="20"/>
      <c r="T215" s="21"/>
      <c r="U215" s="21"/>
      <c r="V215" s="9" t="str">
        <f aca="false">IF(A215="","",SUMIFS(CONFIG!$F$5:$F$26,CONFIG!$D$5:$D$26,"Tipo de persona",CONFIG!$E$5:$E$26,C215)+SUMIFS(CONFIG!$F$5:$F$26,CONFIG!$D$5:$D$26,"Residencia",CONFIG!$E$5:$E$26,E215)+SUMIFS(CONFIG!$F$5:$F$26,CONFIG!$D$5:$D$26,"Nacionalidad",CONFIG!$E$5:$E$26,F215)+SUMIFS(CONFIG!$F$5:$F$26,CONFIG!$D$5:$D$26,"Jurisdicción de riesgo",CONFIG!$E$5:$E$26,G215)+SUMIFS(CONFIG!$F$5:$F$26,CONFIG!$D$5:$D$26,"PEP",CONFIG!$E$5:$E$26,H215)+SUMIFS(CONFIG!$F$5:$F$26,CONFIG!$D$5:$D$26,"En listas",CONFIG!$E$5:$E$26,I215)+SUMIFS(CONFIG!$F$5:$F$26,CONFIG!$D$5:$D$26,"Riesgo de su actividad económica",CONFIG!$E$5:$E$26,J215)+SUMIFS(CONFIG!$F$5:$F$26,CONFIG!$D$5:$D$26,"Canal",CONFIG!$E$5:$E$26,K215)+SUMIFS(CONFIG!$F$5:$F$26,CONFIG!$D$5:$D$26,"Origen de recursos documentado",CONFIG!$E$5:$E$26,L215))</f>
        <v/>
      </c>
      <c r="W215" s="9" t="str">
        <f aca="false">IF(A215="","",IF(SUMIF(OPERACIONES!$C$6:$C$505,A215,OPERACIONES!$E$6:$E$505)&gt;0,IF(SUMIF(OPERACIONES!$C$6:$C$505,A215,OPERACIONES!$F$6:$F$505)/SUMIF(OPERACIONES!$C$6:$C$505,A215,OPERACIONES!$E$6:$E$505)&gt;0.5,CONFIG!$B$20,IF(SUMIF(OPERACIONES!$C$6:$C$505,A215,OPERACIONES!$F$6:$F$505)&gt;0,CONFIG!$B$21,0)),0)+IF(COUNTIFS(OPERACIONES!$C$6:$C$505,A215,OPERACIONES!$AQ$6:$AQ$505,1)&gt;0,CONFIG!$B$22,0)+IF(COUNTIFS(OPERACIONES!$C$6:$C$505,A215,OPERACIONES!$H$6:$H$505,"Sí")&gt;0,CONFIG!$B$23,0))</f>
        <v/>
      </c>
      <c r="X215" s="9" t="str">
        <f aca="false">IF(A215="","",V215+W215)</f>
        <v/>
      </c>
      <c r="Y215" s="9" t="str">
        <f aca="false">IF(A215="","",IF(X215&lt;=CONFIG!$B$13,"Bajo",IF(X215&lt;=CONFIG!$B$14,"Medio","Alto")))</f>
        <v/>
      </c>
      <c r="Z215" s="25" t="str">
        <f aca="false">IF(A215="","",IF(OR(H215="Extranjera",AND(E215="No residente",G215="Sí"),I215="Sí"),"Alto",IF(T215&lt;&gt;"",T215,Y215)))</f>
        <v/>
      </c>
      <c r="AA215" s="26" t="str">
        <f aca="false">IF(A215="","",IF(H215="Extranjera","Alto obligatorio: PEP extranjera (RCG 23 Bis 4)",IF(AND(E215="No residente",G215="Sí"),"Alto obligatorio: no residente vinculado a jurisdicción de riesgo (RCG 23 Bis 4)",IF(I215="Sí","Alto por criterio: persona en listas. Evalúa no operar y Aviso de 24 h",IF(T215&lt;&gt;"","Ajuste del REC: "&amp;U215,"Modelo: "&amp;X215&amp;" puntos")))))</f>
        <v/>
      </c>
      <c r="AB215" s="23" t="str">
        <f aca="false">IF(A215="","",IF(COUNT(N215,O215)=0,"Falta fecha",EDATE(MAX(N215,O215),IF(Z215="Alto",CONFIG!$B$18,IF(Z215="Medio",CONFIG!$B$17,CONFIG!$B$16)))))</f>
        <v/>
      </c>
      <c r="AC215" s="23" t="str">
        <f aca="false">IF(A215="","",IF(ISNUMBER(S215),EDATE(S215,12),IF(ISNUMBER(N215),EDATE(N215,12),"Falta fecha")))</f>
        <v/>
      </c>
      <c r="AD215" s="26" t="str">
        <f aca="false">IF(A215="","",MID(IF(P215&lt;&gt;"Sí"," · Expediente incompleto","")&amp;IF(OR(Q215="",Q215="Pendiente")," · Falta el Beneficiario Controlador","")&amp;IF(M215=""," · Sin perfil transaccional","")&amp;IF(AND(ISNUMBER(AB215),AB215&lt;CONFIG!$B$6)," · Evaluación de riesgo vencida","")&amp;IF(AND(ISNUMBER(AC215),AC215&lt;CONFIG!$B$6)," · Verificación anual vencida","")&amp;IF(AND(ISNUMBER(R215),ISNUMBER(S215),S215-R215&gt;92)," · Comprobante de domicilio con más de 3 meses","")&amp;IF(AND(T215&lt;&gt;"",U215="")," · Ajuste del REC sin justificación",""),4,400))</f>
        <v/>
      </c>
      <c r="AE215" s="9" t="str">
        <f aca="false">IF(A215="","",IF(AD215="","Al día","Revisar"))</f>
        <v/>
      </c>
      <c r="AF215" s="9" t="str">
        <f aca="false">IF(A215="","",COUNTIF(OPERACIONES!$C$6:$C$505,A215)&amp;" / $"&amp;FIXED(SUMIF(OPERACIONES!$C$6:$C$505,A215,OPERACIONES!$E$6:$E$505),0))</f>
        <v/>
      </c>
    </row>
    <row r="216" customFormat="false" ht="15" hidden="false" customHeight="false" outlineLevel="0" collapsed="false">
      <c r="A216" s="21"/>
      <c r="B216" s="21"/>
      <c r="C216" s="21"/>
      <c r="D216" s="21"/>
      <c r="E216" s="21"/>
      <c r="F216" s="21"/>
      <c r="G216" s="21"/>
      <c r="H216" s="21"/>
      <c r="I216" s="21"/>
      <c r="J216" s="21"/>
      <c r="K216" s="21"/>
      <c r="L216" s="21"/>
      <c r="M216" s="22"/>
      <c r="N216" s="20"/>
      <c r="O216" s="20"/>
      <c r="P216" s="21"/>
      <c r="Q216" s="21"/>
      <c r="R216" s="20"/>
      <c r="S216" s="20"/>
      <c r="T216" s="21"/>
      <c r="U216" s="21"/>
      <c r="V216" s="9" t="str">
        <f aca="false">IF(A216="","",SUMIFS(CONFIG!$F$5:$F$26,CONFIG!$D$5:$D$26,"Tipo de persona",CONFIG!$E$5:$E$26,C216)+SUMIFS(CONFIG!$F$5:$F$26,CONFIG!$D$5:$D$26,"Residencia",CONFIG!$E$5:$E$26,E216)+SUMIFS(CONFIG!$F$5:$F$26,CONFIG!$D$5:$D$26,"Nacionalidad",CONFIG!$E$5:$E$26,F216)+SUMIFS(CONFIG!$F$5:$F$26,CONFIG!$D$5:$D$26,"Jurisdicción de riesgo",CONFIG!$E$5:$E$26,G216)+SUMIFS(CONFIG!$F$5:$F$26,CONFIG!$D$5:$D$26,"PEP",CONFIG!$E$5:$E$26,H216)+SUMIFS(CONFIG!$F$5:$F$26,CONFIG!$D$5:$D$26,"En listas",CONFIG!$E$5:$E$26,I216)+SUMIFS(CONFIG!$F$5:$F$26,CONFIG!$D$5:$D$26,"Riesgo de su actividad económica",CONFIG!$E$5:$E$26,J216)+SUMIFS(CONFIG!$F$5:$F$26,CONFIG!$D$5:$D$26,"Canal",CONFIG!$E$5:$E$26,K216)+SUMIFS(CONFIG!$F$5:$F$26,CONFIG!$D$5:$D$26,"Origen de recursos documentado",CONFIG!$E$5:$E$26,L216))</f>
        <v/>
      </c>
      <c r="W216" s="9" t="str">
        <f aca="false">IF(A216="","",IF(SUMIF(OPERACIONES!$C$6:$C$505,A216,OPERACIONES!$E$6:$E$505)&gt;0,IF(SUMIF(OPERACIONES!$C$6:$C$505,A216,OPERACIONES!$F$6:$F$505)/SUMIF(OPERACIONES!$C$6:$C$505,A216,OPERACIONES!$E$6:$E$505)&gt;0.5,CONFIG!$B$20,IF(SUMIF(OPERACIONES!$C$6:$C$505,A216,OPERACIONES!$F$6:$F$505)&gt;0,CONFIG!$B$21,0)),0)+IF(COUNTIFS(OPERACIONES!$C$6:$C$505,A216,OPERACIONES!$AQ$6:$AQ$505,1)&gt;0,CONFIG!$B$22,0)+IF(COUNTIFS(OPERACIONES!$C$6:$C$505,A216,OPERACIONES!$H$6:$H$505,"Sí")&gt;0,CONFIG!$B$23,0))</f>
        <v/>
      </c>
      <c r="X216" s="9" t="str">
        <f aca="false">IF(A216="","",V216+W216)</f>
        <v/>
      </c>
      <c r="Y216" s="9" t="str">
        <f aca="false">IF(A216="","",IF(X216&lt;=CONFIG!$B$13,"Bajo",IF(X216&lt;=CONFIG!$B$14,"Medio","Alto")))</f>
        <v/>
      </c>
      <c r="Z216" s="25" t="str">
        <f aca="false">IF(A216="","",IF(OR(H216="Extranjera",AND(E216="No residente",G216="Sí"),I216="Sí"),"Alto",IF(T216&lt;&gt;"",T216,Y216)))</f>
        <v/>
      </c>
      <c r="AA216" s="26" t="str">
        <f aca="false">IF(A216="","",IF(H216="Extranjera","Alto obligatorio: PEP extranjera (RCG 23 Bis 4)",IF(AND(E216="No residente",G216="Sí"),"Alto obligatorio: no residente vinculado a jurisdicción de riesgo (RCG 23 Bis 4)",IF(I216="Sí","Alto por criterio: persona en listas. Evalúa no operar y Aviso de 24 h",IF(T216&lt;&gt;"","Ajuste del REC: "&amp;U216,"Modelo: "&amp;X216&amp;" puntos")))))</f>
        <v/>
      </c>
      <c r="AB216" s="23" t="str">
        <f aca="false">IF(A216="","",IF(COUNT(N216,O216)=0,"Falta fecha",EDATE(MAX(N216,O216),IF(Z216="Alto",CONFIG!$B$18,IF(Z216="Medio",CONFIG!$B$17,CONFIG!$B$16)))))</f>
        <v/>
      </c>
      <c r="AC216" s="23" t="str">
        <f aca="false">IF(A216="","",IF(ISNUMBER(S216),EDATE(S216,12),IF(ISNUMBER(N216),EDATE(N216,12),"Falta fecha")))</f>
        <v/>
      </c>
      <c r="AD216" s="26" t="str">
        <f aca="false">IF(A216="","",MID(IF(P216&lt;&gt;"Sí"," · Expediente incompleto","")&amp;IF(OR(Q216="",Q216="Pendiente")," · Falta el Beneficiario Controlador","")&amp;IF(M216=""," · Sin perfil transaccional","")&amp;IF(AND(ISNUMBER(AB216),AB216&lt;CONFIG!$B$6)," · Evaluación de riesgo vencida","")&amp;IF(AND(ISNUMBER(AC216),AC216&lt;CONFIG!$B$6)," · Verificación anual vencida","")&amp;IF(AND(ISNUMBER(R216),ISNUMBER(S216),S216-R216&gt;92)," · Comprobante de domicilio con más de 3 meses","")&amp;IF(AND(T216&lt;&gt;"",U216="")," · Ajuste del REC sin justificación",""),4,400))</f>
        <v/>
      </c>
      <c r="AE216" s="9" t="str">
        <f aca="false">IF(A216="","",IF(AD216="","Al día","Revisar"))</f>
        <v/>
      </c>
      <c r="AF216" s="9" t="str">
        <f aca="false">IF(A216="","",COUNTIF(OPERACIONES!$C$6:$C$505,A216)&amp;" / $"&amp;FIXED(SUMIF(OPERACIONES!$C$6:$C$505,A216,OPERACIONES!$E$6:$E$505),0))</f>
        <v/>
      </c>
    </row>
    <row r="217" customFormat="false" ht="15" hidden="false" customHeight="false" outlineLevel="0" collapsed="false">
      <c r="A217" s="21"/>
      <c r="B217" s="21"/>
      <c r="C217" s="21"/>
      <c r="D217" s="21"/>
      <c r="E217" s="21"/>
      <c r="F217" s="21"/>
      <c r="G217" s="21"/>
      <c r="H217" s="21"/>
      <c r="I217" s="21"/>
      <c r="J217" s="21"/>
      <c r="K217" s="21"/>
      <c r="L217" s="21"/>
      <c r="M217" s="22"/>
      <c r="N217" s="20"/>
      <c r="O217" s="20"/>
      <c r="P217" s="21"/>
      <c r="Q217" s="21"/>
      <c r="R217" s="20"/>
      <c r="S217" s="20"/>
      <c r="T217" s="21"/>
      <c r="U217" s="21"/>
      <c r="V217" s="9" t="str">
        <f aca="false">IF(A217="","",SUMIFS(CONFIG!$F$5:$F$26,CONFIG!$D$5:$D$26,"Tipo de persona",CONFIG!$E$5:$E$26,C217)+SUMIFS(CONFIG!$F$5:$F$26,CONFIG!$D$5:$D$26,"Residencia",CONFIG!$E$5:$E$26,E217)+SUMIFS(CONFIG!$F$5:$F$26,CONFIG!$D$5:$D$26,"Nacionalidad",CONFIG!$E$5:$E$26,F217)+SUMIFS(CONFIG!$F$5:$F$26,CONFIG!$D$5:$D$26,"Jurisdicción de riesgo",CONFIG!$E$5:$E$26,G217)+SUMIFS(CONFIG!$F$5:$F$26,CONFIG!$D$5:$D$26,"PEP",CONFIG!$E$5:$E$26,H217)+SUMIFS(CONFIG!$F$5:$F$26,CONFIG!$D$5:$D$26,"En listas",CONFIG!$E$5:$E$26,I217)+SUMIFS(CONFIG!$F$5:$F$26,CONFIG!$D$5:$D$26,"Riesgo de su actividad económica",CONFIG!$E$5:$E$26,J217)+SUMIFS(CONFIG!$F$5:$F$26,CONFIG!$D$5:$D$26,"Canal",CONFIG!$E$5:$E$26,K217)+SUMIFS(CONFIG!$F$5:$F$26,CONFIG!$D$5:$D$26,"Origen de recursos documentado",CONFIG!$E$5:$E$26,L217))</f>
        <v/>
      </c>
      <c r="W217" s="9" t="str">
        <f aca="false">IF(A217="","",IF(SUMIF(OPERACIONES!$C$6:$C$505,A217,OPERACIONES!$E$6:$E$505)&gt;0,IF(SUMIF(OPERACIONES!$C$6:$C$505,A217,OPERACIONES!$F$6:$F$505)/SUMIF(OPERACIONES!$C$6:$C$505,A217,OPERACIONES!$E$6:$E$505)&gt;0.5,CONFIG!$B$20,IF(SUMIF(OPERACIONES!$C$6:$C$505,A217,OPERACIONES!$F$6:$F$505)&gt;0,CONFIG!$B$21,0)),0)+IF(COUNTIFS(OPERACIONES!$C$6:$C$505,A217,OPERACIONES!$AQ$6:$AQ$505,1)&gt;0,CONFIG!$B$22,0)+IF(COUNTIFS(OPERACIONES!$C$6:$C$505,A217,OPERACIONES!$H$6:$H$505,"Sí")&gt;0,CONFIG!$B$23,0))</f>
        <v/>
      </c>
      <c r="X217" s="9" t="str">
        <f aca="false">IF(A217="","",V217+W217)</f>
        <v/>
      </c>
      <c r="Y217" s="9" t="str">
        <f aca="false">IF(A217="","",IF(X217&lt;=CONFIG!$B$13,"Bajo",IF(X217&lt;=CONFIG!$B$14,"Medio","Alto")))</f>
        <v/>
      </c>
      <c r="Z217" s="25" t="str">
        <f aca="false">IF(A217="","",IF(OR(H217="Extranjera",AND(E217="No residente",G217="Sí"),I217="Sí"),"Alto",IF(T217&lt;&gt;"",T217,Y217)))</f>
        <v/>
      </c>
      <c r="AA217" s="26" t="str">
        <f aca="false">IF(A217="","",IF(H217="Extranjera","Alto obligatorio: PEP extranjera (RCG 23 Bis 4)",IF(AND(E217="No residente",G217="Sí"),"Alto obligatorio: no residente vinculado a jurisdicción de riesgo (RCG 23 Bis 4)",IF(I217="Sí","Alto por criterio: persona en listas. Evalúa no operar y Aviso de 24 h",IF(T217&lt;&gt;"","Ajuste del REC: "&amp;U217,"Modelo: "&amp;X217&amp;" puntos")))))</f>
        <v/>
      </c>
      <c r="AB217" s="23" t="str">
        <f aca="false">IF(A217="","",IF(COUNT(N217,O217)=0,"Falta fecha",EDATE(MAX(N217,O217),IF(Z217="Alto",CONFIG!$B$18,IF(Z217="Medio",CONFIG!$B$17,CONFIG!$B$16)))))</f>
        <v/>
      </c>
      <c r="AC217" s="23" t="str">
        <f aca="false">IF(A217="","",IF(ISNUMBER(S217),EDATE(S217,12),IF(ISNUMBER(N217),EDATE(N217,12),"Falta fecha")))</f>
        <v/>
      </c>
      <c r="AD217" s="26" t="str">
        <f aca="false">IF(A217="","",MID(IF(P217&lt;&gt;"Sí"," · Expediente incompleto","")&amp;IF(OR(Q217="",Q217="Pendiente")," · Falta el Beneficiario Controlador","")&amp;IF(M217=""," · Sin perfil transaccional","")&amp;IF(AND(ISNUMBER(AB217),AB217&lt;CONFIG!$B$6)," · Evaluación de riesgo vencida","")&amp;IF(AND(ISNUMBER(AC217),AC217&lt;CONFIG!$B$6)," · Verificación anual vencida","")&amp;IF(AND(ISNUMBER(R217),ISNUMBER(S217),S217-R217&gt;92)," · Comprobante de domicilio con más de 3 meses","")&amp;IF(AND(T217&lt;&gt;"",U217="")," · Ajuste del REC sin justificación",""),4,400))</f>
        <v/>
      </c>
      <c r="AE217" s="9" t="str">
        <f aca="false">IF(A217="","",IF(AD217="","Al día","Revisar"))</f>
        <v/>
      </c>
      <c r="AF217" s="9" t="str">
        <f aca="false">IF(A217="","",COUNTIF(OPERACIONES!$C$6:$C$505,A217)&amp;" / $"&amp;FIXED(SUMIF(OPERACIONES!$C$6:$C$505,A217,OPERACIONES!$E$6:$E$505),0))</f>
        <v/>
      </c>
    </row>
    <row r="218" customFormat="false" ht="15" hidden="false" customHeight="false" outlineLevel="0" collapsed="false">
      <c r="A218" s="21"/>
      <c r="B218" s="21"/>
      <c r="C218" s="21"/>
      <c r="D218" s="21"/>
      <c r="E218" s="21"/>
      <c r="F218" s="21"/>
      <c r="G218" s="21"/>
      <c r="H218" s="21"/>
      <c r="I218" s="21"/>
      <c r="J218" s="21"/>
      <c r="K218" s="21"/>
      <c r="L218" s="21"/>
      <c r="M218" s="22"/>
      <c r="N218" s="20"/>
      <c r="O218" s="20"/>
      <c r="P218" s="21"/>
      <c r="Q218" s="21"/>
      <c r="R218" s="20"/>
      <c r="S218" s="20"/>
      <c r="T218" s="21"/>
      <c r="U218" s="21"/>
      <c r="V218" s="9" t="str">
        <f aca="false">IF(A218="","",SUMIFS(CONFIG!$F$5:$F$26,CONFIG!$D$5:$D$26,"Tipo de persona",CONFIG!$E$5:$E$26,C218)+SUMIFS(CONFIG!$F$5:$F$26,CONFIG!$D$5:$D$26,"Residencia",CONFIG!$E$5:$E$26,E218)+SUMIFS(CONFIG!$F$5:$F$26,CONFIG!$D$5:$D$26,"Nacionalidad",CONFIG!$E$5:$E$26,F218)+SUMIFS(CONFIG!$F$5:$F$26,CONFIG!$D$5:$D$26,"Jurisdicción de riesgo",CONFIG!$E$5:$E$26,G218)+SUMIFS(CONFIG!$F$5:$F$26,CONFIG!$D$5:$D$26,"PEP",CONFIG!$E$5:$E$26,H218)+SUMIFS(CONFIG!$F$5:$F$26,CONFIG!$D$5:$D$26,"En listas",CONFIG!$E$5:$E$26,I218)+SUMIFS(CONFIG!$F$5:$F$26,CONFIG!$D$5:$D$26,"Riesgo de su actividad económica",CONFIG!$E$5:$E$26,J218)+SUMIFS(CONFIG!$F$5:$F$26,CONFIG!$D$5:$D$26,"Canal",CONFIG!$E$5:$E$26,K218)+SUMIFS(CONFIG!$F$5:$F$26,CONFIG!$D$5:$D$26,"Origen de recursos documentado",CONFIG!$E$5:$E$26,L218))</f>
        <v/>
      </c>
      <c r="W218" s="9" t="str">
        <f aca="false">IF(A218="","",IF(SUMIF(OPERACIONES!$C$6:$C$505,A218,OPERACIONES!$E$6:$E$505)&gt;0,IF(SUMIF(OPERACIONES!$C$6:$C$505,A218,OPERACIONES!$F$6:$F$505)/SUMIF(OPERACIONES!$C$6:$C$505,A218,OPERACIONES!$E$6:$E$505)&gt;0.5,CONFIG!$B$20,IF(SUMIF(OPERACIONES!$C$6:$C$505,A218,OPERACIONES!$F$6:$F$505)&gt;0,CONFIG!$B$21,0)),0)+IF(COUNTIFS(OPERACIONES!$C$6:$C$505,A218,OPERACIONES!$AQ$6:$AQ$505,1)&gt;0,CONFIG!$B$22,0)+IF(COUNTIFS(OPERACIONES!$C$6:$C$505,A218,OPERACIONES!$H$6:$H$505,"Sí")&gt;0,CONFIG!$B$23,0))</f>
        <v/>
      </c>
      <c r="X218" s="9" t="str">
        <f aca="false">IF(A218="","",V218+W218)</f>
        <v/>
      </c>
      <c r="Y218" s="9" t="str">
        <f aca="false">IF(A218="","",IF(X218&lt;=CONFIG!$B$13,"Bajo",IF(X218&lt;=CONFIG!$B$14,"Medio","Alto")))</f>
        <v/>
      </c>
      <c r="Z218" s="25" t="str">
        <f aca="false">IF(A218="","",IF(OR(H218="Extranjera",AND(E218="No residente",G218="Sí"),I218="Sí"),"Alto",IF(T218&lt;&gt;"",T218,Y218)))</f>
        <v/>
      </c>
      <c r="AA218" s="26" t="str">
        <f aca="false">IF(A218="","",IF(H218="Extranjera","Alto obligatorio: PEP extranjera (RCG 23 Bis 4)",IF(AND(E218="No residente",G218="Sí"),"Alto obligatorio: no residente vinculado a jurisdicción de riesgo (RCG 23 Bis 4)",IF(I218="Sí","Alto por criterio: persona en listas. Evalúa no operar y Aviso de 24 h",IF(T218&lt;&gt;"","Ajuste del REC: "&amp;U218,"Modelo: "&amp;X218&amp;" puntos")))))</f>
        <v/>
      </c>
      <c r="AB218" s="23" t="str">
        <f aca="false">IF(A218="","",IF(COUNT(N218,O218)=0,"Falta fecha",EDATE(MAX(N218,O218),IF(Z218="Alto",CONFIG!$B$18,IF(Z218="Medio",CONFIG!$B$17,CONFIG!$B$16)))))</f>
        <v/>
      </c>
      <c r="AC218" s="23" t="str">
        <f aca="false">IF(A218="","",IF(ISNUMBER(S218),EDATE(S218,12),IF(ISNUMBER(N218),EDATE(N218,12),"Falta fecha")))</f>
        <v/>
      </c>
      <c r="AD218" s="26" t="str">
        <f aca="false">IF(A218="","",MID(IF(P218&lt;&gt;"Sí"," · Expediente incompleto","")&amp;IF(OR(Q218="",Q218="Pendiente")," · Falta el Beneficiario Controlador","")&amp;IF(M218=""," · Sin perfil transaccional","")&amp;IF(AND(ISNUMBER(AB218),AB218&lt;CONFIG!$B$6)," · Evaluación de riesgo vencida","")&amp;IF(AND(ISNUMBER(AC218),AC218&lt;CONFIG!$B$6)," · Verificación anual vencida","")&amp;IF(AND(ISNUMBER(R218),ISNUMBER(S218),S218-R218&gt;92)," · Comprobante de domicilio con más de 3 meses","")&amp;IF(AND(T218&lt;&gt;"",U218="")," · Ajuste del REC sin justificación",""),4,400))</f>
        <v/>
      </c>
      <c r="AE218" s="9" t="str">
        <f aca="false">IF(A218="","",IF(AD218="","Al día","Revisar"))</f>
        <v/>
      </c>
      <c r="AF218" s="9" t="str">
        <f aca="false">IF(A218="","",COUNTIF(OPERACIONES!$C$6:$C$505,A218)&amp;" / $"&amp;FIXED(SUMIF(OPERACIONES!$C$6:$C$505,A218,OPERACIONES!$E$6:$E$505),0))</f>
        <v/>
      </c>
    </row>
    <row r="219" customFormat="false" ht="15" hidden="false" customHeight="false" outlineLevel="0" collapsed="false">
      <c r="A219" s="21"/>
      <c r="B219" s="21"/>
      <c r="C219" s="21"/>
      <c r="D219" s="21"/>
      <c r="E219" s="21"/>
      <c r="F219" s="21"/>
      <c r="G219" s="21"/>
      <c r="H219" s="21"/>
      <c r="I219" s="21"/>
      <c r="J219" s="21"/>
      <c r="K219" s="21"/>
      <c r="L219" s="21"/>
      <c r="M219" s="22"/>
      <c r="N219" s="20"/>
      <c r="O219" s="20"/>
      <c r="P219" s="21"/>
      <c r="Q219" s="21"/>
      <c r="R219" s="20"/>
      <c r="S219" s="20"/>
      <c r="T219" s="21"/>
      <c r="U219" s="21"/>
      <c r="V219" s="9" t="str">
        <f aca="false">IF(A219="","",SUMIFS(CONFIG!$F$5:$F$26,CONFIG!$D$5:$D$26,"Tipo de persona",CONFIG!$E$5:$E$26,C219)+SUMIFS(CONFIG!$F$5:$F$26,CONFIG!$D$5:$D$26,"Residencia",CONFIG!$E$5:$E$26,E219)+SUMIFS(CONFIG!$F$5:$F$26,CONFIG!$D$5:$D$26,"Nacionalidad",CONFIG!$E$5:$E$26,F219)+SUMIFS(CONFIG!$F$5:$F$26,CONFIG!$D$5:$D$26,"Jurisdicción de riesgo",CONFIG!$E$5:$E$26,G219)+SUMIFS(CONFIG!$F$5:$F$26,CONFIG!$D$5:$D$26,"PEP",CONFIG!$E$5:$E$26,H219)+SUMIFS(CONFIG!$F$5:$F$26,CONFIG!$D$5:$D$26,"En listas",CONFIG!$E$5:$E$26,I219)+SUMIFS(CONFIG!$F$5:$F$26,CONFIG!$D$5:$D$26,"Riesgo de su actividad económica",CONFIG!$E$5:$E$26,J219)+SUMIFS(CONFIG!$F$5:$F$26,CONFIG!$D$5:$D$26,"Canal",CONFIG!$E$5:$E$26,K219)+SUMIFS(CONFIG!$F$5:$F$26,CONFIG!$D$5:$D$26,"Origen de recursos documentado",CONFIG!$E$5:$E$26,L219))</f>
        <v/>
      </c>
      <c r="W219" s="9" t="str">
        <f aca="false">IF(A219="","",IF(SUMIF(OPERACIONES!$C$6:$C$505,A219,OPERACIONES!$E$6:$E$505)&gt;0,IF(SUMIF(OPERACIONES!$C$6:$C$505,A219,OPERACIONES!$F$6:$F$505)/SUMIF(OPERACIONES!$C$6:$C$505,A219,OPERACIONES!$E$6:$E$505)&gt;0.5,CONFIG!$B$20,IF(SUMIF(OPERACIONES!$C$6:$C$505,A219,OPERACIONES!$F$6:$F$505)&gt;0,CONFIG!$B$21,0)),0)+IF(COUNTIFS(OPERACIONES!$C$6:$C$505,A219,OPERACIONES!$AQ$6:$AQ$505,1)&gt;0,CONFIG!$B$22,0)+IF(COUNTIFS(OPERACIONES!$C$6:$C$505,A219,OPERACIONES!$H$6:$H$505,"Sí")&gt;0,CONFIG!$B$23,0))</f>
        <v/>
      </c>
      <c r="X219" s="9" t="str">
        <f aca="false">IF(A219="","",V219+W219)</f>
        <v/>
      </c>
      <c r="Y219" s="9" t="str">
        <f aca="false">IF(A219="","",IF(X219&lt;=CONFIG!$B$13,"Bajo",IF(X219&lt;=CONFIG!$B$14,"Medio","Alto")))</f>
        <v/>
      </c>
      <c r="Z219" s="25" t="str">
        <f aca="false">IF(A219="","",IF(OR(H219="Extranjera",AND(E219="No residente",G219="Sí"),I219="Sí"),"Alto",IF(T219&lt;&gt;"",T219,Y219)))</f>
        <v/>
      </c>
      <c r="AA219" s="26" t="str">
        <f aca="false">IF(A219="","",IF(H219="Extranjera","Alto obligatorio: PEP extranjera (RCG 23 Bis 4)",IF(AND(E219="No residente",G219="Sí"),"Alto obligatorio: no residente vinculado a jurisdicción de riesgo (RCG 23 Bis 4)",IF(I219="Sí","Alto por criterio: persona en listas. Evalúa no operar y Aviso de 24 h",IF(T219&lt;&gt;"","Ajuste del REC: "&amp;U219,"Modelo: "&amp;X219&amp;" puntos")))))</f>
        <v/>
      </c>
      <c r="AB219" s="23" t="str">
        <f aca="false">IF(A219="","",IF(COUNT(N219,O219)=0,"Falta fecha",EDATE(MAX(N219,O219),IF(Z219="Alto",CONFIG!$B$18,IF(Z219="Medio",CONFIG!$B$17,CONFIG!$B$16)))))</f>
        <v/>
      </c>
      <c r="AC219" s="23" t="str">
        <f aca="false">IF(A219="","",IF(ISNUMBER(S219),EDATE(S219,12),IF(ISNUMBER(N219),EDATE(N219,12),"Falta fecha")))</f>
        <v/>
      </c>
      <c r="AD219" s="26" t="str">
        <f aca="false">IF(A219="","",MID(IF(P219&lt;&gt;"Sí"," · Expediente incompleto","")&amp;IF(OR(Q219="",Q219="Pendiente")," · Falta el Beneficiario Controlador","")&amp;IF(M219=""," · Sin perfil transaccional","")&amp;IF(AND(ISNUMBER(AB219),AB219&lt;CONFIG!$B$6)," · Evaluación de riesgo vencida","")&amp;IF(AND(ISNUMBER(AC219),AC219&lt;CONFIG!$B$6)," · Verificación anual vencida","")&amp;IF(AND(ISNUMBER(R219),ISNUMBER(S219),S219-R219&gt;92)," · Comprobante de domicilio con más de 3 meses","")&amp;IF(AND(T219&lt;&gt;"",U219="")," · Ajuste del REC sin justificación",""),4,400))</f>
        <v/>
      </c>
      <c r="AE219" s="9" t="str">
        <f aca="false">IF(A219="","",IF(AD219="","Al día","Revisar"))</f>
        <v/>
      </c>
      <c r="AF219" s="9" t="str">
        <f aca="false">IF(A219="","",COUNTIF(OPERACIONES!$C$6:$C$505,A219)&amp;" / $"&amp;FIXED(SUMIF(OPERACIONES!$C$6:$C$505,A219,OPERACIONES!$E$6:$E$505),0))</f>
        <v/>
      </c>
    </row>
    <row r="220" customFormat="false" ht="15" hidden="false" customHeight="false" outlineLevel="0" collapsed="false">
      <c r="A220" s="21"/>
      <c r="B220" s="21"/>
      <c r="C220" s="21"/>
      <c r="D220" s="21"/>
      <c r="E220" s="21"/>
      <c r="F220" s="21"/>
      <c r="G220" s="21"/>
      <c r="H220" s="21"/>
      <c r="I220" s="21"/>
      <c r="J220" s="21"/>
      <c r="K220" s="21"/>
      <c r="L220" s="21"/>
      <c r="M220" s="22"/>
      <c r="N220" s="20"/>
      <c r="O220" s="20"/>
      <c r="P220" s="21"/>
      <c r="Q220" s="21"/>
      <c r="R220" s="20"/>
      <c r="S220" s="20"/>
      <c r="T220" s="21"/>
      <c r="U220" s="21"/>
      <c r="V220" s="9" t="str">
        <f aca="false">IF(A220="","",SUMIFS(CONFIG!$F$5:$F$26,CONFIG!$D$5:$D$26,"Tipo de persona",CONFIG!$E$5:$E$26,C220)+SUMIFS(CONFIG!$F$5:$F$26,CONFIG!$D$5:$D$26,"Residencia",CONFIG!$E$5:$E$26,E220)+SUMIFS(CONFIG!$F$5:$F$26,CONFIG!$D$5:$D$26,"Nacionalidad",CONFIG!$E$5:$E$26,F220)+SUMIFS(CONFIG!$F$5:$F$26,CONFIG!$D$5:$D$26,"Jurisdicción de riesgo",CONFIG!$E$5:$E$26,G220)+SUMIFS(CONFIG!$F$5:$F$26,CONFIG!$D$5:$D$26,"PEP",CONFIG!$E$5:$E$26,H220)+SUMIFS(CONFIG!$F$5:$F$26,CONFIG!$D$5:$D$26,"En listas",CONFIG!$E$5:$E$26,I220)+SUMIFS(CONFIG!$F$5:$F$26,CONFIG!$D$5:$D$26,"Riesgo de su actividad económica",CONFIG!$E$5:$E$26,J220)+SUMIFS(CONFIG!$F$5:$F$26,CONFIG!$D$5:$D$26,"Canal",CONFIG!$E$5:$E$26,K220)+SUMIFS(CONFIG!$F$5:$F$26,CONFIG!$D$5:$D$26,"Origen de recursos documentado",CONFIG!$E$5:$E$26,L220))</f>
        <v/>
      </c>
      <c r="W220" s="9" t="str">
        <f aca="false">IF(A220="","",IF(SUMIF(OPERACIONES!$C$6:$C$505,A220,OPERACIONES!$E$6:$E$505)&gt;0,IF(SUMIF(OPERACIONES!$C$6:$C$505,A220,OPERACIONES!$F$6:$F$505)/SUMIF(OPERACIONES!$C$6:$C$505,A220,OPERACIONES!$E$6:$E$505)&gt;0.5,CONFIG!$B$20,IF(SUMIF(OPERACIONES!$C$6:$C$505,A220,OPERACIONES!$F$6:$F$505)&gt;0,CONFIG!$B$21,0)),0)+IF(COUNTIFS(OPERACIONES!$C$6:$C$505,A220,OPERACIONES!$AQ$6:$AQ$505,1)&gt;0,CONFIG!$B$22,0)+IF(COUNTIFS(OPERACIONES!$C$6:$C$505,A220,OPERACIONES!$H$6:$H$505,"Sí")&gt;0,CONFIG!$B$23,0))</f>
        <v/>
      </c>
      <c r="X220" s="9" t="str">
        <f aca="false">IF(A220="","",V220+W220)</f>
        <v/>
      </c>
      <c r="Y220" s="9" t="str">
        <f aca="false">IF(A220="","",IF(X220&lt;=CONFIG!$B$13,"Bajo",IF(X220&lt;=CONFIG!$B$14,"Medio","Alto")))</f>
        <v/>
      </c>
      <c r="Z220" s="25" t="str">
        <f aca="false">IF(A220="","",IF(OR(H220="Extranjera",AND(E220="No residente",G220="Sí"),I220="Sí"),"Alto",IF(T220&lt;&gt;"",T220,Y220)))</f>
        <v/>
      </c>
      <c r="AA220" s="26" t="str">
        <f aca="false">IF(A220="","",IF(H220="Extranjera","Alto obligatorio: PEP extranjera (RCG 23 Bis 4)",IF(AND(E220="No residente",G220="Sí"),"Alto obligatorio: no residente vinculado a jurisdicción de riesgo (RCG 23 Bis 4)",IF(I220="Sí","Alto por criterio: persona en listas. Evalúa no operar y Aviso de 24 h",IF(T220&lt;&gt;"","Ajuste del REC: "&amp;U220,"Modelo: "&amp;X220&amp;" puntos")))))</f>
        <v/>
      </c>
      <c r="AB220" s="23" t="str">
        <f aca="false">IF(A220="","",IF(COUNT(N220,O220)=0,"Falta fecha",EDATE(MAX(N220,O220),IF(Z220="Alto",CONFIG!$B$18,IF(Z220="Medio",CONFIG!$B$17,CONFIG!$B$16)))))</f>
        <v/>
      </c>
      <c r="AC220" s="23" t="str">
        <f aca="false">IF(A220="","",IF(ISNUMBER(S220),EDATE(S220,12),IF(ISNUMBER(N220),EDATE(N220,12),"Falta fecha")))</f>
        <v/>
      </c>
      <c r="AD220" s="26" t="str">
        <f aca="false">IF(A220="","",MID(IF(P220&lt;&gt;"Sí"," · Expediente incompleto","")&amp;IF(OR(Q220="",Q220="Pendiente")," · Falta el Beneficiario Controlador","")&amp;IF(M220=""," · Sin perfil transaccional","")&amp;IF(AND(ISNUMBER(AB220),AB220&lt;CONFIG!$B$6)," · Evaluación de riesgo vencida","")&amp;IF(AND(ISNUMBER(AC220),AC220&lt;CONFIG!$B$6)," · Verificación anual vencida","")&amp;IF(AND(ISNUMBER(R220),ISNUMBER(S220),S220-R220&gt;92)," · Comprobante de domicilio con más de 3 meses","")&amp;IF(AND(T220&lt;&gt;"",U220="")," · Ajuste del REC sin justificación",""),4,400))</f>
        <v/>
      </c>
      <c r="AE220" s="9" t="str">
        <f aca="false">IF(A220="","",IF(AD220="","Al día","Revisar"))</f>
        <v/>
      </c>
      <c r="AF220" s="9" t="str">
        <f aca="false">IF(A220="","",COUNTIF(OPERACIONES!$C$6:$C$505,A220)&amp;" / $"&amp;FIXED(SUMIF(OPERACIONES!$C$6:$C$505,A220,OPERACIONES!$E$6:$E$505),0))</f>
        <v/>
      </c>
    </row>
    <row r="221" customFormat="false" ht="15" hidden="false" customHeight="false" outlineLevel="0" collapsed="false">
      <c r="A221" s="21"/>
      <c r="B221" s="21"/>
      <c r="C221" s="21"/>
      <c r="D221" s="21"/>
      <c r="E221" s="21"/>
      <c r="F221" s="21"/>
      <c r="G221" s="21"/>
      <c r="H221" s="21"/>
      <c r="I221" s="21"/>
      <c r="J221" s="21"/>
      <c r="K221" s="21"/>
      <c r="L221" s="21"/>
      <c r="M221" s="22"/>
      <c r="N221" s="20"/>
      <c r="O221" s="20"/>
      <c r="P221" s="21"/>
      <c r="Q221" s="21"/>
      <c r="R221" s="20"/>
      <c r="S221" s="20"/>
      <c r="T221" s="21"/>
      <c r="U221" s="21"/>
      <c r="V221" s="9" t="str">
        <f aca="false">IF(A221="","",SUMIFS(CONFIG!$F$5:$F$26,CONFIG!$D$5:$D$26,"Tipo de persona",CONFIG!$E$5:$E$26,C221)+SUMIFS(CONFIG!$F$5:$F$26,CONFIG!$D$5:$D$26,"Residencia",CONFIG!$E$5:$E$26,E221)+SUMIFS(CONFIG!$F$5:$F$26,CONFIG!$D$5:$D$26,"Nacionalidad",CONFIG!$E$5:$E$26,F221)+SUMIFS(CONFIG!$F$5:$F$26,CONFIG!$D$5:$D$26,"Jurisdicción de riesgo",CONFIG!$E$5:$E$26,G221)+SUMIFS(CONFIG!$F$5:$F$26,CONFIG!$D$5:$D$26,"PEP",CONFIG!$E$5:$E$26,H221)+SUMIFS(CONFIG!$F$5:$F$26,CONFIG!$D$5:$D$26,"En listas",CONFIG!$E$5:$E$26,I221)+SUMIFS(CONFIG!$F$5:$F$26,CONFIG!$D$5:$D$26,"Riesgo de su actividad económica",CONFIG!$E$5:$E$26,J221)+SUMIFS(CONFIG!$F$5:$F$26,CONFIG!$D$5:$D$26,"Canal",CONFIG!$E$5:$E$26,K221)+SUMIFS(CONFIG!$F$5:$F$26,CONFIG!$D$5:$D$26,"Origen de recursos documentado",CONFIG!$E$5:$E$26,L221))</f>
        <v/>
      </c>
      <c r="W221" s="9" t="str">
        <f aca="false">IF(A221="","",IF(SUMIF(OPERACIONES!$C$6:$C$505,A221,OPERACIONES!$E$6:$E$505)&gt;0,IF(SUMIF(OPERACIONES!$C$6:$C$505,A221,OPERACIONES!$F$6:$F$505)/SUMIF(OPERACIONES!$C$6:$C$505,A221,OPERACIONES!$E$6:$E$505)&gt;0.5,CONFIG!$B$20,IF(SUMIF(OPERACIONES!$C$6:$C$505,A221,OPERACIONES!$F$6:$F$505)&gt;0,CONFIG!$B$21,0)),0)+IF(COUNTIFS(OPERACIONES!$C$6:$C$505,A221,OPERACIONES!$AQ$6:$AQ$505,1)&gt;0,CONFIG!$B$22,0)+IF(COUNTIFS(OPERACIONES!$C$6:$C$505,A221,OPERACIONES!$H$6:$H$505,"Sí")&gt;0,CONFIG!$B$23,0))</f>
        <v/>
      </c>
      <c r="X221" s="9" t="str">
        <f aca="false">IF(A221="","",V221+W221)</f>
        <v/>
      </c>
      <c r="Y221" s="9" t="str">
        <f aca="false">IF(A221="","",IF(X221&lt;=CONFIG!$B$13,"Bajo",IF(X221&lt;=CONFIG!$B$14,"Medio","Alto")))</f>
        <v/>
      </c>
      <c r="Z221" s="25" t="str">
        <f aca="false">IF(A221="","",IF(OR(H221="Extranjera",AND(E221="No residente",G221="Sí"),I221="Sí"),"Alto",IF(T221&lt;&gt;"",T221,Y221)))</f>
        <v/>
      </c>
      <c r="AA221" s="26" t="str">
        <f aca="false">IF(A221="","",IF(H221="Extranjera","Alto obligatorio: PEP extranjera (RCG 23 Bis 4)",IF(AND(E221="No residente",G221="Sí"),"Alto obligatorio: no residente vinculado a jurisdicción de riesgo (RCG 23 Bis 4)",IF(I221="Sí","Alto por criterio: persona en listas. Evalúa no operar y Aviso de 24 h",IF(T221&lt;&gt;"","Ajuste del REC: "&amp;U221,"Modelo: "&amp;X221&amp;" puntos")))))</f>
        <v/>
      </c>
      <c r="AB221" s="23" t="str">
        <f aca="false">IF(A221="","",IF(COUNT(N221,O221)=0,"Falta fecha",EDATE(MAX(N221,O221),IF(Z221="Alto",CONFIG!$B$18,IF(Z221="Medio",CONFIG!$B$17,CONFIG!$B$16)))))</f>
        <v/>
      </c>
      <c r="AC221" s="23" t="str">
        <f aca="false">IF(A221="","",IF(ISNUMBER(S221),EDATE(S221,12),IF(ISNUMBER(N221),EDATE(N221,12),"Falta fecha")))</f>
        <v/>
      </c>
      <c r="AD221" s="26" t="str">
        <f aca="false">IF(A221="","",MID(IF(P221&lt;&gt;"Sí"," · Expediente incompleto","")&amp;IF(OR(Q221="",Q221="Pendiente")," · Falta el Beneficiario Controlador","")&amp;IF(M221=""," · Sin perfil transaccional","")&amp;IF(AND(ISNUMBER(AB221),AB221&lt;CONFIG!$B$6)," · Evaluación de riesgo vencida","")&amp;IF(AND(ISNUMBER(AC221),AC221&lt;CONFIG!$B$6)," · Verificación anual vencida","")&amp;IF(AND(ISNUMBER(R221),ISNUMBER(S221),S221-R221&gt;92)," · Comprobante de domicilio con más de 3 meses","")&amp;IF(AND(T221&lt;&gt;"",U221="")," · Ajuste del REC sin justificación",""),4,400))</f>
        <v/>
      </c>
      <c r="AE221" s="9" t="str">
        <f aca="false">IF(A221="","",IF(AD221="","Al día","Revisar"))</f>
        <v/>
      </c>
      <c r="AF221" s="9" t="str">
        <f aca="false">IF(A221="","",COUNTIF(OPERACIONES!$C$6:$C$505,A221)&amp;" / $"&amp;FIXED(SUMIF(OPERACIONES!$C$6:$C$505,A221,OPERACIONES!$E$6:$E$505),0))</f>
        <v/>
      </c>
    </row>
    <row r="222" customFormat="false" ht="15" hidden="false" customHeight="false" outlineLevel="0" collapsed="false">
      <c r="A222" s="21"/>
      <c r="B222" s="21"/>
      <c r="C222" s="21"/>
      <c r="D222" s="21"/>
      <c r="E222" s="21"/>
      <c r="F222" s="21"/>
      <c r="G222" s="21"/>
      <c r="H222" s="21"/>
      <c r="I222" s="21"/>
      <c r="J222" s="21"/>
      <c r="K222" s="21"/>
      <c r="L222" s="21"/>
      <c r="M222" s="22"/>
      <c r="N222" s="20"/>
      <c r="O222" s="20"/>
      <c r="P222" s="21"/>
      <c r="Q222" s="21"/>
      <c r="R222" s="20"/>
      <c r="S222" s="20"/>
      <c r="T222" s="21"/>
      <c r="U222" s="21"/>
      <c r="V222" s="9" t="str">
        <f aca="false">IF(A222="","",SUMIFS(CONFIG!$F$5:$F$26,CONFIG!$D$5:$D$26,"Tipo de persona",CONFIG!$E$5:$E$26,C222)+SUMIFS(CONFIG!$F$5:$F$26,CONFIG!$D$5:$D$26,"Residencia",CONFIG!$E$5:$E$26,E222)+SUMIFS(CONFIG!$F$5:$F$26,CONFIG!$D$5:$D$26,"Nacionalidad",CONFIG!$E$5:$E$26,F222)+SUMIFS(CONFIG!$F$5:$F$26,CONFIG!$D$5:$D$26,"Jurisdicción de riesgo",CONFIG!$E$5:$E$26,G222)+SUMIFS(CONFIG!$F$5:$F$26,CONFIG!$D$5:$D$26,"PEP",CONFIG!$E$5:$E$26,H222)+SUMIFS(CONFIG!$F$5:$F$26,CONFIG!$D$5:$D$26,"En listas",CONFIG!$E$5:$E$26,I222)+SUMIFS(CONFIG!$F$5:$F$26,CONFIG!$D$5:$D$26,"Riesgo de su actividad económica",CONFIG!$E$5:$E$26,J222)+SUMIFS(CONFIG!$F$5:$F$26,CONFIG!$D$5:$D$26,"Canal",CONFIG!$E$5:$E$26,K222)+SUMIFS(CONFIG!$F$5:$F$26,CONFIG!$D$5:$D$26,"Origen de recursos documentado",CONFIG!$E$5:$E$26,L222))</f>
        <v/>
      </c>
      <c r="W222" s="9" t="str">
        <f aca="false">IF(A222="","",IF(SUMIF(OPERACIONES!$C$6:$C$505,A222,OPERACIONES!$E$6:$E$505)&gt;0,IF(SUMIF(OPERACIONES!$C$6:$C$505,A222,OPERACIONES!$F$6:$F$505)/SUMIF(OPERACIONES!$C$6:$C$505,A222,OPERACIONES!$E$6:$E$505)&gt;0.5,CONFIG!$B$20,IF(SUMIF(OPERACIONES!$C$6:$C$505,A222,OPERACIONES!$F$6:$F$505)&gt;0,CONFIG!$B$21,0)),0)+IF(COUNTIFS(OPERACIONES!$C$6:$C$505,A222,OPERACIONES!$AQ$6:$AQ$505,1)&gt;0,CONFIG!$B$22,0)+IF(COUNTIFS(OPERACIONES!$C$6:$C$505,A222,OPERACIONES!$H$6:$H$505,"Sí")&gt;0,CONFIG!$B$23,0))</f>
        <v/>
      </c>
      <c r="X222" s="9" t="str">
        <f aca="false">IF(A222="","",V222+W222)</f>
        <v/>
      </c>
      <c r="Y222" s="9" t="str">
        <f aca="false">IF(A222="","",IF(X222&lt;=CONFIG!$B$13,"Bajo",IF(X222&lt;=CONFIG!$B$14,"Medio","Alto")))</f>
        <v/>
      </c>
      <c r="Z222" s="25" t="str">
        <f aca="false">IF(A222="","",IF(OR(H222="Extranjera",AND(E222="No residente",G222="Sí"),I222="Sí"),"Alto",IF(T222&lt;&gt;"",T222,Y222)))</f>
        <v/>
      </c>
      <c r="AA222" s="26" t="str">
        <f aca="false">IF(A222="","",IF(H222="Extranjera","Alto obligatorio: PEP extranjera (RCG 23 Bis 4)",IF(AND(E222="No residente",G222="Sí"),"Alto obligatorio: no residente vinculado a jurisdicción de riesgo (RCG 23 Bis 4)",IF(I222="Sí","Alto por criterio: persona en listas. Evalúa no operar y Aviso de 24 h",IF(T222&lt;&gt;"","Ajuste del REC: "&amp;U222,"Modelo: "&amp;X222&amp;" puntos")))))</f>
        <v/>
      </c>
      <c r="AB222" s="23" t="str">
        <f aca="false">IF(A222="","",IF(COUNT(N222,O222)=0,"Falta fecha",EDATE(MAX(N222,O222),IF(Z222="Alto",CONFIG!$B$18,IF(Z222="Medio",CONFIG!$B$17,CONFIG!$B$16)))))</f>
        <v/>
      </c>
      <c r="AC222" s="23" t="str">
        <f aca="false">IF(A222="","",IF(ISNUMBER(S222),EDATE(S222,12),IF(ISNUMBER(N222),EDATE(N222,12),"Falta fecha")))</f>
        <v/>
      </c>
      <c r="AD222" s="26" t="str">
        <f aca="false">IF(A222="","",MID(IF(P222&lt;&gt;"Sí"," · Expediente incompleto","")&amp;IF(OR(Q222="",Q222="Pendiente")," · Falta el Beneficiario Controlador","")&amp;IF(M222=""," · Sin perfil transaccional","")&amp;IF(AND(ISNUMBER(AB222),AB222&lt;CONFIG!$B$6)," · Evaluación de riesgo vencida","")&amp;IF(AND(ISNUMBER(AC222),AC222&lt;CONFIG!$B$6)," · Verificación anual vencida","")&amp;IF(AND(ISNUMBER(R222),ISNUMBER(S222),S222-R222&gt;92)," · Comprobante de domicilio con más de 3 meses","")&amp;IF(AND(T222&lt;&gt;"",U222="")," · Ajuste del REC sin justificación",""),4,400))</f>
        <v/>
      </c>
      <c r="AE222" s="9" t="str">
        <f aca="false">IF(A222="","",IF(AD222="","Al día","Revisar"))</f>
        <v/>
      </c>
      <c r="AF222" s="9" t="str">
        <f aca="false">IF(A222="","",COUNTIF(OPERACIONES!$C$6:$C$505,A222)&amp;" / $"&amp;FIXED(SUMIF(OPERACIONES!$C$6:$C$505,A222,OPERACIONES!$E$6:$E$505),0))</f>
        <v/>
      </c>
    </row>
    <row r="223" customFormat="false" ht="15" hidden="false" customHeight="false" outlineLevel="0" collapsed="false">
      <c r="A223" s="21"/>
      <c r="B223" s="21"/>
      <c r="C223" s="21"/>
      <c r="D223" s="21"/>
      <c r="E223" s="21"/>
      <c r="F223" s="21"/>
      <c r="G223" s="21"/>
      <c r="H223" s="21"/>
      <c r="I223" s="21"/>
      <c r="J223" s="21"/>
      <c r="K223" s="21"/>
      <c r="L223" s="21"/>
      <c r="M223" s="22"/>
      <c r="N223" s="20"/>
      <c r="O223" s="20"/>
      <c r="P223" s="21"/>
      <c r="Q223" s="21"/>
      <c r="R223" s="20"/>
      <c r="S223" s="20"/>
      <c r="T223" s="21"/>
      <c r="U223" s="21"/>
      <c r="V223" s="9" t="str">
        <f aca="false">IF(A223="","",SUMIFS(CONFIG!$F$5:$F$26,CONFIG!$D$5:$D$26,"Tipo de persona",CONFIG!$E$5:$E$26,C223)+SUMIFS(CONFIG!$F$5:$F$26,CONFIG!$D$5:$D$26,"Residencia",CONFIG!$E$5:$E$26,E223)+SUMIFS(CONFIG!$F$5:$F$26,CONFIG!$D$5:$D$26,"Nacionalidad",CONFIG!$E$5:$E$26,F223)+SUMIFS(CONFIG!$F$5:$F$26,CONFIG!$D$5:$D$26,"Jurisdicción de riesgo",CONFIG!$E$5:$E$26,G223)+SUMIFS(CONFIG!$F$5:$F$26,CONFIG!$D$5:$D$26,"PEP",CONFIG!$E$5:$E$26,H223)+SUMIFS(CONFIG!$F$5:$F$26,CONFIG!$D$5:$D$26,"En listas",CONFIG!$E$5:$E$26,I223)+SUMIFS(CONFIG!$F$5:$F$26,CONFIG!$D$5:$D$26,"Riesgo de su actividad económica",CONFIG!$E$5:$E$26,J223)+SUMIFS(CONFIG!$F$5:$F$26,CONFIG!$D$5:$D$26,"Canal",CONFIG!$E$5:$E$26,K223)+SUMIFS(CONFIG!$F$5:$F$26,CONFIG!$D$5:$D$26,"Origen de recursos documentado",CONFIG!$E$5:$E$26,L223))</f>
        <v/>
      </c>
      <c r="W223" s="9" t="str">
        <f aca="false">IF(A223="","",IF(SUMIF(OPERACIONES!$C$6:$C$505,A223,OPERACIONES!$E$6:$E$505)&gt;0,IF(SUMIF(OPERACIONES!$C$6:$C$505,A223,OPERACIONES!$F$6:$F$505)/SUMIF(OPERACIONES!$C$6:$C$505,A223,OPERACIONES!$E$6:$E$505)&gt;0.5,CONFIG!$B$20,IF(SUMIF(OPERACIONES!$C$6:$C$505,A223,OPERACIONES!$F$6:$F$505)&gt;0,CONFIG!$B$21,0)),0)+IF(COUNTIFS(OPERACIONES!$C$6:$C$505,A223,OPERACIONES!$AQ$6:$AQ$505,1)&gt;0,CONFIG!$B$22,0)+IF(COUNTIFS(OPERACIONES!$C$6:$C$505,A223,OPERACIONES!$H$6:$H$505,"Sí")&gt;0,CONFIG!$B$23,0))</f>
        <v/>
      </c>
      <c r="X223" s="9" t="str">
        <f aca="false">IF(A223="","",V223+W223)</f>
        <v/>
      </c>
      <c r="Y223" s="9" t="str">
        <f aca="false">IF(A223="","",IF(X223&lt;=CONFIG!$B$13,"Bajo",IF(X223&lt;=CONFIG!$B$14,"Medio","Alto")))</f>
        <v/>
      </c>
      <c r="Z223" s="25" t="str">
        <f aca="false">IF(A223="","",IF(OR(H223="Extranjera",AND(E223="No residente",G223="Sí"),I223="Sí"),"Alto",IF(T223&lt;&gt;"",T223,Y223)))</f>
        <v/>
      </c>
      <c r="AA223" s="26" t="str">
        <f aca="false">IF(A223="","",IF(H223="Extranjera","Alto obligatorio: PEP extranjera (RCG 23 Bis 4)",IF(AND(E223="No residente",G223="Sí"),"Alto obligatorio: no residente vinculado a jurisdicción de riesgo (RCG 23 Bis 4)",IF(I223="Sí","Alto por criterio: persona en listas. Evalúa no operar y Aviso de 24 h",IF(T223&lt;&gt;"","Ajuste del REC: "&amp;U223,"Modelo: "&amp;X223&amp;" puntos")))))</f>
        <v/>
      </c>
      <c r="AB223" s="23" t="str">
        <f aca="false">IF(A223="","",IF(COUNT(N223,O223)=0,"Falta fecha",EDATE(MAX(N223,O223),IF(Z223="Alto",CONFIG!$B$18,IF(Z223="Medio",CONFIG!$B$17,CONFIG!$B$16)))))</f>
        <v/>
      </c>
      <c r="AC223" s="23" t="str">
        <f aca="false">IF(A223="","",IF(ISNUMBER(S223),EDATE(S223,12),IF(ISNUMBER(N223),EDATE(N223,12),"Falta fecha")))</f>
        <v/>
      </c>
      <c r="AD223" s="26" t="str">
        <f aca="false">IF(A223="","",MID(IF(P223&lt;&gt;"Sí"," · Expediente incompleto","")&amp;IF(OR(Q223="",Q223="Pendiente")," · Falta el Beneficiario Controlador","")&amp;IF(M223=""," · Sin perfil transaccional","")&amp;IF(AND(ISNUMBER(AB223),AB223&lt;CONFIG!$B$6)," · Evaluación de riesgo vencida","")&amp;IF(AND(ISNUMBER(AC223),AC223&lt;CONFIG!$B$6)," · Verificación anual vencida","")&amp;IF(AND(ISNUMBER(R223),ISNUMBER(S223),S223-R223&gt;92)," · Comprobante de domicilio con más de 3 meses","")&amp;IF(AND(T223&lt;&gt;"",U223="")," · Ajuste del REC sin justificación",""),4,400))</f>
        <v/>
      </c>
      <c r="AE223" s="9" t="str">
        <f aca="false">IF(A223="","",IF(AD223="","Al día","Revisar"))</f>
        <v/>
      </c>
      <c r="AF223" s="9" t="str">
        <f aca="false">IF(A223="","",COUNTIF(OPERACIONES!$C$6:$C$505,A223)&amp;" / $"&amp;FIXED(SUMIF(OPERACIONES!$C$6:$C$505,A223,OPERACIONES!$E$6:$E$505),0))</f>
        <v/>
      </c>
    </row>
    <row r="224" customFormat="false" ht="15" hidden="false" customHeight="false" outlineLevel="0" collapsed="false">
      <c r="A224" s="21"/>
      <c r="B224" s="21"/>
      <c r="C224" s="21"/>
      <c r="D224" s="21"/>
      <c r="E224" s="21"/>
      <c r="F224" s="21"/>
      <c r="G224" s="21"/>
      <c r="H224" s="21"/>
      <c r="I224" s="21"/>
      <c r="J224" s="21"/>
      <c r="K224" s="21"/>
      <c r="L224" s="21"/>
      <c r="M224" s="22"/>
      <c r="N224" s="20"/>
      <c r="O224" s="20"/>
      <c r="P224" s="21"/>
      <c r="Q224" s="21"/>
      <c r="R224" s="20"/>
      <c r="S224" s="20"/>
      <c r="T224" s="21"/>
      <c r="U224" s="21"/>
      <c r="V224" s="9" t="str">
        <f aca="false">IF(A224="","",SUMIFS(CONFIG!$F$5:$F$26,CONFIG!$D$5:$D$26,"Tipo de persona",CONFIG!$E$5:$E$26,C224)+SUMIFS(CONFIG!$F$5:$F$26,CONFIG!$D$5:$D$26,"Residencia",CONFIG!$E$5:$E$26,E224)+SUMIFS(CONFIG!$F$5:$F$26,CONFIG!$D$5:$D$26,"Nacionalidad",CONFIG!$E$5:$E$26,F224)+SUMIFS(CONFIG!$F$5:$F$26,CONFIG!$D$5:$D$26,"Jurisdicción de riesgo",CONFIG!$E$5:$E$26,G224)+SUMIFS(CONFIG!$F$5:$F$26,CONFIG!$D$5:$D$26,"PEP",CONFIG!$E$5:$E$26,H224)+SUMIFS(CONFIG!$F$5:$F$26,CONFIG!$D$5:$D$26,"En listas",CONFIG!$E$5:$E$26,I224)+SUMIFS(CONFIG!$F$5:$F$26,CONFIG!$D$5:$D$26,"Riesgo de su actividad económica",CONFIG!$E$5:$E$26,J224)+SUMIFS(CONFIG!$F$5:$F$26,CONFIG!$D$5:$D$26,"Canal",CONFIG!$E$5:$E$26,K224)+SUMIFS(CONFIG!$F$5:$F$26,CONFIG!$D$5:$D$26,"Origen de recursos documentado",CONFIG!$E$5:$E$26,L224))</f>
        <v/>
      </c>
      <c r="W224" s="9" t="str">
        <f aca="false">IF(A224="","",IF(SUMIF(OPERACIONES!$C$6:$C$505,A224,OPERACIONES!$E$6:$E$505)&gt;0,IF(SUMIF(OPERACIONES!$C$6:$C$505,A224,OPERACIONES!$F$6:$F$505)/SUMIF(OPERACIONES!$C$6:$C$505,A224,OPERACIONES!$E$6:$E$505)&gt;0.5,CONFIG!$B$20,IF(SUMIF(OPERACIONES!$C$6:$C$505,A224,OPERACIONES!$F$6:$F$505)&gt;0,CONFIG!$B$21,0)),0)+IF(COUNTIFS(OPERACIONES!$C$6:$C$505,A224,OPERACIONES!$AQ$6:$AQ$505,1)&gt;0,CONFIG!$B$22,0)+IF(COUNTIFS(OPERACIONES!$C$6:$C$505,A224,OPERACIONES!$H$6:$H$505,"Sí")&gt;0,CONFIG!$B$23,0))</f>
        <v/>
      </c>
      <c r="X224" s="9" t="str">
        <f aca="false">IF(A224="","",V224+W224)</f>
        <v/>
      </c>
      <c r="Y224" s="9" t="str">
        <f aca="false">IF(A224="","",IF(X224&lt;=CONFIG!$B$13,"Bajo",IF(X224&lt;=CONFIG!$B$14,"Medio","Alto")))</f>
        <v/>
      </c>
      <c r="Z224" s="25" t="str">
        <f aca="false">IF(A224="","",IF(OR(H224="Extranjera",AND(E224="No residente",G224="Sí"),I224="Sí"),"Alto",IF(T224&lt;&gt;"",T224,Y224)))</f>
        <v/>
      </c>
      <c r="AA224" s="26" t="str">
        <f aca="false">IF(A224="","",IF(H224="Extranjera","Alto obligatorio: PEP extranjera (RCG 23 Bis 4)",IF(AND(E224="No residente",G224="Sí"),"Alto obligatorio: no residente vinculado a jurisdicción de riesgo (RCG 23 Bis 4)",IF(I224="Sí","Alto por criterio: persona en listas. Evalúa no operar y Aviso de 24 h",IF(T224&lt;&gt;"","Ajuste del REC: "&amp;U224,"Modelo: "&amp;X224&amp;" puntos")))))</f>
        <v/>
      </c>
      <c r="AB224" s="23" t="str">
        <f aca="false">IF(A224="","",IF(COUNT(N224,O224)=0,"Falta fecha",EDATE(MAX(N224,O224),IF(Z224="Alto",CONFIG!$B$18,IF(Z224="Medio",CONFIG!$B$17,CONFIG!$B$16)))))</f>
        <v/>
      </c>
      <c r="AC224" s="23" t="str">
        <f aca="false">IF(A224="","",IF(ISNUMBER(S224),EDATE(S224,12),IF(ISNUMBER(N224),EDATE(N224,12),"Falta fecha")))</f>
        <v/>
      </c>
      <c r="AD224" s="26" t="str">
        <f aca="false">IF(A224="","",MID(IF(P224&lt;&gt;"Sí"," · Expediente incompleto","")&amp;IF(OR(Q224="",Q224="Pendiente")," · Falta el Beneficiario Controlador","")&amp;IF(M224=""," · Sin perfil transaccional","")&amp;IF(AND(ISNUMBER(AB224),AB224&lt;CONFIG!$B$6)," · Evaluación de riesgo vencida","")&amp;IF(AND(ISNUMBER(AC224),AC224&lt;CONFIG!$B$6)," · Verificación anual vencida","")&amp;IF(AND(ISNUMBER(R224),ISNUMBER(S224),S224-R224&gt;92)," · Comprobante de domicilio con más de 3 meses","")&amp;IF(AND(T224&lt;&gt;"",U224="")," · Ajuste del REC sin justificación",""),4,400))</f>
        <v/>
      </c>
      <c r="AE224" s="9" t="str">
        <f aca="false">IF(A224="","",IF(AD224="","Al día","Revisar"))</f>
        <v/>
      </c>
      <c r="AF224" s="9" t="str">
        <f aca="false">IF(A224="","",COUNTIF(OPERACIONES!$C$6:$C$505,A224)&amp;" / $"&amp;FIXED(SUMIF(OPERACIONES!$C$6:$C$505,A224,OPERACIONES!$E$6:$E$505),0))</f>
        <v/>
      </c>
    </row>
    <row r="225" customFormat="false" ht="15" hidden="false" customHeight="false" outlineLevel="0" collapsed="false">
      <c r="A225" s="21"/>
      <c r="B225" s="21"/>
      <c r="C225" s="21"/>
      <c r="D225" s="21"/>
      <c r="E225" s="21"/>
      <c r="F225" s="21"/>
      <c r="G225" s="21"/>
      <c r="H225" s="21"/>
      <c r="I225" s="21"/>
      <c r="J225" s="21"/>
      <c r="K225" s="21"/>
      <c r="L225" s="21"/>
      <c r="M225" s="22"/>
      <c r="N225" s="20"/>
      <c r="O225" s="20"/>
      <c r="P225" s="21"/>
      <c r="Q225" s="21"/>
      <c r="R225" s="20"/>
      <c r="S225" s="20"/>
      <c r="T225" s="21"/>
      <c r="U225" s="21"/>
      <c r="V225" s="9" t="str">
        <f aca="false">IF(A225="","",SUMIFS(CONFIG!$F$5:$F$26,CONFIG!$D$5:$D$26,"Tipo de persona",CONFIG!$E$5:$E$26,C225)+SUMIFS(CONFIG!$F$5:$F$26,CONFIG!$D$5:$D$26,"Residencia",CONFIG!$E$5:$E$26,E225)+SUMIFS(CONFIG!$F$5:$F$26,CONFIG!$D$5:$D$26,"Nacionalidad",CONFIG!$E$5:$E$26,F225)+SUMIFS(CONFIG!$F$5:$F$26,CONFIG!$D$5:$D$26,"Jurisdicción de riesgo",CONFIG!$E$5:$E$26,G225)+SUMIFS(CONFIG!$F$5:$F$26,CONFIG!$D$5:$D$26,"PEP",CONFIG!$E$5:$E$26,H225)+SUMIFS(CONFIG!$F$5:$F$26,CONFIG!$D$5:$D$26,"En listas",CONFIG!$E$5:$E$26,I225)+SUMIFS(CONFIG!$F$5:$F$26,CONFIG!$D$5:$D$26,"Riesgo de su actividad económica",CONFIG!$E$5:$E$26,J225)+SUMIFS(CONFIG!$F$5:$F$26,CONFIG!$D$5:$D$26,"Canal",CONFIG!$E$5:$E$26,K225)+SUMIFS(CONFIG!$F$5:$F$26,CONFIG!$D$5:$D$26,"Origen de recursos documentado",CONFIG!$E$5:$E$26,L225))</f>
        <v/>
      </c>
      <c r="W225" s="9" t="str">
        <f aca="false">IF(A225="","",IF(SUMIF(OPERACIONES!$C$6:$C$505,A225,OPERACIONES!$E$6:$E$505)&gt;0,IF(SUMIF(OPERACIONES!$C$6:$C$505,A225,OPERACIONES!$F$6:$F$505)/SUMIF(OPERACIONES!$C$6:$C$505,A225,OPERACIONES!$E$6:$E$505)&gt;0.5,CONFIG!$B$20,IF(SUMIF(OPERACIONES!$C$6:$C$505,A225,OPERACIONES!$F$6:$F$505)&gt;0,CONFIG!$B$21,0)),0)+IF(COUNTIFS(OPERACIONES!$C$6:$C$505,A225,OPERACIONES!$AQ$6:$AQ$505,1)&gt;0,CONFIG!$B$22,0)+IF(COUNTIFS(OPERACIONES!$C$6:$C$505,A225,OPERACIONES!$H$6:$H$505,"Sí")&gt;0,CONFIG!$B$23,0))</f>
        <v/>
      </c>
      <c r="X225" s="9" t="str">
        <f aca="false">IF(A225="","",V225+W225)</f>
        <v/>
      </c>
      <c r="Y225" s="9" t="str">
        <f aca="false">IF(A225="","",IF(X225&lt;=CONFIG!$B$13,"Bajo",IF(X225&lt;=CONFIG!$B$14,"Medio","Alto")))</f>
        <v/>
      </c>
      <c r="Z225" s="25" t="str">
        <f aca="false">IF(A225="","",IF(OR(H225="Extranjera",AND(E225="No residente",G225="Sí"),I225="Sí"),"Alto",IF(T225&lt;&gt;"",T225,Y225)))</f>
        <v/>
      </c>
      <c r="AA225" s="26" t="str">
        <f aca="false">IF(A225="","",IF(H225="Extranjera","Alto obligatorio: PEP extranjera (RCG 23 Bis 4)",IF(AND(E225="No residente",G225="Sí"),"Alto obligatorio: no residente vinculado a jurisdicción de riesgo (RCG 23 Bis 4)",IF(I225="Sí","Alto por criterio: persona en listas. Evalúa no operar y Aviso de 24 h",IF(T225&lt;&gt;"","Ajuste del REC: "&amp;U225,"Modelo: "&amp;X225&amp;" puntos")))))</f>
        <v/>
      </c>
      <c r="AB225" s="23" t="str">
        <f aca="false">IF(A225="","",IF(COUNT(N225,O225)=0,"Falta fecha",EDATE(MAX(N225,O225),IF(Z225="Alto",CONFIG!$B$18,IF(Z225="Medio",CONFIG!$B$17,CONFIG!$B$16)))))</f>
        <v/>
      </c>
      <c r="AC225" s="23" t="str">
        <f aca="false">IF(A225="","",IF(ISNUMBER(S225),EDATE(S225,12),IF(ISNUMBER(N225),EDATE(N225,12),"Falta fecha")))</f>
        <v/>
      </c>
      <c r="AD225" s="26" t="str">
        <f aca="false">IF(A225="","",MID(IF(P225&lt;&gt;"Sí"," · Expediente incompleto","")&amp;IF(OR(Q225="",Q225="Pendiente")," · Falta el Beneficiario Controlador","")&amp;IF(M225=""," · Sin perfil transaccional","")&amp;IF(AND(ISNUMBER(AB225),AB225&lt;CONFIG!$B$6)," · Evaluación de riesgo vencida","")&amp;IF(AND(ISNUMBER(AC225),AC225&lt;CONFIG!$B$6)," · Verificación anual vencida","")&amp;IF(AND(ISNUMBER(R225),ISNUMBER(S225),S225-R225&gt;92)," · Comprobante de domicilio con más de 3 meses","")&amp;IF(AND(T225&lt;&gt;"",U225="")," · Ajuste del REC sin justificación",""),4,400))</f>
        <v/>
      </c>
      <c r="AE225" s="9" t="str">
        <f aca="false">IF(A225="","",IF(AD225="","Al día","Revisar"))</f>
        <v/>
      </c>
      <c r="AF225" s="9" t="str">
        <f aca="false">IF(A225="","",COUNTIF(OPERACIONES!$C$6:$C$505,A225)&amp;" / $"&amp;FIXED(SUMIF(OPERACIONES!$C$6:$C$505,A225,OPERACIONES!$E$6:$E$505),0))</f>
        <v/>
      </c>
    </row>
    <row r="226" customFormat="false" ht="15" hidden="false" customHeight="false" outlineLevel="0" collapsed="false">
      <c r="A226" s="21"/>
      <c r="B226" s="21"/>
      <c r="C226" s="21"/>
      <c r="D226" s="21"/>
      <c r="E226" s="21"/>
      <c r="F226" s="21"/>
      <c r="G226" s="21"/>
      <c r="H226" s="21"/>
      <c r="I226" s="21"/>
      <c r="J226" s="21"/>
      <c r="K226" s="21"/>
      <c r="L226" s="21"/>
      <c r="M226" s="22"/>
      <c r="N226" s="20"/>
      <c r="O226" s="20"/>
      <c r="P226" s="21"/>
      <c r="Q226" s="21"/>
      <c r="R226" s="20"/>
      <c r="S226" s="20"/>
      <c r="T226" s="21"/>
      <c r="U226" s="21"/>
      <c r="V226" s="9" t="str">
        <f aca="false">IF(A226="","",SUMIFS(CONFIG!$F$5:$F$26,CONFIG!$D$5:$D$26,"Tipo de persona",CONFIG!$E$5:$E$26,C226)+SUMIFS(CONFIG!$F$5:$F$26,CONFIG!$D$5:$D$26,"Residencia",CONFIG!$E$5:$E$26,E226)+SUMIFS(CONFIG!$F$5:$F$26,CONFIG!$D$5:$D$26,"Nacionalidad",CONFIG!$E$5:$E$26,F226)+SUMIFS(CONFIG!$F$5:$F$26,CONFIG!$D$5:$D$26,"Jurisdicción de riesgo",CONFIG!$E$5:$E$26,G226)+SUMIFS(CONFIG!$F$5:$F$26,CONFIG!$D$5:$D$26,"PEP",CONFIG!$E$5:$E$26,H226)+SUMIFS(CONFIG!$F$5:$F$26,CONFIG!$D$5:$D$26,"En listas",CONFIG!$E$5:$E$26,I226)+SUMIFS(CONFIG!$F$5:$F$26,CONFIG!$D$5:$D$26,"Riesgo de su actividad económica",CONFIG!$E$5:$E$26,J226)+SUMIFS(CONFIG!$F$5:$F$26,CONFIG!$D$5:$D$26,"Canal",CONFIG!$E$5:$E$26,K226)+SUMIFS(CONFIG!$F$5:$F$26,CONFIG!$D$5:$D$26,"Origen de recursos documentado",CONFIG!$E$5:$E$26,L226))</f>
        <v/>
      </c>
      <c r="W226" s="9" t="str">
        <f aca="false">IF(A226="","",IF(SUMIF(OPERACIONES!$C$6:$C$505,A226,OPERACIONES!$E$6:$E$505)&gt;0,IF(SUMIF(OPERACIONES!$C$6:$C$505,A226,OPERACIONES!$F$6:$F$505)/SUMIF(OPERACIONES!$C$6:$C$505,A226,OPERACIONES!$E$6:$E$505)&gt;0.5,CONFIG!$B$20,IF(SUMIF(OPERACIONES!$C$6:$C$505,A226,OPERACIONES!$F$6:$F$505)&gt;0,CONFIG!$B$21,0)),0)+IF(COUNTIFS(OPERACIONES!$C$6:$C$505,A226,OPERACIONES!$AQ$6:$AQ$505,1)&gt;0,CONFIG!$B$22,0)+IF(COUNTIFS(OPERACIONES!$C$6:$C$505,A226,OPERACIONES!$H$6:$H$505,"Sí")&gt;0,CONFIG!$B$23,0))</f>
        <v/>
      </c>
      <c r="X226" s="9" t="str">
        <f aca="false">IF(A226="","",V226+W226)</f>
        <v/>
      </c>
      <c r="Y226" s="9" t="str">
        <f aca="false">IF(A226="","",IF(X226&lt;=CONFIG!$B$13,"Bajo",IF(X226&lt;=CONFIG!$B$14,"Medio","Alto")))</f>
        <v/>
      </c>
      <c r="Z226" s="25" t="str">
        <f aca="false">IF(A226="","",IF(OR(H226="Extranjera",AND(E226="No residente",G226="Sí"),I226="Sí"),"Alto",IF(T226&lt;&gt;"",T226,Y226)))</f>
        <v/>
      </c>
      <c r="AA226" s="26" t="str">
        <f aca="false">IF(A226="","",IF(H226="Extranjera","Alto obligatorio: PEP extranjera (RCG 23 Bis 4)",IF(AND(E226="No residente",G226="Sí"),"Alto obligatorio: no residente vinculado a jurisdicción de riesgo (RCG 23 Bis 4)",IF(I226="Sí","Alto por criterio: persona en listas. Evalúa no operar y Aviso de 24 h",IF(T226&lt;&gt;"","Ajuste del REC: "&amp;U226,"Modelo: "&amp;X226&amp;" puntos")))))</f>
        <v/>
      </c>
      <c r="AB226" s="23" t="str">
        <f aca="false">IF(A226="","",IF(COUNT(N226,O226)=0,"Falta fecha",EDATE(MAX(N226,O226),IF(Z226="Alto",CONFIG!$B$18,IF(Z226="Medio",CONFIG!$B$17,CONFIG!$B$16)))))</f>
        <v/>
      </c>
      <c r="AC226" s="23" t="str">
        <f aca="false">IF(A226="","",IF(ISNUMBER(S226),EDATE(S226,12),IF(ISNUMBER(N226),EDATE(N226,12),"Falta fecha")))</f>
        <v/>
      </c>
      <c r="AD226" s="26" t="str">
        <f aca="false">IF(A226="","",MID(IF(P226&lt;&gt;"Sí"," · Expediente incompleto","")&amp;IF(OR(Q226="",Q226="Pendiente")," · Falta el Beneficiario Controlador","")&amp;IF(M226=""," · Sin perfil transaccional","")&amp;IF(AND(ISNUMBER(AB226),AB226&lt;CONFIG!$B$6)," · Evaluación de riesgo vencida","")&amp;IF(AND(ISNUMBER(AC226),AC226&lt;CONFIG!$B$6)," · Verificación anual vencida","")&amp;IF(AND(ISNUMBER(R226),ISNUMBER(S226),S226-R226&gt;92)," · Comprobante de domicilio con más de 3 meses","")&amp;IF(AND(T226&lt;&gt;"",U226="")," · Ajuste del REC sin justificación",""),4,400))</f>
        <v/>
      </c>
      <c r="AE226" s="9" t="str">
        <f aca="false">IF(A226="","",IF(AD226="","Al día","Revisar"))</f>
        <v/>
      </c>
      <c r="AF226" s="9" t="str">
        <f aca="false">IF(A226="","",COUNTIF(OPERACIONES!$C$6:$C$505,A226)&amp;" / $"&amp;FIXED(SUMIF(OPERACIONES!$C$6:$C$505,A226,OPERACIONES!$E$6:$E$505),0))</f>
        <v/>
      </c>
    </row>
    <row r="227" customFormat="false" ht="15" hidden="false" customHeight="false" outlineLevel="0" collapsed="false">
      <c r="A227" s="21"/>
      <c r="B227" s="21"/>
      <c r="C227" s="21"/>
      <c r="D227" s="21"/>
      <c r="E227" s="21"/>
      <c r="F227" s="21"/>
      <c r="G227" s="21"/>
      <c r="H227" s="21"/>
      <c r="I227" s="21"/>
      <c r="J227" s="21"/>
      <c r="K227" s="21"/>
      <c r="L227" s="21"/>
      <c r="M227" s="22"/>
      <c r="N227" s="20"/>
      <c r="O227" s="20"/>
      <c r="P227" s="21"/>
      <c r="Q227" s="21"/>
      <c r="R227" s="20"/>
      <c r="S227" s="20"/>
      <c r="T227" s="21"/>
      <c r="U227" s="21"/>
      <c r="V227" s="9" t="str">
        <f aca="false">IF(A227="","",SUMIFS(CONFIG!$F$5:$F$26,CONFIG!$D$5:$D$26,"Tipo de persona",CONFIG!$E$5:$E$26,C227)+SUMIFS(CONFIG!$F$5:$F$26,CONFIG!$D$5:$D$26,"Residencia",CONFIG!$E$5:$E$26,E227)+SUMIFS(CONFIG!$F$5:$F$26,CONFIG!$D$5:$D$26,"Nacionalidad",CONFIG!$E$5:$E$26,F227)+SUMIFS(CONFIG!$F$5:$F$26,CONFIG!$D$5:$D$26,"Jurisdicción de riesgo",CONFIG!$E$5:$E$26,G227)+SUMIFS(CONFIG!$F$5:$F$26,CONFIG!$D$5:$D$26,"PEP",CONFIG!$E$5:$E$26,H227)+SUMIFS(CONFIG!$F$5:$F$26,CONFIG!$D$5:$D$26,"En listas",CONFIG!$E$5:$E$26,I227)+SUMIFS(CONFIG!$F$5:$F$26,CONFIG!$D$5:$D$26,"Riesgo de su actividad económica",CONFIG!$E$5:$E$26,J227)+SUMIFS(CONFIG!$F$5:$F$26,CONFIG!$D$5:$D$26,"Canal",CONFIG!$E$5:$E$26,K227)+SUMIFS(CONFIG!$F$5:$F$26,CONFIG!$D$5:$D$26,"Origen de recursos documentado",CONFIG!$E$5:$E$26,L227))</f>
        <v/>
      </c>
      <c r="W227" s="9" t="str">
        <f aca="false">IF(A227="","",IF(SUMIF(OPERACIONES!$C$6:$C$505,A227,OPERACIONES!$E$6:$E$505)&gt;0,IF(SUMIF(OPERACIONES!$C$6:$C$505,A227,OPERACIONES!$F$6:$F$505)/SUMIF(OPERACIONES!$C$6:$C$505,A227,OPERACIONES!$E$6:$E$505)&gt;0.5,CONFIG!$B$20,IF(SUMIF(OPERACIONES!$C$6:$C$505,A227,OPERACIONES!$F$6:$F$505)&gt;0,CONFIG!$B$21,0)),0)+IF(COUNTIFS(OPERACIONES!$C$6:$C$505,A227,OPERACIONES!$AQ$6:$AQ$505,1)&gt;0,CONFIG!$B$22,0)+IF(COUNTIFS(OPERACIONES!$C$6:$C$505,A227,OPERACIONES!$H$6:$H$505,"Sí")&gt;0,CONFIG!$B$23,0))</f>
        <v/>
      </c>
      <c r="X227" s="9" t="str">
        <f aca="false">IF(A227="","",V227+W227)</f>
        <v/>
      </c>
      <c r="Y227" s="9" t="str">
        <f aca="false">IF(A227="","",IF(X227&lt;=CONFIG!$B$13,"Bajo",IF(X227&lt;=CONFIG!$B$14,"Medio","Alto")))</f>
        <v/>
      </c>
      <c r="Z227" s="25" t="str">
        <f aca="false">IF(A227="","",IF(OR(H227="Extranjera",AND(E227="No residente",G227="Sí"),I227="Sí"),"Alto",IF(T227&lt;&gt;"",T227,Y227)))</f>
        <v/>
      </c>
      <c r="AA227" s="26" t="str">
        <f aca="false">IF(A227="","",IF(H227="Extranjera","Alto obligatorio: PEP extranjera (RCG 23 Bis 4)",IF(AND(E227="No residente",G227="Sí"),"Alto obligatorio: no residente vinculado a jurisdicción de riesgo (RCG 23 Bis 4)",IF(I227="Sí","Alto por criterio: persona en listas. Evalúa no operar y Aviso de 24 h",IF(T227&lt;&gt;"","Ajuste del REC: "&amp;U227,"Modelo: "&amp;X227&amp;" puntos")))))</f>
        <v/>
      </c>
      <c r="AB227" s="23" t="str">
        <f aca="false">IF(A227="","",IF(COUNT(N227,O227)=0,"Falta fecha",EDATE(MAX(N227,O227),IF(Z227="Alto",CONFIG!$B$18,IF(Z227="Medio",CONFIG!$B$17,CONFIG!$B$16)))))</f>
        <v/>
      </c>
      <c r="AC227" s="23" t="str">
        <f aca="false">IF(A227="","",IF(ISNUMBER(S227),EDATE(S227,12),IF(ISNUMBER(N227),EDATE(N227,12),"Falta fecha")))</f>
        <v/>
      </c>
      <c r="AD227" s="26" t="str">
        <f aca="false">IF(A227="","",MID(IF(P227&lt;&gt;"Sí"," · Expediente incompleto","")&amp;IF(OR(Q227="",Q227="Pendiente")," · Falta el Beneficiario Controlador","")&amp;IF(M227=""," · Sin perfil transaccional","")&amp;IF(AND(ISNUMBER(AB227),AB227&lt;CONFIG!$B$6)," · Evaluación de riesgo vencida","")&amp;IF(AND(ISNUMBER(AC227),AC227&lt;CONFIG!$B$6)," · Verificación anual vencida","")&amp;IF(AND(ISNUMBER(R227),ISNUMBER(S227),S227-R227&gt;92)," · Comprobante de domicilio con más de 3 meses","")&amp;IF(AND(T227&lt;&gt;"",U227="")," · Ajuste del REC sin justificación",""),4,400))</f>
        <v/>
      </c>
      <c r="AE227" s="9" t="str">
        <f aca="false">IF(A227="","",IF(AD227="","Al día","Revisar"))</f>
        <v/>
      </c>
      <c r="AF227" s="9" t="str">
        <f aca="false">IF(A227="","",COUNTIF(OPERACIONES!$C$6:$C$505,A227)&amp;" / $"&amp;FIXED(SUMIF(OPERACIONES!$C$6:$C$505,A227,OPERACIONES!$E$6:$E$505),0))</f>
        <v/>
      </c>
    </row>
    <row r="228" customFormat="false" ht="15" hidden="false" customHeight="false" outlineLevel="0" collapsed="false">
      <c r="A228" s="21"/>
      <c r="B228" s="21"/>
      <c r="C228" s="21"/>
      <c r="D228" s="21"/>
      <c r="E228" s="21"/>
      <c r="F228" s="21"/>
      <c r="G228" s="21"/>
      <c r="H228" s="21"/>
      <c r="I228" s="21"/>
      <c r="J228" s="21"/>
      <c r="K228" s="21"/>
      <c r="L228" s="21"/>
      <c r="M228" s="22"/>
      <c r="N228" s="20"/>
      <c r="O228" s="20"/>
      <c r="P228" s="21"/>
      <c r="Q228" s="21"/>
      <c r="R228" s="20"/>
      <c r="S228" s="20"/>
      <c r="T228" s="21"/>
      <c r="U228" s="21"/>
      <c r="V228" s="9" t="str">
        <f aca="false">IF(A228="","",SUMIFS(CONFIG!$F$5:$F$26,CONFIG!$D$5:$D$26,"Tipo de persona",CONFIG!$E$5:$E$26,C228)+SUMIFS(CONFIG!$F$5:$F$26,CONFIG!$D$5:$D$26,"Residencia",CONFIG!$E$5:$E$26,E228)+SUMIFS(CONFIG!$F$5:$F$26,CONFIG!$D$5:$D$26,"Nacionalidad",CONFIG!$E$5:$E$26,F228)+SUMIFS(CONFIG!$F$5:$F$26,CONFIG!$D$5:$D$26,"Jurisdicción de riesgo",CONFIG!$E$5:$E$26,G228)+SUMIFS(CONFIG!$F$5:$F$26,CONFIG!$D$5:$D$26,"PEP",CONFIG!$E$5:$E$26,H228)+SUMIFS(CONFIG!$F$5:$F$26,CONFIG!$D$5:$D$26,"En listas",CONFIG!$E$5:$E$26,I228)+SUMIFS(CONFIG!$F$5:$F$26,CONFIG!$D$5:$D$26,"Riesgo de su actividad económica",CONFIG!$E$5:$E$26,J228)+SUMIFS(CONFIG!$F$5:$F$26,CONFIG!$D$5:$D$26,"Canal",CONFIG!$E$5:$E$26,K228)+SUMIFS(CONFIG!$F$5:$F$26,CONFIG!$D$5:$D$26,"Origen de recursos documentado",CONFIG!$E$5:$E$26,L228))</f>
        <v/>
      </c>
      <c r="W228" s="9" t="str">
        <f aca="false">IF(A228="","",IF(SUMIF(OPERACIONES!$C$6:$C$505,A228,OPERACIONES!$E$6:$E$505)&gt;0,IF(SUMIF(OPERACIONES!$C$6:$C$505,A228,OPERACIONES!$F$6:$F$505)/SUMIF(OPERACIONES!$C$6:$C$505,A228,OPERACIONES!$E$6:$E$505)&gt;0.5,CONFIG!$B$20,IF(SUMIF(OPERACIONES!$C$6:$C$505,A228,OPERACIONES!$F$6:$F$505)&gt;0,CONFIG!$B$21,0)),0)+IF(COUNTIFS(OPERACIONES!$C$6:$C$505,A228,OPERACIONES!$AQ$6:$AQ$505,1)&gt;0,CONFIG!$B$22,0)+IF(COUNTIFS(OPERACIONES!$C$6:$C$505,A228,OPERACIONES!$H$6:$H$505,"Sí")&gt;0,CONFIG!$B$23,0))</f>
        <v/>
      </c>
      <c r="X228" s="9" t="str">
        <f aca="false">IF(A228="","",V228+W228)</f>
        <v/>
      </c>
      <c r="Y228" s="9" t="str">
        <f aca="false">IF(A228="","",IF(X228&lt;=CONFIG!$B$13,"Bajo",IF(X228&lt;=CONFIG!$B$14,"Medio","Alto")))</f>
        <v/>
      </c>
      <c r="Z228" s="25" t="str">
        <f aca="false">IF(A228="","",IF(OR(H228="Extranjera",AND(E228="No residente",G228="Sí"),I228="Sí"),"Alto",IF(T228&lt;&gt;"",T228,Y228)))</f>
        <v/>
      </c>
      <c r="AA228" s="26" t="str">
        <f aca="false">IF(A228="","",IF(H228="Extranjera","Alto obligatorio: PEP extranjera (RCG 23 Bis 4)",IF(AND(E228="No residente",G228="Sí"),"Alto obligatorio: no residente vinculado a jurisdicción de riesgo (RCG 23 Bis 4)",IF(I228="Sí","Alto por criterio: persona en listas. Evalúa no operar y Aviso de 24 h",IF(T228&lt;&gt;"","Ajuste del REC: "&amp;U228,"Modelo: "&amp;X228&amp;" puntos")))))</f>
        <v/>
      </c>
      <c r="AB228" s="23" t="str">
        <f aca="false">IF(A228="","",IF(COUNT(N228,O228)=0,"Falta fecha",EDATE(MAX(N228,O228),IF(Z228="Alto",CONFIG!$B$18,IF(Z228="Medio",CONFIG!$B$17,CONFIG!$B$16)))))</f>
        <v/>
      </c>
      <c r="AC228" s="23" t="str">
        <f aca="false">IF(A228="","",IF(ISNUMBER(S228),EDATE(S228,12),IF(ISNUMBER(N228),EDATE(N228,12),"Falta fecha")))</f>
        <v/>
      </c>
      <c r="AD228" s="26" t="str">
        <f aca="false">IF(A228="","",MID(IF(P228&lt;&gt;"Sí"," · Expediente incompleto","")&amp;IF(OR(Q228="",Q228="Pendiente")," · Falta el Beneficiario Controlador","")&amp;IF(M228=""," · Sin perfil transaccional","")&amp;IF(AND(ISNUMBER(AB228),AB228&lt;CONFIG!$B$6)," · Evaluación de riesgo vencida","")&amp;IF(AND(ISNUMBER(AC228),AC228&lt;CONFIG!$B$6)," · Verificación anual vencida","")&amp;IF(AND(ISNUMBER(R228),ISNUMBER(S228),S228-R228&gt;92)," · Comprobante de domicilio con más de 3 meses","")&amp;IF(AND(T228&lt;&gt;"",U228="")," · Ajuste del REC sin justificación",""),4,400))</f>
        <v/>
      </c>
      <c r="AE228" s="9" t="str">
        <f aca="false">IF(A228="","",IF(AD228="","Al día","Revisar"))</f>
        <v/>
      </c>
      <c r="AF228" s="9" t="str">
        <f aca="false">IF(A228="","",COUNTIF(OPERACIONES!$C$6:$C$505,A228)&amp;" / $"&amp;FIXED(SUMIF(OPERACIONES!$C$6:$C$505,A228,OPERACIONES!$E$6:$E$505),0))</f>
        <v/>
      </c>
    </row>
    <row r="229" customFormat="false" ht="15" hidden="false" customHeight="false" outlineLevel="0" collapsed="false">
      <c r="A229" s="21"/>
      <c r="B229" s="21"/>
      <c r="C229" s="21"/>
      <c r="D229" s="21"/>
      <c r="E229" s="21"/>
      <c r="F229" s="21"/>
      <c r="G229" s="21"/>
      <c r="H229" s="21"/>
      <c r="I229" s="21"/>
      <c r="J229" s="21"/>
      <c r="K229" s="21"/>
      <c r="L229" s="21"/>
      <c r="M229" s="22"/>
      <c r="N229" s="20"/>
      <c r="O229" s="20"/>
      <c r="P229" s="21"/>
      <c r="Q229" s="21"/>
      <c r="R229" s="20"/>
      <c r="S229" s="20"/>
      <c r="T229" s="21"/>
      <c r="U229" s="21"/>
      <c r="V229" s="9" t="str">
        <f aca="false">IF(A229="","",SUMIFS(CONFIG!$F$5:$F$26,CONFIG!$D$5:$D$26,"Tipo de persona",CONFIG!$E$5:$E$26,C229)+SUMIFS(CONFIG!$F$5:$F$26,CONFIG!$D$5:$D$26,"Residencia",CONFIG!$E$5:$E$26,E229)+SUMIFS(CONFIG!$F$5:$F$26,CONFIG!$D$5:$D$26,"Nacionalidad",CONFIG!$E$5:$E$26,F229)+SUMIFS(CONFIG!$F$5:$F$26,CONFIG!$D$5:$D$26,"Jurisdicción de riesgo",CONFIG!$E$5:$E$26,G229)+SUMIFS(CONFIG!$F$5:$F$26,CONFIG!$D$5:$D$26,"PEP",CONFIG!$E$5:$E$26,H229)+SUMIFS(CONFIG!$F$5:$F$26,CONFIG!$D$5:$D$26,"En listas",CONFIG!$E$5:$E$26,I229)+SUMIFS(CONFIG!$F$5:$F$26,CONFIG!$D$5:$D$26,"Riesgo de su actividad económica",CONFIG!$E$5:$E$26,J229)+SUMIFS(CONFIG!$F$5:$F$26,CONFIG!$D$5:$D$26,"Canal",CONFIG!$E$5:$E$26,K229)+SUMIFS(CONFIG!$F$5:$F$26,CONFIG!$D$5:$D$26,"Origen de recursos documentado",CONFIG!$E$5:$E$26,L229))</f>
        <v/>
      </c>
      <c r="W229" s="9" t="str">
        <f aca="false">IF(A229="","",IF(SUMIF(OPERACIONES!$C$6:$C$505,A229,OPERACIONES!$E$6:$E$505)&gt;0,IF(SUMIF(OPERACIONES!$C$6:$C$505,A229,OPERACIONES!$F$6:$F$505)/SUMIF(OPERACIONES!$C$6:$C$505,A229,OPERACIONES!$E$6:$E$505)&gt;0.5,CONFIG!$B$20,IF(SUMIF(OPERACIONES!$C$6:$C$505,A229,OPERACIONES!$F$6:$F$505)&gt;0,CONFIG!$B$21,0)),0)+IF(COUNTIFS(OPERACIONES!$C$6:$C$505,A229,OPERACIONES!$AQ$6:$AQ$505,1)&gt;0,CONFIG!$B$22,0)+IF(COUNTIFS(OPERACIONES!$C$6:$C$505,A229,OPERACIONES!$H$6:$H$505,"Sí")&gt;0,CONFIG!$B$23,0))</f>
        <v/>
      </c>
      <c r="X229" s="9" t="str">
        <f aca="false">IF(A229="","",V229+W229)</f>
        <v/>
      </c>
      <c r="Y229" s="9" t="str">
        <f aca="false">IF(A229="","",IF(X229&lt;=CONFIG!$B$13,"Bajo",IF(X229&lt;=CONFIG!$B$14,"Medio","Alto")))</f>
        <v/>
      </c>
      <c r="Z229" s="25" t="str">
        <f aca="false">IF(A229="","",IF(OR(H229="Extranjera",AND(E229="No residente",G229="Sí"),I229="Sí"),"Alto",IF(T229&lt;&gt;"",T229,Y229)))</f>
        <v/>
      </c>
      <c r="AA229" s="26" t="str">
        <f aca="false">IF(A229="","",IF(H229="Extranjera","Alto obligatorio: PEP extranjera (RCG 23 Bis 4)",IF(AND(E229="No residente",G229="Sí"),"Alto obligatorio: no residente vinculado a jurisdicción de riesgo (RCG 23 Bis 4)",IF(I229="Sí","Alto por criterio: persona en listas. Evalúa no operar y Aviso de 24 h",IF(T229&lt;&gt;"","Ajuste del REC: "&amp;U229,"Modelo: "&amp;X229&amp;" puntos")))))</f>
        <v/>
      </c>
      <c r="AB229" s="23" t="str">
        <f aca="false">IF(A229="","",IF(COUNT(N229,O229)=0,"Falta fecha",EDATE(MAX(N229,O229),IF(Z229="Alto",CONFIG!$B$18,IF(Z229="Medio",CONFIG!$B$17,CONFIG!$B$16)))))</f>
        <v/>
      </c>
      <c r="AC229" s="23" t="str">
        <f aca="false">IF(A229="","",IF(ISNUMBER(S229),EDATE(S229,12),IF(ISNUMBER(N229),EDATE(N229,12),"Falta fecha")))</f>
        <v/>
      </c>
      <c r="AD229" s="26" t="str">
        <f aca="false">IF(A229="","",MID(IF(P229&lt;&gt;"Sí"," · Expediente incompleto","")&amp;IF(OR(Q229="",Q229="Pendiente")," · Falta el Beneficiario Controlador","")&amp;IF(M229=""," · Sin perfil transaccional","")&amp;IF(AND(ISNUMBER(AB229),AB229&lt;CONFIG!$B$6)," · Evaluación de riesgo vencida","")&amp;IF(AND(ISNUMBER(AC229),AC229&lt;CONFIG!$B$6)," · Verificación anual vencida","")&amp;IF(AND(ISNUMBER(R229),ISNUMBER(S229),S229-R229&gt;92)," · Comprobante de domicilio con más de 3 meses","")&amp;IF(AND(T229&lt;&gt;"",U229="")," · Ajuste del REC sin justificación",""),4,400))</f>
        <v/>
      </c>
      <c r="AE229" s="9" t="str">
        <f aca="false">IF(A229="","",IF(AD229="","Al día","Revisar"))</f>
        <v/>
      </c>
      <c r="AF229" s="9" t="str">
        <f aca="false">IF(A229="","",COUNTIF(OPERACIONES!$C$6:$C$505,A229)&amp;" / $"&amp;FIXED(SUMIF(OPERACIONES!$C$6:$C$505,A229,OPERACIONES!$E$6:$E$505),0))</f>
        <v/>
      </c>
    </row>
    <row r="230" customFormat="false" ht="15" hidden="false" customHeight="false" outlineLevel="0" collapsed="false">
      <c r="A230" s="21"/>
      <c r="B230" s="21"/>
      <c r="C230" s="21"/>
      <c r="D230" s="21"/>
      <c r="E230" s="21"/>
      <c r="F230" s="21"/>
      <c r="G230" s="21"/>
      <c r="H230" s="21"/>
      <c r="I230" s="21"/>
      <c r="J230" s="21"/>
      <c r="K230" s="21"/>
      <c r="L230" s="21"/>
      <c r="M230" s="22"/>
      <c r="N230" s="20"/>
      <c r="O230" s="20"/>
      <c r="P230" s="21"/>
      <c r="Q230" s="21"/>
      <c r="R230" s="20"/>
      <c r="S230" s="20"/>
      <c r="T230" s="21"/>
      <c r="U230" s="21"/>
      <c r="V230" s="9" t="str">
        <f aca="false">IF(A230="","",SUMIFS(CONFIG!$F$5:$F$26,CONFIG!$D$5:$D$26,"Tipo de persona",CONFIG!$E$5:$E$26,C230)+SUMIFS(CONFIG!$F$5:$F$26,CONFIG!$D$5:$D$26,"Residencia",CONFIG!$E$5:$E$26,E230)+SUMIFS(CONFIG!$F$5:$F$26,CONFIG!$D$5:$D$26,"Nacionalidad",CONFIG!$E$5:$E$26,F230)+SUMIFS(CONFIG!$F$5:$F$26,CONFIG!$D$5:$D$26,"Jurisdicción de riesgo",CONFIG!$E$5:$E$26,G230)+SUMIFS(CONFIG!$F$5:$F$26,CONFIG!$D$5:$D$26,"PEP",CONFIG!$E$5:$E$26,H230)+SUMIFS(CONFIG!$F$5:$F$26,CONFIG!$D$5:$D$26,"En listas",CONFIG!$E$5:$E$26,I230)+SUMIFS(CONFIG!$F$5:$F$26,CONFIG!$D$5:$D$26,"Riesgo de su actividad económica",CONFIG!$E$5:$E$26,J230)+SUMIFS(CONFIG!$F$5:$F$26,CONFIG!$D$5:$D$26,"Canal",CONFIG!$E$5:$E$26,K230)+SUMIFS(CONFIG!$F$5:$F$26,CONFIG!$D$5:$D$26,"Origen de recursos documentado",CONFIG!$E$5:$E$26,L230))</f>
        <v/>
      </c>
      <c r="W230" s="9" t="str">
        <f aca="false">IF(A230="","",IF(SUMIF(OPERACIONES!$C$6:$C$505,A230,OPERACIONES!$E$6:$E$505)&gt;0,IF(SUMIF(OPERACIONES!$C$6:$C$505,A230,OPERACIONES!$F$6:$F$505)/SUMIF(OPERACIONES!$C$6:$C$505,A230,OPERACIONES!$E$6:$E$505)&gt;0.5,CONFIG!$B$20,IF(SUMIF(OPERACIONES!$C$6:$C$505,A230,OPERACIONES!$F$6:$F$505)&gt;0,CONFIG!$B$21,0)),0)+IF(COUNTIFS(OPERACIONES!$C$6:$C$505,A230,OPERACIONES!$AQ$6:$AQ$505,1)&gt;0,CONFIG!$B$22,0)+IF(COUNTIFS(OPERACIONES!$C$6:$C$505,A230,OPERACIONES!$H$6:$H$505,"Sí")&gt;0,CONFIG!$B$23,0))</f>
        <v/>
      </c>
      <c r="X230" s="9" t="str">
        <f aca="false">IF(A230="","",V230+W230)</f>
        <v/>
      </c>
      <c r="Y230" s="9" t="str">
        <f aca="false">IF(A230="","",IF(X230&lt;=CONFIG!$B$13,"Bajo",IF(X230&lt;=CONFIG!$B$14,"Medio","Alto")))</f>
        <v/>
      </c>
      <c r="Z230" s="25" t="str">
        <f aca="false">IF(A230="","",IF(OR(H230="Extranjera",AND(E230="No residente",G230="Sí"),I230="Sí"),"Alto",IF(T230&lt;&gt;"",T230,Y230)))</f>
        <v/>
      </c>
      <c r="AA230" s="26" t="str">
        <f aca="false">IF(A230="","",IF(H230="Extranjera","Alto obligatorio: PEP extranjera (RCG 23 Bis 4)",IF(AND(E230="No residente",G230="Sí"),"Alto obligatorio: no residente vinculado a jurisdicción de riesgo (RCG 23 Bis 4)",IF(I230="Sí","Alto por criterio: persona en listas. Evalúa no operar y Aviso de 24 h",IF(T230&lt;&gt;"","Ajuste del REC: "&amp;U230,"Modelo: "&amp;X230&amp;" puntos")))))</f>
        <v/>
      </c>
      <c r="AB230" s="23" t="str">
        <f aca="false">IF(A230="","",IF(COUNT(N230,O230)=0,"Falta fecha",EDATE(MAX(N230,O230),IF(Z230="Alto",CONFIG!$B$18,IF(Z230="Medio",CONFIG!$B$17,CONFIG!$B$16)))))</f>
        <v/>
      </c>
      <c r="AC230" s="23" t="str">
        <f aca="false">IF(A230="","",IF(ISNUMBER(S230),EDATE(S230,12),IF(ISNUMBER(N230),EDATE(N230,12),"Falta fecha")))</f>
        <v/>
      </c>
      <c r="AD230" s="26" t="str">
        <f aca="false">IF(A230="","",MID(IF(P230&lt;&gt;"Sí"," · Expediente incompleto","")&amp;IF(OR(Q230="",Q230="Pendiente")," · Falta el Beneficiario Controlador","")&amp;IF(M230=""," · Sin perfil transaccional","")&amp;IF(AND(ISNUMBER(AB230),AB230&lt;CONFIG!$B$6)," · Evaluación de riesgo vencida","")&amp;IF(AND(ISNUMBER(AC230),AC230&lt;CONFIG!$B$6)," · Verificación anual vencida","")&amp;IF(AND(ISNUMBER(R230),ISNUMBER(S230),S230-R230&gt;92)," · Comprobante de domicilio con más de 3 meses","")&amp;IF(AND(T230&lt;&gt;"",U230="")," · Ajuste del REC sin justificación",""),4,400))</f>
        <v/>
      </c>
      <c r="AE230" s="9" t="str">
        <f aca="false">IF(A230="","",IF(AD230="","Al día","Revisar"))</f>
        <v/>
      </c>
      <c r="AF230" s="9" t="str">
        <f aca="false">IF(A230="","",COUNTIF(OPERACIONES!$C$6:$C$505,A230)&amp;" / $"&amp;FIXED(SUMIF(OPERACIONES!$C$6:$C$505,A230,OPERACIONES!$E$6:$E$505),0))</f>
        <v/>
      </c>
    </row>
    <row r="231" customFormat="false" ht="15" hidden="false" customHeight="false" outlineLevel="0" collapsed="false">
      <c r="A231" s="21"/>
      <c r="B231" s="21"/>
      <c r="C231" s="21"/>
      <c r="D231" s="21"/>
      <c r="E231" s="21"/>
      <c r="F231" s="21"/>
      <c r="G231" s="21"/>
      <c r="H231" s="21"/>
      <c r="I231" s="21"/>
      <c r="J231" s="21"/>
      <c r="K231" s="21"/>
      <c r="L231" s="21"/>
      <c r="M231" s="22"/>
      <c r="N231" s="20"/>
      <c r="O231" s="20"/>
      <c r="P231" s="21"/>
      <c r="Q231" s="21"/>
      <c r="R231" s="20"/>
      <c r="S231" s="20"/>
      <c r="T231" s="21"/>
      <c r="U231" s="21"/>
      <c r="V231" s="9" t="str">
        <f aca="false">IF(A231="","",SUMIFS(CONFIG!$F$5:$F$26,CONFIG!$D$5:$D$26,"Tipo de persona",CONFIG!$E$5:$E$26,C231)+SUMIFS(CONFIG!$F$5:$F$26,CONFIG!$D$5:$D$26,"Residencia",CONFIG!$E$5:$E$26,E231)+SUMIFS(CONFIG!$F$5:$F$26,CONFIG!$D$5:$D$26,"Nacionalidad",CONFIG!$E$5:$E$26,F231)+SUMIFS(CONFIG!$F$5:$F$26,CONFIG!$D$5:$D$26,"Jurisdicción de riesgo",CONFIG!$E$5:$E$26,G231)+SUMIFS(CONFIG!$F$5:$F$26,CONFIG!$D$5:$D$26,"PEP",CONFIG!$E$5:$E$26,H231)+SUMIFS(CONFIG!$F$5:$F$26,CONFIG!$D$5:$D$26,"En listas",CONFIG!$E$5:$E$26,I231)+SUMIFS(CONFIG!$F$5:$F$26,CONFIG!$D$5:$D$26,"Riesgo de su actividad económica",CONFIG!$E$5:$E$26,J231)+SUMIFS(CONFIG!$F$5:$F$26,CONFIG!$D$5:$D$26,"Canal",CONFIG!$E$5:$E$26,K231)+SUMIFS(CONFIG!$F$5:$F$26,CONFIG!$D$5:$D$26,"Origen de recursos documentado",CONFIG!$E$5:$E$26,L231))</f>
        <v/>
      </c>
      <c r="W231" s="9" t="str">
        <f aca="false">IF(A231="","",IF(SUMIF(OPERACIONES!$C$6:$C$505,A231,OPERACIONES!$E$6:$E$505)&gt;0,IF(SUMIF(OPERACIONES!$C$6:$C$505,A231,OPERACIONES!$F$6:$F$505)/SUMIF(OPERACIONES!$C$6:$C$505,A231,OPERACIONES!$E$6:$E$505)&gt;0.5,CONFIG!$B$20,IF(SUMIF(OPERACIONES!$C$6:$C$505,A231,OPERACIONES!$F$6:$F$505)&gt;0,CONFIG!$B$21,0)),0)+IF(COUNTIFS(OPERACIONES!$C$6:$C$505,A231,OPERACIONES!$AQ$6:$AQ$505,1)&gt;0,CONFIG!$B$22,0)+IF(COUNTIFS(OPERACIONES!$C$6:$C$505,A231,OPERACIONES!$H$6:$H$505,"Sí")&gt;0,CONFIG!$B$23,0))</f>
        <v/>
      </c>
      <c r="X231" s="9" t="str">
        <f aca="false">IF(A231="","",V231+W231)</f>
        <v/>
      </c>
      <c r="Y231" s="9" t="str">
        <f aca="false">IF(A231="","",IF(X231&lt;=CONFIG!$B$13,"Bajo",IF(X231&lt;=CONFIG!$B$14,"Medio","Alto")))</f>
        <v/>
      </c>
      <c r="Z231" s="25" t="str">
        <f aca="false">IF(A231="","",IF(OR(H231="Extranjera",AND(E231="No residente",G231="Sí"),I231="Sí"),"Alto",IF(T231&lt;&gt;"",T231,Y231)))</f>
        <v/>
      </c>
      <c r="AA231" s="26" t="str">
        <f aca="false">IF(A231="","",IF(H231="Extranjera","Alto obligatorio: PEP extranjera (RCG 23 Bis 4)",IF(AND(E231="No residente",G231="Sí"),"Alto obligatorio: no residente vinculado a jurisdicción de riesgo (RCG 23 Bis 4)",IF(I231="Sí","Alto por criterio: persona en listas. Evalúa no operar y Aviso de 24 h",IF(T231&lt;&gt;"","Ajuste del REC: "&amp;U231,"Modelo: "&amp;X231&amp;" puntos")))))</f>
        <v/>
      </c>
      <c r="AB231" s="23" t="str">
        <f aca="false">IF(A231="","",IF(COUNT(N231,O231)=0,"Falta fecha",EDATE(MAX(N231,O231),IF(Z231="Alto",CONFIG!$B$18,IF(Z231="Medio",CONFIG!$B$17,CONFIG!$B$16)))))</f>
        <v/>
      </c>
      <c r="AC231" s="23" t="str">
        <f aca="false">IF(A231="","",IF(ISNUMBER(S231),EDATE(S231,12),IF(ISNUMBER(N231),EDATE(N231,12),"Falta fecha")))</f>
        <v/>
      </c>
      <c r="AD231" s="26" t="str">
        <f aca="false">IF(A231="","",MID(IF(P231&lt;&gt;"Sí"," · Expediente incompleto","")&amp;IF(OR(Q231="",Q231="Pendiente")," · Falta el Beneficiario Controlador","")&amp;IF(M231=""," · Sin perfil transaccional","")&amp;IF(AND(ISNUMBER(AB231),AB231&lt;CONFIG!$B$6)," · Evaluación de riesgo vencida","")&amp;IF(AND(ISNUMBER(AC231),AC231&lt;CONFIG!$B$6)," · Verificación anual vencida","")&amp;IF(AND(ISNUMBER(R231),ISNUMBER(S231),S231-R231&gt;92)," · Comprobante de domicilio con más de 3 meses","")&amp;IF(AND(T231&lt;&gt;"",U231="")," · Ajuste del REC sin justificación",""),4,400))</f>
        <v/>
      </c>
      <c r="AE231" s="9" t="str">
        <f aca="false">IF(A231="","",IF(AD231="","Al día","Revisar"))</f>
        <v/>
      </c>
      <c r="AF231" s="9" t="str">
        <f aca="false">IF(A231="","",COUNTIF(OPERACIONES!$C$6:$C$505,A231)&amp;" / $"&amp;FIXED(SUMIF(OPERACIONES!$C$6:$C$505,A231,OPERACIONES!$E$6:$E$505),0))</f>
        <v/>
      </c>
    </row>
    <row r="232" customFormat="false" ht="15" hidden="false" customHeight="false" outlineLevel="0" collapsed="false">
      <c r="A232" s="21"/>
      <c r="B232" s="21"/>
      <c r="C232" s="21"/>
      <c r="D232" s="21"/>
      <c r="E232" s="21"/>
      <c r="F232" s="21"/>
      <c r="G232" s="21"/>
      <c r="H232" s="21"/>
      <c r="I232" s="21"/>
      <c r="J232" s="21"/>
      <c r="K232" s="21"/>
      <c r="L232" s="21"/>
      <c r="M232" s="22"/>
      <c r="N232" s="20"/>
      <c r="O232" s="20"/>
      <c r="P232" s="21"/>
      <c r="Q232" s="21"/>
      <c r="R232" s="20"/>
      <c r="S232" s="20"/>
      <c r="T232" s="21"/>
      <c r="U232" s="21"/>
      <c r="V232" s="9" t="str">
        <f aca="false">IF(A232="","",SUMIFS(CONFIG!$F$5:$F$26,CONFIG!$D$5:$D$26,"Tipo de persona",CONFIG!$E$5:$E$26,C232)+SUMIFS(CONFIG!$F$5:$F$26,CONFIG!$D$5:$D$26,"Residencia",CONFIG!$E$5:$E$26,E232)+SUMIFS(CONFIG!$F$5:$F$26,CONFIG!$D$5:$D$26,"Nacionalidad",CONFIG!$E$5:$E$26,F232)+SUMIFS(CONFIG!$F$5:$F$26,CONFIG!$D$5:$D$26,"Jurisdicción de riesgo",CONFIG!$E$5:$E$26,G232)+SUMIFS(CONFIG!$F$5:$F$26,CONFIG!$D$5:$D$26,"PEP",CONFIG!$E$5:$E$26,H232)+SUMIFS(CONFIG!$F$5:$F$26,CONFIG!$D$5:$D$26,"En listas",CONFIG!$E$5:$E$26,I232)+SUMIFS(CONFIG!$F$5:$F$26,CONFIG!$D$5:$D$26,"Riesgo de su actividad económica",CONFIG!$E$5:$E$26,J232)+SUMIFS(CONFIG!$F$5:$F$26,CONFIG!$D$5:$D$26,"Canal",CONFIG!$E$5:$E$26,K232)+SUMIFS(CONFIG!$F$5:$F$26,CONFIG!$D$5:$D$26,"Origen de recursos documentado",CONFIG!$E$5:$E$26,L232))</f>
        <v/>
      </c>
      <c r="W232" s="9" t="str">
        <f aca="false">IF(A232="","",IF(SUMIF(OPERACIONES!$C$6:$C$505,A232,OPERACIONES!$E$6:$E$505)&gt;0,IF(SUMIF(OPERACIONES!$C$6:$C$505,A232,OPERACIONES!$F$6:$F$505)/SUMIF(OPERACIONES!$C$6:$C$505,A232,OPERACIONES!$E$6:$E$505)&gt;0.5,CONFIG!$B$20,IF(SUMIF(OPERACIONES!$C$6:$C$505,A232,OPERACIONES!$F$6:$F$505)&gt;0,CONFIG!$B$21,0)),0)+IF(COUNTIFS(OPERACIONES!$C$6:$C$505,A232,OPERACIONES!$AQ$6:$AQ$505,1)&gt;0,CONFIG!$B$22,0)+IF(COUNTIFS(OPERACIONES!$C$6:$C$505,A232,OPERACIONES!$H$6:$H$505,"Sí")&gt;0,CONFIG!$B$23,0))</f>
        <v/>
      </c>
      <c r="X232" s="9" t="str">
        <f aca="false">IF(A232="","",V232+W232)</f>
        <v/>
      </c>
      <c r="Y232" s="9" t="str">
        <f aca="false">IF(A232="","",IF(X232&lt;=CONFIG!$B$13,"Bajo",IF(X232&lt;=CONFIG!$B$14,"Medio","Alto")))</f>
        <v/>
      </c>
      <c r="Z232" s="25" t="str">
        <f aca="false">IF(A232="","",IF(OR(H232="Extranjera",AND(E232="No residente",G232="Sí"),I232="Sí"),"Alto",IF(T232&lt;&gt;"",T232,Y232)))</f>
        <v/>
      </c>
      <c r="AA232" s="26" t="str">
        <f aca="false">IF(A232="","",IF(H232="Extranjera","Alto obligatorio: PEP extranjera (RCG 23 Bis 4)",IF(AND(E232="No residente",G232="Sí"),"Alto obligatorio: no residente vinculado a jurisdicción de riesgo (RCG 23 Bis 4)",IF(I232="Sí","Alto por criterio: persona en listas. Evalúa no operar y Aviso de 24 h",IF(T232&lt;&gt;"","Ajuste del REC: "&amp;U232,"Modelo: "&amp;X232&amp;" puntos")))))</f>
        <v/>
      </c>
      <c r="AB232" s="23" t="str">
        <f aca="false">IF(A232="","",IF(COUNT(N232,O232)=0,"Falta fecha",EDATE(MAX(N232,O232),IF(Z232="Alto",CONFIG!$B$18,IF(Z232="Medio",CONFIG!$B$17,CONFIG!$B$16)))))</f>
        <v/>
      </c>
      <c r="AC232" s="23" t="str">
        <f aca="false">IF(A232="","",IF(ISNUMBER(S232),EDATE(S232,12),IF(ISNUMBER(N232),EDATE(N232,12),"Falta fecha")))</f>
        <v/>
      </c>
      <c r="AD232" s="26" t="str">
        <f aca="false">IF(A232="","",MID(IF(P232&lt;&gt;"Sí"," · Expediente incompleto","")&amp;IF(OR(Q232="",Q232="Pendiente")," · Falta el Beneficiario Controlador","")&amp;IF(M232=""," · Sin perfil transaccional","")&amp;IF(AND(ISNUMBER(AB232),AB232&lt;CONFIG!$B$6)," · Evaluación de riesgo vencida","")&amp;IF(AND(ISNUMBER(AC232),AC232&lt;CONFIG!$B$6)," · Verificación anual vencida","")&amp;IF(AND(ISNUMBER(R232),ISNUMBER(S232),S232-R232&gt;92)," · Comprobante de domicilio con más de 3 meses","")&amp;IF(AND(T232&lt;&gt;"",U232="")," · Ajuste del REC sin justificación",""),4,400))</f>
        <v/>
      </c>
      <c r="AE232" s="9" t="str">
        <f aca="false">IF(A232="","",IF(AD232="","Al día","Revisar"))</f>
        <v/>
      </c>
      <c r="AF232" s="9" t="str">
        <f aca="false">IF(A232="","",COUNTIF(OPERACIONES!$C$6:$C$505,A232)&amp;" / $"&amp;FIXED(SUMIF(OPERACIONES!$C$6:$C$505,A232,OPERACIONES!$E$6:$E$505),0))</f>
        <v/>
      </c>
    </row>
    <row r="233" customFormat="false" ht="15" hidden="false" customHeight="false" outlineLevel="0" collapsed="false">
      <c r="A233" s="21"/>
      <c r="B233" s="21"/>
      <c r="C233" s="21"/>
      <c r="D233" s="21"/>
      <c r="E233" s="21"/>
      <c r="F233" s="21"/>
      <c r="G233" s="21"/>
      <c r="H233" s="21"/>
      <c r="I233" s="21"/>
      <c r="J233" s="21"/>
      <c r="K233" s="21"/>
      <c r="L233" s="21"/>
      <c r="M233" s="22"/>
      <c r="N233" s="20"/>
      <c r="O233" s="20"/>
      <c r="P233" s="21"/>
      <c r="Q233" s="21"/>
      <c r="R233" s="20"/>
      <c r="S233" s="20"/>
      <c r="T233" s="21"/>
      <c r="U233" s="21"/>
      <c r="V233" s="9" t="str">
        <f aca="false">IF(A233="","",SUMIFS(CONFIG!$F$5:$F$26,CONFIG!$D$5:$D$26,"Tipo de persona",CONFIG!$E$5:$E$26,C233)+SUMIFS(CONFIG!$F$5:$F$26,CONFIG!$D$5:$D$26,"Residencia",CONFIG!$E$5:$E$26,E233)+SUMIFS(CONFIG!$F$5:$F$26,CONFIG!$D$5:$D$26,"Nacionalidad",CONFIG!$E$5:$E$26,F233)+SUMIFS(CONFIG!$F$5:$F$26,CONFIG!$D$5:$D$26,"Jurisdicción de riesgo",CONFIG!$E$5:$E$26,G233)+SUMIFS(CONFIG!$F$5:$F$26,CONFIG!$D$5:$D$26,"PEP",CONFIG!$E$5:$E$26,H233)+SUMIFS(CONFIG!$F$5:$F$26,CONFIG!$D$5:$D$26,"En listas",CONFIG!$E$5:$E$26,I233)+SUMIFS(CONFIG!$F$5:$F$26,CONFIG!$D$5:$D$26,"Riesgo de su actividad económica",CONFIG!$E$5:$E$26,J233)+SUMIFS(CONFIG!$F$5:$F$26,CONFIG!$D$5:$D$26,"Canal",CONFIG!$E$5:$E$26,K233)+SUMIFS(CONFIG!$F$5:$F$26,CONFIG!$D$5:$D$26,"Origen de recursos documentado",CONFIG!$E$5:$E$26,L233))</f>
        <v/>
      </c>
      <c r="W233" s="9" t="str">
        <f aca="false">IF(A233="","",IF(SUMIF(OPERACIONES!$C$6:$C$505,A233,OPERACIONES!$E$6:$E$505)&gt;0,IF(SUMIF(OPERACIONES!$C$6:$C$505,A233,OPERACIONES!$F$6:$F$505)/SUMIF(OPERACIONES!$C$6:$C$505,A233,OPERACIONES!$E$6:$E$505)&gt;0.5,CONFIG!$B$20,IF(SUMIF(OPERACIONES!$C$6:$C$505,A233,OPERACIONES!$F$6:$F$505)&gt;0,CONFIG!$B$21,0)),0)+IF(COUNTIFS(OPERACIONES!$C$6:$C$505,A233,OPERACIONES!$AQ$6:$AQ$505,1)&gt;0,CONFIG!$B$22,0)+IF(COUNTIFS(OPERACIONES!$C$6:$C$505,A233,OPERACIONES!$H$6:$H$505,"Sí")&gt;0,CONFIG!$B$23,0))</f>
        <v/>
      </c>
      <c r="X233" s="9" t="str">
        <f aca="false">IF(A233="","",V233+W233)</f>
        <v/>
      </c>
      <c r="Y233" s="9" t="str">
        <f aca="false">IF(A233="","",IF(X233&lt;=CONFIG!$B$13,"Bajo",IF(X233&lt;=CONFIG!$B$14,"Medio","Alto")))</f>
        <v/>
      </c>
      <c r="Z233" s="25" t="str">
        <f aca="false">IF(A233="","",IF(OR(H233="Extranjera",AND(E233="No residente",G233="Sí"),I233="Sí"),"Alto",IF(T233&lt;&gt;"",T233,Y233)))</f>
        <v/>
      </c>
      <c r="AA233" s="26" t="str">
        <f aca="false">IF(A233="","",IF(H233="Extranjera","Alto obligatorio: PEP extranjera (RCG 23 Bis 4)",IF(AND(E233="No residente",G233="Sí"),"Alto obligatorio: no residente vinculado a jurisdicción de riesgo (RCG 23 Bis 4)",IF(I233="Sí","Alto por criterio: persona en listas. Evalúa no operar y Aviso de 24 h",IF(T233&lt;&gt;"","Ajuste del REC: "&amp;U233,"Modelo: "&amp;X233&amp;" puntos")))))</f>
        <v/>
      </c>
      <c r="AB233" s="23" t="str">
        <f aca="false">IF(A233="","",IF(COUNT(N233,O233)=0,"Falta fecha",EDATE(MAX(N233,O233),IF(Z233="Alto",CONFIG!$B$18,IF(Z233="Medio",CONFIG!$B$17,CONFIG!$B$16)))))</f>
        <v/>
      </c>
      <c r="AC233" s="23" t="str">
        <f aca="false">IF(A233="","",IF(ISNUMBER(S233),EDATE(S233,12),IF(ISNUMBER(N233),EDATE(N233,12),"Falta fecha")))</f>
        <v/>
      </c>
      <c r="AD233" s="26" t="str">
        <f aca="false">IF(A233="","",MID(IF(P233&lt;&gt;"Sí"," · Expediente incompleto","")&amp;IF(OR(Q233="",Q233="Pendiente")," · Falta el Beneficiario Controlador","")&amp;IF(M233=""," · Sin perfil transaccional","")&amp;IF(AND(ISNUMBER(AB233),AB233&lt;CONFIG!$B$6)," · Evaluación de riesgo vencida","")&amp;IF(AND(ISNUMBER(AC233),AC233&lt;CONFIG!$B$6)," · Verificación anual vencida","")&amp;IF(AND(ISNUMBER(R233),ISNUMBER(S233),S233-R233&gt;92)," · Comprobante de domicilio con más de 3 meses","")&amp;IF(AND(T233&lt;&gt;"",U233="")," · Ajuste del REC sin justificación",""),4,400))</f>
        <v/>
      </c>
      <c r="AE233" s="9" t="str">
        <f aca="false">IF(A233="","",IF(AD233="","Al día","Revisar"))</f>
        <v/>
      </c>
      <c r="AF233" s="9" t="str">
        <f aca="false">IF(A233="","",COUNTIF(OPERACIONES!$C$6:$C$505,A233)&amp;" / $"&amp;FIXED(SUMIF(OPERACIONES!$C$6:$C$505,A233,OPERACIONES!$E$6:$E$505),0))</f>
        <v/>
      </c>
    </row>
    <row r="234" customFormat="false" ht="15" hidden="false" customHeight="false" outlineLevel="0" collapsed="false">
      <c r="A234" s="21"/>
      <c r="B234" s="21"/>
      <c r="C234" s="21"/>
      <c r="D234" s="21"/>
      <c r="E234" s="21"/>
      <c r="F234" s="21"/>
      <c r="G234" s="21"/>
      <c r="H234" s="21"/>
      <c r="I234" s="21"/>
      <c r="J234" s="21"/>
      <c r="K234" s="21"/>
      <c r="L234" s="21"/>
      <c r="M234" s="22"/>
      <c r="N234" s="20"/>
      <c r="O234" s="20"/>
      <c r="P234" s="21"/>
      <c r="Q234" s="21"/>
      <c r="R234" s="20"/>
      <c r="S234" s="20"/>
      <c r="T234" s="21"/>
      <c r="U234" s="21"/>
      <c r="V234" s="9" t="str">
        <f aca="false">IF(A234="","",SUMIFS(CONFIG!$F$5:$F$26,CONFIG!$D$5:$D$26,"Tipo de persona",CONFIG!$E$5:$E$26,C234)+SUMIFS(CONFIG!$F$5:$F$26,CONFIG!$D$5:$D$26,"Residencia",CONFIG!$E$5:$E$26,E234)+SUMIFS(CONFIG!$F$5:$F$26,CONFIG!$D$5:$D$26,"Nacionalidad",CONFIG!$E$5:$E$26,F234)+SUMIFS(CONFIG!$F$5:$F$26,CONFIG!$D$5:$D$26,"Jurisdicción de riesgo",CONFIG!$E$5:$E$26,G234)+SUMIFS(CONFIG!$F$5:$F$26,CONFIG!$D$5:$D$26,"PEP",CONFIG!$E$5:$E$26,H234)+SUMIFS(CONFIG!$F$5:$F$26,CONFIG!$D$5:$D$26,"En listas",CONFIG!$E$5:$E$26,I234)+SUMIFS(CONFIG!$F$5:$F$26,CONFIG!$D$5:$D$26,"Riesgo de su actividad económica",CONFIG!$E$5:$E$26,J234)+SUMIFS(CONFIG!$F$5:$F$26,CONFIG!$D$5:$D$26,"Canal",CONFIG!$E$5:$E$26,K234)+SUMIFS(CONFIG!$F$5:$F$26,CONFIG!$D$5:$D$26,"Origen de recursos documentado",CONFIG!$E$5:$E$26,L234))</f>
        <v/>
      </c>
      <c r="W234" s="9" t="str">
        <f aca="false">IF(A234="","",IF(SUMIF(OPERACIONES!$C$6:$C$505,A234,OPERACIONES!$E$6:$E$505)&gt;0,IF(SUMIF(OPERACIONES!$C$6:$C$505,A234,OPERACIONES!$F$6:$F$505)/SUMIF(OPERACIONES!$C$6:$C$505,A234,OPERACIONES!$E$6:$E$505)&gt;0.5,CONFIG!$B$20,IF(SUMIF(OPERACIONES!$C$6:$C$505,A234,OPERACIONES!$F$6:$F$505)&gt;0,CONFIG!$B$21,0)),0)+IF(COUNTIFS(OPERACIONES!$C$6:$C$505,A234,OPERACIONES!$AQ$6:$AQ$505,1)&gt;0,CONFIG!$B$22,0)+IF(COUNTIFS(OPERACIONES!$C$6:$C$505,A234,OPERACIONES!$H$6:$H$505,"Sí")&gt;0,CONFIG!$B$23,0))</f>
        <v/>
      </c>
      <c r="X234" s="9" t="str">
        <f aca="false">IF(A234="","",V234+W234)</f>
        <v/>
      </c>
      <c r="Y234" s="9" t="str">
        <f aca="false">IF(A234="","",IF(X234&lt;=CONFIG!$B$13,"Bajo",IF(X234&lt;=CONFIG!$B$14,"Medio","Alto")))</f>
        <v/>
      </c>
      <c r="Z234" s="25" t="str">
        <f aca="false">IF(A234="","",IF(OR(H234="Extranjera",AND(E234="No residente",G234="Sí"),I234="Sí"),"Alto",IF(T234&lt;&gt;"",T234,Y234)))</f>
        <v/>
      </c>
      <c r="AA234" s="26" t="str">
        <f aca="false">IF(A234="","",IF(H234="Extranjera","Alto obligatorio: PEP extranjera (RCG 23 Bis 4)",IF(AND(E234="No residente",G234="Sí"),"Alto obligatorio: no residente vinculado a jurisdicción de riesgo (RCG 23 Bis 4)",IF(I234="Sí","Alto por criterio: persona en listas. Evalúa no operar y Aviso de 24 h",IF(T234&lt;&gt;"","Ajuste del REC: "&amp;U234,"Modelo: "&amp;X234&amp;" puntos")))))</f>
        <v/>
      </c>
      <c r="AB234" s="23" t="str">
        <f aca="false">IF(A234="","",IF(COUNT(N234,O234)=0,"Falta fecha",EDATE(MAX(N234,O234),IF(Z234="Alto",CONFIG!$B$18,IF(Z234="Medio",CONFIG!$B$17,CONFIG!$B$16)))))</f>
        <v/>
      </c>
      <c r="AC234" s="23" t="str">
        <f aca="false">IF(A234="","",IF(ISNUMBER(S234),EDATE(S234,12),IF(ISNUMBER(N234),EDATE(N234,12),"Falta fecha")))</f>
        <v/>
      </c>
      <c r="AD234" s="26" t="str">
        <f aca="false">IF(A234="","",MID(IF(P234&lt;&gt;"Sí"," · Expediente incompleto","")&amp;IF(OR(Q234="",Q234="Pendiente")," · Falta el Beneficiario Controlador","")&amp;IF(M234=""," · Sin perfil transaccional","")&amp;IF(AND(ISNUMBER(AB234),AB234&lt;CONFIG!$B$6)," · Evaluación de riesgo vencida","")&amp;IF(AND(ISNUMBER(AC234),AC234&lt;CONFIG!$B$6)," · Verificación anual vencida","")&amp;IF(AND(ISNUMBER(R234),ISNUMBER(S234),S234-R234&gt;92)," · Comprobante de domicilio con más de 3 meses","")&amp;IF(AND(T234&lt;&gt;"",U234="")," · Ajuste del REC sin justificación",""),4,400))</f>
        <v/>
      </c>
      <c r="AE234" s="9" t="str">
        <f aca="false">IF(A234="","",IF(AD234="","Al día","Revisar"))</f>
        <v/>
      </c>
      <c r="AF234" s="9" t="str">
        <f aca="false">IF(A234="","",COUNTIF(OPERACIONES!$C$6:$C$505,A234)&amp;" / $"&amp;FIXED(SUMIF(OPERACIONES!$C$6:$C$505,A234,OPERACIONES!$E$6:$E$505),0))</f>
        <v/>
      </c>
    </row>
    <row r="235" customFormat="false" ht="15" hidden="false" customHeight="false" outlineLevel="0" collapsed="false">
      <c r="A235" s="21"/>
      <c r="B235" s="21"/>
      <c r="C235" s="21"/>
      <c r="D235" s="21"/>
      <c r="E235" s="21"/>
      <c r="F235" s="21"/>
      <c r="G235" s="21"/>
      <c r="H235" s="21"/>
      <c r="I235" s="21"/>
      <c r="J235" s="21"/>
      <c r="K235" s="21"/>
      <c r="L235" s="21"/>
      <c r="M235" s="22"/>
      <c r="N235" s="20"/>
      <c r="O235" s="20"/>
      <c r="P235" s="21"/>
      <c r="Q235" s="21"/>
      <c r="R235" s="20"/>
      <c r="S235" s="20"/>
      <c r="T235" s="21"/>
      <c r="U235" s="21"/>
      <c r="V235" s="9" t="str">
        <f aca="false">IF(A235="","",SUMIFS(CONFIG!$F$5:$F$26,CONFIG!$D$5:$D$26,"Tipo de persona",CONFIG!$E$5:$E$26,C235)+SUMIFS(CONFIG!$F$5:$F$26,CONFIG!$D$5:$D$26,"Residencia",CONFIG!$E$5:$E$26,E235)+SUMIFS(CONFIG!$F$5:$F$26,CONFIG!$D$5:$D$26,"Nacionalidad",CONFIG!$E$5:$E$26,F235)+SUMIFS(CONFIG!$F$5:$F$26,CONFIG!$D$5:$D$26,"Jurisdicción de riesgo",CONFIG!$E$5:$E$26,G235)+SUMIFS(CONFIG!$F$5:$F$26,CONFIG!$D$5:$D$26,"PEP",CONFIG!$E$5:$E$26,H235)+SUMIFS(CONFIG!$F$5:$F$26,CONFIG!$D$5:$D$26,"En listas",CONFIG!$E$5:$E$26,I235)+SUMIFS(CONFIG!$F$5:$F$26,CONFIG!$D$5:$D$26,"Riesgo de su actividad económica",CONFIG!$E$5:$E$26,J235)+SUMIFS(CONFIG!$F$5:$F$26,CONFIG!$D$5:$D$26,"Canal",CONFIG!$E$5:$E$26,K235)+SUMIFS(CONFIG!$F$5:$F$26,CONFIG!$D$5:$D$26,"Origen de recursos documentado",CONFIG!$E$5:$E$26,L235))</f>
        <v/>
      </c>
      <c r="W235" s="9" t="str">
        <f aca="false">IF(A235="","",IF(SUMIF(OPERACIONES!$C$6:$C$505,A235,OPERACIONES!$E$6:$E$505)&gt;0,IF(SUMIF(OPERACIONES!$C$6:$C$505,A235,OPERACIONES!$F$6:$F$505)/SUMIF(OPERACIONES!$C$6:$C$505,A235,OPERACIONES!$E$6:$E$505)&gt;0.5,CONFIG!$B$20,IF(SUMIF(OPERACIONES!$C$6:$C$505,A235,OPERACIONES!$F$6:$F$505)&gt;0,CONFIG!$B$21,0)),0)+IF(COUNTIFS(OPERACIONES!$C$6:$C$505,A235,OPERACIONES!$AQ$6:$AQ$505,1)&gt;0,CONFIG!$B$22,0)+IF(COUNTIFS(OPERACIONES!$C$6:$C$505,A235,OPERACIONES!$H$6:$H$505,"Sí")&gt;0,CONFIG!$B$23,0))</f>
        <v/>
      </c>
      <c r="X235" s="9" t="str">
        <f aca="false">IF(A235="","",V235+W235)</f>
        <v/>
      </c>
      <c r="Y235" s="9" t="str">
        <f aca="false">IF(A235="","",IF(X235&lt;=CONFIG!$B$13,"Bajo",IF(X235&lt;=CONFIG!$B$14,"Medio","Alto")))</f>
        <v/>
      </c>
      <c r="Z235" s="25" t="str">
        <f aca="false">IF(A235="","",IF(OR(H235="Extranjera",AND(E235="No residente",G235="Sí"),I235="Sí"),"Alto",IF(T235&lt;&gt;"",T235,Y235)))</f>
        <v/>
      </c>
      <c r="AA235" s="26" t="str">
        <f aca="false">IF(A235="","",IF(H235="Extranjera","Alto obligatorio: PEP extranjera (RCG 23 Bis 4)",IF(AND(E235="No residente",G235="Sí"),"Alto obligatorio: no residente vinculado a jurisdicción de riesgo (RCG 23 Bis 4)",IF(I235="Sí","Alto por criterio: persona en listas. Evalúa no operar y Aviso de 24 h",IF(T235&lt;&gt;"","Ajuste del REC: "&amp;U235,"Modelo: "&amp;X235&amp;" puntos")))))</f>
        <v/>
      </c>
      <c r="AB235" s="23" t="str">
        <f aca="false">IF(A235="","",IF(COUNT(N235,O235)=0,"Falta fecha",EDATE(MAX(N235,O235),IF(Z235="Alto",CONFIG!$B$18,IF(Z235="Medio",CONFIG!$B$17,CONFIG!$B$16)))))</f>
        <v/>
      </c>
      <c r="AC235" s="23" t="str">
        <f aca="false">IF(A235="","",IF(ISNUMBER(S235),EDATE(S235,12),IF(ISNUMBER(N235),EDATE(N235,12),"Falta fecha")))</f>
        <v/>
      </c>
      <c r="AD235" s="26" t="str">
        <f aca="false">IF(A235="","",MID(IF(P235&lt;&gt;"Sí"," · Expediente incompleto","")&amp;IF(OR(Q235="",Q235="Pendiente")," · Falta el Beneficiario Controlador","")&amp;IF(M235=""," · Sin perfil transaccional","")&amp;IF(AND(ISNUMBER(AB235),AB235&lt;CONFIG!$B$6)," · Evaluación de riesgo vencida","")&amp;IF(AND(ISNUMBER(AC235),AC235&lt;CONFIG!$B$6)," · Verificación anual vencida","")&amp;IF(AND(ISNUMBER(R235),ISNUMBER(S235),S235-R235&gt;92)," · Comprobante de domicilio con más de 3 meses","")&amp;IF(AND(T235&lt;&gt;"",U235="")," · Ajuste del REC sin justificación",""),4,400))</f>
        <v/>
      </c>
      <c r="AE235" s="9" t="str">
        <f aca="false">IF(A235="","",IF(AD235="","Al día","Revisar"))</f>
        <v/>
      </c>
      <c r="AF235" s="9" t="str">
        <f aca="false">IF(A235="","",COUNTIF(OPERACIONES!$C$6:$C$505,A235)&amp;" / $"&amp;FIXED(SUMIF(OPERACIONES!$C$6:$C$505,A235,OPERACIONES!$E$6:$E$505),0))</f>
        <v/>
      </c>
    </row>
    <row r="236" customFormat="false" ht="15" hidden="false" customHeight="false" outlineLevel="0" collapsed="false">
      <c r="A236" s="21"/>
      <c r="B236" s="21"/>
      <c r="C236" s="21"/>
      <c r="D236" s="21"/>
      <c r="E236" s="21"/>
      <c r="F236" s="21"/>
      <c r="G236" s="21"/>
      <c r="H236" s="21"/>
      <c r="I236" s="21"/>
      <c r="J236" s="21"/>
      <c r="K236" s="21"/>
      <c r="L236" s="21"/>
      <c r="M236" s="22"/>
      <c r="N236" s="20"/>
      <c r="O236" s="20"/>
      <c r="P236" s="21"/>
      <c r="Q236" s="21"/>
      <c r="R236" s="20"/>
      <c r="S236" s="20"/>
      <c r="T236" s="21"/>
      <c r="U236" s="21"/>
      <c r="V236" s="9" t="str">
        <f aca="false">IF(A236="","",SUMIFS(CONFIG!$F$5:$F$26,CONFIG!$D$5:$D$26,"Tipo de persona",CONFIG!$E$5:$E$26,C236)+SUMIFS(CONFIG!$F$5:$F$26,CONFIG!$D$5:$D$26,"Residencia",CONFIG!$E$5:$E$26,E236)+SUMIFS(CONFIG!$F$5:$F$26,CONFIG!$D$5:$D$26,"Nacionalidad",CONFIG!$E$5:$E$26,F236)+SUMIFS(CONFIG!$F$5:$F$26,CONFIG!$D$5:$D$26,"Jurisdicción de riesgo",CONFIG!$E$5:$E$26,G236)+SUMIFS(CONFIG!$F$5:$F$26,CONFIG!$D$5:$D$26,"PEP",CONFIG!$E$5:$E$26,H236)+SUMIFS(CONFIG!$F$5:$F$26,CONFIG!$D$5:$D$26,"En listas",CONFIG!$E$5:$E$26,I236)+SUMIFS(CONFIG!$F$5:$F$26,CONFIG!$D$5:$D$26,"Riesgo de su actividad económica",CONFIG!$E$5:$E$26,J236)+SUMIFS(CONFIG!$F$5:$F$26,CONFIG!$D$5:$D$26,"Canal",CONFIG!$E$5:$E$26,K236)+SUMIFS(CONFIG!$F$5:$F$26,CONFIG!$D$5:$D$26,"Origen de recursos documentado",CONFIG!$E$5:$E$26,L236))</f>
        <v/>
      </c>
      <c r="W236" s="9" t="str">
        <f aca="false">IF(A236="","",IF(SUMIF(OPERACIONES!$C$6:$C$505,A236,OPERACIONES!$E$6:$E$505)&gt;0,IF(SUMIF(OPERACIONES!$C$6:$C$505,A236,OPERACIONES!$F$6:$F$505)/SUMIF(OPERACIONES!$C$6:$C$505,A236,OPERACIONES!$E$6:$E$505)&gt;0.5,CONFIG!$B$20,IF(SUMIF(OPERACIONES!$C$6:$C$505,A236,OPERACIONES!$F$6:$F$505)&gt;0,CONFIG!$B$21,0)),0)+IF(COUNTIFS(OPERACIONES!$C$6:$C$505,A236,OPERACIONES!$AQ$6:$AQ$505,1)&gt;0,CONFIG!$B$22,0)+IF(COUNTIFS(OPERACIONES!$C$6:$C$505,A236,OPERACIONES!$H$6:$H$505,"Sí")&gt;0,CONFIG!$B$23,0))</f>
        <v/>
      </c>
      <c r="X236" s="9" t="str">
        <f aca="false">IF(A236="","",V236+W236)</f>
        <v/>
      </c>
      <c r="Y236" s="9" t="str">
        <f aca="false">IF(A236="","",IF(X236&lt;=CONFIG!$B$13,"Bajo",IF(X236&lt;=CONFIG!$B$14,"Medio","Alto")))</f>
        <v/>
      </c>
      <c r="Z236" s="25" t="str">
        <f aca="false">IF(A236="","",IF(OR(H236="Extranjera",AND(E236="No residente",G236="Sí"),I236="Sí"),"Alto",IF(T236&lt;&gt;"",T236,Y236)))</f>
        <v/>
      </c>
      <c r="AA236" s="26" t="str">
        <f aca="false">IF(A236="","",IF(H236="Extranjera","Alto obligatorio: PEP extranjera (RCG 23 Bis 4)",IF(AND(E236="No residente",G236="Sí"),"Alto obligatorio: no residente vinculado a jurisdicción de riesgo (RCG 23 Bis 4)",IF(I236="Sí","Alto por criterio: persona en listas. Evalúa no operar y Aviso de 24 h",IF(T236&lt;&gt;"","Ajuste del REC: "&amp;U236,"Modelo: "&amp;X236&amp;" puntos")))))</f>
        <v/>
      </c>
      <c r="AB236" s="23" t="str">
        <f aca="false">IF(A236="","",IF(COUNT(N236,O236)=0,"Falta fecha",EDATE(MAX(N236,O236),IF(Z236="Alto",CONFIG!$B$18,IF(Z236="Medio",CONFIG!$B$17,CONFIG!$B$16)))))</f>
        <v/>
      </c>
      <c r="AC236" s="23" t="str">
        <f aca="false">IF(A236="","",IF(ISNUMBER(S236),EDATE(S236,12),IF(ISNUMBER(N236),EDATE(N236,12),"Falta fecha")))</f>
        <v/>
      </c>
      <c r="AD236" s="26" t="str">
        <f aca="false">IF(A236="","",MID(IF(P236&lt;&gt;"Sí"," · Expediente incompleto","")&amp;IF(OR(Q236="",Q236="Pendiente")," · Falta el Beneficiario Controlador","")&amp;IF(M236=""," · Sin perfil transaccional","")&amp;IF(AND(ISNUMBER(AB236),AB236&lt;CONFIG!$B$6)," · Evaluación de riesgo vencida","")&amp;IF(AND(ISNUMBER(AC236),AC236&lt;CONFIG!$B$6)," · Verificación anual vencida","")&amp;IF(AND(ISNUMBER(R236),ISNUMBER(S236),S236-R236&gt;92)," · Comprobante de domicilio con más de 3 meses","")&amp;IF(AND(T236&lt;&gt;"",U236="")," · Ajuste del REC sin justificación",""),4,400))</f>
        <v/>
      </c>
      <c r="AE236" s="9" t="str">
        <f aca="false">IF(A236="","",IF(AD236="","Al día","Revisar"))</f>
        <v/>
      </c>
      <c r="AF236" s="9" t="str">
        <f aca="false">IF(A236="","",COUNTIF(OPERACIONES!$C$6:$C$505,A236)&amp;" / $"&amp;FIXED(SUMIF(OPERACIONES!$C$6:$C$505,A236,OPERACIONES!$E$6:$E$505),0))</f>
        <v/>
      </c>
    </row>
    <row r="237" customFormat="false" ht="15" hidden="false" customHeight="false" outlineLevel="0" collapsed="false">
      <c r="A237" s="21"/>
      <c r="B237" s="21"/>
      <c r="C237" s="21"/>
      <c r="D237" s="21"/>
      <c r="E237" s="21"/>
      <c r="F237" s="21"/>
      <c r="G237" s="21"/>
      <c r="H237" s="21"/>
      <c r="I237" s="21"/>
      <c r="J237" s="21"/>
      <c r="K237" s="21"/>
      <c r="L237" s="21"/>
      <c r="M237" s="22"/>
      <c r="N237" s="20"/>
      <c r="O237" s="20"/>
      <c r="P237" s="21"/>
      <c r="Q237" s="21"/>
      <c r="R237" s="20"/>
      <c r="S237" s="20"/>
      <c r="T237" s="21"/>
      <c r="U237" s="21"/>
      <c r="V237" s="9" t="str">
        <f aca="false">IF(A237="","",SUMIFS(CONFIG!$F$5:$F$26,CONFIG!$D$5:$D$26,"Tipo de persona",CONFIG!$E$5:$E$26,C237)+SUMIFS(CONFIG!$F$5:$F$26,CONFIG!$D$5:$D$26,"Residencia",CONFIG!$E$5:$E$26,E237)+SUMIFS(CONFIG!$F$5:$F$26,CONFIG!$D$5:$D$26,"Nacionalidad",CONFIG!$E$5:$E$26,F237)+SUMIFS(CONFIG!$F$5:$F$26,CONFIG!$D$5:$D$26,"Jurisdicción de riesgo",CONFIG!$E$5:$E$26,G237)+SUMIFS(CONFIG!$F$5:$F$26,CONFIG!$D$5:$D$26,"PEP",CONFIG!$E$5:$E$26,H237)+SUMIFS(CONFIG!$F$5:$F$26,CONFIG!$D$5:$D$26,"En listas",CONFIG!$E$5:$E$26,I237)+SUMIFS(CONFIG!$F$5:$F$26,CONFIG!$D$5:$D$26,"Riesgo de su actividad económica",CONFIG!$E$5:$E$26,J237)+SUMIFS(CONFIG!$F$5:$F$26,CONFIG!$D$5:$D$26,"Canal",CONFIG!$E$5:$E$26,K237)+SUMIFS(CONFIG!$F$5:$F$26,CONFIG!$D$5:$D$26,"Origen de recursos documentado",CONFIG!$E$5:$E$26,L237))</f>
        <v/>
      </c>
      <c r="W237" s="9" t="str">
        <f aca="false">IF(A237="","",IF(SUMIF(OPERACIONES!$C$6:$C$505,A237,OPERACIONES!$E$6:$E$505)&gt;0,IF(SUMIF(OPERACIONES!$C$6:$C$505,A237,OPERACIONES!$F$6:$F$505)/SUMIF(OPERACIONES!$C$6:$C$505,A237,OPERACIONES!$E$6:$E$505)&gt;0.5,CONFIG!$B$20,IF(SUMIF(OPERACIONES!$C$6:$C$505,A237,OPERACIONES!$F$6:$F$505)&gt;0,CONFIG!$B$21,0)),0)+IF(COUNTIFS(OPERACIONES!$C$6:$C$505,A237,OPERACIONES!$AQ$6:$AQ$505,1)&gt;0,CONFIG!$B$22,0)+IF(COUNTIFS(OPERACIONES!$C$6:$C$505,A237,OPERACIONES!$H$6:$H$505,"Sí")&gt;0,CONFIG!$B$23,0))</f>
        <v/>
      </c>
      <c r="X237" s="9" t="str">
        <f aca="false">IF(A237="","",V237+W237)</f>
        <v/>
      </c>
      <c r="Y237" s="9" t="str">
        <f aca="false">IF(A237="","",IF(X237&lt;=CONFIG!$B$13,"Bajo",IF(X237&lt;=CONFIG!$B$14,"Medio","Alto")))</f>
        <v/>
      </c>
      <c r="Z237" s="25" t="str">
        <f aca="false">IF(A237="","",IF(OR(H237="Extranjera",AND(E237="No residente",G237="Sí"),I237="Sí"),"Alto",IF(T237&lt;&gt;"",T237,Y237)))</f>
        <v/>
      </c>
      <c r="AA237" s="26" t="str">
        <f aca="false">IF(A237="","",IF(H237="Extranjera","Alto obligatorio: PEP extranjera (RCG 23 Bis 4)",IF(AND(E237="No residente",G237="Sí"),"Alto obligatorio: no residente vinculado a jurisdicción de riesgo (RCG 23 Bis 4)",IF(I237="Sí","Alto por criterio: persona en listas. Evalúa no operar y Aviso de 24 h",IF(T237&lt;&gt;"","Ajuste del REC: "&amp;U237,"Modelo: "&amp;X237&amp;" puntos")))))</f>
        <v/>
      </c>
      <c r="AB237" s="23" t="str">
        <f aca="false">IF(A237="","",IF(COUNT(N237,O237)=0,"Falta fecha",EDATE(MAX(N237,O237),IF(Z237="Alto",CONFIG!$B$18,IF(Z237="Medio",CONFIG!$B$17,CONFIG!$B$16)))))</f>
        <v/>
      </c>
      <c r="AC237" s="23" t="str">
        <f aca="false">IF(A237="","",IF(ISNUMBER(S237),EDATE(S237,12),IF(ISNUMBER(N237),EDATE(N237,12),"Falta fecha")))</f>
        <v/>
      </c>
      <c r="AD237" s="26" t="str">
        <f aca="false">IF(A237="","",MID(IF(P237&lt;&gt;"Sí"," · Expediente incompleto","")&amp;IF(OR(Q237="",Q237="Pendiente")," · Falta el Beneficiario Controlador","")&amp;IF(M237=""," · Sin perfil transaccional","")&amp;IF(AND(ISNUMBER(AB237),AB237&lt;CONFIG!$B$6)," · Evaluación de riesgo vencida","")&amp;IF(AND(ISNUMBER(AC237),AC237&lt;CONFIG!$B$6)," · Verificación anual vencida","")&amp;IF(AND(ISNUMBER(R237),ISNUMBER(S237),S237-R237&gt;92)," · Comprobante de domicilio con más de 3 meses","")&amp;IF(AND(T237&lt;&gt;"",U237="")," · Ajuste del REC sin justificación",""),4,400))</f>
        <v/>
      </c>
      <c r="AE237" s="9" t="str">
        <f aca="false">IF(A237="","",IF(AD237="","Al día","Revisar"))</f>
        <v/>
      </c>
      <c r="AF237" s="9" t="str">
        <f aca="false">IF(A237="","",COUNTIF(OPERACIONES!$C$6:$C$505,A237)&amp;" / $"&amp;FIXED(SUMIF(OPERACIONES!$C$6:$C$505,A237,OPERACIONES!$E$6:$E$505),0))</f>
        <v/>
      </c>
    </row>
    <row r="238" customFormat="false" ht="15" hidden="false" customHeight="false" outlineLevel="0" collapsed="false">
      <c r="A238" s="21"/>
      <c r="B238" s="21"/>
      <c r="C238" s="21"/>
      <c r="D238" s="21"/>
      <c r="E238" s="21"/>
      <c r="F238" s="21"/>
      <c r="G238" s="21"/>
      <c r="H238" s="21"/>
      <c r="I238" s="21"/>
      <c r="J238" s="21"/>
      <c r="K238" s="21"/>
      <c r="L238" s="21"/>
      <c r="M238" s="22"/>
      <c r="N238" s="20"/>
      <c r="O238" s="20"/>
      <c r="P238" s="21"/>
      <c r="Q238" s="21"/>
      <c r="R238" s="20"/>
      <c r="S238" s="20"/>
      <c r="T238" s="21"/>
      <c r="U238" s="21"/>
      <c r="V238" s="9" t="str">
        <f aca="false">IF(A238="","",SUMIFS(CONFIG!$F$5:$F$26,CONFIG!$D$5:$D$26,"Tipo de persona",CONFIG!$E$5:$E$26,C238)+SUMIFS(CONFIG!$F$5:$F$26,CONFIG!$D$5:$D$26,"Residencia",CONFIG!$E$5:$E$26,E238)+SUMIFS(CONFIG!$F$5:$F$26,CONFIG!$D$5:$D$26,"Nacionalidad",CONFIG!$E$5:$E$26,F238)+SUMIFS(CONFIG!$F$5:$F$26,CONFIG!$D$5:$D$26,"Jurisdicción de riesgo",CONFIG!$E$5:$E$26,G238)+SUMIFS(CONFIG!$F$5:$F$26,CONFIG!$D$5:$D$26,"PEP",CONFIG!$E$5:$E$26,H238)+SUMIFS(CONFIG!$F$5:$F$26,CONFIG!$D$5:$D$26,"En listas",CONFIG!$E$5:$E$26,I238)+SUMIFS(CONFIG!$F$5:$F$26,CONFIG!$D$5:$D$26,"Riesgo de su actividad económica",CONFIG!$E$5:$E$26,J238)+SUMIFS(CONFIG!$F$5:$F$26,CONFIG!$D$5:$D$26,"Canal",CONFIG!$E$5:$E$26,K238)+SUMIFS(CONFIG!$F$5:$F$26,CONFIG!$D$5:$D$26,"Origen de recursos documentado",CONFIG!$E$5:$E$26,L238))</f>
        <v/>
      </c>
      <c r="W238" s="9" t="str">
        <f aca="false">IF(A238="","",IF(SUMIF(OPERACIONES!$C$6:$C$505,A238,OPERACIONES!$E$6:$E$505)&gt;0,IF(SUMIF(OPERACIONES!$C$6:$C$505,A238,OPERACIONES!$F$6:$F$505)/SUMIF(OPERACIONES!$C$6:$C$505,A238,OPERACIONES!$E$6:$E$505)&gt;0.5,CONFIG!$B$20,IF(SUMIF(OPERACIONES!$C$6:$C$505,A238,OPERACIONES!$F$6:$F$505)&gt;0,CONFIG!$B$21,0)),0)+IF(COUNTIFS(OPERACIONES!$C$6:$C$505,A238,OPERACIONES!$AQ$6:$AQ$505,1)&gt;0,CONFIG!$B$22,0)+IF(COUNTIFS(OPERACIONES!$C$6:$C$505,A238,OPERACIONES!$H$6:$H$505,"Sí")&gt;0,CONFIG!$B$23,0))</f>
        <v/>
      </c>
      <c r="X238" s="9" t="str">
        <f aca="false">IF(A238="","",V238+W238)</f>
        <v/>
      </c>
      <c r="Y238" s="9" t="str">
        <f aca="false">IF(A238="","",IF(X238&lt;=CONFIG!$B$13,"Bajo",IF(X238&lt;=CONFIG!$B$14,"Medio","Alto")))</f>
        <v/>
      </c>
      <c r="Z238" s="25" t="str">
        <f aca="false">IF(A238="","",IF(OR(H238="Extranjera",AND(E238="No residente",G238="Sí"),I238="Sí"),"Alto",IF(T238&lt;&gt;"",T238,Y238)))</f>
        <v/>
      </c>
      <c r="AA238" s="26" t="str">
        <f aca="false">IF(A238="","",IF(H238="Extranjera","Alto obligatorio: PEP extranjera (RCG 23 Bis 4)",IF(AND(E238="No residente",G238="Sí"),"Alto obligatorio: no residente vinculado a jurisdicción de riesgo (RCG 23 Bis 4)",IF(I238="Sí","Alto por criterio: persona en listas. Evalúa no operar y Aviso de 24 h",IF(T238&lt;&gt;"","Ajuste del REC: "&amp;U238,"Modelo: "&amp;X238&amp;" puntos")))))</f>
        <v/>
      </c>
      <c r="AB238" s="23" t="str">
        <f aca="false">IF(A238="","",IF(COUNT(N238,O238)=0,"Falta fecha",EDATE(MAX(N238,O238),IF(Z238="Alto",CONFIG!$B$18,IF(Z238="Medio",CONFIG!$B$17,CONFIG!$B$16)))))</f>
        <v/>
      </c>
      <c r="AC238" s="23" t="str">
        <f aca="false">IF(A238="","",IF(ISNUMBER(S238),EDATE(S238,12),IF(ISNUMBER(N238),EDATE(N238,12),"Falta fecha")))</f>
        <v/>
      </c>
      <c r="AD238" s="26" t="str">
        <f aca="false">IF(A238="","",MID(IF(P238&lt;&gt;"Sí"," · Expediente incompleto","")&amp;IF(OR(Q238="",Q238="Pendiente")," · Falta el Beneficiario Controlador","")&amp;IF(M238=""," · Sin perfil transaccional","")&amp;IF(AND(ISNUMBER(AB238),AB238&lt;CONFIG!$B$6)," · Evaluación de riesgo vencida","")&amp;IF(AND(ISNUMBER(AC238),AC238&lt;CONFIG!$B$6)," · Verificación anual vencida","")&amp;IF(AND(ISNUMBER(R238),ISNUMBER(S238),S238-R238&gt;92)," · Comprobante de domicilio con más de 3 meses","")&amp;IF(AND(T238&lt;&gt;"",U238="")," · Ajuste del REC sin justificación",""),4,400))</f>
        <v/>
      </c>
      <c r="AE238" s="9" t="str">
        <f aca="false">IF(A238="","",IF(AD238="","Al día","Revisar"))</f>
        <v/>
      </c>
      <c r="AF238" s="9" t="str">
        <f aca="false">IF(A238="","",COUNTIF(OPERACIONES!$C$6:$C$505,A238)&amp;" / $"&amp;FIXED(SUMIF(OPERACIONES!$C$6:$C$505,A238,OPERACIONES!$E$6:$E$505),0))</f>
        <v/>
      </c>
    </row>
    <row r="239" customFormat="false" ht="15" hidden="false" customHeight="false" outlineLevel="0" collapsed="false">
      <c r="A239" s="21"/>
      <c r="B239" s="21"/>
      <c r="C239" s="21"/>
      <c r="D239" s="21"/>
      <c r="E239" s="21"/>
      <c r="F239" s="21"/>
      <c r="G239" s="21"/>
      <c r="H239" s="21"/>
      <c r="I239" s="21"/>
      <c r="J239" s="21"/>
      <c r="K239" s="21"/>
      <c r="L239" s="21"/>
      <c r="M239" s="22"/>
      <c r="N239" s="20"/>
      <c r="O239" s="20"/>
      <c r="P239" s="21"/>
      <c r="Q239" s="21"/>
      <c r="R239" s="20"/>
      <c r="S239" s="20"/>
      <c r="T239" s="21"/>
      <c r="U239" s="21"/>
      <c r="V239" s="9" t="str">
        <f aca="false">IF(A239="","",SUMIFS(CONFIG!$F$5:$F$26,CONFIG!$D$5:$D$26,"Tipo de persona",CONFIG!$E$5:$E$26,C239)+SUMIFS(CONFIG!$F$5:$F$26,CONFIG!$D$5:$D$26,"Residencia",CONFIG!$E$5:$E$26,E239)+SUMIFS(CONFIG!$F$5:$F$26,CONFIG!$D$5:$D$26,"Nacionalidad",CONFIG!$E$5:$E$26,F239)+SUMIFS(CONFIG!$F$5:$F$26,CONFIG!$D$5:$D$26,"Jurisdicción de riesgo",CONFIG!$E$5:$E$26,G239)+SUMIFS(CONFIG!$F$5:$F$26,CONFIG!$D$5:$D$26,"PEP",CONFIG!$E$5:$E$26,H239)+SUMIFS(CONFIG!$F$5:$F$26,CONFIG!$D$5:$D$26,"En listas",CONFIG!$E$5:$E$26,I239)+SUMIFS(CONFIG!$F$5:$F$26,CONFIG!$D$5:$D$26,"Riesgo de su actividad económica",CONFIG!$E$5:$E$26,J239)+SUMIFS(CONFIG!$F$5:$F$26,CONFIG!$D$5:$D$26,"Canal",CONFIG!$E$5:$E$26,K239)+SUMIFS(CONFIG!$F$5:$F$26,CONFIG!$D$5:$D$26,"Origen de recursos documentado",CONFIG!$E$5:$E$26,L239))</f>
        <v/>
      </c>
      <c r="W239" s="9" t="str">
        <f aca="false">IF(A239="","",IF(SUMIF(OPERACIONES!$C$6:$C$505,A239,OPERACIONES!$E$6:$E$505)&gt;0,IF(SUMIF(OPERACIONES!$C$6:$C$505,A239,OPERACIONES!$F$6:$F$505)/SUMIF(OPERACIONES!$C$6:$C$505,A239,OPERACIONES!$E$6:$E$505)&gt;0.5,CONFIG!$B$20,IF(SUMIF(OPERACIONES!$C$6:$C$505,A239,OPERACIONES!$F$6:$F$505)&gt;0,CONFIG!$B$21,0)),0)+IF(COUNTIFS(OPERACIONES!$C$6:$C$505,A239,OPERACIONES!$AQ$6:$AQ$505,1)&gt;0,CONFIG!$B$22,0)+IF(COUNTIFS(OPERACIONES!$C$6:$C$505,A239,OPERACIONES!$H$6:$H$505,"Sí")&gt;0,CONFIG!$B$23,0))</f>
        <v/>
      </c>
      <c r="X239" s="9" t="str">
        <f aca="false">IF(A239="","",V239+W239)</f>
        <v/>
      </c>
      <c r="Y239" s="9" t="str">
        <f aca="false">IF(A239="","",IF(X239&lt;=CONFIG!$B$13,"Bajo",IF(X239&lt;=CONFIG!$B$14,"Medio","Alto")))</f>
        <v/>
      </c>
      <c r="Z239" s="25" t="str">
        <f aca="false">IF(A239="","",IF(OR(H239="Extranjera",AND(E239="No residente",G239="Sí"),I239="Sí"),"Alto",IF(T239&lt;&gt;"",T239,Y239)))</f>
        <v/>
      </c>
      <c r="AA239" s="26" t="str">
        <f aca="false">IF(A239="","",IF(H239="Extranjera","Alto obligatorio: PEP extranjera (RCG 23 Bis 4)",IF(AND(E239="No residente",G239="Sí"),"Alto obligatorio: no residente vinculado a jurisdicción de riesgo (RCG 23 Bis 4)",IF(I239="Sí","Alto por criterio: persona en listas. Evalúa no operar y Aviso de 24 h",IF(T239&lt;&gt;"","Ajuste del REC: "&amp;U239,"Modelo: "&amp;X239&amp;" puntos")))))</f>
        <v/>
      </c>
      <c r="AB239" s="23" t="str">
        <f aca="false">IF(A239="","",IF(COUNT(N239,O239)=0,"Falta fecha",EDATE(MAX(N239,O239),IF(Z239="Alto",CONFIG!$B$18,IF(Z239="Medio",CONFIG!$B$17,CONFIG!$B$16)))))</f>
        <v/>
      </c>
      <c r="AC239" s="23" t="str">
        <f aca="false">IF(A239="","",IF(ISNUMBER(S239),EDATE(S239,12),IF(ISNUMBER(N239),EDATE(N239,12),"Falta fecha")))</f>
        <v/>
      </c>
      <c r="AD239" s="26" t="str">
        <f aca="false">IF(A239="","",MID(IF(P239&lt;&gt;"Sí"," · Expediente incompleto","")&amp;IF(OR(Q239="",Q239="Pendiente")," · Falta el Beneficiario Controlador","")&amp;IF(M239=""," · Sin perfil transaccional","")&amp;IF(AND(ISNUMBER(AB239),AB239&lt;CONFIG!$B$6)," · Evaluación de riesgo vencida","")&amp;IF(AND(ISNUMBER(AC239),AC239&lt;CONFIG!$B$6)," · Verificación anual vencida","")&amp;IF(AND(ISNUMBER(R239),ISNUMBER(S239),S239-R239&gt;92)," · Comprobante de domicilio con más de 3 meses","")&amp;IF(AND(T239&lt;&gt;"",U239="")," · Ajuste del REC sin justificación",""),4,400))</f>
        <v/>
      </c>
      <c r="AE239" s="9" t="str">
        <f aca="false">IF(A239="","",IF(AD239="","Al día","Revisar"))</f>
        <v/>
      </c>
      <c r="AF239" s="9" t="str">
        <f aca="false">IF(A239="","",COUNTIF(OPERACIONES!$C$6:$C$505,A239)&amp;" / $"&amp;FIXED(SUMIF(OPERACIONES!$C$6:$C$505,A239,OPERACIONES!$E$6:$E$505),0))</f>
        <v/>
      </c>
    </row>
    <row r="240" customFormat="false" ht="15" hidden="false" customHeight="false" outlineLevel="0" collapsed="false">
      <c r="A240" s="21"/>
      <c r="B240" s="21"/>
      <c r="C240" s="21"/>
      <c r="D240" s="21"/>
      <c r="E240" s="21"/>
      <c r="F240" s="21"/>
      <c r="G240" s="21"/>
      <c r="H240" s="21"/>
      <c r="I240" s="21"/>
      <c r="J240" s="21"/>
      <c r="K240" s="21"/>
      <c r="L240" s="21"/>
      <c r="M240" s="22"/>
      <c r="N240" s="20"/>
      <c r="O240" s="20"/>
      <c r="P240" s="21"/>
      <c r="Q240" s="21"/>
      <c r="R240" s="20"/>
      <c r="S240" s="20"/>
      <c r="T240" s="21"/>
      <c r="U240" s="21"/>
      <c r="V240" s="9" t="str">
        <f aca="false">IF(A240="","",SUMIFS(CONFIG!$F$5:$F$26,CONFIG!$D$5:$D$26,"Tipo de persona",CONFIG!$E$5:$E$26,C240)+SUMIFS(CONFIG!$F$5:$F$26,CONFIG!$D$5:$D$26,"Residencia",CONFIG!$E$5:$E$26,E240)+SUMIFS(CONFIG!$F$5:$F$26,CONFIG!$D$5:$D$26,"Nacionalidad",CONFIG!$E$5:$E$26,F240)+SUMIFS(CONFIG!$F$5:$F$26,CONFIG!$D$5:$D$26,"Jurisdicción de riesgo",CONFIG!$E$5:$E$26,G240)+SUMIFS(CONFIG!$F$5:$F$26,CONFIG!$D$5:$D$26,"PEP",CONFIG!$E$5:$E$26,H240)+SUMIFS(CONFIG!$F$5:$F$26,CONFIG!$D$5:$D$26,"En listas",CONFIG!$E$5:$E$26,I240)+SUMIFS(CONFIG!$F$5:$F$26,CONFIG!$D$5:$D$26,"Riesgo de su actividad económica",CONFIG!$E$5:$E$26,J240)+SUMIFS(CONFIG!$F$5:$F$26,CONFIG!$D$5:$D$26,"Canal",CONFIG!$E$5:$E$26,K240)+SUMIFS(CONFIG!$F$5:$F$26,CONFIG!$D$5:$D$26,"Origen de recursos documentado",CONFIG!$E$5:$E$26,L240))</f>
        <v/>
      </c>
      <c r="W240" s="9" t="str">
        <f aca="false">IF(A240="","",IF(SUMIF(OPERACIONES!$C$6:$C$505,A240,OPERACIONES!$E$6:$E$505)&gt;0,IF(SUMIF(OPERACIONES!$C$6:$C$505,A240,OPERACIONES!$F$6:$F$505)/SUMIF(OPERACIONES!$C$6:$C$505,A240,OPERACIONES!$E$6:$E$505)&gt;0.5,CONFIG!$B$20,IF(SUMIF(OPERACIONES!$C$6:$C$505,A240,OPERACIONES!$F$6:$F$505)&gt;0,CONFIG!$B$21,0)),0)+IF(COUNTIFS(OPERACIONES!$C$6:$C$505,A240,OPERACIONES!$AQ$6:$AQ$505,1)&gt;0,CONFIG!$B$22,0)+IF(COUNTIFS(OPERACIONES!$C$6:$C$505,A240,OPERACIONES!$H$6:$H$505,"Sí")&gt;0,CONFIG!$B$23,0))</f>
        <v/>
      </c>
      <c r="X240" s="9" t="str">
        <f aca="false">IF(A240="","",V240+W240)</f>
        <v/>
      </c>
      <c r="Y240" s="9" t="str">
        <f aca="false">IF(A240="","",IF(X240&lt;=CONFIG!$B$13,"Bajo",IF(X240&lt;=CONFIG!$B$14,"Medio","Alto")))</f>
        <v/>
      </c>
      <c r="Z240" s="25" t="str">
        <f aca="false">IF(A240="","",IF(OR(H240="Extranjera",AND(E240="No residente",G240="Sí"),I240="Sí"),"Alto",IF(T240&lt;&gt;"",T240,Y240)))</f>
        <v/>
      </c>
      <c r="AA240" s="26" t="str">
        <f aca="false">IF(A240="","",IF(H240="Extranjera","Alto obligatorio: PEP extranjera (RCG 23 Bis 4)",IF(AND(E240="No residente",G240="Sí"),"Alto obligatorio: no residente vinculado a jurisdicción de riesgo (RCG 23 Bis 4)",IF(I240="Sí","Alto por criterio: persona en listas. Evalúa no operar y Aviso de 24 h",IF(T240&lt;&gt;"","Ajuste del REC: "&amp;U240,"Modelo: "&amp;X240&amp;" puntos")))))</f>
        <v/>
      </c>
      <c r="AB240" s="23" t="str">
        <f aca="false">IF(A240="","",IF(COUNT(N240,O240)=0,"Falta fecha",EDATE(MAX(N240,O240),IF(Z240="Alto",CONFIG!$B$18,IF(Z240="Medio",CONFIG!$B$17,CONFIG!$B$16)))))</f>
        <v/>
      </c>
      <c r="AC240" s="23" t="str">
        <f aca="false">IF(A240="","",IF(ISNUMBER(S240),EDATE(S240,12),IF(ISNUMBER(N240),EDATE(N240,12),"Falta fecha")))</f>
        <v/>
      </c>
      <c r="AD240" s="26" t="str">
        <f aca="false">IF(A240="","",MID(IF(P240&lt;&gt;"Sí"," · Expediente incompleto","")&amp;IF(OR(Q240="",Q240="Pendiente")," · Falta el Beneficiario Controlador","")&amp;IF(M240=""," · Sin perfil transaccional","")&amp;IF(AND(ISNUMBER(AB240),AB240&lt;CONFIG!$B$6)," · Evaluación de riesgo vencida","")&amp;IF(AND(ISNUMBER(AC240),AC240&lt;CONFIG!$B$6)," · Verificación anual vencida","")&amp;IF(AND(ISNUMBER(R240),ISNUMBER(S240),S240-R240&gt;92)," · Comprobante de domicilio con más de 3 meses","")&amp;IF(AND(T240&lt;&gt;"",U240="")," · Ajuste del REC sin justificación",""),4,400))</f>
        <v/>
      </c>
      <c r="AE240" s="9" t="str">
        <f aca="false">IF(A240="","",IF(AD240="","Al día","Revisar"))</f>
        <v/>
      </c>
      <c r="AF240" s="9" t="str">
        <f aca="false">IF(A240="","",COUNTIF(OPERACIONES!$C$6:$C$505,A240)&amp;" / $"&amp;FIXED(SUMIF(OPERACIONES!$C$6:$C$505,A240,OPERACIONES!$E$6:$E$505),0))</f>
        <v/>
      </c>
    </row>
    <row r="241" customFormat="false" ht="15" hidden="false" customHeight="false" outlineLevel="0" collapsed="false">
      <c r="A241" s="21"/>
      <c r="B241" s="21"/>
      <c r="C241" s="21"/>
      <c r="D241" s="21"/>
      <c r="E241" s="21"/>
      <c r="F241" s="21"/>
      <c r="G241" s="21"/>
      <c r="H241" s="21"/>
      <c r="I241" s="21"/>
      <c r="J241" s="21"/>
      <c r="K241" s="21"/>
      <c r="L241" s="21"/>
      <c r="M241" s="22"/>
      <c r="N241" s="20"/>
      <c r="O241" s="20"/>
      <c r="P241" s="21"/>
      <c r="Q241" s="21"/>
      <c r="R241" s="20"/>
      <c r="S241" s="20"/>
      <c r="T241" s="21"/>
      <c r="U241" s="21"/>
      <c r="V241" s="9" t="str">
        <f aca="false">IF(A241="","",SUMIFS(CONFIG!$F$5:$F$26,CONFIG!$D$5:$D$26,"Tipo de persona",CONFIG!$E$5:$E$26,C241)+SUMIFS(CONFIG!$F$5:$F$26,CONFIG!$D$5:$D$26,"Residencia",CONFIG!$E$5:$E$26,E241)+SUMIFS(CONFIG!$F$5:$F$26,CONFIG!$D$5:$D$26,"Nacionalidad",CONFIG!$E$5:$E$26,F241)+SUMIFS(CONFIG!$F$5:$F$26,CONFIG!$D$5:$D$26,"Jurisdicción de riesgo",CONFIG!$E$5:$E$26,G241)+SUMIFS(CONFIG!$F$5:$F$26,CONFIG!$D$5:$D$26,"PEP",CONFIG!$E$5:$E$26,H241)+SUMIFS(CONFIG!$F$5:$F$26,CONFIG!$D$5:$D$26,"En listas",CONFIG!$E$5:$E$26,I241)+SUMIFS(CONFIG!$F$5:$F$26,CONFIG!$D$5:$D$26,"Riesgo de su actividad económica",CONFIG!$E$5:$E$26,J241)+SUMIFS(CONFIG!$F$5:$F$26,CONFIG!$D$5:$D$26,"Canal",CONFIG!$E$5:$E$26,K241)+SUMIFS(CONFIG!$F$5:$F$26,CONFIG!$D$5:$D$26,"Origen de recursos documentado",CONFIG!$E$5:$E$26,L241))</f>
        <v/>
      </c>
      <c r="W241" s="9" t="str">
        <f aca="false">IF(A241="","",IF(SUMIF(OPERACIONES!$C$6:$C$505,A241,OPERACIONES!$E$6:$E$505)&gt;0,IF(SUMIF(OPERACIONES!$C$6:$C$505,A241,OPERACIONES!$F$6:$F$505)/SUMIF(OPERACIONES!$C$6:$C$505,A241,OPERACIONES!$E$6:$E$505)&gt;0.5,CONFIG!$B$20,IF(SUMIF(OPERACIONES!$C$6:$C$505,A241,OPERACIONES!$F$6:$F$505)&gt;0,CONFIG!$B$21,0)),0)+IF(COUNTIFS(OPERACIONES!$C$6:$C$505,A241,OPERACIONES!$AQ$6:$AQ$505,1)&gt;0,CONFIG!$B$22,0)+IF(COUNTIFS(OPERACIONES!$C$6:$C$505,A241,OPERACIONES!$H$6:$H$505,"Sí")&gt;0,CONFIG!$B$23,0))</f>
        <v/>
      </c>
      <c r="X241" s="9" t="str">
        <f aca="false">IF(A241="","",V241+W241)</f>
        <v/>
      </c>
      <c r="Y241" s="9" t="str">
        <f aca="false">IF(A241="","",IF(X241&lt;=CONFIG!$B$13,"Bajo",IF(X241&lt;=CONFIG!$B$14,"Medio","Alto")))</f>
        <v/>
      </c>
      <c r="Z241" s="25" t="str">
        <f aca="false">IF(A241="","",IF(OR(H241="Extranjera",AND(E241="No residente",G241="Sí"),I241="Sí"),"Alto",IF(T241&lt;&gt;"",T241,Y241)))</f>
        <v/>
      </c>
      <c r="AA241" s="26" t="str">
        <f aca="false">IF(A241="","",IF(H241="Extranjera","Alto obligatorio: PEP extranjera (RCG 23 Bis 4)",IF(AND(E241="No residente",G241="Sí"),"Alto obligatorio: no residente vinculado a jurisdicción de riesgo (RCG 23 Bis 4)",IF(I241="Sí","Alto por criterio: persona en listas. Evalúa no operar y Aviso de 24 h",IF(T241&lt;&gt;"","Ajuste del REC: "&amp;U241,"Modelo: "&amp;X241&amp;" puntos")))))</f>
        <v/>
      </c>
      <c r="AB241" s="23" t="str">
        <f aca="false">IF(A241="","",IF(COUNT(N241,O241)=0,"Falta fecha",EDATE(MAX(N241,O241),IF(Z241="Alto",CONFIG!$B$18,IF(Z241="Medio",CONFIG!$B$17,CONFIG!$B$16)))))</f>
        <v/>
      </c>
      <c r="AC241" s="23" t="str">
        <f aca="false">IF(A241="","",IF(ISNUMBER(S241),EDATE(S241,12),IF(ISNUMBER(N241),EDATE(N241,12),"Falta fecha")))</f>
        <v/>
      </c>
      <c r="AD241" s="26" t="str">
        <f aca="false">IF(A241="","",MID(IF(P241&lt;&gt;"Sí"," · Expediente incompleto","")&amp;IF(OR(Q241="",Q241="Pendiente")," · Falta el Beneficiario Controlador","")&amp;IF(M241=""," · Sin perfil transaccional","")&amp;IF(AND(ISNUMBER(AB241),AB241&lt;CONFIG!$B$6)," · Evaluación de riesgo vencida","")&amp;IF(AND(ISNUMBER(AC241),AC241&lt;CONFIG!$B$6)," · Verificación anual vencida","")&amp;IF(AND(ISNUMBER(R241),ISNUMBER(S241),S241-R241&gt;92)," · Comprobante de domicilio con más de 3 meses","")&amp;IF(AND(T241&lt;&gt;"",U241="")," · Ajuste del REC sin justificación",""),4,400))</f>
        <v/>
      </c>
      <c r="AE241" s="9" t="str">
        <f aca="false">IF(A241="","",IF(AD241="","Al día","Revisar"))</f>
        <v/>
      </c>
      <c r="AF241" s="9" t="str">
        <f aca="false">IF(A241="","",COUNTIF(OPERACIONES!$C$6:$C$505,A241)&amp;" / $"&amp;FIXED(SUMIF(OPERACIONES!$C$6:$C$505,A241,OPERACIONES!$E$6:$E$505),0))</f>
        <v/>
      </c>
    </row>
    <row r="242" customFormat="false" ht="15" hidden="false" customHeight="false" outlineLevel="0" collapsed="false">
      <c r="A242" s="21"/>
      <c r="B242" s="21"/>
      <c r="C242" s="21"/>
      <c r="D242" s="21"/>
      <c r="E242" s="21"/>
      <c r="F242" s="21"/>
      <c r="G242" s="21"/>
      <c r="H242" s="21"/>
      <c r="I242" s="21"/>
      <c r="J242" s="21"/>
      <c r="K242" s="21"/>
      <c r="L242" s="21"/>
      <c r="M242" s="22"/>
      <c r="N242" s="20"/>
      <c r="O242" s="20"/>
      <c r="P242" s="21"/>
      <c r="Q242" s="21"/>
      <c r="R242" s="20"/>
      <c r="S242" s="20"/>
      <c r="T242" s="21"/>
      <c r="U242" s="21"/>
      <c r="V242" s="9" t="str">
        <f aca="false">IF(A242="","",SUMIFS(CONFIG!$F$5:$F$26,CONFIG!$D$5:$D$26,"Tipo de persona",CONFIG!$E$5:$E$26,C242)+SUMIFS(CONFIG!$F$5:$F$26,CONFIG!$D$5:$D$26,"Residencia",CONFIG!$E$5:$E$26,E242)+SUMIFS(CONFIG!$F$5:$F$26,CONFIG!$D$5:$D$26,"Nacionalidad",CONFIG!$E$5:$E$26,F242)+SUMIFS(CONFIG!$F$5:$F$26,CONFIG!$D$5:$D$26,"Jurisdicción de riesgo",CONFIG!$E$5:$E$26,G242)+SUMIFS(CONFIG!$F$5:$F$26,CONFIG!$D$5:$D$26,"PEP",CONFIG!$E$5:$E$26,H242)+SUMIFS(CONFIG!$F$5:$F$26,CONFIG!$D$5:$D$26,"En listas",CONFIG!$E$5:$E$26,I242)+SUMIFS(CONFIG!$F$5:$F$26,CONFIG!$D$5:$D$26,"Riesgo de su actividad económica",CONFIG!$E$5:$E$26,J242)+SUMIFS(CONFIG!$F$5:$F$26,CONFIG!$D$5:$D$26,"Canal",CONFIG!$E$5:$E$26,K242)+SUMIFS(CONFIG!$F$5:$F$26,CONFIG!$D$5:$D$26,"Origen de recursos documentado",CONFIG!$E$5:$E$26,L242))</f>
        <v/>
      </c>
      <c r="W242" s="9" t="str">
        <f aca="false">IF(A242="","",IF(SUMIF(OPERACIONES!$C$6:$C$505,A242,OPERACIONES!$E$6:$E$505)&gt;0,IF(SUMIF(OPERACIONES!$C$6:$C$505,A242,OPERACIONES!$F$6:$F$505)/SUMIF(OPERACIONES!$C$6:$C$505,A242,OPERACIONES!$E$6:$E$505)&gt;0.5,CONFIG!$B$20,IF(SUMIF(OPERACIONES!$C$6:$C$505,A242,OPERACIONES!$F$6:$F$505)&gt;0,CONFIG!$B$21,0)),0)+IF(COUNTIFS(OPERACIONES!$C$6:$C$505,A242,OPERACIONES!$AQ$6:$AQ$505,1)&gt;0,CONFIG!$B$22,0)+IF(COUNTIFS(OPERACIONES!$C$6:$C$505,A242,OPERACIONES!$H$6:$H$505,"Sí")&gt;0,CONFIG!$B$23,0))</f>
        <v/>
      </c>
      <c r="X242" s="9" t="str">
        <f aca="false">IF(A242="","",V242+W242)</f>
        <v/>
      </c>
      <c r="Y242" s="9" t="str">
        <f aca="false">IF(A242="","",IF(X242&lt;=CONFIG!$B$13,"Bajo",IF(X242&lt;=CONFIG!$B$14,"Medio","Alto")))</f>
        <v/>
      </c>
      <c r="Z242" s="25" t="str">
        <f aca="false">IF(A242="","",IF(OR(H242="Extranjera",AND(E242="No residente",G242="Sí"),I242="Sí"),"Alto",IF(T242&lt;&gt;"",T242,Y242)))</f>
        <v/>
      </c>
      <c r="AA242" s="26" t="str">
        <f aca="false">IF(A242="","",IF(H242="Extranjera","Alto obligatorio: PEP extranjera (RCG 23 Bis 4)",IF(AND(E242="No residente",G242="Sí"),"Alto obligatorio: no residente vinculado a jurisdicción de riesgo (RCG 23 Bis 4)",IF(I242="Sí","Alto por criterio: persona en listas. Evalúa no operar y Aviso de 24 h",IF(T242&lt;&gt;"","Ajuste del REC: "&amp;U242,"Modelo: "&amp;X242&amp;" puntos")))))</f>
        <v/>
      </c>
      <c r="AB242" s="23" t="str">
        <f aca="false">IF(A242="","",IF(COUNT(N242,O242)=0,"Falta fecha",EDATE(MAX(N242,O242),IF(Z242="Alto",CONFIG!$B$18,IF(Z242="Medio",CONFIG!$B$17,CONFIG!$B$16)))))</f>
        <v/>
      </c>
      <c r="AC242" s="23" t="str">
        <f aca="false">IF(A242="","",IF(ISNUMBER(S242),EDATE(S242,12),IF(ISNUMBER(N242),EDATE(N242,12),"Falta fecha")))</f>
        <v/>
      </c>
      <c r="AD242" s="26" t="str">
        <f aca="false">IF(A242="","",MID(IF(P242&lt;&gt;"Sí"," · Expediente incompleto","")&amp;IF(OR(Q242="",Q242="Pendiente")," · Falta el Beneficiario Controlador","")&amp;IF(M242=""," · Sin perfil transaccional","")&amp;IF(AND(ISNUMBER(AB242),AB242&lt;CONFIG!$B$6)," · Evaluación de riesgo vencida","")&amp;IF(AND(ISNUMBER(AC242),AC242&lt;CONFIG!$B$6)," · Verificación anual vencida","")&amp;IF(AND(ISNUMBER(R242),ISNUMBER(S242),S242-R242&gt;92)," · Comprobante de domicilio con más de 3 meses","")&amp;IF(AND(T242&lt;&gt;"",U242="")," · Ajuste del REC sin justificación",""),4,400))</f>
        <v/>
      </c>
      <c r="AE242" s="9" t="str">
        <f aca="false">IF(A242="","",IF(AD242="","Al día","Revisar"))</f>
        <v/>
      </c>
      <c r="AF242" s="9" t="str">
        <f aca="false">IF(A242="","",COUNTIF(OPERACIONES!$C$6:$C$505,A242)&amp;" / $"&amp;FIXED(SUMIF(OPERACIONES!$C$6:$C$505,A242,OPERACIONES!$E$6:$E$505),0))</f>
        <v/>
      </c>
    </row>
    <row r="243" customFormat="false" ht="15" hidden="false" customHeight="false" outlineLevel="0" collapsed="false">
      <c r="A243" s="21"/>
      <c r="B243" s="21"/>
      <c r="C243" s="21"/>
      <c r="D243" s="21"/>
      <c r="E243" s="21"/>
      <c r="F243" s="21"/>
      <c r="G243" s="21"/>
      <c r="H243" s="21"/>
      <c r="I243" s="21"/>
      <c r="J243" s="21"/>
      <c r="K243" s="21"/>
      <c r="L243" s="21"/>
      <c r="M243" s="22"/>
      <c r="N243" s="20"/>
      <c r="O243" s="20"/>
      <c r="P243" s="21"/>
      <c r="Q243" s="21"/>
      <c r="R243" s="20"/>
      <c r="S243" s="20"/>
      <c r="T243" s="21"/>
      <c r="U243" s="21"/>
      <c r="V243" s="9" t="str">
        <f aca="false">IF(A243="","",SUMIFS(CONFIG!$F$5:$F$26,CONFIG!$D$5:$D$26,"Tipo de persona",CONFIG!$E$5:$E$26,C243)+SUMIFS(CONFIG!$F$5:$F$26,CONFIG!$D$5:$D$26,"Residencia",CONFIG!$E$5:$E$26,E243)+SUMIFS(CONFIG!$F$5:$F$26,CONFIG!$D$5:$D$26,"Nacionalidad",CONFIG!$E$5:$E$26,F243)+SUMIFS(CONFIG!$F$5:$F$26,CONFIG!$D$5:$D$26,"Jurisdicción de riesgo",CONFIG!$E$5:$E$26,G243)+SUMIFS(CONFIG!$F$5:$F$26,CONFIG!$D$5:$D$26,"PEP",CONFIG!$E$5:$E$26,H243)+SUMIFS(CONFIG!$F$5:$F$26,CONFIG!$D$5:$D$26,"En listas",CONFIG!$E$5:$E$26,I243)+SUMIFS(CONFIG!$F$5:$F$26,CONFIG!$D$5:$D$26,"Riesgo de su actividad económica",CONFIG!$E$5:$E$26,J243)+SUMIFS(CONFIG!$F$5:$F$26,CONFIG!$D$5:$D$26,"Canal",CONFIG!$E$5:$E$26,K243)+SUMIFS(CONFIG!$F$5:$F$26,CONFIG!$D$5:$D$26,"Origen de recursos documentado",CONFIG!$E$5:$E$26,L243))</f>
        <v/>
      </c>
      <c r="W243" s="9" t="str">
        <f aca="false">IF(A243="","",IF(SUMIF(OPERACIONES!$C$6:$C$505,A243,OPERACIONES!$E$6:$E$505)&gt;0,IF(SUMIF(OPERACIONES!$C$6:$C$505,A243,OPERACIONES!$F$6:$F$505)/SUMIF(OPERACIONES!$C$6:$C$505,A243,OPERACIONES!$E$6:$E$505)&gt;0.5,CONFIG!$B$20,IF(SUMIF(OPERACIONES!$C$6:$C$505,A243,OPERACIONES!$F$6:$F$505)&gt;0,CONFIG!$B$21,0)),0)+IF(COUNTIFS(OPERACIONES!$C$6:$C$505,A243,OPERACIONES!$AQ$6:$AQ$505,1)&gt;0,CONFIG!$B$22,0)+IF(COUNTIFS(OPERACIONES!$C$6:$C$505,A243,OPERACIONES!$H$6:$H$505,"Sí")&gt;0,CONFIG!$B$23,0))</f>
        <v/>
      </c>
      <c r="X243" s="9" t="str">
        <f aca="false">IF(A243="","",V243+W243)</f>
        <v/>
      </c>
      <c r="Y243" s="9" t="str">
        <f aca="false">IF(A243="","",IF(X243&lt;=CONFIG!$B$13,"Bajo",IF(X243&lt;=CONFIG!$B$14,"Medio","Alto")))</f>
        <v/>
      </c>
      <c r="Z243" s="25" t="str">
        <f aca="false">IF(A243="","",IF(OR(H243="Extranjera",AND(E243="No residente",G243="Sí"),I243="Sí"),"Alto",IF(T243&lt;&gt;"",T243,Y243)))</f>
        <v/>
      </c>
      <c r="AA243" s="26" t="str">
        <f aca="false">IF(A243="","",IF(H243="Extranjera","Alto obligatorio: PEP extranjera (RCG 23 Bis 4)",IF(AND(E243="No residente",G243="Sí"),"Alto obligatorio: no residente vinculado a jurisdicción de riesgo (RCG 23 Bis 4)",IF(I243="Sí","Alto por criterio: persona en listas. Evalúa no operar y Aviso de 24 h",IF(T243&lt;&gt;"","Ajuste del REC: "&amp;U243,"Modelo: "&amp;X243&amp;" puntos")))))</f>
        <v/>
      </c>
      <c r="AB243" s="23" t="str">
        <f aca="false">IF(A243="","",IF(COUNT(N243,O243)=0,"Falta fecha",EDATE(MAX(N243,O243),IF(Z243="Alto",CONFIG!$B$18,IF(Z243="Medio",CONFIG!$B$17,CONFIG!$B$16)))))</f>
        <v/>
      </c>
      <c r="AC243" s="23" t="str">
        <f aca="false">IF(A243="","",IF(ISNUMBER(S243),EDATE(S243,12),IF(ISNUMBER(N243),EDATE(N243,12),"Falta fecha")))</f>
        <v/>
      </c>
      <c r="AD243" s="26" t="str">
        <f aca="false">IF(A243="","",MID(IF(P243&lt;&gt;"Sí"," · Expediente incompleto","")&amp;IF(OR(Q243="",Q243="Pendiente")," · Falta el Beneficiario Controlador","")&amp;IF(M243=""," · Sin perfil transaccional","")&amp;IF(AND(ISNUMBER(AB243),AB243&lt;CONFIG!$B$6)," · Evaluación de riesgo vencida","")&amp;IF(AND(ISNUMBER(AC243),AC243&lt;CONFIG!$B$6)," · Verificación anual vencida","")&amp;IF(AND(ISNUMBER(R243),ISNUMBER(S243),S243-R243&gt;92)," · Comprobante de domicilio con más de 3 meses","")&amp;IF(AND(T243&lt;&gt;"",U243="")," · Ajuste del REC sin justificación",""),4,400))</f>
        <v/>
      </c>
      <c r="AE243" s="9" t="str">
        <f aca="false">IF(A243="","",IF(AD243="","Al día","Revisar"))</f>
        <v/>
      </c>
      <c r="AF243" s="9" t="str">
        <f aca="false">IF(A243="","",COUNTIF(OPERACIONES!$C$6:$C$505,A243)&amp;" / $"&amp;FIXED(SUMIF(OPERACIONES!$C$6:$C$505,A243,OPERACIONES!$E$6:$E$505),0))</f>
        <v/>
      </c>
    </row>
    <row r="244" customFormat="false" ht="15" hidden="false" customHeight="false" outlineLevel="0" collapsed="false">
      <c r="A244" s="21"/>
      <c r="B244" s="21"/>
      <c r="C244" s="21"/>
      <c r="D244" s="21"/>
      <c r="E244" s="21"/>
      <c r="F244" s="21"/>
      <c r="G244" s="21"/>
      <c r="H244" s="21"/>
      <c r="I244" s="21"/>
      <c r="J244" s="21"/>
      <c r="K244" s="21"/>
      <c r="L244" s="21"/>
      <c r="M244" s="22"/>
      <c r="N244" s="20"/>
      <c r="O244" s="20"/>
      <c r="P244" s="21"/>
      <c r="Q244" s="21"/>
      <c r="R244" s="20"/>
      <c r="S244" s="20"/>
      <c r="T244" s="21"/>
      <c r="U244" s="21"/>
      <c r="V244" s="9" t="str">
        <f aca="false">IF(A244="","",SUMIFS(CONFIG!$F$5:$F$26,CONFIG!$D$5:$D$26,"Tipo de persona",CONFIG!$E$5:$E$26,C244)+SUMIFS(CONFIG!$F$5:$F$26,CONFIG!$D$5:$D$26,"Residencia",CONFIG!$E$5:$E$26,E244)+SUMIFS(CONFIG!$F$5:$F$26,CONFIG!$D$5:$D$26,"Nacionalidad",CONFIG!$E$5:$E$26,F244)+SUMIFS(CONFIG!$F$5:$F$26,CONFIG!$D$5:$D$26,"Jurisdicción de riesgo",CONFIG!$E$5:$E$26,G244)+SUMIFS(CONFIG!$F$5:$F$26,CONFIG!$D$5:$D$26,"PEP",CONFIG!$E$5:$E$26,H244)+SUMIFS(CONFIG!$F$5:$F$26,CONFIG!$D$5:$D$26,"En listas",CONFIG!$E$5:$E$26,I244)+SUMIFS(CONFIG!$F$5:$F$26,CONFIG!$D$5:$D$26,"Riesgo de su actividad económica",CONFIG!$E$5:$E$26,J244)+SUMIFS(CONFIG!$F$5:$F$26,CONFIG!$D$5:$D$26,"Canal",CONFIG!$E$5:$E$26,K244)+SUMIFS(CONFIG!$F$5:$F$26,CONFIG!$D$5:$D$26,"Origen de recursos documentado",CONFIG!$E$5:$E$26,L244))</f>
        <v/>
      </c>
      <c r="W244" s="9" t="str">
        <f aca="false">IF(A244="","",IF(SUMIF(OPERACIONES!$C$6:$C$505,A244,OPERACIONES!$E$6:$E$505)&gt;0,IF(SUMIF(OPERACIONES!$C$6:$C$505,A244,OPERACIONES!$F$6:$F$505)/SUMIF(OPERACIONES!$C$6:$C$505,A244,OPERACIONES!$E$6:$E$505)&gt;0.5,CONFIG!$B$20,IF(SUMIF(OPERACIONES!$C$6:$C$505,A244,OPERACIONES!$F$6:$F$505)&gt;0,CONFIG!$B$21,0)),0)+IF(COUNTIFS(OPERACIONES!$C$6:$C$505,A244,OPERACIONES!$AQ$6:$AQ$505,1)&gt;0,CONFIG!$B$22,0)+IF(COUNTIFS(OPERACIONES!$C$6:$C$505,A244,OPERACIONES!$H$6:$H$505,"Sí")&gt;0,CONFIG!$B$23,0))</f>
        <v/>
      </c>
      <c r="X244" s="9" t="str">
        <f aca="false">IF(A244="","",V244+W244)</f>
        <v/>
      </c>
      <c r="Y244" s="9" t="str">
        <f aca="false">IF(A244="","",IF(X244&lt;=CONFIG!$B$13,"Bajo",IF(X244&lt;=CONFIG!$B$14,"Medio","Alto")))</f>
        <v/>
      </c>
      <c r="Z244" s="25" t="str">
        <f aca="false">IF(A244="","",IF(OR(H244="Extranjera",AND(E244="No residente",G244="Sí"),I244="Sí"),"Alto",IF(T244&lt;&gt;"",T244,Y244)))</f>
        <v/>
      </c>
      <c r="AA244" s="26" t="str">
        <f aca="false">IF(A244="","",IF(H244="Extranjera","Alto obligatorio: PEP extranjera (RCG 23 Bis 4)",IF(AND(E244="No residente",G244="Sí"),"Alto obligatorio: no residente vinculado a jurisdicción de riesgo (RCG 23 Bis 4)",IF(I244="Sí","Alto por criterio: persona en listas. Evalúa no operar y Aviso de 24 h",IF(T244&lt;&gt;"","Ajuste del REC: "&amp;U244,"Modelo: "&amp;X244&amp;" puntos")))))</f>
        <v/>
      </c>
      <c r="AB244" s="23" t="str">
        <f aca="false">IF(A244="","",IF(COUNT(N244,O244)=0,"Falta fecha",EDATE(MAX(N244,O244),IF(Z244="Alto",CONFIG!$B$18,IF(Z244="Medio",CONFIG!$B$17,CONFIG!$B$16)))))</f>
        <v/>
      </c>
      <c r="AC244" s="23" t="str">
        <f aca="false">IF(A244="","",IF(ISNUMBER(S244),EDATE(S244,12),IF(ISNUMBER(N244),EDATE(N244,12),"Falta fecha")))</f>
        <v/>
      </c>
      <c r="AD244" s="26" t="str">
        <f aca="false">IF(A244="","",MID(IF(P244&lt;&gt;"Sí"," · Expediente incompleto","")&amp;IF(OR(Q244="",Q244="Pendiente")," · Falta el Beneficiario Controlador","")&amp;IF(M244=""," · Sin perfil transaccional","")&amp;IF(AND(ISNUMBER(AB244),AB244&lt;CONFIG!$B$6)," · Evaluación de riesgo vencida","")&amp;IF(AND(ISNUMBER(AC244),AC244&lt;CONFIG!$B$6)," · Verificación anual vencida","")&amp;IF(AND(ISNUMBER(R244),ISNUMBER(S244),S244-R244&gt;92)," · Comprobante de domicilio con más de 3 meses","")&amp;IF(AND(T244&lt;&gt;"",U244="")," · Ajuste del REC sin justificación",""),4,400))</f>
        <v/>
      </c>
      <c r="AE244" s="9" t="str">
        <f aca="false">IF(A244="","",IF(AD244="","Al día","Revisar"))</f>
        <v/>
      </c>
      <c r="AF244" s="9" t="str">
        <f aca="false">IF(A244="","",COUNTIF(OPERACIONES!$C$6:$C$505,A244)&amp;" / $"&amp;FIXED(SUMIF(OPERACIONES!$C$6:$C$505,A244,OPERACIONES!$E$6:$E$505),0))</f>
        <v/>
      </c>
    </row>
    <row r="245" customFormat="false" ht="15" hidden="false" customHeight="false" outlineLevel="0" collapsed="false">
      <c r="A245" s="21"/>
      <c r="B245" s="21"/>
      <c r="C245" s="21"/>
      <c r="D245" s="21"/>
      <c r="E245" s="21"/>
      <c r="F245" s="21"/>
      <c r="G245" s="21"/>
      <c r="H245" s="21"/>
      <c r="I245" s="21"/>
      <c r="J245" s="21"/>
      <c r="K245" s="21"/>
      <c r="L245" s="21"/>
      <c r="M245" s="22"/>
      <c r="N245" s="20"/>
      <c r="O245" s="20"/>
      <c r="P245" s="21"/>
      <c r="Q245" s="21"/>
      <c r="R245" s="20"/>
      <c r="S245" s="20"/>
      <c r="T245" s="21"/>
      <c r="U245" s="21"/>
      <c r="V245" s="9" t="str">
        <f aca="false">IF(A245="","",SUMIFS(CONFIG!$F$5:$F$26,CONFIG!$D$5:$D$26,"Tipo de persona",CONFIG!$E$5:$E$26,C245)+SUMIFS(CONFIG!$F$5:$F$26,CONFIG!$D$5:$D$26,"Residencia",CONFIG!$E$5:$E$26,E245)+SUMIFS(CONFIG!$F$5:$F$26,CONFIG!$D$5:$D$26,"Nacionalidad",CONFIG!$E$5:$E$26,F245)+SUMIFS(CONFIG!$F$5:$F$26,CONFIG!$D$5:$D$26,"Jurisdicción de riesgo",CONFIG!$E$5:$E$26,G245)+SUMIFS(CONFIG!$F$5:$F$26,CONFIG!$D$5:$D$26,"PEP",CONFIG!$E$5:$E$26,H245)+SUMIFS(CONFIG!$F$5:$F$26,CONFIG!$D$5:$D$26,"En listas",CONFIG!$E$5:$E$26,I245)+SUMIFS(CONFIG!$F$5:$F$26,CONFIG!$D$5:$D$26,"Riesgo de su actividad económica",CONFIG!$E$5:$E$26,J245)+SUMIFS(CONFIG!$F$5:$F$26,CONFIG!$D$5:$D$26,"Canal",CONFIG!$E$5:$E$26,K245)+SUMIFS(CONFIG!$F$5:$F$26,CONFIG!$D$5:$D$26,"Origen de recursos documentado",CONFIG!$E$5:$E$26,L245))</f>
        <v/>
      </c>
      <c r="W245" s="9" t="str">
        <f aca="false">IF(A245="","",IF(SUMIF(OPERACIONES!$C$6:$C$505,A245,OPERACIONES!$E$6:$E$505)&gt;0,IF(SUMIF(OPERACIONES!$C$6:$C$505,A245,OPERACIONES!$F$6:$F$505)/SUMIF(OPERACIONES!$C$6:$C$505,A245,OPERACIONES!$E$6:$E$505)&gt;0.5,CONFIG!$B$20,IF(SUMIF(OPERACIONES!$C$6:$C$505,A245,OPERACIONES!$F$6:$F$505)&gt;0,CONFIG!$B$21,0)),0)+IF(COUNTIFS(OPERACIONES!$C$6:$C$505,A245,OPERACIONES!$AQ$6:$AQ$505,1)&gt;0,CONFIG!$B$22,0)+IF(COUNTIFS(OPERACIONES!$C$6:$C$505,A245,OPERACIONES!$H$6:$H$505,"Sí")&gt;0,CONFIG!$B$23,0))</f>
        <v/>
      </c>
      <c r="X245" s="9" t="str">
        <f aca="false">IF(A245="","",V245+W245)</f>
        <v/>
      </c>
      <c r="Y245" s="9" t="str">
        <f aca="false">IF(A245="","",IF(X245&lt;=CONFIG!$B$13,"Bajo",IF(X245&lt;=CONFIG!$B$14,"Medio","Alto")))</f>
        <v/>
      </c>
      <c r="Z245" s="25" t="str">
        <f aca="false">IF(A245="","",IF(OR(H245="Extranjera",AND(E245="No residente",G245="Sí"),I245="Sí"),"Alto",IF(T245&lt;&gt;"",T245,Y245)))</f>
        <v/>
      </c>
      <c r="AA245" s="26" t="str">
        <f aca="false">IF(A245="","",IF(H245="Extranjera","Alto obligatorio: PEP extranjera (RCG 23 Bis 4)",IF(AND(E245="No residente",G245="Sí"),"Alto obligatorio: no residente vinculado a jurisdicción de riesgo (RCG 23 Bis 4)",IF(I245="Sí","Alto por criterio: persona en listas. Evalúa no operar y Aviso de 24 h",IF(T245&lt;&gt;"","Ajuste del REC: "&amp;U245,"Modelo: "&amp;X245&amp;" puntos")))))</f>
        <v/>
      </c>
      <c r="AB245" s="23" t="str">
        <f aca="false">IF(A245="","",IF(COUNT(N245,O245)=0,"Falta fecha",EDATE(MAX(N245,O245),IF(Z245="Alto",CONFIG!$B$18,IF(Z245="Medio",CONFIG!$B$17,CONFIG!$B$16)))))</f>
        <v/>
      </c>
      <c r="AC245" s="23" t="str">
        <f aca="false">IF(A245="","",IF(ISNUMBER(S245),EDATE(S245,12),IF(ISNUMBER(N245),EDATE(N245,12),"Falta fecha")))</f>
        <v/>
      </c>
      <c r="AD245" s="26" t="str">
        <f aca="false">IF(A245="","",MID(IF(P245&lt;&gt;"Sí"," · Expediente incompleto","")&amp;IF(OR(Q245="",Q245="Pendiente")," · Falta el Beneficiario Controlador","")&amp;IF(M245=""," · Sin perfil transaccional","")&amp;IF(AND(ISNUMBER(AB245),AB245&lt;CONFIG!$B$6)," · Evaluación de riesgo vencida","")&amp;IF(AND(ISNUMBER(AC245),AC245&lt;CONFIG!$B$6)," · Verificación anual vencida","")&amp;IF(AND(ISNUMBER(R245),ISNUMBER(S245),S245-R245&gt;92)," · Comprobante de domicilio con más de 3 meses","")&amp;IF(AND(T245&lt;&gt;"",U245="")," · Ajuste del REC sin justificación",""),4,400))</f>
        <v/>
      </c>
      <c r="AE245" s="9" t="str">
        <f aca="false">IF(A245="","",IF(AD245="","Al día","Revisar"))</f>
        <v/>
      </c>
      <c r="AF245" s="9" t="str">
        <f aca="false">IF(A245="","",COUNTIF(OPERACIONES!$C$6:$C$505,A245)&amp;" / $"&amp;FIXED(SUMIF(OPERACIONES!$C$6:$C$505,A245,OPERACIONES!$E$6:$E$505),0))</f>
        <v/>
      </c>
    </row>
    <row r="246" customFormat="false" ht="15" hidden="false" customHeight="false" outlineLevel="0" collapsed="false">
      <c r="A246" s="21"/>
      <c r="B246" s="21"/>
      <c r="C246" s="21"/>
      <c r="D246" s="21"/>
      <c r="E246" s="21"/>
      <c r="F246" s="21"/>
      <c r="G246" s="21"/>
      <c r="H246" s="21"/>
      <c r="I246" s="21"/>
      <c r="J246" s="21"/>
      <c r="K246" s="21"/>
      <c r="L246" s="21"/>
      <c r="M246" s="22"/>
      <c r="N246" s="20"/>
      <c r="O246" s="20"/>
      <c r="P246" s="21"/>
      <c r="Q246" s="21"/>
      <c r="R246" s="20"/>
      <c r="S246" s="20"/>
      <c r="T246" s="21"/>
      <c r="U246" s="21"/>
      <c r="V246" s="9" t="str">
        <f aca="false">IF(A246="","",SUMIFS(CONFIG!$F$5:$F$26,CONFIG!$D$5:$D$26,"Tipo de persona",CONFIG!$E$5:$E$26,C246)+SUMIFS(CONFIG!$F$5:$F$26,CONFIG!$D$5:$D$26,"Residencia",CONFIG!$E$5:$E$26,E246)+SUMIFS(CONFIG!$F$5:$F$26,CONFIG!$D$5:$D$26,"Nacionalidad",CONFIG!$E$5:$E$26,F246)+SUMIFS(CONFIG!$F$5:$F$26,CONFIG!$D$5:$D$26,"Jurisdicción de riesgo",CONFIG!$E$5:$E$26,G246)+SUMIFS(CONFIG!$F$5:$F$26,CONFIG!$D$5:$D$26,"PEP",CONFIG!$E$5:$E$26,H246)+SUMIFS(CONFIG!$F$5:$F$26,CONFIG!$D$5:$D$26,"En listas",CONFIG!$E$5:$E$26,I246)+SUMIFS(CONFIG!$F$5:$F$26,CONFIG!$D$5:$D$26,"Riesgo de su actividad económica",CONFIG!$E$5:$E$26,J246)+SUMIFS(CONFIG!$F$5:$F$26,CONFIG!$D$5:$D$26,"Canal",CONFIG!$E$5:$E$26,K246)+SUMIFS(CONFIG!$F$5:$F$26,CONFIG!$D$5:$D$26,"Origen de recursos documentado",CONFIG!$E$5:$E$26,L246))</f>
        <v/>
      </c>
      <c r="W246" s="9" t="str">
        <f aca="false">IF(A246="","",IF(SUMIF(OPERACIONES!$C$6:$C$505,A246,OPERACIONES!$E$6:$E$505)&gt;0,IF(SUMIF(OPERACIONES!$C$6:$C$505,A246,OPERACIONES!$F$6:$F$505)/SUMIF(OPERACIONES!$C$6:$C$505,A246,OPERACIONES!$E$6:$E$505)&gt;0.5,CONFIG!$B$20,IF(SUMIF(OPERACIONES!$C$6:$C$505,A246,OPERACIONES!$F$6:$F$505)&gt;0,CONFIG!$B$21,0)),0)+IF(COUNTIFS(OPERACIONES!$C$6:$C$505,A246,OPERACIONES!$AQ$6:$AQ$505,1)&gt;0,CONFIG!$B$22,0)+IF(COUNTIFS(OPERACIONES!$C$6:$C$505,A246,OPERACIONES!$H$6:$H$505,"Sí")&gt;0,CONFIG!$B$23,0))</f>
        <v/>
      </c>
      <c r="X246" s="9" t="str">
        <f aca="false">IF(A246="","",V246+W246)</f>
        <v/>
      </c>
      <c r="Y246" s="9" t="str">
        <f aca="false">IF(A246="","",IF(X246&lt;=CONFIG!$B$13,"Bajo",IF(X246&lt;=CONFIG!$B$14,"Medio","Alto")))</f>
        <v/>
      </c>
      <c r="Z246" s="25" t="str">
        <f aca="false">IF(A246="","",IF(OR(H246="Extranjera",AND(E246="No residente",G246="Sí"),I246="Sí"),"Alto",IF(T246&lt;&gt;"",T246,Y246)))</f>
        <v/>
      </c>
      <c r="AA246" s="26" t="str">
        <f aca="false">IF(A246="","",IF(H246="Extranjera","Alto obligatorio: PEP extranjera (RCG 23 Bis 4)",IF(AND(E246="No residente",G246="Sí"),"Alto obligatorio: no residente vinculado a jurisdicción de riesgo (RCG 23 Bis 4)",IF(I246="Sí","Alto por criterio: persona en listas. Evalúa no operar y Aviso de 24 h",IF(T246&lt;&gt;"","Ajuste del REC: "&amp;U246,"Modelo: "&amp;X246&amp;" puntos")))))</f>
        <v/>
      </c>
      <c r="AB246" s="23" t="str">
        <f aca="false">IF(A246="","",IF(COUNT(N246,O246)=0,"Falta fecha",EDATE(MAX(N246,O246),IF(Z246="Alto",CONFIG!$B$18,IF(Z246="Medio",CONFIG!$B$17,CONFIG!$B$16)))))</f>
        <v/>
      </c>
      <c r="AC246" s="23" t="str">
        <f aca="false">IF(A246="","",IF(ISNUMBER(S246),EDATE(S246,12),IF(ISNUMBER(N246),EDATE(N246,12),"Falta fecha")))</f>
        <v/>
      </c>
      <c r="AD246" s="26" t="str">
        <f aca="false">IF(A246="","",MID(IF(P246&lt;&gt;"Sí"," · Expediente incompleto","")&amp;IF(OR(Q246="",Q246="Pendiente")," · Falta el Beneficiario Controlador","")&amp;IF(M246=""," · Sin perfil transaccional","")&amp;IF(AND(ISNUMBER(AB246),AB246&lt;CONFIG!$B$6)," · Evaluación de riesgo vencida","")&amp;IF(AND(ISNUMBER(AC246),AC246&lt;CONFIG!$B$6)," · Verificación anual vencida","")&amp;IF(AND(ISNUMBER(R246),ISNUMBER(S246),S246-R246&gt;92)," · Comprobante de domicilio con más de 3 meses","")&amp;IF(AND(T246&lt;&gt;"",U246="")," · Ajuste del REC sin justificación",""),4,400))</f>
        <v/>
      </c>
      <c r="AE246" s="9" t="str">
        <f aca="false">IF(A246="","",IF(AD246="","Al día","Revisar"))</f>
        <v/>
      </c>
      <c r="AF246" s="9" t="str">
        <f aca="false">IF(A246="","",COUNTIF(OPERACIONES!$C$6:$C$505,A246)&amp;" / $"&amp;FIXED(SUMIF(OPERACIONES!$C$6:$C$505,A246,OPERACIONES!$E$6:$E$505),0))</f>
        <v/>
      </c>
    </row>
    <row r="247" customFormat="false" ht="15" hidden="false" customHeight="false" outlineLevel="0" collapsed="false">
      <c r="A247" s="21"/>
      <c r="B247" s="21"/>
      <c r="C247" s="21"/>
      <c r="D247" s="21"/>
      <c r="E247" s="21"/>
      <c r="F247" s="21"/>
      <c r="G247" s="21"/>
      <c r="H247" s="21"/>
      <c r="I247" s="21"/>
      <c r="J247" s="21"/>
      <c r="K247" s="21"/>
      <c r="L247" s="21"/>
      <c r="M247" s="22"/>
      <c r="N247" s="20"/>
      <c r="O247" s="20"/>
      <c r="P247" s="21"/>
      <c r="Q247" s="21"/>
      <c r="R247" s="20"/>
      <c r="S247" s="20"/>
      <c r="T247" s="21"/>
      <c r="U247" s="21"/>
      <c r="V247" s="9" t="str">
        <f aca="false">IF(A247="","",SUMIFS(CONFIG!$F$5:$F$26,CONFIG!$D$5:$D$26,"Tipo de persona",CONFIG!$E$5:$E$26,C247)+SUMIFS(CONFIG!$F$5:$F$26,CONFIG!$D$5:$D$26,"Residencia",CONFIG!$E$5:$E$26,E247)+SUMIFS(CONFIG!$F$5:$F$26,CONFIG!$D$5:$D$26,"Nacionalidad",CONFIG!$E$5:$E$26,F247)+SUMIFS(CONFIG!$F$5:$F$26,CONFIG!$D$5:$D$26,"Jurisdicción de riesgo",CONFIG!$E$5:$E$26,G247)+SUMIFS(CONFIG!$F$5:$F$26,CONFIG!$D$5:$D$26,"PEP",CONFIG!$E$5:$E$26,H247)+SUMIFS(CONFIG!$F$5:$F$26,CONFIG!$D$5:$D$26,"En listas",CONFIG!$E$5:$E$26,I247)+SUMIFS(CONFIG!$F$5:$F$26,CONFIG!$D$5:$D$26,"Riesgo de su actividad económica",CONFIG!$E$5:$E$26,J247)+SUMIFS(CONFIG!$F$5:$F$26,CONFIG!$D$5:$D$26,"Canal",CONFIG!$E$5:$E$26,K247)+SUMIFS(CONFIG!$F$5:$F$26,CONFIG!$D$5:$D$26,"Origen de recursos documentado",CONFIG!$E$5:$E$26,L247))</f>
        <v/>
      </c>
      <c r="W247" s="9" t="str">
        <f aca="false">IF(A247="","",IF(SUMIF(OPERACIONES!$C$6:$C$505,A247,OPERACIONES!$E$6:$E$505)&gt;0,IF(SUMIF(OPERACIONES!$C$6:$C$505,A247,OPERACIONES!$F$6:$F$505)/SUMIF(OPERACIONES!$C$6:$C$505,A247,OPERACIONES!$E$6:$E$505)&gt;0.5,CONFIG!$B$20,IF(SUMIF(OPERACIONES!$C$6:$C$505,A247,OPERACIONES!$F$6:$F$505)&gt;0,CONFIG!$B$21,0)),0)+IF(COUNTIFS(OPERACIONES!$C$6:$C$505,A247,OPERACIONES!$AQ$6:$AQ$505,1)&gt;0,CONFIG!$B$22,0)+IF(COUNTIFS(OPERACIONES!$C$6:$C$505,A247,OPERACIONES!$H$6:$H$505,"Sí")&gt;0,CONFIG!$B$23,0))</f>
        <v/>
      </c>
      <c r="X247" s="9" t="str">
        <f aca="false">IF(A247="","",V247+W247)</f>
        <v/>
      </c>
      <c r="Y247" s="9" t="str">
        <f aca="false">IF(A247="","",IF(X247&lt;=CONFIG!$B$13,"Bajo",IF(X247&lt;=CONFIG!$B$14,"Medio","Alto")))</f>
        <v/>
      </c>
      <c r="Z247" s="25" t="str">
        <f aca="false">IF(A247="","",IF(OR(H247="Extranjera",AND(E247="No residente",G247="Sí"),I247="Sí"),"Alto",IF(T247&lt;&gt;"",T247,Y247)))</f>
        <v/>
      </c>
      <c r="AA247" s="26" t="str">
        <f aca="false">IF(A247="","",IF(H247="Extranjera","Alto obligatorio: PEP extranjera (RCG 23 Bis 4)",IF(AND(E247="No residente",G247="Sí"),"Alto obligatorio: no residente vinculado a jurisdicción de riesgo (RCG 23 Bis 4)",IF(I247="Sí","Alto por criterio: persona en listas. Evalúa no operar y Aviso de 24 h",IF(T247&lt;&gt;"","Ajuste del REC: "&amp;U247,"Modelo: "&amp;X247&amp;" puntos")))))</f>
        <v/>
      </c>
      <c r="AB247" s="23" t="str">
        <f aca="false">IF(A247="","",IF(COUNT(N247,O247)=0,"Falta fecha",EDATE(MAX(N247,O247),IF(Z247="Alto",CONFIG!$B$18,IF(Z247="Medio",CONFIG!$B$17,CONFIG!$B$16)))))</f>
        <v/>
      </c>
      <c r="AC247" s="23" t="str">
        <f aca="false">IF(A247="","",IF(ISNUMBER(S247),EDATE(S247,12),IF(ISNUMBER(N247),EDATE(N247,12),"Falta fecha")))</f>
        <v/>
      </c>
      <c r="AD247" s="26" t="str">
        <f aca="false">IF(A247="","",MID(IF(P247&lt;&gt;"Sí"," · Expediente incompleto","")&amp;IF(OR(Q247="",Q247="Pendiente")," · Falta el Beneficiario Controlador","")&amp;IF(M247=""," · Sin perfil transaccional","")&amp;IF(AND(ISNUMBER(AB247),AB247&lt;CONFIG!$B$6)," · Evaluación de riesgo vencida","")&amp;IF(AND(ISNUMBER(AC247),AC247&lt;CONFIG!$B$6)," · Verificación anual vencida","")&amp;IF(AND(ISNUMBER(R247),ISNUMBER(S247),S247-R247&gt;92)," · Comprobante de domicilio con más de 3 meses","")&amp;IF(AND(T247&lt;&gt;"",U247="")," · Ajuste del REC sin justificación",""),4,400))</f>
        <v/>
      </c>
      <c r="AE247" s="9" t="str">
        <f aca="false">IF(A247="","",IF(AD247="","Al día","Revisar"))</f>
        <v/>
      </c>
      <c r="AF247" s="9" t="str">
        <f aca="false">IF(A247="","",COUNTIF(OPERACIONES!$C$6:$C$505,A247)&amp;" / $"&amp;FIXED(SUMIF(OPERACIONES!$C$6:$C$505,A247,OPERACIONES!$E$6:$E$505),0))</f>
        <v/>
      </c>
    </row>
    <row r="248" customFormat="false" ht="15" hidden="false" customHeight="false" outlineLevel="0" collapsed="false">
      <c r="A248" s="21"/>
      <c r="B248" s="21"/>
      <c r="C248" s="21"/>
      <c r="D248" s="21"/>
      <c r="E248" s="21"/>
      <c r="F248" s="21"/>
      <c r="G248" s="21"/>
      <c r="H248" s="21"/>
      <c r="I248" s="21"/>
      <c r="J248" s="21"/>
      <c r="K248" s="21"/>
      <c r="L248" s="21"/>
      <c r="M248" s="22"/>
      <c r="N248" s="20"/>
      <c r="O248" s="20"/>
      <c r="P248" s="21"/>
      <c r="Q248" s="21"/>
      <c r="R248" s="20"/>
      <c r="S248" s="20"/>
      <c r="T248" s="21"/>
      <c r="U248" s="21"/>
      <c r="V248" s="9" t="str">
        <f aca="false">IF(A248="","",SUMIFS(CONFIG!$F$5:$F$26,CONFIG!$D$5:$D$26,"Tipo de persona",CONFIG!$E$5:$E$26,C248)+SUMIFS(CONFIG!$F$5:$F$26,CONFIG!$D$5:$D$26,"Residencia",CONFIG!$E$5:$E$26,E248)+SUMIFS(CONFIG!$F$5:$F$26,CONFIG!$D$5:$D$26,"Nacionalidad",CONFIG!$E$5:$E$26,F248)+SUMIFS(CONFIG!$F$5:$F$26,CONFIG!$D$5:$D$26,"Jurisdicción de riesgo",CONFIG!$E$5:$E$26,G248)+SUMIFS(CONFIG!$F$5:$F$26,CONFIG!$D$5:$D$26,"PEP",CONFIG!$E$5:$E$26,H248)+SUMIFS(CONFIG!$F$5:$F$26,CONFIG!$D$5:$D$26,"En listas",CONFIG!$E$5:$E$26,I248)+SUMIFS(CONFIG!$F$5:$F$26,CONFIG!$D$5:$D$26,"Riesgo de su actividad económica",CONFIG!$E$5:$E$26,J248)+SUMIFS(CONFIG!$F$5:$F$26,CONFIG!$D$5:$D$26,"Canal",CONFIG!$E$5:$E$26,K248)+SUMIFS(CONFIG!$F$5:$F$26,CONFIG!$D$5:$D$26,"Origen de recursos documentado",CONFIG!$E$5:$E$26,L248))</f>
        <v/>
      </c>
      <c r="W248" s="9" t="str">
        <f aca="false">IF(A248="","",IF(SUMIF(OPERACIONES!$C$6:$C$505,A248,OPERACIONES!$E$6:$E$505)&gt;0,IF(SUMIF(OPERACIONES!$C$6:$C$505,A248,OPERACIONES!$F$6:$F$505)/SUMIF(OPERACIONES!$C$6:$C$505,A248,OPERACIONES!$E$6:$E$505)&gt;0.5,CONFIG!$B$20,IF(SUMIF(OPERACIONES!$C$6:$C$505,A248,OPERACIONES!$F$6:$F$505)&gt;0,CONFIG!$B$21,0)),0)+IF(COUNTIFS(OPERACIONES!$C$6:$C$505,A248,OPERACIONES!$AQ$6:$AQ$505,1)&gt;0,CONFIG!$B$22,0)+IF(COUNTIFS(OPERACIONES!$C$6:$C$505,A248,OPERACIONES!$H$6:$H$505,"Sí")&gt;0,CONFIG!$B$23,0))</f>
        <v/>
      </c>
      <c r="X248" s="9" t="str">
        <f aca="false">IF(A248="","",V248+W248)</f>
        <v/>
      </c>
      <c r="Y248" s="9" t="str">
        <f aca="false">IF(A248="","",IF(X248&lt;=CONFIG!$B$13,"Bajo",IF(X248&lt;=CONFIG!$B$14,"Medio","Alto")))</f>
        <v/>
      </c>
      <c r="Z248" s="25" t="str">
        <f aca="false">IF(A248="","",IF(OR(H248="Extranjera",AND(E248="No residente",G248="Sí"),I248="Sí"),"Alto",IF(T248&lt;&gt;"",T248,Y248)))</f>
        <v/>
      </c>
      <c r="AA248" s="26" t="str">
        <f aca="false">IF(A248="","",IF(H248="Extranjera","Alto obligatorio: PEP extranjera (RCG 23 Bis 4)",IF(AND(E248="No residente",G248="Sí"),"Alto obligatorio: no residente vinculado a jurisdicción de riesgo (RCG 23 Bis 4)",IF(I248="Sí","Alto por criterio: persona en listas. Evalúa no operar y Aviso de 24 h",IF(T248&lt;&gt;"","Ajuste del REC: "&amp;U248,"Modelo: "&amp;X248&amp;" puntos")))))</f>
        <v/>
      </c>
      <c r="AB248" s="23" t="str">
        <f aca="false">IF(A248="","",IF(COUNT(N248,O248)=0,"Falta fecha",EDATE(MAX(N248,O248),IF(Z248="Alto",CONFIG!$B$18,IF(Z248="Medio",CONFIG!$B$17,CONFIG!$B$16)))))</f>
        <v/>
      </c>
      <c r="AC248" s="23" t="str">
        <f aca="false">IF(A248="","",IF(ISNUMBER(S248),EDATE(S248,12),IF(ISNUMBER(N248),EDATE(N248,12),"Falta fecha")))</f>
        <v/>
      </c>
      <c r="AD248" s="26" t="str">
        <f aca="false">IF(A248="","",MID(IF(P248&lt;&gt;"Sí"," · Expediente incompleto","")&amp;IF(OR(Q248="",Q248="Pendiente")," · Falta el Beneficiario Controlador","")&amp;IF(M248=""," · Sin perfil transaccional","")&amp;IF(AND(ISNUMBER(AB248),AB248&lt;CONFIG!$B$6)," · Evaluación de riesgo vencida","")&amp;IF(AND(ISNUMBER(AC248),AC248&lt;CONFIG!$B$6)," · Verificación anual vencida","")&amp;IF(AND(ISNUMBER(R248),ISNUMBER(S248),S248-R248&gt;92)," · Comprobante de domicilio con más de 3 meses","")&amp;IF(AND(T248&lt;&gt;"",U248="")," · Ajuste del REC sin justificación",""),4,400))</f>
        <v/>
      </c>
      <c r="AE248" s="9" t="str">
        <f aca="false">IF(A248="","",IF(AD248="","Al día","Revisar"))</f>
        <v/>
      </c>
      <c r="AF248" s="9" t="str">
        <f aca="false">IF(A248="","",COUNTIF(OPERACIONES!$C$6:$C$505,A248)&amp;" / $"&amp;FIXED(SUMIF(OPERACIONES!$C$6:$C$505,A248,OPERACIONES!$E$6:$E$505),0))</f>
        <v/>
      </c>
    </row>
    <row r="249" customFormat="false" ht="15" hidden="false" customHeight="false" outlineLevel="0" collapsed="false">
      <c r="A249" s="21"/>
      <c r="B249" s="21"/>
      <c r="C249" s="21"/>
      <c r="D249" s="21"/>
      <c r="E249" s="21"/>
      <c r="F249" s="21"/>
      <c r="G249" s="21"/>
      <c r="H249" s="21"/>
      <c r="I249" s="21"/>
      <c r="J249" s="21"/>
      <c r="K249" s="21"/>
      <c r="L249" s="21"/>
      <c r="M249" s="22"/>
      <c r="N249" s="20"/>
      <c r="O249" s="20"/>
      <c r="P249" s="21"/>
      <c r="Q249" s="21"/>
      <c r="R249" s="20"/>
      <c r="S249" s="20"/>
      <c r="T249" s="21"/>
      <c r="U249" s="21"/>
      <c r="V249" s="9" t="str">
        <f aca="false">IF(A249="","",SUMIFS(CONFIG!$F$5:$F$26,CONFIG!$D$5:$D$26,"Tipo de persona",CONFIG!$E$5:$E$26,C249)+SUMIFS(CONFIG!$F$5:$F$26,CONFIG!$D$5:$D$26,"Residencia",CONFIG!$E$5:$E$26,E249)+SUMIFS(CONFIG!$F$5:$F$26,CONFIG!$D$5:$D$26,"Nacionalidad",CONFIG!$E$5:$E$26,F249)+SUMIFS(CONFIG!$F$5:$F$26,CONFIG!$D$5:$D$26,"Jurisdicción de riesgo",CONFIG!$E$5:$E$26,G249)+SUMIFS(CONFIG!$F$5:$F$26,CONFIG!$D$5:$D$26,"PEP",CONFIG!$E$5:$E$26,H249)+SUMIFS(CONFIG!$F$5:$F$26,CONFIG!$D$5:$D$26,"En listas",CONFIG!$E$5:$E$26,I249)+SUMIFS(CONFIG!$F$5:$F$26,CONFIG!$D$5:$D$26,"Riesgo de su actividad económica",CONFIG!$E$5:$E$26,J249)+SUMIFS(CONFIG!$F$5:$F$26,CONFIG!$D$5:$D$26,"Canal",CONFIG!$E$5:$E$26,K249)+SUMIFS(CONFIG!$F$5:$F$26,CONFIG!$D$5:$D$26,"Origen de recursos documentado",CONFIG!$E$5:$E$26,L249))</f>
        <v/>
      </c>
      <c r="W249" s="9" t="str">
        <f aca="false">IF(A249="","",IF(SUMIF(OPERACIONES!$C$6:$C$505,A249,OPERACIONES!$E$6:$E$505)&gt;0,IF(SUMIF(OPERACIONES!$C$6:$C$505,A249,OPERACIONES!$F$6:$F$505)/SUMIF(OPERACIONES!$C$6:$C$505,A249,OPERACIONES!$E$6:$E$505)&gt;0.5,CONFIG!$B$20,IF(SUMIF(OPERACIONES!$C$6:$C$505,A249,OPERACIONES!$F$6:$F$505)&gt;0,CONFIG!$B$21,0)),0)+IF(COUNTIFS(OPERACIONES!$C$6:$C$505,A249,OPERACIONES!$AQ$6:$AQ$505,1)&gt;0,CONFIG!$B$22,0)+IF(COUNTIFS(OPERACIONES!$C$6:$C$505,A249,OPERACIONES!$H$6:$H$505,"Sí")&gt;0,CONFIG!$B$23,0))</f>
        <v/>
      </c>
      <c r="X249" s="9" t="str">
        <f aca="false">IF(A249="","",V249+W249)</f>
        <v/>
      </c>
      <c r="Y249" s="9" t="str">
        <f aca="false">IF(A249="","",IF(X249&lt;=CONFIG!$B$13,"Bajo",IF(X249&lt;=CONFIG!$B$14,"Medio","Alto")))</f>
        <v/>
      </c>
      <c r="Z249" s="25" t="str">
        <f aca="false">IF(A249="","",IF(OR(H249="Extranjera",AND(E249="No residente",G249="Sí"),I249="Sí"),"Alto",IF(T249&lt;&gt;"",T249,Y249)))</f>
        <v/>
      </c>
      <c r="AA249" s="26" t="str">
        <f aca="false">IF(A249="","",IF(H249="Extranjera","Alto obligatorio: PEP extranjera (RCG 23 Bis 4)",IF(AND(E249="No residente",G249="Sí"),"Alto obligatorio: no residente vinculado a jurisdicción de riesgo (RCG 23 Bis 4)",IF(I249="Sí","Alto por criterio: persona en listas. Evalúa no operar y Aviso de 24 h",IF(T249&lt;&gt;"","Ajuste del REC: "&amp;U249,"Modelo: "&amp;X249&amp;" puntos")))))</f>
        <v/>
      </c>
      <c r="AB249" s="23" t="str">
        <f aca="false">IF(A249="","",IF(COUNT(N249,O249)=0,"Falta fecha",EDATE(MAX(N249,O249),IF(Z249="Alto",CONFIG!$B$18,IF(Z249="Medio",CONFIG!$B$17,CONFIG!$B$16)))))</f>
        <v/>
      </c>
      <c r="AC249" s="23" t="str">
        <f aca="false">IF(A249="","",IF(ISNUMBER(S249),EDATE(S249,12),IF(ISNUMBER(N249),EDATE(N249,12),"Falta fecha")))</f>
        <v/>
      </c>
      <c r="AD249" s="26" t="str">
        <f aca="false">IF(A249="","",MID(IF(P249&lt;&gt;"Sí"," · Expediente incompleto","")&amp;IF(OR(Q249="",Q249="Pendiente")," · Falta el Beneficiario Controlador","")&amp;IF(M249=""," · Sin perfil transaccional","")&amp;IF(AND(ISNUMBER(AB249),AB249&lt;CONFIG!$B$6)," · Evaluación de riesgo vencida","")&amp;IF(AND(ISNUMBER(AC249),AC249&lt;CONFIG!$B$6)," · Verificación anual vencida","")&amp;IF(AND(ISNUMBER(R249),ISNUMBER(S249),S249-R249&gt;92)," · Comprobante de domicilio con más de 3 meses","")&amp;IF(AND(T249&lt;&gt;"",U249="")," · Ajuste del REC sin justificación",""),4,400))</f>
        <v/>
      </c>
      <c r="AE249" s="9" t="str">
        <f aca="false">IF(A249="","",IF(AD249="","Al día","Revisar"))</f>
        <v/>
      </c>
      <c r="AF249" s="9" t="str">
        <f aca="false">IF(A249="","",COUNTIF(OPERACIONES!$C$6:$C$505,A249)&amp;" / $"&amp;FIXED(SUMIF(OPERACIONES!$C$6:$C$505,A249,OPERACIONES!$E$6:$E$505),0))</f>
        <v/>
      </c>
    </row>
    <row r="250" customFormat="false" ht="15" hidden="false" customHeight="false" outlineLevel="0" collapsed="false">
      <c r="A250" s="21"/>
      <c r="B250" s="21"/>
      <c r="C250" s="21"/>
      <c r="D250" s="21"/>
      <c r="E250" s="21"/>
      <c r="F250" s="21"/>
      <c r="G250" s="21"/>
      <c r="H250" s="21"/>
      <c r="I250" s="21"/>
      <c r="J250" s="21"/>
      <c r="K250" s="21"/>
      <c r="L250" s="21"/>
      <c r="M250" s="22"/>
      <c r="N250" s="20"/>
      <c r="O250" s="20"/>
      <c r="P250" s="21"/>
      <c r="Q250" s="21"/>
      <c r="R250" s="20"/>
      <c r="S250" s="20"/>
      <c r="T250" s="21"/>
      <c r="U250" s="21"/>
      <c r="V250" s="9" t="str">
        <f aca="false">IF(A250="","",SUMIFS(CONFIG!$F$5:$F$26,CONFIG!$D$5:$D$26,"Tipo de persona",CONFIG!$E$5:$E$26,C250)+SUMIFS(CONFIG!$F$5:$F$26,CONFIG!$D$5:$D$26,"Residencia",CONFIG!$E$5:$E$26,E250)+SUMIFS(CONFIG!$F$5:$F$26,CONFIG!$D$5:$D$26,"Nacionalidad",CONFIG!$E$5:$E$26,F250)+SUMIFS(CONFIG!$F$5:$F$26,CONFIG!$D$5:$D$26,"Jurisdicción de riesgo",CONFIG!$E$5:$E$26,G250)+SUMIFS(CONFIG!$F$5:$F$26,CONFIG!$D$5:$D$26,"PEP",CONFIG!$E$5:$E$26,H250)+SUMIFS(CONFIG!$F$5:$F$26,CONFIG!$D$5:$D$26,"En listas",CONFIG!$E$5:$E$26,I250)+SUMIFS(CONFIG!$F$5:$F$26,CONFIG!$D$5:$D$26,"Riesgo de su actividad económica",CONFIG!$E$5:$E$26,J250)+SUMIFS(CONFIG!$F$5:$F$26,CONFIG!$D$5:$D$26,"Canal",CONFIG!$E$5:$E$26,K250)+SUMIFS(CONFIG!$F$5:$F$26,CONFIG!$D$5:$D$26,"Origen de recursos documentado",CONFIG!$E$5:$E$26,L250))</f>
        <v/>
      </c>
      <c r="W250" s="9" t="str">
        <f aca="false">IF(A250="","",IF(SUMIF(OPERACIONES!$C$6:$C$505,A250,OPERACIONES!$E$6:$E$505)&gt;0,IF(SUMIF(OPERACIONES!$C$6:$C$505,A250,OPERACIONES!$F$6:$F$505)/SUMIF(OPERACIONES!$C$6:$C$505,A250,OPERACIONES!$E$6:$E$505)&gt;0.5,CONFIG!$B$20,IF(SUMIF(OPERACIONES!$C$6:$C$505,A250,OPERACIONES!$F$6:$F$505)&gt;0,CONFIG!$B$21,0)),0)+IF(COUNTIFS(OPERACIONES!$C$6:$C$505,A250,OPERACIONES!$AQ$6:$AQ$505,1)&gt;0,CONFIG!$B$22,0)+IF(COUNTIFS(OPERACIONES!$C$6:$C$505,A250,OPERACIONES!$H$6:$H$505,"Sí")&gt;0,CONFIG!$B$23,0))</f>
        <v/>
      </c>
      <c r="X250" s="9" t="str">
        <f aca="false">IF(A250="","",V250+W250)</f>
        <v/>
      </c>
      <c r="Y250" s="9" t="str">
        <f aca="false">IF(A250="","",IF(X250&lt;=CONFIG!$B$13,"Bajo",IF(X250&lt;=CONFIG!$B$14,"Medio","Alto")))</f>
        <v/>
      </c>
      <c r="Z250" s="25" t="str">
        <f aca="false">IF(A250="","",IF(OR(H250="Extranjera",AND(E250="No residente",G250="Sí"),I250="Sí"),"Alto",IF(T250&lt;&gt;"",T250,Y250)))</f>
        <v/>
      </c>
      <c r="AA250" s="26" t="str">
        <f aca="false">IF(A250="","",IF(H250="Extranjera","Alto obligatorio: PEP extranjera (RCG 23 Bis 4)",IF(AND(E250="No residente",G250="Sí"),"Alto obligatorio: no residente vinculado a jurisdicción de riesgo (RCG 23 Bis 4)",IF(I250="Sí","Alto por criterio: persona en listas. Evalúa no operar y Aviso de 24 h",IF(T250&lt;&gt;"","Ajuste del REC: "&amp;U250,"Modelo: "&amp;X250&amp;" puntos")))))</f>
        <v/>
      </c>
      <c r="AB250" s="23" t="str">
        <f aca="false">IF(A250="","",IF(COUNT(N250,O250)=0,"Falta fecha",EDATE(MAX(N250,O250),IF(Z250="Alto",CONFIG!$B$18,IF(Z250="Medio",CONFIG!$B$17,CONFIG!$B$16)))))</f>
        <v/>
      </c>
      <c r="AC250" s="23" t="str">
        <f aca="false">IF(A250="","",IF(ISNUMBER(S250),EDATE(S250,12),IF(ISNUMBER(N250),EDATE(N250,12),"Falta fecha")))</f>
        <v/>
      </c>
      <c r="AD250" s="26" t="str">
        <f aca="false">IF(A250="","",MID(IF(P250&lt;&gt;"Sí"," · Expediente incompleto","")&amp;IF(OR(Q250="",Q250="Pendiente")," · Falta el Beneficiario Controlador","")&amp;IF(M250=""," · Sin perfil transaccional","")&amp;IF(AND(ISNUMBER(AB250),AB250&lt;CONFIG!$B$6)," · Evaluación de riesgo vencida","")&amp;IF(AND(ISNUMBER(AC250),AC250&lt;CONFIG!$B$6)," · Verificación anual vencida","")&amp;IF(AND(ISNUMBER(R250),ISNUMBER(S250),S250-R250&gt;92)," · Comprobante de domicilio con más de 3 meses","")&amp;IF(AND(T250&lt;&gt;"",U250="")," · Ajuste del REC sin justificación",""),4,400))</f>
        <v/>
      </c>
      <c r="AE250" s="9" t="str">
        <f aca="false">IF(A250="","",IF(AD250="","Al día","Revisar"))</f>
        <v/>
      </c>
      <c r="AF250" s="9" t="str">
        <f aca="false">IF(A250="","",COUNTIF(OPERACIONES!$C$6:$C$505,A250)&amp;" / $"&amp;FIXED(SUMIF(OPERACIONES!$C$6:$C$505,A250,OPERACIONES!$E$6:$E$505),0))</f>
        <v/>
      </c>
    </row>
    <row r="251" customFormat="false" ht="15" hidden="false" customHeight="false" outlineLevel="0" collapsed="false">
      <c r="A251" s="21"/>
      <c r="B251" s="21"/>
      <c r="C251" s="21"/>
      <c r="D251" s="21"/>
      <c r="E251" s="21"/>
      <c r="F251" s="21"/>
      <c r="G251" s="21"/>
      <c r="H251" s="21"/>
      <c r="I251" s="21"/>
      <c r="J251" s="21"/>
      <c r="K251" s="21"/>
      <c r="L251" s="21"/>
      <c r="M251" s="22"/>
      <c r="N251" s="20"/>
      <c r="O251" s="20"/>
      <c r="P251" s="21"/>
      <c r="Q251" s="21"/>
      <c r="R251" s="20"/>
      <c r="S251" s="20"/>
      <c r="T251" s="21"/>
      <c r="U251" s="21"/>
      <c r="V251" s="9" t="str">
        <f aca="false">IF(A251="","",SUMIFS(CONFIG!$F$5:$F$26,CONFIG!$D$5:$D$26,"Tipo de persona",CONFIG!$E$5:$E$26,C251)+SUMIFS(CONFIG!$F$5:$F$26,CONFIG!$D$5:$D$26,"Residencia",CONFIG!$E$5:$E$26,E251)+SUMIFS(CONFIG!$F$5:$F$26,CONFIG!$D$5:$D$26,"Nacionalidad",CONFIG!$E$5:$E$26,F251)+SUMIFS(CONFIG!$F$5:$F$26,CONFIG!$D$5:$D$26,"Jurisdicción de riesgo",CONFIG!$E$5:$E$26,G251)+SUMIFS(CONFIG!$F$5:$F$26,CONFIG!$D$5:$D$26,"PEP",CONFIG!$E$5:$E$26,H251)+SUMIFS(CONFIG!$F$5:$F$26,CONFIG!$D$5:$D$26,"En listas",CONFIG!$E$5:$E$26,I251)+SUMIFS(CONFIG!$F$5:$F$26,CONFIG!$D$5:$D$26,"Riesgo de su actividad económica",CONFIG!$E$5:$E$26,J251)+SUMIFS(CONFIG!$F$5:$F$26,CONFIG!$D$5:$D$26,"Canal",CONFIG!$E$5:$E$26,K251)+SUMIFS(CONFIG!$F$5:$F$26,CONFIG!$D$5:$D$26,"Origen de recursos documentado",CONFIG!$E$5:$E$26,L251))</f>
        <v/>
      </c>
      <c r="W251" s="9" t="str">
        <f aca="false">IF(A251="","",IF(SUMIF(OPERACIONES!$C$6:$C$505,A251,OPERACIONES!$E$6:$E$505)&gt;0,IF(SUMIF(OPERACIONES!$C$6:$C$505,A251,OPERACIONES!$F$6:$F$505)/SUMIF(OPERACIONES!$C$6:$C$505,A251,OPERACIONES!$E$6:$E$505)&gt;0.5,CONFIG!$B$20,IF(SUMIF(OPERACIONES!$C$6:$C$505,A251,OPERACIONES!$F$6:$F$505)&gt;0,CONFIG!$B$21,0)),0)+IF(COUNTIFS(OPERACIONES!$C$6:$C$505,A251,OPERACIONES!$AQ$6:$AQ$505,1)&gt;0,CONFIG!$B$22,0)+IF(COUNTIFS(OPERACIONES!$C$6:$C$505,A251,OPERACIONES!$H$6:$H$505,"Sí")&gt;0,CONFIG!$B$23,0))</f>
        <v/>
      </c>
      <c r="X251" s="9" t="str">
        <f aca="false">IF(A251="","",V251+W251)</f>
        <v/>
      </c>
      <c r="Y251" s="9" t="str">
        <f aca="false">IF(A251="","",IF(X251&lt;=CONFIG!$B$13,"Bajo",IF(X251&lt;=CONFIG!$B$14,"Medio","Alto")))</f>
        <v/>
      </c>
      <c r="Z251" s="25" t="str">
        <f aca="false">IF(A251="","",IF(OR(H251="Extranjera",AND(E251="No residente",G251="Sí"),I251="Sí"),"Alto",IF(T251&lt;&gt;"",T251,Y251)))</f>
        <v/>
      </c>
      <c r="AA251" s="26" t="str">
        <f aca="false">IF(A251="","",IF(H251="Extranjera","Alto obligatorio: PEP extranjera (RCG 23 Bis 4)",IF(AND(E251="No residente",G251="Sí"),"Alto obligatorio: no residente vinculado a jurisdicción de riesgo (RCG 23 Bis 4)",IF(I251="Sí","Alto por criterio: persona en listas. Evalúa no operar y Aviso de 24 h",IF(T251&lt;&gt;"","Ajuste del REC: "&amp;U251,"Modelo: "&amp;X251&amp;" puntos")))))</f>
        <v/>
      </c>
      <c r="AB251" s="23" t="str">
        <f aca="false">IF(A251="","",IF(COUNT(N251,O251)=0,"Falta fecha",EDATE(MAX(N251,O251),IF(Z251="Alto",CONFIG!$B$18,IF(Z251="Medio",CONFIG!$B$17,CONFIG!$B$16)))))</f>
        <v/>
      </c>
      <c r="AC251" s="23" t="str">
        <f aca="false">IF(A251="","",IF(ISNUMBER(S251),EDATE(S251,12),IF(ISNUMBER(N251),EDATE(N251,12),"Falta fecha")))</f>
        <v/>
      </c>
      <c r="AD251" s="26" t="str">
        <f aca="false">IF(A251="","",MID(IF(P251&lt;&gt;"Sí"," · Expediente incompleto","")&amp;IF(OR(Q251="",Q251="Pendiente")," · Falta el Beneficiario Controlador","")&amp;IF(M251=""," · Sin perfil transaccional","")&amp;IF(AND(ISNUMBER(AB251),AB251&lt;CONFIG!$B$6)," · Evaluación de riesgo vencida","")&amp;IF(AND(ISNUMBER(AC251),AC251&lt;CONFIG!$B$6)," · Verificación anual vencida","")&amp;IF(AND(ISNUMBER(R251),ISNUMBER(S251),S251-R251&gt;92)," · Comprobante de domicilio con más de 3 meses","")&amp;IF(AND(T251&lt;&gt;"",U251="")," · Ajuste del REC sin justificación",""),4,400))</f>
        <v/>
      </c>
      <c r="AE251" s="9" t="str">
        <f aca="false">IF(A251="","",IF(AD251="","Al día","Revisar"))</f>
        <v/>
      </c>
      <c r="AF251" s="9" t="str">
        <f aca="false">IF(A251="","",COUNTIF(OPERACIONES!$C$6:$C$505,A251)&amp;" / $"&amp;FIXED(SUMIF(OPERACIONES!$C$6:$C$505,A251,OPERACIONES!$E$6:$E$505),0))</f>
        <v/>
      </c>
    </row>
    <row r="252" customFormat="false" ht="15" hidden="false" customHeight="false" outlineLevel="0" collapsed="false">
      <c r="A252" s="21"/>
      <c r="B252" s="21"/>
      <c r="C252" s="21"/>
      <c r="D252" s="21"/>
      <c r="E252" s="21"/>
      <c r="F252" s="21"/>
      <c r="G252" s="21"/>
      <c r="H252" s="21"/>
      <c r="I252" s="21"/>
      <c r="J252" s="21"/>
      <c r="K252" s="21"/>
      <c r="L252" s="21"/>
      <c r="M252" s="22"/>
      <c r="N252" s="20"/>
      <c r="O252" s="20"/>
      <c r="P252" s="21"/>
      <c r="Q252" s="21"/>
      <c r="R252" s="20"/>
      <c r="S252" s="20"/>
      <c r="T252" s="21"/>
      <c r="U252" s="21"/>
      <c r="V252" s="9" t="str">
        <f aca="false">IF(A252="","",SUMIFS(CONFIG!$F$5:$F$26,CONFIG!$D$5:$D$26,"Tipo de persona",CONFIG!$E$5:$E$26,C252)+SUMIFS(CONFIG!$F$5:$F$26,CONFIG!$D$5:$D$26,"Residencia",CONFIG!$E$5:$E$26,E252)+SUMIFS(CONFIG!$F$5:$F$26,CONFIG!$D$5:$D$26,"Nacionalidad",CONFIG!$E$5:$E$26,F252)+SUMIFS(CONFIG!$F$5:$F$26,CONFIG!$D$5:$D$26,"Jurisdicción de riesgo",CONFIG!$E$5:$E$26,G252)+SUMIFS(CONFIG!$F$5:$F$26,CONFIG!$D$5:$D$26,"PEP",CONFIG!$E$5:$E$26,H252)+SUMIFS(CONFIG!$F$5:$F$26,CONFIG!$D$5:$D$26,"En listas",CONFIG!$E$5:$E$26,I252)+SUMIFS(CONFIG!$F$5:$F$26,CONFIG!$D$5:$D$26,"Riesgo de su actividad económica",CONFIG!$E$5:$E$26,J252)+SUMIFS(CONFIG!$F$5:$F$26,CONFIG!$D$5:$D$26,"Canal",CONFIG!$E$5:$E$26,K252)+SUMIFS(CONFIG!$F$5:$F$26,CONFIG!$D$5:$D$26,"Origen de recursos documentado",CONFIG!$E$5:$E$26,L252))</f>
        <v/>
      </c>
      <c r="W252" s="9" t="str">
        <f aca="false">IF(A252="","",IF(SUMIF(OPERACIONES!$C$6:$C$505,A252,OPERACIONES!$E$6:$E$505)&gt;0,IF(SUMIF(OPERACIONES!$C$6:$C$505,A252,OPERACIONES!$F$6:$F$505)/SUMIF(OPERACIONES!$C$6:$C$505,A252,OPERACIONES!$E$6:$E$505)&gt;0.5,CONFIG!$B$20,IF(SUMIF(OPERACIONES!$C$6:$C$505,A252,OPERACIONES!$F$6:$F$505)&gt;0,CONFIG!$B$21,0)),0)+IF(COUNTIFS(OPERACIONES!$C$6:$C$505,A252,OPERACIONES!$AQ$6:$AQ$505,1)&gt;0,CONFIG!$B$22,0)+IF(COUNTIFS(OPERACIONES!$C$6:$C$505,A252,OPERACIONES!$H$6:$H$505,"Sí")&gt;0,CONFIG!$B$23,0))</f>
        <v/>
      </c>
      <c r="X252" s="9" t="str">
        <f aca="false">IF(A252="","",V252+W252)</f>
        <v/>
      </c>
      <c r="Y252" s="9" t="str">
        <f aca="false">IF(A252="","",IF(X252&lt;=CONFIG!$B$13,"Bajo",IF(X252&lt;=CONFIG!$B$14,"Medio","Alto")))</f>
        <v/>
      </c>
      <c r="Z252" s="25" t="str">
        <f aca="false">IF(A252="","",IF(OR(H252="Extranjera",AND(E252="No residente",G252="Sí"),I252="Sí"),"Alto",IF(T252&lt;&gt;"",T252,Y252)))</f>
        <v/>
      </c>
      <c r="AA252" s="26" t="str">
        <f aca="false">IF(A252="","",IF(H252="Extranjera","Alto obligatorio: PEP extranjera (RCG 23 Bis 4)",IF(AND(E252="No residente",G252="Sí"),"Alto obligatorio: no residente vinculado a jurisdicción de riesgo (RCG 23 Bis 4)",IF(I252="Sí","Alto por criterio: persona en listas. Evalúa no operar y Aviso de 24 h",IF(T252&lt;&gt;"","Ajuste del REC: "&amp;U252,"Modelo: "&amp;X252&amp;" puntos")))))</f>
        <v/>
      </c>
      <c r="AB252" s="23" t="str">
        <f aca="false">IF(A252="","",IF(COUNT(N252,O252)=0,"Falta fecha",EDATE(MAX(N252,O252),IF(Z252="Alto",CONFIG!$B$18,IF(Z252="Medio",CONFIG!$B$17,CONFIG!$B$16)))))</f>
        <v/>
      </c>
      <c r="AC252" s="23" t="str">
        <f aca="false">IF(A252="","",IF(ISNUMBER(S252),EDATE(S252,12),IF(ISNUMBER(N252),EDATE(N252,12),"Falta fecha")))</f>
        <v/>
      </c>
      <c r="AD252" s="26" t="str">
        <f aca="false">IF(A252="","",MID(IF(P252&lt;&gt;"Sí"," · Expediente incompleto","")&amp;IF(OR(Q252="",Q252="Pendiente")," · Falta el Beneficiario Controlador","")&amp;IF(M252=""," · Sin perfil transaccional","")&amp;IF(AND(ISNUMBER(AB252),AB252&lt;CONFIG!$B$6)," · Evaluación de riesgo vencida","")&amp;IF(AND(ISNUMBER(AC252),AC252&lt;CONFIG!$B$6)," · Verificación anual vencida","")&amp;IF(AND(ISNUMBER(R252),ISNUMBER(S252),S252-R252&gt;92)," · Comprobante de domicilio con más de 3 meses","")&amp;IF(AND(T252&lt;&gt;"",U252="")," · Ajuste del REC sin justificación",""),4,400))</f>
        <v/>
      </c>
      <c r="AE252" s="9" t="str">
        <f aca="false">IF(A252="","",IF(AD252="","Al día","Revisar"))</f>
        <v/>
      </c>
      <c r="AF252" s="9" t="str">
        <f aca="false">IF(A252="","",COUNTIF(OPERACIONES!$C$6:$C$505,A252)&amp;" / $"&amp;FIXED(SUMIF(OPERACIONES!$C$6:$C$505,A252,OPERACIONES!$E$6:$E$505),0))</f>
        <v/>
      </c>
    </row>
    <row r="253" customFormat="false" ht="15" hidden="false" customHeight="false" outlineLevel="0" collapsed="false">
      <c r="A253" s="21"/>
      <c r="B253" s="21"/>
      <c r="C253" s="21"/>
      <c r="D253" s="21"/>
      <c r="E253" s="21"/>
      <c r="F253" s="21"/>
      <c r="G253" s="21"/>
      <c r="H253" s="21"/>
      <c r="I253" s="21"/>
      <c r="J253" s="21"/>
      <c r="K253" s="21"/>
      <c r="L253" s="21"/>
      <c r="M253" s="22"/>
      <c r="N253" s="20"/>
      <c r="O253" s="20"/>
      <c r="P253" s="21"/>
      <c r="Q253" s="21"/>
      <c r="R253" s="20"/>
      <c r="S253" s="20"/>
      <c r="T253" s="21"/>
      <c r="U253" s="21"/>
      <c r="V253" s="9" t="str">
        <f aca="false">IF(A253="","",SUMIFS(CONFIG!$F$5:$F$26,CONFIG!$D$5:$D$26,"Tipo de persona",CONFIG!$E$5:$E$26,C253)+SUMIFS(CONFIG!$F$5:$F$26,CONFIG!$D$5:$D$26,"Residencia",CONFIG!$E$5:$E$26,E253)+SUMIFS(CONFIG!$F$5:$F$26,CONFIG!$D$5:$D$26,"Nacionalidad",CONFIG!$E$5:$E$26,F253)+SUMIFS(CONFIG!$F$5:$F$26,CONFIG!$D$5:$D$26,"Jurisdicción de riesgo",CONFIG!$E$5:$E$26,G253)+SUMIFS(CONFIG!$F$5:$F$26,CONFIG!$D$5:$D$26,"PEP",CONFIG!$E$5:$E$26,H253)+SUMIFS(CONFIG!$F$5:$F$26,CONFIG!$D$5:$D$26,"En listas",CONFIG!$E$5:$E$26,I253)+SUMIFS(CONFIG!$F$5:$F$26,CONFIG!$D$5:$D$26,"Riesgo de su actividad económica",CONFIG!$E$5:$E$26,J253)+SUMIFS(CONFIG!$F$5:$F$26,CONFIG!$D$5:$D$26,"Canal",CONFIG!$E$5:$E$26,K253)+SUMIFS(CONFIG!$F$5:$F$26,CONFIG!$D$5:$D$26,"Origen de recursos documentado",CONFIG!$E$5:$E$26,L253))</f>
        <v/>
      </c>
      <c r="W253" s="9" t="str">
        <f aca="false">IF(A253="","",IF(SUMIF(OPERACIONES!$C$6:$C$505,A253,OPERACIONES!$E$6:$E$505)&gt;0,IF(SUMIF(OPERACIONES!$C$6:$C$505,A253,OPERACIONES!$F$6:$F$505)/SUMIF(OPERACIONES!$C$6:$C$505,A253,OPERACIONES!$E$6:$E$505)&gt;0.5,CONFIG!$B$20,IF(SUMIF(OPERACIONES!$C$6:$C$505,A253,OPERACIONES!$F$6:$F$505)&gt;0,CONFIG!$B$21,0)),0)+IF(COUNTIFS(OPERACIONES!$C$6:$C$505,A253,OPERACIONES!$AQ$6:$AQ$505,1)&gt;0,CONFIG!$B$22,0)+IF(COUNTIFS(OPERACIONES!$C$6:$C$505,A253,OPERACIONES!$H$6:$H$505,"Sí")&gt;0,CONFIG!$B$23,0))</f>
        <v/>
      </c>
      <c r="X253" s="9" t="str">
        <f aca="false">IF(A253="","",V253+W253)</f>
        <v/>
      </c>
      <c r="Y253" s="9" t="str">
        <f aca="false">IF(A253="","",IF(X253&lt;=CONFIG!$B$13,"Bajo",IF(X253&lt;=CONFIG!$B$14,"Medio","Alto")))</f>
        <v/>
      </c>
      <c r="Z253" s="25" t="str">
        <f aca="false">IF(A253="","",IF(OR(H253="Extranjera",AND(E253="No residente",G253="Sí"),I253="Sí"),"Alto",IF(T253&lt;&gt;"",T253,Y253)))</f>
        <v/>
      </c>
      <c r="AA253" s="26" t="str">
        <f aca="false">IF(A253="","",IF(H253="Extranjera","Alto obligatorio: PEP extranjera (RCG 23 Bis 4)",IF(AND(E253="No residente",G253="Sí"),"Alto obligatorio: no residente vinculado a jurisdicción de riesgo (RCG 23 Bis 4)",IF(I253="Sí","Alto por criterio: persona en listas. Evalúa no operar y Aviso de 24 h",IF(T253&lt;&gt;"","Ajuste del REC: "&amp;U253,"Modelo: "&amp;X253&amp;" puntos")))))</f>
        <v/>
      </c>
      <c r="AB253" s="23" t="str">
        <f aca="false">IF(A253="","",IF(COUNT(N253,O253)=0,"Falta fecha",EDATE(MAX(N253,O253),IF(Z253="Alto",CONFIG!$B$18,IF(Z253="Medio",CONFIG!$B$17,CONFIG!$B$16)))))</f>
        <v/>
      </c>
      <c r="AC253" s="23" t="str">
        <f aca="false">IF(A253="","",IF(ISNUMBER(S253),EDATE(S253,12),IF(ISNUMBER(N253),EDATE(N253,12),"Falta fecha")))</f>
        <v/>
      </c>
      <c r="AD253" s="26" t="str">
        <f aca="false">IF(A253="","",MID(IF(P253&lt;&gt;"Sí"," · Expediente incompleto","")&amp;IF(OR(Q253="",Q253="Pendiente")," · Falta el Beneficiario Controlador","")&amp;IF(M253=""," · Sin perfil transaccional","")&amp;IF(AND(ISNUMBER(AB253),AB253&lt;CONFIG!$B$6)," · Evaluación de riesgo vencida","")&amp;IF(AND(ISNUMBER(AC253),AC253&lt;CONFIG!$B$6)," · Verificación anual vencida","")&amp;IF(AND(ISNUMBER(R253),ISNUMBER(S253),S253-R253&gt;92)," · Comprobante de domicilio con más de 3 meses","")&amp;IF(AND(T253&lt;&gt;"",U253="")," · Ajuste del REC sin justificación",""),4,400))</f>
        <v/>
      </c>
      <c r="AE253" s="9" t="str">
        <f aca="false">IF(A253="","",IF(AD253="","Al día","Revisar"))</f>
        <v/>
      </c>
      <c r="AF253" s="9" t="str">
        <f aca="false">IF(A253="","",COUNTIF(OPERACIONES!$C$6:$C$505,A253)&amp;" / $"&amp;FIXED(SUMIF(OPERACIONES!$C$6:$C$505,A253,OPERACIONES!$E$6:$E$505),0))</f>
        <v/>
      </c>
    </row>
    <row r="254" customFormat="false" ht="15" hidden="false" customHeight="false" outlineLevel="0" collapsed="false">
      <c r="A254" s="21"/>
      <c r="B254" s="21"/>
      <c r="C254" s="21"/>
      <c r="D254" s="21"/>
      <c r="E254" s="21"/>
      <c r="F254" s="21"/>
      <c r="G254" s="21"/>
      <c r="H254" s="21"/>
      <c r="I254" s="21"/>
      <c r="J254" s="21"/>
      <c r="K254" s="21"/>
      <c r="L254" s="21"/>
      <c r="M254" s="22"/>
      <c r="N254" s="20"/>
      <c r="O254" s="20"/>
      <c r="P254" s="21"/>
      <c r="Q254" s="21"/>
      <c r="R254" s="20"/>
      <c r="S254" s="20"/>
      <c r="T254" s="21"/>
      <c r="U254" s="21"/>
      <c r="V254" s="9" t="str">
        <f aca="false">IF(A254="","",SUMIFS(CONFIG!$F$5:$F$26,CONFIG!$D$5:$D$26,"Tipo de persona",CONFIG!$E$5:$E$26,C254)+SUMIFS(CONFIG!$F$5:$F$26,CONFIG!$D$5:$D$26,"Residencia",CONFIG!$E$5:$E$26,E254)+SUMIFS(CONFIG!$F$5:$F$26,CONFIG!$D$5:$D$26,"Nacionalidad",CONFIG!$E$5:$E$26,F254)+SUMIFS(CONFIG!$F$5:$F$26,CONFIG!$D$5:$D$26,"Jurisdicción de riesgo",CONFIG!$E$5:$E$26,G254)+SUMIFS(CONFIG!$F$5:$F$26,CONFIG!$D$5:$D$26,"PEP",CONFIG!$E$5:$E$26,H254)+SUMIFS(CONFIG!$F$5:$F$26,CONFIG!$D$5:$D$26,"En listas",CONFIG!$E$5:$E$26,I254)+SUMIFS(CONFIG!$F$5:$F$26,CONFIG!$D$5:$D$26,"Riesgo de su actividad económica",CONFIG!$E$5:$E$26,J254)+SUMIFS(CONFIG!$F$5:$F$26,CONFIG!$D$5:$D$26,"Canal",CONFIG!$E$5:$E$26,K254)+SUMIFS(CONFIG!$F$5:$F$26,CONFIG!$D$5:$D$26,"Origen de recursos documentado",CONFIG!$E$5:$E$26,L254))</f>
        <v/>
      </c>
      <c r="W254" s="9" t="str">
        <f aca="false">IF(A254="","",IF(SUMIF(OPERACIONES!$C$6:$C$505,A254,OPERACIONES!$E$6:$E$505)&gt;0,IF(SUMIF(OPERACIONES!$C$6:$C$505,A254,OPERACIONES!$F$6:$F$505)/SUMIF(OPERACIONES!$C$6:$C$505,A254,OPERACIONES!$E$6:$E$505)&gt;0.5,CONFIG!$B$20,IF(SUMIF(OPERACIONES!$C$6:$C$505,A254,OPERACIONES!$F$6:$F$505)&gt;0,CONFIG!$B$21,0)),0)+IF(COUNTIFS(OPERACIONES!$C$6:$C$505,A254,OPERACIONES!$AQ$6:$AQ$505,1)&gt;0,CONFIG!$B$22,0)+IF(COUNTIFS(OPERACIONES!$C$6:$C$505,A254,OPERACIONES!$H$6:$H$505,"Sí")&gt;0,CONFIG!$B$23,0))</f>
        <v/>
      </c>
      <c r="X254" s="9" t="str">
        <f aca="false">IF(A254="","",V254+W254)</f>
        <v/>
      </c>
      <c r="Y254" s="9" t="str">
        <f aca="false">IF(A254="","",IF(X254&lt;=CONFIG!$B$13,"Bajo",IF(X254&lt;=CONFIG!$B$14,"Medio","Alto")))</f>
        <v/>
      </c>
      <c r="Z254" s="25" t="str">
        <f aca="false">IF(A254="","",IF(OR(H254="Extranjera",AND(E254="No residente",G254="Sí"),I254="Sí"),"Alto",IF(T254&lt;&gt;"",T254,Y254)))</f>
        <v/>
      </c>
      <c r="AA254" s="26" t="str">
        <f aca="false">IF(A254="","",IF(H254="Extranjera","Alto obligatorio: PEP extranjera (RCG 23 Bis 4)",IF(AND(E254="No residente",G254="Sí"),"Alto obligatorio: no residente vinculado a jurisdicción de riesgo (RCG 23 Bis 4)",IF(I254="Sí","Alto por criterio: persona en listas. Evalúa no operar y Aviso de 24 h",IF(T254&lt;&gt;"","Ajuste del REC: "&amp;U254,"Modelo: "&amp;X254&amp;" puntos")))))</f>
        <v/>
      </c>
      <c r="AB254" s="23" t="str">
        <f aca="false">IF(A254="","",IF(COUNT(N254,O254)=0,"Falta fecha",EDATE(MAX(N254,O254),IF(Z254="Alto",CONFIG!$B$18,IF(Z254="Medio",CONFIG!$B$17,CONFIG!$B$16)))))</f>
        <v/>
      </c>
      <c r="AC254" s="23" t="str">
        <f aca="false">IF(A254="","",IF(ISNUMBER(S254),EDATE(S254,12),IF(ISNUMBER(N254),EDATE(N254,12),"Falta fecha")))</f>
        <v/>
      </c>
      <c r="AD254" s="26" t="str">
        <f aca="false">IF(A254="","",MID(IF(P254&lt;&gt;"Sí"," · Expediente incompleto","")&amp;IF(OR(Q254="",Q254="Pendiente")," · Falta el Beneficiario Controlador","")&amp;IF(M254=""," · Sin perfil transaccional","")&amp;IF(AND(ISNUMBER(AB254),AB254&lt;CONFIG!$B$6)," · Evaluación de riesgo vencida","")&amp;IF(AND(ISNUMBER(AC254),AC254&lt;CONFIG!$B$6)," · Verificación anual vencida","")&amp;IF(AND(ISNUMBER(R254),ISNUMBER(S254),S254-R254&gt;92)," · Comprobante de domicilio con más de 3 meses","")&amp;IF(AND(T254&lt;&gt;"",U254="")," · Ajuste del REC sin justificación",""),4,400))</f>
        <v/>
      </c>
      <c r="AE254" s="9" t="str">
        <f aca="false">IF(A254="","",IF(AD254="","Al día","Revisar"))</f>
        <v/>
      </c>
      <c r="AF254" s="9" t="str">
        <f aca="false">IF(A254="","",COUNTIF(OPERACIONES!$C$6:$C$505,A254)&amp;" / $"&amp;FIXED(SUMIF(OPERACIONES!$C$6:$C$505,A254,OPERACIONES!$E$6:$E$505),0))</f>
        <v/>
      </c>
    </row>
    <row r="255" customFormat="false" ht="15" hidden="false" customHeight="false" outlineLevel="0" collapsed="false">
      <c r="A255" s="21"/>
      <c r="B255" s="21"/>
      <c r="C255" s="21"/>
      <c r="D255" s="21"/>
      <c r="E255" s="21"/>
      <c r="F255" s="21"/>
      <c r="G255" s="21"/>
      <c r="H255" s="21"/>
      <c r="I255" s="21"/>
      <c r="J255" s="21"/>
      <c r="K255" s="21"/>
      <c r="L255" s="21"/>
      <c r="M255" s="22"/>
      <c r="N255" s="20"/>
      <c r="O255" s="20"/>
      <c r="P255" s="21"/>
      <c r="Q255" s="21"/>
      <c r="R255" s="20"/>
      <c r="S255" s="20"/>
      <c r="T255" s="21"/>
      <c r="U255" s="21"/>
      <c r="V255" s="9" t="str">
        <f aca="false">IF(A255="","",SUMIFS(CONFIG!$F$5:$F$26,CONFIG!$D$5:$D$26,"Tipo de persona",CONFIG!$E$5:$E$26,C255)+SUMIFS(CONFIG!$F$5:$F$26,CONFIG!$D$5:$D$26,"Residencia",CONFIG!$E$5:$E$26,E255)+SUMIFS(CONFIG!$F$5:$F$26,CONFIG!$D$5:$D$26,"Nacionalidad",CONFIG!$E$5:$E$26,F255)+SUMIFS(CONFIG!$F$5:$F$26,CONFIG!$D$5:$D$26,"Jurisdicción de riesgo",CONFIG!$E$5:$E$26,G255)+SUMIFS(CONFIG!$F$5:$F$26,CONFIG!$D$5:$D$26,"PEP",CONFIG!$E$5:$E$26,H255)+SUMIFS(CONFIG!$F$5:$F$26,CONFIG!$D$5:$D$26,"En listas",CONFIG!$E$5:$E$26,I255)+SUMIFS(CONFIG!$F$5:$F$26,CONFIG!$D$5:$D$26,"Riesgo de su actividad económica",CONFIG!$E$5:$E$26,J255)+SUMIFS(CONFIG!$F$5:$F$26,CONFIG!$D$5:$D$26,"Canal",CONFIG!$E$5:$E$26,K255)+SUMIFS(CONFIG!$F$5:$F$26,CONFIG!$D$5:$D$26,"Origen de recursos documentado",CONFIG!$E$5:$E$26,L255))</f>
        <v/>
      </c>
      <c r="W255" s="9" t="str">
        <f aca="false">IF(A255="","",IF(SUMIF(OPERACIONES!$C$6:$C$505,A255,OPERACIONES!$E$6:$E$505)&gt;0,IF(SUMIF(OPERACIONES!$C$6:$C$505,A255,OPERACIONES!$F$6:$F$505)/SUMIF(OPERACIONES!$C$6:$C$505,A255,OPERACIONES!$E$6:$E$505)&gt;0.5,CONFIG!$B$20,IF(SUMIF(OPERACIONES!$C$6:$C$505,A255,OPERACIONES!$F$6:$F$505)&gt;0,CONFIG!$B$21,0)),0)+IF(COUNTIFS(OPERACIONES!$C$6:$C$505,A255,OPERACIONES!$AQ$6:$AQ$505,1)&gt;0,CONFIG!$B$22,0)+IF(COUNTIFS(OPERACIONES!$C$6:$C$505,A255,OPERACIONES!$H$6:$H$505,"Sí")&gt;0,CONFIG!$B$23,0))</f>
        <v/>
      </c>
      <c r="X255" s="9" t="str">
        <f aca="false">IF(A255="","",V255+W255)</f>
        <v/>
      </c>
      <c r="Y255" s="9" t="str">
        <f aca="false">IF(A255="","",IF(X255&lt;=CONFIG!$B$13,"Bajo",IF(X255&lt;=CONFIG!$B$14,"Medio","Alto")))</f>
        <v/>
      </c>
      <c r="Z255" s="25" t="str">
        <f aca="false">IF(A255="","",IF(OR(H255="Extranjera",AND(E255="No residente",G255="Sí"),I255="Sí"),"Alto",IF(T255&lt;&gt;"",T255,Y255)))</f>
        <v/>
      </c>
      <c r="AA255" s="26" t="str">
        <f aca="false">IF(A255="","",IF(H255="Extranjera","Alto obligatorio: PEP extranjera (RCG 23 Bis 4)",IF(AND(E255="No residente",G255="Sí"),"Alto obligatorio: no residente vinculado a jurisdicción de riesgo (RCG 23 Bis 4)",IF(I255="Sí","Alto por criterio: persona en listas. Evalúa no operar y Aviso de 24 h",IF(T255&lt;&gt;"","Ajuste del REC: "&amp;U255,"Modelo: "&amp;X255&amp;" puntos")))))</f>
        <v/>
      </c>
      <c r="AB255" s="23" t="str">
        <f aca="false">IF(A255="","",IF(COUNT(N255,O255)=0,"Falta fecha",EDATE(MAX(N255,O255),IF(Z255="Alto",CONFIG!$B$18,IF(Z255="Medio",CONFIG!$B$17,CONFIG!$B$16)))))</f>
        <v/>
      </c>
      <c r="AC255" s="23" t="str">
        <f aca="false">IF(A255="","",IF(ISNUMBER(S255),EDATE(S255,12),IF(ISNUMBER(N255),EDATE(N255,12),"Falta fecha")))</f>
        <v/>
      </c>
      <c r="AD255" s="26" t="str">
        <f aca="false">IF(A255="","",MID(IF(P255&lt;&gt;"Sí"," · Expediente incompleto","")&amp;IF(OR(Q255="",Q255="Pendiente")," · Falta el Beneficiario Controlador","")&amp;IF(M255=""," · Sin perfil transaccional","")&amp;IF(AND(ISNUMBER(AB255),AB255&lt;CONFIG!$B$6)," · Evaluación de riesgo vencida","")&amp;IF(AND(ISNUMBER(AC255),AC255&lt;CONFIG!$B$6)," · Verificación anual vencida","")&amp;IF(AND(ISNUMBER(R255),ISNUMBER(S255),S255-R255&gt;92)," · Comprobante de domicilio con más de 3 meses","")&amp;IF(AND(T255&lt;&gt;"",U255="")," · Ajuste del REC sin justificación",""),4,400))</f>
        <v/>
      </c>
      <c r="AE255" s="9" t="str">
        <f aca="false">IF(A255="","",IF(AD255="","Al día","Revisar"))</f>
        <v/>
      </c>
      <c r="AF255" s="9" t="str">
        <f aca="false">IF(A255="","",COUNTIF(OPERACIONES!$C$6:$C$505,A255)&amp;" / $"&amp;FIXED(SUMIF(OPERACIONES!$C$6:$C$505,A255,OPERACIONES!$E$6:$E$505),0))</f>
        <v/>
      </c>
    </row>
    <row r="256" customFormat="false" ht="15" hidden="false" customHeight="false" outlineLevel="0" collapsed="false">
      <c r="A256" s="21"/>
      <c r="B256" s="21"/>
      <c r="C256" s="21"/>
      <c r="D256" s="21"/>
      <c r="E256" s="21"/>
      <c r="F256" s="21"/>
      <c r="G256" s="21"/>
      <c r="H256" s="21"/>
      <c r="I256" s="21"/>
      <c r="J256" s="21"/>
      <c r="K256" s="21"/>
      <c r="L256" s="21"/>
      <c r="M256" s="22"/>
      <c r="N256" s="20"/>
      <c r="O256" s="20"/>
      <c r="P256" s="21"/>
      <c r="Q256" s="21"/>
      <c r="R256" s="20"/>
      <c r="S256" s="20"/>
      <c r="T256" s="21"/>
      <c r="U256" s="21"/>
      <c r="V256" s="9" t="str">
        <f aca="false">IF(A256="","",SUMIFS(CONFIG!$F$5:$F$26,CONFIG!$D$5:$D$26,"Tipo de persona",CONFIG!$E$5:$E$26,C256)+SUMIFS(CONFIG!$F$5:$F$26,CONFIG!$D$5:$D$26,"Residencia",CONFIG!$E$5:$E$26,E256)+SUMIFS(CONFIG!$F$5:$F$26,CONFIG!$D$5:$D$26,"Nacionalidad",CONFIG!$E$5:$E$26,F256)+SUMIFS(CONFIG!$F$5:$F$26,CONFIG!$D$5:$D$26,"Jurisdicción de riesgo",CONFIG!$E$5:$E$26,G256)+SUMIFS(CONFIG!$F$5:$F$26,CONFIG!$D$5:$D$26,"PEP",CONFIG!$E$5:$E$26,H256)+SUMIFS(CONFIG!$F$5:$F$26,CONFIG!$D$5:$D$26,"En listas",CONFIG!$E$5:$E$26,I256)+SUMIFS(CONFIG!$F$5:$F$26,CONFIG!$D$5:$D$26,"Riesgo de su actividad económica",CONFIG!$E$5:$E$26,J256)+SUMIFS(CONFIG!$F$5:$F$26,CONFIG!$D$5:$D$26,"Canal",CONFIG!$E$5:$E$26,K256)+SUMIFS(CONFIG!$F$5:$F$26,CONFIG!$D$5:$D$26,"Origen de recursos documentado",CONFIG!$E$5:$E$26,L256))</f>
        <v/>
      </c>
      <c r="W256" s="9" t="str">
        <f aca="false">IF(A256="","",IF(SUMIF(OPERACIONES!$C$6:$C$505,A256,OPERACIONES!$E$6:$E$505)&gt;0,IF(SUMIF(OPERACIONES!$C$6:$C$505,A256,OPERACIONES!$F$6:$F$505)/SUMIF(OPERACIONES!$C$6:$C$505,A256,OPERACIONES!$E$6:$E$505)&gt;0.5,CONFIG!$B$20,IF(SUMIF(OPERACIONES!$C$6:$C$505,A256,OPERACIONES!$F$6:$F$505)&gt;0,CONFIG!$B$21,0)),0)+IF(COUNTIFS(OPERACIONES!$C$6:$C$505,A256,OPERACIONES!$AQ$6:$AQ$505,1)&gt;0,CONFIG!$B$22,0)+IF(COUNTIFS(OPERACIONES!$C$6:$C$505,A256,OPERACIONES!$H$6:$H$505,"Sí")&gt;0,CONFIG!$B$23,0))</f>
        <v/>
      </c>
      <c r="X256" s="9" t="str">
        <f aca="false">IF(A256="","",V256+W256)</f>
        <v/>
      </c>
      <c r="Y256" s="9" t="str">
        <f aca="false">IF(A256="","",IF(X256&lt;=CONFIG!$B$13,"Bajo",IF(X256&lt;=CONFIG!$B$14,"Medio","Alto")))</f>
        <v/>
      </c>
      <c r="Z256" s="25" t="str">
        <f aca="false">IF(A256="","",IF(OR(H256="Extranjera",AND(E256="No residente",G256="Sí"),I256="Sí"),"Alto",IF(T256&lt;&gt;"",T256,Y256)))</f>
        <v/>
      </c>
      <c r="AA256" s="26" t="str">
        <f aca="false">IF(A256="","",IF(H256="Extranjera","Alto obligatorio: PEP extranjera (RCG 23 Bis 4)",IF(AND(E256="No residente",G256="Sí"),"Alto obligatorio: no residente vinculado a jurisdicción de riesgo (RCG 23 Bis 4)",IF(I256="Sí","Alto por criterio: persona en listas. Evalúa no operar y Aviso de 24 h",IF(T256&lt;&gt;"","Ajuste del REC: "&amp;U256,"Modelo: "&amp;X256&amp;" puntos")))))</f>
        <v/>
      </c>
      <c r="AB256" s="23" t="str">
        <f aca="false">IF(A256="","",IF(COUNT(N256,O256)=0,"Falta fecha",EDATE(MAX(N256,O256),IF(Z256="Alto",CONFIG!$B$18,IF(Z256="Medio",CONFIG!$B$17,CONFIG!$B$16)))))</f>
        <v/>
      </c>
      <c r="AC256" s="23" t="str">
        <f aca="false">IF(A256="","",IF(ISNUMBER(S256),EDATE(S256,12),IF(ISNUMBER(N256),EDATE(N256,12),"Falta fecha")))</f>
        <v/>
      </c>
      <c r="AD256" s="26" t="str">
        <f aca="false">IF(A256="","",MID(IF(P256&lt;&gt;"Sí"," · Expediente incompleto","")&amp;IF(OR(Q256="",Q256="Pendiente")," · Falta el Beneficiario Controlador","")&amp;IF(M256=""," · Sin perfil transaccional","")&amp;IF(AND(ISNUMBER(AB256),AB256&lt;CONFIG!$B$6)," · Evaluación de riesgo vencida","")&amp;IF(AND(ISNUMBER(AC256),AC256&lt;CONFIG!$B$6)," · Verificación anual vencida","")&amp;IF(AND(ISNUMBER(R256),ISNUMBER(S256),S256-R256&gt;92)," · Comprobante de domicilio con más de 3 meses","")&amp;IF(AND(T256&lt;&gt;"",U256="")," · Ajuste del REC sin justificación",""),4,400))</f>
        <v/>
      </c>
      <c r="AE256" s="9" t="str">
        <f aca="false">IF(A256="","",IF(AD256="","Al día","Revisar"))</f>
        <v/>
      </c>
      <c r="AF256" s="9" t="str">
        <f aca="false">IF(A256="","",COUNTIF(OPERACIONES!$C$6:$C$505,A256)&amp;" / $"&amp;FIXED(SUMIF(OPERACIONES!$C$6:$C$505,A256,OPERACIONES!$E$6:$E$505),0))</f>
        <v/>
      </c>
    </row>
    <row r="257" customFormat="false" ht="15" hidden="false" customHeight="false" outlineLevel="0" collapsed="false">
      <c r="A257" s="21"/>
      <c r="B257" s="21"/>
      <c r="C257" s="21"/>
      <c r="D257" s="21"/>
      <c r="E257" s="21"/>
      <c r="F257" s="21"/>
      <c r="G257" s="21"/>
      <c r="H257" s="21"/>
      <c r="I257" s="21"/>
      <c r="J257" s="21"/>
      <c r="K257" s="21"/>
      <c r="L257" s="21"/>
      <c r="M257" s="22"/>
      <c r="N257" s="20"/>
      <c r="O257" s="20"/>
      <c r="P257" s="21"/>
      <c r="Q257" s="21"/>
      <c r="R257" s="20"/>
      <c r="S257" s="20"/>
      <c r="T257" s="21"/>
      <c r="U257" s="21"/>
      <c r="V257" s="9" t="str">
        <f aca="false">IF(A257="","",SUMIFS(CONFIG!$F$5:$F$26,CONFIG!$D$5:$D$26,"Tipo de persona",CONFIG!$E$5:$E$26,C257)+SUMIFS(CONFIG!$F$5:$F$26,CONFIG!$D$5:$D$26,"Residencia",CONFIG!$E$5:$E$26,E257)+SUMIFS(CONFIG!$F$5:$F$26,CONFIG!$D$5:$D$26,"Nacionalidad",CONFIG!$E$5:$E$26,F257)+SUMIFS(CONFIG!$F$5:$F$26,CONFIG!$D$5:$D$26,"Jurisdicción de riesgo",CONFIG!$E$5:$E$26,G257)+SUMIFS(CONFIG!$F$5:$F$26,CONFIG!$D$5:$D$26,"PEP",CONFIG!$E$5:$E$26,H257)+SUMIFS(CONFIG!$F$5:$F$26,CONFIG!$D$5:$D$26,"En listas",CONFIG!$E$5:$E$26,I257)+SUMIFS(CONFIG!$F$5:$F$26,CONFIG!$D$5:$D$26,"Riesgo de su actividad económica",CONFIG!$E$5:$E$26,J257)+SUMIFS(CONFIG!$F$5:$F$26,CONFIG!$D$5:$D$26,"Canal",CONFIG!$E$5:$E$26,K257)+SUMIFS(CONFIG!$F$5:$F$26,CONFIG!$D$5:$D$26,"Origen de recursos documentado",CONFIG!$E$5:$E$26,L257))</f>
        <v/>
      </c>
      <c r="W257" s="9" t="str">
        <f aca="false">IF(A257="","",IF(SUMIF(OPERACIONES!$C$6:$C$505,A257,OPERACIONES!$E$6:$E$505)&gt;0,IF(SUMIF(OPERACIONES!$C$6:$C$505,A257,OPERACIONES!$F$6:$F$505)/SUMIF(OPERACIONES!$C$6:$C$505,A257,OPERACIONES!$E$6:$E$505)&gt;0.5,CONFIG!$B$20,IF(SUMIF(OPERACIONES!$C$6:$C$505,A257,OPERACIONES!$F$6:$F$505)&gt;0,CONFIG!$B$21,0)),0)+IF(COUNTIFS(OPERACIONES!$C$6:$C$505,A257,OPERACIONES!$AQ$6:$AQ$505,1)&gt;0,CONFIG!$B$22,0)+IF(COUNTIFS(OPERACIONES!$C$6:$C$505,A257,OPERACIONES!$H$6:$H$505,"Sí")&gt;0,CONFIG!$B$23,0))</f>
        <v/>
      </c>
      <c r="X257" s="9" t="str">
        <f aca="false">IF(A257="","",V257+W257)</f>
        <v/>
      </c>
      <c r="Y257" s="9" t="str">
        <f aca="false">IF(A257="","",IF(X257&lt;=CONFIG!$B$13,"Bajo",IF(X257&lt;=CONFIG!$B$14,"Medio","Alto")))</f>
        <v/>
      </c>
      <c r="Z257" s="25" t="str">
        <f aca="false">IF(A257="","",IF(OR(H257="Extranjera",AND(E257="No residente",G257="Sí"),I257="Sí"),"Alto",IF(T257&lt;&gt;"",T257,Y257)))</f>
        <v/>
      </c>
      <c r="AA257" s="26" t="str">
        <f aca="false">IF(A257="","",IF(H257="Extranjera","Alto obligatorio: PEP extranjera (RCG 23 Bis 4)",IF(AND(E257="No residente",G257="Sí"),"Alto obligatorio: no residente vinculado a jurisdicción de riesgo (RCG 23 Bis 4)",IF(I257="Sí","Alto por criterio: persona en listas. Evalúa no operar y Aviso de 24 h",IF(T257&lt;&gt;"","Ajuste del REC: "&amp;U257,"Modelo: "&amp;X257&amp;" puntos")))))</f>
        <v/>
      </c>
      <c r="AB257" s="23" t="str">
        <f aca="false">IF(A257="","",IF(COUNT(N257,O257)=0,"Falta fecha",EDATE(MAX(N257,O257),IF(Z257="Alto",CONFIG!$B$18,IF(Z257="Medio",CONFIG!$B$17,CONFIG!$B$16)))))</f>
        <v/>
      </c>
      <c r="AC257" s="23" t="str">
        <f aca="false">IF(A257="","",IF(ISNUMBER(S257),EDATE(S257,12),IF(ISNUMBER(N257),EDATE(N257,12),"Falta fecha")))</f>
        <v/>
      </c>
      <c r="AD257" s="26" t="str">
        <f aca="false">IF(A257="","",MID(IF(P257&lt;&gt;"Sí"," · Expediente incompleto","")&amp;IF(OR(Q257="",Q257="Pendiente")," · Falta el Beneficiario Controlador","")&amp;IF(M257=""," · Sin perfil transaccional","")&amp;IF(AND(ISNUMBER(AB257),AB257&lt;CONFIG!$B$6)," · Evaluación de riesgo vencida","")&amp;IF(AND(ISNUMBER(AC257),AC257&lt;CONFIG!$B$6)," · Verificación anual vencida","")&amp;IF(AND(ISNUMBER(R257),ISNUMBER(S257),S257-R257&gt;92)," · Comprobante de domicilio con más de 3 meses","")&amp;IF(AND(T257&lt;&gt;"",U257="")," · Ajuste del REC sin justificación",""),4,400))</f>
        <v/>
      </c>
      <c r="AE257" s="9" t="str">
        <f aca="false">IF(A257="","",IF(AD257="","Al día","Revisar"))</f>
        <v/>
      </c>
      <c r="AF257" s="9" t="str">
        <f aca="false">IF(A257="","",COUNTIF(OPERACIONES!$C$6:$C$505,A257)&amp;" / $"&amp;FIXED(SUMIF(OPERACIONES!$C$6:$C$505,A257,OPERACIONES!$E$6:$E$505),0))</f>
        <v/>
      </c>
    </row>
    <row r="258" customFormat="false" ht="15" hidden="false" customHeight="false" outlineLevel="0" collapsed="false">
      <c r="A258" s="21"/>
      <c r="B258" s="21"/>
      <c r="C258" s="21"/>
      <c r="D258" s="21"/>
      <c r="E258" s="21"/>
      <c r="F258" s="21"/>
      <c r="G258" s="21"/>
      <c r="H258" s="21"/>
      <c r="I258" s="21"/>
      <c r="J258" s="21"/>
      <c r="K258" s="21"/>
      <c r="L258" s="21"/>
      <c r="M258" s="22"/>
      <c r="N258" s="20"/>
      <c r="O258" s="20"/>
      <c r="P258" s="21"/>
      <c r="Q258" s="21"/>
      <c r="R258" s="20"/>
      <c r="S258" s="20"/>
      <c r="T258" s="21"/>
      <c r="U258" s="21"/>
      <c r="V258" s="9" t="str">
        <f aca="false">IF(A258="","",SUMIFS(CONFIG!$F$5:$F$26,CONFIG!$D$5:$D$26,"Tipo de persona",CONFIG!$E$5:$E$26,C258)+SUMIFS(CONFIG!$F$5:$F$26,CONFIG!$D$5:$D$26,"Residencia",CONFIG!$E$5:$E$26,E258)+SUMIFS(CONFIG!$F$5:$F$26,CONFIG!$D$5:$D$26,"Nacionalidad",CONFIG!$E$5:$E$26,F258)+SUMIFS(CONFIG!$F$5:$F$26,CONFIG!$D$5:$D$26,"Jurisdicción de riesgo",CONFIG!$E$5:$E$26,G258)+SUMIFS(CONFIG!$F$5:$F$26,CONFIG!$D$5:$D$26,"PEP",CONFIG!$E$5:$E$26,H258)+SUMIFS(CONFIG!$F$5:$F$26,CONFIG!$D$5:$D$26,"En listas",CONFIG!$E$5:$E$26,I258)+SUMIFS(CONFIG!$F$5:$F$26,CONFIG!$D$5:$D$26,"Riesgo de su actividad económica",CONFIG!$E$5:$E$26,J258)+SUMIFS(CONFIG!$F$5:$F$26,CONFIG!$D$5:$D$26,"Canal",CONFIG!$E$5:$E$26,K258)+SUMIFS(CONFIG!$F$5:$F$26,CONFIG!$D$5:$D$26,"Origen de recursos documentado",CONFIG!$E$5:$E$26,L258))</f>
        <v/>
      </c>
      <c r="W258" s="9" t="str">
        <f aca="false">IF(A258="","",IF(SUMIF(OPERACIONES!$C$6:$C$505,A258,OPERACIONES!$E$6:$E$505)&gt;0,IF(SUMIF(OPERACIONES!$C$6:$C$505,A258,OPERACIONES!$F$6:$F$505)/SUMIF(OPERACIONES!$C$6:$C$505,A258,OPERACIONES!$E$6:$E$505)&gt;0.5,CONFIG!$B$20,IF(SUMIF(OPERACIONES!$C$6:$C$505,A258,OPERACIONES!$F$6:$F$505)&gt;0,CONFIG!$B$21,0)),0)+IF(COUNTIFS(OPERACIONES!$C$6:$C$505,A258,OPERACIONES!$AQ$6:$AQ$505,1)&gt;0,CONFIG!$B$22,0)+IF(COUNTIFS(OPERACIONES!$C$6:$C$505,A258,OPERACIONES!$H$6:$H$505,"Sí")&gt;0,CONFIG!$B$23,0))</f>
        <v/>
      </c>
      <c r="X258" s="9" t="str">
        <f aca="false">IF(A258="","",V258+W258)</f>
        <v/>
      </c>
      <c r="Y258" s="9" t="str">
        <f aca="false">IF(A258="","",IF(X258&lt;=CONFIG!$B$13,"Bajo",IF(X258&lt;=CONFIG!$B$14,"Medio","Alto")))</f>
        <v/>
      </c>
      <c r="Z258" s="25" t="str">
        <f aca="false">IF(A258="","",IF(OR(H258="Extranjera",AND(E258="No residente",G258="Sí"),I258="Sí"),"Alto",IF(T258&lt;&gt;"",T258,Y258)))</f>
        <v/>
      </c>
      <c r="AA258" s="26" t="str">
        <f aca="false">IF(A258="","",IF(H258="Extranjera","Alto obligatorio: PEP extranjera (RCG 23 Bis 4)",IF(AND(E258="No residente",G258="Sí"),"Alto obligatorio: no residente vinculado a jurisdicción de riesgo (RCG 23 Bis 4)",IF(I258="Sí","Alto por criterio: persona en listas. Evalúa no operar y Aviso de 24 h",IF(T258&lt;&gt;"","Ajuste del REC: "&amp;U258,"Modelo: "&amp;X258&amp;" puntos")))))</f>
        <v/>
      </c>
      <c r="AB258" s="23" t="str">
        <f aca="false">IF(A258="","",IF(COUNT(N258,O258)=0,"Falta fecha",EDATE(MAX(N258,O258),IF(Z258="Alto",CONFIG!$B$18,IF(Z258="Medio",CONFIG!$B$17,CONFIG!$B$16)))))</f>
        <v/>
      </c>
      <c r="AC258" s="23" t="str">
        <f aca="false">IF(A258="","",IF(ISNUMBER(S258),EDATE(S258,12),IF(ISNUMBER(N258),EDATE(N258,12),"Falta fecha")))</f>
        <v/>
      </c>
      <c r="AD258" s="26" t="str">
        <f aca="false">IF(A258="","",MID(IF(P258&lt;&gt;"Sí"," · Expediente incompleto","")&amp;IF(OR(Q258="",Q258="Pendiente")," · Falta el Beneficiario Controlador","")&amp;IF(M258=""," · Sin perfil transaccional","")&amp;IF(AND(ISNUMBER(AB258),AB258&lt;CONFIG!$B$6)," · Evaluación de riesgo vencida","")&amp;IF(AND(ISNUMBER(AC258),AC258&lt;CONFIG!$B$6)," · Verificación anual vencida","")&amp;IF(AND(ISNUMBER(R258),ISNUMBER(S258),S258-R258&gt;92)," · Comprobante de domicilio con más de 3 meses","")&amp;IF(AND(T258&lt;&gt;"",U258="")," · Ajuste del REC sin justificación",""),4,400))</f>
        <v/>
      </c>
      <c r="AE258" s="9" t="str">
        <f aca="false">IF(A258="","",IF(AD258="","Al día","Revisar"))</f>
        <v/>
      </c>
      <c r="AF258" s="9" t="str">
        <f aca="false">IF(A258="","",COUNTIF(OPERACIONES!$C$6:$C$505,A258)&amp;" / $"&amp;FIXED(SUMIF(OPERACIONES!$C$6:$C$505,A258,OPERACIONES!$E$6:$E$505),0))</f>
        <v/>
      </c>
    </row>
    <row r="259" customFormat="false" ht="15" hidden="false" customHeight="false" outlineLevel="0" collapsed="false">
      <c r="A259" s="21"/>
      <c r="B259" s="21"/>
      <c r="C259" s="21"/>
      <c r="D259" s="21"/>
      <c r="E259" s="21"/>
      <c r="F259" s="21"/>
      <c r="G259" s="21"/>
      <c r="H259" s="21"/>
      <c r="I259" s="21"/>
      <c r="J259" s="21"/>
      <c r="K259" s="21"/>
      <c r="L259" s="21"/>
      <c r="M259" s="22"/>
      <c r="N259" s="20"/>
      <c r="O259" s="20"/>
      <c r="P259" s="21"/>
      <c r="Q259" s="21"/>
      <c r="R259" s="20"/>
      <c r="S259" s="20"/>
      <c r="T259" s="21"/>
      <c r="U259" s="21"/>
      <c r="V259" s="9" t="str">
        <f aca="false">IF(A259="","",SUMIFS(CONFIG!$F$5:$F$26,CONFIG!$D$5:$D$26,"Tipo de persona",CONFIG!$E$5:$E$26,C259)+SUMIFS(CONFIG!$F$5:$F$26,CONFIG!$D$5:$D$26,"Residencia",CONFIG!$E$5:$E$26,E259)+SUMIFS(CONFIG!$F$5:$F$26,CONFIG!$D$5:$D$26,"Nacionalidad",CONFIG!$E$5:$E$26,F259)+SUMIFS(CONFIG!$F$5:$F$26,CONFIG!$D$5:$D$26,"Jurisdicción de riesgo",CONFIG!$E$5:$E$26,G259)+SUMIFS(CONFIG!$F$5:$F$26,CONFIG!$D$5:$D$26,"PEP",CONFIG!$E$5:$E$26,H259)+SUMIFS(CONFIG!$F$5:$F$26,CONFIG!$D$5:$D$26,"En listas",CONFIG!$E$5:$E$26,I259)+SUMIFS(CONFIG!$F$5:$F$26,CONFIG!$D$5:$D$26,"Riesgo de su actividad económica",CONFIG!$E$5:$E$26,J259)+SUMIFS(CONFIG!$F$5:$F$26,CONFIG!$D$5:$D$26,"Canal",CONFIG!$E$5:$E$26,K259)+SUMIFS(CONFIG!$F$5:$F$26,CONFIG!$D$5:$D$26,"Origen de recursos documentado",CONFIG!$E$5:$E$26,L259))</f>
        <v/>
      </c>
      <c r="W259" s="9" t="str">
        <f aca="false">IF(A259="","",IF(SUMIF(OPERACIONES!$C$6:$C$505,A259,OPERACIONES!$E$6:$E$505)&gt;0,IF(SUMIF(OPERACIONES!$C$6:$C$505,A259,OPERACIONES!$F$6:$F$505)/SUMIF(OPERACIONES!$C$6:$C$505,A259,OPERACIONES!$E$6:$E$505)&gt;0.5,CONFIG!$B$20,IF(SUMIF(OPERACIONES!$C$6:$C$505,A259,OPERACIONES!$F$6:$F$505)&gt;0,CONFIG!$B$21,0)),0)+IF(COUNTIFS(OPERACIONES!$C$6:$C$505,A259,OPERACIONES!$AQ$6:$AQ$505,1)&gt;0,CONFIG!$B$22,0)+IF(COUNTIFS(OPERACIONES!$C$6:$C$505,A259,OPERACIONES!$H$6:$H$505,"Sí")&gt;0,CONFIG!$B$23,0))</f>
        <v/>
      </c>
      <c r="X259" s="9" t="str">
        <f aca="false">IF(A259="","",V259+W259)</f>
        <v/>
      </c>
      <c r="Y259" s="9" t="str">
        <f aca="false">IF(A259="","",IF(X259&lt;=CONFIG!$B$13,"Bajo",IF(X259&lt;=CONFIG!$B$14,"Medio","Alto")))</f>
        <v/>
      </c>
      <c r="Z259" s="25" t="str">
        <f aca="false">IF(A259="","",IF(OR(H259="Extranjera",AND(E259="No residente",G259="Sí"),I259="Sí"),"Alto",IF(T259&lt;&gt;"",T259,Y259)))</f>
        <v/>
      </c>
      <c r="AA259" s="26" t="str">
        <f aca="false">IF(A259="","",IF(H259="Extranjera","Alto obligatorio: PEP extranjera (RCG 23 Bis 4)",IF(AND(E259="No residente",G259="Sí"),"Alto obligatorio: no residente vinculado a jurisdicción de riesgo (RCG 23 Bis 4)",IF(I259="Sí","Alto por criterio: persona en listas. Evalúa no operar y Aviso de 24 h",IF(T259&lt;&gt;"","Ajuste del REC: "&amp;U259,"Modelo: "&amp;X259&amp;" puntos")))))</f>
        <v/>
      </c>
      <c r="AB259" s="23" t="str">
        <f aca="false">IF(A259="","",IF(COUNT(N259,O259)=0,"Falta fecha",EDATE(MAX(N259,O259),IF(Z259="Alto",CONFIG!$B$18,IF(Z259="Medio",CONFIG!$B$17,CONFIG!$B$16)))))</f>
        <v/>
      </c>
      <c r="AC259" s="23" t="str">
        <f aca="false">IF(A259="","",IF(ISNUMBER(S259),EDATE(S259,12),IF(ISNUMBER(N259),EDATE(N259,12),"Falta fecha")))</f>
        <v/>
      </c>
      <c r="AD259" s="26" t="str">
        <f aca="false">IF(A259="","",MID(IF(P259&lt;&gt;"Sí"," · Expediente incompleto","")&amp;IF(OR(Q259="",Q259="Pendiente")," · Falta el Beneficiario Controlador","")&amp;IF(M259=""," · Sin perfil transaccional","")&amp;IF(AND(ISNUMBER(AB259),AB259&lt;CONFIG!$B$6)," · Evaluación de riesgo vencida","")&amp;IF(AND(ISNUMBER(AC259),AC259&lt;CONFIG!$B$6)," · Verificación anual vencida","")&amp;IF(AND(ISNUMBER(R259),ISNUMBER(S259),S259-R259&gt;92)," · Comprobante de domicilio con más de 3 meses","")&amp;IF(AND(T259&lt;&gt;"",U259="")," · Ajuste del REC sin justificación",""),4,400))</f>
        <v/>
      </c>
      <c r="AE259" s="9" t="str">
        <f aca="false">IF(A259="","",IF(AD259="","Al día","Revisar"))</f>
        <v/>
      </c>
      <c r="AF259" s="9" t="str">
        <f aca="false">IF(A259="","",COUNTIF(OPERACIONES!$C$6:$C$505,A259)&amp;" / $"&amp;FIXED(SUMIF(OPERACIONES!$C$6:$C$505,A259,OPERACIONES!$E$6:$E$505),0))</f>
        <v/>
      </c>
    </row>
    <row r="260" customFormat="false" ht="15" hidden="false" customHeight="false" outlineLevel="0" collapsed="false">
      <c r="A260" s="21"/>
      <c r="B260" s="21"/>
      <c r="C260" s="21"/>
      <c r="D260" s="21"/>
      <c r="E260" s="21"/>
      <c r="F260" s="21"/>
      <c r="G260" s="21"/>
      <c r="H260" s="21"/>
      <c r="I260" s="21"/>
      <c r="J260" s="21"/>
      <c r="K260" s="21"/>
      <c r="L260" s="21"/>
      <c r="M260" s="22"/>
      <c r="N260" s="20"/>
      <c r="O260" s="20"/>
      <c r="P260" s="21"/>
      <c r="Q260" s="21"/>
      <c r="R260" s="20"/>
      <c r="S260" s="20"/>
      <c r="T260" s="21"/>
      <c r="U260" s="21"/>
      <c r="V260" s="9" t="str">
        <f aca="false">IF(A260="","",SUMIFS(CONFIG!$F$5:$F$26,CONFIG!$D$5:$D$26,"Tipo de persona",CONFIG!$E$5:$E$26,C260)+SUMIFS(CONFIG!$F$5:$F$26,CONFIG!$D$5:$D$26,"Residencia",CONFIG!$E$5:$E$26,E260)+SUMIFS(CONFIG!$F$5:$F$26,CONFIG!$D$5:$D$26,"Nacionalidad",CONFIG!$E$5:$E$26,F260)+SUMIFS(CONFIG!$F$5:$F$26,CONFIG!$D$5:$D$26,"Jurisdicción de riesgo",CONFIG!$E$5:$E$26,G260)+SUMIFS(CONFIG!$F$5:$F$26,CONFIG!$D$5:$D$26,"PEP",CONFIG!$E$5:$E$26,H260)+SUMIFS(CONFIG!$F$5:$F$26,CONFIG!$D$5:$D$26,"En listas",CONFIG!$E$5:$E$26,I260)+SUMIFS(CONFIG!$F$5:$F$26,CONFIG!$D$5:$D$26,"Riesgo de su actividad económica",CONFIG!$E$5:$E$26,J260)+SUMIFS(CONFIG!$F$5:$F$26,CONFIG!$D$5:$D$26,"Canal",CONFIG!$E$5:$E$26,K260)+SUMIFS(CONFIG!$F$5:$F$26,CONFIG!$D$5:$D$26,"Origen de recursos documentado",CONFIG!$E$5:$E$26,L260))</f>
        <v/>
      </c>
      <c r="W260" s="9" t="str">
        <f aca="false">IF(A260="","",IF(SUMIF(OPERACIONES!$C$6:$C$505,A260,OPERACIONES!$E$6:$E$505)&gt;0,IF(SUMIF(OPERACIONES!$C$6:$C$505,A260,OPERACIONES!$F$6:$F$505)/SUMIF(OPERACIONES!$C$6:$C$505,A260,OPERACIONES!$E$6:$E$505)&gt;0.5,CONFIG!$B$20,IF(SUMIF(OPERACIONES!$C$6:$C$505,A260,OPERACIONES!$F$6:$F$505)&gt;0,CONFIG!$B$21,0)),0)+IF(COUNTIFS(OPERACIONES!$C$6:$C$505,A260,OPERACIONES!$AQ$6:$AQ$505,1)&gt;0,CONFIG!$B$22,0)+IF(COUNTIFS(OPERACIONES!$C$6:$C$505,A260,OPERACIONES!$H$6:$H$505,"Sí")&gt;0,CONFIG!$B$23,0))</f>
        <v/>
      </c>
      <c r="X260" s="9" t="str">
        <f aca="false">IF(A260="","",V260+W260)</f>
        <v/>
      </c>
      <c r="Y260" s="9" t="str">
        <f aca="false">IF(A260="","",IF(X260&lt;=CONFIG!$B$13,"Bajo",IF(X260&lt;=CONFIG!$B$14,"Medio","Alto")))</f>
        <v/>
      </c>
      <c r="Z260" s="25" t="str">
        <f aca="false">IF(A260="","",IF(OR(H260="Extranjera",AND(E260="No residente",G260="Sí"),I260="Sí"),"Alto",IF(T260&lt;&gt;"",T260,Y260)))</f>
        <v/>
      </c>
      <c r="AA260" s="26" t="str">
        <f aca="false">IF(A260="","",IF(H260="Extranjera","Alto obligatorio: PEP extranjera (RCG 23 Bis 4)",IF(AND(E260="No residente",G260="Sí"),"Alto obligatorio: no residente vinculado a jurisdicción de riesgo (RCG 23 Bis 4)",IF(I260="Sí","Alto por criterio: persona en listas. Evalúa no operar y Aviso de 24 h",IF(T260&lt;&gt;"","Ajuste del REC: "&amp;U260,"Modelo: "&amp;X260&amp;" puntos")))))</f>
        <v/>
      </c>
      <c r="AB260" s="23" t="str">
        <f aca="false">IF(A260="","",IF(COUNT(N260,O260)=0,"Falta fecha",EDATE(MAX(N260,O260),IF(Z260="Alto",CONFIG!$B$18,IF(Z260="Medio",CONFIG!$B$17,CONFIG!$B$16)))))</f>
        <v/>
      </c>
      <c r="AC260" s="23" t="str">
        <f aca="false">IF(A260="","",IF(ISNUMBER(S260),EDATE(S260,12),IF(ISNUMBER(N260),EDATE(N260,12),"Falta fecha")))</f>
        <v/>
      </c>
      <c r="AD260" s="26" t="str">
        <f aca="false">IF(A260="","",MID(IF(P260&lt;&gt;"Sí"," · Expediente incompleto","")&amp;IF(OR(Q260="",Q260="Pendiente")," · Falta el Beneficiario Controlador","")&amp;IF(M260=""," · Sin perfil transaccional","")&amp;IF(AND(ISNUMBER(AB260),AB260&lt;CONFIG!$B$6)," · Evaluación de riesgo vencida","")&amp;IF(AND(ISNUMBER(AC260),AC260&lt;CONFIG!$B$6)," · Verificación anual vencida","")&amp;IF(AND(ISNUMBER(R260),ISNUMBER(S260),S260-R260&gt;92)," · Comprobante de domicilio con más de 3 meses","")&amp;IF(AND(T260&lt;&gt;"",U260="")," · Ajuste del REC sin justificación",""),4,400))</f>
        <v/>
      </c>
      <c r="AE260" s="9" t="str">
        <f aca="false">IF(A260="","",IF(AD260="","Al día","Revisar"))</f>
        <v/>
      </c>
      <c r="AF260" s="9" t="str">
        <f aca="false">IF(A260="","",COUNTIF(OPERACIONES!$C$6:$C$505,A260)&amp;" / $"&amp;FIXED(SUMIF(OPERACIONES!$C$6:$C$505,A260,OPERACIONES!$E$6:$E$505),0))</f>
        <v/>
      </c>
    </row>
    <row r="261" customFormat="false" ht="15" hidden="false" customHeight="false" outlineLevel="0" collapsed="false">
      <c r="A261" s="21"/>
      <c r="B261" s="21"/>
      <c r="C261" s="21"/>
      <c r="D261" s="21"/>
      <c r="E261" s="21"/>
      <c r="F261" s="21"/>
      <c r="G261" s="21"/>
      <c r="H261" s="21"/>
      <c r="I261" s="21"/>
      <c r="J261" s="21"/>
      <c r="K261" s="21"/>
      <c r="L261" s="21"/>
      <c r="M261" s="22"/>
      <c r="N261" s="20"/>
      <c r="O261" s="20"/>
      <c r="P261" s="21"/>
      <c r="Q261" s="21"/>
      <c r="R261" s="20"/>
      <c r="S261" s="20"/>
      <c r="T261" s="21"/>
      <c r="U261" s="21"/>
      <c r="V261" s="9" t="str">
        <f aca="false">IF(A261="","",SUMIFS(CONFIG!$F$5:$F$26,CONFIG!$D$5:$D$26,"Tipo de persona",CONFIG!$E$5:$E$26,C261)+SUMIFS(CONFIG!$F$5:$F$26,CONFIG!$D$5:$D$26,"Residencia",CONFIG!$E$5:$E$26,E261)+SUMIFS(CONFIG!$F$5:$F$26,CONFIG!$D$5:$D$26,"Nacionalidad",CONFIG!$E$5:$E$26,F261)+SUMIFS(CONFIG!$F$5:$F$26,CONFIG!$D$5:$D$26,"Jurisdicción de riesgo",CONFIG!$E$5:$E$26,G261)+SUMIFS(CONFIG!$F$5:$F$26,CONFIG!$D$5:$D$26,"PEP",CONFIG!$E$5:$E$26,H261)+SUMIFS(CONFIG!$F$5:$F$26,CONFIG!$D$5:$D$26,"En listas",CONFIG!$E$5:$E$26,I261)+SUMIFS(CONFIG!$F$5:$F$26,CONFIG!$D$5:$D$26,"Riesgo de su actividad económica",CONFIG!$E$5:$E$26,J261)+SUMIFS(CONFIG!$F$5:$F$26,CONFIG!$D$5:$D$26,"Canal",CONFIG!$E$5:$E$26,K261)+SUMIFS(CONFIG!$F$5:$F$26,CONFIG!$D$5:$D$26,"Origen de recursos documentado",CONFIG!$E$5:$E$26,L261))</f>
        <v/>
      </c>
      <c r="W261" s="9" t="str">
        <f aca="false">IF(A261="","",IF(SUMIF(OPERACIONES!$C$6:$C$505,A261,OPERACIONES!$E$6:$E$505)&gt;0,IF(SUMIF(OPERACIONES!$C$6:$C$505,A261,OPERACIONES!$F$6:$F$505)/SUMIF(OPERACIONES!$C$6:$C$505,A261,OPERACIONES!$E$6:$E$505)&gt;0.5,CONFIG!$B$20,IF(SUMIF(OPERACIONES!$C$6:$C$505,A261,OPERACIONES!$F$6:$F$505)&gt;0,CONFIG!$B$21,0)),0)+IF(COUNTIFS(OPERACIONES!$C$6:$C$505,A261,OPERACIONES!$AQ$6:$AQ$505,1)&gt;0,CONFIG!$B$22,0)+IF(COUNTIFS(OPERACIONES!$C$6:$C$505,A261,OPERACIONES!$H$6:$H$505,"Sí")&gt;0,CONFIG!$B$23,0))</f>
        <v/>
      </c>
      <c r="X261" s="9" t="str">
        <f aca="false">IF(A261="","",V261+W261)</f>
        <v/>
      </c>
      <c r="Y261" s="9" t="str">
        <f aca="false">IF(A261="","",IF(X261&lt;=CONFIG!$B$13,"Bajo",IF(X261&lt;=CONFIG!$B$14,"Medio","Alto")))</f>
        <v/>
      </c>
      <c r="Z261" s="25" t="str">
        <f aca="false">IF(A261="","",IF(OR(H261="Extranjera",AND(E261="No residente",G261="Sí"),I261="Sí"),"Alto",IF(T261&lt;&gt;"",T261,Y261)))</f>
        <v/>
      </c>
      <c r="AA261" s="26" t="str">
        <f aca="false">IF(A261="","",IF(H261="Extranjera","Alto obligatorio: PEP extranjera (RCG 23 Bis 4)",IF(AND(E261="No residente",G261="Sí"),"Alto obligatorio: no residente vinculado a jurisdicción de riesgo (RCG 23 Bis 4)",IF(I261="Sí","Alto por criterio: persona en listas. Evalúa no operar y Aviso de 24 h",IF(T261&lt;&gt;"","Ajuste del REC: "&amp;U261,"Modelo: "&amp;X261&amp;" puntos")))))</f>
        <v/>
      </c>
      <c r="AB261" s="23" t="str">
        <f aca="false">IF(A261="","",IF(COUNT(N261,O261)=0,"Falta fecha",EDATE(MAX(N261,O261),IF(Z261="Alto",CONFIG!$B$18,IF(Z261="Medio",CONFIG!$B$17,CONFIG!$B$16)))))</f>
        <v/>
      </c>
      <c r="AC261" s="23" t="str">
        <f aca="false">IF(A261="","",IF(ISNUMBER(S261),EDATE(S261,12),IF(ISNUMBER(N261),EDATE(N261,12),"Falta fecha")))</f>
        <v/>
      </c>
      <c r="AD261" s="26" t="str">
        <f aca="false">IF(A261="","",MID(IF(P261&lt;&gt;"Sí"," · Expediente incompleto","")&amp;IF(OR(Q261="",Q261="Pendiente")," · Falta el Beneficiario Controlador","")&amp;IF(M261=""," · Sin perfil transaccional","")&amp;IF(AND(ISNUMBER(AB261),AB261&lt;CONFIG!$B$6)," · Evaluación de riesgo vencida","")&amp;IF(AND(ISNUMBER(AC261),AC261&lt;CONFIG!$B$6)," · Verificación anual vencida","")&amp;IF(AND(ISNUMBER(R261),ISNUMBER(S261),S261-R261&gt;92)," · Comprobante de domicilio con más de 3 meses","")&amp;IF(AND(T261&lt;&gt;"",U261="")," · Ajuste del REC sin justificación",""),4,400))</f>
        <v/>
      </c>
      <c r="AE261" s="9" t="str">
        <f aca="false">IF(A261="","",IF(AD261="","Al día","Revisar"))</f>
        <v/>
      </c>
      <c r="AF261" s="9" t="str">
        <f aca="false">IF(A261="","",COUNTIF(OPERACIONES!$C$6:$C$505,A261)&amp;" / $"&amp;FIXED(SUMIF(OPERACIONES!$C$6:$C$505,A261,OPERACIONES!$E$6:$E$505),0))</f>
        <v/>
      </c>
    </row>
    <row r="262" customFormat="false" ht="15" hidden="false" customHeight="false" outlineLevel="0" collapsed="false">
      <c r="A262" s="21"/>
      <c r="B262" s="21"/>
      <c r="C262" s="21"/>
      <c r="D262" s="21"/>
      <c r="E262" s="21"/>
      <c r="F262" s="21"/>
      <c r="G262" s="21"/>
      <c r="H262" s="21"/>
      <c r="I262" s="21"/>
      <c r="J262" s="21"/>
      <c r="K262" s="21"/>
      <c r="L262" s="21"/>
      <c r="M262" s="22"/>
      <c r="N262" s="20"/>
      <c r="O262" s="20"/>
      <c r="P262" s="21"/>
      <c r="Q262" s="21"/>
      <c r="R262" s="20"/>
      <c r="S262" s="20"/>
      <c r="T262" s="21"/>
      <c r="U262" s="21"/>
      <c r="V262" s="9" t="str">
        <f aca="false">IF(A262="","",SUMIFS(CONFIG!$F$5:$F$26,CONFIG!$D$5:$D$26,"Tipo de persona",CONFIG!$E$5:$E$26,C262)+SUMIFS(CONFIG!$F$5:$F$26,CONFIG!$D$5:$D$26,"Residencia",CONFIG!$E$5:$E$26,E262)+SUMIFS(CONFIG!$F$5:$F$26,CONFIG!$D$5:$D$26,"Nacionalidad",CONFIG!$E$5:$E$26,F262)+SUMIFS(CONFIG!$F$5:$F$26,CONFIG!$D$5:$D$26,"Jurisdicción de riesgo",CONFIG!$E$5:$E$26,G262)+SUMIFS(CONFIG!$F$5:$F$26,CONFIG!$D$5:$D$26,"PEP",CONFIG!$E$5:$E$26,H262)+SUMIFS(CONFIG!$F$5:$F$26,CONFIG!$D$5:$D$26,"En listas",CONFIG!$E$5:$E$26,I262)+SUMIFS(CONFIG!$F$5:$F$26,CONFIG!$D$5:$D$26,"Riesgo de su actividad económica",CONFIG!$E$5:$E$26,J262)+SUMIFS(CONFIG!$F$5:$F$26,CONFIG!$D$5:$D$26,"Canal",CONFIG!$E$5:$E$26,K262)+SUMIFS(CONFIG!$F$5:$F$26,CONFIG!$D$5:$D$26,"Origen de recursos documentado",CONFIG!$E$5:$E$26,L262))</f>
        <v/>
      </c>
      <c r="W262" s="9" t="str">
        <f aca="false">IF(A262="","",IF(SUMIF(OPERACIONES!$C$6:$C$505,A262,OPERACIONES!$E$6:$E$505)&gt;0,IF(SUMIF(OPERACIONES!$C$6:$C$505,A262,OPERACIONES!$F$6:$F$505)/SUMIF(OPERACIONES!$C$6:$C$505,A262,OPERACIONES!$E$6:$E$505)&gt;0.5,CONFIG!$B$20,IF(SUMIF(OPERACIONES!$C$6:$C$505,A262,OPERACIONES!$F$6:$F$505)&gt;0,CONFIG!$B$21,0)),0)+IF(COUNTIFS(OPERACIONES!$C$6:$C$505,A262,OPERACIONES!$AQ$6:$AQ$505,1)&gt;0,CONFIG!$B$22,0)+IF(COUNTIFS(OPERACIONES!$C$6:$C$505,A262,OPERACIONES!$H$6:$H$505,"Sí")&gt;0,CONFIG!$B$23,0))</f>
        <v/>
      </c>
      <c r="X262" s="9" t="str">
        <f aca="false">IF(A262="","",V262+W262)</f>
        <v/>
      </c>
      <c r="Y262" s="9" t="str">
        <f aca="false">IF(A262="","",IF(X262&lt;=CONFIG!$B$13,"Bajo",IF(X262&lt;=CONFIG!$B$14,"Medio","Alto")))</f>
        <v/>
      </c>
      <c r="Z262" s="25" t="str">
        <f aca="false">IF(A262="","",IF(OR(H262="Extranjera",AND(E262="No residente",G262="Sí"),I262="Sí"),"Alto",IF(T262&lt;&gt;"",T262,Y262)))</f>
        <v/>
      </c>
      <c r="AA262" s="26" t="str">
        <f aca="false">IF(A262="","",IF(H262="Extranjera","Alto obligatorio: PEP extranjera (RCG 23 Bis 4)",IF(AND(E262="No residente",G262="Sí"),"Alto obligatorio: no residente vinculado a jurisdicción de riesgo (RCG 23 Bis 4)",IF(I262="Sí","Alto por criterio: persona en listas. Evalúa no operar y Aviso de 24 h",IF(T262&lt;&gt;"","Ajuste del REC: "&amp;U262,"Modelo: "&amp;X262&amp;" puntos")))))</f>
        <v/>
      </c>
      <c r="AB262" s="23" t="str">
        <f aca="false">IF(A262="","",IF(COUNT(N262,O262)=0,"Falta fecha",EDATE(MAX(N262,O262),IF(Z262="Alto",CONFIG!$B$18,IF(Z262="Medio",CONFIG!$B$17,CONFIG!$B$16)))))</f>
        <v/>
      </c>
      <c r="AC262" s="23" t="str">
        <f aca="false">IF(A262="","",IF(ISNUMBER(S262),EDATE(S262,12),IF(ISNUMBER(N262),EDATE(N262,12),"Falta fecha")))</f>
        <v/>
      </c>
      <c r="AD262" s="26" t="str">
        <f aca="false">IF(A262="","",MID(IF(P262&lt;&gt;"Sí"," · Expediente incompleto","")&amp;IF(OR(Q262="",Q262="Pendiente")," · Falta el Beneficiario Controlador","")&amp;IF(M262=""," · Sin perfil transaccional","")&amp;IF(AND(ISNUMBER(AB262),AB262&lt;CONFIG!$B$6)," · Evaluación de riesgo vencida","")&amp;IF(AND(ISNUMBER(AC262),AC262&lt;CONFIG!$B$6)," · Verificación anual vencida","")&amp;IF(AND(ISNUMBER(R262),ISNUMBER(S262),S262-R262&gt;92)," · Comprobante de domicilio con más de 3 meses","")&amp;IF(AND(T262&lt;&gt;"",U262="")," · Ajuste del REC sin justificación",""),4,400))</f>
        <v/>
      </c>
      <c r="AE262" s="9" t="str">
        <f aca="false">IF(A262="","",IF(AD262="","Al día","Revisar"))</f>
        <v/>
      </c>
      <c r="AF262" s="9" t="str">
        <f aca="false">IF(A262="","",COUNTIF(OPERACIONES!$C$6:$C$505,A262)&amp;" / $"&amp;FIXED(SUMIF(OPERACIONES!$C$6:$C$505,A262,OPERACIONES!$E$6:$E$505),0))</f>
        <v/>
      </c>
    </row>
    <row r="263" customFormat="false" ht="15" hidden="false" customHeight="false" outlineLevel="0" collapsed="false">
      <c r="A263" s="21"/>
      <c r="B263" s="21"/>
      <c r="C263" s="21"/>
      <c r="D263" s="21"/>
      <c r="E263" s="21"/>
      <c r="F263" s="21"/>
      <c r="G263" s="21"/>
      <c r="H263" s="21"/>
      <c r="I263" s="21"/>
      <c r="J263" s="21"/>
      <c r="K263" s="21"/>
      <c r="L263" s="21"/>
      <c r="M263" s="22"/>
      <c r="N263" s="20"/>
      <c r="O263" s="20"/>
      <c r="P263" s="21"/>
      <c r="Q263" s="21"/>
      <c r="R263" s="20"/>
      <c r="S263" s="20"/>
      <c r="T263" s="21"/>
      <c r="U263" s="21"/>
      <c r="V263" s="9" t="str">
        <f aca="false">IF(A263="","",SUMIFS(CONFIG!$F$5:$F$26,CONFIG!$D$5:$D$26,"Tipo de persona",CONFIG!$E$5:$E$26,C263)+SUMIFS(CONFIG!$F$5:$F$26,CONFIG!$D$5:$D$26,"Residencia",CONFIG!$E$5:$E$26,E263)+SUMIFS(CONFIG!$F$5:$F$26,CONFIG!$D$5:$D$26,"Nacionalidad",CONFIG!$E$5:$E$26,F263)+SUMIFS(CONFIG!$F$5:$F$26,CONFIG!$D$5:$D$26,"Jurisdicción de riesgo",CONFIG!$E$5:$E$26,G263)+SUMIFS(CONFIG!$F$5:$F$26,CONFIG!$D$5:$D$26,"PEP",CONFIG!$E$5:$E$26,H263)+SUMIFS(CONFIG!$F$5:$F$26,CONFIG!$D$5:$D$26,"En listas",CONFIG!$E$5:$E$26,I263)+SUMIFS(CONFIG!$F$5:$F$26,CONFIG!$D$5:$D$26,"Riesgo de su actividad económica",CONFIG!$E$5:$E$26,J263)+SUMIFS(CONFIG!$F$5:$F$26,CONFIG!$D$5:$D$26,"Canal",CONFIG!$E$5:$E$26,K263)+SUMIFS(CONFIG!$F$5:$F$26,CONFIG!$D$5:$D$26,"Origen de recursos documentado",CONFIG!$E$5:$E$26,L263))</f>
        <v/>
      </c>
      <c r="W263" s="9" t="str">
        <f aca="false">IF(A263="","",IF(SUMIF(OPERACIONES!$C$6:$C$505,A263,OPERACIONES!$E$6:$E$505)&gt;0,IF(SUMIF(OPERACIONES!$C$6:$C$505,A263,OPERACIONES!$F$6:$F$505)/SUMIF(OPERACIONES!$C$6:$C$505,A263,OPERACIONES!$E$6:$E$505)&gt;0.5,CONFIG!$B$20,IF(SUMIF(OPERACIONES!$C$6:$C$505,A263,OPERACIONES!$F$6:$F$505)&gt;0,CONFIG!$B$21,0)),0)+IF(COUNTIFS(OPERACIONES!$C$6:$C$505,A263,OPERACIONES!$AQ$6:$AQ$505,1)&gt;0,CONFIG!$B$22,0)+IF(COUNTIFS(OPERACIONES!$C$6:$C$505,A263,OPERACIONES!$H$6:$H$505,"Sí")&gt;0,CONFIG!$B$23,0))</f>
        <v/>
      </c>
      <c r="X263" s="9" t="str">
        <f aca="false">IF(A263="","",V263+W263)</f>
        <v/>
      </c>
      <c r="Y263" s="9" t="str">
        <f aca="false">IF(A263="","",IF(X263&lt;=CONFIG!$B$13,"Bajo",IF(X263&lt;=CONFIG!$B$14,"Medio","Alto")))</f>
        <v/>
      </c>
      <c r="Z263" s="25" t="str">
        <f aca="false">IF(A263="","",IF(OR(H263="Extranjera",AND(E263="No residente",G263="Sí"),I263="Sí"),"Alto",IF(T263&lt;&gt;"",T263,Y263)))</f>
        <v/>
      </c>
      <c r="AA263" s="26" t="str">
        <f aca="false">IF(A263="","",IF(H263="Extranjera","Alto obligatorio: PEP extranjera (RCG 23 Bis 4)",IF(AND(E263="No residente",G263="Sí"),"Alto obligatorio: no residente vinculado a jurisdicción de riesgo (RCG 23 Bis 4)",IF(I263="Sí","Alto por criterio: persona en listas. Evalúa no operar y Aviso de 24 h",IF(T263&lt;&gt;"","Ajuste del REC: "&amp;U263,"Modelo: "&amp;X263&amp;" puntos")))))</f>
        <v/>
      </c>
      <c r="AB263" s="23" t="str">
        <f aca="false">IF(A263="","",IF(COUNT(N263,O263)=0,"Falta fecha",EDATE(MAX(N263,O263),IF(Z263="Alto",CONFIG!$B$18,IF(Z263="Medio",CONFIG!$B$17,CONFIG!$B$16)))))</f>
        <v/>
      </c>
      <c r="AC263" s="23" t="str">
        <f aca="false">IF(A263="","",IF(ISNUMBER(S263),EDATE(S263,12),IF(ISNUMBER(N263),EDATE(N263,12),"Falta fecha")))</f>
        <v/>
      </c>
      <c r="AD263" s="26" t="str">
        <f aca="false">IF(A263="","",MID(IF(P263&lt;&gt;"Sí"," · Expediente incompleto","")&amp;IF(OR(Q263="",Q263="Pendiente")," · Falta el Beneficiario Controlador","")&amp;IF(M263=""," · Sin perfil transaccional","")&amp;IF(AND(ISNUMBER(AB263),AB263&lt;CONFIG!$B$6)," · Evaluación de riesgo vencida","")&amp;IF(AND(ISNUMBER(AC263),AC263&lt;CONFIG!$B$6)," · Verificación anual vencida","")&amp;IF(AND(ISNUMBER(R263),ISNUMBER(S263),S263-R263&gt;92)," · Comprobante de domicilio con más de 3 meses","")&amp;IF(AND(T263&lt;&gt;"",U263="")," · Ajuste del REC sin justificación",""),4,400))</f>
        <v/>
      </c>
      <c r="AE263" s="9" t="str">
        <f aca="false">IF(A263="","",IF(AD263="","Al día","Revisar"))</f>
        <v/>
      </c>
      <c r="AF263" s="9" t="str">
        <f aca="false">IF(A263="","",COUNTIF(OPERACIONES!$C$6:$C$505,A263)&amp;" / $"&amp;FIXED(SUMIF(OPERACIONES!$C$6:$C$505,A263,OPERACIONES!$E$6:$E$505),0))</f>
        <v/>
      </c>
    </row>
    <row r="264" customFormat="false" ht="15" hidden="false" customHeight="false" outlineLevel="0" collapsed="false">
      <c r="A264" s="21"/>
      <c r="B264" s="21"/>
      <c r="C264" s="21"/>
      <c r="D264" s="21"/>
      <c r="E264" s="21"/>
      <c r="F264" s="21"/>
      <c r="G264" s="21"/>
      <c r="H264" s="21"/>
      <c r="I264" s="21"/>
      <c r="J264" s="21"/>
      <c r="K264" s="21"/>
      <c r="L264" s="21"/>
      <c r="M264" s="22"/>
      <c r="N264" s="20"/>
      <c r="O264" s="20"/>
      <c r="P264" s="21"/>
      <c r="Q264" s="21"/>
      <c r="R264" s="20"/>
      <c r="S264" s="20"/>
      <c r="T264" s="21"/>
      <c r="U264" s="21"/>
      <c r="V264" s="9" t="str">
        <f aca="false">IF(A264="","",SUMIFS(CONFIG!$F$5:$F$26,CONFIG!$D$5:$D$26,"Tipo de persona",CONFIG!$E$5:$E$26,C264)+SUMIFS(CONFIG!$F$5:$F$26,CONFIG!$D$5:$D$26,"Residencia",CONFIG!$E$5:$E$26,E264)+SUMIFS(CONFIG!$F$5:$F$26,CONFIG!$D$5:$D$26,"Nacionalidad",CONFIG!$E$5:$E$26,F264)+SUMIFS(CONFIG!$F$5:$F$26,CONFIG!$D$5:$D$26,"Jurisdicción de riesgo",CONFIG!$E$5:$E$26,G264)+SUMIFS(CONFIG!$F$5:$F$26,CONFIG!$D$5:$D$26,"PEP",CONFIG!$E$5:$E$26,H264)+SUMIFS(CONFIG!$F$5:$F$26,CONFIG!$D$5:$D$26,"En listas",CONFIG!$E$5:$E$26,I264)+SUMIFS(CONFIG!$F$5:$F$26,CONFIG!$D$5:$D$26,"Riesgo de su actividad económica",CONFIG!$E$5:$E$26,J264)+SUMIFS(CONFIG!$F$5:$F$26,CONFIG!$D$5:$D$26,"Canal",CONFIG!$E$5:$E$26,K264)+SUMIFS(CONFIG!$F$5:$F$26,CONFIG!$D$5:$D$26,"Origen de recursos documentado",CONFIG!$E$5:$E$26,L264))</f>
        <v/>
      </c>
      <c r="W264" s="9" t="str">
        <f aca="false">IF(A264="","",IF(SUMIF(OPERACIONES!$C$6:$C$505,A264,OPERACIONES!$E$6:$E$505)&gt;0,IF(SUMIF(OPERACIONES!$C$6:$C$505,A264,OPERACIONES!$F$6:$F$505)/SUMIF(OPERACIONES!$C$6:$C$505,A264,OPERACIONES!$E$6:$E$505)&gt;0.5,CONFIG!$B$20,IF(SUMIF(OPERACIONES!$C$6:$C$505,A264,OPERACIONES!$F$6:$F$505)&gt;0,CONFIG!$B$21,0)),0)+IF(COUNTIFS(OPERACIONES!$C$6:$C$505,A264,OPERACIONES!$AQ$6:$AQ$505,1)&gt;0,CONFIG!$B$22,0)+IF(COUNTIFS(OPERACIONES!$C$6:$C$505,A264,OPERACIONES!$H$6:$H$505,"Sí")&gt;0,CONFIG!$B$23,0))</f>
        <v/>
      </c>
      <c r="X264" s="9" t="str">
        <f aca="false">IF(A264="","",V264+W264)</f>
        <v/>
      </c>
      <c r="Y264" s="9" t="str">
        <f aca="false">IF(A264="","",IF(X264&lt;=CONFIG!$B$13,"Bajo",IF(X264&lt;=CONFIG!$B$14,"Medio","Alto")))</f>
        <v/>
      </c>
      <c r="Z264" s="25" t="str">
        <f aca="false">IF(A264="","",IF(OR(H264="Extranjera",AND(E264="No residente",G264="Sí"),I264="Sí"),"Alto",IF(T264&lt;&gt;"",T264,Y264)))</f>
        <v/>
      </c>
      <c r="AA264" s="26" t="str">
        <f aca="false">IF(A264="","",IF(H264="Extranjera","Alto obligatorio: PEP extranjera (RCG 23 Bis 4)",IF(AND(E264="No residente",G264="Sí"),"Alto obligatorio: no residente vinculado a jurisdicción de riesgo (RCG 23 Bis 4)",IF(I264="Sí","Alto por criterio: persona en listas. Evalúa no operar y Aviso de 24 h",IF(T264&lt;&gt;"","Ajuste del REC: "&amp;U264,"Modelo: "&amp;X264&amp;" puntos")))))</f>
        <v/>
      </c>
      <c r="AB264" s="23" t="str">
        <f aca="false">IF(A264="","",IF(COUNT(N264,O264)=0,"Falta fecha",EDATE(MAX(N264,O264),IF(Z264="Alto",CONFIG!$B$18,IF(Z264="Medio",CONFIG!$B$17,CONFIG!$B$16)))))</f>
        <v/>
      </c>
      <c r="AC264" s="23" t="str">
        <f aca="false">IF(A264="","",IF(ISNUMBER(S264),EDATE(S264,12),IF(ISNUMBER(N264),EDATE(N264,12),"Falta fecha")))</f>
        <v/>
      </c>
      <c r="AD264" s="26" t="str">
        <f aca="false">IF(A264="","",MID(IF(P264&lt;&gt;"Sí"," · Expediente incompleto","")&amp;IF(OR(Q264="",Q264="Pendiente")," · Falta el Beneficiario Controlador","")&amp;IF(M264=""," · Sin perfil transaccional","")&amp;IF(AND(ISNUMBER(AB264),AB264&lt;CONFIG!$B$6)," · Evaluación de riesgo vencida","")&amp;IF(AND(ISNUMBER(AC264),AC264&lt;CONFIG!$B$6)," · Verificación anual vencida","")&amp;IF(AND(ISNUMBER(R264),ISNUMBER(S264),S264-R264&gt;92)," · Comprobante de domicilio con más de 3 meses","")&amp;IF(AND(T264&lt;&gt;"",U264="")," · Ajuste del REC sin justificación",""),4,400))</f>
        <v/>
      </c>
      <c r="AE264" s="9" t="str">
        <f aca="false">IF(A264="","",IF(AD264="","Al día","Revisar"))</f>
        <v/>
      </c>
      <c r="AF264" s="9" t="str">
        <f aca="false">IF(A264="","",COUNTIF(OPERACIONES!$C$6:$C$505,A264)&amp;" / $"&amp;FIXED(SUMIF(OPERACIONES!$C$6:$C$505,A264,OPERACIONES!$E$6:$E$505),0))</f>
        <v/>
      </c>
    </row>
    <row r="265" customFormat="false" ht="15" hidden="false" customHeight="false" outlineLevel="0" collapsed="false">
      <c r="A265" s="21"/>
      <c r="B265" s="21"/>
      <c r="C265" s="21"/>
      <c r="D265" s="21"/>
      <c r="E265" s="21"/>
      <c r="F265" s="21"/>
      <c r="G265" s="21"/>
      <c r="H265" s="21"/>
      <c r="I265" s="21"/>
      <c r="J265" s="21"/>
      <c r="K265" s="21"/>
      <c r="L265" s="21"/>
      <c r="M265" s="22"/>
      <c r="N265" s="20"/>
      <c r="O265" s="20"/>
      <c r="P265" s="21"/>
      <c r="Q265" s="21"/>
      <c r="R265" s="20"/>
      <c r="S265" s="20"/>
      <c r="T265" s="21"/>
      <c r="U265" s="21"/>
      <c r="V265" s="9" t="str">
        <f aca="false">IF(A265="","",SUMIFS(CONFIG!$F$5:$F$26,CONFIG!$D$5:$D$26,"Tipo de persona",CONFIG!$E$5:$E$26,C265)+SUMIFS(CONFIG!$F$5:$F$26,CONFIG!$D$5:$D$26,"Residencia",CONFIG!$E$5:$E$26,E265)+SUMIFS(CONFIG!$F$5:$F$26,CONFIG!$D$5:$D$26,"Nacionalidad",CONFIG!$E$5:$E$26,F265)+SUMIFS(CONFIG!$F$5:$F$26,CONFIG!$D$5:$D$26,"Jurisdicción de riesgo",CONFIG!$E$5:$E$26,G265)+SUMIFS(CONFIG!$F$5:$F$26,CONFIG!$D$5:$D$26,"PEP",CONFIG!$E$5:$E$26,H265)+SUMIFS(CONFIG!$F$5:$F$26,CONFIG!$D$5:$D$26,"En listas",CONFIG!$E$5:$E$26,I265)+SUMIFS(CONFIG!$F$5:$F$26,CONFIG!$D$5:$D$26,"Riesgo de su actividad económica",CONFIG!$E$5:$E$26,J265)+SUMIFS(CONFIG!$F$5:$F$26,CONFIG!$D$5:$D$26,"Canal",CONFIG!$E$5:$E$26,K265)+SUMIFS(CONFIG!$F$5:$F$26,CONFIG!$D$5:$D$26,"Origen de recursos documentado",CONFIG!$E$5:$E$26,L265))</f>
        <v/>
      </c>
      <c r="W265" s="9" t="str">
        <f aca="false">IF(A265="","",IF(SUMIF(OPERACIONES!$C$6:$C$505,A265,OPERACIONES!$E$6:$E$505)&gt;0,IF(SUMIF(OPERACIONES!$C$6:$C$505,A265,OPERACIONES!$F$6:$F$505)/SUMIF(OPERACIONES!$C$6:$C$505,A265,OPERACIONES!$E$6:$E$505)&gt;0.5,CONFIG!$B$20,IF(SUMIF(OPERACIONES!$C$6:$C$505,A265,OPERACIONES!$F$6:$F$505)&gt;0,CONFIG!$B$21,0)),0)+IF(COUNTIFS(OPERACIONES!$C$6:$C$505,A265,OPERACIONES!$AQ$6:$AQ$505,1)&gt;0,CONFIG!$B$22,0)+IF(COUNTIFS(OPERACIONES!$C$6:$C$505,A265,OPERACIONES!$H$6:$H$505,"Sí")&gt;0,CONFIG!$B$23,0))</f>
        <v/>
      </c>
      <c r="X265" s="9" t="str">
        <f aca="false">IF(A265="","",V265+W265)</f>
        <v/>
      </c>
      <c r="Y265" s="9" t="str">
        <f aca="false">IF(A265="","",IF(X265&lt;=CONFIG!$B$13,"Bajo",IF(X265&lt;=CONFIG!$B$14,"Medio","Alto")))</f>
        <v/>
      </c>
      <c r="Z265" s="25" t="str">
        <f aca="false">IF(A265="","",IF(OR(H265="Extranjera",AND(E265="No residente",G265="Sí"),I265="Sí"),"Alto",IF(T265&lt;&gt;"",T265,Y265)))</f>
        <v/>
      </c>
      <c r="AA265" s="26" t="str">
        <f aca="false">IF(A265="","",IF(H265="Extranjera","Alto obligatorio: PEP extranjera (RCG 23 Bis 4)",IF(AND(E265="No residente",G265="Sí"),"Alto obligatorio: no residente vinculado a jurisdicción de riesgo (RCG 23 Bis 4)",IF(I265="Sí","Alto por criterio: persona en listas. Evalúa no operar y Aviso de 24 h",IF(T265&lt;&gt;"","Ajuste del REC: "&amp;U265,"Modelo: "&amp;X265&amp;" puntos")))))</f>
        <v/>
      </c>
      <c r="AB265" s="23" t="str">
        <f aca="false">IF(A265="","",IF(COUNT(N265,O265)=0,"Falta fecha",EDATE(MAX(N265,O265),IF(Z265="Alto",CONFIG!$B$18,IF(Z265="Medio",CONFIG!$B$17,CONFIG!$B$16)))))</f>
        <v/>
      </c>
      <c r="AC265" s="23" t="str">
        <f aca="false">IF(A265="","",IF(ISNUMBER(S265),EDATE(S265,12),IF(ISNUMBER(N265),EDATE(N265,12),"Falta fecha")))</f>
        <v/>
      </c>
      <c r="AD265" s="26" t="str">
        <f aca="false">IF(A265="","",MID(IF(P265&lt;&gt;"Sí"," · Expediente incompleto","")&amp;IF(OR(Q265="",Q265="Pendiente")," · Falta el Beneficiario Controlador","")&amp;IF(M265=""," · Sin perfil transaccional","")&amp;IF(AND(ISNUMBER(AB265),AB265&lt;CONFIG!$B$6)," · Evaluación de riesgo vencida","")&amp;IF(AND(ISNUMBER(AC265),AC265&lt;CONFIG!$B$6)," · Verificación anual vencida","")&amp;IF(AND(ISNUMBER(R265),ISNUMBER(S265),S265-R265&gt;92)," · Comprobante de domicilio con más de 3 meses","")&amp;IF(AND(T265&lt;&gt;"",U265="")," · Ajuste del REC sin justificación",""),4,400))</f>
        <v/>
      </c>
      <c r="AE265" s="9" t="str">
        <f aca="false">IF(A265="","",IF(AD265="","Al día","Revisar"))</f>
        <v/>
      </c>
      <c r="AF265" s="9" t="str">
        <f aca="false">IF(A265="","",COUNTIF(OPERACIONES!$C$6:$C$505,A265)&amp;" / $"&amp;FIXED(SUMIF(OPERACIONES!$C$6:$C$505,A265,OPERACIONES!$E$6:$E$505),0))</f>
        <v/>
      </c>
    </row>
    <row r="266" customFormat="false" ht="15" hidden="false" customHeight="false" outlineLevel="0" collapsed="false">
      <c r="A266" s="21"/>
      <c r="B266" s="21"/>
      <c r="C266" s="21"/>
      <c r="D266" s="21"/>
      <c r="E266" s="21"/>
      <c r="F266" s="21"/>
      <c r="G266" s="21"/>
      <c r="H266" s="21"/>
      <c r="I266" s="21"/>
      <c r="J266" s="21"/>
      <c r="K266" s="21"/>
      <c r="L266" s="21"/>
      <c r="M266" s="22"/>
      <c r="N266" s="20"/>
      <c r="O266" s="20"/>
      <c r="P266" s="21"/>
      <c r="Q266" s="21"/>
      <c r="R266" s="20"/>
      <c r="S266" s="20"/>
      <c r="T266" s="21"/>
      <c r="U266" s="21"/>
      <c r="V266" s="9" t="str">
        <f aca="false">IF(A266="","",SUMIFS(CONFIG!$F$5:$F$26,CONFIG!$D$5:$D$26,"Tipo de persona",CONFIG!$E$5:$E$26,C266)+SUMIFS(CONFIG!$F$5:$F$26,CONFIG!$D$5:$D$26,"Residencia",CONFIG!$E$5:$E$26,E266)+SUMIFS(CONFIG!$F$5:$F$26,CONFIG!$D$5:$D$26,"Nacionalidad",CONFIG!$E$5:$E$26,F266)+SUMIFS(CONFIG!$F$5:$F$26,CONFIG!$D$5:$D$26,"Jurisdicción de riesgo",CONFIG!$E$5:$E$26,G266)+SUMIFS(CONFIG!$F$5:$F$26,CONFIG!$D$5:$D$26,"PEP",CONFIG!$E$5:$E$26,H266)+SUMIFS(CONFIG!$F$5:$F$26,CONFIG!$D$5:$D$26,"En listas",CONFIG!$E$5:$E$26,I266)+SUMIFS(CONFIG!$F$5:$F$26,CONFIG!$D$5:$D$26,"Riesgo de su actividad económica",CONFIG!$E$5:$E$26,J266)+SUMIFS(CONFIG!$F$5:$F$26,CONFIG!$D$5:$D$26,"Canal",CONFIG!$E$5:$E$26,K266)+SUMIFS(CONFIG!$F$5:$F$26,CONFIG!$D$5:$D$26,"Origen de recursos documentado",CONFIG!$E$5:$E$26,L266))</f>
        <v/>
      </c>
      <c r="W266" s="9" t="str">
        <f aca="false">IF(A266="","",IF(SUMIF(OPERACIONES!$C$6:$C$505,A266,OPERACIONES!$E$6:$E$505)&gt;0,IF(SUMIF(OPERACIONES!$C$6:$C$505,A266,OPERACIONES!$F$6:$F$505)/SUMIF(OPERACIONES!$C$6:$C$505,A266,OPERACIONES!$E$6:$E$505)&gt;0.5,CONFIG!$B$20,IF(SUMIF(OPERACIONES!$C$6:$C$505,A266,OPERACIONES!$F$6:$F$505)&gt;0,CONFIG!$B$21,0)),0)+IF(COUNTIFS(OPERACIONES!$C$6:$C$505,A266,OPERACIONES!$AQ$6:$AQ$505,1)&gt;0,CONFIG!$B$22,0)+IF(COUNTIFS(OPERACIONES!$C$6:$C$505,A266,OPERACIONES!$H$6:$H$505,"Sí")&gt;0,CONFIG!$B$23,0))</f>
        <v/>
      </c>
      <c r="X266" s="9" t="str">
        <f aca="false">IF(A266="","",V266+W266)</f>
        <v/>
      </c>
      <c r="Y266" s="9" t="str">
        <f aca="false">IF(A266="","",IF(X266&lt;=CONFIG!$B$13,"Bajo",IF(X266&lt;=CONFIG!$B$14,"Medio","Alto")))</f>
        <v/>
      </c>
      <c r="Z266" s="25" t="str">
        <f aca="false">IF(A266="","",IF(OR(H266="Extranjera",AND(E266="No residente",G266="Sí"),I266="Sí"),"Alto",IF(T266&lt;&gt;"",T266,Y266)))</f>
        <v/>
      </c>
      <c r="AA266" s="26" t="str">
        <f aca="false">IF(A266="","",IF(H266="Extranjera","Alto obligatorio: PEP extranjera (RCG 23 Bis 4)",IF(AND(E266="No residente",G266="Sí"),"Alto obligatorio: no residente vinculado a jurisdicción de riesgo (RCG 23 Bis 4)",IF(I266="Sí","Alto por criterio: persona en listas. Evalúa no operar y Aviso de 24 h",IF(T266&lt;&gt;"","Ajuste del REC: "&amp;U266,"Modelo: "&amp;X266&amp;" puntos")))))</f>
        <v/>
      </c>
      <c r="AB266" s="23" t="str">
        <f aca="false">IF(A266="","",IF(COUNT(N266,O266)=0,"Falta fecha",EDATE(MAX(N266,O266),IF(Z266="Alto",CONFIG!$B$18,IF(Z266="Medio",CONFIG!$B$17,CONFIG!$B$16)))))</f>
        <v/>
      </c>
      <c r="AC266" s="23" t="str">
        <f aca="false">IF(A266="","",IF(ISNUMBER(S266),EDATE(S266,12),IF(ISNUMBER(N266),EDATE(N266,12),"Falta fecha")))</f>
        <v/>
      </c>
      <c r="AD266" s="26" t="str">
        <f aca="false">IF(A266="","",MID(IF(P266&lt;&gt;"Sí"," · Expediente incompleto","")&amp;IF(OR(Q266="",Q266="Pendiente")," · Falta el Beneficiario Controlador","")&amp;IF(M266=""," · Sin perfil transaccional","")&amp;IF(AND(ISNUMBER(AB266),AB266&lt;CONFIG!$B$6)," · Evaluación de riesgo vencida","")&amp;IF(AND(ISNUMBER(AC266),AC266&lt;CONFIG!$B$6)," · Verificación anual vencida","")&amp;IF(AND(ISNUMBER(R266),ISNUMBER(S266),S266-R266&gt;92)," · Comprobante de domicilio con más de 3 meses","")&amp;IF(AND(T266&lt;&gt;"",U266="")," · Ajuste del REC sin justificación",""),4,400))</f>
        <v/>
      </c>
      <c r="AE266" s="9" t="str">
        <f aca="false">IF(A266="","",IF(AD266="","Al día","Revisar"))</f>
        <v/>
      </c>
      <c r="AF266" s="9" t="str">
        <f aca="false">IF(A266="","",COUNTIF(OPERACIONES!$C$6:$C$505,A266)&amp;" / $"&amp;FIXED(SUMIF(OPERACIONES!$C$6:$C$505,A266,OPERACIONES!$E$6:$E$505),0))</f>
        <v/>
      </c>
    </row>
    <row r="267" customFormat="false" ht="15" hidden="false" customHeight="false" outlineLevel="0" collapsed="false">
      <c r="A267" s="21"/>
      <c r="B267" s="21"/>
      <c r="C267" s="21"/>
      <c r="D267" s="21"/>
      <c r="E267" s="21"/>
      <c r="F267" s="21"/>
      <c r="G267" s="21"/>
      <c r="H267" s="21"/>
      <c r="I267" s="21"/>
      <c r="J267" s="21"/>
      <c r="K267" s="21"/>
      <c r="L267" s="21"/>
      <c r="M267" s="22"/>
      <c r="N267" s="20"/>
      <c r="O267" s="20"/>
      <c r="P267" s="21"/>
      <c r="Q267" s="21"/>
      <c r="R267" s="20"/>
      <c r="S267" s="20"/>
      <c r="T267" s="21"/>
      <c r="U267" s="21"/>
      <c r="V267" s="9" t="str">
        <f aca="false">IF(A267="","",SUMIFS(CONFIG!$F$5:$F$26,CONFIG!$D$5:$D$26,"Tipo de persona",CONFIG!$E$5:$E$26,C267)+SUMIFS(CONFIG!$F$5:$F$26,CONFIG!$D$5:$D$26,"Residencia",CONFIG!$E$5:$E$26,E267)+SUMIFS(CONFIG!$F$5:$F$26,CONFIG!$D$5:$D$26,"Nacionalidad",CONFIG!$E$5:$E$26,F267)+SUMIFS(CONFIG!$F$5:$F$26,CONFIG!$D$5:$D$26,"Jurisdicción de riesgo",CONFIG!$E$5:$E$26,G267)+SUMIFS(CONFIG!$F$5:$F$26,CONFIG!$D$5:$D$26,"PEP",CONFIG!$E$5:$E$26,H267)+SUMIFS(CONFIG!$F$5:$F$26,CONFIG!$D$5:$D$26,"En listas",CONFIG!$E$5:$E$26,I267)+SUMIFS(CONFIG!$F$5:$F$26,CONFIG!$D$5:$D$26,"Riesgo de su actividad económica",CONFIG!$E$5:$E$26,J267)+SUMIFS(CONFIG!$F$5:$F$26,CONFIG!$D$5:$D$26,"Canal",CONFIG!$E$5:$E$26,K267)+SUMIFS(CONFIG!$F$5:$F$26,CONFIG!$D$5:$D$26,"Origen de recursos documentado",CONFIG!$E$5:$E$26,L267))</f>
        <v/>
      </c>
      <c r="W267" s="9" t="str">
        <f aca="false">IF(A267="","",IF(SUMIF(OPERACIONES!$C$6:$C$505,A267,OPERACIONES!$E$6:$E$505)&gt;0,IF(SUMIF(OPERACIONES!$C$6:$C$505,A267,OPERACIONES!$F$6:$F$505)/SUMIF(OPERACIONES!$C$6:$C$505,A267,OPERACIONES!$E$6:$E$505)&gt;0.5,CONFIG!$B$20,IF(SUMIF(OPERACIONES!$C$6:$C$505,A267,OPERACIONES!$F$6:$F$505)&gt;0,CONFIG!$B$21,0)),0)+IF(COUNTIFS(OPERACIONES!$C$6:$C$505,A267,OPERACIONES!$AQ$6:$AQ$505,1)&gt;0,CONFIG!$B$22,0)+IF(COUNTIFS(OPERACIONES!$C$6:$C$505,A267,OPERACIONES!$H$6:$H$505,"Sí")&gt;0,CONFIG!$B$23,0))</f>
        <v/>
      </c>
      <c r="X267" s="9" t="str">
        <f aca="false">IF(A267="","",V267+W267)</f>
        <v/>
      </c>
      <c r="Y267" s="9" t="str">
        <f aca="false">IF(A267="","",IF(X267&lt;=CONFIG!$B$13,"Bajo",IF(X267&lt;=CONFIG!$B$14,"Medio","Alto")))</f>
        <v/>
      </c>
      <c r="Z267" s="25" t="str">
        <f aca="false">IF(A267="","",IF(OR(H267="Extranjera",AND(E267="No residente",G267="Sí"),I267="Sí"),"Alto",IF(T267&lt;&gt;"",T267,Y267)))</f>
        <v/>
      </c>
      <c r="AA267" s="26" t="str">
        <f aca="false">IF(A267="","",IF(H267="Extranjera","Alto obligatorio: PEP extranjera (RCG 23 Bis 4)",IF(AND(E267="No residente",G267="Sí"),"Alto obligatorio: no residente vinculado a jurisdicción de riesgo (RCG 23 Bis 4)",IF(I267="Sí","Alto por criterio: persona en listas. Evalúa no operar y Aviso de 24 h",IF(T267&lt;&gt;"","Ajuste del REC: "&amp;U267,"Modelo: "&amp;X267&amp;" puntos")))))</f>
        <v/>
      </c>
      <c r="AB267" s="23" t="str">
        <f aca="false">IF(A267="","",IF(COUNT(N267,O267)=0,"Falta fecha",EDATE(MAX(N267,O267),IF(Z267="Alto",CONFIG!$B$18,IF(Z267="Medio",CONFIG!$B$17,CONFIG!$B$16)))))</f>
        <v/>
      </c>
      <c r="AC267" s="23" t="str">
        <f aca="false">IF(A267="","",IF(ISNUMBER(S267),EDATE(S267,12),IF(ISNUMBER(N267),EDATE(N267,12),"Falta fecha")))</f>
        <v/>
      </c>
      <c r="AD267" s="26" t="str">
        <f aca="false">IF(A267="","",MID(IF(P267&lt;&gt;"Sí"," · Expediente incompleto","")&amp;IF(OR(Q267="",Q267="Pendiente")," · Falta el Beneficiario Controlador","")&amp;IF(M267=""," · Sin perfil transaccional","")&amp;IF(AND(ISNUMBER(AB267),AB267&lt;CONFIG!$B$6)," · Evaluación de riesgo vencida","")&amp;IF(AND(ISNUMBER(AC267),AC267&lt;CONFIG!$B$6)," · Verificación anual vencida","")&amp;IF(AND(ISNUMBER(R267),ISNUMBER(S267),S267-R267&gt;92)," · Comprobante de domicilio con más de 3 meses","")&amp;IF(AND(T267&lt;&gt;"",U267="")," · Ajuste del REC sin justificación",""),4,400))</f>
        <v/>
      </c>
      <c r="AE267" s="9" t="str">
        <f aca="false">IF(A267="","",IF(AD267="","Al día","Revisar"))</f>
        <v/>
      </c>
      <c r="AF267" s="9" t="str">
        <f aca="false">IF(A267="","",COUNTIF(OPERACIONES!$C$6:$C$505,A267)&amp;" / $"&amp;FIXED(SUMIF(OPERACIONES!$C$6:$C$505,A267,OPERACIONES!$E$6:$E$505),0))</f>
        <v/>
      </c>
    </row>
    <row r="268" customFormat="false" ht="15" hidden="false" customHeight="false" outlineLevel="0" collapsed="false">
      <c r="A268" s="21"/>
      <c r="B268" s="21"/>
      <c r="C268" s="21"/>
      <c r="D268" s="21"/>
      <c r="E268" s="21"/>
      <c r="F268" s="21"/>
      <c r="G268" s="21"/>
      <c r="H268" s="21"/>
      <c r="I268" s="21"/>
      <c r="J268" s="21"/>
      <c r="K268" s="21"/>
      <c r="L268" s="21"/>
      <c r="M268" s="22"/>
      <c r="N268" s="20"/>
      <c r="O268" s="20"/>
      <c r="P268" s="21"/>
      <c r="Q268" s="21"/>
      <c r="R268" s="20"/>
      <c r="S268" s="20"/>
      <c r="T268" s="21"/>
      <c r="U268" s="21"/>
      <c r="V268" s="9" t="str">
        <f aca="false">IF(A268="","",SUMIFS(CONFIG!$F$5:$F$26,CONFIG!$D$5:$D$26,"Tipo de persona",CONFIG!$E$5:$E$26,C268)+SUMIFS(CONFIG!$F$5:$F$26,CONFIG!$D$5:$D$26,"Residencia",CONFIG!$E$5:$E$26,E268)+SUMIFS(CONFIG!$F$5:$F$26,CONFIG!$D$5:$D$26,"Nacionalidad",CONFIG!$E$5:$E$26,F268)+SUMIFS(CONFIG!$F$5:$F$26,CONFIG!$D$5:$D$26,"Jurisdicción de riesgo",CONFIG!$E$5:$E$26,G268)+SUMIFS(CONFIG!$F$5:$F$26,CONFIG!$D$5:$D$26,"PEP",CONFIG!$E$5:$E$26,H268)+SUMIFS(CONFIG!$F$5:$F$26,CONFIG!$D$5:$D$26,"En listas",CONFIG!$E$5:$E$26,I268)+SUMIFS(CONFIG!$F$5:$F$26,CONFIG!$D$5:$D$26,"Riesgo de su actividad económica",CONFIG!$E$5:$E$26,J268)+SUMIFS(CONFIG!$F$5:$F$26,CONFIG!$D$5:$D$26,"Canal",CONFIG!$E$5:$E$26,K268)+SUMIFS(CONFIG!$F$5:$F$26,CONFIG!$D$5:$D$26,"Origen de recursos documentado",CONFIG!$E$5:$E$26,L268))</f>
        <v/>
      </c>
      <c r="W268" s="9" t="str">
        <f aca="false">IF(A268="","",IF(SUMIF(OPERACIONES!$C$6:$C$505,A268,OPERACIONES!$E$6:$E$505)&gt;0,IF(SUMIF(OPERACIONES!$C$6:$C$505,A268,OPERACIONES!$F$6:$F$505)/SUMIF(OPERACIONES!$C$6:$C$505,A268,OPERACIONES!$E$6:$E$505)&gt;0.5,CONFIG!$B$20,IF(SUMIF(OPERACIONES!$C$6:$C$505,A268,OPERACIONES!$F$6:$F$505)&gt;0,CONFIG!$B$21,0)),0)+IF(COUNTIFS(OPERACIONES!$C$6:$C$505,A268,OPERACIONES!$AQ$6:$AQ$505,1)&gt;0,CONFIG!$B$22,0)+IF(COUNTIFS(OPERACIONES!$C$6:$C$505,A268,OPERACIONES!$H$6:$H$505,"Sí")&gt;0,CONFIG!$B$23,0))</f>
        <v/>
      </c>
      <c r="X268" s="9" t="str">
        <f aca="false">IF(A268="","",V268+W268)</f>
        <v/>
      </c>
      <c r="Y268" s="9" t="str">
        <f aca="false">IF(A268="","",IF(X268&lt;=CONFIG!$B$13,"Bajo",IF(X268&lt;=CONFIG!$B$14,"Medio","Alto")))</f>
        <v/>
      </c>
      <c r="Z268" s="25" t="str">
        <f aca="false">IF(A268="","",IF(OR(H268="Extranjera",AND(E268="No residente",G268="Sí"),I268="Sí"),"Alto",IF(T268&lt;&gt;"",T268,Y268)))</f>
        <v/>
      </c>
      <c r="AA268" s="26" t="str">
        <f aca="false">IF(A268="","",IF(H268="Extranjera","Alto obligatorio: PEP extranjera (RCG 23 Bis 4)",IF(AND(E268="No residente",G268="Sí"),"Alto obligatorio: no residente vinculado a jurisdicción de riesgo (RCG 23 Bis 4)",IF(I268="Sí","Alto por criterio: persona en listas. Evalúa no operar y Aviso de 24 h",IF(T268&lt;&gt;"","Ajuste del REC: "&amp;U268,"Modelo: "&amp;X268&amp;" puntos")))))</f>
        <v/>
      </c>
      <c r="AB268" s="23" t="str">
        <f aca="false">IF(A268="","",IF(COUNT(N268,O268)=0,"Falta fecha",EDATE(MAX(N268,O268),IF(Z268="Alto",CONFIG!$B$18,IF(Z268="Medio",CONFIG!$B$17,CONFIG!$B$16)))))</f>
        <v/>
      </c>
      <c r="AC268" s="23" t="str">
        <f aca="false">IF(A268="","",IF(ISNUMBER(S268),EDATE(S268,12),IF(ISNUMBER(N268),EDATE(N268,12),"Falta fecha")))</f>
        <v/>
      </c>
      <c r="AD268" s="26" t="str">
        <f aca="false">IF(A268="","",MID(IF(P268&lt;&gt;"Sí"," · Expediente incompleto","")&amp;IF(OR(Q268="",Q268="Pendiente")," · Falta el Beneficiario Controlador","")&amp;IF(M268=""," · Sin perfil transaccional","")&amp;IF(AND(ISNUMBER(AB268),AB268&lt;CONFIG!$B$6)," · Evaluación de riesgo vencida","")&amp;IF(AND(ISNUMBER(AC268),AC268&lt;CONFIG!$B$6)," · Verificación anual vencida","")&amp;IF(AND(ISNUMBER(R268),ISNUMBER(S268),S268-R268&gt;92)," · Comprobante de domicilio con más de 3 meses","")&amp;IF(AND(T268&lt;&gt;"",U268="")," · Ajuste del REC sin justificación",""),4,400))</f>
        <v/>
      </c>
      <c r="AE268" s="9" t="str">
        <f aca="false">IF(A268="","",IF(AD268="","Al día","Revisar"))</f>
        <v/>
      </c>
      <c r="AF268" s="9" t="str">
        <f aca="false">IF(A268="","",COUNTIF(OPERACIONES!$C$6:$C$505,A268)&amp;" / $"&amp;FIXED(SUMIF(OPERACIONES!$C$6:$C$505,A268,OPERACIONES!$E$6:$E$505),0))</f>
        <v/>
      </c>
    </row>
    <row r="269" customFormat="false" ht="15" hidden="false" customHeight="false" outlineLevel="0" collapsed="false">
      <c r="A269" s="21"/>
      <c r="B269" s="21"/>
      <c r="C269" s="21"/>
      <c r="D269" s="21"/>
      <c r="E269" s="21"/>
      <c r="F269" s="21"/>
      <c r="G269" s="21"/>
      <c r="H269" s="21"/>
      <c r="I269" s="21"/>
      <c r="J269" s="21"/>
      <c r="K269" s="21"/>
      <c r="L269" s="21"/>
      <c r="M269" s="22"/>
      <c r="N269" s="20"/>
      <c r="O269" s="20"/>
      <c r="P269" s="21"/>
      <c r="Q269" s="21"/>
      <c r="R269" s="20"/>
      <c r="S269" s="20"/>
      <c r="T269" s="21"/>
      <c r="U269" s="21"/>
      <c r="V269" s="9" t="str">
        <f aca="false">IF(A269="","",SUMIFS(CONFIG!$F$5:$F$26,CONFIG!$D$5:$D$26,"Tipo de persona",CONFIG!$E$5:$E$26,C269)+SUMIFS(CONFIG!$F$5:$F$26,CONFIG!$D$5:$D$26,"Residencia",CONFIG!$E$5:$E$26,E269)+SUMIFS(CONFIG!$F$5:$F$26,CONFIG!$D$5:$D$26,"Nacionalidad",CONFIG!$E$5:$E$26,F269)+SUMIFS(CONFIG!$F$5:$F$26,CONFIG!$D$5:$D$26,"Jurisdicción de riesgo",CONFIG!$E$5:$E$26,G269)+SUMIFS(CONFIG!$F$5:$F$26,CONFIG!$D$5:$D$26,"PEP",CONFIG!$E$5:$E$26,H269)+SUMIFS(CONFIG!$F$5:$F$26,CONFIG!$D$5:$D$26,"En listas",CONFIG!$E$5:$E$26,I269)+SUMIFS(CONFIG!$F$5:$F$26,CONFIG!$D$5:$D$26,"Riesgo de su actividad económica",CONFIG!$E$5:$E$26,J269)+SUMIFS(CONFIG!$F$5:$F$26,CONFIG!$D$5:$D$26,"Canal",CONFIG!$E$5:$E$26,K269)+SUMIFS(CONFIG!$F$5:$F$26,CONFIG!$D$5:$D$26,"Origen de recursos documentado",CONFIG!$E$5:$E$26,L269))</f>
        <v/>
      </c>
      <c r="W269" s="9" t="str">
        <f aca="false">IF(A269="","",IF(SUMIF(OPERACIONES!$C$6:$C$505,A269,OPERACIONES!$E$6:$E$505)&gt;0,IF(SUMIF(OPERACIONES!$C$6:$C$505,A269,OPERACIONES!$F$6:$F$505)/SUMIF(OPERACIONES!$C$6:$C$505,A269,OPERACIONES!$E$6:$E$505)&gt;0.5,CONFIG!$B$20,IF(SUMIF(OPERACIONES!$C$6:$C$505,A269,OPERACIONES!$F$6:$F$505)&gt;0,CONFIG!$B$21,0)),0)+IF(COUNTIFS(OPERACIONES!$C$6:$C$505,A269,OPERACIONES!$AQ$6:$AQ$505,1)&gt;0,CONFIG!$B$22,0)+IF(COUNTIFS(OPERACIONES!$C$6:$C$505,A269,OPERACIONES!$H$6:$H$505,"Sí")&gt;0,CONFIG!$B$23,0))</f>
        <v/>
      </c>
      <c r="X269" s="9" t="str">
        <f aca="false">IF(A269="","",V269+W269)</f>
        <v/>
      </c>
      <c r="Y269" s="9" t="str">
        <f aca="false">IF(A269="","",IF(X269&lt;=CONFIG!$B$13,"Bajo",IF(X269&lt;=CONFIG!$B$14,"Medio","Alto")))</f>
        <v/>
      </c>
      <c r="Z269" s="25" t="str">
        <f aca="false">IF(A269="","",IF(OR(H269="Extranjera",AND(E269="No residente",G269="Sí"),I269="Sí"),"Alto",IF(T269&lt;&gt;"",T269,Y269)))</f>
        <v/>
      </c>
      <c r="AA269" s="26" t="str">
        <f aca="false">IF(A269="","",IF(H269="Extranjera","Alto obligatorio: PEP extranjera (RCG 23 Bis 4)",IF(AND(E269="No residente",G269="Sí"),"Alto obligatorio: no residente vinculado a jurisdicción de riesgo (RCG 23 Bis 4)",IF(I269="Sí","Alto por criterio: persona en listas. Evalúa no operar y Aviso de 24 h",IF(T269&lt;&gt;"","Ajuste del REC: "&amp;U269,"Modelo: "&amp;X269&amp;" puntos")))))</f>
        <v/>
      </c>
      <c r="AB269" s="23" t="str">
        <f aca="false">IF(A269="","",IF(COUNT(N269,O269)=0,"Falta fecha",EDATE(MAX(N269,O269),IF(Z269="Alto",CONFIG!$B$18,IF(Z269="Medio",CONFIG!$B$17,CONFIG!$B$16)))))</f>
        <v/>
      </c>
      <c r="AC269" s="23" t="str">
        <f aca="false">IF(A269="","",IF(ISNUMBER(S269),EDATE(S269,12),IF(ISNUMBER(N269),EDATE(N269,12),"Falta fecha")))</f>
        <v/>
      </c>
      <c r="AD269" s="26" t="str">
        <f aca="false">IF(A269="","",MID(IF(P269&lt;&gt;"Sí"," · Expediente incompleto","")&amp;IF(OR(Q269="",Q269="Pendiente")," · Falta el Beneficiario Controlador","")&amp;IF(M269=""," · Sin perfil transaccional","")&amp;IF(AND(ISNUMBER(AB269),AB269&lt;CONFIG!$B$6)," · Evaluación de riesgo vencida","")&amp;IF(AND(ISNUMBER(AC269),AC269&lt;CONFIG!$B$6)," · Verificación anual vencida","")&amp;IF(AND(ISNUMBER(R269),ISNUMBER(S269),S269-R269&gt;92)," · Comprobante de domicilio con más de 3 meses","")&amp;IF(AND(T269&lt;&gt;"",U269="")," · Ajuste del REC sin justificación",""),4,400))</f>
        <v/>
      </c>
      <c r="AE269" s="9" t="str">
        <f aca="false">IF(A269="","",IF(AD269="","Al día","Revisar"))</f>
        <v/>
      </c>
      <c r="AF269" s="9" t="str">
        <f aca="false">IF(A269="","",COUNTIF(OPERACIONES!$C$6:$C$505,A269)&amp;" / $"&amp;FIXED(SUMIF(OPERACIONES!$C$6:$C$505,A269,OPERACIONES!$E$6:$E$505),0))</f>
        <v/>
      </c>
    </row>
    <row r="270" customFormat="false" ht="15" hidden="false" customHeight="false" outlineLevel="0" collapsed="false">
      <c r="A270" s="21"/>
      <c r="B270" s="21"/>
      <c r="C270" s="21"/>
      <c r="D270" s="21"/>
      <c r="E270" s="21"/>
      <c r="F270" s="21"/>
      <c r="G270" s="21"/>
      <c r="H270" s="21"/>
      <c r="I270" s="21"/>
      <c r="J270" s="21"/>
      <c r="K270" s="21"/>
      <c r="L270" s="21"/>
      <c r="M270" s="22"/>
      <c r="N270" s="20"/>
      <c r="O270" s="20"/>
      <c r="P270" s="21"/>
      <c r="Q270" s="21"/>
      <c r="R270" s="20"/>
      <c r="S270" s="20"/>
      <c r="T270" s="21"/>
      <c r="U270" s="21"/>
      <c r="V270" s="9" t="str">
        <f aca="false">IF(A270="","",SUMIFS(CONFIG!$F$5:$F$26,CONFIG!$D$5:$D$26,"Tipo de persona",CONFIG!$E$5:$E$26,C270)+SUMIFS(CONFIG!$F$5:$F$26,CONFIG!$D$5:$D$26,"Residencia",CONFIG!$E$5:$E$26,E270)+SUMIFS(CONFIG!$F$5:$F$26,CONFIG!$D$5:$D$26,"Nacionalidad",CONFIG!$E$5:$E$26,F270)+SUMIFS(CONFIG!$F$5:$F$26,CONFIG!$D$5:$D$26,"Jurisdicción de riesgo",CONFIG!$E$5:$E$26,G270)+SUMIFS(CONFIG!$F$5:$F$26,CONFIG!$D$5:$D$26,"PEP",CONFIG!$E$5:$E$26,H270)+SUMIFS(CONFIG!$F$5:$F$26,CONFIG!$D$5:$D$26,"En listas",CONFIG!$E$5:$E$26,I270)+SUMIFS(CONFIG!$F$5:$F$26,CONFIG!$D$5:$D$26,"Riesgo de su actividad económica",CONFIG!$E$5:$E$26,J270)+SUMIFS(CONFIG!$F$5:$F$26,CONFIG!$D$5:$D$26,"Canal",CONFIG!$E$5:$E$26,K270)+SUMIFS(CONFIG!$F$5:$F$26,CONFIG!$D$5:$D$26,"Origen de recursos documentado",CONFIG!$E$5:$E$26,L270))</f>
        <v/>
      </c>
      <c r="W270" s="9" t="str">
        <f aca="false">IF(A270="","",IF(SUMIF(OPERACIONES!$C$6:$C$505,A270,OPERACIONES!$E$6:$E$505)&gt;0,IF(SUMIF(OPERACIONES!$C$6:$C$505,A270,OPERACIONES!$F$6:$F$505)/SUMIF(OPERACIONES!$C$6:$C$505,A270,OPERACIONES!$E$6:$E$505)&gt;0.5,CONFIG!$B$20,IF(SUMIF(OPERACIONES!$C$6:$C$505,A270,OPERACIONES!$F$6:$F$505)&gt;0,CONFIG!$B$21,0)),0)+IF(COUNTIFS(OPERACIONES!$C$6:$C$505,A270,OPERACIONES!$AQ$6:$AQ$505,1)&gt;0,CONFIG!$B$22,0)+IF(COUNTIFS(OPERACIONES!$C$6:$C$505,A270,OPERACIONES!$H$6:$H$505,"Sí")&gt;0,CONFIG!$B$23,0))</f>
        <v/>
      </c>
      <c r="X270" s="9" t="str">
        <f aca="false">IF(A270="","",V270+W270)</f>
        <v/>
      </c>
      <c r="Y270" s="9" t="str">
        <f aca="false">IF(A270="","",IF(X270&lt;=CONFIG!$B$13,"Bajo",IF(X270&lt;=CONFIG!$B$14,"Medio","Alto")))</f>
        <v/>
      </c>
      <c r="Z270" s="25" t="str">
        <f aca="false">IF(A270="","",IF(OR(H270="Extranjera",AND(E270="No residente",G270="Sí"),I270="Sí"),"Alto",IF(T270&lt;&gt;"",T270,Y270)))</f>
        <v/>
      </c>
      <c r="AA270" s="26" t="str">
        <f aca="false">IF(A270="","",IF(H270="Extranjera","Alto obligatorio: PEP extranjera (RCG 23 Bis 4)",IF(AND(E270="No residente",G270="Sí"),"Alto obligatorio: no residente vinculado a jurisdicción de riesgo (RCG 23 Bis 4)",IF(I270="Sí","Alto por criterio: persona en listas. Evalúa no operar y Aviso de 24 h",IF(T270&lt;&gt;"","Ajuste del REC: "&amp;U270,"Modelo: "&amp;X270&amp;" puntos")))))</f>
        <v/>
      </c>
      <c r="AB270" s="23" t="str">
        <f aca="false">IF(A270="","",IF(COUNT(N270,O270)=0,"Falta fecha",EDATE(MAX(N270,O270),IF(Z270="Alto",CONFIG!$B$18,IF(Z270="Medio",CONFIG!$B$17,CONFIG!$B$16)))))</f>
        <v/>
      </c>
      <c r="AC270" s="23" t="str">
        <f aca="false">IF(A270="","",IF(ISNUMBER(S270),EDATE(S270,12),IF(ISNUMBER(N270),EDATE(N270,12),"Falta fecha")))</f>
        <v/>
      </c>
      <c r="AD270" s="26" t="str">
        <f aca="false">IF(A270="","",MID(IF(P270&lt;&gt;"Sí"," · Expediente incompleto","")&amp;IF(OR(Q270="",Q270="Pendiente")," · Falta el Beneficiario Controlador","")&amp;IF(M270=""," · Sin perfil transaccional","")&amp;IF(AND(ISNUMBER(AB270),AB270&lt;CONFIG!$B$6)," · Evaluación de riesgo vencida","")&amp;IF(AND(ISNUMBER(AC270),AC270&lt;CONFIG!$B$6)," · Verificación anual vencida","")&amp;IF(AND(ISNUMBER(R270),ISNUMBER(S270),S270-R270&gt;92)," · Comprobante de domicilio con más de 3 meses","")&amp;IF(AND(T270&lt;&gt;"",U270="")," · Ajuste del REC sin justificación",""),4,400))</f>
        <v/>
      </c>
      <c r="AE270" s="9" t="str">
        <f aca="false">IF(A270="","",IF(AD270="","Al día","Revisar"))</f>
        <v/>
      </c>
      <c r="AF270" s="9" t="str">
        <f aca="false">IF(A270="","",COUNTIF(OPERACIONES!$C$6:$C$505,A270)&amp;" / $"&amp;FIXED(SUMIF(OPERACIONES!$C$6:$C$505,A270,OPERACIONES!$E$6:$E$505),0))</f>
        <v/>
      </c>
    </row>
    <row r="271" customFormat="false" ht="15" hidden="false" customHeight="false" outlineLevel="0" collapsed="false">
      <c r="A271" s="21"/>
      <c r="B271" s="21"/>
      <c r="C271" s="21"/>
      <c r="D271" s="21"/>
      <c r="E271" s="21"/>
      <c r="F271" s="21"/>
      <c r="G271" s="21"/>
      <c r="H271" s="21"/>
      <c r="I271" s="21"/>
      <c r="J271" s="21"/>
      <c r="K271" s="21"/>
      <c r="L271" s="21"/>
      <c r="M271" s="22"/>
      <c r="N271" s="20"/>
      <c r="O271" s="20"/>
      <c r="P271" s="21"/>
      <c r="Q271" s="21"/>
      <c r="R271" s="20"/>
      <c r="S271" s="20"/>
      <c r="T271" s="21"/>
      <c r="U271" s="21"/>
      <c r="V271" s="9" t="str">
        <f aca="false">IF(A271="","",SUMIFS(CONFIG!$F$5:$F$26,CONFIG!$D$5:$D$26,"Tipo de persona",CONFIG!$E$5:$E$26,C271)+SUMIFS(CONFIG!$F$5:$F$26,CONFIG!$D$5:$D$26,"Residencia",CONFIG!$E$5:$E$26,E271)+SUMIFS(CONFIG!$F$5:$F$26,CONFIG!$D$5:$D$26,"Nacionalidad",CONFIG!$E$5:$E$26,F271)+SUMIFS(CONFIG!$F$5:$F$26,CONFIG!$D$5:$D$26,"Jurisdicción de riesgo",CONFIG!$E$5:$E$26,G271)+SUMIFS(CONFIG!$F$5:$F$26,CONFIG!$D$5:$D$26,"PEP",CONFIG!$E$5:$E$26,H271)+SUMIFS(CONFIG!$F$5:$F$26,CONFIG!$D$5:$D$26,"En listas",CONFIG!$E$5:$E$26,I271)+SUMIFS(CONFIG!$F$5:$F$26,CONFIG!$D$5:$D$26,"Riesgo de su actividad económica",CONFIG!$E$5:$E$26,J271)+SUMIFS(CONFIG!$F$5:$F$26,CONFIG!$D$5:$D$26,"Canal",CONFIG!$E$5:$E$26,K271)+SUMIFS(CONFIG!$F$5:$F$26,CONFIG!$D$5:$D$26,"Origen de recursos documentado",CONFIG!$E$5:$E$26,L271))</f>
        <v/>
      </c>
      <c r="W271" s="9" t="str">
        <f aca="false">IF(A271="","",IF(SUMIF(OPERACIONES!$C$6:$C$505,A271,OPERACIONES!$E$6:$E$505)&gt;0,IF(SUMIF(OPERACIONES!$C$6:$C$505,A271,OPERACIONES!$F$6:$F$505)/SUMIF(OPERACIONES!$C$6:$C$505,A271,OPERACIONES!$E$6:$E$505)&gt;0.5,CONFIG!$B$20,IF(SUMIF(OPERACIONES!$C$6:$C$505,A271,OPERACIONES!$F$6:$F$505)&gt;0,CONFIG!$B$21,0)),0)+IF(COUNTIFS(OPERACIONES!$C$6:$C$505,A271,OPERACIONES!$AQ$6:$AQ$505,1)&gt;0,CONFIG!$B$22,0)+IF(COUNTIFS(OPERACIONES!$C$6:$C$505,A271,OPERACIONES!$H$6:$H$505,"Sí")&gt;0,CONFIG!$B$23,0))</f>
        <v/>
      </c>
      <c r="X271" s="9" t="str">
        <f aca="false">IF(A271="","",V271+W271)</f>
        <v/>
      </c>
      <c r="Y271" s="9" t="str">
        <f aca="false">IF(A271="","",IF(X271&lt;=CONFIG!$B$13,"Bajo",IF(X271&lt;=CONFIG!$B$14,"Medio","Alto")))</f>
        <v/>
      </c>
      <c r="Z271" s="25" t="str">
        <f aca="false">IF(A271="","",IF(OR(H271="Extranjera",AND(E271="No residente",G271="Sí"),I271="Sí"),"Alto",IF(T271&lt;&gt;"",T271,Y271)))</f>
        <v/>
      </c>
      <c r="AA271" s="26" t="str">
        <f aca="false">IF(A271="","",IF(H271="Extranjera","Alto obligatorio: PEP extranjera (RCG 23 Bis 4)",IF(AND(E271="No residente",G271="Sí"),"Alto obligatorio: no residente vinculado a jurisdicción de riesgo (RCG 23 Bis 4)",IF(I271="Sí","Alto por criterio: persona en listas. Evalúa no operar y Aviso de 24 h",IF(T271&lt;&gt;"","Ajuste del REC: "&amp;U271,"Modelo: "&amp;X271&amp;" puntos")))))</f>
        <v/>
      </c>
      <c r="AB271" s="23" t="str">
        <f aca="false">IF(A271="","",IF(COUNT(N271,O271)=0,"Falta fecha",EDATE(MAX(N271,O271),IF(Z271="Alto",CONFIG!$B$18,IF(Z271="Medio",CONFIG!$B$17,CONFIG!$B$16)))))</f>
        <v/>
      </c>
      <c r="AC271" s="23" t="str">
        <f aca="false">IF(A271="","",IF(ISNUMBER(S271),EDATE(S271,12),IF(ISNUMBER(N271),EDATE(N271,12),"Falta fecha")))</f>
        <v/>
      </c>
      <c r="AD271" s="26" t="str">
        <f aca="false">IF(A271="","",MID(IF(P271&lt;&gt;"Sí"," · Expediente incompleto","")&amp;IF(OR(Q271="",Q271="Pendiente")," · Falta el Beneficiario Controlador","")&amp;IF(M271=""," · Sin perfil transaccional","")&amp;IF(AND(ISNUMBER(AB271),AB271&lt;CONFIG!$B$6)," · Evaluación de riesgo vencida","")&amp;IF(AND(ISNUMBER(AC271),AC271&lt;CONFIG!$B$6)," · Verificación anual vencida","")&amp;IF(AND(ISNUMBER(R271),ISNUMBER(S271),S271-R271&gt;92)," · Comprobante de domicilio con más de 3 meses","")&amp;IF(AND(T271&lt;&gt;"",U271="")," · Ajuste del REC sin justificación",""),4,400))</f>
        <v/>
      </c>
      <c r="AE271" s="9" t="str">
        <f aca="false">IF(A271="","",IF(AD271="","Al día","Revisar"))</f>
        <v/>
      </c>
      <c r="AF271" s="9" t="str">
        <f aca="false">IF(A271="","",COUNTIF(OPERACIONES!$C$6:$C$505,A271)&amp;" / $"&amp;FIXED(SUMIF(OPERACIONES!$C$6:$C$505,A271,OPERACIONES!$E$6:$E$505),0))</f>
        <v/>
      </c>
    </row>
    <row r="272" customFormat="false" ht="15" hidden="false" customHeight="false" outlineLevel="0" collapsed="false">
      <c r="A272" s="21"/>
      <c r="B272" s="21"/>
      <c r="C272" s="21"/>
      <c r="D272" s="21"/>
      <c r="E272" s="21"/>
      <c r="F272" s="21"/>
      <c r="G272" s="21"/>
      <c r="H272" s="21"/>
      <c r="I272" s="21"/>
      <c r="J272" s="21"/>
      <c r="K272" s="21"/>
      <c r="L272" s="21"/>
      <c r="M272" s="22"/>
      <c r="N272" s="20"/>
      <c r="O272" s="20"/>
      <c r="P272" s="21"/>
      <c r="Q272" s="21"/>
      <c r="R272" s="20"/>
      <c r="S272" s="20"/>
      <c r="T272" s="21"/>
      <c r="U272" s="21"/>
      <c r="V272" s="9" t="str">
        <f aca="false">IF(A272="","",SUMIFS(CONFIG!$F$5:$F$26,CONFIG!$D$5:$D$26,"Tipo de persona",CONFIG!$E$5:$E$26,C272)+SUMIFS(CONFIG!$F$5:$F$26,CONFIG!$D$5:$D$26,"Residencia",CONFIG!$E$5:$E$26,E272)+SUMIFS(CONFIG!$F$5:$F$26,CONFIG!$D$5:$D$26,"Nacionalidad",CONFIG!$E$5:$E$26,F272)+SUMIFS(CONFIG!$F$5:$F$26,CONFIG!$D$5:$D$26,"Jurisdicción de riesgo",CONFIG!$E$5:$E$26,G272)+SUMIFS(CONFIG!$F$5:$F$26,CONFIG!$D$5:$D$26,"PEP",CONFIG!$E$5:$E$26,H272)+SUMIFS(CONFIG!$F$5:$F$26,CONFIG!$D$5:$D$26,"En listas",CONFIG!$E$5:$E$26,I272)+SUMIFS(CONFIG!$F$5:$F$26,CONFIG!$D$5:$D$26,"Riesgo de su actividad económica",CONFIG!$E$5:$E$26,J272)+SUMIFS(CONFIG!$F$5:$F$26,CONFIG!$D$5:$D$26,"Canal",CONFIG!$E$5:$E$26,K272)+SUMIFS(CONFIG!$F$5:$F$26,CONFIG!$D$5:$D$26,"Origen de recursos documentado",CONFIG!$E$5:$E$26,L272))</f>
        <v/>
      </c>
      <c r="W272" s="9" t="str">
        <f aca="false">IF(A272="","",IF(SUMIF(OPERACIONES!$C$6:$C$505,A272,OPERACIONES!$E$6:$E$505)&gt;0,IF(SUMIF(OPERACIONES!$C$6:$C$505,A272,OPERACIONES!$F$6:$F$505)/SUMIF(OPERACIONES!$C$6:$C$505,A272,OPERACIONES!$E$6:$E$505)&gt;0.5,CONFIG!$B$20,IF(SUMIF(OPERACIONES!$C$6:$C$505,A272,OPERACIONES!$F$6:$F$505)&gt;0,CONFIG!$B$21,0)),0)+IF(COUNTIFS(OPERACIONES!$C$6:$C$505,A272,OPERACIONES!$AQ$6:$AQ$505,1)&gt;0,CONFIG!$B$22,0)+IF(COUNTIFS(OPERACIONES!$C$6:$C$505,A272,OPERACIONES!$H$6:$H$505,"Sí")&gt;0,CONFIG!$B$23,0))</f>
        <v/>
      </c>
      <c r="X272" s="9" t="str">
        <f aca="false">IF(A272="","",V272+W272)</f>
        <v/>
      </c>
      <c r="Y272" s="9" t="str">
        <f aca="false">IF(A272="","",IF(X272&lt;=CONFIG!$B$13,"Bajo",IF(X272&lt;=CONFIG!$B$14,"Medio","Alto")))</f>
        <v/>
      </c>
      <c r="Z272" s="25" t="str">
        <f aca="false">IF(A272="","",IF(OR(H272="Extranjera",AND(E272="No residente",G272="Sí"),I272="Sí"),"Alto",IF(T272&lt;&gt;"",T272,Y272)))</f>
        <v/>
      </c>
      <c r="AA272" s="26" t="str">
        <f aca="false">IF(A272="","",IF(H272="Extranjera","Alto obligatorio: PEP extranjera (RCG 23 Bis 4)",IF(AND(E272="No residente",G272="Sí"),"Alto obligatorio: no residente vinculado a jurisdicción de riesgo (RCG 23 Bis 4)",IF(I272="Sí","Alto por criterio: persona en listas. Evalúa no operar y Aviso de 24 h",IF(T272&lt;&gt;"","Ajuste del REC: "&amp;U272,"Modelo: "&amp;X272&amp;" puntos")))))</f>
        <v/>
      </c>
      <c r="AB272" s="23" t="str">
        <f aca="false">IF(A272="","",IF(COUNT(N272,O272)=0,"Falta fecha",EDATE(MAX(N272,O272),IF(Z272="Alto",CONFIG!$B$18,IF(Z272="Medio",CONFIG!$B$17,CONFIG!$B$16)))))</f>
        <v/>
      </c>
      <c r="AC272" s="23" t="str">
        <f aca="false">IF(A272="","",IF(ISNUMBER(S272),EDATE(S272,12),IF(ISNUMBER(N272),EDATE(N272,12),"Falta fecha")))</f>
        <v/>
      </c>
      <c r="AD272" s="26" t="str">
        <f aca="false">IF(A272="","",MID(IF(P272&lt;&gt;"Sí"," · Expediente incompleto","")&amp;IF(OR(Q272="",Q272="Pendiente")," · Falta el Beneficiario Controlador","")&amp;IF(M272=""," · Sin perfil transaccional","")&amp;IF(AND(ISNUMBER(AB272),AB272&lt;CONFIG!$B$6)," · Evaluación de riesgo vencida","")&amp;IF(AND(ISNUMBER(AC272),AC272&lt;CONFIG!$B$6)," · Verificación anual vencida","")&amp;IF(AND(ISNUMBER(R272),ISNUMBER(S272),S272-R272&gt;92)," · Comprobante de domicilio con más de 3 meses","")&amp;IF(AND(T272&lt;&gt;"",U272="")," · Ajuste del REC sin justificación",""),4,400))</f>
        <v/>
      </c>
      <c r="AE272" s="9" t="str">
        <f aca="false">IF(A272="","",IF(AD272="","Al día","Revisar"))</f>
        <v/>
      </c>
      <c r="AF272" s="9" t="str">
        <f aca="false">IF(A272="","",COUNTIF(OPERACIONES!$C$6:$C$505,A272)&amp;" / $"&amp;FIXED(SUMIF(OPERACIONES!$C$6:$C$505,A272,OPERACIONES!$E$6:$E$505),0))</f>
        <v/>
      </c>
    </row>
    <row r="273" customFormat="false" ht="15" hidden="false" customHeight="false" outlineLevel="0" collapsed="false">
      <c r="A273" s="21"/>
      <c r="B273" s="21"/>
      <c r="C273" s="21"/>
      <c r="D273" s="21"/>
      <c r="E273" s="21"/>
      <c r="F273" s="21"/>
      <c r="G273" s="21"/>
      <c r="H273" s="21"/>
      <c r="I273" s="21"/>
      <c r="J273" s="21"/>
      <c r="K273" s="21"/>
      <c r="L273" s="21"/>
      <c r="M273" s="22"/>
      <c r="N273" s="20"/>
      <c r="O273" s="20"/>
      <c r="P273" s="21"/>
      <c r="Q273" s="21"/>
      <c r="R273" s="20"/>
      <c r="S273" s="20"/>
      <c r="T273" s="21"/>
      <c r="U273" s="21"/>
      <c r="V273" s="9" t="str">
        <f aca="false">IF(A273="","",SUMIFS(CONFIG!$F$5:$F$26,CONFIG!$D$5:$D$26,"Tipo de persona",CONFIG!$E$5:$E$26,C273)+SUMIFS(CONFIG!$F$5:$F$26,CONFIG!$D$5:$D$26,"Residencia",CONFIG!$E$5:$E$26,E273)+SUMIFS(CONFIG!$F$5:$F$26,CONFIG!$D$5:$D$26,"Nacionalidad",CONFIG!$E$5:$E$26,F273)+SUMIFS(CONFIG!$F$5:$F$26,CONFIG!$D$5:$D$26,"Jurisdicción de riesgo",CONFIG!$E$5:$E$26,G273)+SUMIFS(CONFIG!$F$5:$F$26,CONFIG!$D$5:$D$26,"PEP",CONFIG!$E$5:$E$26,H273)+SUMIFS(CONFIG!$F$5:$F$26,CONFIG!$D$5:$D$26,"En listas",CONFIG!$E$5:$E$26,I273)+SUMIFS(CONFIG!$F$5:$F$26,CONFIG!$D$5:$D$26,"Riesgo de su actividad económica",CONFIG!$E$5:$E$26,J273)+SUMIFS(CONFIG!$F$5:$F$26,CONFIG!$D$5:$D$26,"Canal",CONFIG!$E$5:$E$26,K273)+SUMIFS(CONFIG!$F$5:$F$26,CONFIG!$D$5:$D$26,"Origen de recursos documentado",CONFIG!$E$5:$E$26,L273))</f>
        <v/>
      </c>
      <c r="W273" s="9" t="str">
        <f aca="false">IF(A273="","",IF(SUMIF(OPERACIONES!$C$6:$C$505,A273,OPERACIONES!$E$6:$E$505)&gt;0,IF(SUMIF(OPERACIONES!$C$6:$C$505,A273,OPERACIONES!$F$6:$F$505)/SUMIF(OPERACIONES!$C$6:$C$505,A273,OPERACIONES!$E$6:$E$505)&gt;0.5,CONFIG!$B$20,IF(SUMIF(OPERACIONES!$C$6:$C$505,A273,OPERACIONES!$F$6:$F$505)&gt;0,CONFIG!$B$21,0)),0)+IF(COUNTIFS(OPERACIONES!$C$6:$C$505,A273,OPERACIONES!$AQ$6:$AQ$505,1)&gt;0,CONFIG!$B$22,0)+IF(COUNTIFS(OPERACIONES!$C$6:$C$505,A273,OPERACIONES!$H$6:$H$505,"Sí")&gt;0,CONFIG!$B$23,0))</f>
        <v/>
      </c>
      <c r="X273" s="9" t="str">
        <f aca="false">IF(A273="","",V273+W273)</f>
        <v/>
      </c>
      <c r="Y273" s="9" t="str">
        <f aca="false">IF(A273="","",IF(X273&lt;=CONFIG!$B$13,"Bajo",IF(X273&lt;=CONFIG!$B$14,"Medio","Alto")))</f>
        <v/>
      </c>
      <c r="Z273" s="25" t="str">
        <f aca="false">IF(A273="","",IF(OR(H273="Extranjera",AND(E273="No residente",G273="Sí"),I273="Sí"),"Alto",IF(T273&lt;&gt;"",T273,Y273)))</f>
        <v/>
      </c>
      <c r="AA273" s="26" t="str">
        <f aca="false">IF(A273="","",IF(H273="Extranjera","Alto obligatorio: PEP extranjera (RCG 23 Bis 4)",IF(AND(E273="No residente",G273="Sí"),"Alto obligatorio: no residente vinculado a jurisdicción de riesgo (RCG 23 Bis 4)",IF(I273="Sí","Alto por criterio: persona en listas. Evalúa no operar y Aviso de 24 h",IF(T273&lt;&gt;"","Ajuste del REC: "&amp;U273,"Modelo: "&amp;X273&amp;" puntos")))))</f>
        <v/>
      </c>
      <c r="AB273" s="23" t="str">
        <f aca="false">IF(A273="","",IF(COUNT(N273,O273)=0,"Falta fecha",EDATE(MAX(N273,O273),IF(Z273="Alto",CONFIG!$B$18,IF(Z273="Medio",CONFIG!$B$17,CONFIG!$B$16)))))</f>
        <v/>
      </c>
      <c r="AC273" s="23" t="str">
        <f aca="false">IF(A273="","",IF(ISNUMBER(S273),EDATE(S273,12),IF(ISNUMBER(N273),EDATE(N273,12),"Falta fecha")))</f>
        <v/>
      </c>
      <c r="AD273" s="26" t="str">
        <f aca="false">IF(A273="","",MID(IF(P273&lt;&gt;"Sí"," · Expediente incompleto","")&amp;IF(OR(Q273="",Q273="Pendiente")," · Falta el Beneficiario Controlador","")&amp;IF(M273=""," · Sin perfil transaccional","")&amp;IF(AND(ISNUMBER(AB273),AB273&lt;CONFIG!$B$6)," · Evaluación de riesgo vencida","")&amp;IF(AND(ISNUMBER(AC273),AC273&lt;CONFIG!$B$6)," · Verificación anual vencida","")&amp;IF(AND(ISNUMBER(R273),ISNUMBER(S273),S273-R273&gt;92)," · Comprobante de domicilio con más de 3 meses","")&amp;IF(AND(T273&lt;&gt;"",U273="")," · Ajuste del REC sin justificación",""),4,400))</f>
        <v/>
      </c>
      <c r="AE273" s="9" t="str">
        <f aca="false">IF(A273="","",IF(AD273="","Al día","Revisar"))</f>
        <v/>
      </c>
      <c r="AF273" s="9" t="str">
        <f aca="false">IF(A273="","",COUNTIF(OPERACIONES!$C$6:$C$505,A273)&amp;" / $"&amp;FIXED(SUMIF(OPERACIONES!$C$6:$C$505,A273,OPERACIONES!$E$6:$E$505),0))</f>
        <v/>
      </c>
    </row>
    <row r="274" customFormat="false" ht="15" hidden="false" customHeight="false" outlineLevel="0" collapsed="false">
      <c r="A274" s="21"/>
      <c r="B274" s="21"/>
      <c r="C274" s="21"/>
      <c r="D274" s="21"/>
      <c r="E274" s="21"/>
      <c r="F274" s="21"/>
      <c r="G274" s="21"/>
      <c r="H274" s="21"/>
      <c r="I274" s="21"/>
      <c r="J274" s="21"/>
      <c r="K274" s="21"/>
      <c r="L274" s="21"/>
      <c r="M274" s="22"/>
      <c r="N274" s="20"/>
      <c r="O274" s="20"/>
      <c r="P274" s="21"/>
      <c r="Q274" s="21"/>
      <c r="R274" s="20"/>
      <c r="S274" s="20"/>
      <c r="T274" s="21"/>
      <c r="U274" s="21"/>
      <c r="V274" s="9" t="str">
        <f aca="false">IF(A274="","",SUMIFS(CONFIG!$F$5:$F$26,CONFIG!$D$5:$D$26,"Tipo de persona",CONFIG!$E$5:$E$26,C274)+SUMIFS(CONFIG!$F$5:$F$26,CONFIG!$D$5:$D$26,"Residencia",CONFIG!$E$5:$E$26,E274)+SUMIFS(CONFIG!$F$5:$F$26,CONFIG!$D$5:$D$26,"Nacionalidad",CONFIG!$E$5:$E$26,F274)+SUMIFS(CONFIG!$F$5:$F$26,CONFIG!$D$5:$D$26,"Jurisdicción de riesgo",CONFIG!$E$5:$E$26,G274)+SUMIFS(CONFIG!$F$5:$F$26,CONFIG!$D$5:$D$26,"PEP",CONFIG!$E$5:$E$26,H274)+SUMIFS(CONFIG!$F$5:$F$26,CONFIG!$D$5:$D$26,"En listas",CONFIG!$E$5:$E$26,I274)+SUMIFS(CONFIG!$F$5:$F$26,CONFIG!$D$5:$D$26,"Riesgo de su actividad económica",CONFIG!$E$5:$E$26,J274)+SUMIFS(CONFIG!$F$5:$F$26,CONFIG!$D$5:$D$26,"Canal",CONFIG!$E$5:$E$26,K274)+SUMIFS(CONFIG!$F$5:$F$26,CONFIG!$D$5:$D$26,"Origen de recursos documentado",CONFIG!$E$5:$E$26,L274))</f>
        <v/>
      </c>
      <c r="W274" s="9" t="str">
        <f aca="false">IF(A274="","",IF(SUMIF(OPERACIONES!$C$6:$C$505,A274,OPERACIONES!$E$6:$E$505)&gt;0,IF(SUMIF(OPERACIONES!$C$6:$C$505,A274,OPERACIONES!$F$6:$F$505)/SUMIF(OPERACIONES!$C$6:$C$505,A274,OPERACIONES!$E$6:$E$505)&gt;0.5,CONFIG!$B$20,IF(SUMIF(OPERACIONES!$C$6:$C$505,A274,OPERACIONES!$F$6:$F$505)&gt;0,CONFIG!$B$21,0)),0)+IF(COUNTIFS(OPERACIONES!$C$6:$C$505,A274,OPERACIONES!$AQ$6:$AQ$505,1)&gt;0,CONFIG!$B$22,0)+IF(COUNTIFS(OPERACIONES!$C$6:$C$505,A274,OPERACIONES!$H$6:$H$505,"Sí")&gt;0,CONFIG!$B$23,0))</f>
        <v/>
      </c>
      <c r="X274" s="9" t="str">
        <f aca="false">IF(A274="","",V274+W274)</f>
        <v/>
      </c>
      <c r="Y274" s="9" t="str">
        <f aca="false">IF(A274="","",IF(X274&lt;=CONFIG!$B$13,"Bajo",IF(X274&lt;=CONFIG!$B$14,"Medio","Alto")))</f>
        <v/>
      </c>
      <c r="Z274" s="25" t="str">
        <f aca="false">IF(A274="","",IF(OR(H274="Extranjera",AND(E274="No residente",G274="Sí"),I274="Sí"),"Alto",IF(T274&lt;&gt;"",T274,Y274)))</f>
        <v/>
      </c>
      <c r="AA274" s="26" t="str">
        <f aca="false">IF(A274="","",IF(H274="Extranjera","Alto obligatorio: PEP extranjera (RCG 23 Bis 4)",IF(AND(E274="No residente",G274="Sí"),"Alto obligatorio: no residente vinculado a jurisdicción de riesgo (RCG 23 Bis 4)",IF(I274="Sí","Alto por criterio: persona en listas. Evalúa no operar y Aviso de 24 h",IF(T274&lt;&gt;"","Ajuste del REC: "&amp;U274,"Modelo: "&amp;X274&amp;" puntos")))))</f>
        <v/>
      </c>
      <c r="AB274" s="23" t="str">
        <f aca="false">IF(A274="","",IF(COUNT(N274,O274)=0,"Falta fecha",EDATE(MAX(N274,O274),IF(Z274="Alto",CONFIG!$B$18,IF(Z274="Medio",CONFIG!$B$17,CONFIG!$B$16)))))</f>
        <v/>
      </c>
      <c r="AC274" s="23" t="str">
        <f aca="false">IF(A274="","",IF(ISNUMBER(S274),EDATE(S274,12),IF(ISNUMBER(N274),EDATE(N274,12),"Falta fecha")))</f>
        <v/>
      </c>
      <c r="AD274" s="26" t="str">
        <f aca="false">IF(A274="","",MID(IF(P274&lt;&gt;"Sí"," · Expediente incompleto","")&amp;IF(OR(Q274="",Q274="Pendiente")," · Falta el Beneficiario Controlador","")&amp;IF(M274=""," · Sin perfil transaccional","")&amp;IF(AND(ISNUMBER(AB274),AB274&lt;CONFIG!$B$6)," · Evaluación de riesgo vencida","")&amp;IF(AND(ISNUMBER(AC274),AC274&lt;CONFIG!$B$6)," · Verificación anual vencida","")&amp;IF(AND(ISNUMBER(R274),ISNUMBER(S274),S274-R274&gt;92)," · Comprobante de domicilio con más de 3 meses","")&amp;IF(AND(T274&lt;&gt;"",U274="")," · Ajuste del REC sin justificación",""),4,400))</f>
        <v/>
      </c>
      <c r="AE274" s="9" t="str">
        <f aca="false">IF(A274="","",IF(AD274="","Al día","Revisar"))</f>
        <v/>
      </c>
      <c r="AF274" s="9" t="str">
        <f aca="false">IF(A274="","",COUNTIF(OPERACIONES!$C$6:$C$505,A274)&amp;" / $"&amp;FIXED(SUMIF(OPERACIONES!$C$6:$C$505,A274,OPERACIONES!$E$6:$E$505),0))</f>
        <v/>
      </c>
    </row>
    <row r="275" customFormat="false" ht="15" hidden="false" customHeight="false" outlineLevel="0" collapsed="false">
      <c r="A275" s="21"/>
      <c r="B275" s="21"/>
      <c r="C275" s="21"/>
      <c r="D275" s="21"/>
      <c r="E275" s="21"/>
      <c r="F275" s="21"/>
      <c r="G275" s="21"/>
      <c r="H275" s="21"/>
      <c r="I275" s="21"/>
      <c r="J275" s="21"/>
      <c r="K275" s="21"/>
      <c r="L275" s="21"/>
      <c r="M275" s="22"/>
      <c r="N275" s="20"/>
      <c r="O275" s="20"/>
      <c r="P275" s="21"/>
      <c r="Q275" s="21"/>
      <c r="R275" s="20"/>
      <c r="S275" s="20"/>
      <c r="T275" s="21"/>
      <c r="U275" s="21"/>
      <c r="V275" s="9" t="str">
        <f aca="false">IF(A275="","",SUMIFS(CONFIG!$F$5:$F$26,CONFIG!$D$5:$D$26,"Tipo de persona",CONFIG!$E$5:$E$26,C275)+SUMIFS(CONFIG!$F$5:$F$26,CONFIG!$D$5:$D$26,"Residencia",CONFIG!$E$5:$E$26,E275)+SUMIFS(CONFIG!$F$5:$F$26,CONFIG!$D$5:$D$26,"Nacionalidad",CONFIG!$E$5:$E$26,F275)+SUMIFS(CONFIG!$F$5:$F$26,CONFIG!$D$5:$D$26,"Jurisdicción de riesgo",CONFIG!$E$5:$E$26,G275)+SUMIFS(CONFIG!$F$5:$F$26,CONFIG!$D$5:$D$26,"PEP",CONFIG!$E$5:$E$26,H275)+SUMIFS(CONFIG!$F$5:$F$26,CONFIG!$D$5:$D$26,"En listas",CONFIG!$E$5:$E$26,I275)+SUMIFS(CONFIG!$F$5:$F$26,CONFIG!$D$5:$D$26,"Riesgo de su actividad económica",CONFIG!$E$5:$E$26,J275)+SUMIFS(CONFIG!$F$5:$F$26,CONFIG!$D$5:$D$26,"Canal",CONFIG!$E$5:$E$26,K275)+SUMIFS(CONFIG!$F$5:$F$26,CONFIG!$D$5:$D$26,"Origen de recursos documentado",CONFIG!$E$5:$E$26,L275))</f>
        <v/>
      </c>
      <c r="W275" s="9" t="str">
        <f aca="false">IF(A275="","",IF(SUMIF(OPERACIONES!$C$6:$C$505,A275,OPERACIONES!$E$6:$E$505)&gt;0,IF(SUMIF(OPERACIONES!$C$6:$C$505,A275,OPERACIONES!$F$6:$F$505)/SUMIF(OPERACIONES!$C$6:$C$505,A275,OPERACIONES!$E$6:$E$505)&gt;0.5,CONFIG!$B$20,IF(SUMIF(OPERACIONES!$C$6:$C$505,A275,OPERACIONES!$F$6:$F$505)&gt;0,CONFIG!$B$21,0)),0)+IF(COUNTIFS(OPERACIONES!$C$6:$C$505,A275,OPERACIONES!$AQ$6:$AQ$505,1)&gt;0,CONFIG!$B$22,0)+IF(COUNTIFS(OPERACIONES!$C$6:$C$505,A275,OPERACIONES!$H$6:$H$505,"Sí")&gt;0,CONFIG!$B$23,0))</f>
        <v/>
      </c>
      <c r="X275" s="9" t="str">
        <f aca="false">IF(A275="","",V275+W275)</f>
        <v/>
      </c>
      <c r="Y275" s="9" t="str">
        <f aca="false">IF(A275="","",IF(X275&lt;=CONFIG!$B$13,"Bajo",IF(X275&lt;=CONFIG!$B$14,"Medio","Alto")))</f>
        <v/>
      </c>
      <c r="Z275" s="25" t="str">
        <f aca="false">IF(A275="","",IF(OR(H275="Extranjera",AND(E275="No residente",G275="Sí"),I275="Sí"),"Alto",IF(T275&lt;&gt;"",T275,Y275)))</f>
        <v/>
      </c>
      <c r="AA275" s="26" t="str">
        <f aca="false">IF(A275="","",IF(H275="Extranjera","Alto obligatorio: PEP extranjera (RCG 23 Bis 4)",IF(AND(E275="No residente",G275="Sí"),"Alto obligatorio: no residente vinculado a jurisdicción de riesgo (RCG 23 Bis 4)",IF(I275="Sí","Alto por criterio: persona en listas. Evalúa no operar y Aviso de 24 h",IF(T275&lt;&gt;"","Ajuste del REC: "&amp;U275,"Modelo: "&amp;X275&amp;" puntos")))))</f>
        <v/>
      </c>
      <c r="AB275" s="23" t="str">
        <f aca="false">IF(A275="","",IF(COUNT(N275,O275)=0,"Falta fecha",EDATE(MAX(N275,O275),IF(Z275="Alto",CONFIG!$B$18,IF(Z275="Medio",CONFIG!$B$17,CONFIG!$B$16)))))</f>
        <v/>
      </c>
      <c r="AC275" s="23" t="str">
        <f aca="false">IF(A275="","",IF(ISNUMBER(S275),EDATE(S275,12),IF(ISNUMBER(N275),EDATE(N275,12),"Falta fecha")))</f>
        <v/>
      </c>
      <c r="AD275" s="26" t="str">
        <f aca="false">IF(A275="","",MID(IF(P275&lt;&gt;"Sí"," · Expediente incompleto","")&amp;IF(OR(Q275="",Q275="Pendiente")," · Falta el Beneficiario Controlador","")&amp;IF(M275=""," · Sin perfil transaccional","")&amp;IF(AND(ISNUMBER(AB275),AB275&lt;CONFIG!$B$6)," · Evaluación de riesgo vencida","")&amp;IF(AND(ISNUMBER(AC275),AC275&lt;CONFIG!$B$6)," · Verificación anual vencida","")&amp;IF(AND(ISNUMBER(R275),ISNUMBER(S275),S275-R275&gt;92)," · Comprobante de domicilio con más de 3 meses","")&amp;IF(AND(T275&lt;&gt;"",U275="")," · Ajuste del REC sin justificación",""),4,400))</f>
        <v/>
      </c>
      <c r="AE275" s="9" t="str">
        <f aca="false">IF(A275="","",IF(AD275="","Al día","Revisar"))</f>
        <v/>
      </c>
      <c r="AF275" s="9" t="str">
        <f aca="false">IF(A275="","",COUNTIF(OPERACIONES!$C$6:$C$505,A275)&amp;" / $"&amp;FIXED(SUMIF(OPERACIONES!$C$6:$C$505,A275,OPERACIONES!$E$6:$E$505),0))</f>
        <v/>
      </c>
    </row>
    <row r="276" customFormat="false" ht="15" hidden="false" customHeight="false" outlineLevel="0" collapsed="false">
      <c r="A276" s="21"/>
      <c r="B276" s="21"/>
      <c r="C276" s="21"/>
      <c r="D276" s="21"/>
      <c r="E276" s="21"/>
      <c r="F276" s="21"/>
      <c r="G276" s="21"/>
      <c r="H276" s="21"/>
      <c r="I276" s="21"/>
      <c r="J276" s="21"/>
      <c r="K276" s="21"/>
      <c r="L276" s="21"/>
      <c r="M276" s="22"/>
      <c r="N276" s="20"/>
      <c r="O276" s="20"/>
      <c r="P276" s="21"/>
      <c r="Q276" s="21"/>
      <c r="R276" s="20"/>
      <c r="S276" s="20"/>
      <c r="T276" s="21"/>
      <c r="U276" s="21"/>
      <c r="V276" s="9" t="str">
        <f aca="false">IF(A276="","",SUMIFS(CONFIG!$F$5:$F$26,CONFIG!$D$5:$D$26,"Tipo de persona",CONFIG!$E$5:$E$26,C276)+SUMIFS(CONFIG!$F$5:$F$26,CONFIG!$D$5:$D$26,"Residencia",CONFIG!$E$5:$E$26,E276)+SUMIFS(CONFIG!$F$5:$F$26,CONFIG!$D$5:$D$26,"Nacionalidad",CONFIG!$E$5:$E$26,F276)+SUMIFS(CONFIG!$F$5:$F$26,CONFIG!$D$5:$D$26,"Jurisdicción de riesgo",CONFIG!$E$5:$E$26,G276)+SUMIFS(CONFIG!$F$5:$F$26,CONFIG!$D$5:$D$26,"PEP",CONFIG!$E$5:$E$26,H276)+SUMIFS(CONFIG!$F$5:$F$26,CONFIG!$D$5:$D$26,"En listas",CONFIG!$E$5:$E$26,I276)+SUMIFS(CONFIG!$F$5:$F$26,CONFIG!$D$5:$D$26,"Riesgo de su actividad económica",CONFIG!$E$5:$E$26,J276)+SUMIFS(CONFIG!$F$5:$F$26,CONFIG!$D$5:$D$26,"Canal",CONFIG!$E$5:$E$26,K276)+SUMIFS(CONFIG!$F$5:$F$26,CONFIG!$D$5:$D$26,"Origen de recursos documentado",CONFIG!$E$5:$E$26,L276))</f>
        <v/>
      </c>
      <c r="W276" s="9" t="str">
        <f aca="false">IF(A276="","",IF(SUMIF(OPERACIONES!$C$6:$C$505,A276,OPERACIONES!$E$6:$E$505)&gt;0,IF(SUMIF(OPERACIONES!$C$6:$C$505,A276,OPERACIONES!$F$6:$F$505)/SUMIF(OPERACIONES!$C$6:$C$505,A276,OPERACIONES!$E$6:$E$505)&gt;0.5,CONFIG!$B$20,IF(SUMIF(OPERACIONES!$C$6:$C$505,A276,OPERACIONES!$F$6:$F$505)&gt;0,CONFIG!$B$21,0)),0)+IF(COUNTIFS(OPERACIONES!$C$6:$C$505,A276,OPERACIONES!$AQ$6:$AQ$505,1)&gt;0,CONFIG!$B$22,0)+IF(COUNTIFS(OPERACIONES!$C$6:$C$505,A276,OPERACIONES!$H$6:$H$505,"Sí")&gt;0,CONFIG!$B$23,0))</f>
        <v/>
      </c>
      <c r="X276" s="9" t="str">
        <f aca="false">IF(A276="","",V276+W276)</f>
        <v/>
      </c>
      <c r="Y276" s="9" t="str">
        <f aca="false">IF(A276="","",IF(X276&lt;=CONFIG!$B$13,"Bajo",IF(X276&lt;=CONFIG!$B$14,"Medio","Alto")))</f>
        <v/>
      </c>
      <c r="Z276" s="25" t="str">
        <f aca="false">IF(A276="","",IF(OR(H276="Extranjera",AND(E276="No residente",G276="Sí"),I276="Sí"),"Alto",IF(T276&lt;&gt;"",T276,Y276)))</f>
        <v/>
      </c>
      <c r="AA276" s="26" t="str">
        <f aca="false">IF(A276="","",IF(H276="Extranjera","Alto obligatorio: PEP extranjera (RCG 23 Bis 4)",IF(AND(E276="No residente",G276="Sí"),"Alto obligatorio: no residente vinculado a jurisdicción de riesgo (RCG 23 Bis 4)",IF(I276="Sí","Alto por criterio: persona en listas. Evalúa no operar y Aviso de 24 h",IF(T276&lt;&gt;"","Ajuste del REC: "&amp;U276,"Modelo: "&amp;X276&amp;" puntos")))))</f>
        <v/>
      </c>
      <c r="AB276" s="23" t="str">
        <f aca="false">IF(A276="","",IF(COUNT(N276,O276)=0,"Falta fecha",EDATE(MAX(N276,O276),IF(Z276="Alto",CONFIG!$B$18,IF(Z276="Medio",CONFIG!$B$17,CONFIG!$B$16)))))</f>
        <v/>
      </c>
      <c r="AC276" s="23" t="str">
        <f aca="false">IF(A276="","",IF(ISNUMBER(S276),EDATE(S276,12),IF(ISNUMBER(N276),EDATE(N276,12),"Falta fecha")))</f>
        <v/>
      </c>
      <c r="AD276" s="26" t="str">
        <f aca="false">IF(A276="","",MID(IF(P276&lt;&gt;"Sí"," · Expediente incompleto","")&amp;IF(OR(Q276="",Q276="Pendiente")," · Falta el Beneficiario Controlador","")&amp;IF(M276=""," · Sin perfil transaccional","")&amp;IF(AND(ISNUMBER(AB276),AB276&lt;CONFIG!$B$6)," · Evaluación de riesgo vencida","")&amp;IF(AND(ISNUMBER(AC276),AC276&lt;CONFIG!$B$6)," · Verificación anual vencida","")&amp;IF(AND(ISNUMBER(R276),ISNUMBER(S276),S276-R276&gt;92)," · Comprobante de domicilio con más de 3 meses","")&amp;IF(AND(T276&lt;&gt;"",U276="")," · Ajuste del REC sin justificación",""),4,400))</f>
        <v/>
      </c>
      <c r="AE276" s="9" t="str">
        <f aca="false">IF(A276="","",IF(AD276="","Al día","Revisar"))</f>
        <v/>
      </c>
      <c r="AF276" s="9" t="str">
        <f aca="false">IF(A276="","",COUNTIF(OPERACIONES!$C$6:$C$505,A276)&amp;" / $"&amp;FIXED(SUMIF(OPERACIONES!$C$6:$C$505,A276,OPERACIONES!$E$6:$E$505),0))</f>
        <v/>
      </c>
    </row>
    <row r="277" customFormat="false" ht="15" hidden="false" customHeight="false" outlineLevel="0" collapsed="false">
      <c r="A277" s="21"/>
      <c r="B277" s="21"/>
      <c r="C277" s="21"/>
      <c r="D277" s="21"/>
      <c r="E277" s="21"/>
      <c r="F277" s="21"/>
      <c r="G277" s="21"/>
      <c r="H277" s="21"/>
      <c r="I277" s="21"/>
      <c r="J277" s="21"/>
      <c r="K277" s="21"/>
      <c r="L277" s="21"/>
      <c r="M277" s="22"/>
      <c r="N277" s="20"/>
      <c r="O277" s="20"/>
      <c r="P277" s="21"/>
      <c r="Q277" s="21"/>
      <c r="R277" s="20"/>
      <c r="S277" s="20"/>
      <c r="T277" s="21"/>
      <c r="U277" s="21"/>
      <c r="V277" s="9" t="str">
        <f aca="false">IF(A277="","",SUMIFS(CONFIG!$F$5:$F$26,CONFIG!$D$5:$D$26,"Tipo de persona",CONFIG!$E$5:$E$26,C277)+SUMIFS(CONFIG!$F$5:$F$26,CONFIG!$D$5:$D$26,"Residencia",CONFIG!$E$5:$E$26,E277)+SUMIFS(CONFIG!$F$5:$F$26,CONFIG!$D$5:$D$26,"Nacionalidad",CONFIG!$E$5:$E$26,F277)+SUMIFS(CONFIG!$F$5:$F$26,CONFIG!$D$5:$D$26,"Jurisdicción de riesgo",CONFIG!$E$5:$E$26,G277)+SUMIFS(CONFIG!$F$5:$F$26,CONFIG!$D$5:$D$26,"PEP",CONFIG!$E$5:$E$26,H277)+SUMIFS(CONFIG!$F$5:$F$26,CONFIG!$D$5:$D$26,"En listas",CONFIG!$E$5:$E$26,I277)+SUMIFS(CONFIG!$F$5:$F$26,CONFIG!$D$5:$D$26,"Riesgo de su actividad económica",CONFIG!$E$5:$E$26,J277)+SUMIFS(CONFIG!$F$5:$F$26,CONFIG!$D$5:$D$26,"Canal",CONFIG!$E$5:$E$26,K277)+SUMIFS(CONFIG!$F$5:$F$26,CONFIG!$D$5:$D$26,"Origen de recursos documentado",CONFIG!$E$5:$E$26,L277))</f>
        <v/>
      </c>
      <c r="W277" s="9" t="str">
        <f aca="false">IF(A277="","",IF(SUMIF(OPERACIONES!$C$6:$C$505,A277,OPERACIONES!$E$6:$E$505)&gt;0,IF(SUMIF(OPERACIONES!$C$6:$C$505,A277,OPERACIONES!$F$6:$F$505)/SUMIF(OPERACIONES!$C$6:$C$505,A277,OPERACIONES!$E$6:$E$505)&gt;0.5,CONFIG!$B$20,IF(SUMIF(OPERACIONES!$C$6:$C$505,A277,OPERACIONES!$F$6:$F$505)&gt;0,CONFIG!$B$21,0)),0)+IF(COUNTIFS(OPERACIONES!$C$6:$C$505,A277,OPERACIONES!$AQ$6:$AQ$505,1)&gt;0,CONFIG!$B$22,0)+IF(COUNTIFS(OPERACIONES!$C$6:$C$505,A277,OPERACIONES!$H$6:$H$505,"Sí")&gt;0,CONFIG!$B$23,0))</f>
        <v/>
      </c>
      <c r="X277" s="9" t="str">
        <f aca="false">IF(A277="","",V277+W277)</f>
        <v/>
      </c>
      <c r="Y277" s="9" t="str">
        <f aca="false">IF(A277="","",IF(X277&lt;=CONFIG!$B$13,"Bajo",IF(X277&lt;=CONFIG!$B$14,"Medio","Alto")))</f>
        <v/>
      </c>
      <c r="Z277" s="25" t="str">
        <f aca="false">IF(A277="","",IF(OR(H277="Extranjera",AND(E277="No residente",G277="Sí"),I277="Sí"),"Alto",IF(T277&lt;&gt;"",T277,Y277)))</f>
        <v/>
      </c>
      <c r="AA277" s="26" t="str">
        <f aca="false">IF(A277="","",IF(H277="Extranjera","Alto obligatorio: PEP extranjera (RCG 23 Bis 4)",IF(AND(E277="No residente",G277="Sí"),"Alto obligatorio: no residente vinculado a jurisdicción de riesgo (RCG 23 Bis 4)",IF(I277="Sí","Alto por criterio: persona en listas. Evalúa no operar y Aviso de 24 h",IF(T277&lt;&gt;"","Ajuste del REC: "&amp;U277,"Modelo: "&amp;X277&amp;" puntos")))))</f>
        <v/>
      </c>
      <c r="AB277" s="23" t="str">
        <f aca="false">IF(A277="","",IF(COUNT(N277,O277)=0,"Falta fecha",EDATE(MAX(N277,O277),IF(Z277="Alto",CONFIG!$B$18,IF(Z277="Medio",CONFIG!$B$17,CONFIG!$B$16)))))</f>
        <v/>
      </c>
      <c r="AC277" s="23" t="str">
        <f aca="false">IF(A277="","",IF(ISNUMBER(S277),EDATE(S277,12),IF(ISNUMBER(N277),EDATE(N277,12),"Falta fecha")))</f>
        <v/>
      </c>
      <c r="AD277" s="26" t="str">
        <f aca="false">IF(A277="","",MID(IF(P277&lt;&gt;"Sí"," · Expediente incompleto","")&amp;IF(OR(Q277="",Q277="Pendiente")," · Falta el Beneficiario Controlador","")&amp;IF(M277=""," · Sin perfil transaccional","")&amp;IF(AND(ISNUMBER(AB277),AB277&lt;CONFIG!$B$6)," · Evaluación de riesgo vencida","")&amp;IF(AND(ISNUMBER(AC277),AC277&lt;CONFIG!$B$6)," · Verificación anual vencida","")&amp;IF(AND(ISNUMBER(R277),ISNUMBER(S277),S277-R277&gt;92)," · Comprobante de domicilio con más de 3 meses","")&amp;IF(AND(T277&lt;&gt;"",U277="")," · Ajuste del REC sin justificación",""),4,400))</f>
        <v/>
      </c>
      <c r="AE277" s="9" t="str">
        <f aca="false">IF(A277="","",IF(AD277="","Al día","Revisar"))</f>
        <v/>
      </c>
      <c r="AF277" s="9" t="str">
        <f aca="false">IF(A277="","",COUNTIF(OPERACIONES!$C$6:$C$505,A277)&amp;" / $"&amp;FIXED(SUMIF(OPERACIONES!$C$6:$C$505,A277,OPERACIONES!$E$6:$E$505),0))</f>
        <v/>
      </c>
    </row>
    <row r="278" customFormat="false" ht="15" hidden="false" customHeight="false" outlineLevel="0" collapsed="false">
      <c r="A278" s="21"/>
      <c r="B278" s="21"/>
      <c r="C278" s="21"/>
      <c r="D278" s="21"/>
      <c r="E278" s="21"/>
      <c r="F278" s="21"/>
      <c r="G278" s="21"/>
      <c r="H278" s="21"/>
      <c r="I278" s="21"/>
      <c r="J278" s="21"/>
      <c r="K278" s="21"/>
      <c r="L278" s="21"/>
      <c r="M278" s="22"/>
      <c r="N278" s="20"/>
      <c r="O278" s="20"/>
      <c r="P278" s="21"/>
      <c r="Q278" s="21"/>
      <c r="R278" s="20"/>
      <c r="S278" s="20"/>
      <c r="T278" s="21"/>
      <c r="U278" s="21"/>
      <c r="V278" s="9" t="str">
        <f aca="false">IF(A278="","",SUMIFS(CONFIG!$F$5:$F$26,CONFIG!$D$5:$D$26,"Tipo de persona",CONFIG!$E$5:$E$26,C278)+SUMIFS(CONFIG!$F$5:$F$26,CONFIG!$D$5:$D$26,"Residencia",CONFIG!$E$5:$E$26,E278)+SUMIFS(CONFIG!$F$5:$F$26,CONFIG!$D$5:$D$26,"Nacionalidad",CONFIG!$E$5:$E$26,F278)+SUMIFS(CONFIG!$F$5:$F$26,CONFIG!$D$5:$D$26,"Jurisdicción de riesgo",CONFIG!$E$5:$E$26,G278)+SUMIFS(CONFIG!$F$5:$F$26,CONFIG!$D$5:$D$26,"PEP",CONFIG!$E$5:$E$26,H278)+SUMIFS(CONFIG!$F$5:$F$26,CONFIG!$D$5:$D$26,"En listas",CONFIG!$E$5:$E$26,I278)+SUMIFS(CONFIG!$F$5:$F$26,CONFIG!$D$5:$D$26,"Riesgo de su actividad económica",CONFIG!$E$5:$E$26,J278)+SUMIFS(CONFIG!$F$5:$F$26,CONFIG!$D$5:$D$26,"Canal",CONFIG!$E$5:$E$26,K278)+SUMIFS(CONFIG!$F$5:$F$26,CONFIG!$D$5:$D$26,"Origen de recursos documentado",CONFIG!$E$5:$E$26,L278))</f>
        <v/>
      </c>
      <c r="W278" s="9" t="str">
        <f aca="false">IF(A278="","",IF(SUMIF(OPERACIONES!$C$6:$C$505,A278,OPERACIONES!$E$6:$E$505)&gt;0,IF(SUMIF(OPERACIONES!$C$6:$C$505,A278,OPERACIONES!$F$6:$F$505)/SUMIF(OPERACIONES!$C$6:$C$505,A278,OPERACIONES!$E$6:$E$505)&gt;0.5,CONFIG!$B$20,IF(SUMIF(OPERACIONES!$C$6:$C$505,A278,OPERACIONES!$F$6:$F$505)&gt;0,CONFIG!$B$21,0)),0)+IF(COUNTIFS(OPERACIONES!$C$6:$C$505,A278,OPERACIONES!$AQ$6:$AQ$505,1)&gt;0,CONFIG!$B$22,0)+IF(COUNTIFS(OPERACIONES!$C$6:$C$505,A278,OPERACIONES!$H$6:$H$505,"Sí")&gt;0,CONFIG!$B$23,0))</f>
        <v/>
      </c>
      <c r="X278" s="9" t="str">
        <f aca="false">IF(A278="","",V278+W278)</f>
        <v/>
      </c>
      <c r="Y278" s="9" t="str">
        <f aca="false">IF(A278="","",IF(X278&lt;=CONFIG!$B$13,"Bajo",IF(X278&lt;=CONFIG!$B$14,"Medio","Alto")))</f>
        <v/>
      </c>
      <c r="Z278" s="25" t="str">
        <f aca="false">IF(A278="","",IF(OR(H278="Extranjera",AND(E278="No residente",G278="Sí"),I278="Sí"),"Alto",IF(T278&lt;&gt;"",T278,Y278)))</f>
        <v/>
      </c>
      <c r="AA278" s="26" t="str">
        <f aca="false">IF(A278="","",IF(H278="Extranjera","Alto obligatorio: PEP extranjera (RCG 23 Bis 4)",IF(AND(E278="No residente",G278="Sí"),"Alto obligatorio: no residente vinculado a jurisdicción de riesgo (RCG 23 Bis 4)",IF(I278="Sí","Alto por criterio: persona en listas. Evalúa no operar y Aviso de 24 h",IF(T278&lt;&gt;"","Ajuste del REC: "&amp;U278,"Modelo: "&amp;X278&amp;" puntos")))))</f>
        <v/>
      </c>
      <c r="AB278" s="23" t="str">
        <f aca="false">IF(A278="","",IF(COUNT(N278,O278)=0,"Falta fecha",EDATE(MAX(N278,O278),IF(Z278="Alto",CONFIG!$B$18,IF(Z278="Medio",CONFIG!$B$17,CONFIG!$B$16)))))</f>
        <v/>
      </c>
      <c r="AC278" s="23" t="str">
        <f aca="false">IF(A278="","",IF(ISNUMBER(S278),EDATE(S278,12),IF(ISNUMBER(N278),EDATE(N278,12),"Falta fecha")))</f>
        <v/>
      </c>
      <c r="AD278" s="26" t="str">
        <f aca="false">IF(A278="","",MID(IF(P278&lt;&gt;"Sí"," · Expediente incompleto","")&amp;IF(OR(Q278="",Q278="Pendiente")," · Falta el Beneficiario Controlador","")&amp;IF(M278=""," · Sin perfil transaccional","")&amp;IF(AND(ISNUMBER(AB278),AB278&lt;CONFIG!$B$6)," · Evaluación de riesgo vencida","")&amp;IF(AND(ISNUMBER(AC278),AC278&lt;CONFIG!$B$6)," · Verificación anual vencida","")&amp;IF(AND(ISNUMBER(R278),ISNUMBER(S278),S278-R278&gt;92)," · Comprobante de domicilio con más de 3 meses","")&amp;IF(AND(T278&lt;&gt;"",U278="")," · Ajuste del REC sin justificación",""),4,400))</f>
        <v/>
      </c>
      <c r="AE278" s="9" t="str">
        <f aca="false">IF(A278="","",IF(AD278="","Al día","Revisar"))</f>
        <v/>
      </c>
      <c r="AF278" s="9" t="str">
        <f aca="false">IF(A278="","",COUNTIF(OPERACIONES!$C$6:$C$505,A278)&amp;" / $"&amp;FIXED(SUMIF(OPERACIONES!$C$6:$C$505,A278,OPERACIONES!$E$6:$E$505),0))</f>
        <v/>
      </c>
    </row>
    <row r="279" customFormat="false" ht="15" hidden="false" customHeight="false" outlineLevel="0" collapsed="false">
      <c r="A279" s="21"/>
      <c r="B279" s="21"/>
      <c r="C279" s="21"/>
      <c r="D279" s="21"/>
      <c r="E279" s="21"/>
      <c r="F279" s="21"/>
      <c r="G279" s="21"/>
      <c r="H279" s="21"/>
      <c r="I279" s="21"/>
      <c r="J279" s="21"/>
      <c r="K279" s="21"/>
      <c r="L279" s="21"/>
      <c r="M279" s="22"/>
      <c r="N279" s="20"/>
      <c r="O279" s="20"/>
      <c r="P279" s="21"/>
      <c r="Q279" s="21"/>
      <c r="R279" s="20"/>
      <c r="S279" s="20"/>
      <c r="T279" s="21"/>
      <c r="U279" s="21"/>
      <c r="V279" s="9" t="str">
        <f aca="false">IF(A279="","",SUMIFS(CONFIG!$F$5:$F$26,CONFIG!$D$5:$D$26,"Tipo de persona",CONFIG!$E$5:$E$26,C279)+SUMIFS(CONFIG!$F$5:$F$26,CONFIG!$D$5:$D$26,"Residencia",CONFIG!$E$5:$E$26,E279)+SUMIFS(CONFIG!$F$5:$F$26,CONFIG!$D$5:$D$26,"Nacionalidad",CONFIG!$E$5:$E$26,F279)+SUMIFS(CONFIG!$F$5:$F$26,CONFIG!$D$5:$D$26,"Jurisdicción de riesgo",CONFIG!$E$5:$E$26,G279)+SUMIFS(CONFIG!$F$5:$F$26,CONFIG!$D$5:$D$26,"PEP",CONFIG!$E$5:$E$26,H279)+SUMIFS(CONFIG!$F$5:$F$26,CONFIG!$D$5:$D$26,"En listas",CONFIG!$E$5:$E$26,I279)+SUMIFS(CONFIG!$F$5:$F$26,CONFIG!$D$5:$D$26,"Riesgo de su actividad económica",CONFIG!$E$5:$E$26,J279)+SUMIFS(CONFIG!$F$5:$F$26,CONFIG!$D$5:$D$26,"Canal",CONFIG!$E$5:$E$26,K279)+SUMIFS(CONFIG!$F$5:$F$26,CONFIG!$D$5:$D$26,"Origen de recursos documentado",CONFIG!$E$5:$E$26,L279))</f>
        <v/>
      </c>
      <c r="W279" s="9" t="str">
        <f aca="false">IF(A279="","",IF(SUMIF(OPERACIONES!$C$6:$C$505,A279,OPERACIONES!$E$6:$E$505)&gt;0,IF(SUMIF(OPERACIONES!$C$6:$C$505,A279,OPERACIONES!$F$6:$F$505)/SUMIF(OPERACIONES!$C$6:$C$505,A279,OPERACIONES!$E$6:$E$505)&gt;0.5,CONFIG!$B$20,IF(SUMIF(OPERACIONES!$C$6:$C$505,A279,OPERACIONES!$F$6:$F$505)&gt;0,CONFIG!$B$21,0)),0)+IF(COUNTIFS(OPERACIONES!$C$6:$C$505,A279,OPERACIONES!$AQ$6:$AQ$505,1)&gt;0,CONFIG!$B$22,0)+IF(COUNTIFS(OPERACIONES!$C$6:$C$505,A279,OPERACIONES!$H$6:$H$505,"Sí")&gt;0,CONFIG!$B$23,0))</f>
        <v/>
      </c>
      <c r="X279" s="9" t="str">
        <f aca="false">IF(A279="","",V279+W279)</f>
        <v/>
      </c>
      <c r="Y279" s="9" t="str">
        <f aca="false">IF(A279="","",IF(X279&lt;=CONFIG!$B$13,"Bajo",IF(X279&lt;=CONFIG!$B$14,"Medio","Alto")))</f>
        <v/>
      </c>
      <c r="Z279" s="25" t="str">
        <f aca="false">IF(A279="","",IF(OR(H279="Extranjera",AND(E279="No residente",G279="Sí"),I279="Sí"),"Alto",IF(T279&lt;&gt;"",T279,Y279)))</f>
        <v/>
      </c>
      <c r="AA279" s="26" t="str">
        <f aca="false">IF(A279="","",IF(H279="Extranjera","Alto obligatorio: PEP extranjera (RCG 23 Bis 4)",IF(AND(E279="No residente",G279="Sí"),"Alto obligatorio: no residente vinculado a jurisdicción de riesgo (RCG 23 Bis 4)",IF(I279="Sí","Alto por criterio: persona en listas. Evalúa no operar y Aviso de 24 h",IF(T279&lt;&gt;"","Ajuste del REC: "&amp;U279,"Modelo: "&amp;X279&amp;" puntos")))))</f>
        <v/>
      </c>
      <c r="AB279" s="23" t="str">
        <f aca="false">IF(A279="","",IF(COUNT(N279,O279)=0,"Falta fecha",EDATE(MAX(N279,O279),IF(Z279="Alto",CONFIG!$B$18,IF(Z279="Medio",CONFIG!$B$17,CONFIG!$B$16)))))</f>
        <v/>
      </c>
      <c r="AC279" s="23" t="str">
        <f aca="false">IF(A279="","",IF(ISNUMBER(S279),EDATE(S279,12),IF(ISNUMBER(N279),EDATE(N279,12),"Falta fecha")))</f>
        <v/>
      </c>
      <c r="AD279" s="26" t="str">
        <f aca="false">IF(A279="","",MID(IF(P279&lt;&gt;"Sí"," · Expediente incompleto","")&amp;IF(OR(Q279="",Q279="Pendiente")," · Falta el Beneficiario Controlador","")&amp;IF(M279=""," · Sin perfil transaccional","")&amp;IF(AND(ISNUMBER(AB279),AB279&lt;CONFIG!$B$6)," · Evaluación de riesgo vencida","")&amp;IF(AND(ISNUMBER(AC279),AC279&lt;CONFIG!$B$6)," · Verificación anual vencida","")&amp;IF(AND(ISNUMBER(R279),ISNUMBER(S279),S279-R279&gt;92)," · Comprobante de domicilio con más de 3 meses","")&amp;IF(AND(T279&lt;&gt;"",U279="")," · Ajuste del REC sin justificación",""),4,400))</f>
        <v/>
      </c>
      <c r="AE279" s="9" t="str">
        <f aca="false">IF(A279="","",IF(AD279="","Al día","Revisar"))</f>
        <v/>
      </c>
      <c r="AF279" s="9" t="str">
        <f aca="false">IF(A279="","",COUNTIF(OPERACIONES!$C$6:$C$505,A279)&amp;" / $"&amp;FIXED(SUMIF(OPERACIONES!$C$6:$C$505,A279,OPERACIONES!$E$6:$E$505),0))</f>
        <v/>
      </c>
    </row>
    <row r="280" customFormat="false" ht="15" hidden="false" customHeight="false" outlineLevel="0" collapsed="false">
      <c r="A280" s="21"/>
      <c r="B280" s="21"/>
      <c r="C280" s="21"/>
      <c r="D280" s="21"/>
      <c r="E280" s="21"/>
      <c r="F280" s="21"/>
      <c r="G280" s="21"/>
      <c r="H280" s="21"/>
      <c r="I280" s="21"/>
      <c r="J280" s="21"/>
      <c r="K280" s="21"/>
      <c r="L280" s="21"/>
      <c r="M280" s="22"/>
      <c r="N280" s="20"/>
      <c r="O280" s="20"/>
      <c r="P280" s="21"/>
      <c r="Q280" s="21"/>
      <c r="R280" s="20"/>
      <c r="S280" s="20"/>
      <c r="T280" s="21"/>
      <c r="U280" s="21"/>
      <c r="V280" s="9" t="str">
        <f aca="false">IF(A280="","",SUMIFS(CONFIG!$F$5:$F$26,CONFIG!$D$5:$D$26,"Tipo de persona",CONFIG!$E$5:$E$26,C280)+SUMIFS(CONFIG!$F$5:$F$26,CONFIG!$D$5:$D$26,"Residencia",CONFIG!$E$5:$E$26,E280)+SUMIFS(CONFIG!$F$5:$F$26,CONFIG!$D$5:$D$26,"Nacionalidad",CONFIG!$E$5:$E$26,F280)+SUMIFS(CONFIG!$F$5:$F$26,CONFIG!$D$5:$D$26,"Jurisdicción de riesgo",CONFIG!$E$5:$E$26,G280)+SUMIFS(CONFIG!$F$5:$F$26,CONFIG!$D$5:$D$26,"PEP",CONFIG!$E$5:$E$26,H280)+SUMIFS(CONFIG!$F$5:$F$26,CONFIG!$D$5:$D$26,"En listas",CONFIG!$E$5:$E$26,I280)+SUMIFS(CONFIG!$F$5:$F$26,CONFIG!$D$5:$D$26,"Riesgo de su actividad económica",CONFIG!$E$5:$E$26,J280)+SUMIFS(CONFIG!$F$5:$F$26,CONFIG!$D$5:$D$26,"Canal",CONFIG!$E$5:$E$26,K280)+SUMIFS(CONFIG!$F$5:$F$26,CONFIG!$D$5:$D$26,"Origen de recursos documentado",CONFIG!$E$5:$E$26,L280))</f>
        <v/>
      </c>
      <c r="W280" s="9" t="str">
        <f aca="false">IF(A280="","",IF(SUMIF(OPERACIONES!$C$6:$C$505,A280,OPERACIONES!$E$6:$E$505)&gt;0,IF(SUMIF(OPERACIONES!$C$6:$C$505,A280,OPERACIONES!$F$6:$F$505)/SUMIF(OPERACIONES!$C$6:$C$505,A280,OPERACIONES!$E$6:$E$505)&gt;0.5,CONFIG!$B$20,IF(SUMIF(OPERACIONES!$C$6:$C$505,A280,OPERACIONES!$F$6:$F$505)&gt;0,CONFIG!$B$21,0)),0)+IF(COUNTIFS(OPERACIONES!$C$6:$C$505,A280,OPERACIONES!$AQ$6:$AQ$505,1)&gt;0,CONFIG!$B$22,0)+IF(COUNTIFS(OPERACIONES!$C$6:$C$505,A280,OPERACIONES!$H$6:$H$505,"Sí")&gt;0,CONFIG!$B$23,0))</f>
        <v/>
      </c>
      <c r="X280" s="9" t="str">
        <f aca="false">IF(A280="","",V280+W280)</f>
        <v/>
      </c>
      <c r="Y280" s="9" t="str">
        <f aca="false">IF(A280="","",IF(X280&lt;=CONFIG!$B$13,"Bajo",IF(X280&lt;=CONFIG!$B$14,"Medio","Alto")))</f>
        <v/>
      </c>
      <c r="Z280" s="25" t="str">
        <f aca="false">IF(A280="","",IF(OR(H280="Extranjera",AND(E280="No residente",G280="Sí"),I280="Sí"),"Alto",IF(T280&lt;&gt;"",T280,Y280)))</f>
        <v/>
      </c>
      <c r="AA280" s="26" t="str">
        <f aca="false">IF(A280="","",IF(H280="Extranjera","Alto obligatorio: PEP extranjera (RCG 23 Bis 4)",IF(AND(E280="No residente",G280="Sí"),"Alto obligatorio: no residente vinculado a jurisdicción de riesgo (RCG 23 Bis 4)",IF(I280="Sí","Alto por criterio: persona en listas. Evalúa no operar y Aviso de 24 h",IF(T280&lt;&gt;"","Ajuste del REC: "&amp;U280,"Modelo: "&amp;X280&amp;" puntos")))))</f>
        <v/>
      </c>
      <c r="AB280" s="23" t="str">
        <f aca="false">IF(A280="","",IF(COUNT(N280,O280)=0,"Falta fecha",EDATE(MAX(N280,O280),IF(Z280="Alto",CONFIG!$B$18,IF(Z280="Medio",CONFIG!$B$17,CONFIG!$B$16)))))</f>
        <v/>
      </c>
      <c r="AC280" s="23" t="str">
        <f aca="false">IF(A280="","",IF(ISNUMBER(S280),EDATE(S280,12),IF(ISNUMBER(N280),EDATE(N280,12),"Falta fecha")))</f>
        <v/>
      </c>
      <c r="AD280" s="26" t="str">
        <f aca="false">IF(A280="","",MID(IF(P280&lt;&gt;"Sí"," · Expediente incompleto","")&amp;IF(OR(Q280="",Q280="Pendiente")," · Falta el Beneficiario Controlador","")&amp;IF(M280=""," · Sin perfil transaccional","")&amp;IF(AND(ISNUMBER(AB280),AB280&lt;CONFIG!$B$6)," · Evaluación de riesgo vencida","")&amp;IF(AND(ISNUMBER(AC280),AC280&lt;CONFIG!$B$6)," · Verificación anual vencida","")&amp;IF(AND(ISNUMBER(R280),ISNUMBER(S280),S280-R280&gt;92)," · Comprobante de domicilio con más de 3 meses","")&amp;IF(AND(T280&lt;&gt;"",U280="")," · Ajuste del REC sin justificación",""),4,400))</f>
        <v/>
      </c>
      <c r="AE280" s="9" t="str">
        <f aca="false">IF(A280="","",IF(AD280="","Al día","Revisar"))</f>
        <v/>
      </c>
      <c r="AF280" s="9" t="str">
        <f aca="false">IF(A280="","",COUNTIF(OPERACIONES!$C$6:$C$505,A280)&amp;" / $"&amp;FIXED(SUMIF(OPERACIONES!$C$6:$C$505,A280,OPERACIONES!$E$6:$E$505),0))</f>
        <v/>
      </c>
    </row>
    <row r="281" customFormat="false" ht="15" hidden="false" customHeight="false" outlineLevel="0" collapsed="false">
      <c r="A281" s="21"/>
      <c r="B281" s="21"/>
      <c r="C281" s="21"/>
      <c r="D281" s="21"/>
      <c r="E281" s="21"/>
      <c r="F281" s="21"/>
      <c r="G281" s="21"/>
      <c r="H281" s="21"/>
      <c r="I281" s="21"/>
      <c r="J281" s="21"/>
      <c r="K281" s="21"/>
      <c r="L281" s="21"/>
      <c r="M281" s="22"/>
      <c r="N281" s="20"/>
      <c r="O281" s="20"/>
      <c r="P281" s="21"/>
      <c r="Q281" s="21"/>
      <c r="R281" s="20"/>
      <c r="S281" s="20"/>
      <c r="T281" s="21"/>
      <c r="U281" s="21"/>
      <c r="V281" s="9" t="str">
        <f aca="false">IF(A281="","",SUMIFS(CONFIG!$F$5:$F$26,CONFIG!$D$5:$D$26,"Tipo de persona",CONFIG!$E$5:$E$26,C281)+SUMIFS(CONFIG!$F$5:$F$26,CONFIG!$D$5:$D$26,"Residencia",CONFIG!$E$5:$E$26,E281)+SUMIFS(CONFIG!$F$5:$F$26,CONFIG!$D$5:$D$26,"Nacionalidad",CONFIG!$E$5:$E$26,F281)+SUMIFS(CONFIG!$F$5:$F$26,CONFIG!$D$5:$D$26,"Jurisdicción de riesgo",CONFIG!$E$5:$E$26,G281)+SUMIFS(CONFIG!$F$5:$F$26,CONFIG!$D$5:$D$26,"PEP",CONFIG!$E$5:$E$26,H281)+SUMIFS(CONFIG!$F$5:$F$26,CONFIG!$D$5:$D$26,"En listas",CONFIG!$E$5:$E$26,I281)+SUMIFS(CONFIG!$F$5:$F$26,CONFIG!$D$5:$D$26,"Riesgo de su actividad económica",CONFIG!$E$5:$E$26,J281)+SUMIFS(CONFIG!$F$5:$F$26,CONFIG!$D$5:$D$26,"Canal",CONFIG!$E$5:$E$26,K281)+SUMIFS(CONFIG!$F$5:$F$26,CONFIG!$D$5:$D$26,"Origen de recursos documentado",CONFIG!$E$5:$E$26,L281))</f>
        <v/>
      </c>
      <c r="W281" s="9" t="str">
        <f aca="false">IF(A281="","",IF(SUMIF(OPERACIONES!$C$6:$C$505,A281,OPERACIONES!$E$6:$E$505)&gt;0,IF(SUMIF(OPERACIONES!$C$6:$C$505,A281,OPERACIONES!$F$6:$F$505)/SUMIF(OPERACIONES!$C$6:$C$505,A281,OPERACIONES!$E$6:$E$505)&gt;0.5,CONFIG!$B$20,IF(SUMIF(OPERACIONES!$C$6:$C$505,A281,OPERACIONES!$F$6:$F$505)&gt;0,CONFIG!$B$21,0)),0)+IF(COUNTIFS(OPERACIONES!$C$6:$C$505,A281,OPERACIONES!$AQ$6:$AQ$505,1)&gt;0,CONFIG!$B$22,0)+IF(COUNTIFS(OPERACIONES!$C$6:$C$505,A281,OPERACIONES!$H$6:$H$505,"Sí")&gt;0,CONFIG!$B$23,0))</f>
        <v/>
      </c>
      <c r="X281" s="9" t="str">
        <f aca="false">IF(A281="","",V281+W281)</f>
        <v/>
      </c>
      <c r="Y281" s="9" t="str">
        <f aca="false">IF(A281="","",IF(X281&lt;=CONFIG!$B$13,"Bajo",IF(X281&lt;=CONFIG!$B$14,"Medio","Alto")))</f>
        <v/>
      </c>
      <c r="Z281" s="25" t="str">
        <f aca="false">IF(A281="","",IF(OR(H281="Extranjera",AND(E281="No residente",G281="Sí"),I281="Sí"),"Alto",IF(T281&lt;&gt;"",T281,Y281)))</f>
        <v/>
      </c>
      <c r="AA281" s="26" t="str">
        <f aca="false">IF(A281="","",IF(H281="Extranjera","Alto obligatorio: PEP extranjera (RCG 23 Bis 4)",IF(AND(E281="No residente",G281="Sí"),"Alto obligatorio: no residente vinculado a jurisdicción de riesgo (RCG 23 Bis 4)",IF(I281="Sí","Alto por criterio: persona en listas. Evalúa no operar y Aviso de 24 h",IF(T281&lt;&gt;"","Ajuste del REC: "&amp;U281,"Modelo: "&amp;X281&amp;" puntos")))))</f>
        <v/>
      </c>
      <c r="AB281" s="23" t="str">
        <f aca="false">IF(A281="","",IF(COUNT(N281,O281)=0,"Falta fecha",EDATE(MAX(N281,O281),IF(Z281="Alto",CONFIG!$B$18,IF(Z281="Medio",CONFIG!$B$17,CONFIG!$B$16)))))</f>
        <v/>
      </c>
      <c r="AC281" s="23" t="str">
        <f aca="false">IF(A281="","",IF(ISNUMBER(S281),EDATE(S281,12),IF(ISNUMBER(N281),EDATE(N281,12),"Falta fecha")))</f>
        <v/>
      </c>
      <c r="AD281" s="26" t="str">
        <f aca="false">IF(A281="","",MID(IF(P281&lt;&gt;"Sí"," · Expediente incompleto","")&amp;IF(OR(Q281="",Q281="Pendiente")," · Falta el Beneficiario Controlador","")&amp;IF(M281=""," · Sin perfil transaccional","")&amp;IF(AND(ISNUMBER(AB281),AB281&lt;CONFIG!$B$6)," · Evaluación de riesgo vencida","")&amp;IF(AND(ISNUMBER(AC281),AC281&lt;CONFIG!$B$6)," · Verificación anual vencida","")&amp;IF(AND(ISNUMBER(R281),ISNUMBER(S281),S281-R281&gt;92)," · Comprobante de domicilio con más de 3 meses","")&amp;IF(AND(T281&lt;&gt;"",U281="")," · Ajuste del REC sin justificación",""),4,400))</f>
        <v/>
      </c>
      <c r="AE281" s="9" t="str">
        <f aca="false">IF(A281="","",IF(AD281="","Al día","Revisar"))</f>
        <v/>
      </c>
      <c r="AF281" s="9" t="str">
        <f aca="false">IF(A281="","",COUNTIF(OPERACIONES!$C$6:$C$505,A281)&amp;" / $"&amp;FIXED(SUMIF(OPERACIONES!$C$6:$C$505,A281,OPERACIONES!$E$6:$E$505),0))</f>
        <v/>
      </c>
    </row>
    <row r="282" customFormat="false" ht="15" hidden="false" customHeight="false" outlineLevel="0" collapsed="false">
      <c r="A282" s="21"/>
      <c r="B282" s="21"/>
      <c r="C282" s="21"/>
      <c r="D282" s="21"/>
      <c r="E282" s="21"/>
      <c r="F282" s="21"/>
      <c r="G282" s="21"/>
      <c r="H282" s="21"/>
      <c r="I282" s="21"/>
      <c r="J282" s="21"/>
      <c r="K282" s="21"/>
      <c r="L282" s="21"/>
      <c r="M282" s="22"/>
      <c r="N282" s="20"/>
      <c r="O282" s="20"/>
      <c r="P282" s="21"/>
      <c r="Q282" s="21"/>
      <c r="R282" s="20"/>
      <c r="S282" s="20"/>
      <c r="T282" s="21"/>
      <c r="U282" s="21"/>
      <c r="V282" s="9" t="str">
        <f aca="false">IF(A282="","",SUMIFS(CONFIG!$F$5:$F$26,CONFIG!$D$5:$D$26,"Tipo de persona",CONFIG!$E$5:$E$26,C282)+SUMIFS(CONFIG!$F$5:$F$26,CONFIG!$D$5:$D$26,"Residencia",CONFIG!$E$5:$E$26,E282)+SUMIFS(CONFIG!$F$5:$F$26,CONFIG!$D$5:$D$26,"Nacionalidad",CONFIG!$E$5:$E$26,F282)+SUMIFS(CONFIG!$F$5:$F$26,CONFIG!$D$5:$D$26,"Jurisdicción de riesgo",CONFIG!$E$5:$E$26,G282)+SUMIFS(CONFIG!$F$5:$F$26,CONFIG!$D$5:$D$26,"PEP",CONFIG!$E$5:$E$26,H282)+SUMIFS(CONFIG!$F$5:$F$26,CONFIG!$D$5:$D$26,"En listas",CONFIG!$E$5:$E$26,I282)+SUMIFS(CONFIG!$F$5:$F$26,CONFIG!$D$5:$D$26,"Riesgo de su actividad económica",CONFIG!$E$5:$E$26,J282)+SUMIFS(CONFIG!$F$5:$F$26,CONFIG!$D$5:$D$26,"Canal",CONFIG!$E$5:$E$26,K282)+SUMIFS(CONFIG!$F$5:$F$26,CONFIG!$D$5:$D$26,"Origen de recursos documentado",CONFIG!$E$5:$E$26,L282))</f>
        <v/>
      </c>
      <c r="W282" s="9" t="str">
        <f aca="false">IF(A282="","",IF(SUMIF(OPERACIONES!$C$6:$C$505,A282,OPERACIONES!$E$6:$E$505)&gt;0,IF(SUMIF(OPERACIONES!$C$6:$C$505,A282,OPERACIONES!$F$6:$F$505)/SUMIF(OPERACIONES!$C$6:$C$505,A282,OPERACIONES!$E$6:$E$505)&gt;0.5,CONFIG!$B$20,IF(SUMIF(OPERACIONES!$C$6:$C$505,A282,OPERACIONES!$F$6:$F$505)&gt;0,CONFIG!$B$21,0)),0)+IF(COUNTIFS(OPERACIONES!$C$6:$C$505,A282,OPERACIONES!$AQ$6:$AQ$505,1)&gt;0,CONFIG!$B$22,0)+IF(COUNTIFS(OPERACIONES!$C$6:$C$505,A282,OPERACIONES!$H$6:$H$505,"Sí")&gt;0,CONFIG!$B$23,0))</f>
        <v/>
      </c>
      <c r="X282" s="9" t="str">
        <f aca="false">IF(A282="","",V282+W282)</f>
        <v/>
      </c>
      <c r="Y282" s="9" t="str">
        <f aca="false">IF(A282="","",IF(X282&lt;=CONFIG!$B$13,"Bajo",IF(X282&lt;=CONFIG!$B$14,"Medio","Alto")))</f>
        <v/>
      </c>
      <c r="Z282" s="25" t="str">
        <f aca="false">IF(A282="","",IF(OR(H282="Extranjera",AND(E282="No residente",G282="Sí"),I282="Sí"),"Alto",IF(T282&lt;&gt;"",T282,Y282)))</f>
        <v/>
      </c>
      <c r="AA282" s="26" t="str">
        <f aca="false">IF(A282="","",IF(H282="Extranjera","Alto obligatorio: PEP extranjera (RCG 23 Bis 4)",IF(AND(E282="No residente",G282="Sí"),"Alto obligatorio: no residente vinculado a jurisdicción de riesgo (RCG 23 Bis 4)",IF(I282="Sí","Alto por criterio: persona en listas. Evalúa no operar y Aviso de 24 h",IF(T282&lt;&gt;"","Ajuste del REC: "&amp;U282,"Modelo: "&amp;X282&amp;" puntos")))))</f>
        <v/>
      </c>
      <c r="AB282" s="23" t="str">
        <f aca="false">IF(A282="","",IF(COUNT(N282,O282)=0,"Falta fecha",EDATE(MAX(N282,O282),IF(Z282="Alto",CONFIG!$B$18,IF(Z282="Medio",CONFIG!$B$17,CONFIG!$B$16)))))</f>
        <v/>
      </c>
      <c r="AC282" s="23" t="str">
        <f aca="false">IF(A282="","",IF(ISNUMBER(S282),EDATE(S282,12),IF(ISNUMBER(N282),EDATE(N282,12),"Falta fecha")))</f>
        <v/>
      </c>
      <c r="AD282" s="26" t="str">
        <f aca="false">IF(A282="","",MID(IF(P282&lt;&gt;"Sí"," · Expediente incompleto","")&amp;IF(OR(Q282="",Q282="Pendiente")," · Falta el Beneficiario Controlador","")&amp;IF(M282=""," · Sin perfil transaccional","")&amp;IF(AND(ISNUMBER(AB282),AB282&lt;CONFIG!$B$6)," · Evaluación de riesgo vencida","")&amp;IF(AND(ISNUMBER(AC282),AC282&lt;CONFIG!$B$6)," · Verificación anual vencida","")&amp;IF(AND(ISNUMBER(R282),ISNUMBER(S282),S282-R282&gt;92)," · Comprobante de domicilio con más de 3 meses","")&amp;IF(AND(T282&lt;&gt;"",U282="")," · Ajuste del REC sin justificación",""),4,400))</f>
        <v/>
      </c>
      <c r="AE282" s="9" t="str">
        <f aca="false">IF(A282="","",IF(AD282="","Al día","Revisar"))</f>
        <v/>
      </c>
      <c r="AF282" s="9" t="str">
        <f aca="false">IF(A282="","",COUNTIF(OPERACIONES!$C$6:$C$505,A282)&amp;" / $"&amp;FIXED(SUMIF(OPERACIONES!$C$6:$C$505,A282,OPERACIONES!$E$6:$E$505),0))</f>
        <v/>
      </c>
    </row>
    <row r="283" customFormat="false" ht="15" hidden="false" customHeight="false" outlineLevel="0" collapsed="false">
      <c r="A283" s="21"/>
      <c r="B283" s="21"/>
      <c r="C283" s="21"/>
      <c r="D283" s="21"/>
      <c r="E283" s="21"/>
      <c r="F283" s="21"/>
      <c r="G283" s="21"/>
      <c r="H283" s="21"/>
      <c r="I283" s="21"/>
      <c r="J283" s="21"/>
      <c r="K283" s="21"/>
      <c r="L283" s="21"/>
      <c r="M283" s="22"/>
      <c r="N283" s="20"/>
      <c r="O283" s="20"/>
      <c r="P283" s="21"/>
      <c r="Q283" s="21"/>
      <c r="R283" s="20"/>
      <c r="S283" s="20"/>
      <c r="T283" s="21"/>
      <c r="U283" s="21"/>
      <c r="V283" s="9" t="str">
        <f aca="false">IF(A283="","",SUMIFS(CONFIG!$F$5:$F$26,CONFIG!$D$5:$D$26,"Tipo de persona",CONFIG!$E$5:$E$26,C283)+SUMIFS(CONFIG!$F$5:$F$26,CONFIG!$D$5:$D$26,"Residencia",CONFIG!$E$5:$E$26,E283)+SUMIFS(CONFIG!$F$5:$F$26,CONFIG!$D$5:$D$26,"Nacionalidad",CONFIG!$E$5:$E$26,F283)+SUMIFS(CONFIG!$F$5:$F$26,CONFIG!$D$5:$D$26,"Jurisdicción de riesgo",CONFIG!$E$5:$E$26,G283)+SUMIFS(CONFIG!$F$5:$F$26,CONFIG!$D$5:$D$26,"PEP",CONFIG!$E$5:$E$26,H283)+SUMIFS(CONFIG!$F$5:$F$26,CONFIG!$D$5:$D$26,"En listas",CONFIG!$E$5:$E$26,I283)+SUMIFS(CONFIG!$F$5:$F$26,CONFIG!$D$5:$D$26,"Riesgo de su actividad económica",CONFIG!$E$5:$E$26,J283)+SUMIFS(CONFIG!$F$5:$F$26,CONFIG!$D$5:$D$26,"Canal",CONFIG!$E$5:$E$26,K283)+SUMIFS(CONFIG!$F$5:$F$26,CONFIG!$D$5:$D$26,"Origen de recursos documentado",CONFIG!$E$5:$E$26,L283))</f>
        <v/>
      </c>
      <c r="W283" s="9" t="str">
        <f aca="false">IF(A283="","",IF(SUMIF(OPERACIONES!$C$6:$C$505,A283,OPERACIONES!$E$6:$E$505)&gt;0,IF(SUMIF(OPERACIONES!$C$6:$C$505,A283,OPERACIONES!$F$6:$F$505)/SUMIF(OPERACIONES!$C$6:$C$505,A283,OPERACIONES!$E$6:$E$505)&gt;0.5,CONFIG!$B$20,IF(SUMIF(OPERACIONES!$C$6:$C$505,A283,OPERACIONES!$F$6:$F$505)&gt;0,CONFIG!$B$21,0)),0)+IF(COUNTIFS(OPERACIONES!$C$6:$C$505,A283,OPERACIONES!$AQ$6:$AQ$505,1)&gt;0,CONFIG!$B$22,0)+IF(COUNTIFS(OPERACIONES!$C$6:$C$505,A283,OPERACIONES!$H$6:$H$505,"Sí")&gt;0,CONFIG!$B$23,0))</f>
        <v/>
      </c>
      <c r="X283" s="9" t="str">
        <f aca="false">IF(A283="","",V283+W283)</f>
        <v/>
      </c>
      <c r="Y283" s="9" t="str">
        <f aca="false">IF(A283="","",IF(X283&lt;=CONFIG!$B$13,"Bajo",IF(X283&lt;=CONFIG!$B$14,"Medio","Alto")))</f>
        <v/>
      </c>
      <c r="Z283" s="25" t="str">
        <f aca="false">IF(A283="","",IF(OR(H283="Extranjera",AND(E283="No residente",G283="Sí"),I283="Sí"),"Alto",IF(T283&lt;&gt;"",T283,Y283)))</f>
        <v/>
      </c>
      <c r="AA283" s="26" t="str">
        <f aca="false">IF(A283="","",IF(H283="Extranjera","Alto obligatorio: PEP extranjera (RCG 23 Bis 4)",IF(AND(E283="No residente",G283="Sí"),"Alto obligatorio: no residente vinculado a jurisdicción de riesgo (RCG 23 Bis 4)",IF(I283="Sí","Alto por criterio: persona en listas. Evalúa no operar y Aviso de 24 h",IF(T283&lt;&gt;"","Ajuste del REC: "&amp;U283,"Modelo: "&amp;X283&amp;" puntos")))))</f>
        <v/>
      </c>
      <c r="AB283" s="23" t="str">
        <f aca="false">IF(A283="","",IF(COUNT(N283,O283)=0,"Falta fecha",EDATE(MAX(N283,O283),IF(Z283="Alto",CONFIG!$B$18,IF(Z283="Medio",CONFIG!$B$17,CONFIG!$B$16)))))</f>
        <v/>
      </c>
      <c r="AC283" s="23" t="str">
        <f aca="false">IF(A283="","",IF(ISNUMBER(S283),EDATE(S283,12),IF(ISNUMBER(N283),EDATE(N283,12),"Falta fecha")))</f>
        <v/>
      </c>
      <c r="AD283" s="26" t="str">
        <f aca="false">IF(A283="","",MID(IF(P283&lt;&gt;"Sí"," · Expediente incompleto","")&amp;IF(OR(Q283="",Q283="Pendiente")," · Falta el Beneficiario Controlador","")&amp;IF(M283=""," · Sin perfil transaccional","")&amp;IF(AND(ISNUMBER(AB283),AB283&lt;CONFIG!$B$6)," · Evaluación de riesgo vencida","")&amp;IF(AND(ISNUMBER(AC283),AC283&lt;CONFIG!$B$6)," · Verificación anual vencida","")&amp;IF(AND(ISNUMBER(R283),ISNUMBER(S283),S283-R283&gt;92)," · Comprobante de domicilio con más de 3 meses","")&amp;IF(AND(T283&lt;&gt;"",U283="")," · Ajuste del REC sin justificación",""),4,400))</f>
        <v/>
      </c>
      <c r="AE283" s="9" t="str">
        <f aca="false">IF(A283="","",IF(AD283="","Al día","Revisar"))</f>
        <v/>
      </c>
      <c r="AF283" s="9" t="str">
        <f aca="false">IF(A283="","",COUNTIF(OPERACIONES!$C$6:$C$505,A283)&amp;" / $"&amp;FIXED(SUMIF(OPERACIONES!$C$6:$C$505,A283,OPERACIONES!$E$6:$E$505),0))</f>
        <v/>
      </c>
    </row>
    <row r="284" customFormat="false" ht="15" hidden="false" customHeight="false" outlineLevel="0" collapsed="false">
      <c r="A284" s="21"/>
      <c r="B284" s="21"/>
      <c r="C284" s="21"/>
      <c r="D284" s="21"/>
      <c r="E284" s="21"/>
      <c r="F284" s="21"/>
      <c r="G284" s="21"/>
      <c r="H284" s="21"/>
      <c r="I284" s="21"/>
      <c r="J284" s="21"/>
      <c r="K284" s="21"/>
      <c r="L284" s="21"/>
      <c r="M284" s="22"/>
      <c r="N284" s="20"/>
      <c r="O284" s="20"/>
      <c r="P284" s="21"/>
      <c r="Q284" s="21"/>
      <c r="R284" s="20"/>
      <c r="S284" s="20"/>
      <c r="T284" s="21"/>
      <c r="U284" s="21"/>
      <c r="V284" s="9" t="str">
        <f aca="false">IF(A284="","",SUMIFS(CONFIG!$F$5:$F$26,CONFIG!$D$5:$D$26,"Tipo de persona",CONFIG!$E$5:$E$26,C284)+SUMIFS(CONFIG!$F$5:$F$26,CONFIG!$D$5:$D$26,"Residencia",CONFIG!$E$5:$E$26,E284)+SUMIFS(CONFIG!$F$5:$F$26,CONFIG!$D$5:$D$26,"Nacionalidad",CONFIG!$E$5:$E$26,F284)+SUMIFS(CONFIG!$F$5:$F$26,CONFIG!$D$5:$D$26,"Jurisdicción de riesgo",CONFIG!$E$5:$E$26,G284)+SUMIFS(CONFIG!$F$5:$F$26,CONFIG!$D$5:$D$26,"PEP",CONFIG!$E$5:$E$26,H284)+SUMIFS(CONFIG!$F$5:$F$26,CONFIG!$D$5:$D$26,"En listas",CONFIG!$E$5:$E$26,I284)+SUMIFS(CONFIG!$F$5:$F$26,CONFIG!$D$5:$D$26,"Riesgo de su actividad económica",CONFIG!$E$5:$E$26,J284)+SUMIFS(CONFIG!$F$5:$F$26,CONFIG!$D$5:$D$26,"Canal",CONFIG!$E$5:$E$26,K284)+SUMIFS(CONFIG!$F$5:$F$26,CONFIG!$D$5:$D$26,"Origen de recursos documentado",CONFIG!$E$5:$E$26,L284))</f>
        <v/>
      </c>
      <c r="W284" s="9" t="str">
        <f aca="false">IF(A284="","",IF(SUMIF(OPERACIONES!$C$6:$C$505,A284,OPERACIONES!$E$6:$E$505)&gt;0,IF(SUMIF(OPERACIONES!$C$6:$C$505,A284,OPERACIONES!$F$6:$F$505)/SUMIF(OPERACIONES!$C$6:$C$505,A284,OPERACIONES!$E$6:$E$505)&gt;0.5,CONFIG!$B$20,IF(SUMIF(OPERACIONES!$C$6:$C$505,A284,OPERACIONES!$F$6:$F$505)&gt;0,CONFIG!$B$21,0)),0)+IF(COUNTIFS(OPERACIONES!$C$6:$C$505,A284,OPERACIONES!$AQ$6:$AQ$505,1)&gt;0,CONFIG!$B$22,0)+IF(COUNTIFS(OPERACIONES!$C$6:$C$505,A284,OPERACIONES!$H$6:$H$505,"Sí")&gt;0,CONFIG!$B$23,0))</f>
        <v/>
      </c>
      <c r="X284" s="9" t="str">
        <f aca="false">IF(A284="","",V284+W284)</f>
        <v/>
      </c>
      <c r="Y284" s="9" t="str">
        <f aca="false">IF(A284="","",IF(X284&lt;=CONFIG!$B$13,"Bajo",IF(X284&lt;=CONFIG!$B$14,"Medio","Alto")))</f>
        <v/>
      </c>
      <c r="Z284" s="25" t="str">
        <f aca="false">IF(A284="","",IF(OR(H284="Extranjera",AND(E284="No residente",G284="Sí"),I284="Sí"),"Alto",IF(T284&lt;&gt;"",T284,Y284)))</f>
        <v/>
      </c>
      <c r="AA284" s="26" t="str">
        <f aca="false">IF(A284="","",IF(H284="Extranjera","Alto obligatorio: PEP extranjera (RCG 23 Bis 4)",IF(AND(E284="No residente",G284="Sí"),"Alto obligatorio: no residente vinculado a jurisdicción de riesgo (RCG 23 Bis 4)",IF(I284="Sí","Alto por criterio: persona en listas. Evalúa no operar y Aviso de 24 h",IF(T284&lt;&gt;"","Ajuste del REC: "&amp;U284,"Modelo: "&amp;X284&amp;" puntos")))))</f>
        <v/>
      </c>
      <c r="AB284" s="23" t="str">
        <f aca="false">IF(A284="","",IF(COUNT(N284,O284)=0,"Falta fecha",EDATE(MAX(N284,O284),IF(Z284="Alto",CONFIG!$B$18,IF(Z284="Medio",CONFIG!$B$17,CONFIG!$B$16)))))</f>
        <v/>
      </c>
      <c r="AC284" s="23" t="str">
        <f aca="false">IF(A284="","",IF(ISNUMBER(S284),EDATE(S284,12),IF(ISNUMBER(N284),EDATE(N284,12),"Falta fecha")))</f>
        <v/>
      </c>
      <c r="AD284" s="26" t="str">
        <f aca="false">IF(A284="","",MID(IF(P284&lt;&gt;"Sí"," · Expediente incompleto","")&amp;IF(OR(Q284="",Q284="Pendiente")," · Falta el Beneficiario Controlador","")&amp;IF(M284=""," · Sin perfil transaccional","")&amp;IF(AND(ISNUMBER(AB284),AB284&lt;CONFIG!$B$6)," · Evaluación de riesgo vencida","")&amp;IF(AND(ISNUMBER(AC284),AC284&lt;CONFIG!$B$6)," · Verificación anual vencida","")&amp;IF(AND(ISNUMBER(R284),ISNUMBER(S284),S284-R284&gt;92)," · Comprobante de domicilio con más de 3 meses","")&amp;IF(AND(T284&lt;&gt;"",U284="")," · Ajuste del REC sin justificación",""),4,400))</f>
        <v/>
      </c>
      <c r="AE284" s="9" t="str">
        <f aca="false">IF(A284="","",IF(AD284="","Al día","Revisar"))</f>
        <v/>
      </c>
      <c r="AF284" s="9" t="str">
        <f aca="false">IF(A284="","",COUNTIF(OPERACIONES!$C$6:$C$505,A284)&amp;" / $"&amp;FIXED(SUMIF(OPERACIONES!$C$6:$C$505,A284,OPERACIONES!$E$6:$E$505),0))</f>
        <v/>
      </c>
    </row>
    <row r="285" customFormat="false" ht="15" hidden="false" customHeight="false" outlineLevel="0" collapsed="false">
      <c r="A285" s="21"/>
      <c r="B285" s="21"/>
      <c r="C285" s="21"/>
      <c r="D285" s="21"/>
      <c r="E285" s="21"/>
      <c r="F285" s="21"/>
      <c r="G285" s="21"/>
      <c r="H285" s="21"/>
      <c r="I285" s="21"/>
      <c r="J285" s="21"/>
      <c r="K285" s="21"/>
      <c r="L285" s="21"/>
      <c r="M285" s="22"/>
      <c r="N285" s="20"/>
      <c r="O285" s="20"/>
      <c r="P285" s="21"/>
      <c r="Q285" s="21"/>
      <c r="R285" s="20"/>
      <c r="S285" s="20"/>
      <c r="T285" s="21"/>
      <c r="U285" s="21"/>
      <c r="V285" s="9" t="str">
        <f aca="false">IF(A285="","",SUMIFS(CONFIG!$F$5:$F$26,CONFIG!$D$5:$D$26,"Tipo de persona",CONFIG!$E$5:$E$26,C285)+SUMIFS(CONFIG!$F$5:$F$26,CONFIG!$D$5:$D$26,"Residencia",CONFIG!$E$5:$E$26,E285)+SUMIFS(CONFIG!$F$5:$F$26,CONFIG!$D$5:$D$26,"Nacionalidad",CONFIG!$E$5:$E$26,F285)+SUMIFS(CONFIG!$F$5:$F$26,CONFIG!$D$5:$D$26,"Jurisdicción de riesgo",CONFIG!$E$5:$E$26,G285)+SUMIFS(CONFIG!$F$5:$F$26,CONFIG!$D$5:$D$26,"PEP",CONFIG!$E$5:$E$26,H285)+SUMIFS(CONFIG!$F$5:$F$26,CONFIG!$D$5:$D$26,"En listas",CONFIG!$E$5:$E$26,I285)+SUMIFS(CONFIG!$F$5:$F$26,CONFIG!$D$5:$D$26,"Riesgo de su actividad económica",CONFIG!$E$5:$E$26,J285)+SUMIFS(CONFIG!$F$5:$F$26,CONFIG!$D$5:$D$26,"Canal",CONFIG!$E$5:$E$26,K285)+SUMIFS(CONFIG!$F$5:$F$26,CONFIG!$D$5:$D$26,"Origen de recursos documentado",CONFIG!$E$5:$E$26,L285))</f>
        <v/>
      </c>
      <c r="W285" s="9" t="str">
        <f aca="false">IF(A285="","",IF(SUMIF(OPERACIONES!$C$6:$C$505,A285,OPERACIONES!$E$6:$E$505)&gt;0,IF(SUMIF(OPERACIONES!$C$6:$C$505,A285,OPERACIONES!$F$6:$F$505)/SUMIF(OPERACIONES!$C$6:$C$505,A285,OPERACIONES!$E$6:$E$505)&gt;0.5,CONFIG!$B$20,IF(SUMIF(OPERACIONES!$C$6:$C$505,A285,OPERACIONES!$F$6:$F$505)&gt;0,CONFIG!$B$21,0)),0)+IF(COUNTIFS(OPERACIONES!$C$6:$C$505,A285,OPERACIONES!$AQ$6:$AQ$505,1)&gt;0,CONFIG!$B$22,0)+IF(COUNTIFS(OPERACIONES!$C$6:$C$505,A285,OPERACIONES!$H$6:$H$505,"Sí")&gt;0,CONFIG!$B$23,0))</f>
        <v/>
      </c>
      <c r="X285" s="9" t="str">
        <f aca="false">IF(A285="","",V285+W285)</f>
        <v/>
      </c>
      <c r="Y285" s="9" t="str">
        <f aca="false">IF(A285="","",IF(X285&lt;=CONFIG!$B$13,"Bajo",IF(X285&lt;=CONFIG!$B$14,"Medio","Alto")))</f>
        <v/>
      </c>
      <c r="Z285" s="25" t="str">
        <f aca="false">IF(A285="","",IF(OR(H285="Extranjera",AND(E285="No residente",G285="Sí"),I285="Sí"),"Alto",IF(T285&lt;&gt;"",T285,Y285)))</f>
        <v/>
      </c>
      <c r="AA285" s="26" t="str">
        <f aca="false">IF(A285="","",IF(H285="Extranjera","Alto obligatorio: PEP extranjera (RCG 23 Bis 4)",IF(AND(E285="No residente",G285="Sí"),"Alto obligatorio: no residente vinculado a jurisdicción de riesgo (RCG 23 Bis 4)",IF(I285="Sí","Alto por criterio: persona en listas. Evalúa no operar y Aviso de 24 h",IF(T285&lt;&gt;"","Ajuste del REC: "&amp;U285,"Modelo: "&amp;X285&amp;" puntos")))))</f>
        <v/>
      </c>
      <c r="AB285" s="23" t="str">
        <f aca="false">IF(A285="","",IF(COUNT(N285,O285)=0,"Falta fecha",EDATE(MAX(N285,O285),IF(Z285="Alto",CONFIG!$B$18,IF(Z285="Medio",CONFIG!$B$17,CONFIG!$B$16)))))</f>
        <v/>
      </c>
      <c r="AC285" s="23" t="str">
        <f aca="false">IF(A285="","",IF(ISNUMBER(S285),EDATE(S285,12),IF(ISNUMBER(N285),EDATE(N285,12),"Falta fecha")))</f>
        <v/>
      </c>
      <c r="AD285" s="26" t="str">
        <f aca="false">IF(A285="","",MID(IF(P285&lt;&gt;"Sí"," · Expediente incompleto","")&amp;IF(OR(Q285="",Q285="Pendiente")," · Falta el Beneficiario Controlador","")&amp;IF(M285=""," · Sin perfil transaccional","")&amp;IF(AND(ISNUMBER(AB285),AB285&lt;CONFIG!$B$6)," · Evaluación de riesgo vencida","")&amp;IF(AND(ISNUMBER(AC285),AC285&lt;CONFIG!$B$6)," · Verificación anual vencida","")&amp;IF(AND(ISNUMBER(R285),ISNUMBER(S285),S285-R285&gt;92)," · Comprobante de domicilio con más de 3 meses","")&amp;IF(AND(T285&lt;&gt;"",U285="")," · Ajuste del REC sin justificación",""),4,400))</f>
        <v/>
      </c>
      <c r="AE285" s="9" t="str">
        <f aca="false">IF(A285="","",IF(AD285="","Al día","Revisar"))</f>
        <v/>
      </c>
      <c r="AF285" s="9" t="str">
        <f aca="false">IF(A285="","",COUNTIF(OPERACIONES!$C$6:$C$505,A285)&amp;" / $"&amp;FIXED(SUMIF(OPERACIONES!$C$6:$C$505,A285,OPERACIONES!$E$6:$E$505),0))</f>
        <v/>
      </c>
    </row>
    <row r="286" customFormat="false" ht="15" hidden="false" customHeight="false" outlineLevel="0" collapsed="false">
      <c r="A286" s="21"/>
      <c r="B286" s="21"/>
      <c r="C286" s="21"/>
      <c r="D286" s="21"/>
      <c r="E286" s="21"/>
      <c r="F286" s="21"/>
      <c r="G286" s="21"/>
      <c r="H286" s="21"/>
      <c r="I286" s="21"/>
      <c r="J286" s="21"/>
      <c r="K286" s="21"/>
      <c r="L286" s="21"/>
      <c r="M286" s="22"/>
      <c r="N286" s="20"/>
      <c r="O286" s="20"/>
      <c r="P286" s="21"/>
      <c r="Q286" s="21"/>
      <c r="R286" s="20"/>
      <c r="S286" s="20"/>
      <c r="T286" s="21"/>
      <c r="U286" s="21"/>
      <c r="V286" s="9" t="str">
        <f aca="false">IF(A286="","",SUMIFS(CONFIG!$F$5:$F$26,CONFIG!$D$5:$D$26,"Tipo de persona",CONFIG!$E$5:$E$26,C286)+SUMIFS(CONFIG!$F$5:$F$26,CONFIG!$D$5:$D$26,"Residencia",CONFIG!$E$5:$E$26,E286)+SUMIFS(CONFIG!$F$5:$F$26,CONFIG!$D$5:$D$26,"Nacionalidad",CONFIG!$E$5:$E$26,F286)+SUMIFS(CONFIG!$F$5:$F$26,CONFIG!$D$5:$D$26,"Jurisdicción de riesgo",CONFIG!$E$5:$E$26,G286)+SUMIFS(CONFIG!$F$5:$F$26,CONFIG!$D$5:$D$26,"PEP",CONFIG!$E$5:$E$26,H286)+SUMIFS(CONFIG!$F$5:$F$26,CONFIG!$D$5:$D$26,"En listas",CONFIG!$E$5:$E$26,I286)+SUMIFS(CONFIG!$F$5:$F$26,CONFIG!$D$5:$D$26,"Riesgo de su actividad económica",CONFIG!$E$5:$E$26,J286)+SUMIFS(CONFIG!$F$5:$F$26,CONFIG!$D$5:$D$26,"Canal",CONFIG!$E$5:$E$26,K286)+SUMIFS(CONFIG!$F$5:$F$26,CONFIG!$D$5:$D$26,"Origen de recursos documentado",CONFIG!$E$5:$E$26,L286))</f>
        <v/>
      </c>
      <c r="W286" s="9" t="str">
        <f aca="false">IF(A286="","",IF(SUMIF(OPERACIONES!$C$6:$C$505,A286,OPERACIONES!$E$6:$E$505)&gt;0,IF(SUMIF(OPERACIONES!$C$6:$C$505,A286,OPERACIONES!$F$6:$F$505)/SUMIF(OPERACIONES!$C$6:$C$505,A286,OPERACIONES!$E$6:$E$505)&gt;0.5,CONFIG!$B$20,IF(SUMIF(OPERACIONES!$C$6:$C$505,A286,OPERACIONES!$F$6:$F$505)&gt;0,CONFIG!$B$21,0)),0)+IF(COUNTIFS(OPERACIONES!$C$6:$C$505,A286,OPERACIONES!$AQ$6:$AQ$505,1)&gt;0,CONFIG!$B$22,0)+IF(COUNTIFS(OPERACIONES!$C$6:$C$505,A286,OPERACIONES!$H$6:$H$505,"Sí")&gt;0,CONFIG!$B$23,0))</f>
        <v/>
      </c>
      <c r="X286" s="9" t="str">
        <f aca="false">IF(A286="","",V286+W286)</f>
        <v/>
      </c>
      <c r="Y286" s="9" t="str">
        <f aca="false">IF(A286="","",IF(X286&lt;=CONFIG!$B$13,"Bajo",IF(X286&lt;=CONFIG!$B$14,"Medio","Alto")))</f>
        <v/>
      </c>
      <c r="Z286" s="25" t="str">
        <f aca="false">IF(A286="","",IF(OR(H286="Extranjera",AND(E286="No residente",G286="Sí"),I286="Sí"),"Alto",IF(T286&lt;&gt;"",T286,Y286)))</f>
        <v/>
      </c>
      <c r="AA286" s="26" t="str">
        <f aca="false">IF(A286="","",IF(H286="Extranjera","Alto obligatorio: PEP extranjera (RCG 23 Bis 4)",IF(AND(E286="No residente",G286="Sí"),"Alto obligatorio: no residente vinculado a jurisdicción de riesgo (RCG 23 Bis 4)",IF(I286="Sí","Alto por criterio: persona en listas. Evalúa no operar y Aviso de 24 h",IF(T286&lt;&gt;"","Ajuste del REC: "&amp;U286,"Modelo: "&amp;X286&amp;" puntos")))))</f>
        <v/>
      </c>
      <c r="AB286" s="23" t="str">
        <f aca="false">IF(A286="","",IF(COUNT(N286,O286)=0,"Falta fecha",EDATE(MAX(N286,O286),IF(Z286="Alto",CONFIG!$B$18,IF(Z286="Medio",CONFIG!$B$17,CONFIG!$B$16)))))</f>
        <v/>
      </c>
      <c r="AC286" s="23" t="str">
        <f aca="false">IF(A286="","",IF(ISNUMBER(S286),EDATE(S286,12),IF(ISNUMBER(N286),EDATE(N286,12),"Falta fecha")))</f>
        <v/>
      </c>
      <c r="AD286" s="26" t="str">
        <f aca="false">IF(A286="","",MID(IF(P286&lt;&gt;"Sí"," · Expediente incompleto","")&amp;IF(OR(Q286="",Q286="Pendiente")," · Falta el Beneficiario Controlador","")&amp;IF(M286=""," · Sin perfil transaccional","")&amp;IF(AND(ISNUMBER(AB286),AB286&lt;CONFIG!$B$6)," · Evaluación de riesgo vencida","")&amp;IF(AND(ISNUMBER(AC286),AC286&lt;CONFIG!$B$6)," · Verificación anual vencida","")&amp;IF(AND(ISNUMBER(R286),ISNUMBER(S286),S286-R286&gt;92)," · Comprobante de domicilio con más de 3 meses","")&amp;IF(AND(T286&lt;&gt;"",U286="")," · Ajuste del REC sin justificación",""),4,400))</f>
        <v/>
      </c>
      <c r="AE286" s="9" t="str">
        <f aca="false">IF(A286="","",IF(AD286="","Al día","Revisar"))</f>
        <v/>
      </c>
      <c r="AF286" s="9" t="str">
        <f aca="false">IF(A286="","",COUNTIF(OPERACIONES!$C$6:$C$505,A286)&amp;" / $"&amp;FIXED(SUMIF(OPERACIONES!$C$6:$C$505,A286,OPERACIONES!$E$6:$E$505),0))</f>
        <v/>
      </c>
    </row>
    <row r="287" customFormat="false" ht="15" hidden="false" customHeight="false" outlineLevel="0" collapsed="false">
      <c r="A287" s="21"/>
      <c r="B287" s="21"/>
      <c r="C287" s="21"/>
      <c r="D287" s="21"/>
      <c r="E287" s="21"/>
      <c r="F287" s="21"/>
      <c r="G287" s="21"/>
      <c r="H287" s="21"/>
      <c r="I287" s="21"/>
      <c r="J287" s="21"/>
      <c r="K287" s="21"/>
      <c r="L287" s="21"/>
      <c r="M287" s="22"/>
      <c r="N287" s="20"/>
      <c r="O287" s="20"/>
      <c r="P287" s="21"/>
      <c r="Q287" s="21"/>
      <c r="R287" s="20"/>
      <c r="S287" s="20"/>
      <c r="T287" s="21"/>
      <c r="U287" s="21"/>
      <c r="V287" s="9" t="str">
        <f aca="false">IF(A287="","",SUMIFS(CONFIG!$F$5:$F$26,CONFIG!$D$5:$D$26,"Tipo de persona",CONFIG!$E$5:$E$26,C287)+SUMIFS(CONFIG!$F$5:$F$26,CONFIG!$D$5:$D$26,"Residencia",CONFIG!$E$5:$E$26,E287)+SUMIFS(CONFIG!$F$5:$F$26,CONFIG!$D$5:$D$26,"Nacionalidad",CONFIG!$E$5:$E$26,F287)+SUMIFS(CONFIG!$F$5:$F$26,CONFIG!$D$5:$D$26,"Jurisdicción de riesgo",CONFIG!$E$5:$E$26,G287)+SUMIFS(CONFIG!$F$5:$F$26,CONFIG!$D$5:$D$26,"PEP",CONFIG!$E$5:$E$26,H287)+SUMIFS(CONFIG!$F$5:$F$26,CONFIG!$D$5:$D$26,"En listas",CONFIG!$E$5:$E$26,I287)+SUMIFS(CONFIG!$F$5:$F$26,CONFIG!$D$5:$D$26,"Riesgo de su actividad económica",CONFIG!$E$5:$E$26,J287)+SUMIFS(CONFIG!$F$5:$F$26,CONFIG!$D$5:$D$26,"Canal",CONFIG!$E$5:$E$26,K287)+SUMIFS(CONFIG!$F$5:$F$26,CONFIG!$D$5:$D$26,"Origen de recursos documentado",CONFIG!$E$5:$E$26,L287))</f>
        <v/>
      </c>
      <c r="W287" s="9" t="str">
        <f aca="false">IF(A287="","",IF(SUMIF(OPERACIONES!$C$6:$C$505,A287,OPERACIONES!$E$6:$E$505)&gt;0,IF(SUMIF(OPERACIONES!$C$6:$C$505,A287,OPERACIONES!$F$6:$F$505)/SUMIF(OPERACIONES!$C$6:$C$505,A287,OPERACIONES!$E$6:$E$505)&gt;0.5,CONFIG!$B$20,IF(SUMIF(OPERACIONES!$C$6:$C$505,A287,OPERACIONES!$F$6:$F$505)&gt;0,CONFIG!$B$21,0)),0)+IF(COUNTIFS(OPERACIONES!$C$6:$C$505,A287,OPERACIONES!$AQ$6:$AQ$505,1)&gt;0,CONFIG!$B$22,0)+IF(COUNTIFS(OPERACIONES!$C$6:$C$505,A287,OPERACIONES!$H$6:$H$505,"Sí")&gt;0,CONFIG!$B$23,0))</f>
        <v/>
      </c>
      <c r="X287" s="9" t="str">
        <f aca="false">IF(A287="","",V287+W287)</f>
        <v/>
      </c>
      <c r="Y287" s="9" t="str">
        <f aca="false">IF(A287="","",IF(X287&lt;=CONFIG!$B$13,"Bajo",IF(X287&lt;=CONFIG!$B$14,"Medio","Alto")))</f>
        <v/>
      </c>
      <c r="Z287" s="25" t="str">
        <f aca="false">IF(A287="","",IF(OR(H287="Extranjera",AND(E287="No residente",G287="Sí"),I287="Sí"),"Alto",IF(T287&lt;&gt;"",T287,Y287)))</f>
        <v/>
      </c>
      <c r="AA287" s="26" t="str">
        <f aca="false">IF(A287="","",IF(H287="Extranjera","Alto obligatorio: PEP extranjera (RCG 23 Bis 4)",IF(AND(E287="No residente",G287="Sí"),"Alto obligatorio: no residente vinculado a jurisdicción de riesgo (RCG 23 Bis 4)",IF(I287="Sí","Alto por criterio: persona en listas. Evalúa no operar y Aviso de 24 h",IF(T287&lt;&gt;"","Ajuste del REC: "&amp;U287,"Modelo: "&amp;X287&amp;" puntos")))))</f>
        <v/>
      </c>
      <c r="AB287" s="23" t="str">
        <f aca="false">IF(A287="","",IF(COUNT(N287,O287)=0,"Falta fecha",EDATE(MAX(N287,O287),IF(Z287="Alto",CONFIG!$B$18,IF(Z287="Medio",CONFIG!$B$17,CONFIG!$B$16)))))</f>
        <v/>
      </c>
      <c r="AC287" s="23" t="str">
        <f aca="false">IF(A287="","",IF(ISNUMBER(S287),EDATE(S287,12),IF(ISNUMBER(N287),EDATE(N287,12),"Falta fecha")))</f>
        <v/>
      </c>
      <c r="AD287" s="26" t="str">
        <f aca="false">IF(A287="","",MID(IF(P287&lt;&gt;"Sí"," · Expediente incompleto","")&amp;IF(OR(Q287="",Q287="Pendiente")," · Falta el Beneficiario Controlador","")&amp;IF(M287=""," · Sin perfil transaccional","")&amp;IF(AND(ISNUMBER(AB287),AB287&lt;CONFIG!$B$6)," · Evaluación de riesgo vencida","")&amp;IF(AND(ISNUMBER(AC287),AC287&lt;CONFIG!$B$6)," · Verificación anual vencida","")&amp;IF(AND(ISNUMBER(R287),ISNUMBER(S287),S287-R287&gt;92)," · Comprobante de domicilio con más de 3 meses","")&amp;IF(AND(T287&lt;&gt;"",U287="")," · Ajuste del REC sin justificación",""),4,400))</f>
        <v/>
      </c>
      <c r="AE287" s="9" t="str">
        <f aca="false">IF(A287="","",IF(AD287="","Al día","Revisar"))</f>
        <v/>
      </c>
      <c r="AF287" s="9" t="str">
        <f aca="false">IF(A287="","",COUNTIF(OPERACIONES!$C$6:$C$505,A287)&amp;" / $"&amp;FIXED(SUMIF(OPERACIONES!$C$6:$C$505,A287,OPERACIONES!$E$6:$E$505),0))</f>
        <v/>
      </c>
    </row>
    <row r="288" customFormat="false" ht="15" hidden="false" customHeight="false" outlineLevel="0" collapsed="false">
      <c r="A288" s="21"/>
      <c r="B288" s="21"/>
      <c r="C288" s="21"/>
      <c r="D288" s="21"/>
      <c r="E288" s="21"/>
      <c r="F288" s="21"/>
      <c r="G288" s="21"/>
      <c r="H288" s="21"/>
      <c r="I288" s="21"/>
      <c r="J288" s="21"/>
      <c r="K288" s="21"/>
      <c r="L288" s="21"/>
      <c r="M288" s="22"/>
      <c r="N288" s="20"/>
      <c r="O288" s="20"/>
      <c r="P288" s="21"/>
      <c r="Q288" s="21"/>
      <c r="R288" s="20"/>
      <c r="S288" s="20"/>
      <c r="T288" s="21"/>
      <c r="U288" s="21"/>
      <c r="V288" s="9" t="str">
        <f aca="false">IF(A288="","",SUMIFS(CONFIG!$F$5:$F$26,CONFIG!$D$5:$D$26,"Tipo de persona",CONFIG!$E$5:$E$26,C288)+SUMIFS(CONFIG!$F$5:$F$26,CONFIG!$D$5:$D$26,"Residencia",CONFIG!$E$5:$E$26,E288)+SUMIFS(CONFIG!$F$5:$F$26,CONFIG!$D$5:$D$26,"Nacionalidad",CONFIG!$E$5:$E$26,F288)+SUMIFS(CONFIG!$F$5:$F$26,CONFIG!$D$5:$D$26,"Jurisdicción de riesgo",CONFIG!$E$5:$E$26,G288)+SUMIFS(CONFIG!$F$5:$F$26,CONFIG!$D$5:$D$26,"PEP",CONFIG!$E$5:$E$26,H288)+SUMIFS(CONFIG!$F$5:$F$26,CONFIG!$D$5:$D$26,"En listas",CONFIG!$E$5:$E$26,I288)+SUMIFS(CONFIG!$F$5:$F$26,CONFIG!$D$5:$D$26,"Riesgo de su actividad económica",CONFIG!$E$5:$E$26,J288)+SUMIFS(CONFIG!$F$5:$F$26,CONFIG!$D$5:$D$26,"Canal",CONFIG!$E$5:$E$26,K288)+SUMIFS(CONFIG!$F$5:$F$26,CONFIG!$D$5:$D$26,"Origen de recursos documentado",CONFIG!$E$5:$E$26,L288))</f>
        <v/>
      </c>
      <c r="W288" s="9" t="str">
        <f aca="false">IF(A288="","",IF(SUMIF(OPERACIONES!$C$6:$C$505,A288,OPERACIONES!$E$6:$E$505)&gt;0,IF(SUMIF(OPERACIONES!$C$6:$C$505,A288,OPERACIONES!$F$6:$F$505)/SUMIF(OPERACIONES!$C$6:$C$505,A288,OPERACIONES!$E$6:$E$505)&gt;0.5,CONFIG!$B$20,IF(SUMIF(OPERACIONES!$C$6:$C$505,A288,OPERACIONES!$F$6:$F$505)&gt;0,CONFIG!$B$21,0)),0)+IF(COUNTIFS(OPERACIONES!$C$6:$C$505,A288,OPERACIONES!$AQ$6:$AQ$505,1)&gt;0,CONFIG!$B$22,0)+IF(COUNTIFS(OPERACIONES!$C$6:$C$505,A288,OPERACIONES!$H$6:$H$505,"Sí")&gt;0,CONFIG!$B$23,0))</f>
        <v/>
      </c>
      <c r="X288" s="9" t="str">
        <f aca="false">IF(A288="","",V288+W288)</f>
        <v/>
      </c>
      <c r="Y288" s="9" t="str">
        <f aca="false">IF(A288="","",IF(X288&lt;=CONFIG!$B$13,"Bajo",IF(X288&lt;=CONFIG!$B$14,"Medio","Alto")))</f>
        <v/>
      </c>
      <c r="Z288" s="25" t="str">
        <f aca="false">IF(A288="","",IF(OR(H288="Extranjera",AND(E288="No residente",G288="Sí"),I288="Sí"),"Alto",IF(T288&lt;&gt;"",T288,Y288)))</f>
        <v/>
      </c>
      <c r="AA288" s="26" t="str">
        <f aca="false">IF(A288="","",IF(H288="Extranjera","Alto obligatorio: PEP extranjera (RCG 23 Bis 4)",IF(AND(E288="No residente",G288="Sí"),"Alto obligatorio: no residente vinculado a jurisdicción de riesgo (RCG 23 Bis 4)",IF(I288="Sí","Alto por criterio: persona en listas. Evalúa no operar y Aviso de 24 h",IF(T288&lt;&gt;"","Ajuste del REC: "&amp;U288,"Modelo: "&amp;X288&amp;" puntos")))))</f>
        <v/>
      </c>
      <c r="AB288" s="23" t="str">
        <f aca="false">IF(A288="","",IF(COUNT(N288,O288)=0,"Falta fecha",EDATE(MAX(N288,O288),IF(Z288="Alto",CONFIG!$B$18,IF(Z288="Medio",CONFIG!$B$17,CONFIG!$B$16)))))</f>
        <v/>
      </c>
      <c r="AC288" s="23" t="str">
        <f aca="false">IF(A288="","",IF(ISNUMBER(S288),EDATE(S288,12),IF(ISNUMBER(N288),EDATE(N288,12),"Falta fecha")))</f>
        <v/>
      </c>
      <c r="AD288" s="26" t="str">
        <f aca="false">IF(A288="","",MID(IF(P288&lt;&gt;"Sí"," · Expediente incompleto","")&amp;IF(OR(Q288="",Q288="Pendiente")," · Falta el Beneficiario Controlador","")&amp;IF(M288=""," · Sin perfil transaccional","")&amp;IF(AND(ISNUMBER(AB288),AB288&lt;CONFIG!$B$6)," · Evaluación de riesgo vencida","")&amp;IF(AND(ISNUMBER(AC288),AC288&lt;CONFIG!$B$6)," · Verificación anual vencida","")&amp;IF(AND(ISNUMBER(R288),ISNUMBER(S288),S288-R288&gt;92)," · Comprobante de domicilio con más de 3 meses","")&amp;IF(AND(T288&lt;&gt;"",U288="")," · Ajuste del REC sin justificación",""),4,400))</f>
        <v/>
      </c>
      <c r="AE288" s="9" t="str">
        <f aca="false">IF(A288="","",IF(AD288="","Al día","Revisar"))</f>
        <v/>
      </c>
      <c r="AF288" s="9" t="str">
        <f aca="false">IF(A288="","",COUNTIF(OPERACIONES!$C$6:$C$505,A288)&amp;" / $"&amp;FIXED(SUMIF(OPERACIONES!$C$6:$C$505,A288,OPERACIONES!$E$6:$E$505),0))</f>
        <v/>
      </c>
    </row>
    <row r="289" customFormat="false" ht="15" hidden="false" customHeight="false" outlineLevel="0" collapsed="false">
      <c r="A289" s="21"/>
      <c r="B289" s="21"/>
      <c r="C289" s="21"/>
      <c r="D289" s="21"/>
      <c r="E289" s="21"/>
      <c r="F289" s="21"/>
      <c r="G289" s="21"/>
      <c r="H289" s="21"/>
      <c r="I289" s="21"/>
      <c r="J289" s="21"/>
      <c r="K289" s="21"/>
      <c r="L289" s="21"/>
      <c r="M289" s="22"/>
      <c r="N289" s="20"/>
      <c r="O289" s="20"/>
      <c r="P289" s="21"/>
      <c r="Q289" s="21"/>
      <c r="R289" s="20"/>
      <c r="S289" s="20"/>
      <c r="T289" s="21"/>
      <c r="U289" s="21"/>
      <c r="V289" s="9" t="str">
        <f aca="false">IF(A289="","",SUMIFS(CONFIG!$F$5:$F$26,CONFIG!$D$5:$D$26,"Tipo de persona",CONFIG!$E$5:$E$26,C289)+SUMIFS(CONFIG!$F$5:$F$26,CONFIG!$D$5:$D$26,"Residencia",CONFIG!$E$5:$E$26,E289)+SUMIFS(CONFIG!$F$5:$F$26,CONFIG!$D$5:$D$26,"Nacionalidad",CONFIG!$E$5:$E$26,F289)+SUMIFS(CONFIG!$F$5:$F$26,CONFIG!$D$5:$D$26,"Jurisdicción de riesgo",CONFIG!$E$5:$E$26,G289)+SUMIFS(CONFIG!$F$5:$F$26,CONFIG!$D$5:$D$26,"PEP",CONFIG!$E$5:$E$26,H289)+SUMIFS(CONFIG!$F$5:$F$26,CONFIG!$D$5:$D$26,"En listas",CONFIG!$E$5:$E$26,I289)+SUMIFS(CONFIG!$F$5:$F$26,CONFIG!$D$5:$D$26,"Riesgo de su actividad económica",CONFIG!$E$5:$E$26,J289)+SUMIFS(CONFIG!$F$5:$F$26,CONFIG!$D$5:$D$26,"Canal",CONFIG!$E$5:$E$26,K289)+SUMIFS(CONFIG!$F$5:$F$26,CONFIG!$D$5:$D$26,"Origen de recursos documentado",CONFIG!$E$5:$E$26,L289))</f>
        <v/>
      </c>
      <c r="W289" s="9" t="str">
        <f aca="false">IF(A289="","",IF(SUMIF(OPERACIONES!$C$6:$C$505,A289,OPERACIONES!$E$6:$E$505)&gt;0,IF(SUMIF(OPERACIONES!$C$6:$C$505,A289,OPERACIONES!$F$6:$F$505)/SUMIF(OPERACIONES!$C$6:$C$505,A289,OPERACIONES!$E$6:$E$505)&gt;0.5,CONFIG!$B$20,IF(SUMIF(OPERACIONES!$C$6:$C$505,A289,OPERACIONES!$F$6:$F$505)&gt;0,CONFIG!$B$21,0)),0)+IF(COUNTIFS(OPERACIONES!$C$6:$C$505,A289,OPERACIONES!$AQ$6:$AQ$505,1)&gt;0,CONFIG!$B$22,0)+IF(COUNTIFS(OPERACIONES!$C$6:$C$505,A289,OPERACIONES!$H$6:$H$505,"Sí")&gt;0,CONFIG!$B$23,0))</f>
        <v/>
      </c>
      <c r="X289" s="9" t="str">
        <f aca="false">IF(A289="","",V289+W289)</f>
        <v/>
      </c>
      <c r="Y289" s="9" t="str">
        <f aca="false">IF(A289="","",IF(X289&lt;=CONFIG!$B$13,"Bajo",IF(X289&lt;=CONFIG!$B$14,"Medio","Alto")))</f>
        <v/>
      </c>
      <c r="Z289" s="25" t="str">
        <f aca="false">IF(A289="","",IF(OR(H289="Extranjera",AND(E289="No residente",G289="Sí"),I289="Sí"),"Alto",IF(T289&lt;&gt;"",T289,Y289)))</f>
        <v/>
      </c>
      <c r="AA289" s="26" t="str">
        <f aca="false">IF(A289="","",IF(H289="Extranjera","Alto obligatorio: PEP extranjera (RCG 23 Bis 4)",IF(AND(E289="No residente",G289="Sí"),"Alto obligatorio: no residente vinculado a jurisdicción de riesgo (RCG 23 Bis 4)",IF(I289="Sí","Alto por criterio: persona en listas. Evalúa no operar y Aviso de 24 h",IF(T289&lt;&gt;"","Ajuste del REC: "&amp;U289,"Modelo: "&amp;X289&amp;" puntos")))))</f>
        <v/>
      </c>
      <c r="AB289" s="23" t="str">
        <f aca="false">IF(A289="","",IF(COUNT(N289,O289)=0,"Falta fecha",EDATE(MAX(N289,O289),IF(Z289="Alto",CONFIG!$B$18,IF(Z289="Medio",CONFIG!$B$17,CONFIG!$B$16)))))</f>
        <v/>
      </c>
      <c r="AC289" s="23" t="str">
        <f aca="false">IF(A289="","",IF(ISNUMBER(S289),EDATE(S289,12),IF(ISNUMBER(N289),EDATE(N289,12),"Falta fecha")))</f>
        <v/>
      </c>
      <c r="AD289" s="26" t="str">
        <f aca="false">IF(A289="","",MID(IF(P289&lt;&gt;"Sí"," · Expediente incompleto","")&amp;IF(OR(Q289="",Q289="Pendiente")," · Falta el Beneficiario Controlador","")&amp;IF(M289=""," · Sin perfil transaccional","")&amp;IF(AND(ISNUMBER(AB289),AB289&lt;CONFIG!$B$6)," · Evaluación de riesgo vencida","")&amp;IF(AND(ISNUMBER(AC289),AC289&lt;CONFIG!$B$6)," · Verificación anual vencida","")&amp;IF(AND(ISNUMBER(R289),ISNUMBER(S289),S289-R289&gt;92)," · Comprobante de domicilio con más de 3 meses","")&amp;IF(AND(T289&lt;&gt;"",U289="")," · Ajuste del REC sin justificación",""),4,400))</f>
        <v/>
      </c>
      <c r="AE289" s="9" t="str">
        <f aca="false">IF(A289="","",IF(AD289="","Al día","Revisar"))</f>
        <v/>
      </c>
      <c r="AF289" s="9" t="str">
        <f aca="false">IF(A289="","",COUNTIF(OPERACIONES!$C$6:$C$505,A289)&amp;" / $"&amp;FIXED(SUMIF(OPERACIONES!$C$6:$C$505,A289,OPERACIONES!$E$6:$E$505),0))</f>
        <v/>
      </c>
    </row>
    <row r="290" customFormat="false" ht="15" hidden="false" customHeight="false" outlineLevel="0" collapsed="false">
      <c r="A290" s="21"/>
      <c r="B290" s="21"/>
      <c r="C290" s="21"/>
      <c r="D290" s="21"/>
      <c r="E290" s="21"/>
      <c r="F290" s="21"/>
      <c r="G290" s="21"/>
      <c r="H290" s="21"/>
      <c r="I290" s="21"/>
      <c r="J290" s="21"/>
      <c r="K290" s="21"/>
      <c r="L290" s="21"/>
      <c r="M290" s="22"/>
      <c r="N290" s="20"/>
      <c r="O290" s="20"/>
      <c r="P290" s="21"/>
      <c r="Q290" s="21"/>
      <c r="R290" s="20"/>
      <c r="S290" s="20"/>
      <c r="T290" s="21"/>
      <c r="U290" s="21"/>
      <c r="V290" s="9" t="str">
        <f aca="false">IF(A290="","",SUMIFS(CONFIG!$F$5:$F$26,CONFIG!$D$5:$D$26,"Tipo de persona",CONFIG!$E$5:$E$26,C290)+SUMIFS(CONFIG!$F$5:$F$26,CONFIG!$D$5:$D$26,"Residencia",CONFIG!$E$5:$E$26,E290)+SUMIFS(CONFIG!$F$5:$F$26,CONFIG!$D$5:$D$26,"Nacionalidad",CONFIG!$E$5:$E$26,F290)+SUMIFS(CONFIG!$F$5:$F$26,CONFIG!$D$5:$D$26,"Jurisdicción de riesgo",CONFIG!$E$5:$E$26,G290)+SUMIFS(CONFIG!$F$5:$F$26,CONFIG!$D$5:$D$26,"PEP",CONFIG!$E$5:$E$26,H290)+SUMIFS(CONFIG!$F$5:$F$26,CONFIG!$D$5:$D$26,"En listas",CONFIG!$E$5:$E$26,I290)+SUMIFS(CONFIG!$F$5:$F$26,CONFIG!$D$5:$D$26,"Riesgo de su actividad económica",CONFIG!$E$5:$E$26,J290)+SUMIFS(CONFIG!$F$5:$F$26,CONFIG!$D$5:$D$26,"Canal",CONFIG!$E$5:$E$26,K290)+SUMIFS(CONFIG!$F$5:$F$26,CONFIG!$D$5:$D$26,"Origen de recursos documentado",CONFIG!$E$5:$E$26,L290))</f>
        <v/>
      </c>
      <c r="W290" s="9" t="str">
        <f aca="false">IF(A290="","",IF(SUMIF(OPERACIONES!$C$6:$C$505,A290,OPERACIONES!$E$6:$E$505)&gt;0,IF(SUMIF(OPERACIONES!$C$6:$C$505,A290,OPERACIONES!$F$6:$F$505)/SUMIF(OPERACIONES!$C$6:$C$505,A290,OPERACIONES!$E$6:$E$505)&gt;0.5,CONFIG!$B$20,IF(SUMIF(OPERACIONES!$C$6:$C$505,A290,OPERACIONES!$F$6:$F$505)&gt;0,CONFIG!$B$21,0)),0)+IF(COUNTIFS(OPERACIONES!$C$6:$C$505,A290,OPERACIONES!$AQ$6:$AQ$505,1)&gt;0,CONFIG!$B$22,0)+IF(COUNTIFS(OPERACIONES!$C$6:$C$505,A290,OPERACIONES!$H$6:$H$505,"Sí")&gt;0,CONFIG!$B$23,0))</f>
        <v/>
      </c>
      <c r="X290" s="9" t="str">
        <f aca="false">IF(A290="","",V290+W290)</f>
        <v/>
      </c>
      <c r="Y290" s="9" t="str">
        <f aca="false">IF(A290="","",IF(X290&lt;=CONFIG!$B$13,"Bajo",IF(X290&lt;=CONFIG!$B$14,"Medio","Alto")))</f>
        <v/>
      </c>
      <c r="Z290" s="25" t="str">
        <f aca="false">IF(A290="","",IF(OR(H290="Extranjera",AND(E290="No residente",G290="Sí"),I290="Sí"),"Alto",IF(T290&lt;&gt;"",T290,Y290)))</f>
        <v/>
      </c>
      <c r="AA290" s="26" t="str">
        <f aca="false">IF(A290="","",IF(H290="Extranjera","Alto obligatorio: PEP extranjera (RCG 23 Bis 4)",IF(AND(E290="No residente",G290="Sí"),"Alto obligatorio: no residente vinculado a jurisdicción de riesgo (RCG 23 Bis 4)",IF(I290="Sí","Alto por criterio: persona en listas. Evalúa no operar y Aviso de 24 h",IF(T290&lt;&gt;"","Ajuste del REC: "&amp;U290,"Modelo: "&amp;X290&amp;" puntos")))))</f>
        <v/>
      </c>
      <c r="AB290" s="23" t="str">
        <f aca="false">IF(A290="","",IF(COUNT(N290,O290)=0,"Falta fecha",EDATE(MAX(N290,O290),IF(Z290="Alto",CONFIG!$B$18,IF(Z290="Medio",CONFIG!$B$17,CONFIG!$B$16)))))</f>
        <v/>
      </c>
      <c r="AC290" s="23" t="str">
        <f aca="false">IF(A290="","",IF(ISNUMBER(S290),EDATE(S290,12),IF(ISNUMBER(N290),EDATE(N290,12),"Falta fecha")))</f>
        <v/>
      </c>
      <c r="AD290" s="26" t="str">
        <f aca="false">IF(A290="","",MID(IF(P290&lt;&gt;"Sí"," · Expediente incompleto","")&amp;IF(OR(Q290="",Q290="Pendiente")," · Falta el Beneficiario Controlador","")&amp;IF(M290=""," · Sin perfil transaccional","")&amp;IF(AND(ISNUMBER(AB290),AB290&lt;CONFIG!$B$6)," · Evaluación de riesgo vencida","")&amp;IF(AND(ISNUMBER(AC290),AC290&lt;CONFIG!$B$6)," · Verificación anual vencida","")&amp;IF(AND(ISNUMBER(R290),ISNUMBER(S290),S290-R290&gt;92)," · Comprobante de domicilio con más de 3 meses","")&amp;IF(AND(T290&lt;&gt;"",U290="")," · Ajuste del REC sin justificación",""),4,400))</f>
        <v/>
      </c>
      <c r="AE290" s="9" t="str">
        <f aca="false">IF(A290="","",IF(AD290="","Al día","Revisar"))</f>
        <v/>
      </c>
      <c r="AF290" s="9" t="str">
        <f aca="false">IF(A290="","",COUNTIF(OPERACIONES!$C$6:$C$505,A290)&amp;" / $"&amp;FIXED(SUMIF(OPERACIONES!$C$6:$C$505,A290,OPERACIONES!$E$6:$E$505),0))</f>
        <v/>
      </c>
    </row>
    <row r="291" customFormat="false" ht="15" hidden="false" customHeight="false" outlineLevel="0" collapsed="false">
      <c r="A291" s="21"/>
      <c r="B291" s="21"/>
      <c r="C291" s="21"/>
      <c r="D291" s="21"/>
      <c r="E291" s="21"/>
      <c r="F291" s="21"/>
      <c r="G291" s="21"/>
      <c r="H291" s="21"/>
      <c r="I291" s="21"/>
      <c r="J291" s="21"/>
      <c r="K291" s="21"/>
      <c r="L291" s="21"/>
      <c r="M291" s="22"/>
      <c r="N291" s="20"/>
      <c r="O291" s="20"/>
      <c r="P291" s="21"/>
      <c r="Q291" s="21"/>
      <c r="R291" s="20"/>
      <c r="S291" s="20"/>
      <c r="T291" s="21"/>
      <c r="U291" s="21"/>
      <c r="V291" s="9" t="str">
        <f aca="false">IF(A291="","",SUMIFS(CONFIG!$F$5:$F$26,CONFIG!$D$5:$D$26,"Tipo de persona",CONFIG!$E$5:$E$26,C291)+SUMIFS(CONFIG!$F$5:$F$26,CONFIG!$D$5:$D$26,"Residencia",CONFIG!$E$5:$E$26,E291)+SUMIFS(CONFIG!$F$5:$F$26,CONFIG!$D$5:$D$26,"Nacionalidad",CONFIG!$E$5:$E$26,F291)+SUMIFS(CONFIG!$F$5:$F$26,CONFIG!$D$5:$D$26,"Jurisdicción de riesgo",CONFIG!$E$5:$E$26,G291)+SUMIFS(CONFIG!$F$5:$F$26,CONFIG!$D$5:$D$26,"PEP",CONFIG!$E$5:$E$26,H291)+SUMIFS(CONFIG!$F$5:$F$26,CONFIG!$D$5:$D$26,"En listas",CONFIG!$E$5:$E$26,I291)+SUMIFS(CONFIG!$F$5:$F$26,CONFIG!$D$5:$D$26,"Riesgo de su actividad económica",CONFIG!$E$5:$E$26,J291)+SUMIFS(CONFIG!$F$5:$F$26,CONFIG!$D$5:$D$26,"Canal",CONFIG!$E$5:$E$26,K291)+SUMIFS(CONFIG!$F$5:$F$26,CONFIG!$D$5:$D$26,"Origen de recursos documentado",CONFIG!$E$5:$E$26,L291))</f>
        <v/>
      </c>
      <c r="W291" s="9" t="str">
        <f aca="false">IF(A291="","",IF(SUMIF(OPERACIONES!$C$6:$C$505,A291,OPERACIONES!$E$6:$E$505)&gt;0,IF(SUMIF(OPERACIONES!$C$6:$C$505,A291,OPERACIONES!$F$6:$F$505)/SUMIF(OPERACIONES!$C$6:$C$505,A291,OPERACIONES!$E$6:$E$505)&gt;0.5,CONFIG!$B$20,IF(SUMIF(OPERACIONES!$C$6:$C$505,A291,OPERACIONES!$F$6:$F$505)&gt;0,CONFIG!$B$21,0)),0)+IF(COUNTIFS(OPERACIONES!$C$6:$C$505,A291,OPERACIONES!$AQ$6:$AQ$505,1)&gt;0,CONFIG!$B$22,0)+IF(COUNTIFS(OPERACIONES!$C$6:$C$505,A291,OPERACIONES!$H$6:$H$505,"Sí")&gt;0,CONFIG!$B$23,0))</f>
        <v/>
      </c>
      <c r="X291" s="9" t="str">
        <f aca="false">IF(A291="","",V291+W291)</f>
        <v/>
      </c>
      <c r="Y291" s="9" t="str">
        <f aca="false">IF(A291="","",IF(X291&lt;=CONFIG!$B$13,"Bajo",IF(X291&lt;=CONFIG!$B$14,"Medio","Alto")))</f>
        <v/>
      </c>
      <c r="Z291" s="25" t="str">
        <f aca="false">IF(A291="","",IF(OR(H291="Extranjera",AND(E291="No residente",G291="Sí"),I291="Sí"),"Alto",IF(T291&lt;&gt;"",T291,Y291)))</f>
        <v/>
      </c>
      <c r="AA291" s="26" t="str">
        <f aca="false">IF(A291="","",IF(H291="Extranjera","Alto obligatorio: PEP extranjera (RCG 23 Bis 4)",IF(AND(E291="No residente",G291="Sí"),"Alto obligatorio: no residente vinculado a jurisdicción de riesgo (RCG 23 Bis 4)",IF(I291="Sí","Alto por criterio: persona en listas. Evalúa no operar y Aviso de 24 h",IF(T291&lt;&gt;"","Ajuste del REC: "&amp;U291,"Modelo: "&amp;X291&amp;" puntos")))))</f>
        <v/>
      </c>
      <c r="AB291" s="23" t="str">
        <f aca="false">IF(A291="","",IF(COUNT(N291,O291)=0,"Falta fecha",EDATE(MAX(N291,O291),IF(Z291="Alto",CONFIG!$B$18,IF(Z291="Medio",CONFIG!$B$17,CONFIG!$B$16)))))</f>
        <v/>
      </c>
      <c r="AC291" s="23" t="str">
        <f aca="false">IF(A291="","",IF(ISNUMBER(S291),EDATE(S291,12),IF(ISNUMBER(N291),EDATE(N291,12),"Falta fecha")))</f>
        <v/>
      </c>
      <c r="AD291" s="26" t="str">
        <f aca="false">IF(A291="","",MID(IF(P291&lt;&gt;"Sí"," · Expediente incompleto","")&amp;IF(OR(Q291="",Q291="Pendiente")," · Falta el Beneficiario Controlador","")&amp;IF(M291=""," · Sin perfil transaccional","")&amp;IF(AND(ISNUMBER(AB291),AB291&lt;CONFIG!$B$6)," · Evaluación de riesgo vencida","")&amp;IF(AND(ISNUMBER(AC291),AC291&lt;CONFIG!$B$6)," · Verificación anual vencida","")&amp;IF(AND(ISNUMBER(R291),ISNUMBER(S291),S291-R291&gt;92)," · Comprobante de domicilio con más de 3 meses","")&amp;IF(AND(T291&lt;&gt;"",U291="")," · Ajuste del REC sin justificación",""),4,400))</f>
        <v/>
      </c>
      <c r="AE291" s="9" t="str">
        <f aca="false">IF(A291="","",IF(AD291="","Al día","Revisar"))</f>
        <v/>
      </c>
      <c r="AF291" s="9" t="str">
        <f aca="false">IF(A291="","",COUNTIF(OPERACIONES!$C$6:$C$505,A291)&amp;" / $"&amp;FIXED(SUMIF(OPERACIONES!$C$6:$C$505,A291,OPERACIONES!$E$6:$E$505),0))</f>
        <v/>
      </c>
    </row>
    <row r="292" customFormat="false" ht="15" hidden="false" customHeight="false" outlineLevel="0" collapsed="false">
      <c r="A292" s="21"/>
      <c r="B292" s="21"/>
      <c r="C292" s="21"/>
      <c r="D292" s="21"/>
      <c r="E292" s="21"/>
      <c r="F292" s="21"/>
      <c r="G292" s="21"/>
      <c r="H292" s="21"/>
      <c r="I292" s="21"/>
      <c r="J292" s="21"/>
      <c r="K292" s="21"/>
      <c r="L292" s="21"/>
      <c r="M292" s="22"/>
      <c r="N292" s="20"/>
      <c r="O292" s="20"/>
      <c r="P292" s="21"/>
      <c r="Q292" s="21"/>
      <c r="R292" s="20"/>
      <c r="S292" s="20"/>
      <c r="T292" s="21"/>
      <c r="U292" s="21"/>
      <c r="V292" s="9" t="str">
        <f aca="false">IF(A292="","",SUMIFS(CONFIG!$F$5:$F$26,CONFIG!$D$5:$D$26,"Tipo de persona",CONFIG!$E$5:$E$26,C292)+SUMIFS(CONFIG!$F$5:$F$26,CONFIG!$D$5:$D$26,"Residencia",CONFIG!$E$5:$E$26,E292)+SUMIFS(CONFIG!$F$5:$F$26,CONFIG!$D$5:$D$26,"Nacionalidad",CONFIG!$E$5:$E$26,F292)+SUMIFS(CONFIG!$F$5:$F$26,CONFIG!$D$5:$D$26,"Jurisdicción de riesgo",CONFIG!$E$5:$E$26,G292)+SUMIFS(CONFIG!$F$5:$F$26,CONFIG!$D$5:$D$26,"PEP",CONFIG!$E$5:$E$26,H292)+SUMIFS(CONFIG!$F$5:$F$26,CONFIG!$D$5:$D$26,"En listas",CONFIG!$E$5:$E$26,I292)+SUMIFS(CONFIG!$F$5:$F$26,CONFIG!$D$5:$D$26,"Riesgo de su actividad económica",CONFIG!$E$5:$E$26,J292)+SUMIFS(CONFIG!$F$5:$F$26,CONFIG!$D$5:$D$26,"Canal",CONFIG!$E$5:$E$26,K292)+SUMIFS(CONFIG!$F$5:$F$26,CONFIG!$D$5:$D$26,"Origen de recursos documentado",CONFIG!$E$5:$E$26,L292))</f>
        <v/>
      </c>
      <c r="W292" s="9" t="str">
        <f aca="false">IF(A292="","",IF(SUMIF(OPERACIONES!$C$6:$C$505,A292,OPERACIONES!$E$6:$E$505)&gt;0,IF(SUMIF(OPERACIONES!$C$6:$C$505,A292,OPERACIONES!$F$6:$F$505)/SUMIF(OPERACIONES!$C$6:$C$505,A292,OPERACIONES!$E$6:$E$505)&gt;0.5,CONFIG!$B$20,IF(SUMIF(OPERACIONES!$C$6:$C$505,A292,OPERACIONES!$F$6:$F$505)&gt;0,CONFIG!$B$21,0)),0)+IF(COUNTIFS(OPERACIONES!$C$6:$C$505,A292,OPERACIONES!$AQ$6:$AQ$505,1)&gt;0,CONFIG!$B$22,0)+IF(COUNTIFS(OPERACIONES!$C$6:$C$505,A292,OPERACIONES!$H$6:$H$505,"Sí")&gt;0,CONFIG!$B$23,0))</f>
        <v/>
      </c>
      <c r="X292" s="9" t="str">
        <f aca="false">IF(A292="","",V292+W292)</f>
        <v/>
      </c>
      <c r="Y292" s="9" t="str">
        <f aca="false">IF(A292="","",IF(X292&lt;=CONFIG!$B$13,"Bajo",IF(X292&lt;=CONFIG!$B$14,"Medio","Alto")))</f>
        <v/>
      </c>
      <c r="Z292" s="25" t="str">
        <f aca="false">IF(A292="","",IF(OR(H292="Extranjera",AND(E292="No residente",G292="Sí"),I292="Sí"),"Alto",IF(T292&lt;&gt;"",T292,Y292)))</f>
        <v/>
      </c>
      <c r="AA292" s="26" t="str">
        <f aca="false">IF(A292="","",IF(H292="Extranjera","Alto obligatorio: PEP extranjera (RCG 23 Bis 4)",IF(AND(E292="No residente",G292="Sí"),"Alto obligatorio: no residente vinculado a jurisdicción de riesgo (RCG 23 Bis 4)",IF(I292="Sí","Alto por criterio: persona en listas. Evalúa no operar y Aviso de 24 h",IF(T292&lt;&gt;"","Ajuste del REC: "&amp;U292,"Modelo: "&amp;X292&amp;" puntos")))))</f>
        <v/>
      </c>
      <c r="AB292" s="23" t="str">
        <f aca="false">IF(A292="","",IF(COUNT(N292,O292)=0,"Falta fecha",EDATE(MAX(N292,O292),IF(Z292="Alto",CONFIG!$B$18,IF(Z292="Medio",CONFIG!$B$17,CONFIG!$B$16)))))</f>
        <v/>
      </c>
      <c r="AC292" s="23" t="str">
        <f aca="false">IF(A292="","",IF(ISNUMBER(S292),EDATE(S292,12),IF(ISNUMBER(N292),EDATE(N292,12),"Falta fecha")))</f>
        <v/>
      </c>
      <c r="AD292" s="26" t="str">
        <f aca="false">IF(A292="","",MID(IF(P292&lt;&gt;"Sí"," · Expediente incompleto","")&amp;IF(OR(Q292="",Q292="Pendiente")," · Falta el Beneficiario Controlador","")&amp;IF(M292=""," · Sin perfil transaccional","")&amp;IF(AND(ISNUMBER(AB292),AB292&lt;CONFIG!$B$6)," · Evaluación de riesgo vencida","")&amp;IF(AND(ISNUMBER(AC292),AC292&lt;CONFIG!$B$6)," · Verificación anual vencida","")&amp;IF(AND(ISNUMBER(R292),ISNUMBER(S292),S292-R292&gt;92)," · Comprobante de domicilio con más de 3 meses","")&amp;IF(AND(T292&lt;&gt;"",U292="")," · Ajuste del REC sin justificación",""),4,400))</f>
        <v/>
      </c>
      <c r="AE292" s="9" t="str">
        <f aca="false">IF(A292="","",IF(AD292="","Al día","Revisar"))</f>
        <v/>
      </c>
      <c r="AF292" s="9" t="str">
        <f aca="false">IF(A292="","",COUNTIF(OPERACIONES!$C$6:$C$505,A292)&amp;" / $"&amp;FIXED(SUMIF(OPERACIONES!$C$6:$C$505,A292,OPERACIONES!$E$6:$E$505),0))</f>
        <v/>
      </c>
    </row>
    <row r="293" customFormat="false" ht="15" hidden="false" customHeight="false" outlineLevel="0" collapsed="false">
      <c r="A293" s="21"/>
      <c r="B293" s="21"/>
      <c r="C293" s="21"/>
      <c r="D293" s="21"/>
      <c r="E293" s="21"/>
      <c r="F293" s="21"/>
      <c r="G293" s="21"/>
      <c r="H293" s="21"/>
      <c r="I293" s="21"/>
      <c r="J293" s="21"/>
      <c r="K293" s="21"/>
      <c r="L293" s="21"/>
      <c r="M293" s="22"/>
      <c r="N293" s="20"/>
      <c r="O293" s="20"/>
      <c r="P293" s="21"/>
      <c r="Q293" s="21"/>
      <c r="R293" s="20"/>
      <c r="S293" s="20"/>
      <c r="T293" s="21"/>
      <c r="U293" s="21"/>
      <c r="V293" s="9" t="str">
        <f aca="false">IF(A293="","",SUMIFS(CONFIG!$F$5:$F$26,CONFIG!$D$5:$D$26,"Tipo de persona",CONFIG!$E$5:$E$26,C293)+SUMIFS(CONFIG!$F$5:$F$26,CONFIG!$D$5:$D$26,"Residencia",CONFIG!$E$5:$E$26,E293)+SUMIFS(CONFIG!$F$5:$F$26,CONFIG!$D$5:$D$26,"Nacionalidad",CONFIG!$E$5:$E$26,F293)+SUMIFS(CONFIG!$F$5:$F$26,CONFIG!$D$5:$D$26,"Jurisdicción de riesgo",CONFIG!$E$5:$E$26,G293)+SUMIFS(CONFIG!$F$5:$F$26,CONFIG!$D$5:$D$26,"PEP",CONFIG!$E$5:$E$26,H293)+SUMIFS(CONFIG!$F$5:$F$26,CONFIG!$D$5:$D$26,"En listas",CONFIG!$E$5:$E$26,I293)+SUMIFS(CONFIG!$F$5:$F$26,CONFIG!$D$5:$D$26,"Riesgo de su actividad económica",CONFIG!$E$5:$E$26,J293)+SUMIFS(CONFIG!$F$5:$F$26,CONFIG!$D$5:$D$26,"Canal",CONFIG!$E$5:$E$26,K293)+SUMIFS(CONFIG!$F$5:$F$26,CONFIG!$D$5:$D$26,"Origen de recursos documentado",CONFIG!$E$5:$E$26,L293))</f>
        <v/>
      </c>
      <c r="W293" s="9" t="str">
        <f aca="false">IF(A293="","",IF(SUMIF(OPERACIONES!$C$6:$C$505,A293,OPERACIONES!$E$6:$E$505)&gt;0,IF(SUMIF(OPERACIONES!$C$6:$C$505,A293,OPERACIONES!$F$6:$F$505)/SUMIF(OPERACIONES!$C$6:$C$505,A293,OPERACIONES!$E$6:$E$505)&gt;0.5,CONFIG!$B$20,IF(SUMIF(OPERACIONES!$C$6:$C$505,A293,OPERACIONES!$F$6:$F$505)&gt;0,CONFIG!$B$21,0)),0)+IF(COUNTIFS(OPERACIONES!$C$6:$C$505,A293,OPERACIONES!$AQ$6:$AQ$505,1)&gt;0,CONFIG!$B$22,0)+IF(COUNTIFS(OPERACIONES!$C$6:$C$505,A293,OPERACIONES!$H$6:$H$505,"Sí")&gt;0,CONFIG!$B$23,0))</f>
        <v/>
      </c>
      <c r="X293" s="9" t="str">
        <f aca="false">IF(A293="","",V293+W293)</f>
        <v/>
      </c>
      <c r="Y293" s="9" t="str">
        <f aca="false">IF(A293="","",IF(X293&lt;=CONFIG!$B$13,"Bajo",IF(X293&lt;=CONFIG!$B$14,"Medio","Alto")))</f>
        <v/>
      </c>
      <c r="Z293" s="25" t="str">
        <f aca="false">IF(A293="","",IF(OR(H293="Extranjera",AND(E293="No residente",G293="Sí"),I293="Sí"),"Alto",IF(T293&lt;&gt;"",T293,Y293)))</f>
        <v/>
      </c>
      <c r="AA293" s="26" t="str">
        <f aca="false">IF(A293="","",IF(H293="Extranjera","Alto obligatorio: PEP extranjera (RCG 23 Bis 4)",IF(AND(E293="No residente",G293="Sí"),"Alto obligatorio: no residente vinculado a jurisdicción de riesgo (RCG 23 Bis 4)",IF(I293="Sí","Alto por criterio: persona en listas. Evalúa no operar y Aviso de 24 h",IF(T293&lt;&gt;"","Ajuste del REC: "&amp;U293,"Modelo: "&amp;X293&amp;" puntos")))))</f>
        <v/>
      </c>
      <c r="AB293" s="23" t="str">
        <f aca="false">IF(A293="","",IF(COUNT(N293,O293)=0,"Falta fecha",EDATE(MAX(N293,O293),IF(Z293="Alto",CONFIG!$B$18,IF(Z293="Medio",CONFIG!$B$17,CONFIG!$B$16)))))</f>
        <v/>
      </c>
      <c r="AC293" s="23" t="str">
        <f aca="false">IF(A293="","",IF(ISNUMBER(S293),EDATE(S293,12),IF(ISNUMBER(N293),EDATE(N293,12),"Falta fecha")))</f>
        <v/>
      </c>
      <c r="AD293" s="26" t="str">
        <f aca="false">IF(A293="","",MID(IF(P293&lt;&gt;"Sí"," · Expediente incompleto","")&amp;IF(OR(Q293="",Q293="Pendiente")," · Falta el Beneficiario Controlador","")&amp;IF(M293=""," · Sin perfil transaccional","")&amp;IF(AND(ISNUMBER(AB293),AB293&lt;CONFIG!$B$6)," · Evaluación de riesgo vencida","")&amp;IF(AND(ISNUMBER(AC293),AC293&lt;CONFIG!$B$6)," · Verificación anual vencida","")&amp;IF(AND(ISNUMBER(R293),ISNUMBER(S293),S293-R293&gt;92)," · Comprobante de domicilio con más de 3 meses","")&amp;IF(AND(T293&lt;&gt;"",U293="")," · Ajuste del REC sin justificación",""),4,400))</f>
        <v/>
      </c>
      <c r="AE293" s="9" t="str">
        <f aca="false">IF(A293="","",IF(AD293="","Al día","Revisar"))</f>
        <v/>
      </c>
      <c r="AF293" s="9" t="str">
        <f aca="false">IF(A293="","",COUNTIF(OPERACIONES!$C$6:$C$505,A293)&amp;" / $"&amp;FIXED(SUMIF(OPERACIONES!$C$6:$C$505,A293,OPERACIONES!$E$6:$E$505),0))</f>
        <v/>
      </c>
    </row>
    <row r="294" customFormat="false" ht="15" hidden="false" customHeight="false" outlineLevel="0" collapsed="false">
      <c r="A294" s="21"/>
      <c r="B294" s="21"/>
      <c r="C294" s="21"/>
      <c r="D294" s="21"/>
      <c r="E294" s="21"/>
      <c r="F294" s="21"/>
      <c r="G294" s="21"/>
      <c r="H294" s="21"/>
      <c r="I294" s="21"/>
      <c r="J294" s="21"/>
      <c r="K294" s="21"/>
      <c r="L294" s="21"/>
      <c r="M294" s="22"/>
      <c r="N294" s="20"/>
      <c r="O294" s="20"/>
      <c r="P294" s="21"/>
      <c r="Q294" s="21"/>
      <c r="R294" s="20"/>
      <c r="S294" s="20"/>
      <c r="T294" s="21"/>
      <c r="U294" s="21"/>
      <c r="V294" s="9" t="str">
        <f aca="false">IF(A294="","",SUMIFS(CONFIG!$F$5:$F$26,CONFIG!$D$5:$D$26,"Tipo de persona",CONFIG!$E$5:$E$26,C294)+SUMIFS(CONFIG!$F$5:$F$26,CONFIG!$D$5:$D$26,"Residencia",CONFIG!$E$5:$E$26,E294)+SUMIFS(CONFIG!$F$5:$F$26,CONFIG!$D$5:$D$26,"Nacionalidad",CONFIG!$E$5:$E$26,F294)+SUMIFS(CONFIG!$F$5:$F$26,CONFIG!$D$5:$D$26,"Jurisdicción de riesgo",CONFIG!$E$5:$E$26,G294)+SUMIFS(CONFIG!$F$5:$F$26,CONFIG!$D$5:$D$26,"PEP",CONFIG!$E$5:$E$26,H294)+SUMIFS(CONFIG!$F$5:$F$26,CONFIG!$D$5:$D$26,"En listas",CONFIG!$E$5:$E$26,I294)+SUMIFS(CONFIG!$F$5:$F$26,CONFIG!$D$5:$D$26,"Riesgo de su actividad económica",CONFIG!$E$5:$E$26,J294)+SUMIFS(CONFIG!$F$5:$F$26,CONFIG!$D$5:$D$26,"Canal",CONFIG!$E$5:$E$26,K294)+SUMIFS(CONFIG!$F$5:$F$26,CONFIG!$D$5:$D$26,"Origen de recursos documentado",CONFIG!$E$5:$E$26,L294))</f>
        <v/>
      </c>
      <c r="W294" s="9" t="str">
        <f aca="false">IF(A294="","",IF(SUMIF(OPERACIONES!$C$6:$C$505,A294,OPERACIONES!$E$6:$E$505)&gt;0,IF(SUMIF(OPERACIONES!$C$6:$C$505,A294,OPERACIONES!$F$6:$F$505)/SUMIF(OPERACIONES!$C$6:$C$505,A294,OPERACIONES!$E$6:$E$505)&gt;0.5,CONFIG!$B$20,IF(SUMIF(OPERACIONES!$C$6:$C$505,A294,OPERACIONES!$F$6:$F$505)&gt;0,CONFIG!$B$21,0)),0)+IF(COUNTIFS(OPERACIONES!$C$6:$C$505,A294,OPERACIONES!$AQ$6:$AQ$505,1)&gt;0,CONFIG!$B$22,0)+IF(COUNTIFS(OPERACIONES!$C$6:$C$505,A294,OPERACIONES!$H$6:$H$505,"Sí")&gt;0,CONFIG!$B$23,0))</f>
        <v/>
      </c>
      <c r="X294" s="9" t="str">
        <f aca="false">IF(A294="","",V294+W294)</f>
        <v/>
      </c>
      <c r="Y294" s="9" t="str">
        <f aca="false">IF(A294="","",IF(X294&lt;=CONFIG!$B$13,"Bajo",IF(X294&lt;=CONFIG!$B$14,"Medio","Alto")))</f>
        <v/>
      </c>
      <c r="Z294" s="25" t="str">
        <f aca="false">IF(A294="","",IF(OR(H294="Extranjera",AND(E294="No residente",G294="Sí"),I294="Sí"),"Alto",IF(T294&lt;&gt;"",T294,Y294)))</f>
        <v/>
      </c>
      <c r="AA294" s="26" t="str">
        <f aca="false">IF(A294="","",IF(H294="Extranjera","Alto obligatorio: PEP extranjera (RCG 23 Bis 4)",IF(AND(E294="No residente",G294="Sí"),"Alto obligatorio: no residente vinculado a jurisdicción de riesgo (RCG 23 Bis 4)",IF(I294="Sí","Alto por criterio: persona en listas. Evalúa no operar y Aviso de 24 h",IF(T294&lt;&gt;"","Ajuste del REC: "&amp;U294,"Modelo: "&amp;X294&amp;" puntos")))))</f>
        <v/>
      </c>
      <c r="AB294" s="23" t="str">
        <f aca="false">IF(A294="","",IF(COUNT(N294,O294)=0,"Falta fecha",EDATE(MAX(N294,O294),IF(Z294="Alto",CONFIG!$B$18,IF(Z294="Medio",CONFIG!$B$17,CONFIG!$B$16)))))</f>
        <v/>
      </c>
      <c r="AC294" s="23" t="str">
        <f aca="false">IF(A294="","",IF(ISNUMBER(S294),EDATE(S294,12),IF(ISNUMBER(N294),EDATE(N294,12),"Falta fecha")))</f>
        <v/>
      </c>
      <c r="AD294" s="26" t="str">
        <f aca="false">IF(A294="","",MID(IF(P294&lt;&gt;"Sí"," · Expediente incompleto","")&amp;IF(OR(Q294="",Q294="Pendiente")," · Falta el Beneficiario Controlador","")&amp;IF(M294=""," · Sin perfil transaccional","")&amp;IF(AND(ISNUMBER(AB294),AB294&lt;CONFIG!$B$6)," · Evaluación de riesgo vencida","")&amp;IF(AND(ISNUMBER(AC294),AC294&lt;CONFIG!$B$6)," · Verificación anual vencida","")&amp;IF(AND(ISNUMBER(R294),ISNUMBER(S294),S294-R294&gt;92)," · Comprobante de domicilio con más de 3 meses","")&amp;IF(AND(T294&lt;&gt;"",U294="")," · Ajuste del REC sin justificación",""),4,400))</f>
        <v/>
      </c>
      <c r="AE294" s="9" t="str">
        <f aca="false">IF(A294="","",IF(AD294="","Al día","Revisar"))</f>
        <v/>
      </c>
      <c r="AF294" s="9" t="str">
        <f aca="false">IF(A294="","",COUNTIF(OPERACIONES!$C$6:$C$505,A294)&amp;" / $"&amp;FIXED(SUMIF(OPERACIONES!$C$6:$C$505,A294,OPERACIONES!$E$6:$E$505),0))</f>
        <v/>
      </c>
    </row>
    <row r="295" customFormat="false" ht="15" hidden="false" customHeight="false" outlineLevel="0" collapsed="false">
      <c r="A295" s="21"/>
      <c r="B295" s="21"/>
      <c r="C295" s="21"/>
      <c r="D295" s="21"/>
      <c r="E295" s="21"/>
      <c r="F295" s="21"/>
      <c r="G295" s="21"/>
      <c r="H295" s="21"/>
      <c r="I295" s="21"/>
      <c r="J295" s="21"/>
      <c r="K295" s="21"/>
      <c r="L295" s="21"/>
      <c r="M295" s="22"/>
      <c r="N295" s="20"/>
      <c r="O295" s="20"/>
      <c r="P295" s="21"/>
      <c r="Q295" s="21"/>
      <c r="R295" s="20"/>
      <c r="S295" s="20"/>
      <c r="T295" s="21"/>
      <c r="U295" s="21"/>
      <c r="V295" s="9" t="str">
        <f aca="false">IF(A295="","",SUMIFS(CONFIG!$F$5:$F$26,CONFIG!$D$5:$D$26,"Tipo de persona",CONFIG!$E$5:$E$26,C295)+SUMIFS(CONFIG!$F$5:$F$26,CONFIG!$D$5:$D$26,"Residencia",CONFIG!$E$5:$E$26,E295)+SUMIFS(CONFIG!$F$5:$F$26,CONFIG!$D$5:$D$26,"Nacionalidad",CONFIG!$E$5:$E$26,F295)+SUMIFS(CONFIG!$F$5:$F$26,CONFIG!$D$5:$D$26,"Jurisdicción de riesgo",CONFIG!$E$5:$E$26,G295)+SUMIFS(CONFIG!$F$5:$F$26,CONFIG!$D$5:$D$26,"PEP",CONFIG!$E$5:$E$26,H295)+SUMIFS(CONFIG!$F$5:$F$26,CONFIG!$D$5:$D$26,"En listas",CONFIG!$E$5:$E$26,I295)+SUMIFS(CONFIG!$F$5:$F$26,CONFIG!$D$5:$D$26,"Riesgo de su actividad económica",CONFIG!$E$5:$E$26,J295)+SUMIFS(CONFIG!$F$5:$F$26,CONFIG!$D$5:$D$26,"Canal",CONFIG!$E$5:$E$26,K295)+SUMIFS(CONFIG!$F$5:$F$26,CONFIG!$D$5:$D$26,"Origen de recursos documentado",CONFIG!$E$5:$E$26,L295))</f>
        <v/>
      </c>
      <c r="W295" s="9" t="str">
        <f aca="false">IF(A295="","",IF(SUMIF(OPERACIONES!$C$6:$C$505,A295,OPERACIONES!$E$6:$E$505)&gt;0,IF(SUMIF(OPERACIONES!$C$6:$C$505,A295,OPERACIONES!$F$6:$F$505)/SUMIF(OPERACIONES!$C$6:$C$505,A295,OPERACIONES!$E$6:$E$505)&gt;0.5,CONFIG!$B$20,IF(SUMIF(OPERACIONES!$C$6:$C$505,A295,OPERACIONES!$F$6:$F$505)&gt;0,CONFIG!$B$21,0)),0)+IF(COUNTIFS(OPERACIONES!$C$6:$C$505,A295,OPERACIONES!$AQ$6:$AQ$505,1)&gt;0,CONFIG!$B$22,0)+IF(COUNTIFS(OPERACIONES!$C$6:$C$505,A295,OPERACIONES!$H$6:$H$505,"Sí")&gt;0,CONFIG!$B$23,0))</f>
        <v/>
      </c>
      <c r="X295" s="9" t="str">
        <f aca="false">IF(A295="","",V295+W295)</f>
        <v/>
      </c>
      <c r="Y295" s="9" t="str">
        <f aca="false">IF(A295="","",IF(X295&lt;=CONFIG!$B$13,"Bajo",IF(X295&lt;=CONFIG!$B$14,"Medio","Alto")))</f>
        <v/>
      </c>
      <c r="Z295" s="25" t="str">
        <f aca="false">IF(A295="","",IF(OR(H295="Extranjera",AND(E295="No residente",G295="Sí"),I295="Sí"),"Alto",IF(T295&lt;&gt;"",T295,Y295)))</f>
        <v/>
      </c>
      <c r="AA295" s="26" t="str">
        <f aca="false">IF(A295="","",IF(H295="Extranjera","Alto obligatorio: PEP extranjera (RCG 23 Bis 4)",IF(AND(E295="No residente",G295="Sí"),"Alto obligatorio: no residente vinculado a jurisdicción de riesgo (RCG 23 Bis 4)",IF(I295="Sí","Alto por criterio: persona en listas. Evalúa no operar y Aviso de 24 h",IF(T295&lt;&gt;"","Ajuste del REC: "&amp;U295,"Modelo: "&amp;X295&amp;" puntos")))))</f>
        <v/>
      </c>
      <c r="AB295" s="23" t="str">
        <f aca="false">IF(A295="","",IF(COUNT(N295,O295)=0,"Falta fecha",EDATE(MAX(N295,O295),IF(Z295="Alto",CONFIG!$B$18,IF(Z295="Medio",CONFIG!$B$17,CONFIG!$B$16)))))</f>
        <v/>
      </c>
      <c r="AC295" s="23" t="str">
        <f aca="false">IF(A295="","",IF(ISNUMBER(S295),EDATE(S295,12),IF(ISNUMBER(N295),EDATE(N295,12),"Falta fecha")))</f>
        <v/>
      </c>
      <c r="AD295" s="26" t="str">
        <f aca="false">IF(A295="","",MID(IF(P295&lt;&gt;"Sí"," · Expediente incompleto","")&amp;IF(OR(Q295="",Q295="Pendiente")," · Falta el Beneficiario Controlador","")&amp;IF(M295=""," · Sin perfil transaccional","")&amp;IF(AND(ISNUMBER(AB295),AB295&lt;CONFIG!$B$6)," · Evaluación de riesgo vencida","")&amp;IF(AND(ISNUMBER(AC295),AC295&lt;CONFIG!$B$6)," · Verificación anual vencida","")&amp;IF(AND(ISNUMBER(R295),ISNUMBER(S295),S295-R295&gt;92)," · Comprobante de domicilio con más de 3 meses","")&amp;IF(AND(T295&lt;&gt;"",U295="")," · Ajuste del REC sin justificación",""),4,400))</f>
        <v/>
      </c>
      <c r="AE295" s="9" t="str">
        <f aca="false">IF(A295="","",IF(AD295="","Al día","Revisar"))</f>
        <v/>
      </c>
      <c r="AF295" s="9" t="str">
        <f aca="false">IF(A295="","",COUNTIF(OPERACIONES!$C$6:$C$505,A295)&amp;" / $"&amp;FIXED(SUMIF(OPERACIONES!$C$6:$C$505,A295,OPERACIONES!$E$6:$E$505),0))</f>
        <v/>
      </c>
    </row>
    <row r="296" customFormat="false" ht="15" hidden="false" customHeight="false" outlineLevel="0" collapsed="false">
      <c r="A296" s="21"/>
      <c r="B296" s="21"/>
      <c r="C296" s="21"/>
      <c r="D296" s="21"/>
      <c r="E296" s="21"/>
      <c r="F296" s="21"/>
      <c r="G296" s="21"/>
      <c r="H296" s="21"/>
      <c r="I296" s="21"/>
      <c r="J296" s="21"/>
      <c r="K296" s="21"/>
      <c r="L296" s="21"/>
      <c r="M296" s="22"/>
      <c r="N296" s="20"/>
      <c r="O296" s="20"/>
      <c r="P296" s="21"/>
      <c r="Q296" s="21"/>
      <c r="R296" s="20"/>
      <c r="S296" s="20"/>
      <c r="T296" s="21"/>
      <c r="U296" s="21"/>
      <c r="V296" s="9" t="str">
        <f aca="false">IF(A296="","",SUMIFS(CONFIG!$F$5:$F$26,CONFIG!$D$5:$D$26,"Tipo de persona",CONFIG!$E$5:$E$26,C296)+SUMIFS(CONFIG!$F$5:$F$26,CONFIG!$D$5:$D$26,"Residencia",CONFIG!$E$5:$E$26,E296)+SUMIFS(CONFIG!$F$5:$F$26,CONFIG!$D$5:$D$26,"Nacionalidad",CONFIG!$E$5:$E$26,F296)+SUMIFS(CONFIG!$F$5:$F$26,CONFIG!$D$5:$D$26,"Jurisdicción de riesgo",CONFIG!$E$5:$E$26,G296)+SUMIFS(CONFIG!$F$5:$F$26,CONFIG!$D$5:$D$26,"PEP",CONFIG!$E$5:$E$26,H296)+SUMIFS(CONFIG!$F$5:$F$26,CONFIG!$D$5:$D$26,"En listas",CONFIG!$E$5:$E$26,I296)+SUMIFS(CONFIG!$F$5:$F$26,CONFIG!$D$5:$D$26,"Riesgo de su actividad económica",CONFIG!$E$5:$E$26,J296)+SUMIFS(CONFIG!$F$5:$F$26,CONFIG!$D$5:$D$26,"Canal",CONFIG!$E$5:$E$26,K296)+SUMIFS(CONFIG!$F$5:$F$26,CONFIG!$D$5:$D$26,"Origen de recursos documentado",CONFIG!$E$5:$E$26,L296))</f>
        <v/>
      </c>
      <c r="W296" s="9" t="str">
        <f aca="false">IF(A296="","",IF(SUMIF(OPERACIONES!$C$6:$C$505,A296,OPERACIONES!$E$6:$E$505)&gt;0,IF(SUMIF(OPERACIONES!$C$6:$C$505,A296,OPERACIONES!$F$6:$F$505)/SUMIF(OPERACIONES!$C$6:$C$505,A296,OPERACIONES!$E$6:$E$505)&gt;0.5,CONFIG!$B$20,IF(SUMIF(OPERACIONES!$C$6:$C$505,A296,OPERACIONES!$F$6:$F$505)&gt;0,CONFIG!$B$21,0)),0)+IF(COUNTIFS(OPERACIONES!$C$6:$C$505,A296,OPERACIONES!$AQ$6:$AQ$505,1)&gt;0,CONFIG!$B$22,0)+IF(COUNTIFS(OPERACIONES!$C$6:$C$505,A296,OPERACIONES!$H$6:$H$505,"Sí")&gt;0,CONFIG!$B$23,0))</f>
        <v/>
      </c>
      <c r="X296" s="9" t="str">
        <f aca="false">IF(A296="","",V296+W296)</f>
        <v/>
      </c>
      <c r="Y296" s="9" t="str">
        <f aca="false">IF(A296="","",IF(X296&lt;=CONFIG!$B$13,"Bajo",IF(X296&lt;=CONFIG!$B$14,"Medio","Alto")))</f>
        <v/>
      </c>
      <c r="Z296" s="25" t="str">
        <f aca="false">IF(A296="","",IF(OR(H296="Extranjera",AND(E296="No residente",G296="Sí"),I296="Sí"),"Alto",IF(T296&lt;&gt;"",T296,Y296)))</f>
        <v/>
      </c>
      <c r="AA296" s="26" t="str">
        <f aca="false">IF(A296="","",IF(H296="Extranjera","Alto obligatorio: PEP extranjera (RCG 23 Bis 4)",IF(AND(E296="No residente",G296="Sí"),"Alto obligatorio: no residente vinculado a jurisdicción de riesgo (RCG 23 Bis 4)",IF(I296="Sí","Alto por criterio: persona en listas. Evalúa no operar y Aviso de 24 h",IF(T296&lt;&gt;"","Ajuste del REC: "&amp;U296,"Modelo: "&amp;X296&amp;" puntos")))))</f>
        <v/>
      </c>
      <c r="AB296" s="23" t="str">
        <f aca="false">IF(A296="","",IF(COUNT(N296,O296)=0,"Falta fecha",EDATE(MAX(N296,O296),IF(Z296="Alto",CONFIG!$B$18,IF(Z296="Medio",CONFIG!$B$17,CONFIG!$B$16)))))</f>
        <v/>
      </c>
      <c r="AC296" s="23" t="str">
        <f aca="false">IF(A296="","",IF(ISNUMBER(S296),EDATE(S296,12),IF(ISNUMBER(N296),EDATE(N296,12),"Falta fecha")))</f>
        <v/>
      </c>
      <c r="AD296" s="26" t="str">
        <f aca="false">IF(A296="","",MID(IF(P296&lt;&gt;"Sí"," · Expediente incompleto","")&amp;IF(OR(Q296="",Q296="Pendiente")," · Falta el Beneficiario Controlador","")&amp;IF(M296=""," · Sin perfil transaccional","")&amp;IF(AND(ISNUMBER(AB296),AB296&lt;CONFIG!$B$6)," · Evaluación de riesgo vencida","")&amp;IF(AND(ISNUMBER(AC296),AC296&lt;CONFIG!$B$6)," · Verificación anual vencida","")&amp;IF(AND(ISNUMBER(R296),ISNUMBER(S296),S296-R296&gt;92)," · Comprobante de domicilio con más de 3 meses","")&amp;IF(AND(T296&lt;&gt;"",U296="")," · Ajuste del REC sin justificación",""),4,400))</f>
        <v/>
      </c>
      <c r="AE296" s="9" t="str">
        <f aca="false">IF(A296="","",IF(AD296="","Al día","Revisar"))</f>
        <v/>
      </c>
      <c r="AF296" s="9" t="str">
        <f aca="false">IF(A296="","",COUNTIF(OPERACIONES!$C$6:$C$505,A296)&amp;" / $"&amp;FIXED(SUMIF(OPERACIONES!$C$6:$C$505,A296,OPERACIONES!$E$6:$E$505),0))</f>
        <v/>
      </c>
    </row>
    <row r="297" customFormat="false" ht="15" hidden="false" customHeight="false" outlineLevel="0" collapsed="false">
      <c r="A297" s="21"/>
      <c r="B297" s="21"/>
      <c r="C297" s="21"/>
      <c r="D297" s="21"/>
      <c r="E297" s="21"/>
      <c r="F297" s="21"/>
      <c r="G297" s="21"/>
      <c r="H297" s="21"/>
      <c r="I297" s="21"/>
      <c r="J297" s="21"/>
      <c r="K297" s="21"/>
      <c r="L297" s="21"/>
      <c r="M297" s="22"/>
      <c r="N297" s="20"/>
      <c r="O297" s="20"/>
      <c r="P297" s="21"/>
      <c r="Q297" s="21"/>
      <c r="R297" s="20"/>
      <c r="S297" s="20"/>
      <c r="T297" s="21"/>
      <c r="U297" s="21"/>
      <c r="V297" s="9" t="str">
        <f aca="false">IF(A297="","",SUMIFS(CONFIG!$F$5:$F$26,CONFIG!$D$5:$D$26,"Tipo de persona",CONFIG!$E$5:$E$26,C297)+SUMIFS(CONFIG!$F$5:$F$26,CONFIG!$D$5:$D$26,"Residencia",CONFIG!$E$5:$E$26,E297)+SUMIFS(CONFIG!$F$5:$F$26,CONFIG!$D$5:$D$26,"Nacionalidad",CONFIG!$E$5:$E$26,F297)+SUMIFS(CONFIG!$F$5:$F$26,CONFIG!$D$5:$D$26,"Jurisdicción de riesgo",CONFIG!$E$5:$E$26,G297)+SUMIFS(CONFIG!$F$5:$F$26,CONFIG!$D$5:$D$26,"PEP",CONFIG!$E$5:$E$26,H297)+SUMIFS(CONFIG!$F$5:$F$26,CONFIG!$D$5:$D$26,"En listas",CONFIG!$E$5:$E$26,I297)+SUMIFS(CONFIG!$F$5:$F$26,CONFIG!$D$5:$D$26,"Riesgo de su actividad económica",CONFIG!$E$5:$E$26,J297)+SUMIFS(CONFIG!$F$5:$F$26,CONFIG!$D$5:$D$26,"Canal",CONFIG!$E$5:$E$26,K297)+SUMIFS(CONFIG!$F$5:$F$26,CONFIG!$D$5:$D$26,"Origen de recursos documentado",CONFIG!$E$5:$E$26,L297))</f>
        <v/>
      </c>
      <c r="W297" s="9" t="str">
        <f aca="false">IF(A297="","",IF(SUMIF(OPERACIONES!$C$6:$C$505,A297,OPERACIONES!$E$6:$E$505)&gt;0,IF(SUMIF(OPERACIONES!$C$6:$C$505,A297,OPERACIONES!$F$6:$F$505)/SUMIF(OPERACIONES!$C$6:$C$505,A297,OPERACIONES!$E$6:$E$505)&gt;0.5,CONFIG!$B$20,IF(SUMIF(OPERACIONES!$C$6:$C$505,A297,OPERACIONES!$F$6:$F$505)&gt;0,CONFIG!$B$21,0)),0)+IF(COUNTIFS(OPERACIONES!$C$6:$C$505,A297,OPERACIONES!$AQ$6:$AQ$505,1)&gt;0,CONFIG!$B$22,0)+IF(COUNTIFS(OPERACIONES!$C$6:$C$505,A297,OPERACIONES!$H$6:$H$505,"Sí")&gt;0,CONFIG!$B$23,0))</f>
        <v/>
      </c>
      <c r="X297" s="9" t="str">
        <f aca="false">IF(A297="","",V297+W297)</f>
        <v/>
      </c>
      <c r="Y297" s="9" t="str">
        <f aca="false">IF(A297="","",IF(X297&lt;=CONFIG!$B$13,"Bajo",IF(X297&lt;=CONFIG!$B$14,"Medio","Alto")))</f>
        <v/>
      </c>
      <c r="Z297" s="25" t="str">
        <f aca="false">IF(A297="","",IF(OR(H297="Extranjera",AND(E297="No residente",G297="Sí"),I297="Sí"),"Alto",IF(T297&lt;&gt;"",T297,Y297)))</f>
        <v/>
      </c>
      <c r="AA297" s="26" t="str">
        <f aca="false">IF(A297="","",IF(H297="Extranjera","Alto obligatorio: PEP extranjera (RCG 23 Bis 4)",IF(AND(E297="No residente",G297="Sí"),"Alto obligatorio: no residente vinculado a jurisdicción de riesgo (RCG 23 Bis 4)",IF(I297="Sí","Alto por criterio: persona en listas. Evalúa no operar y Aviso de 24 h",IF(T297&lt;&gt;"","Ajuste del REC: "&amp;U297,"Modelo: "&amp;X297&amp;" puntos")))))</f>
        <v/>
      </c>
      <c r="AB297" s="23" t="str">
        <f aca="false">IF(A297="","",IF(COUNT(N297,O297)=0,"Falta fecha",EDATE(MAX(N297,O297),IF(Z297="Alto",CONFIG!$B$18,IF(Z297="Medio",CONFIG!$B$17,CONFIG!$B$16)))))</f>
        <v/>
      </c>
      <c r="AC297" s="23" t="str">
        <f aca="false">IF(A297="","",IF(ISNUMBER(S297),EDATE(S297,12),IF(ISNUMBER(N297),EDATE(N297,12),"Falta fecha")))</f>
        <v/>
      </c>
      <c r="AD297" s="26" t="str">
        <f aca="false">IF(A297="","",MID(IF(P297&lt;&gt;"Sí"," · Expediente incompleto","")&amp;IF(OR(Q297="",Q297="Pendiente")," · Falta el Beneficiario Controlador","")&amp;IF(M297=""," · Sin perfil transaccional","")&amp;IF(AND(ISNUMBER(AB297),AB297&lt;CONFIG!$B$6)," · Evaluación de riesgo vencida","")&amp;IF(AND(ISNUMBER(AC297),AC297&lt;CONFIG!$B$6)," · Verificación anual vencida","")&amp;IF(AND(ISNUMBER(R297),ISNUMBER(S297),S297-R297&gt;92)," · Comprobante de domicilio con más de 3 meses","")&amp;IF(AND(T297&lt;&gt;"",U297="")," · Ajuste del REC sin justificación",""),4,400))</f>
        <v/>
      </c>
      <c r="AE297" s="9" t="str">
        <f aca="false">IF(A297="","",IF(AD297="","Al día","Revisar"))</f>
        <v/>
      </c>
      <c r="AF297" s="9" t="str">
        <f aca="false">IF(A297="","",COUNTIF(OPERACIONES!$C$6:$C$505,A297)&amp;" / $"&amp;FIXED(SUMIF(OPERACIONES!$C$6:$C$505,A297,OPERACIONES!$E$6:$E$505),0))</f>
        <v/>
      </c>
    </row>
    <row r="298" customFormat="false" ht="15" hidden="false" customHeight="false" outlineLevel="0" collapsed="false">
      <c r="A298" s="21"/>
      <c r="B298" s="21"/>
      <c r="C298" s="21"/>
      <c r="D298" s="21"/>
      <c r="E298" s="21"/>
      <c r="F298" s="21"/>
      <c r="G298" s="21"/>
      <c r="H298" s="21"/>
      <c r="I298" s="21"/>
      <c r="J298" s="21"/>
      <c r="K298" s="21"/>
      <c r="L298" s="21"/>
      <c r="M298" s="22"/>
      <c r="N298" s="20"/>
      <c r="O298" s="20"/>
      <c r="P298" s="21"/>
      <c r="Q298" s="21"/>
      <c r="R298" s="20"/>
      <c r="S298" s="20"/>
      <c r="T298" s="21"/>
      <c r="U298" s="21"/>
      <c r="V298" s="9" t="str">
        <f aca="false">IF(A298="","",SUMIFS(CONFIG!$F$5:$F$26,CONFIG!$D$5:$D$26,"Tipo de persona",CONFIG!$E$5:$E$26,C298)+SUMIFS(CONFIG!$F$5:$F$26,CONFIG!$D$5:$D$26,"Residencia",CONFIG!$E$5:$E$26,E298)+SUMIFS(CONFIG!$F$5:$F$26,CONFIG!$D$5:$D$26,"Nacionalidad",CONFIG!$E$5:$E$26,F298)+SUMIFS(CONFIG!$F$5:$F$26,CONFIG!$D$5:$D$26,"Jurisdicción de riesgo",CONFIG!$E$5:$E$26,G298)+SUMIFS(CONFIG!$F$5:$F$26,CONFIG!$D$5:$D$26,"PEP",CONFIG!$E$5:$E$26,H298)+SUMIFS(CONFIG!$F$5:$F$26,CONFIG!$D$5:$D$26,"En listas",CONFIG!$E$5:$E$26,I298)+SUMIFS(CONFIG!$F$5:$F$26,CONFIG!$D$5:$D$26,"Riesgo de su actividad económica",CONFIG!$E$5:$E$26,J298)+SUMIFS(CONFIG!$F$5:$F$26,CONFIG!$D$5:$D$26,"Canal",CONFIG!$E$5:$E$26,K298)+SUMIFS(CONFIG!$F$5:$F$26,CONFIG!$D$5:$D$26,"Origen de recursos documentado",CONFIG!$E$5:$E$26,L298))</f>
        <v/>
      </c>
      <c r="W298" s="9" t="str">
        <f aca="false">IF(A298="","",IF(SUMIF(OPERACIONES!$C$6:$C$505,A298,OPERACIONES!$E$6:$E$505)&gt;0,IF(SUMIF(OPERACIONES!$C$6:$C$505,A298,OPERACIONES!$F$6:$F$505)/SUMIF(OPERACIONES!$C$6:$C$505,A298,OPERACIONES!$E$6:$E$505)&gt;0.5,CONFIG!$B$20,IF(SUMIF(OPERACIONES!$C$6:$C$505,A298,OPERACIONES!$F$6:$F$505)&gt;0,CONFIG!$B$21,0)),0)+IF(COUNTIFS(OPERACIONES!$C$6:$C$505,A298,OPERACIONES!$AQ$6:$AQ$505,1)&gt;0,CONFIG!$B$22,0)+IF(COUNTIFS(OPERACIONES!$C$6:$C$505,A298,OPERACIONES!$H$6:$H$505,"Sí")&gt;0,CONFIG!$B$23,0))</f>
        <v/>
      </c>
      <c r="X298" s="9" t="str">
        <f aca="false">IF(A298="","",V298+W298)</f>
        <v/>
      </c>
      <c r="Y298" s="9" t="str">
        <f aca="false">IF(A298="","",IF(X298&lt;=CONFIG!$B$13,"Bajo",IF(X298&lt;=CONFIG!$B$14,"Medio","Alto")))</f>
        <v/>
      </c>
      <c r="Z298" s="25" t="str">
        <f aca="false">IF(A298="","",IF(OR(H298="Extranjera",AND(E298="No residente",G298="Sí"),I298="Sí"),"Alto",IF(T298&lt;&gt;"",T298,Y298)))</f>
        <v/>
      </c>
      <c r="AA298" s="26" t="str">
        <f aca="false">IF(A298="","",IF(H298="Extranjera","Alto obligatorio: PEP extranjera (RCG 23 Bis 4)",IF(AND(E298="No residente",G298="Sí"),"Alto obligatorio: no residente vinculado a jurisdicción de riesgo (RCG 23 Bis 4)",IF(I298="Sí","Alto por criterio: persona en listas. Evalúa no operar y Aviso de 24 h",IF(T298&lt;&gt;"","Ajuste del REC: "&amp;U298,"Modelo: "&amp;X298&amp;" puntos")))))</f>
        <v/>
      </c>
      <c r="AB298" s="23" t="str">
        <f aca="false">IF(A298="","",IF(COUNT(N298,O298)=0,"Falta fecha",EDATE(MAX(N298,O298),IF(Z298="Alto",CONFIG!$B$18,IF(Z298="Medio",CONFIG!$B$17,CONFIG!$B$16)))))</f>
        <v/>
      </c>
      <c r="AC298" s="23" t="str">
        <f aca="false">IF(A298="","",IF(ISNUMBER(S298),EDATE(S298,12),IF(ISNUMBER(N298),EDATE(N298,12),"Falta fecha")))</f>
        <v/>
      </c>
      <c r="AD298" s="26" t="str">
        <f aca="false">IF(A298="","",MID(IF(P298&lt;&gt;"Sí"," · Expediente incompleto","")&amp;IF(OR(Q298="",Q298="Pendiente")," · Falta el Beneficiario Controlador","")&amp;IF(M298=""," · Sin perfil transaccional","")&amp;IF(AND(ISNUMBER(AB298),AB298&lt;CONFIG!$B$6)," · Evaluación de riesgo vencida","")&amp;IF(AND(ISNUMBER(AC298),AC298&lt;CONFIG!$B$6)," · Verificación anual vencida","")&amp;IF(AND(ISNUMBER(R298),ISNUMBER(S298),S298-R298&gt;92)," · Comprobante de domicilio con más de 3 meses","")&amp;IF(AND(T298&lt;&gt;"",U298="")," · Ajuste del REC sin justificación",""),4,400))</f>
        <v/>
      </c>
      <c r="AE298" s="9" t="str">
        <f aca="false">IF(A298="","",IF(AD298="","Al día","Revisar"))</f>
        <v/>
      </c>
      <c r="AF298" s="9" t="str">
        <f aca="false">IF(A298="","",COUNTIF(OPERACIONES!$C$6:$C$505,A298)&amp;" / $"&amp;FIXED(SUMIF(OPERACIONES!$C$6:$C$505,A298,OPERACIONES!$E$6:$E$505),0))</f>
        <v/>
      </c>
    </row>
    <row r="299" customFormat="false" ht="15" hidden="false" customHeight="false" outlineLevel="0" collapsed="false">
      <c r="A299" s="21"/>
      <c r="B299" s="21"/>
      <c r="C299" s="21"/>
      <c r="D299" s="21"/>
      <c r="E299" s="21"/>
      <c r="F299" s="21"/>
      <c r="G299" s="21"/>
      <c r="H299" s="21"/>
      <c r="I299" s="21"/>
      <c r="J299" s="21"/>
      <c r="K299" s="21"/>
      <c r="L299" s="21"/>
      <c r="M299" s="22"/>
      <c r="N299" s="20"/>
      <c r="O299" s="20"/>
      <c r="P299" s="21"/>
      <c r="Q299" s="21"/>
      <c r="R299" s="20"/>
      <c r="S299" s="20"/>
      <c r="T299" s="21"/>
      <c r="U299" s="21"/>
      <c r="V299" s="9" t="str">
        <f aca="false">IF(A299="","",SUMIFS(CONFIG!$F$5:$F$26,CONFIG!$D$5:$D$26,"Tipo de persona",CONFIG!$E$5:$E$26,C299)+SUMIFS(CONFIG!$F$5:$F$26,CONFIG!$D$5:$D$26,"Residencia",CONFIG!$E$5:$E$26,E299)+SUMIFS(CONFIG!$F$5:$F$26,CONFIG!$D$5:$D$26,"Nacionalidad",CONFIG!$E$5:$E$26,F299)+SUMIFS(CONFIG!$F$5:$F$26,CONFIG!$D$5:$D$26,"Jurisdicción de riesgo",CONFIG!$E$5:$E$26,G299)+SUMIFS(CONFIG!$F$5:$F$26,CONFIG!$D$5:$D$26,"PEP",CONFIG!$E$5:$E$26,H299)+SUMIFS(CONFIG!$F$5:$F$26,CONFIG!$D$5:$D$26,"En listas",CONFIG!$E$5:$E$26,I299)+SUMIFS(CONFIG!$F$5:$F$26,CONFIG!$D$5:$D$26,"Riesgo de su actividad económica",CONFIG!$E$5:$E$26,J299)+SUMIFS(CONFIG!$F$5:$F$26,CONFIG!$D$5:$D$26,"Canal",CONFIG!$E$5:$E$26,K299)+SUMIFS(CONFIG!$F$5:$F$26,CONFIG!$D$5:$D$26,"Origen de recursos documentado",CONFIG!$E$5:$E$26,L299))</f>
        <v/>
      </c>
      <c r="W299" s="9" t="str">
        <f aca="false">IF(A299="","",IF(SUMIF(OPERACIONES!$C$6:$C$505,A299,OPERACIONES!$E$6:$E$505)&gt;0,IF(SUMIF(OPERACIONES!$C$6:$C$505,A299,OPERACIONES!$F$6:$F$505)/SUMIF(OPERACIONES!$C$6:$C$505,A299,OPERACIONES!$E$6:$E$505)&gt;0.5,CONFIG!$B$20,IF(SUMIF(OPERACIONES!$C$6:$C$505,A299,OPERACIONES!$F$6:$F$505)&gt;0,CONFIG!$B$21,0)),0)+IF(COUNTIFS(OPERACIONES!$C$6:$C$505,A299,OPERACIONES!$AQ$6:$AQ$505,1)&gt;0,CONFIG!$B$22,0)+IF(COUNTIFS(OPERACIONES!$C$6:$C$505,A299,OPERACIONES!$H$6:$H$505,"Sí")&gt;0,CONFIG!$B$23,0))</f>
        <v/>
      </c>
      <c r="X299" s="9" t="str">
        <f aca="false">IF(A299="","",V299+W299)</f>
        <v/>
      </c>
      <c r="Y299" s="9" t="str">
        <f aca="false">IF(A299="","",IF(X299&lt;=CONFIG!$B$13,"Bajo",IF(X299&lt;=CONFIG!$B$14,"Medio","Alto")))</f>
        <v/>
      </c>
      <c r="Z299" s="25" t="str">
        <f aca="false">IF(A299="","",IF(OR(H299="Extranjera",AND(E299="No residente",G299="Sí"),I299="Sí"),"Alto",IF(T299&lt;&gt;"",T299,Y299)))</f>
        <v/>
      </c>
      <c r="AA299" s="26" t="str">
        <f aca="false">IF(A299="","",IF(H299="Extranjera","Alto obligatorio: PEP extranjera (RCG 23 Bis 4)",IF(AND(E299="No residente",G299="Sí"),"Alto obligatorio: no residente vinculado a jurisdicción de riesgo (RCG 23 Bis 4)",IF(I299="Sí","Alto por criterio: persona en listas. Evalúa no operar y Aviso de 24 h",IF(T299&lt;&gt;"","Ajuste del REC: "&amp;U299,"Modelo: "&amp;X299&amp;" puntos")))))</f>
        <v/>
      </c>
      <c r="AB299" s="23" t="str">
        <f aca="false">IF(A299="","",IF(COUNT(N299,O299)=0,"Falta fecha",EDATE(MAX(N299,O299),IF(Z299="Alto",CONFIG!$B$18,IF(Z299="Medio",CONFIG!$B$17,CONFIG!$B$16)))))</f>
        <v/>
      </c>
      <c r="AC299" s="23" t="str">
        <f aca="false">IF(A299="","",IF(ISNUMBER(S299),EDATE(S299,12),IF(ISNUMBER(N299),EDATE(N299,12),"Falta fecha")))</f>
        <v/>
      </c>
      <c r="AD299" s="26" t="str">
        <f aca="false">IF(A299="","",MID(IF(P299&lt;&gt;"Sí"," · Expediente incompleto","")&amp;IF(OR(Q299="",Q299="Pendiente")," · Falta el Beneficiario Controlador","")&amp;IF(M299=""," · Sin perfil transaccional","")&amp;IF(AND(ISNUMBER(AB299),AB299&lt;CONFIG!$B$6)," · Evaluación de riesgo vencida","")&amp;IF(AND(ISNUMBER(AC299),AC299&lt;CONFIG!$B$6)," · Verificación anual vencida","")&amp;IF(AND(ISNUMBER(R299),ISNUMBER(S299),S299-R299&gt;92)," · Comprobante de domicilio con más de 3 meses","")&amp;IF(AND(T299&lt;&gt;"",U299="")," · Ajuste del REC sin justificación",""),4,400))</f>
        <v/>
      </c>
      <c r="AE299" s="9" t="str">
        <f aca="false">IF(A299="","",IF(AD299="","Al día","Revisar"))</f>
        <v/>
      </c>
      <c r="AF299" s="9" t="str">
        <f aca="false">IF(A299="","",COUNTIF(OPERACIONES!$C$6:$C$505,A299)&amp;" / $"&amp;FIXED(SUMIF(OPERACIONES!$C$6:$C$505,A299,OPERACIONES!$E$6:$E$505),0))</f>
        <v/>
      </c>
    </row>
    <row r="300" customFormat="false" ht="15" hidden="false" customHeight="false" outlineLevel="0" collapsed="false">
      <c r="A300" s="21"/>
      <c r="B300" s="21"/>
      <c r="C300" s="21"/>
      <c r="D300" s="21"/>
      <c r="E300" s="21"/>
      <c r="F300" s="21"/>
      <c r="G300" s="21"/>
      <c r="H300" s="21"/>
      <c r="I300" s="21"/>
      <c r="J300" s="21"/>
      <c r="K300" s="21"/>
      <c r="L300" s="21"/>
      <c r="M300" s="22"/>
      <c r="N300" s="20"/>
      <c r="O300" s="20"/>
      <c r="P300" s="21"/>
      <c r="Q300" s="21"/>
      <c r="R300" s="20"/>
      <c r="S300" s="20"/>
      <c r="T300" s="21"/>
      <c r="U300" s="21"/>
      <c r="V300" s="9" t="str">
        <f aca="false">IF(A300="","",SUMIFS(CONFIG!$F$5:$F$26,CONFIG!$D$5:$D$26,"Tipo de persona",CONFIG!$E$5:$E$26,C300)+SUMIFS(CONFIG!$F$5:$F$26,CONFIG!$D$5:$D$26,"Residencia",CONFIG!$E$5:$E$26,E300)+SUMIFS(CONFIG!$F$5:$F$26,CONFIG!$D$5:$D$26,"Nacionalidad",CONFIG!$E$5:$E$26,F300)+SUMIFS(CONFIG!$F$5:$F$26,CONFIG!$D$5:$D$26,"Jurisdicción de riesgo",CONFIG!$E$5:$E$26,G300)+SUMIFS(CONFIG!$F$5:$F$26,CONFIG!$D$5:$D$26,"PEP",CONFIG!$E$5:$E$26,H300)+SUMIFS(CONFIG!$F$5:$F$26,CONFIG!$D$5:$D$26,"En listas",CONFIG!$E$5:$E$26,I300)+SUMIFS(CONFIG!$F$5:$F$26,CONFIG!$D$5:$D$26,"Riesgo de su actividad económica",CONFIG!$E$5:$E$26,J300)+SUMIFS(CONFIG!$F$5:$F$26,CONFIG!$D$5:$D$26,"Canal",CONFIG!$E$5:$E$26,K300)+SUMIFS(CONFIG!$F$5:$F$26,CONFIG!$D$5:$D$26,"Origen de recursos documentado",CONFIG!$E$5:$E$26,L300))</f>
        <v/>
      </c>
      <c r="W300" s="9" t="str">
        <f aca="false">IF(A300="","",IF(SUMIF(OPERACIONES!$C$6:$C$505,A300,OPERACIONES!$E$6:$E$505)&gt;0,IF(SUMIF(OPERACIONES!$C$6:$C$505,A300,OPERACIONES!$F$6:$F$505)/SUMIF(OPERACIONES!$C$6:$C$505,A300,OPERACIONES!$E$6:$E$505)&gt;0.5,CONFIG!$B$20,IF(SUMIF(OPERACIONES!$C$6:$C$505,A300,OPERACIONES!$F$6:$F$505)&gt;0,CONFIG!$B$21,0)),0)+IF(COUNTIFS(OPERACIONES!$C$6:$C$505,A300,OPERACIONES!$AQ$6:$AQ$505,1)&gt;0,CONFIG!$B$22,0)+IF(COUNTIFS(OPERACIONES!$C$6:$C$505,A300,OPERACIONES!$H$6:$H$505,"Sí")&gt;0,CONFIG!$B$23,0))</f>
        <v/>
      </c>
      <c r="X300" s="9" t="str">
        <f aca="false">IF(A300="","",V300+W300)</f>
        <v/>
      </c>
      <c r="Y300" s="9" t="str">
        <f aca="false">IF(A300="","",IF(X300&lt;=CONFIG!$B$13,"Bajo",IF(X300&lt;=CONFIG!$B$14,"Medio","Alto")))</f>
        <v/>
      </c>
      <c r="Z300" s="25" t="str">
        <f aca="false">IF(A300="","",IF(OR(H300="Extranjera",AND(E300="No residente",G300="Sí"),I300="Sí"),"Alto",IF(T300&lt;&gt;"",T300,Y300)))</f>
        <v/>
      </c>
      <c r="AA300" s="26" t="str">
        <f aca="false">IF(A300="","",IF(H300="Extranjera","Alto obligatorio: PEP extranjera (RCG 23 Bis 4)",IF(AND(E300="No residente",G300="Sí"),"Alto obligatorio: no residente vinculado a jurisdicción de riesgo (RCG 23 Bis 4)",IF(I300="Sí","Alto por criterio: persona en listas. Evalúa no operar y Aviso de 24 h",IF(T300&lt;&gt;"","Ajuste del REC: "&amp;U300,"Modelo: "&amp;X300&amp;" puntos")))))</f>
        <v/>
      </c>
      <c r="AB300" s="23" t="str">
        <f aca="false">IF(A300="","",IF(COUNT(N300,O300)=0,"Falta fecha",EDATE(MAX(N300,O300),IF(Z300="Alto",CONFIG!$B$18,IF(Z300="Medio",CONFIG!$B$17,CONFIG!$B$16)))))</f>
        <v/>
      </c>
      <c r="AC300" s="23" t="str">
        <f aca="false">IF(A300="","",IF(ISNUMBER(S300),EDATE(S300,12),IF(ISNUMBER(N300),EDATE(N300,12),"Falta fecha")))</f>
        <v/>
      </c>
      <c r="AD300" s="26" t="str">
        <f aca="false">IF(A300="","",MID(IF(P300&lt;&gt;"Sí"," · Expediente incompleto","")&amp;IF(OR(Q300="",Q300="Pendiente")," · Falta el Beneficiario Controlador","")&amp;IF(M300=""," · Sin perfil transaccional","")&amp;IF(AND(ISNUMBER(AB300),AB300&lt;CONFIG!$B$6)," · Evaluación de riesgo vencida","")&amp;IF(AND(ISNUMBER(AC300),AC300&lt;CONFIG!$B$6)," · Verificación anual vencida","")&amp;IF(AND(ISNUMBER(R300),ISNUMBER(S300),S300-R300&gt;92)," · Comprobante de domicilio con más de 3 meses","")&amp;IF(AND(T300&lt;&gt;"",U300="")," · Ajuste del REC sin justificación",""),4,400))</f>
        <v/>
      </c>
      <c r="AE300" s="9" t="str">
        <f aca="false">IF(A300="","",IF(AD300="","Al día","Revisar"))</f>
        <v/>
      </c>
      <c r="AF300" s="9" t="str">
        <f aca="false">IF(A300="","",COUNTIF(OPERACIONES!$C$6:$C$505,A300)&amp;" / $"&amp;FIXED(SUMIF(OPERACIONES!$C$6:$C$505,A300,OPERACIONES!$E$6:$E$505),0))</f>
        <v/>
      </c>
    </row>
    <row r="301" customFormat="false" ht="15" hidden="false" customHeight="false" outlineLevel="0" collapsed="false">
      <c r="A301" s="21"/>
      <c r="B301" s="21"/>
      <c r="C301" s="21"/>
      <c r="D301" s="21"/>
      <c r="E301" s="21"/>
      <c r="F301" s="21"/>
      <c r="G301" s="21"/>
      <c r="H301" s="21"/>
      <c r="I301" s="21"/>
      <c r="J301" s="21"/>
      <c r="K301" s="21"/>
      <c r="L301" s="21"/>
      <c r="M301" s="22"/>
      <c r="N301" s="20"/>
      <c r="O301" s="20"/>
      <c r="P301" s="21"/>
      <c r="Q301" s="21"/>
      <c r="R301" s="20"/>
      <c r="S301" s="20"/>
      <c r="T301" s="21"/>
      <c r="U301" s="21"/>
      <c r="V301" s="9" t="str">
        <f aca="false">IF(A301="","",SUMIFS(CONFIG!$F$5:$F$26,CONFIG!$D$5:$D$26,"Tipo de persona",CONFIG!$E$5:$E$26,C301)+SUMIFS(CONFIG!$F$5:$F$26,CONFIG!$D$5:$D$26,"Residencia",CONFIG!$E$5:$E$26,E301)+SUMIFS(CONFIG!$F$5:$F$26,CONFIG!$D$5:$D$26,"Nacionalidad",CONFIG!$E$5:$E$26,F301)+SUMIFS(CONFIG!$F$5:$F$26,CONFIG!$D$5:$D$26,"Jurisdicción de riesgo",CONFIG!$E$5:$E$26,G301)+SUMIFS(CONFIG!$F$5:$F$26,CONFIG!$D$5:$D$26,"PEP",CONFIG!$E$5:$E$26,H301)+SUMIFS(CONFIG!$F$5:$F$26,CONFIG!$D$5:$D$26,"En listas",CONFIG!$E$5:$E$26,I301)+SUMIFS(CONFIG!$F$5:$F$26,CONFIG!$D$5:$D$26,"Riesgo de su actividad económica",CONFIG!$E$5:$E$26,J301)+SUMIFS(CONFIG!$F$5:$F$26,CONFIG!$D$5:$D$26,"Canal",CONFIG!$E$5:$E$26,K301)+SUMIFS(CONFIG!$F$5:$F$26,CONFIG!$D$5:$D$26,"Origen de recursos documentado",CONFIG!$E$5:$E$26,L301))</f>
        <v/>
      </c>
      <c r="W301" s="9" t="str">
        <f aca="false">IF(A301="","",IF(SUMIF(OPERACIONES!$C$6:$C$505,A301,OPERACIONES!$E$6:$E$505)&gt;0,IF(SUMIF(OPERACIONES!$C$6:$C$505,A301,OPERACIONES!$F$6:$F$505)/SUMIF(OPERACIONES!$C$6:$C$505,A301,OPERACIONES!$E$6:$E$505)&gt;0.5,CONFIG!$B$20,IF(SUMIF(OPERACIONES!$C$6:$C$505,A301,OPERACIONES!$F$6:$F$505)&gt;0,CONFIG!$B$21,0)),0)+IF(COUNTIFS(OPERACIONES!$C$6:$C$505,A301,OPERACIONES!$AQ$6:$AQ$505,1)&gt;0,CONFIG!$B$22,0)+IF(COUNTIFS(OPERACIONES!$C$6:$C$505,A301,OPERACIONES!$H$6:$H$505,"Sí")&gt;0,CONFIG!$B$23,0))</f>
        <v/>
      </c>
      <c r="X301" s="9" t="str">
        <f aca="false">IF(A301="","",V301+W301)</f>
        <v/>
      </c>
      <c r="Y301" s="9" t="str">
        <f aca="false">IF(A301="","",IF(X301&lt;=CONFIG!$B$13,"Bajo",IF(X301&lt;=CONFIG!$B$14,"Medio","Alto")))</f>
        <v/>
      </c>
      <c r="Z301" s="25" t="str">
        <f aca="false">IF(A301="","",IF(OR(H301="Extranjera",AND(E301="No residente",G301="Sí"),I301="Sí"),"Alto",IF(T301&lt;&gt;"",T301,Y301)))</f>
        <v/>
      </c>
      <c r="AA301" s="26" t="str">
        <f aca="false">IF(A301="","",IF(H301="Extranjera","Alto obligatorio: PEP extranjera (RCG 23 Bis 4)",IF(AND(E301="No residente",G301="Sí"),"Alto obligatorio: no residente vinculado a jurisdicción de riesgo (RCG 23 Bis 4)",IF(I301="Sí","Alto por criterio: persona en listas. Evalúa no operar y Aviso de 24 h",IF(T301&lt;&gt;"","Ajuste del REC: "&amp;U301,"Modelo: "&amp;X301&amp;" puntos")))))</f>
        <v/>
      </c>
      <c r="AB301" s="23" t="str">
        <f aca="false">IF(A301="","",IF(COUNT(N301,O301)=0,"Falta fecha",EDATE(MAX(N301,O301),IF(Z301="Alto",CONFIG!$B$18,IF(Z301="Medio",CONFIG!$B$17,CONFIG!$B$16)))))</f>
        <v/>
      </c>
      <c r="AC301" s="23" t="str">
        <f aca="false">IF(A301="","",IF(ISNUMBER(S301),EDATE(S301,12),IF(ISNUMBER(N301),EDATE(N301,12),"Falta fecha")))</f>
        <v/>
      </c>
      <c r="AD301" s="26" t="str">
        <f aca="false">IF(A301="","",MID(IF(P301&lt;&gt;"Sí"," · Expediente incompleto","")&amp;IF(OR(Q301="",Q301="Pendiente")," · Falta el Beneficiario Controlador","")&amp;IF(M301=""," · Sin perfil transaccional","")&amp;IF(AND(ISNUMBER(AB301),AB301&lt;CONFIG!$B$6)," · Evaluación de riesgo vencida","")&amp;IF(AND(ISNUMBER(AC301),AC301&lt;CONFIG!$B$6)," · Verificación anual vencida","")&amp;IF(AND(ISNUMBER(R301),ISNUMBER(S301),S301-R301&gt;92)," · Comprobante de domicilio con más de 3 meses","")&amp;IF(AND(T301&lt;&gt;"",U301="")," · Ajuste del REC sin justificación",""),4,400))</f>
        <v/>
      </c>
      <c r="AE301" s="9" t="str">
        <f aca="false">IF(A301="","",IF(AD301="","Al día","Revisar"))</f>
        <v/>
      </c>
      <c r="AF301" s="9" t="str">
        <f aca="false">IF(A301="","",COUNTIF(OPERACIONES!$C$6:$C$505,A301)&amp;" / $"&amp;FIXED(SUMIF(OPERACIONES!$C$6:$C$505,A301,OPERACIONES!$E$6:$E$505),0))</f>
        <v/>
      </c>
    </row>
    <row r="302" customFormat="false" ht="15" hidden="false" customHeight="false" outlineLevel="0" collapsed="false">
      <c r="A302" s="21"/>
      <c r="B302" s="21"/>
      <c r="C302" s="21"/>
      <c r="D302" s="21"/>
      <c r="E302" s="21"/>
      <c r="F302" s="21"/>
      <c r="G302" s="21"/>
      <c r="H302" s="21"/>
      <c r="I302" s="21"/>
      <c r="J302" s="21"/>
      <c r="K302" s="21"/>
      <c r="L302" s="21"/>
      <c r="M302" s="22"/>
      <c r="N302" s="20"/>
      <c r="O302" s="20"/>
      <c r="P302" s="21"/>
      <c r="Q302" s="21"/>
      <c r="R302" s="20"/>
      <c r="S302" s="20"/>
      <c r="T302" s="21"/>
      <c r="U302" s="21"/>
      <c r="V302" s="9" t="str">
        <f aca="false">IF(A302="","",SUMIFS(CONFIG!$F$5:$F$26,CONFIG!$D$5:$D$26,"Tipo de persona",CONFIG!$E$5:$E$26,C302)+SUMIFS(CONFIG!$F$5:$F$26,CONFIG!$D$5:$D$26,"Residencia",CONFIG!$E$5:$E$26,E302)+SUMIFS(CONFIG!$F$5:$F$26,CONFIG!$D$5:$D$26,"Nacionalidad",CONFIG!$E$5:$E$26,F302)+SUMIFS(CONFIG!$F$5:$F$26,CONFIG!$D$5:$D$26,"Jurisdicción de riesgo",CONFIG!$E$5:$E$26,G302)+SUMIFS(CONFIG!$F$5:$F$26,CONFIG!$D$5:$D$26,"PEP",CONFIG!$E$5:$E$26,H302)+SUMIFS(CONFIG!$F$5:$F$26,CONFIG!$D$5:$D$26,"En listas",CONFIG!$E$5:$E$26,I302)+SUMIFS(CONFIG!$F$5:$F$26,CONFIG!$D$5:$D$26,"Riesgo de su actividad económica",CONFIG!$E$5:$E$26,J302)+SUMIFS(CONFIG!$F$5:$F$26,CONFIG!$D$5:$D$26,"Canal",CONFIG!$E$5:$E$26,K302)+SUMIFS(CONFIG!$F$5:$F$26,CONFIG!$D$5:$D$26,"Origen de recursos documentado",CONFIG!$E$5:$E$26,L302))</f>
        <v/>
      </c>
      <c r="W302" s="9" t="str">
        <f aca="false">IF(A302="","",IF(SUMIF(OPERACIONES!$C$6:$C$505,A302,OPERACIONES!$E$6:$E$505)&gt;0,IF(SUMIF(OPERACIONES!$C$6:$C$505,A302,OPERACIONES!$F$6:$F$505)/SUMIF(OPERACIONES!$C$6:$C$505,A302,OPERACIONES!$E$6:$E$505)&gt;0.5,CONFIG!$B$20,IF(SUMIF(OPERACIONES!$C$6:$C$505,A302,OPERACIONES!$F$6:$F$505)&gt;0,CONFIG!$B$21,0)),0)+IF(COUNTIFS(OPERACIONES!$C$6:$C$505,A302,OPERACIONES!$AQ$6:$AQ$505,1)&gt;0,CONFIG!$B$22,0)+IF(COUNTIFS(OPERACIONES!$C$6:$C$505,A302,OPERACIONES!$H$6:$H$505,"Sí")&gt;0,CONFIG!$B$23,0))</f>
        <v/>
      </c>
      <c r="X302" s="9" t="str">
        <f aca="false">IF(A302="","",V302+W302)</f>
        <v/>
      </c>
      <c r="Y302" s="9" t="str">
        <f aca="false">IF(A302="","",IF(X302&lt;=CONFIG!$B$13,"Bajo",IF(X302&lt;=CONFIG!$B$14,"Medio","Alto")))</f>
        <v/>
      </c>
      <c r="Z302" s="25" t="str">
        <f aca="false">IF(A302="","",IF(OR(H302="Extranjera",AND(E302="No residente",G302="Sí"),I302="Sí"),"Alto",IF(T302&lt;&gt;"",T302,Y302)))</f>
        <v/>
      </c>
      <c r="AA302" s="26" t="str">
        <f aca="false">IF(A302="","",IF(H302="Extranjera","Alto obligatorio: PEP extranjera (RCG 23 Bis 4)",IF(AND(E302="No residente",G302="Sí"),"Alto obligatorio: no residente vinculado a jurisdicción de riesgo (RCG 23 Bis 4)",IF(I302="Sí","Alto por criterio: persona en listas. Evalúa no operar y Aviso de 24 h",IF(T302&lt;&gt;"","Ajuste del REC: "&amp;U302,"Modelo: "&amp;X302&amp;" puntos")))))</f>
        <v/>
      </c>
      <c r="AB302" s="23" t="str">
        <f aca="false">IF(A302="","",IF(COUNT(N302,O302)=0,"Falta fecha",EDATE(MAX(N302,O302),IF(Z302="Alto",CONFIG!$B$18,IF(Z302="Medio",CONFIG!$B$17,CONFIG!$B$16)))))</f>
        <v/>
      </c>
      <c r="AC302" s="23" t="str">
        <f aca="false">IF(A302="","",IF(ISNUMBER(S302),EDATE(S302,12),IF(ISNUMBER(N302),EDATE(N302,12),"Falta fecha")))</f>
        <v/>
      </c>
      <c r="AD302" s="26" t="str">
        <f aca="false">IF(A302="","",MID(IF(P302&lt;&gt;"Sí"," · Expediente incompleto","")&amp;IF(OR(Q302="",Q302="Pendiente")," · Falta el Beneficiario Controlador","")&amp;IF(M302=""," · Sin perfil transaccional","")&amp;IF(AND(ISNUMBER(AB302),AB302&lt;CONFIG!$B$6)," · Evaluación de riesgo vencida","")&amp;IF(AND(ISNUMBER(AC302),AC302&lt;CONFIG!$B$6)," · Verificación anual vencida","")&amp;IF(AND(ISNUMBER(R302),ISNUMBER(S302),S302-R302&gt;92)," · Comprobante de domicilio con más de 3 meses","")&amp;IF(AND(T302&lt;&gt;"",U302="")," · Ajuste del REC sin justificación",""),4,400))</f>
        <v/>
      </c>
      <c r="AE302" s="9" t="str">
        <f aca="false">IF(A302="","",IF(AD302="","Al día","Revisar"))</f>
        <v/>
      </c>
      <c r="AF302" s="9" t="str">
        <f aca="false">IF(A302="","",COUNTIF(OPERACIONES!$C$6:$C$505,A302)&amp;" / $"&amp;FIXED(SUMIF(OPERACIONES!$C$6:$C$505,A302,OPERACIONES!$E$6:$E$505),0))</f>
        <v/>
      </c>
    </row>
    <row r="303" customFormat="false" ht="15" hidden="false" customHeight="false" outlineLevel="0" collapsed="false">
      <c r="A303" s="21"/>
      <c r="B303" s="21"/>
      <c r="C303" s="21"/>
      <c r="D303" s="21"/>
      <c r="E303" s="21"/>
      <c r="F303" s="21"/>
      <c r="G303" s="21"/>
      <c r="H303" s="21"/>
      <c r="I303" s="21"/>
      <c r="J303" s="21"/>
      <c r="K303" s="21"/>
      <c r="L303" s="21"/>
      <c r="M303" s="22"/>
      <c r="N303" s="20"/>
      <c r="O303" s="20"/>
      <c r="P303" s="21"/>
      <c r="Q303" s="21"/>
      <c r="R303" s="20"/>
      <c r="S303" s="20"/>
      <c r="T303" s="21"/>
      <c r="U303" s="21"/>
      <c r="V303" s="9" t="str">
        <f aca="false">IF(A303="","",SUMIFS(CONFIG!$F$5:$F$26,CONFIG!$D$5:$D$26,"Tipo de persona",CONFIG!$E$5:$E$26,C303)+SUMIFS(CONFIG!$F$5:$F$26,CONFIG!$D$5:$D$26,"Residencia",CONFIG!$E$5:$E$26,E303)+SUMIFS(CONFIG!$F$5:$F$26,CONFIG!$D$5:$D$26,"Nacionalidad",CONFIG!$E$5:$E$26,F303)+SUMIFS(CONFIG!$F$5:$F$26,CONFIG!$D$5:$D$26,"Jurisdicción de riesgo",CONFIG!$E$5:$E$26,G303)+SUMIFS(CONFIG!$F$5:$F$26,CONFIG!$D$5:$D$26,"PEP",CONFIG!$E$5:$E$26,H303)+SUMIFS(CONFIG!$F$5:$F$26,CONFIG!$D$5:$D$26,"En listas",CONFIG!$E$5:$E$26,I303)+SUMIFS(CONFIG!$F$5:$F$26,CONFIG!$D$5:$D$26,"Riesgo de su actividad económica",CONFIG!$E$5:$E$26,J303)+SUMIFS(CONFIG!$F$5:$F$26,CONFIG!$D$5:$D$26,"Canal",CONFIG!$E$5:$E$26,K303)+SUMIFS(CONFIG!$F$5:$F$26,CONFIG!$D$5:$D$26,"Origen de recursos documentado",CONFIG!$E$5:$E$26,L303))</f>
        <v/>
      </c>
      <c r="W303" s="9" t="str">
        <f aca="false">IF(A303="","",IF(SUMIF(OPERACIONES!$C$6:$C$505,A303,OPERACIONES!$E$6:$E$505)&gt;0,IF(SUMIF(OPERACIONES!$C$6:$C$505,A303,OPERACIONES!$F$6:$F$505)/SUMIF(OPERACIONES!$C$6:$C$505,A303,OPERACIONES!$E$6:$E$505)&gt;0.5,CONFIG!$B$20,IF(SUMIF(OPERACIONES!$C$6:$C$505,A303,OPERACIONES!$F$6:$F$505)&gt;0,CONFIG!$B$21,0)),0)+IF(COUNTIFS(OPERACIONES!$C$6:$C$505,A303,OPERACIONES!$AQ$6:$AQ$505,1)&gt;0,CONFIG!$B$22,0)+IF(COUNTIFS(OPERACIONES!$C$6:$C$505,A303,OPERACIONES!$H$6:$H$505,"Sí")&gt;0,CONFIG!$B$23,0))</f>
        <v/>
      </c>
      <c r="X303" s="9" t="str">
        <f aca="false">IF(A303="","",V303+W303)</f>
        <v/>
      </c>
      <c r="Y303" s="9" t="str">
        <f aca="false">IF(A303="","",IF(X303&lt;=CONFIG!$B$13,"Bajo",IF(X303&lt;=CONFIG!$B$14,"Medio","Alto")))</f>
        <v/>
      </c>
      <c r="Z303" s="25" t="str">
        <f aca="false">IF(A303="","",IF(OR(H303="Extranjera",AND(E303="No residente",G303="Sí"),I303="Sí"),"Alto",IF(T303&lt;&gt;"",T303,Y303)))</f>
        <v/>
      </c>
      <c r="AA303" s="26" t="str">
        <f aca="false">IF(A303="","",IF(H303="Extranjera","Alto obligatorio: PEP extranjera (RCG 23 Bis 4)",IF(AND(E303="No residente",G303="Sí"),"Alto obligatorio: no residente vinculado a jurisdicción de riesgo (RCG 23 Bis 4)",IF(I303="Sí","Alto por criterio: persona en listas. Evalúa no operar y Aviso de 24 h",IF(T303&lt;&gt;"","Ajuste del REC: "&amp;U303,"Modelo: "&amp;X303&amp;" puntos")))))</f>
        <v/>
      </c>
      <c r="AB303" s="23" t="str">
        <f aca="false">IF(A303="","",IF(COUNT(N303,O303)=0,"Falta fecha",EDATE(MAX(N303,O303),IF(Z303="Alto",CONFIG!$B$18,IF(Z303="Medio",CONFIG!$B$17,CONFIG!$B$16)))))</f>
        <v/>
      </c>
      <c r="AC303" s="23" t="str">
        <f aca="false">IF(A303="","",IF(ISNUMBER(S303),EDATE(S303,12),IF(ISNUMBER(N303),EDATE(N303,12),"Falta fecha")))</f>
        <v/>
      </c>
      <c r="AD303" s="26" t="str">
        <f aca="false">IF(A303="","",MID(IF(P303&lt;&gt;"Sí"," · Expediente incompleto","")&amp;IF(OR(Q303="",Q303="Pendiente")," · Falta el Beneficiario Controlador","")&amp;IF(M303=""," · Sin perfil transaccional","")&amp;IF(AND(ISNUMBER(AB303),AB303&lt;CONFIG!$B$6)," · Evaluación de riesgo vencida","")&amp;IF(AND(ISNUMBER(AC303),AC303&lt;CONFIG!$B$6)," · Verificación anual vencida","")&amp;IF(AND(ISNUMBER(R303),ISNUMBER(S303),S303-R303&gt;92)," · Comprobante de domicilio con más de 3 meses","")&amp;IF(AND(T303&lt;&gt;"",U303="")," · Ajuste del REC sin justificación",""),4,400))</f>
        <v/>
      </c>
      <c r="AE303" s="9" t="str">
        <f aca="false">IF(A303="","",IF(AD303="","Al día","Revisar"))</f>
        <v/>
      </c>
      <c r="AF303" s="9" t="str">
        <f aca="false">IF(A303="","",COUNTIF(OPERACIONES!$C$6:$C$505,A303)&amp;" / $"&amp;FIXED(SUMIF(OPERACIONES!$C$6:$C$505,A303,OPERACIONES!$E$6:$E$505),0))</f>
        <v/>
      </c>
    </row>
    <row r="304" customFormat="false" ht="15" hidden="false" customHeight="false" outlineLevel="0" collapsed="false">
      <c r="A304" s="21"/>
      <c r="B304" s="21"/>
      <c r="C304" s="21"/>
      <c r="D304" s="21"/>
      <c r="E304" s="21"/>
      <c r="F304" s="21"/>
      <c r="G304" s="21"/>
      <c r="H304" s="21"/>
      <c r="I304" s="21"/>
      <c r="J304" s="21"/>
      <c r="K304" s="21"/>
      <c r="L304" s="21"/>
      <c r="M304" s="22"/>
      <c r="N304" s="20"/>
      <c r="O304" s="20"/>
      <c r="P304" s="21"/>
      <c r="Q304" s="21"/>
      <c r="R304" s="20"/>
      <c r="S304" s="20"/>
      <c r="T304" s="21"/>
      <c r="U304" s="21"/>
      <c r="V304" s="9" t="str">
        <f aca="false">IF(A304="","",SUMIFS(CONFIG!$F$5:$F$26,CONFIG!$D$5:$D$26,"Tipo de persona",CONFIG!$E$5:$E$26,C304)+SUMIFS(CONFIG!$F$5:$F$26,CONFIG!$D$5:$D$26,"Residencia",CONFIG!$E$5:$E$26,E304)+SUMIFS(CONFIG!$F$5:$F$26,CONFIG!$D$5:$D$26,"Nacionalidad",CONFIG!$E$5:$E$26,F304)+SUMIFS(CONFIG!$F$5:$F$26,CONFIG!$D$5:$D$26,"Jurisdicción de riesgo",CONFIG!$E$5:$E$26,G304)+SUMIFS(CONFIG!$F$5:$F$26,CONFIG!$D$5:$D$26,"PEP",CONFIG!$E$5:$E$26,H304)+SUMIFS(CONFIG!$F$5:$F$26,CONFIG!$D$5:$D$26,"En listas",CONFIG!$E$5:$E$26,I304)+SUMIFS(CONFIG!$F$5:$F$26,CONFIG!$D$5:$D$26,"Riesgo de su actividad económica",CONFIG!$E$5:$E$26,J304)+SUMIFS(CONFIG!$F$5:$F$26,CONFIG!$D$5:$D$26,"Canal",CONFIG!$E$5:$E$26,K304)+SUMIFS(CONFIG!$F$5:$F$26,CONFIG!$D$5:$D$26,"Origen de recursos documentado",CONFIG!$E$5:$E$26,L304))</f>
        <v/>
      </c>
      <c r="W304" s="9" t="str">
        <f aca="false">IF(A304="","",IF(SUMIF(OPERACIONES!$C$6:$C$505,A304,OPERACIONES!$E$6:$E$505)&gt;0,IF(SUMIF(OPERACIONES!$C$6:$C$505,A304,OPERACIONES!$F$6:$F$505)/SUMIF(OPERACIONES!$C$6:$C$505,A304,OPERACIONES!$E$6:$E$505)&gt;0.5,CONFIG!$B$20,IF(SUMIF(OPERACIONES!$C$6:$C$505,A304,OPERACIONES!$F$6:$F$505)&gt;0,CONFIG!$B$21,0)),0)+IF(COUNTIFS(OPERACIONES!$C$6:$C$505,A304,OPERACIONES!$AQ$6:$AQ$505,1)&gt;0,CONFIG!$B$22,0)+IF(COUNTIFS(OPERACIONES!$C$6:$C$505,A304,OPERACIONES!$H$6:$H$505,"Sí")&gt;0,CONFIG!$B$23,0))</f>
        <v/>
      </c>
      <c r="X304" s="9" t="str">
        <f aca="false">IF(A304="","",V304+W304)</f>
        <v/>
      </c>
      <c r="Y304" s="9" t="str">
        <f aca="false">IF(A304="","",IF(X304&lt;=CONFIG!$B$13,"Bajo",IF(X304&lt;=CONFIG!$B$14,"Medio","Alto")))</f>
        <v/>
      </c>
      <c r="Z304" s="25" t="str">
        <f aca="false">IF(A304="","",IF(OR(H304="Extranjera",AND(E304="No residente",G304="Sí"),I304="Sí"),"Alto",IF(T304&lt;&gt;"",T304,Y304)))</f>
        <v/>
      </c>
      <c r="AA304" s="26" t="str">
        <f aca="false">IF(A304="","",IF(H304="Extranjera","Alto obligatorio: PEP extranjera (RCG 23 Bis 4)",IF(AND(E304="No residente",G304="Sí"),"Alto obligatorio: no residente vinculado a jurisdicción de riesgo (RCG 23 Bis 4)",IF(I304="Sí","Alto por criterio: persona en listas. Evalúa no operar y Aviso de 24 h",IF(T304&lt;&gt;"","Ajuste del REC: "&amp;U304,"Modelo: "&amp;X304&amp;" puntos")))))</f>
        <v/>
      </c>
      <c r="AB304" s="23" t="str">
        <f aca="false">IF(A304="","",IF(COUNT(N304,O304)=0,"Falta fecha",EDATE(MAX(N304,O304),IF(Z304="Alto",CONFIG!$B$18,IF(Z304="Medio",CONFIG!$B$17,CONFIG!$B$16)))))</f>
        <v/>
      </c>
      <c r="AC304" s="23" t="str">
        <f aca="false">IF(A304="","",IF(ISNUMBER(S304),EDATE(S304,12),IF(ISNUMBER(N304),EDATE(N304,12),"Falta fecha")))</f>
        <v/>
      </c>
      <c r="AD304" s="26" t="str">
        <f aca="false">IF(A304="","",MID(IF(P304&lt;&gt;"Sí"," · Expediente incompleto","")&amp;IF(OR(Q304="",Q304="Pendiente")," · Falta el Beneficiario Controlador","")&amp;IF(M304=""," · Sin perfil transaccional","")&amp;IF(AND(ISNUMBER(AB304),AB304&lt;CONFIG!$B$6)," · Evaluación de riesgo vencida","")&amp;IF(AND(ISNUMBER(AC304),AC304&lt;CONFIG!$B$6)," · Verificación anual vencida","")&amp;IF(AND(ISNUMBER(R304),ISNUMBER(S304),S304-R304&gt;92)," · Comprobante de domicilio con más de 3 meses","")&amp;IF(AND(T304&lt;&gt;"",U304="")," · Ajuste del REC sin justificación",""),4,400))</f>
        <v/>
      </c>
      <c r="AE304" s="9" t="str">
        <f aca="false">IF(A304="","",IF(AD304="","Al día","Revisar"))</f>
        <v/>
      </c>
      <c r="AF304" s="9" t="str">
        <f aca="false">IF(A304="","",COUNTIF(OPERACIONES!$C$6:$C$505,A304)&amp;" / $"&amp;FIXED(SUMIF(OPERACIONES!$C$6:$C$505,A304,OPERACIONES!$E$6:$E$505),0))</f>
        <v/>
      </c>
    </row>
    <row r="305" customFormat="false" ht="15" hidden="false" customHeight="false" outlineLevel="0" collapsed="false">
      <c r="A305" s="21"/>
      <c r="B305" s="21"/>
      <c r="C305" s="21"/>
      <c r="D305" s="21"/>
      <c r="E305" s="21"/>
      <c r="F305" s="21"/>
      <c r="G305" s="21"/>
      <c r="H305" s="21"/>
      <c r="I305" s="21"/>
      <c r="J305" s="21"/>
      <c r="K305" s="21"/>
      <c r="L305" s="21"/>
      <c r="M305" s="22"/>
      <c r="N305" s="20"/>
      <c r="O305" s="20"/>
      <c r="P305" s="21"/>
      <c r="Q305" s="21"/>
      <c r="R305" s="20"/>
      <c r="S305" s="20"/>
      <c r="T305" s="21"/>
      <c r="U305" s="21"/>
      <c r="V305" s="9" t="str">
        <f aca="false">IF(A305="","",SUMIFS(CONFIG!$F$5:$F$26,CONFIG!$D$5:$D$26,"Tipo de persona",CONFIG!$E$5:$E$26,C305)+SUMIFS(CONFIG!$F$5:$F$26,CONFIG!$D$5:$D$26,"Residencia",CONFIG!$E$5:$E$26,E305)+SUMIFS(CONFIG!$F$5:$F$26,CONFIG!$D$5:$D$26,"Nacionalidad",CONFIG!$E$5:$E$26,F305)+SUMIFS(CONFIG!$F$5:$F$26,CONFIG!$D$5:$D$26,"Jurisdicción de riesgo",CONFIG!$E$5:$E$26,G305)+SUMIFS(CONFIG!$F$5:$F$26,CONFIG!$D$5:$D$26,"PEP",CONFIG!$E$5:$E$26,H305)+SUMIFS(CONFIG!$F$5:$F$26,CONFIG!$D$5:$D$26,"En listas",CONFIG!$E$5:$E$26,I305)+SUMIFS(CONFIG!$F$5:$F$26,CONFIG!$D$5:$D$26,"Riesgo de su actividad económica",CONFIG!$E$5:$E$26,J305)+SUMIFS(CONFIG!$F$5:$F$26,CONFIG!$D$5:$D$26,"Canal",CONFIG!$E$5:$E$26,K305)+SUMIFS(CONFIG!$F$5:$F$26,CONFIG!$D$5:$D$26,"Origen de recursos documentado",CONFIG!$E$5:$E$26,L305))</f>
        <v/>
      </c>
      <c r="W305" s="9" t="str">
        <f aca="false">IF(A305="","",IF(SUMIF(OPERACIONES!$C$6:$C$505,A305,OPERACIONES!$E$6:$E$505)&gt;0,IF(SUMIF(OPERACIONES!$C$6:$C$505,A305,OPERACIONES!$F$6:$F$505)/SUMIF(OPERACIONES!$C$6:$C$505,A305,OPERACIONES!$E$6:$E$505)&gt;0.5,CONFIG!$B$20,IF(SUMIF(OPERACIONES!$C$6:$C$505,A305,OPERACIONES!$F$6:$F$505)&gt;0,CONFIG!$B$21,0)),0)+IF(COUNTIFS(OPERACIONES!$C$6:$C$505,A305,OPERACIONES!$AQ$6:$AQ$505,1)&gt;0,CONFIG!$B$22,0)+IF(COUNTIFS(OPERACIONES!$C$6:$C$505,A305,OPERACIONES!$H$6:$H$505,"Sí")&gt;0,CONFIG!$B$23,0))</f>
        <v/>
      </c>
      <c r="X305" s="9" t="str">
        <f aca="false">IF(A305="","",V305+W305)</f>
        <v/>
      </c>
      <c r="Y305" s="9" t="str">
        <f aca="false">IF(A305="","",IF(X305&lt;=CONFIG!$B$13,"Bajo",IF(X305&lt;=CONFIG!$B$14,"Medio","Alto")))</f>
        <v/>
      </c>
      <c r="Z305" s="25" t="str">
        <f aca="false">IF(A305="","",IF(OR(H305="Extranjera",AND(E305="No residente",G305="Sí"),I305="Sí"),"Alto",IF(T305&lt;&gt;"",T305,Y305)))</f>
        <v/>
      </c>
      <c r="AA305" s="26" t="str">
        <f aca="false">IF(A305="","",IF(H305="Extranjera","Alto obligatorio: PEP extranjera (RCG 23 Bis 4)",IF(AND(E305="No residente",G305="Sí"),"Alto obligatorio: no residente vinculado a jurisdicción de riesgo (RCG 23 Bis 4)",IF(I305="Sí","Alto por criterio: persona en listas. Evalúa no operar y Aviso de 24 h",IF(T305&lt;&gt;"","Ajuste del REC: "&amp;U305,"Modelo: "&amp;X305&amp;" puntos")))))</f>
        <v/>
      </c>
      <c r="AB305" s="23" t="str">
        <f aca="false">IF(A305="","",IF(COUNT(N305,O305)=0,"Falta fecha",EDATE(MAX(N305,O305),IF(Z305="Alto",CONFIG!$B$18,IF(Z305="Medio",CONFIG!$B$17,CONFIG!$B$16)))))</f>
        <v/>
      </c>
      <c r="AC305" s="23" t="str">
        <f aca="false">IF(A305="","",IF(ISNUMBER(S305),EDATE(S305,12),IF(ISNUMBER(N305),EDATE(N305,12),"Falta fecha")))</f>
        <v/>
      </c>
      <c r="AD305" s="26" t="str">
        <f aca="false">IF(A305="","",MID(IF(P305&lt;&gt;"Sí"," · Expediente incompleto","")&amp;IF(OR(Q305="",Q305="Pendiente")," · Falta el Beneficiario Controlador","")&amp;IF(M305=""," · Sin perfil transaccional","")&amp;IF(AND(ISNUMBER(AB305),AB305&lt;CONFIG!$B$6)," · Evaluación de riesgo vencida","")&amp;IF(AND(ISNUMBER(AC305),AC305&lt;CONFIG!$B$6)," · Verificación anual vencida","")&amp;IF(AND(ISNUMBER(R305),ISNUMBER(S305),S305-R305&gt;92)," · Comprobante de domicilio con más de 3 meses","")&amp;IF(AND(T305&lt;&gt;"",U305="")," · Ajuste del REC sin justificación",""),4,400))</f>
        <v/>
      </c>
      <c r="AE305" s="9" t="str">
        <f aca="false">IF(A305="","",IF(AD305="","Al día","Revisar"))</f>
        <v/>
      </c>
      <c r="AF305" s="9" t="str">
        <f aca="false">IF(A305="","",COUNTIF(OPERACIONES!$C$6:$C$505,A305)&amp;" / $"&amp;FIXED(SUMIF(OPERACIONES!$C$6:$C$505,A305,OPERACIONES!$E$6:$E$505),0))</f>
        <v/>
      </c>
    </row>
  </sheetData>
  <autoFilter ref="A5:AF305"/>
  <mergeCells count="2">
    <mergeCell ref="A1:AF1"/>
    <mergeCell ref="A2:AF2"/>
  </mergeCells>
  <conditionalFormatting sqref="Z6:Z305">
    <cfRule type="cellIs" priority="2" operator="equal" aboveAverage="0" equalAverage="0" bottom="0" percent="0" rank="0" text="" dxfId="8">
      <formula>"Alto"</formula>
    </cfRule>
    <cfRule type="cellIs" priority="3" operator="equal" aboveAverage="0" equalAverage="0" bottom="0" percent="0" rank="0" text="" dxfId="9">
      <formula>"Medio"</formula>
    </cfRule>
    <cfRule type="cellIs" priority="4" operator="equal" aboveAverage="0" equalAverage="0" bottom="0" percent="0" rank="0" text="" dxfId="12">
      <formula>"Bajo"</formula>
    </cfRule>
  </conditionalFormatting>
  <conditionalFormatting sqref="AE6:AE305">
    <cfRule type="cellIs" priority="5" operator="equal" aboveAverage="0" equalAverage="0" bottom="0" percent="0" rank="0" text="" dxfId="9">
      <formula>"Revisar"</formula>
    </cfRule>
    <cfRule type="cellIs" priority="6" operator="equal" aboveAverage="0" equalAverage="0" bottom="0" percent="0" rank="0" text="" dxfId="12">
      <formula>"Al día"</formula>
    </cfRule>
  </conditionalFormatting>
  <conditionalFormatting sqref="AB6:AC305">
    <cfRule type="expression" priority="7" aboveAverage="0" equalAverage="0" bottom="0" percent="0" rank="0" text="" dxfId="10">
      <formula>AND(ISNUMBER(AB6),AB6&lt;CONFIG!$B$6)</formula>
    </cfRule>
  </conditionalFormatting>
  <dataValidations count="14">
    <dataValidation allowBlank="true" error="Captura una fecha (dd/mm/aaaa)." errorStyle="stop" operator="greaterThan" showDropDown="false" showErrorMessage="true" showInputMessage="false" sqref="N6:O305 R6:S305" type="date">
      <formula1>36526</formula1>
      <formula2>0</formula2>
    </dataValidation>
    <dataValidation allowBlank="true" error="Captura un número positivo." errorStyle="stop" operator="greaterThanOrEqual" showDropDown="false" showErrorMessage="true" showInputMessage="false" sqref="M6:M305" type="decimal">
      <formula1>0</formula1>
      <formula2>0</formula2>
    </dataValidation>
    <dataValidation allowBlank="true" error="Elige un valor de la lista." errorStyle="stop" errorTitle="Valor no válido" operator="between" showDropDown="false" showErrorMessage="true" showInputMessage="false" sqref="C6:C305" type="list">
      <formula1>"Persona física,Persona moral,Fideicomiso"</formula1>
      <formula2>0</formula2>
    </dataValidation>
    <dataValidation allowBlank="true" error="Elige un valor de la lista." errorStyle="stop" errorTitle="Valor no válido" operator="between" showDropDown="false" showErrorMessage="true" showInputMessage="false" sqref="E6:E305" type="list">
      <formula1>"Residente en México,No residente"</formula1>
      <formula2>0</formula2>
    </dataValidation>
    <dataValidation allowBlank="true" error="Elige un valor de la lista." errorStyle="stop" errorTitle="Valor no válido" operator="between" showDropDown="false" showErrorMessage="true" showInputMessage="false" sqref="F6:F305" type="list">
      <formula1>"Mexicana,Extranjera"</formula1>
      <formula2>0</formula2>
    </dataValidation>
    <dataValidation allowBlank="true" error="Elige un valor de la lista." errorStyle="stop" errorTitle="Valor no válido" operator="between" showDropDown="false" showErrorMessage="true" showInputMessage="false" sqref="G6:G305" type="list">
      <formula1>"Sí,No"</formula1>
      <formula2>0</formula2>
    </dataValidation>
    <dataValidation allowBlank="true" error="Elige un valor de la lista." errorStyle="stop" errorTitle="Valor no válido" operator="between" showDropDown="false" showErrorMessage="true" showInputMessage="false" sqref="H6:H305" type="list">
      <formula1>"No,Nacional,Extranjera"</formula1>
      <formula2>0</formula2>
    </dataValidation>
    <dataValidation allowBlank="true" error="Elige un valor de la lista." errorStyle="stop" errorTitle="Valor no válido" operator="between" showDropDown="false" showErrorMessage="true" showInputMessage="false" sqref="I6:I305" type="list">
      <formula1>"Sí,No"</formula1>
      <formula2>0</formula2>
    </dataValidation>
    <dataValidation allowBlank="true" error="Elige un valor de la lista." errorStyle="stop" errorTitle="Valor no válido" operator="between" showDropDown="false" showErrorMessage="true" showInputMessage="false" sqref="J6:J305" type="list">
      <formula1>"Bajo,Medio,Alto"</formula1>
      <formula2>0</formula2>
    </dataValidation>
    <dataValidation allowBlank="true" error="Elige un valor de la lista." errorStyle="stop" errorTitle="Valor no válido" operator="between" showDropDown="false" showErrorMessage="true" showInputMessage="false" sqref="K6:K305" type="list">
      <formula1>"Presencial,No presencial"</formula1>
      <formula2>0</formula2>
    </dataValidation>
    <dataValidation allowBlank="true" error="Elige un valor de la lista." errorStyle="stop" errorTitle="Valor no válido" operator="between" showDropDown="false" showErrorMessage="true" showInputMessage="false" sqref="L6:L305" type="list">
      <formula1>"Sí,Parcial,No"</formula1>
      <formula2>0</formula2>
    </dataValidation>
    <dataValidation allowBlank="true" error="Elige un valor de la lista." errorStyle="stop" errorTitle="Valor no válido" operator="between" showDropDown="false" showErrorMessage="true" showInputMessage="false" sqref="P6:P305" type="list">
      <formula1>"Sí,No"</formula1>
      <formula2>0</formula2>
    </dataValidation>
    <dataValidation allowBlank="true" error="Elige un valor de la lista." errorStyle="stop" errorTitle="Valor no válido" operator="between" showDropDown="false" showErrorMessage="true" showInputMessage="false" sqref="Q6:Q305" type="list">
      <formula1>"Identificado,Declaración (PF),Pendiente,No aplica"</formula1>
      <formula2>0</formula2>
    </dataValidation>
    <dataValidation allowBlank="true" error="Elige un valor de la lista." errorStyle="stop" errorTitle="Valor no válido" operator="between" showDropDown="false" showErrorMessage="true" showInputMessage="false" sqref="T6:T305" type="list">
      <formula1>"Bajo,Medio,Alto"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L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4"/>
    <col collapsed="false" customWidth="true" hidden="false" outlineLevel="0" max="4" min="4" style="0" width="12"/>
    <col collapsed="false" customWidth="true" hidden="false" outlineLevel="0" max="5" min="5" style="0" width="26"/>
    <col collapsed="false" customWidth="true" hidden="false" outlineLevel="0" max="6" min="6" style="0" width="11"/>
    <col collapsed="false" customWidth="true" hidden="false" outlineLevel="0" max="7" min="7" style="0" width="12"/>
    <col collapsed="false" customWidth="true" hidden="false" outlineLevel="0" max="8" min="8" style="0" width="46"/>
    <col collapsed="false" customWidth="true" hidden="false" outlineLevel="0" max="9" min="9" style="0" width="16"/>
    <col collapsed="false" customWidth="true" hidden="false" outlineLevel="0" max="10" min="10" style="0" width="22"/>
    <col collapsed="false" customWidth="true" hidden="false" outlineLevel="0" max="11" min="11" style="0" width="16"/>
    <col collapsed="false" customWidth="true" hidden="false" outlineLevel="0" max="12" min="12" style="0" width="22"/>
  </cols>
  <sheetData>
    <row r="1" customFormat="false" ht="27.75" hidden="false" customHeight="true" outlineLevel="0" collapsed="false">
      <c r="A1" s="5" t="s">
        <v>179</v>
      </c>
      <c r="B1" s="5"/>
      <c r="C1" s="5"/>
      <c r="D1" s="5"/>
      <c r="E1" s="5"/>
      <c r="F1" s="5"/>
      <c r="G1" s="5"/>
      <c r="H1" s="5"/>
      <c r="I1" s="5"/>
      <c r="J1" s="5"/>
      <c r="K1" s="5"/>
      <c r="L1" s="5"/>
    </row>
    <row r="2" customFormat="false" ht="42" hidden="false" customHeight="true" outlineLevel="0" collapsed="false">
      <c r="A2" s="6" t="s">
        <v>180</v>
      </c>
      <c r="B2" s="6"/>
      <c r="C2" s="6"/>
      <c r="D2" s="6"/>
      <c r="E2" s="6"/>
      <c r="F2" s="6"/>
      <c r="G2" s="6"/>
      <c r="H2" s="6"/>
      <c r="I2" s="6"/>
      <c r="J2" s="6"/>
      <c r="K2" s="6"/>
      <c r="L2" s="6"/>
    </row>
    <row r="5" customFormat="false" ht="42" hidden="false" customHeight="true" outlineLevel="0" collapsed="false">
      <c r="A5" s="17" t="s">
        <v>86</v>
      </c>
      <c r="B5" s="17" t="s">
        <v>181</v>
      </c>
      <c r="C5" s="17" t="s">
        <v>182</v>
      </c>
      <c r="D5" s="17" t="s">
        <v>183</v>
      </c>
      <c r="E5" s="17" t="s">
        <v>184</v>
      </c>
      <c r="F5" s="17" t="s">
        <v>185</v>
      </c>
      <c r="G5" s="17" t="s">
        <v>186</v>
      </c>
      <c r="H5" s="17" t="s">
        <v>187</v>
      </c>
      <c r="I5" s="18" t="s">
        <v>188</v>
      </c>
      <c r="J5" s="17" t="s">
        <v>189</v>
      </c>
      <c r="K5" s="17" t="s">
        <v>190</v>
      </c>
      <c r="L5" s="18" t="s">
        <v>169</v>
      </c>
    </row>
    <row r="6" customFormat="false" ht="15" hidden="false" customHeight="false" outlineLevel="0" collapsed="false">
      <c r="A6" s="9" t="str">
        <f aca="false">IF(B6="","",ROW()-5)</f>
        <v/>
      </c>
      <c r="B6" s="31"/>
      <c r="C6" s="21"/>
      <c r="D6" s="21"/>
      <c r="E6" s="21"/>
      <c r="F6" s="21"/>
      <c r="G6" s="21"/>
      <c r="H6" s="32"/>
      <c r="I6" s="33" t="str">
        <f aca="false">IF(ISNUMBER(B6),B6+1,"")</f>
        <v/>
      </c>
      <c r="J6" s="21"/>
      <c r="K6" s="31"/>
      <c r="L6" s="9" t="str">
        <f aca="true">IF(B6="","",IF(G6="No","Sin datos: documenta y analiza",IF(J6="Presentado",IF(AND(ISNUMBER(K6),K6&gt;I6),"Presentado fuera de plazo","Presentado"),IF(J6="Descartado con análisis","Descartado",IF(J6="Registro interno (formato pendiente)","Registro interno",IF(NOW()&gt;I6,"VENCIDO","Faltan "&amp;ROUND((I6-NOW())*24,0)&amp;" horas"))))))</f>
        <v/>
      </c>
    </row>
    <row r="7" customFormat="false" ht="15" hidden="false" customHeight="false" outlineLevel="0" collapsed="false">
      <c r="A7" s="9" t="str">
        <f aca="false">IF(B7="","",ROW()-5)</f>
        <v/>
      </c>
      <c r="B7" s="31"/>
      <c r="C7" s="21"/>
      <c r="D7" s="21"/>
      <c r="E7" s="21"/>
      <c r="F7" s="21"/>
      <c r="G7" s="21"/>
      <c r="H7" s="32"/>
      <c r="I7" s="33" t="str">
        <f aca="false">IF(ISNUMBER(B7),B7+1,"")</f>
        <v/>
      </c>
      <c r="J7" s="21"/>
      <c r="K7" s="31"/>
      <c r="L7" s="9" t="str">
        <f aca="true">IF(B7="","",IF(G7="No","Sin datos: documenta y analiza",IF(J7="Presentado",IF(AND(ISNUMBER(K7),K7&gt;I7),"Presentado fuera de plazo","Presentado"),IF(J7="Descartado con análisis","Descartado",IF(J7="Registro interno (formato pendiente)","Registro interno",IF(NOW()&gt;I7,"VENCIDO","Faltan "&amp;ROUND((I7-NOW())*24,0)&amp;" horas"))))))</f>
        <v/>
      </c>
    </row>
    <row r="8" customFormat="false" ht="15" hidden="false" customHeight="false" outlineLevel="0" collapsed="false">
      <c r="A8" s="9" t="str">
        <f aca="false">IF(B8="","",ROW()-5)</f>
        <v/>
      </c>
      <c r="B8" s="31"/>
      <c r="C8" s="21"/>
      <c r="D8" s="21"/>
      <c r="E8" s="21"/>
      <c r="F8" s="21"/>
      <c r="G8" s="21"/>
      <c r="H8" s="32"/>
      <c r="I8" s="33" t="str">
        <f aca="false">IF(ISNUMBER(B8),B8+1,"")</f>
        <v/>
      </c>
      <c r="J8" s="21"/>
      <c r="K8" s="31"/>
      <c r="L8" s="9" t="str">
        <f aca="true">IF(B8="","",IF(G8="No","Sin datos: documenta y analiza",IF(J8="Presentado",IF(AND(ISNUMBER(K8),K8&gt;I8),"Presentado fuera de plazo","Presentado"),IF(J8="Descartado con análisis","Descartado",IF(J8="Registro interno (formato pendiente)","Registro interno",IF(NOW()&gt;I8,"VENCIDO","Faltan "&amp;ROUND((I8-NOW())*24,0)&amp;" horas"))))))</f>
        <v/>
      </c>
    </row>
    <row r="9" customFormat="false" ht="15" hidden="false" customHeight="false" outlineLevel="0" collapsed="false">
      <c r="A9" s="9" t="str">
        <f aca="false">IF(B9="","",ROW()-5)</f>
        <v/>
      </c>
      <c r="B9" s="31"/>
      <c r="C9" s="21"/>
      <c r="D9" s="21"/>
      <c r="E9" s="21"/>
      <c r="F9" s="21"/>
      <c r="G9" s="21"/>
      <c r="H9" s="32"/>
      <c r="I9" s="33" t="str">
        <f aca="false">IF(ISNUMBER(B9),B9+1,"")</f>
        <v/>
      </c>
      <c r="J9" s="21"/>
      <c r="K9" s="31"/>
      <c r="L9" s="9" t="str">
        <f aca="true">IF(B9="","",IF(G9="No","Sin datos: documenta y analiza",IF(J9="Presentado",IF(AND(ISNUMBER(K9),K9&gt;I9),"Presentado fuera de plazo","Presentado"),IF(J9="Descartado con análisis","Descartado",IF(J9="Registro interno (formato pendiente)","Registro interno",IF(NOW()&gt;I9,"VENCIDO","Faltan "&amp;ROUND((I9-NOW())*24,0)&amp;" horas"))))))</f>
        <v/>
      </c>
    </row>
    <row r="10" customFormat="false" ht="15" hidden="false" customHeight="false" outlineLevel="0" collapsed="false">
      <c r="A10" s="9" t="str">
        <f aca="false">IF(B10="","",ROW()-5)</f>
        <v/>
      </c>
      <c r="B10" s="31"/>
      <c r="C10" s="21"/>
      <c r="D10" s="21"/>
      <c r="E10" s="21"/>
      <c r="F10" s="21"/>
      <c r="G10" s="21"/>
      <c r="H10" s="32"/>
      <c r="I10" s="33" t="str">
        <f aca="false">IF(ISNUMBER(B10),B10+1,"")</f>
        <v/>
      </c>
      <c r="J10" s="21"/>
      <c r="K10" s="31"/>
      <c r="L10" s="9" t="str">
        <f aca="true">IF(B10="","",IF(G10="No","Sin datos: documenta y analiza",IF(J10="Presentado",IF(AND(ISNUMBER(K10),K10&gt;I10),"Presentado fuera de plazo","Presentado"),IF(J10="Descartado con análisis","Descartado",IF(J10="Registro interno (formato pendiente)","Registro interno",IF(NOW()&gt;I10,"VENCIDO","Faltan "&amp;ROUND((I10-NOW())*24,0)&amp;" horas"))))))</f>
        <v/>
      </c>
    </row>
    <row r="11" customFormat="false" ht="15" hidden="false" customHeight="false" outlineLevel="0" collapsed="false">
      <c r="A11" s="9" t="str">
        <f aca="false">IF(B11="","",ROW()-5)</f>
        <v/>
      </c>
      <c r="B11" s="31"/>
      <c r="C11" s="21"/>
      <c r="D11" s="21"/>
      <c r="E11" s="21"/>
      <c r="F11" s="21"/>
      <c r="G11" s="21"/>
      <c r="H11" s="32"/>
      <c r="I11" s="33" t="str">
        <f aca="false">IF(ISNUMBER(B11),B11+1,"")</f>
        <v/>
      </c>
      <c r="J11" s="21"/>
      <c r="K11" s="31"/>
      <c r="L11" s="9" t="str">
        <f aca="true">IF(B11="","",IF(G11="No","Sin datos: documenta y analiza",IF(J11="Presentado",IF(AND(ISNUMBER(K11),K11&gt;I11),"Presentado fuera de plazo","Presentado"),IF(J11="Descartado con análisis","Descartado",IF(J11="Registro interno (formato pendiente)","Registro interno",IF(NOW()&gt;I11,"VENCIDO","Faltan "&amp;ROUND((I11-NOW())*24,0)&amp;" horas"))))))</f>
        <v/>
      </c>
    </row>
    <row r="12" customFormat="false" ht="15" hidden="false" customHeight="false" outlineLevel="0" collapsed="false">
      <c r="A12" s="9" t="str">
        <f aca="false">IF(B12="","",ROW()-5)</f>
        <v/>
      </c>
      <c r="B12" s="31"/>
      <c r="C12" s="21"/>
      <c r="D12" s="21"/>
      <c r="E12" s="21"/>
      <c r="F12" s="21"/>
      <c r="G12" s="21"/>
      <c r="H12" s="32"/>
      <c r="I12" s="33" t="str">
        <f aca="false">IF(ISNUMBER(B12),B12+1,"")</f>
        <v/>
      </c>
      <c r="J12" s="21"/>
      <c r="K12" s="31"/>
      <c r="L12" s="9" t="str">
        <f aca="true">IF(B12="","",IF(G12="No","Sin datos: documenta y analiza",IF(J12="Presentado",IF(AND(ISNUMBER(K12),K12&gt;I12),"Presentado fuera de plazo","Presentado"),IF(J12="Descartado con análisis","Descartado",IF(J12="Registro interno (formato pendiente)","Registro interno",IF(NOW()&gt;I12,"VENCIDO","Faltan "&amp;ROUND((I12-NOW())*24,0)&amp;" horas"))))))</f>
        <v/>
      </c>
    </row>
    <row r="13" customFormat="false" ht="15" hidden="false" customHeight="false" outlineLevel="0" collapsed="false">
      <c r="A13" s="9" t="str">
        <f aca="false">IF(B13="","",ROW()-5)</f>
        <v/>
      </c>
      <c r="B13" s="31"/>
      <c r="C13" s="21"/>
      <c r="D13" s="21"/>
      <c r="E13" s="21"/>
      <c r="F13" s="21"/>
      <c r="G13" s="21"/>
      <c r="H13" s="32"/>
      <c r="I13" s="33" t="str">
        <f aca="false">IF(ISNUMBER(B13),B13+1,"")</f>
        <v/>
      </c>
      <c r="J13" s="21"/>
      <c r="K13" s="31"/>
      <c r="L13" s="9" t="str">
        <f aca="true">IF(B13="","",IF(G13="No","Sin datos: documenta y analiza",IF(J13="Presentado",IF(AND(ISNUMBER(K13),K13&gt;I13),"Presentado fuera de plazo","Presentado"),IF(J13="Descartado con análisis","Descartado",IF(J13="Registro interno (formato pendiente)","Registro interno",IF(NOW()&gt;I13,"VENCIDO","Faltan "&amp;ROUND((I13-NOW())*24,0)&amp;" horas"))))))</f>
        <v/>
      </c>
    </row>
    <row r="14" customFormat="false" ht="15" hidden="false" customHeight="false" outlineLevel="0" collapsed="false">
      <c r="A14" s="9" t="str">
        <f aca="false">IF(B14="","",ROW()-5)</f>
        <v/>
      </c>
      <c r="B14" s="31"/>
      <c r="C14" s="21"/>
      <c r="D14" s="21"/>
      <c r="E14" s="21"/>
      <c r="F14" s="21"/>
      <c r="G14" s="21"/>
      <c r="H14" s="32"/>
      <c r="I14" s="33" t="str">
        <f aca="false">IF(ISNUMBER(B14),B14+1,"")</f>
        <v/>
      </c>
      <c r="J14" s="21"/>
      <c r="K14" s="31"/>
      <c r="L14" s="9" t="str">
        <f aca="true">IF(B14="","",IF(G14="No","Sin datos: documenta y analiza",IF(J14="Presentado",IF(AND(ISNUMBER(K14),K14&gt;I14),"Presentado fuera de plazo","Presentado"),IF(J14="Descartado con análisis","Descartado",IF(J14="Registro interno (formato pendiente)","Registro interno",IF(NOW()&gt;I14,"VENCIDO","Faltan "&amp;ROUND((I14-NOW())*24,0)&amp;" horas"))))))</f>
        <v/>
      </c>
    </row>
    <row r="15" customFormat="false" ht="15" hidden="false" customHeight="false" outlineLevel="0" collapsed="false">
      <c r="A15" s="9" t="str">
        <f aca="false">IF(B15="","",ROW()-5)</f>
        <v/>
      </c>
      <c r="B15" s="31"/>
      <c r="C15" s="21"/>
      <c r="D15" s="21"/>
      <c r="E15" s="21"/>
      <c r="F15" s="21"/>
      <c r="G15" s="21"/>
      <c r="H15" s="32"/>
      <c r="I15" s="33" t="str">
        <f aca="false">IF(ISNUMBER(B15),B15+1,"")</f>
        <v/>
      </c>
      <c r="J15" s="21"/>
      <c r="K15" s="31"/>
      <c r="L15" s="9" t="str">
        <f aca="true">IF(B15="","",IF(G15="No","Sin datos: documenta y analiza",IF(J15="Presentado",IF(AND(ISNUMBER(K15),K15&gt;I15),"Presentado fuera de plazo","Presentado"),IF(J15="Descartado con análisis","Descartado",IF(J15="Registro interno (formato pendiente)","Registro interno",IF(NOW()&gt;I15,"VENCIDO","Faltan "&amp;ROUND((I15-NOW())*24,0)&amp;" horas"))))))</f>
        <v/>
      </c>
    </row>
    <row r="16" customFormat="false" ht="15" hidden="false" customHeight="false" outlineLevel="0" collapsed="false">
      <c r="A16" s="9" t="str">
        <f aca="false">IF(B16="","",ROW()-5)</f>
        <v/>
      </c>
      <c r="B16" s="31"/>
      <c r="C16" s="21"/>
      <c r="D16" s="21"/>
      <c r="E16" s="21"/>
      <c r="F16" s="21"/>
      <c r="G16" s="21"/>
      <c r="H16" s="32"/>
      <c r="I16" s="33" t="str">
        <f aca="false">IF(ISNUMBER(B16),B16+1,"")</f>
        <v/>
      </c>
      <c r="J16" s="21"/>
      <c r="K16" s="31"/>
      <c r="L16" s="9" t="str">
        <f aca="true">IF(B16="","",IF(G16="No","Sin datos: documenta y analiza",IF(J16="Presentado",IF(AND(ISNUMBER(K16),K16&gt;I16),"Presentado fuera de plazo","Presentado"),IF(J16="Descartado con análisis","Descartado",IF(J16="Registro interno (formato pendiente)","Registro interno",IF(NOW()&gt;I16,"VENCIDO","Faltan "&amp;ROUND((I16-NOW())*24,0)&amp;" horas"))))))</f>
        <v/>
      </c>
    </row>
    <row r="17" customFormat="false" ht="15" hidden="false" customHeight="false" outlineLevel="0" collapsed="false">
      <c r="A17" s="9" t="str">
        <f aca="false">IF(B17="","",ROW()-5)</f>
        <v/>
      </c>
      <c r="B17" s="31"/>
      <c r="C17" s="21"/>
      <c r="D17" s="21"/>
      <c r="E17" s="21"/>
      <c r="F17" s="21"/>
      <c r="G17" s="21"/>
      <c r="H17" s="32"/>
      <c r="I17" s="33" t="str">
        <f aca="false">IF(ISNUMBER(B17),B17+1,"")</f>
        <v/>
      </c>
      <c r="J17" s="21"/>
      <c r="K17" s="31"/>
      <c r="L17" s="9" t="str">
        <f aca="true">IF(B17="","",IF(G17="No","Sin datos: documenta y analiza",IF(J17="Presentado",IF(AND(ISNUMBER(K17),K17&gt;I17),"Presentado fuera de plazo","Presentado"),IF(J17="Descartado con análisis","Descartado",IF(J17="Registro interno (formato pendiente)","Registro interno",IF(NOW()&gt;I17,"VENCIDO","Faltan "&amp;ROUND((I17-NOW())*24,0)&amp;" horas"))))))</f>
        <v/>
      </c>
    </row>
    <row r="18" customFormat="false" ht="15" hidden="false" customHeight="false" outlineLevel="0" collapsed="false">
      <c r="A18" s="9" t="str">
        <f aca="false">IF(B18="","",ROW()-5)</f>
        <v/>
      </c>
      <c r="B18" s="31"/>
      <c r="C18" s="21"/>
      <c r="D18" s="21"/>
      <c r="E18" s="21"/>
      <c r="F18" s="21"/>
      <c r="G18" s="21"/>
      <c r="H18" s="32"/>
      <c r="I18" s="33" t="str">
        <f aca="false">IF(ISNUMBER(B18),B18+1,"")</f>
        <v/>
      </c>
      <c r="J18" s="21"/>
      <c r="K18" s="31"/>
      <c r="L18" s="9" t="str">
        <f aca="true">IF(B18="","",IF(G18="No","Sin datos: documenta y analiza",IF(J18="Presentado",IF(AND(ISNUMBER(K18),K18&gt;I18),"Presentado fuera de plazo","Presentado"),IF(J18="Descartado con análisis","Descartado",IF(J18="Registro interno (formato pendiente)","Registro interno",IF(NOW()&gt;I18,"VENCIDO","Faltan "&amp;ROUND((I18-NOW())*24,0)&amp;" horas"))))))</f>
        <v/>
      </c>
    </row>
    <row r="19" customFormat="false" ht="15" hidden="false" customHeight="false" outlineLevel="0" collapsed="false">
      <c r="A19" s="9" t="str">
        <f aca="false">IF(B19="","",ROW()-5)</f>
        <v/>
      </c>
      <c r="B19" s="31"/>
      <c r="C19" s="21"/>
      <c r="D19" s="21"/>
      <c r="E19" s="21"/>
      <c r="F19" s="21"/>
      <c r="G19" s="21"/>
      <c r="H19" s="32"/>
      <c r="I19" s="33" t="str">
        <f aca="false">IF(ISNUMBER(B19),B19+1,"")</f>
        <v/>
      </c>
      <c r="J19" s="21"/>
      <c r="K19" s="31"/>
      <c r="L19" s="9" t="str">
        <f aca="true">IF(B19="","",IF(G19="No","Sin datos: documenta y analiza",IF(J19="Presentado",IF(AND(ISNUMBER(K19),K19&gt;I19),"Presentado fuera de plazo","Presentado"),IF(J19="Descartado con análisis","Descartado",IF(J19="Registro interno (formato pendiente)","Registro interno",IF(NOW()&gt;I19,"VENCIDO","Faltan "&amp;ROUND((I19-NOW())*24,0)&amp;" horas"))))))</f>
        <v/>
      </c>
    </row>
    <row r="20" customFormat="false" ht="15" hidden="false" customHeight="false" outlineLevel="0" collapsed="false">
      <c r="A20" s="9" t="str">
        <f aca="false">IF(B20="","",ROW()-5)</f>
        <v/>
      </c>
      <c r="B20" s="31"/>
      <c r="C20" s="21"/>
      <c r="D20" s="21"/>
      <c r="E20" s="21"/>
      <c r="F20" s="21"/>
      <c r="G20" s="21"/>
      <c r="H20" s="32"/>
      <c r="I20" s="33" t="str">
        <f aca="false">IF(ISNUMBER(B20),B20+1,"")</f>
        <v/>
      </c>
      <c r="J20" s="21"/>
      <c r="K20" s="31"/>
      <c r="L20" s="9" t="str">
        <f aca="true">IF(B20="","",IF(G20="No","Sin datos: documenta y analiza",IF(J20="Presentado",IF(AND(ISNUMBER(K20),K20&gt;I20),"Presentado fuera de plazo","Presentado"),IF(J20="Descartado con análisis","Descartado",IF(J20="Registro interno (formato pendiente)","Registro interno",IF(NOW()&gt;I20,"VENCIDO","Faltan "&amp;ROUND((I20-NOW())*24,0)&amp;" horas"))))))</f>
        <v/>
      </c>
    </row>
    <row r="21" customFormat="false" ht="15" hidden="false" customHeight="false" outlineLevel="0" collapsed="false">
      <c r="A21" s="9" t="str">
        <f aca="false">IF(B21="","",ROW()-5)</f>
        <v/>
      </c>
      <c r="B21" s="31"/>
      <c r="C21" s="21"/>
      <c r="D21" s="21"/>
      <c r="E21" s="21"/>
      <c r="F21" s="21"/>
      <c r="G21" s="21"/>
      <c r="H21" s="32"/>
      <c r="I21" s="33" t="str">
        <f aca="false">IF(ISNUMBER(B21),B21+1,"")</f>
        <v/>
      </c>
      <c r="J21" s="21"/>
      <c r="K21" s="31"/>
      <c r="L21" s="9" t="str">
        <f aca="true">IF(B21="","",IF(G21="No","Sin datos: documenta y analiza",IF(J21="Presentado",IF(AND(ISNUMBER(K21),K21&gt;I21),"Presentado fuera de plazo","Presentado"),IF(J21="Descartado con análisis","Descartado",IF(J21="Registro interno (formato pendiente)","Registro interno",IF(NOW()&gt;I21,"VENCIDO","Faltan "&amp;ROUND((I21-NOW())*24,0)&amp;" horas"))))))</f>
        <v/>
      </c>
    </row>
    <row r="22" customFormat="false" ht="15" hidden="false" customHeight="false" outlineLevel="0" collapsed="false">
      <c r="A22" s="9" t="str">
        <f aca="false">IF(B22="","",ROW()-5)</f>
        <v/>
      </c>
      <c r="B22" s="31"/>
      <c r="C22" s="21"/>
      <c r="D22" s="21"/>
      <c r="E22" s="21"/>
      <c r="F22" s="21"/>
      <c r="G22" s="21"/>
      <c r="H22" s="32"/>
      <c r="I22" s="33" t="str">
        <f aca="false">IF(ISNUMBER(B22),B22+1,"")</f>
        <v/>
      </c>
      <c r="J22" s="21"/>
      <c r="K22" s="31"/>
      <c r="L22" s="9" t="str">
        <f aca="true">IF(B22="","",IF(G22="No","Sin datos: documenta y analiza",IF(J22="Presentado",IF(AND(ISNUMBER(K22),K22&gt;I22),"Presentado fuera de plazo","Presentado"),IF(J22="Descartado con análisis","Descartado",IF(J22="Registro interno (formato pendiente)","Registro interno",IF(NOW()&gt;I22,"VENCIDO","Faltan "&amp;ROUND((I22-NOW())*24,0)&amp;" horas"))))))</f>
        <v/>
      </c>
    </row>
    <row r="23" customFormat="false" ht="15" hidden="false" customHeight="false" outlineLevel="0" collapsed="false">
      <c r="A23" s="9" t="str">
        <f aca="false">IF(B23="","",ROW()-5)</f>
        <v/>
      </c>
      <c r="B23" s="31"/>
      <c r="C23" s="21"/>
      <c r="D23" s="21"/>
      <c r="E23" s="21"/>
      <c r="F23" s="21"/>
      <c r="G23" s="21"/>
      <c r="H23" s="32"/>
      <c r="I23" s="33" t="str">
        <f aca="false">IF(ISNUMBER(B23),B23+1,"")</f>
        <v/>
      </c>
      <c r="J23" s="21"/>
      <c r="K23" s="31"/>
      <c r="L23" s="9" t="str">
        <f aca="true">IF(B23="","",IF(G23="No","Sin datos: documenta y analiza",IF(J23="Presentado",IF(AND(ISNUMBER(K23),K23&gt;I23),"Presentado fuera de plazo","Presentado"),IF(J23="Descartado con análisis","Descartado",IF(J23="Registro interno (formato pendiente)","Registro interno",IF(NOW()&gt;I23,"VENCIDO","Faltan "&amp;ROUND((I23-NOW())*24,0)&amp;" horas"))))))</f>
        <v/>
      </c>
    </row>
    <row r="24" customFormat="false" ht="15" hidden="false" customHeight="false" outlineLevel="0" collapsed="false">
      <c r="A24" s="9" t="str">
        <f aca="false">IF(B24="","",ROW()-5)</f>
        <v/>
      </c>
      <c r="B24" s="31"/>
      <c r="C24" s="21"/>
      <c r="D24" s="21"/>
      <c r="E24" s="21"/>
      <c r="F24" s="21"/>
      <c r="G24" s="21"/>
      <c r="H24" s="32"/>
      <c r="I24" s="33" t="str">
        <f aca="false">IF(ISNUMBER(B24),B24+1,"")</f>
        <v/>
      </c>
      <c r="J24" s="21"/>
      <c r="K24" s="31"/>
      <c r="L24" s="9" t="str">
        <f aca="true">IF(B24="","",IF(G24="No","Sin datos: documenta y analiza",IF(J24="Presentado",IF(AND(ISNUMBER(K24),K24&gt;I24),"Presentado fuera de plazo","Presentado"),IF(J24="Descartado con análisis","Descartado",IF(J24="Registro interno (formato pendiente)","Registro interno",IF(NOW()&gt;I24,"VENCIDO","Faltan "&amp;ROUND((I24-NOW())*24,0)&amp;" horas"))))))</f>
        <v/>
      </c>
    </row>
    <row r="25" customFormat="false" ht="15" hidden="false" customHeight="false" outlineLevel="0" collapsed="false">
      <c r="A25" s="9" t="str">
        <f aca="false">IF(B25="","",ROW()-5)</f>
        <v/>
      </c>
      <c r="B25" s="31"/>
      <c r="C25" s="21"/>
      <c r="D25" s="21"/>
      <c r="E25" s="21"/>
      <c r="F25" s="21"/>
      <c r="G25" s="21"/>
      <c r="H25" s="32"/>
      <c r="I25" s="33" t="str">
        <f aca="false">IF(ISNUMBER(B25),B25+1,"")</f>
        <v/>
      </c>
      <c r="J25" s="21"/>
      <c r="K25" s="31"/>
      <c r="L25" s="9" t="str">
        <f aca="true">IF(B25="","",IF(G25="No","Sin datos: documenta y analiza",IF(J25="Presentado",IF(AND(ISNUMBER(K25),K25&gt;I25),"Presentado fuera de plazo","Presentado"),IF(J25="Descartado con análisis","Descartado",IF(J25="Registro interno (formato pendiente)","Registro interno",IF(NOW()&gt;I25,"VENCIDO","Faltan "&amp;ROUND((I25-NOW())*24,0)&amp;" horas"))))))</f>
        <v/>
      </c>
    </row>
    <row r="26" customFormat="false" ht="15" hidden="false" customHeight="false" outlineLevel="0" collapsed="false">
      <c r="A26" s="9" t="str">
        <f aca="false">IF(B26="","",ROW()-5)</f>
        <v/>
      </c>
      <c r="B26" s="31"/>
      <c r="C26" s="21"/>
      <c r="D26" s="21"/>
      <c r="E26" s="21"/>
      <c r="F26" s="21"/>
      <c r="G26" s="21"/>
      <c r="H26" s="32"/>
      <c r="I26" s="33" t="str">
        <f aca="false">IF(ISNUMBER(B26),B26+1,"")</f>
        <v/>
      </c>
      <c r="J26" s="21"/>
      <c r="K26" s="31"/>
      <c r="L26" s="9" t="str">
        <f aca="true">IF(B26="","",IF(G26="No","Sin datos: documenta y analiza",IF(J26="Presentado",IF(AND(ISNUMBER(K26),K26&gt;I26),"Presentado fuera de plazo","Presentado"),IF(J26="Descartado con análisis","Descartado",IF(J26="Registro interno (formato pendiente)","Registro interno",IF(NOW()&gt;I26,"VENCIDO","Faltan "&amp;ROUND((I26-NOW())*24,0)&amp;" horas"))))))</f>
        <v/>
      </c>
    </row>
    <row r="27" customFormat="false" ht="15" hidden="false" customHeight="false" outlineLevel="0" collapsed="false">
      <c r="A27" s="9" t="str">
        <f aca="false">IF(B27="","",ROW()-5)</f>
        <v/>
      </c>
      <c r="B27" s="31"/>
      <c r="C27" s="21"/>
      <c r="D27" s="21"/>
      <c r="E27" s="21"/>
      <c r="F27" s="21"/>
      <c r="G27" s="21"/>
      <c r="H27" s="32"/>
      <c r="I27" s="33" t="str">
        <f aca="false">IF(ISNUMBER(B27),B27+1,"")</f>
        <v/>
      </c>
      <c r="J27" s="21"/>
      <c r="K27" s="31"/>
      <c r="L27" s="9" t="str">
        <f aca="true">IF(B27="","",IF(G27="No","Sin datos: documenta y analiza",IF(J27="Presentado",IF(AND(ISNUMBER(K27),K27&gt;I27),"Presentado fuera de plazo","Presentado"),IF(J27="Descartado con análisis","Descartado",IF(J27="Registro interno (formato pendiente)","Registro interno",IF(NOW()&gt;I27,"VENCIDO","Faltan "&amp;ROUND((I27-NOW())*24,0)&amp;" horas"))))))</f>
        <v/>
      </c>
    </row>
    <row r="28" customFormat="false" ht="15" hidden="false" customHeight="false" outlineLevel="0" collapsed="false">
      <c r="A28" s="9" t="str">
        <f aca="false">IF(B28="","",ROW()-5)</f>
        <v/>
      </c>
      <c r="B28" s="31"/>
      <c r="C28" s="21"/>
      <c r="D28" s="21"/>
      <c r="E28" s="21"/>
      <c r="F28" s="21"/>
      <c r="G28" s="21"/>
      <c r="H28" s="32"/>
      <c r="I28" s="33" t="str">
        <f aca="false">IF(ISNUMBER(B28),B28+1,"")</f>
        <v/>
      </c>
      <c r="J28" s="21"/>
      <c r="K28" s="31"/>
      <c r="L28" s="9" t="str">
        <f aca="true">IF(B28="","",IF(G28="No","Sin datos: documenta y analiza",IF(J28="Presentado",IF(AND(ISNUMBER(K28),K28&gt;I28),"Presentado fuera de plazo","Presentado"),IF(J28="Descartado con análisis","Descartado",IF(J28="Registro interno (formato pendiente)","Registro interno",IF(NOW()&gt;I28,"VENCIDO","Faltan "&amp;ROUND((I28-NOW())*24,0)&amp;" horas"))))))</f>
        <v/>
      </c>
    </row>
    <row r="29" customFormat="false" ht="15" hidden="false" customHeight="false" outlineLevel="0" collapsed="false">
      <c r="A29" s="9" t="str">
        <f aca="false">IF(B29="","",ROW()-5)</f>
        <v/>
      </c>
      <c r="B29" s="31"/>
      <c r="C29" s="21"/>
      <c r="D29" s="21"/>
      <c r="E29" s="21"/>
      <c r="F29" s="21"/>
      <c r="G29" s="21"/>
      <c r="H29" s="32"/>
      <c r="I29" s="33" t="str">
        <f aca="false">IF(ISNUMBER(B29),B29+1,"")</f>
        <v/>
      </c>
      <c r="J29" s="21"/>
      <c r="K29" s="31"/>
      <c r="L29" s="9" t="str">
        <f aca="true">IF(B29="","",IF(G29="No","Sin datos: documenta y analiza",IF(J29="Presentado",IF(AND(ISNUMBER(K29),K29&gt;I29),"Presentado fuera de plazo","Presentado"),IF(J29="Descartado con análisis","Descartado",IF(J29="Registro interno (formato pendiente)","Registro interno",IF(NOW()&gt;I29,"VENCIDO","Faltan "&amp;ROUND((I29-NOW())*24,0)&amp;" horas"))))))</f>
        <v/>
      </c>
    </row>
    <row r="30" customFormat="false" ht="15" hidden="false" customHeight="false" outlineLevel="0" collapsed="false">
      <c r="A30" s="9" t="str">
        <f aca="false">IF(B30="","",ROW()-5)</f>
        <v/>
      </c>
      <c r="B30" s="31"/>
      <c r="C30" s="21"/>
      <c r="D30" s="21"/>
      <c r="E30" s="21"/>
      <c r="F30" s="21"/>
      <c r="G30" s="21"/>
      <c r="H30" s="32"/>
      <c r="I30" s="33" t="str">
        <f aca="false">IF(ISNUMBER(B30),B30+1,"")</f>
        <v/>
      </c>
      <c r="J30" s="21"/>
      <c r="K30" s="31"/>
      <c r="L30" s="9" t="str">
        <f aca="true">IF(B30="","",IF(G30="No","Sin datos: documenta y analiza",IF(J30="Presentado",IF(AND(ISNUMBER(K30),K30&gt;I30),"Presentado fuera de plazo","Presentado"),IF(J30="Descartado con análisis","Descartado",IF(J30="Registro interno (formato pendiente)","Registro interno",IF(NOW()&gt;I30,"VENCIDO","Faltan "&amp;ROUND((I30-NOW())*24,0)&amp;" horas"))))))</f>
        <v/>
      </c>
    </row>
    <row r="31" customFormat="false" ht="15" hidden="false" customHeight="false" outlineLevel="0" collapsed="false">
      <c r="A31" s="9" t="str">
        <f aca="false">IF(B31="","",ROW()-5)</f>
        <v/>
      </c>
      <c r="B31" s="31"/>
      <c r="C31" s="21"/>
      <c r="D31" s="21"/>
      <c r="E31" s="21"/>
      <c r="F31" s="21"/>
      <c r="G31" s="21"/>
      <c r="H31" s="32"/>
      <c r="I31" s="33" t="str">
        <f aca="false">IF(ISNUMBER(B31),B31+1,"")</f>
        <v/>
      </c>
      <c r="J31" s="21"/>
      <c r="K31" s="31"/>
      <c r="L31" s="9" t="str">
        <f aca="true">IF(B31="","",IF(G31="No","Sin datos: documenta y analiza",IF(J31="Presentado",IF(AND(ISNUMBER(K31),K31&gt;I31),"Presentado fuera de plazo","Presentado"),IF(J31="Descartado con análisis","Descartado",IF(J31="Registro interno (formato pendiente)","Registro interno",IF(NOW()&gt;I31,"VENCIDO","Faltan "&amp;ROUND((I31-NOW())*24,0)&amp;" horas"))))))</f>
        <v/>
      </c>
    </row>
    <row r="32" customFormat="false" ht="15" hidden="false" customHeight="false" outlineLevel="0" collapsed="false">
      <c r="A32" s="9" t="str">
        <f aca="false">IF(B32="","",ROW()-5)</f>
        <v/>
      </c>
      <c r="B32" s="31"/>
      <c r="C32" s="21"/>
      <c r="D32" s="21"/>
      <c r="E32" s="21"/>
      <c r="F32" s="21"/>
      <c r="G32" s="21"/>
      <c r="H32" s="32"/>
      <c r="I32" s="33" t="str">
        <f aca="false">IF(ISNUMBER(B32),B32+1,"")</f>
        <v/>
      </c>
      <c r="J32" s="21"/>
      <c r="K32" s="31"/>
      <c r="L32" s="9" t="str">
        <f aca="true">IF(B32="","",IF(G32="No","Sin datos: documenta y analiza",IF(J32="Presentado",IF(AND(ISNUMBER(K32),K32&gt;I32),"Presentado fuera de plazo","Presentado"),IF(J32="Descartado con análisis","Descartado",IF(J32="Registro interno (formato pendiente)","Registro interno",IF(NOW()&gt;I32,"VENCIDO","Faltan "&amp;ROUND((I32-NOW())*24,0)&amp;" horas"))))))</f>
        <v/>
      </c>
    </row>
    <row r="33" customFormat="false" ht="15" hidden="false" customHeight="false" outlineLevel="0" collapsed="false">
      <c r="A33" s="9" t="str">
        <f aca="false">IF(B33="","",ROW()-5)</f>
        <v/>
      </c>
      <c r="B33" s="31"/>
      <c r="C33" s="21"/>
      <c r="D33" s="21"/>
      <c r="E33" s="21"/>
      <c r="F33" s="21"/>
      <c r="G33" s="21"/>
      <c r="H33" s="32"/>
      <c r="I33" s="33" t="str">
        <f aca="false">IF(ISNUMBER(B33),B33+1,"")</f>
        <v/>
      </c>
      <c r="J33" s="21"/>
      <c r="K33" s="31"/>
      <c r="L33" s="9" t="str">
        <f aca="true">IF(B33="","",IF(G33="No","Sin datos: documenta y analiza",IF(J33="Presentado",IF(AND(ISNUMBER(K33),K33&gt;I33),"Presentado fuera de plazo","Presentado"),IF(J33="Descartado con análisis","Descartado",IF(J33="Registro interno (formato pendiente)","Registro interno",IF(NOW()&gt;I33,"VENCIDO","Faltan "&amp;ROUND((I33-NOW())*24,0)&amp;" horas"))))))</f>
        <v/>
      </c>
    </row>
    <row r="34" customFormat="false" ht="15" hidden="false" customHeight="false" outlineLevel="0" collapsed="false">
      <c r="A34" s="9" t="str">
        <f aca="false">IF(B34="","",ROW()-5)</f>
        <v/>
      </c>
      <c r="B34" s="31"/>
      <c r="C34" s="21"/>
      <c r="D34" s="21"/>
      <c r="E34" s="21"/>
      <c r="F34" s="21"/>
      <c r="G34" s="21"/>
      <c r="H34" s="32"/>
      <c r="I34" s="33" t="str">
        <f aca="false">IF(ISNUMBER(B34),B34+1,"")</f>
        <v/>
      </c>
      <c r="J34" s="21"/>
      <c r="K34" s="31"/>
      <c r="L34" s="9" t="str">
        <f aca="true">IF(B34="","",IF(G34="No","Sin datos: documenta y analiza",IF(J34="Presentado",IF(AND(ISNUMBER(K34),K34&gt;I34),"Presentado fuera de plazo","Presentado"),IF(J34="Descartado con análisis","Descartado",IF(J34="Registro interno (formato pendiente)","Registro interno",IF(NOW()&gt;I34,"VENCIDO","Faltan "&amp;ROUND((I34-NOW())*24,0)&amp;" horas"))))))</f>
        <v/>
      </c>
    </row>
    <row r="35" customFormat="false" ht="15" hidden="false" customHeight="false" outlineLevel="0" collapsed="false">
      <c r="A35" s="9" t="str">
        <f aca="false">IF(B35="","",ROW()-5)</f>
        <v/>
      </c>
      <c r="B35" s="31"/>
      <c r="C35" s="21"/>
      <c r="D35" s="21"/>
      <c r="E35" s="21"/>
      <c r="F35" s="21"/>
      <c r="G35" s="21"/>
      <c r="H35" s="32"/>
      <c r="I35" s="33" t="str">
        <f aca="false">IF(ISNUMBER(B35),B35+1,"")</f>
        <v/>
      </c>
      <c r="J35" s="21"/>
      <c r="K35" s="31"/>
      <c r="L35" s="9" t="str">
        <f aca="true">IF(B35="","",IF(G35="No","Sin datos: documenta y analiza",IF(J35="Presentado",IF(AND(ISNUMBER(K35),K35&gt;I35),"Presentado fuera de plazo","Presentado"),IF(J35="Descartado con análisis","Descartado",IF(J35="Registro interno (formato pendiente)","Registro interno",IF(NOW()&gt;I35,"VENCIDO","Faltan "&amp;ROUND((I35-NOW())*24,0)&amp;" horas"))))))</f>
        <v/>
      </c>
    </row>
    <row r="36" customFormat="false" ht="15" hidden="false" customHeight="false" outlineLevel="0" collapsed="false">
      <c r="A36" s="9" t="str">
        <f aca="false">IF(B36="","",ROW()-5)</f>
        <v/>
      </c>
      <c r="B36" s="31"/>
      <c r="C36" s="21"/>
      <c r="D36" s="21"/>
      <c r="E36" s="21"/>
      <c r="F36" s="21"/>
      <c r="G36" s="21"/>
      <c r="H36" s="32"/>
      <c r="I36" s="33" t="str">
        <f aca="false">IF(ISNUMBER(B36),B36+1,"")</f>
        <v/>
      </c>
      <c r="J36" s="21"/>
      <c r="K36" s="31"/>
      <c r="L36" s="9" t="str">
        <f aca="true">IF(B36="","",IF(G36="No","Sin datos: documenta y analiza",IF(J36="Presentado",IF(AND(ISNUMBER(K36),K36&gt;I36),"Presentado fuera de plazo","Presentado"),IF(J36="Descartado con análisis","Descartado",IF(J36="Registro interno (formato pendiente)","Registro interno",IF(NOW()&gt;I36,"VENCIDO","Faltan "&amp;ROUND((I36-NOW())*24,0)&amp;" horas"))))))</f>
        <v/>
      </c>
    </row>
    <row r="37" customFormat="false" ht="15" hidden="false" customHeight="false" outlineLevel="0" collapsed="false">
      <c r="A37" s="9" t="str">
        <f aca="false">IF(B37="","",ROW()-5)</f>
        <v/>
      </c>
      <c r="B37" s="31"/>
      <c r="C37" s="21"/>
      <c r="D37" s="21"/>
      <c r="E37" s="21"/>
      <c r="F37" s="21"/>
      <c r="G37" s="21"/>
      <c r="H37" s="32"/>
      <c r="I37" s="33" t="str">
        <f aca="false">IF(ISNUMBER(B37),B37+1,"")</f>
        <v/>
      </c>
      <c r="J37" s="21"/>
      <c r="K37" s="31"/>
      <c r="L37" s="9" t="str">
        <f aca="true">IF(B37="","",IF(G37="No","Sin datos: documenta y analiza",IF(J37="Presentado",IF(AND(ISNUMBER(K37),K37&gt;I37),"Presentado fuera de plazo","Presentado"),IF(J37="Descartado con análisis","Descartado",IF(J37="Registro interno (formato pendiente)","Registro interno",IF(NOW()&gt;I37,"VENCIDO","Faltan "&amp;ROUND((I37-NOW())*24,0)&amp;" horas"))))))</f>
        <v/>
      </c>
    </row>
    <row r="38" customFormat="false" ht="15" hidden="false" customHeight="false" outlineLevel="0" collapsed="false">
      <c r="A38" s="9" t="str">
        <f aca="false">IF(B38="","",ROW()-5)</f>
        <v/>
      </c>
      <c r="B38" s="31"/>
      <c r="C38" s="21"/>
      <c r="D38" s="21"/>
      <c r="E38" s="21"/>
      <c r="F38" s="21"/>
      <c r="G38" s="21"/>
      <c r="H38" s="32"/>
      <c r="I38" s="33" t="str">
        <f aca="false">IF(ISNUMBER(B38),B38+1,"")</f>
        <v/>
      </c>
      <c r="J38" s="21"/>
      <c r="K38" s="31"/>
      <c r="L38" s="9" t="str">
        <f aca="true">IF(B38="","",IF(G38="No","Sin datos: documenta y analiza",IF(J38="Presentado",IF(AND(ISNUMBER(K38),K38&gt;I38),"Presentado fuera de plazo","Presentado"),IF(J38="Descartado con análisis","Descartado",IF(J38="Registro interno (formato pendiente)","Registro interno",IF(NOW()&gt;I38,"VENCIDO","Faltan "&amp;ROUND((I38-NOW())*24,0)&amp;" horas"))))))</f>
        <v/>
      </c>
    </row>
    <row r="39" customFormat="false" ht="15" hidden="false" customHeight="false" outlineLevel="0" collapsed="false">
      <c r="A39" s="9" t="str">
        <f aca="false">IF(B39="","",ROW()-5)</f>
        <v/>
      </c>
      <c r="B39" s="31"/>
      <c r="C39" s="21"/>
      <c r="D39" s="21"/>
      <c r="E39" s="21"/>
      <c r="F39" s="21"/>
      <c r="G39" s="21"/>
      <c r="H39" s="32"/>
      <c r="I39" s="33" t="str">
        <f aca="false">IF(ISNUMBER(B39),B39+1,"")</f>
        <v/>
      </c>
      <c r="J39" s="21"/>
      <c r="K39" s="31"/>
      <c r="L39" s="9" t="str">
        <f aca="true">IF(B39="","",IF(G39="No","Sin datos: documenta y analiza",IF(J39="Presentado",IF(AND(ISNUMBER(K39),K39&gt;I39),"Presentado fuera de plazo","Presentado"),IF(J39="Descartado con análisis","Descartado",IF(J39="Registro interno (formato pendiente)","Registro interno",IF(NOW()&gt;I39,"VENCIDO","Faltan "&amp;ROUND((I39-NOW())*24,0)&amp;" horas"))))))</f>
        <v/>
      </c>
    </row>
    <row r="40" customFormat="false" ht="15" hidden="false" customHeight="false" outlineLevel="0" collapsed="false">
      <c r="A40" s="9" t="str">
        <f aca="false">IF(B40="","",ROW()-5)</f>
        <v/>
      </c>
      <c r="B40" s="31"/>
      <c r="C40" s="21"/>
      <c r="D40" s="21"/>
      <c r="E40" s="21"/>
      <c r="F40" s="21"/>
      <c r="G40" s="21"/>
      <c r="H40" s="32"/>
      <c r="I40" s="33" t="str">
        <f aca="false">IF(ISNUMBER(B40),B40+1,"")</f>
        <v/>
      </c>
      <c r="J40" s="21"/>
      <c r="K40" s="31"/>
      <c r="L40" s="9" t="str">
        <f aca="true">IF(B40="","",IF(G40="No","Sin datos: documenta y analiza",IF(J40="Presentado",IF(AND(ISNUMBER(K40),K40&gt;I40),"Presentado fuera de plazo","Presentado"),IF(J40="Descartado con análisis","Descartado",IF(J40="Registro interno (formato pendiente)","Registro interno",IF(NOW()&gt;I40,"VENCIDO","Faltan "&amp;ROUND((I40-NOW())*24,0)&amp;" horas"))))))</f>
        <v/>
      </c>
    </row>
    <row r="41" customFormat="false" ht="15" hidden="false" customHeight="false" outlineLevel="0" collapsed="false">
      <c r="A41" s="9" t="str">
        <f aca="false">IF(B41="","",ROW()-5)</f>
        <v/>
      </c>
      <c r="B41" s="31"/>
      <c r="C41" s="21"/>
      <c r="D41" s="21"/>
      <c r="E41" s="21"/>
      <c r="F41" s="21"/>
      <c r="G41" s="21"/>
      <c r="H41" s="32"/>
      <c r="I41" s="33" t="str">
        <f aca="false">IF(ISNUMBER(B41),B41+1,"")</f>
        <v/>
      </c>
      <c r="J41" s="21"/>
      <c r="K41" s="31"/>
      <c r="L41" s="9" t="str">
        <f aca="true">IF(B41="","",IF(G41="No","Sin datos: documenta y analiza",IF(J41="Presentado",IF(AND(ISNUMBER(K41),K41&gt;I41),"Presentado fuera de plazo","Presentado"),IF(J41="Descartado con análisis","Descartado",IF(J41="Registro interno (formato pendiente)","Registro interno",IF(NOW()&gt;I41,"VENCIDO","Faltan "&amp;ROUND((I41-NOW())*24,0)&amp;" horas"))))))</f>
        <v/>
      </c>
    </row>
    <row r="42" customFormat="false" ht="15" hidden="false" customHeight="false" outlineLevel="0" collapsed="false">
      <c r="A42" s="9" t="str">
        <f aca="false">IF(B42="","",ROW()-5)</f>
        <v/>
      </c>
      <c r="B42" s="31"/>
      <c r="C42" s="21"/>
      <c r="D42" s="21"/>
      <c r="E42" s="21"/>
      <c r="F42" s="21"/>
      <c r="G42" s="21"/>
      <c r="H42" s="32"/>
      <c r="I42" s="33" t="str">
        <f aca="false">IF(ISNUMBER(B42),B42+1,"")</f>
        <v/>
      </c>
      <c r="J42" s="21"/>
      <c r="K42" s="31"/>
      <c r="L42" s="9" t="str">
        <f aca="true">IF(B42="","",IF(G42="No","Sin datos: documenta y analiza",IF(J42="Presentado",IF(AND(ISNUMBER(K42),K42&gt;I42),"Presentado fuera de plazo","Presentado"),IF(J42="Descartado con análisis","Descartado",IF(J42="Registro interno (formato pendiente)","Registro interno",IF(NOW()&gt;I42,"VENCIDO","Faltan "&amp;ROUND((I42-NOW())*24,0)&amp;" horas"))))))</f>
        <v/>
      </c>
    </row>
    <row r="43" customFormat="false" ht="15" hidden="false" customHeight="false" outlineLevel="0" collapsed="false">
      <c r="A43" s="9" t="str">
        <f aca="false">IF(B43="","",ROW()-5)</f>
        <v/>
      </c>
      <c r="B43" s="31"/>
      <c r="C43" s="21"/>
      <c r="D43" s="21"/>
      <c r="E43" s="21"/>
      <c r="F43" s="21"/>
      <c r="G43" s="21"/>
      <c r="H43" s="32"/>
      <c r="I43" s="33" t="str">
        <f aca="false">IF(ISNUMBER(B43),B43+1,"")</f>
        <v/>
      </c>
      <c r="J43" s="21"/>
      <c r="K43" s="31"/>
      <c r="L43" s="9" t="str">
        <f aca="true">IF(B43="","",IF(G43="No","Sin datos: documenta y analiza",IF(J43="Presentado",IF(AND(ISNUMBER(K43),K43&gt;I43),"Presentado fuera de plazo","Presentado"),IF(J43="Descartado con análisis","Descartado",IF(J43="Registro interno (formato pendiente)","Registro interno",IF(NOW()&gt;I43,"VENCIDO","Faltan "&amp;ROUND((I43-NOW())*24,0)&amp;" horas"))))))</f>
        <v/>
      </c>
    </row>
    <row r="44" customFormat="false" ht="15" hidden="false" customHeight="false" outlineLevel="0" collapsed="false">
      <c r="A44" s="9" t="str">
        <f aca="false">IF(B44="","",ROW()-5)</f>
        <v/>
      </c>
      <c r="B44" s="31"/>
      <c r="C44" s="21"/>
      <c r="D44" s="21"/>
      <c r="E44" s="21"/>
      <c r="F44" s="21"/>
      <c r="G44" s="21"/>
      <c r="H44" s="32"/>
      <c r="I44" s="33" t="str">
        <f aca="false">IF(ISNUMBER(B44),B44+1,"")</f>
        <v/>
      </c>
      <c r="J44" s="21"/>
      <c r="K44" s="31"/>
      <c r="L44" s="9" t="str">
        <f aca="true">IF(B44="","",IF(G44="No","Sin datos: documenta y analiza",IF(J44="Presentado",IF(AND(ISNUMBER(K44),K44&gt;I44),"Presentado fuera de plazo","Presentado"),IF(J44="Descartado con análisis","Descartado",IF(J44="Registro interno (formato pendiente)","Registro interno",IF(NOW()&gt;I44,"VENCIDO","Faltan "&amp;ROUND((I44-NOW())*24,0)&amp;" horas"))))))</f>
        <v/>
      </c>
    </row>
    <row r="45" customFormat="false" ht="15" hidden="false" customHeight="false" outlineLevel="0" collapsed="false">
      <c r="A45" s="9" t="str">
        <f aca="false">IF(B45="","",ROW()-5)</f>
        <v/>
      </c>
      <c r="B45" s="31"/>
      <c r="C45" s="21"/>
      <c r="D45" s="21"/>
      <c r="E45" s="21"/>
      <c r="F45" s="21"/>
      <c r="G45" s="21"/>
      <c r="H45" s="32"/>
      <c r="I45" s="33" t="str">
        <f aca="false">IF(ISNUMBER(B45),B45+1,"")</f>
        <v/>
      </c>
      <c r="J45" s="21"/>
      <c r="K45" s="31"/>
      <c r="L45" s="9" t="str">
        <f aca="true">IF(B45="","",IF(G45="No","Sin datos: documenta y analiza",IF(J45="Presentado",IF(AND(ISNUMBER(K45),K45&gt;I45),"Presentado fuera de plazo","Presentado"),IF(J45="Descartado con análisis","Descartado",IF(J45="Registro interno (formato pendiente)","Registro interno",IF(NOW()&gt;I45,"VENCIDO","Faltan "&amp;ROUND((I45-NOW())*24,0)&amp;" horas"))))))</f>
        <v/>
      </c>
    </row>
    <row r="46" customFormat="false" ht="15" hidden="false" customHeight="false" outlineLevel="0" collapsed="false">
      <c r="A46" s="9" t="str">
        <f aca="false">IF(B46="","",ROW()-5)</f>
        <v/>
      </c>
      <c r="B46" s="31"/>
      <c r="C46" s="21"/>
      <c r="D46" s="21"/>
      <c r="E46" s="21"/>
      <c r="F46" s="21"/>
      <c r="G46" s="21"/>
      <c r="H46" s="32"/>
      <c r="I46" s="33" t="str">
        <f aca="false">IF(ISNUMBER(B46),B46+1,"")</f>
        <v/>
      </c>
      <c r="J46" s="21"/>
      <c r="K46" s="31"/>
      <c r="L46" s="9" t="str">
        <f aca="true">IF(B46="","",IF(G46="No","Sin datos: documenta y analiza",IF(J46="Presentado",IF(AND(ISNUMBER(K46),K46&gt;I46),"Presentado fuera de plazo","Presentado"),IF(J46="Descartado con análisis","Descartado",IF(J46="Registro interno (formato pendiente)","Registro interno",IF(NOW()&gt;I46,"VENCIDO","Faltan "&amp;ROUND((I46-NOW())*24,0)&amp;" horas"))))))</f>
        <v/>
      </c>
    </row>
    <row r="47" customFormat="false" ht="15" hidden="false" customHeight="false" outlineLevel="0" collapsed="false">
      <c r="A47" s="9" t="str">
        <f aca="false">IF(B47="","",ROW()-5)</f>
        <v/>
      </c>
      <c r="B47" s="31"/>
      <c r="C47" s="21"/>
      <c r="D47" s="21"/>
      <c r="E47" s="21"/>
      <c r="F47" s="21"/>
      <c r="G47" s="21"/>
      <c r="H47" s="32"/>
      <c r="I47" s="33" t="str">
        <f aca="false">IF(ISNUMBER(B47),B47+1,"")</f>
        <v/>
      </c>
      <c r="J47" s="21"/>
      <c r="K47" s="31"/>
      <c r="L47" s="9" t="str">
        <f aca="true">IF(B47="","",IF(G47="No","Sin datos: documenta y analiza",IF(J47="Presentado",IF(AND(ISNUMBER(K47),K47&gt;I47),"Presentado fuera de plazo","Presentado"),IF(J47="Descartado con análisis","Descartado",IF(J47="Registro interno (formato pendiente)","Registro interno",IF(NOW()&gt;I47,"VENCIDO","Faltan "&amp;ROUND((I47-NOW())*24,0)&amp;" horas"))))))</f>
        <v/>
      </c>
    </row>
    <row r="48" customFormat="false" ht="15" hidden="false" customHeight="false" outlineLevel="0" collapsed="false">
      <c r="A48" s="9" t="str">
        <f aca="false">IF(B48="","",ROW()-5)</f>
        <v/>
      </c>
      <c r="B48" s="31"/>
      <c r="C48" s="21"/>
      <c r="D48" s="21"/>
      <c r="E48" s="21"/>
      <c r="F48" s="21"/>
      <c r="G48" s="21"/>
      <c r="H48" s="32"/>
      <c r="I48" s="33" t="str">
        <f aca="false">IF(ISNUMBER(B48),B48+1,"")</f>
        <v/>
      </c>
      <c r="J48" s="21"/>
      <c r="K48" s="31"/>
      <c r="L48" s="9" t="str">
        <f aca="true">IF(B48="","",IF(G48="No","Sin datos: documenta y analiza",IF(J48="Presentado",IF(AND(ISNUMBER(K48),K48&gt;I48),"Presentado fuera de plazo","Presentado"),IF(J48="Descartado con análisis","Descartado",IF(J48="Registro interno (formato pendiente)","Registro interno",IF(NOW()&gt;I48,"VENCIDO","Faltan "&amp;ROUND((I48-NOW())*24,0)&amp;" horas"))))))</f>
        <v/>
      </c>
    </row>
    <row r="49" customFormat="false" ht="15" hidden="false" customHeight="false" outlineLevel="0" collapsed="false">
      <c r="A49" s="9" t="str">
        <f aca="false">IF(B49="","",ROW()-5)</f>
        <v/>
      </c>
      <c r="B49" s="31"/>
      <c r="C49" s="21"/>
      <c r="D49" s="21"/>
      <c r="E49" s="21"/>
      <c r="F49" s="21"/>
      <c r="G49" s="21"/>
      <c r="H49" s="32"/>
      <c r="I49" s="33" t="str">
        <f aca="false">IF(ISNUMBER(B49),B49+1,"")</f>
        <v/>
      </c>
      <c r="J49" s="21"/>
      <c r="K49" s="31"/>
      <c r="L49" s="9" t="str">
        <f aca="true">IF(B49="","",IF(G49="No","Sin datos: documenta y analiza",IF(J49="Presentado",IF(AND(ISNUMBER(K49),K49&gt;I49),"Presentado fuera de plazo","Presentado"),IF(J49="Descartado con análisis","Descartado",IF(J49="Registro interno (formato pendiente)","Registro interno",IF(NOW()&gt;I49,"VENCIDO","Faltan "&amp;ROUND((I49-NOW())*24,0)&amp;" horas"))))))</f>
        <v/>
      </c>
    </row>
    <row r="50" customFormat="false" ht="15" hidden="false" customHeight="false" outlineLevel="0" collapsed="false">
      <c r="A50" s="9" t="str">
        <f aca="false">IF(B50="","",ROW()-5)</f>
        <v/>
      </c>
      <c r="B50" s="31"/>
      <c r="C50" s="21"/>
      <c r="D50" s="21"/>
      <c r="E50" s="21"/>
      <c r="F50" s="21"/>
      <c r="G50" s="21"/>
      <c r="H50" s="32"/>
      <c r="I50" s="33" t="str">
        <f aca="false">IF(ISNUMBER(B50),B50+1,"")</f>
        <v/>
      </c>
      <c r="J50" s="21"/>
      <c r="K50" s="31"/>
      <c r="L50" s="9" t="str">
        <f aca="true">IF(B50="","",IF(G50="No","Sin datos: documenta y analiza",IF(J50="Presentado",IF(AND(ISNUMBER(K50),K50&gt;I50),"Presentado fuera de plazo","Presentado"),IF(J50="Descartado con análisis","Descartado",IF(J50="Registro interno (formato pendiente)","Registro interno",IF(NOW()&gt;I50,"VENCIDO","Faltan "&amp;ROUND((I50-NOW())*24,0)&amp;" horas"))))))</f>
        <v/>
      </c>
    </row>
    <row r="51" customFormat="false" ht="15" hidden="false" customHeight="false" outlineLevel="0" collapsed="false">
      <c r="A51" s="9" t="str">
        <f aca="false">IF(B51="","",ROW()-5)</f>
        <v/>
      </c>
      <c r="B51" s="31"/>
      <c r="C51" s="21"/>
      <c r="D51" s="21"/>
      <c r="E51" s="21"/>
      <c r="F51" s="21"/>
      <c r="G51" s="21"/>
      <c r="H51" s="32"/>
      <c r="I51" s="33" t="str">
        <f aca="false">IF(ISNUMBER(B51),B51+1,"")</f>
        <v/>
      </c>
      <c r="J51" s="21"/>
      <c r="K51" s="31"/>
      <c r="L51" s="9" t="str">
        <f aca="true">IF(B51="","",IF(G51="No","Sin datos: documenta y analiza",IF(J51="Presentado",IF(AND(ISNUMBER(K51),K51&gt;I51),"Presentado fuera de plazo","Presentado"),IF(J51="Descartado con análisis","Descartado",IF(J51="Registro interno (formato pendiente)","Registro interno",IF(NOW()&gt;I51,"VENCIDO","Faltan "&amp;ROUND((I51-NOW())*24,0)&amp;" horas"))))))</f>
        <v/>
      </c>
    </row>
    <row r="52" customFormat="false" ht="15" hidden="false" customHeight="false" outlineLevel="0" collapsed="false">
      <c r="A52" s="9" t="str">
        <f aca="false">IF(B52="","",ROW()-5)</f>
        <v/>
      </c>
      <c r="B52" s="31"/>
      <c r="C52" s="21"/>
      <c r="D52" s="21"/>
      <c r="E52" s="21"/>
      <c r="F52" s="21"/>
      <c r="G52" s="21"/>
      <c r="H52" s="32"/>
      <c r="I52" s="33" t="str">
        <f aca="false">IF(ISNUMBER(B52),B52+1,"")</f>
        <v/>
      </c>
      <c r="J52" s="21"/>
      <c r="K52" s="31"/>
      <c r="L52" s="9" t="str">
        <f aca="true">IF(B52="","",IF(G52="No","Sin datos: documenta y analiza",IF(J52="Presentado",IF(AND(ISNUMBER(K52),K52&gt;I52),"Presentado fuera de plazo","Presentado"),IF(J52="Descartado con análisis","Descartado",IF(J52="Registro interno (formato pendiente)","Registro interno",IF(NOW()&gt;I52,"VENCIDO","Faltan "&amp;ROUND((I52-NOW())*24,0)&amp;" horas"))))))</f>
        <v/>
      </c>
    </row>
    <row r="53" customFormat="false" ht="15" hidden="false" customHeight="false" outlineLevel="0" collapsed="false">
      <c r="A53" s="9" t="str">
        <f aca="false">IF(B53="","",ROW()-5)</f>
        <v/>
      </c>
      <c r="B53" s="31"/>
      <c r="C53" s="21"/>
      <c r="D53" s="21"/>
      <c r="E53" s="21"/>
      <c r="F53" s="21"/>
      <c r="G53" s="21"/>
      <c r="H53" s="32"/>
      <c r="I53" s="33" t="str">
        <f aca="false">IF(ISNUMBER(B53),B53+1,"")</f>
        <v/>
      </c>
      <c r="J53" s="21"/>
      <c r="K53" s="31"/>
      <c r="L53" s="9" t="str">
        <f aca="true">IF(B53="","",IF(G53="No","Sin datos: documenta y analiza",IF(J53="Presentado",IF(AND(ISNUMBER(K53),K53&gt;I53),"Presentado fuera de plazo","Presentado"),IF(J53="Descartado con análisis","Descartado",IF(J53="Registro interno (formato pendiente)","Registro interno",IF(NOW()&gt;I53,"VENCIDO","Faltan "&amp;ROUND((I53-NOW())*24,0)&amp;" horas"))))))</f>
        <v/>
      </c>
    </row>
    <row r="54" customFormat="false" ht="15" hidden="false" customHeight="false" outlineLevel="0" collapsed="false">
      <c r="A54" s="9" t="str">
        <f aca="false">IF(B54="","",ROW()-5)</f>
        <v/>
      </c>
      <c r="B54" s="31"/>
      <c r="C54" s="21"/>
      <c r="D54" s="21"/>
      <c r="E54" s="21"/>
      <c r="F54" s="21"/>
      <c r="G54" s="21"/>
      <c r="H54" s="32"/>
      <c r="I54" s="33" t="str">
        <f aca="false">IF(ISNUMBER(B54),B54+1,"")</f>
        <v/>
      </c>
      <c r="J54" s="21"/>
      <c r="K54" s="31"/>
      <c r="L54" s="9" t="str">
        <f aca="true">IF(B54="","",IF(G54="No","Sin datos: documenta y analiza",IF(J54="Presentado",IF(AND(ISNUMBER(K54),K54&gt;I54),"Presentado fuera de plazo","Presentado"),IF(J54="Descartado con análisis","Descartado",IF(J54="Registro interno (formato pendiente)","Registro interno",IF(NOW()&gt;I54,"VENCIDO","Faltan "&amp;ROUND((I54-NOW())*24,0)&amp;" horas"))))))</f>
        <v/>
      </c>
    </row>
    <row r="55" customFormat="false" ht="15" hidden="false" customHeight="false" outlineLevel="0" collapsed="false">
      <c r="A55" s="9" t="str">
        <f aca="false">IF(B55="","",ROW()-5)</f>
        <v/>
      </c>
      <c r="B55" s="31"/>
      <c r="C55" s="21"/>
      <c r="D55" s="21"/>
      <c r="E55" s="21"/>
      <c r="F55" s="21"/>
      <c r="G55" s="21"/>
      <c r="H55" s="32"/>
      <c r="I55" s="33" t="str">
        <f aca="false">IF(ISNUMBER(B55),B55+1,"")</f>
        <v/>
      </c>
      <c r="J55" s="21"/>
      <c r="K55" s="31"/>
      <c r="L55" s="9" t="str">
        <f aca="true">IF(B55="","",IF(G55="No","Sin datos: documenta y analiza",IF(J55="Presentado",IF(AND(ISNUMBER(K55),K55&gt;I55),"Presentado fuera de plazo","Presentado"),IF(J55="Descartado con análisis","Descartado",IF(J55="Registro interno (formato pendiente)","Registro interno",IF(NOW()&gt;I55,"VENCIDO","Faltan "&amp;ROUND((I55-NOW())*24,0)&amp;" horas"))))))</f>
        <v/>
      </c>
    </row>
    <row r="56" customFormat="false" ht="15" hidden="false" customHeight="false" outlineLevel="0" collapsed="false">
      <c r="A56" s="9" t="str">
        <f aca="false">IF(B56="","",ROW()-5)</f>
        <v/>
      </c>
      <c r="B56" s="31"/>
      <c r="C56" s="21"/>
      <c r="D56" s="21"/>
      <c r="E56" s="21"/>
      <c r="F56" s="21"/>
      <c r="G56" s="21"/>
      <c r="H56" s="32"/>
      <c r="I56" s="33" t="str">
        <f aca="false">IF(ISNUMBER(B56),B56+1,"")</f>
        <v/>
      </c>
      <c r="J56" s="21"/>
      <c r="K56" s="31"/>
      <c r="L56" s="9" t="str">
        <f aca="true">IF(B56="","",IF(G56="No","Sin datos: documenta y analiza",IF(J56="Presentado",IF(AND(ISNUMBER(K56),K56&gt;I56),"Presentado fuera de plazo","Presentado"),IF(J56="Descartado con análisis","Descartado",IF(J56="Registro interno (formato pendiente)","Registro interno",IF(NOW()&gt;I56,"VENCIDO","Faltan "&amp;ROUND((I56-NOW())*24,0)&amp;" horas"))))))</f>
        <v/>
      </c>
    </row>
    <row r="57" customFormat="false" ht="15" hidden="false" customHeight="false" outlineLevel="0" collapsed="false">
      <c r="A57" s="9" t="str">
        <f aca="false">IF(B57="","",ROW()-5)</f>
        <v/>
      </c>
      <c r="B57" s="31"/>
      <c r="C57" s="21"/>
      <c r="D57" s="21"/>
      <c r="E57" s="21"/>
      <c r="F57" s="21"/>
      <c r="G57" s="21"/>
      <c r="H57" s="32"/>
      <c r="I57" s="33" t="str">
        <f aca="false">IF(ISNUMBER(B57),B57+1,"")</f>
        <v/>
      </c>
      <c r="J57" s="21"/>
      <c r="K57" s="31"/>
      <c r="L57" s="9" t="str">
        <f aca="true">IF(B57="","",IF(G57="No","Sin datos: documenta y analiza",IF(J57="Presentado",IF(AND(ISNUMBER(K57),K57&gt;I57),"Presentado fuera de plazo","Presentado"),IF(J57="Descartado con análisis","Descartado",IF(J57="Registro interno (formato pendiente)","Registro interno",IF(NOW()&gt;I57,"VENCIDO","Faltan "&amp;ROUND((I57-NOW())*24,0)&amp;" horas"))))))</f>
        <v/>
      </c>
    </row>
    <row r="58" customFormat="false" ht="15" hidden="false" customHeight="false" outlineLevel="0" collapsed="false">
      <c r="A58" s="9" t="str">
        <f aca="false">IF(B58="","",ROW()-5)</f>
        <v/>
      </c>
      <c r="B58" s="31"/>
      <c r="C58" s="21"/>
      <c r="D58" s="21"/>
      <c r="E58" s="21"/>
      <c r="F58" s="21"/>
      <c r="G58" s="21"/>
      <c r="H58" s="32"/>
      <c r="I58" s="33" t="str">
        <f aca="false">IF(ISNUMBER(B58),B58+1,"")</f>
        <v/>
      </c>
      <c r="J58" s="21"/>
      <c r="K58" s="31"/>
      <c r="L58" s="9" t="str">
        <f aca="true">IF(B58="","",IF(G58="No","Sin datos: documenta y analiza",IF(J58="Presentado",IF(AND(ISNUMBER(K58),K58&gt;I58),"Presentado fuera de plazo","Presentado"),IF(J58="Descartado con análisis","Descartado",IF(J58="Registro interno (formato pendiente)","Registro interno",IF(NOW()&gt;I58,"VENCIDO","Faltan "&amp;ROUND((I58-NOW())*24,0)&amp;" horas"))))))</f>
        <v/>
      </c>
    </row>
    <row r="59" customFormat="false" ht="15" hidden="false" customHeight="false" outlineLevel="0" collapsed="false">
      <c r="A59" s="9" t="str">
        <f aca="false">IF(B59="","",ROW()-5)</f>
        <v/>
      </c>
      <c r="B59" s="31"/>
      <c r="C59" s="21"/>
      <c r="D59" s="21"/>
      <c r="E59" s="21"/>
      <c r="F59" s="21"/>
      <c r="G59" s="21"/>
      <c r="H59" s="32"/>
      <c r="I59" s="33" t="str">
        <f aca="false">IF(ISNUMBER(B59),B59+1,"")</f>
        <v/>
      </c>
      <c r="J59" s="21"/>
      <c r="K59" s="31"/>
      <c r="L59" s="9" t="str">
        <f aca="true">IF(B59="","",IF(G59="No","Sin datos: documenta y analiza",IF(J59="Presentado",IF(AND(ISNUMBER(K59),K59&gt;I59),"Presentado fuera de plazo","Presentado"),IF(J59="Descartado con análisis","Descartado",IF(J59="Registro interno (formato pendiente)","Registro interno",IF(NOW()&gt;I59,"VENCIDO","Faltan "&amp;ROUND((I59-NOW())*24,0)&amp;" horas"))))))</f>
        <v/>
      </c>
    </row>
    <row r="60" customFormat="false" ht="15" hidden="false" customHeight="false" outlineLevel="0" collapsed="false">
      <c r="A60" s="9" t="str">
        <f aca="false">IF(B60="","",ROW()-5)</f>
        <v/>
      </c>
      <c r="B60" s="31"/>
      <c r="C60" s="21"/>
      <c r="D60" s="21"/>
      <c r="E60" s="21"/>
      <c r="F60" s="21"/>
      <c r="G60" s="21"/>
      <c r="H60" s="32"/>
      <c r="I60" s="33" t="str">
        <f aca="false">IF(ISNUMBER(B60),B60+1,"")</f>
        <v/>
      </c>
      <c r="J60" s="21"/>
      <c r="K60" s="31"/>
      <c r="L60" s="9" t="str">
        <f aca="true">IF(B60="","",IF(G60="No","Sin datos: documenta y analiza",IF(J60="Presentado",IF(AND(ISNUMBER(K60),K60&gt;I60),"Presentado fuera de plazo","Presentado"),IF(J60="Descartado con análisis","Descartado",IF(J60="Registro interno (formato pendiente)","Registro interno",IF(NOW()&gt;I60,"VENCIDO","Faltan "&amp;ROUND((I60-NOW())*24,0)&amp;" horas"))))))</f>
        <v/>
      </c>
    </row>
    <row r="61" customFormat="false" ht="15" hidden="false" customHeight="false" outlineLevel="0" collapsed="false">
      <c r="A61" s="9" t="str">
        <f aca="false">IF(B61="","",ROW()-5)</f>
        <v/>
      </c>
      <c r="B61" s="31"/>
      <c r="C61" s="21"/>
      <c r="D61" s="21"/>
      <c r="E61" s="21"/>
      <c r="F61" s="21"/>
      <c r="G61" s="21"/>
      <c r="H61" s="32"/>
      <c r="I61" s="33" t="str">
        <f aca="false">IF(ISNUMBER(B61),B61+1,"")</f>
        <v/>
      </c>
      <c r="J61" s="21"/>
      <c r="K61" s="31"/>
      <c r="L61" s="9" t="str">
        <f aca="true">IF(B61="","",IF(G61="No","Sin datos: documenta y analiza",IF(J61="Presentado",IF(AND(ISNUMBER(K61),K61&gt;I61),"Presentado fuera de plazo","Presentado"),IF(J61="Descartado con análisis","Descartado",IF(J61="Registro interno (formato pendiente)","Registro interno",IF(NOW()&gt;I61,"VENCIDO","Faltan "&amp;ROUND((I61-NOW())*24,0)&amp;" horas"))))))</f>
        <v/>
      </c>
    </row>
    <row r="62" customFormat="false" ht="15" hidden="false" customHeight="false" outlineLevel="0" collapsed="false">
      <c r="A62" s="9" t="str">
        <f aca="false">IF(B62="","",ROW()-5)</f>
        <v/>
      </c>
      <c r="B62" s="31"/>
      <c r="C62" s="21"/>
      <c r="D62" s="21"/>
      <c r="E62" s="21"/>
      <c r="F62" s="21"/>
      <c r="G62" s="21"/>
      <c r="H62" s="32"/>
      <c r="I62" s="33" t="str">
        <f aca="false">IF(ISNUMBER(B62),B62+1,"")</f>
        <v/>
      </c>
      <c r="J62" s="21"/>
      <c r="K62" s="31"/>
      <c r="L62" s="9" t="str">
        <f aca="true">IF(B62="","",IF(G62="No","Sin datos: documenta y analiza",IF(J62="Presentado",IF(AND(ISNUMBER(K62),K62&gt;I62),"Presentado fuera de plazo","Presentado"),IF(J62="Descartado con análisis","Descartado",IF(J62="Registro interno (formato pendiente)","Registro interno",IF(NOW()&gt;I62,"VENCIDO","Faltan "&amp;ROUND((I62-NOW())*24,0)&amp;" horas"))))))</f>
        <v/>
      </c>
    </row>
    <row r="63" customFormat="false" ht="15" hidden="false" customHeight="false" outlineLevel="0" collapsed="false">
      <c r="A63" s="9" t="str">
        <f aca="false">IF(B63="","",ROW()-5)</f>
        <v/>
      </c>
      <c r="B63" s="31"/>
      <c r="C63" s="21"/>
      <c r="D63" s="21"/>
      <c r="E63" s="21"/>
      <c r="F63" s="21"/>
      <c r="G63" s="21"/>
      <c r="H63" s="32"/>
      <c r="I63" s="33" t="str">
        <f aca="false">IF(ISNUMBER(B63),B63+1,"")</f>
        <v/>
      </c>
      <c r="J63" s="21"/>
      <c r="K63" s="31"/>
      <c r="L63" s="9" t="str">
        <f aca="true">IF(B63="","",IF(G63="No","Sin datos: documenta y analiza",IF(J63="Presentado",IF(AND(ISNUMBER(K63),K63&gt;I63),"Presentado fuera de plazo","Presentado"),IF(J63="Descartado con análisis","Descartado",IF(J63="Registro interno (formato pendiente)","Registro interno",IF(NOW()&gt;I63,"VENCIDO","Faltan "&amp;ROUND((I63-NOW())*24,0)&amp;" horas"))))))</f>
        <v/>
      </c>
    </row>
    <row r="64" customFormat="false" ht="15" hidden="false" customHeight="false" outlineLevel="0" collapsed="false">
      <c r="A64" s="9" t="str">
        <f aca="false">IF(B64="","",ROW()-5)</f>
        <v/>
      </c>
      <c r="B64" s="31"/>
      <c r="C64" s="21"/>
      <c r="D64" s="21"/>
      <c r="E64" s="21"/>
      <c r="F64" s="21"/>
      <c r="G64" s="21"/>
      <c r="H64" s="32"/>
      <c r="I64" s="33" t="str">
        <f aca="false">IF(ISNUMBER(B64),B64+1,"")</f>
        <v/>
      </c>
      <c r="J64" s="21"/>
      <c r="K64" s="31"/>
      <c r="L64" s="9" t="str">
        <f aca="true">IF(B64="","",IF(G64="No","Sin datos: documenta y analiza",IF(J64="Presentado",IF(AND(ISNUMBER(K64),K64&gt;I64),"Presentado fuera de plazo","Presentado"),IF(J64="Descartado con análisis","Descartado",IF(J64="Registro interno (formato pendiente)","Registro interno",IF(NOW()&gt;I64,"VENCIDO","Faltan "&amp;ROUND((I64-NOW())*24,0)&amp;" horas"))))))</f>
        <v/>
      </c>
    </row>
    <row r="65" customFormat="false" ht="15" hidden="false" customHeight="false" outlineLevel="0" collapsed="false">
      <c r="A65" s="9" t="str">
        <f aca="false">IF(B65="","",ROW()-5)</f>
        <v/>
      </c>
      <c r="B65" s="31"/>
      <c r="C65" s="21"/>
      <c r="D65" s="21"/>
      <c r="E65" s="21"/>
      <c r="F65" s="21"/>
      <c r="G65" s="21"/>
      <c r="H65" s="32"/>
      <c r="I65" s="33" t="str">
        <f aca="false">IF(ISNUMBER(B65),B65+1,"")</f>
        <v/>
      </c>
      <c r="J65" s="21"/>
      <c r="K65" s="31"/>
      <c r="L65" s="9" t="str">
        <f aca="true">IF(B65="","",IF(G65="No","Sin datos: documenta y analiza",IF(J65="Presentado",IF(AND(ISNUMBER(K65),K65&gt;I65),"Presentado fuera de plazo","Presentado"),IF(J65="Descartado con análisis","Descartado",IF(J65="Registro interno (formato pendiente)","Registro interno",IF(NOW()&gt;I65,"VENCIDO","Faltan "&amp;ROUND((I65-NOW())*24,0)&amp;" horas"))))))</f>
        <v/>
      </c>
    </row>
    <row r="66" customFormat="false" ht="15" hidden="false" customHeight="false" outlineLevel="0" collapsed="false">
      <c r="A66" s="9" t="str">
        <f aca="false">IF(B66="","",ROW()-5)</f>
        <v/>
      </c>
      <c r="B66" s="31"/>
      <c r="C66" s="21"/>
      <c r="D66" s="21"/>
      <c r="E66" s="21"/>
      <c r="F66" s="21"/>
      <c r="G66" s="21"/>
      <c r="H66" s="32"/>
      <c r="I66" s="33" t="str">
        <f aca="false">IF(ISNUMBER(B66),B66+1,"")</f>
        <v/>
      </c>
      <c r="J66" s="21"/>
      <c r="K66" s="31"/>
      <c r="L66" s="9" t="str">
        <f aca="true">IF(B66="","",IF(G66="No","Sin datos: documenta y analiza",IF(J66="Presentado",IF(AND(ISNUMBER(K66),K66&gt;I66),"Presentado fuera de plazo","Presentado"),IF(J66="Descartado con análisis","Descartado",IF(J66="Registro interno (formato pendiente)","Registro interno",IF(NOW()&gt;I66,"VENCIDO","Faltan "&amp;ROUND((I66-NOW())*24,0)&amp;" horas"))))))</f>
        <v/>
      </c>
    </row>
    <row r="67" customFormat="false" ht="15" hidden="false" customHeight="false" outlineLevel="0" collapsed="false">
      <c r="A67" s="9" t="str">
        <f aca="false">IF(B67="","",ROW()-5)</f>
        <v/>
      </c>
      <c r="B67" s="31"/>
      <c r="C67" s="21"/>
      <c r="D67" s="21"/>
      <c r="E67" s="21"/>
      <c r="F67" s="21"/>
      <c r="G67" s="21"/>
      <c r="H67" s="32"/>
      <c r="I67" s="33" t="str">
        <f aca="false">IF(ISNUMBER(B67),B67+1,"")</f>
        <v/>
      </c>
      <c r="J67" s="21"/>
      <c r="K67" s="31"/>
      <c r="L67" s="9" t="str">
        <f aca="true">IF(B67="","",IF(G67="No","Sin datos: documenta y analiza",IF(J67="Presentado",IF(AND(ISNUMBER(K67),K67&gt;I67),"Presentado fuera de plazo","Presentado"),IF(J67="Descartado con análisis","Descartado",IF(J67="Registro interno (formato pendiente)","Registro interno",IF(NOW()&gt;I67,"VENCIDO","Faltan "&amp;ROUND((I67-NOW())*24,0)&amp;" horas"))))))</f>
        <v/>
      </c>
    </row>
    <row r="68" customFormat="false" ht="15" hidden="false" customHeight="false" outlineLevel="0" collapsed="false">
      <c r="A68" s="9" t="str">
        <f aca="false">IF(B68="","",ROW()-5)</f>
        <v/>
      </c>
      <c r="B68" s="31"/>
      <c r="C68" s="21"/>
      <c r="D68" s="21"/>
      <c r="E68" s="21"/>
      <c r="F68" s="21"/>
      <c r="G68" s="21"/>
      <c r="H68" s="32"/>
      <c r="I68" s="33" t="str">
        <f aca="false">IF(ISNUMBER(B68),B68+1,"")</f>
        <v/>
      </c>
      <c r="J68" s="21"/>
      <c r="K68" s="31"/>
      <c r="L68" s="9" t="str">
        <f aca="true">IF(B68="","",IF(G68="No","Sin datos: documenta y analiza",IF(J68="Presentado",IF(AND(ISNUMBER(K68),K68&gt;I68),"Presentado fuera de plazo","Presentado"),IF(J68="Descartado con análisis","Descartado",IF(J68="Registro interno (formato pendiente)","Registro interno",IF(NOW()&gt;I68,"VENCIDO","Faltan "&amp;ROUND((I68-NOW())*24,0)&amp;" horas"))))))</f>
        <v/>
      </c>
    </row>
    <row r="69" customFormat="false" ht="15" hidden="false" customHeight="false" outlineLevel="0" collapsed="false">
      <c r="A69" s="9" t="str">
        <f aca="false">IF(B69="","",ROW()-5)</f>
        <v/>
      </c>
      <c r="B69" s="31"/>
      <c r="C69" s="21"/>
      <c r="D69" s="21"/>
      <c r="E69" s="21"/>
      <c r="F69" s="21"/>
      <c r="G69" s="21"/>
      <c r="H69" s="32"/>
      <c r="I69" s="33" t="str">
        <f aca="false">IF(ISNUMBER(B69),B69+1,"")</f>
        <v/>
      </c>
      <c r="J69" s="21"/>
      <c r="K69" s="31"/>
      <c r="L69" s="9" t="str">
        <f aca="true">IF(B69="","",IF(G69="No","Sin datos: documenta y analiza",IF(J69="Presentado",IF(AND(ISNUMBER(K69),K69&gt;I69),"Presentado fuera de plazo","Presentado"),IF(J69="Descartado con análisis","Descartado",IF(J69="Registro interno (formato pendiente)","Registro interno",IF(NOW()&gt;I69,"VENCIDO","Faltan "&amp;ROUND((I69-NOW())*24,0)&amp;" horas"))))))</f>
        <v/>
      </c>
    </row>
    <row r="70" customFormat="false" ht="15" hidden="false" customHeight="false" outlineLevel="0" collapsed="false">
      <c r="A70" s="9" t="str">
        <f aca="false">IF(B70="","",ROW()-5)</f>
        <v/>
      </c>
      <c r="B70" s="31"/>
      <c r="C70" s="21"/>
      <c r="D70" s="21"/>
      <c r="E70" s="21"/>
      <c r="F70" s="21"/>
      <c r="G70" s="21"/>
      <c r="H70" s="32"/>
      <c r="I70" s="33" t="str">
        <f aca="false">IF(ISNUMBER(B70),B70+1,"")</f>
        <v/>
      </c>
      <c r="J70" s="21"/>
      <c r="K70" s="31"/>
      <c r="L70" s="9" t="str">
        <f aca="true">IF(B70="","",IF(G70="No","Sin datos: documenta y analiza",IF(J70="Presentado",IF(AND(ISNUMBER(K70),K70&gt;I70),"Presentado fuera de plazo","Presentado"),IF(J70="Descartado con análisis","Descartado",IF(J70="Registro interno (formato pendiente)","Registro interno",IF(NOW()&gt;I70,"VENCIDO","Faltan "&amp;ROUND((I70-NOW())*24,0)&amp;" horas"))))))</f>
        <v/>
      </c>
    </row>
    <row r="71" customFormat="false" ht="15" hidden="false" customHeight="false" outlineLevel="0" collapsed="false">
      <c r="A71" s="9" t="str">
        <f aca="false">IF(B71="","",ROW()-5)</f>
        <v/>
      </c>
      <c r="B71" s="31"/>
      <c r="C71" s="21"/>
      <c r="D71" s="21"/>
      <c r="E71" s="21"/>
      <c r="F71" s="21"/>
      <c r="G71" s="21"/>
      <c r="H71" s="32"/>
      <c r="I71" s="33" t="str">
        <f aca="false">IF(ISNUMBER(B71),B71+1,"")</f>
        <v/>
      </c>
      <c r="J71" s="21"/>
      <c r="K71" s="31"/>
      <c r="L71" s="9" t="str">
        <f aca="true">IF(B71="","",IF(G71="No","Sin datos: documenta y analiza",IF(J71="Presentado",IF(AND(ISNUMBER(K71),K71&gt;I71),"Presentado fuera de plazo","Presentado"),IF(J71="Descartado con análisis","Descartado",IF(J71="Registro interno (formato pendiente)","Registro interno",IF(NOW()&gt;I71,"VENCIDO","Faltan "&amp;ROUND((I71-NOW())*24,0)&amp;" horas"))))))</f>
        <v/>
      </c>
    </row>
    <row r="72" customFormat="false" ht="15" hidden="false" customHeight="false" outlineLevel="0" collapsed="false">
      <c r="A72" s="9" t="str">
        <f aca="false">IF(B72="","",ROW()-5)</f>
        <v/>
      </c>
      <c r="B72" s="31"/>
      <c r="C72" s="21"/>
      <c r="D72" s="21"/>
      <c r="E72" s="21"/>
      <c r="F72" s="21"/>
      <c r="G72" s="21"/>
      <c r="H72" s="32"/>
      <c r="I72" s="33" t="str">
        <f aca="false">IF(ISNUMBER(B72),B72+1,"")</f>
        <v/>
      </c>
      <c r="J72" s="21"/>
      <c r="K72" s="31"/>
      <c r="L72" s="9" t="str">
        <f aca="true">IF(B72="","",IF(G72="No","Sin datos: documenta y analiza",IF(J72="Presentado",IF(AND(ISNUMBER(K72),K72&gt;I72),"Presentado fuera de plazo","Presentado"),IF(J72="Descartado con análisis","Descartado",IF(J72="Registro interno (formato pendiente)","Registro interno",IF(NOW()&gt;I72,"VENCIDO","Faltan "&amp;ROUND((I72-NOW())*24,0)&amp;" horas"))))))</f>
        <v/>
      </c>
    </row>
    <row r="73" customFormat="false" ht="15" hidden="false" customHeight="false" outlineLevel="0" collapsed="false">
      <c r="A73" s="9" t="str">
        <f aca="false">IF(B73="","",ROW()-5)</f>
        <v/>
      </c>
      <c r="B73" s="31"/>
      <c r="C73" s="21"/>
      <c r="D73" s="21"/>
      <c r="E73" s="21"/>
      <c r="F73" s="21"/>
      <c r="G73" s="21"/>
      <c r="H73" s="32"/>
      <c r="I73" s="33" t="str">
        <f aca="false">IF(ISNUMBER(B73),B73+1,"")</f>
        <v/>
      </c>
      <c r="J73" s="21"/>
      <c r="K73" s="31"/>
      <c r="L73" s="9" t="str">
        <f aca="true">IF(B73="","",IF(G73="No","Sin datos: documenta y analiza",IF(J73="Presentado",IF(AND(ISNUMBER(K73),K73&gt;I73),"Presentado fuera de plazo","Presentado"),IF(J73="Descartado con análisis","Descartado",IF(J73="Registro interno (formato pendiente)","Registro interno",IF(NOW()&gt;I73,"VENCIDO","Faltan "&amp;ROUND((I73-NOW())*24,0)&amp;" horas"))))))</f>
        <v/>
      </c>
    </row>
    <row r="74" customFormat="false" ht="15" hidden="false" customHeight="false" outlineLevel="0" collapsed="false">
      <c r="A74" s="9" t="str">
        <f aca="false">IF(B74="","",ROW()-5)</f>
        <v/>
      </c>
      <c r="B74" s="31"/>
      <c r="C74" s="21"/>
      <c r="D74" s="21"/>
      <c r="E74" s="21"/>
      <c r="F74" s="21"/>
      <c r="G74" s="21"/>
      <c r="H74" s="32"/>
      <c r="I74" s="33" t="str">
        <f aca="false">IF(ISNUMBER(B74),B74+1,"")</f>
        <v/>
      </c>
      <c r="J74" s="21"/>
      <c r="K74" s="31"/>
      <c r="L74" s="9" t="str">
        <f aca="true">IF(B74="","",IF(G74="No","Sin datos: documenta y analiza",IF(J74="Presentado",IF(AND(ISNUMBER(K74),K74&gt;I74),"Presentado fuera de plazo","Presentado"),IF(J74="Descartado con análisis","Descartado",IF(J74="Registro interno (formato pendiente)","Registro interno",IF(NOW()&gt;I74,"VENCIDO","Faltan "&amp;ROUND((I74-NOW())*24,0)&amp;" horas"))))))</f>
        <v/>
      </c>
    </row>
    <row r="75" customFormat="false" ht="15" hidden="false" customHeight="false" outlineLevel="0" collapsed="false">
      <c r="A75" s="9" t="str">
        <f aca="false">IF(B75="","",ROW()-5)</f>
        <v/>
      </c>
      <c r="B75" s="31"/>
      <c r="C75" s="21"/>
      <c r="D75" s="21"/>
      <c r="E75" s="21"/>
      <c r="F75" s="21"/>
      <c r="G75" s="21"/>
      <c r="H75" s="32"/>
      <c r="I75" s="33" t="str">
        <f aca="false">IF(ISNUMBER(B75),B75+1,"")</f>
        <v/>
      </c>
      <c r="J75" s="21"/>
      <c r="K75" s="31"/>
      <c r="L75" s="9" t="str">
        <f aca="true">IF(B75="","",IF(G75="No","Sin datos: documenta y analiza",IF(J75="Presentado",IF(AND(ISNUMBER(K75),K75&gt;I75),"Presentado fuera de plazo","Presentado"),IF(J75="Descartado con análisis","Descartado",IF(J75="Registro interno (formato pendiente)","Registro interno",IF(NOW()&gt;I75,"VENCIDO","Faltan "&amp;ROUND((I75-NOW())*24,0)&amp;" horas"))))))</f>
        <v/>
      </c>
    </row>
    <row r="76" customFormat="false" ht="15" hidden="false" customHeight="false" outlineLevel="0" collapsed="false">
      <c r="A76" s="9" t="str">
        <f aca="false">IF(B76="","",ROW()-5)</f>
        <v/>
      </c>
      <c r="B76" s="31"/>
      <c r="C76" s="21"/>
      <c r="D76" s="21"/>
      <c r="E76" s="21"/>
      <c r="F76" s="21"/>
      <c r="G76" s="21"/>
      <c r="H76" s="32"/>
      <c r="I76" s="33" t="str">
        <f aca="false">IF(ISNUMBER(B76),B76+1,"")</f>
        <v/>
      </c>
      <c r="J76" s="21"/>
      <c r="K76" s="31"/>
      <c r="L76" s="9" t="str">
        <f aca="true">IF(B76="","",IF(G76="No","Sin datos: documenta y analiza",IF(J76="Presentado",IF(AND(ISNUMBER(K76),K76&gt;I76),"Presentado fuera de plazo","Presentado"),IF(J76="Descartado con análisis","Descartado",IF(J76="Registro interno (formato pendiente)","Registro interno",IF(NOW()&gt;I76,"VENCIDO","Faltan "&amp;ROUND((I76-NOW())*24,0)&amp;" horas"))))))</f>
        <v/>
      </c>
    </row>
    <row r="77" customFormat="false" ht="15" hidden="false" customHeight="false" outlineLevel="0" collapsed="false">
      <c r="A77" s="9" t="str">
        <f aca="false">IF(B77="","",ROW()-5)</f>
        <v/>
      </c>
      <c r="B77" s="31"/>
      <c r="C77" s="21"/>
      <c r="D77" s="21"/>
      <c r="E77" s="21"/>
      <c r="F77" s="21"/>
      <c r="G77" s="21"/>
      <c r="H77" s="32"/>
      <c r="I77" s="33" t="str">
        <f aca="false">IF(ISNUMBER(B77),B77+1,"")</f>
        <v/>
      </c>
      <c r="J77" s="21"/>
      <c r="K77" s="31"/>
      <c r="L77" s="9" t="str">
        <f aca="true">IF(B77="","",IF(G77="No","Sin datos: documenta y analiza",IF(J77="Presentado",IF(AND(ISNUMBER(K77),K77&gt;I77),"Presentado fuera de plazo","Presentado"),IF(J77="Descartado con análisis","Descartado",IF(J77="Registro interno (formato pendiente)","Registro interno",IF(NOW()&gt;I77,"VENCIDO","Faltan "&amp;ROUND((I77-NOW())*24,0)&amp;" horas"))))))</f>
        <v/>
      </c>
    </row>
    <row r="78" customFormat="false" ht="15" hidden="false" customHeight="false" outlineLevel="0" collapsed="false">
      <c r="A78" s="9" t="str">
        <f aca="false">IF(B78="","",ROW()-5)</f>
        <v/>
      </c>
      <c r="B78" s="31"/>
      <c r="C78" s="21"/>
      <c r="D78" s="21"/>
      <c r="E78" s="21"/>
      <c r="F78" s="21"/>
      <c r="G78" s="21"/>
      <c r="H78" s="32"/>
      <c r="I78" s="33" t="str">
        <f aca="false">IF(ISNUMBER(B78),B78+1,"")</f>
        <v/>
      </c>
      <c r="J78" s="21"/>
      <c r="K78" s="31"/>
      <c r="L78" s="9" t="str">
        <f aca="true">IF(B78="","",IF(G78="No","Sin datos: documenta y analiza",IF(J78="Presentado",IF(AND(ISNUMBER(K78),K78&gt;I78),"Presentado fuera de plazo","Presentado"),IF(J78="Descartado con análisis","Descartado",IF(J78="Registro interno (formato pendiente)","Registro interno",IF(NOW()&gt;I78,"VENCIDO","Faltan "&amp;ROUND((I78-NOW())*24,0)&amp;" horas"))))))</f>
        <v/>
      </c>
    </row>
    <row r="79" customFormat="false" ht="15" hidden="false" customHeight="false" outlineLevel="0" collapsed="false">
      <c r="A79" s="9" t="str">
        <f aca="false">IF(B79="","",ROW()-5)</f>
        <v/>
      </c>
      <c r="B79" s="31"/>
      <c r="C79" s="21"/>
      <c r="D79" s="21"/>
      <c r="E79" s="21"/>
      <c r="F79" s="21"/>
      <c r="G79" s="21"/>
      <c r="H79" s="32"/>
      <c r="I79" s="33" t="str">
        <f aca="false">IF(ISNUMBER(B79),B79+1,"")</f>
        <v/>
      </c>
      <c r="J79" s="21"/>
      <c r="K79" s="31"/>
      <c r="L79" s="9" t="str">
        <f aca="true">IF(B79="","",IF(G79="No","Sin datos: documenta y analiza",IF(J79="Presentado",IF(AND(ISNUMBER(K79),K79&gt;I79),"Presentado fuera de plazo","Presentado"),IF(J79="Descartado con análisis","Descartado",IF(J79="Registro interno (formato pendiente)","Registro interno",IF(NOW()&gt;I79,"VENCIDO","Faltan "&amp;ROUND((I79-NOW())*24,0)&amp;" horas"))))))</f>
        <v/>
      </c>
    </row>
    <row r="80" customFormat="false" ht="15" hidden="false" customHeight="false" outlineLevel="0" collapsed="false">
      <c r="A80" s="9" t="str">
        <f aca="false">IF(B80="","",ROW()-5)</f>
        <v/>
      </c>
      <c r="B80" s="31"/>
      <c r="C80" s="21"/>
      <c r="D80" s="21"/>
      <c r="E80" s="21"/>
      <c r="F80" s="21"/>
      <c r="G80" s="21"/>
      <c r="H80" s="32"/>
      <c r="I80" s="33" t="str">
        <f aca="false">IF(ISNUMBER(B80),B80+1,"")</f>
        <v/>
      </c>
      <c r="J80" s="21"/>
      <c r="K80" s="31"/>
      <c r="L80" s="9" t="str">
        <f aca="true">IF(B80="","",IF(G80="No","Sin datos: documenta y analiza",IF(J80="Presentado",IF(AND(ISNUMBER(K80),K80&gt;I80),"Presentado fuera de plazo","Presentado"),IF(J80="Descartado con análisis","Descartado",IF(J80="Registro interno (formato pendiente)","Registro interno",IF(NOW()&gt;I80,"VENCIDO","Faltan "&amp;ROUND((I80-NOW())*24,0)&amp;" horas"))))))</f>
        <v/>
      </c>
    </row>
    <row r="81" customFormat="false" ht="15" hidden="false" customHeight="false" outlineLevel="0" collapsed="false">
      <c r="A81" s="9" t="str">
        <f aca="false">IF(B81="","",ROW()-5)</f>
        <v/>
      </c>
      <c r="B81" s="31"/>
      <c r="C81" s="21"/>
      <c r="D81" s="21"/>
      <c r="E81" s="21"/>
      <c r="F81" s="21"/>
      <c r="G81" s="21"/>
      <c r="H81" s="32"/>
      <c r="I81" s="33" t="str">
        <f aca="false">IF(ISNUMBER(B81),B81+1,"")</f>
        <v/>
      </c>
      <c r="J81" s="21"/>
      <c r="K81" s="31"/>
      <c r="L81" s="9" t="str">
        <f aca="true">IF(B81="","",IF(G81="No","Sin datos: documenta y analiza",IF(J81="Presentado",IF(AND(ISNUMBER(K81),K81&gt;I81),"Presentado fuera de plazo","Presentado"),IF(J81="Descartado con análisis","Descartado",IF(J81="Registro interno (formato pendiente)","Registro interno",IF(NOW()&gt;I81,"VENCIDO","Faltan "&amp;ROUND((I81-NOW())*24,0)&amp;" horas"))))))</f>
        <v/>
      </c>
    </row>
    <row r="82" customFormat="false" ht="15" hidden="false" customHeight="false" outlineLevel="0" collapsed="false">
      <c r="A82" s="9" t="str">
        <f aca="false">IF(B82="","",ROW()-5)</f>
        <v/>
      </c>
      <c r="B82" s="31"/>
      <c r="C82" s="21"/>
      <c r="D82" s="21"/>
      <c r="E82" s="21"/>
      <c r="F82" s="21"/>
      <c r="G82" s="21"/>
      <c r="H82" s="32"/>
      <c r="I82" s="33" t="str">
        <f aca="false">IF(ISNUMBER(B82),B82+1,"")</f>
        <v/>
      </c>
      <c r="J82" s="21"/>
      <c r="K82" s="31"/>
      <c r="L82" s="9" t="str">
        <f aca="true">IF(B82="","",IF(G82="No","Sin datos: documenta y analiza",IF(J82="Presentado",IF(AND(ISNUMBER(K82),K82&gt;I82),"Presentado fuera de plazo","Presentado"),IF(J82="Descartado con análisis","Descartado",IF(J82="Registro interno (formato pendiente)","Registro interno",IF(NOW()&gt;I82,"VENCIDO","Faltan "&amp;ROUND((I82-NOW())*24,0)&amp;" horas"))))))</f>
        <v/>
      </c>
    </row>
    <row r="83" customFormat="false" ht="15" hidden="false" customHeight="false" outlineLevel="0" collapsed="false">
      <c r="A83" s="9" t="str">
        <f aca="false">IF(B83="","",ROW()-5)</f>
        <v/>
      </c>
      <c r="B83" s="31"/>
      <c r="C83" s="21"/>
      <c r="D83" s="21"/>
      <c r="E83" s="21"/>
      <c r="F83" s="21"/>
      <c r="G83" s="21"/>
      <c r="H83" s="32"/>
      <c r="I83" s="33" t="str">
        <f aca="false">IF(ISNUMBER(B83),B83+1,"")</f>
        <v/>
      </c>
      <c r="J83" s="21"/>
      <c r="K83" s="31"/>
      <c r="L83" s="9" t="str">
        <f aca="true">IF(B83="","",IF(G83="No","Sin datos: documenta y analiza",IF(J83="Presentado",IF(AND(ISNUMBER(K83),K83&gt;I83),"Presentado fuera de plazo","Presentado"),IF(J83="Descartado con análisis","Descartado",IF(J83="Registro interno (formato pendiente)","Registro interno",IF(NOW()&gt;I83,"VENCIDO","Faltan "&amp;ROUND((I83-NOW())*24,0)&amp;" horas"))))))</f>
        <v/>
      </c>
    </row>
    <row r="84" customFormat="false" ht="15" hidden="false" customHeight="false" outlineLevel="0" collapsed="false">
      <c r="A84" s="9" t="str">
        <f aca="false">IF(B84="","",ROW()-5)</f>
        <v/>
      </c>
      <c r="B84" s="31"/>
      <c r="C84" s="21"/>
      <c r="D84" s="21"/>
      <c r="E84" s="21"/>
      <c r="F84" s="21"/>
      <c r="G84" s="21"/>
      <c r="H84" s="32"/>
      <c r="I84" s="33" t="str">
        <f aca="false">IF(ISNUMBER(B84),B84+1,"")</f>
        <v/>
      </c>
      <c r="J84" s="21"/>
      <c r="K84" s="31"/>
      <c r="L84" s="9" t="str">
        <f aca="true">IF(B84="","",IF(G84="No","Sin datos: documenta y analiza",IF(J84="Presentado",IF(AND(ISNUMBER(K84),K84&gt;I84),"Presentado fuera de plazo","Presentado"),IF(J84="Descartado con análisis","Descartado",IF(J84="Registro interno (formato pendiente)","Registro interno",IF(NOW()&gt;I84,"VENCIDO","Faltan "&amp;ROUND((I84-NOW())*24,0)&amp;" horas"))))))</f>
        <v/>
      </c>
    </row>
    <row r="85" customFormat="false" ht="15" hidden="false" customHeight="false" outlineLevel="0" collapsed="false">
      <c r="A85" s="9" t="str">
        <f aca="false">IF(B85="","",ROW()-5)</f>
        <v/>
      </c>
      <c r="B85" s="31"/>
      <c r="C85" s="21"/>
      <c r="D85" s="21"/>
      <c r="E85" s="21"/>
      <c r="F85" s="21"/>
      <c r="G85" s="21"/>
      <c r="H85" s="32"/>
      <c r="I85" s="33" t="str">
        <f aca="false">IF(ISNUMBER(B85),B85+1,"")</f>
        <v/>
      </c>
      <c r="J85" s="21"/>
      <c r="K85" s="31"/>
      <c r="L85" s="9" t="str">
        <f aca="true">IF(B85="","",IF(G85="No","Sin datos: documenta y analiza",IF(J85="Presentado",IF(AND(ISNUMBER(K85),K85&gt;I85),"Presentado fuera de plazo","Presentado"),IF(J85="Descartado con análisis","Descartado",IF(J85="Registro interno (formato pendiente)","Registro interno",IF(NOW()&gt;I85,"VENCIDO","Faltan "&amp;ROUND((I85-NOW())*24,0)&amp;" horas"))))))</f>
        <v/>
      </c>
    </row>
    <row r="86" customFormat="false" ht="15" hidden="false" customHeight="false" outlineLevel="0" collapsed="false">
      <c r="A86" s="9" t="str">
        <f aca="false">IF(B86="","",ROW()-5)</f>
        <v/>
      </c>
      <c r="B86" s="31"/>
      <c r="C86" s="21"/>
      <c r="D86" s="21"/>
      <c r="E86" s="21"/>
      <c r="F86" s="21"/>
      <c r="G86" s="21"/>
      <c r="H86" s="32"/>
      <c r="I86" s="33" t="str">
        <f aca="false">IF(ISNUMBER(B86),B86+1,"")</f>
        <v/>
      </c>
      <c r="J86" s="21"/>
      <c r="K86" s="31"/>
      <c r="L86" s="9" t="str">
        <f aca="true">IF(B86="","",IF(G86="No","Sin datos: documenta y analiza",IF(J86="Presentado",IF(AND(ISNUMBER(K86),K86&gt;I86),"Presentado fuera de plazo","Presentado"),IF(J86="Descartado con análisis","Descartado",IF(J86="Registro interno (formato pendiente)","Registro interno",IF(NOW()&gt;I86,"VENCIDO","Faltan "&amp;ROUND((I86-NOW())*24,0)&amp;" horas"))))))</f>
        <v/>
      </c>
    </row>
    <row r="87" customFormat="false" ht="15" hidden="false" customHeight="false" outlineLevel="0" collapsed="false">
      <c r="A87" s="9" t="str">
        <f aca="false">IF(B87="","",ROW()-5)</f>
        <v/>
      </c>
      <c r="B87" s="31"/>
      <c r="C87" s="21"/>
      <c r="D87" s="21"/>
      <c r="E87" s="21"/>
      <c r="F87" s="21"/>
      <c r="G87" s="21"/>
      <c r="H87" s="32"/>
      <c r="I87" s="33" t="str">
        <f aca="false">IF(ISNUMBER(B87),B87+1,"")</f>
        <v/>
      </c>
      <c r="J87" s="21"/>
      <c r="K87" s="31"/>
      <c r="L87" s="9" t="str">
        <f aca="true">IF(B87="","",IF(G87="No","Sin datos: documenta y analiza",IF(J87="Presentado",IF(AND(ISNUMBER(K87),K87&gt;I87),"Presentado fuera de plazo","Presentado"),IF(J87="Descartado con análisis","Descartado",IF(J87="Registro interno (formato pendiente)","Registro interno",IF(NOW()&gt;I87,"VENCIDO","Faltan "&amp;ROUND((I87-NOW())*24,0)&amp;" horas"))))))</f>
        <v/>
      </c>
    </row>
    <row r="88" customFormat="false" ht="15" hidden="false" customHeight="false" outlineLevel="0" collapsed="false">
      <c r="A88" s="9" t="str">
        <f aca="false">IF(B88="","",ROW()-5)</f>
        <v/>
      </c>
      <c r="B88" s="31"/>
      <c r="C88" s="21"/>
      <c r="D88" s="21"/>
      <c r="E88" s="21"/>
      <c r="F88" s="21"/>
      <c r="G88" s="21"/>
      <c r="H88" s="32"/>
      <c r="I88" s="33" t="str">
        <f aca="false">IF(ISNUMBER(B88),B88+1,"")</f>
        <v/>
      </c>
      <c r="J88" s="21"/>
      <c r="K88" s="31"/>
      <c r="L88" s="9" t="str">
        <f aca="true">IF(B88="","",IF(G88="No","Sin datos: documenta y analiza",IF(J88="Presentado",IF(AND(ISNUMBER(K88),K88&gt;I88),"Presentado fuera de plazo","Presentado"),IF(J88="Descartado con análisis","Descartado",IF(J88="Registro interno (formato pendiente)","Registro interno",IF(NOW()&gt;I88,"VENCIDO","Faltan "&amp;ROUND((I88-NOW())*24,0)&amp;" horas"))))))</f>
        <v/>
      </c>
    </row>
    <row r="89" customFormat="false" ht="15" hidden="false" customHeight="false" outlineLevel="0" collapsed="false">
      <c r="A89" s="9" t="str">
        <f aca="false">IF(B89="","",ROW()-5)</f>
        <v/>
      </c>
      <c r="B89" s="31"/>
      <c r="C89" s="21"/>
      <c r="D89" s="21"/>
      <c r="E89" s="21"/>
      <c r="F89" s="21"/>
      <c r="G89" s="21"/>
      <c r="H89" s="32"/>
      <c r="I89" s="33" t="str">
        <f aca="false">IF(ISNUMBER(B89),B89+1,"")</f>
        <v/>
      </c>
      <c r="J89" s="21"/>
      <c r="K89" s="31"/>
      <c r="L89" s="9" t="str">
        <f aca="true">IF(B89="","",IF(G89="No","Sin datos: documenta y analiza",IF(J89="Presentado",IF(AND(ISNUMBER(K89),K89&gt;I89),"Presentado fuera de plazo","Presentado"),IF(J89="Descartado con análisis","Descartado",IF(J89="Registro interno (formato pendiente)","Registro interno",IF(NOW()&gt;I89,"VENCIDO","Faltan "&amp;ROUND((I89-NOW())*24,0)&amp;" horas"))))))</f>
        <v/>
      </c>
    </row>
    <row r="90" customFormat="false" ht="15" hidden="false" customHeight="false" outlineLevel="0" collapsed="false">
      <c r="A90" s="9" t="str">
        <f aca="false">IF(B90="","",ROW()-5)</f>
        <v/>
      </c>
      <c r="B90" s="31"/>
      <c r="C90" s="21"/>
      <c r="D90" s="21"/>
      <c r="E90" s="21"/>
      <c r="F90" s="21"/>
      <c r="G90" s="21"/>
      <c r="H90" s="32"/>
      <c r="I90" s="33" t="str">
        <f aca="false">IF(ISNUMBER(B90),B90+1,"")</f>
        <v/>
      </c>
      <c r="J90" s="21"/>
      <c r="K90" s="31"/>
      <c r="L90" s="9" t="str">
        <f aca="true">IF(B90="","",IF(G90="No","Sin datos: documenta y analiza",IF(J90="Presentado",IF(AND(ISNUMBER(K90),K90&gt;I90),"Presentado fuera de plazo","Presentado"),IF(J90="Descartado con análisis","Descartado",IF(J90="Registro interno (formato pendiente)","Registro interno",IF(NOW()&gt;I90,"VENCIDO","Faltan "&amp;ROUND((I90-NOW())*24,0)&amp;" horas"))))))</f>
        <v/>
      </c>
    </row>
    <row r="91" customFormat="false" ht="15" hidden="false" customHeight="false" outlineLevel="0" collapsed="false">
      <c r="A91" s="9" t="str">
        <f aca="false">IF(B91="","",ROW()-5)</f>
        <v/>
      </c>
      <c r="B91" s="31"/>
      <c r="C91" s="21"/>
      <c r="D91" s="21"/>
      <c r="E91" s="21"/>
      <c r="F91" s="21"/>
      <c r="G91" s="21"/>
      <c r="H91" s="32"/>
      <c r="I91" s="33" t="str">
        <f aca="false">IF(ISNUMBER(B91),B91+1,"")</f>
        <v/>
      </c>
      <c r="J91" s="21"/>
      <c r="K91" s="31"/>
      <c r="L91" s="9" t="str">
        <f aca="true">IF(B91="","",IF(G91="No","Sin datos: documenta y analiza",IF(J91="Presentado",IF(AND(ISNUMBER(K91),K91&gt;I91),"Presentado fuera de plazo","Presentado"),IF(J91="Descartado con análisis","Descartado",IF(J91="Registro interno (formato pendiente)","Registro interno",IF(NOW()&gt;I91,"VENCIDO","Faltan "&amp;ROUND((I91-NOW())*24,0)&amp;" horas"))))))</f>
        <v/>
      </c>
    </row>
    <row r="92" customFormat="false" ht="15" hidden="false" customHeight="false" outlineLevel="0" collapsed="false">
      <c r="A92" s="9" t="str">
        <f aca="false">IF(B92="","",ROW()-5)</f>
        <v/>
      </c>
      <c r="B92" s="31"/>
      <c r="C92" s="21"/>
      <c r="D92" s="21"/>
      <c r="E92" s="21"/>
      <c r="F92" s="21"/>
      <c r="G92" s="21"/>
      <c r="H92" s="32"/>
      <c r="I92" s="33" t="str">
        <f aca="false">IF(ISNUMBER(B92),B92+1,"")</f>
        <v/>
      </c>
      <c r="J92" s="21"/>
      <c r="K92" s="31"/>
      <c r="L92" s="9" t="str">
        <f aca="true">IF(B92="","",IF(G92="No","Sin datos: documenta y analiza",IF(J92="Presentado",IF(AND(ISNUMBER(K92),K92&gt;I92),"Presentado fuera de plazo","Presentado"),IF(J92="Descartado con análisis","Descartado",IF(J92="Registro interno (formato pendiente)","Registro interno",IF(NOW()&gt;I92,"VENCIDO","Faltan "&amp;ROUND((I92-NOW())*24,0)&amp;" horas"))))))</f>
        <v/>
      </c>
    </row>
    <row r="93" customFormat="false" ht="15" hidden="false" customHeight="false" outlineLevel="0" collapsed="false">
      <c r="A93" s="9" t="str">
        <f aca="false">IF(B93="","",ROW()-5)</f>
        <v/>
      </c>
      <c r="B93" s="31"/>
      <c r="C93" s="21"/>
      <c r="D93" s="21"/>
      <c r="E93" s="21"/>
      <c r="F93" s="21"/>
      <c r="G93" s="21"/>
      <c r="H93" s="32"/>
      <c r="I93" s="33" t="str">
        <f aca="false">IF(ISNUMBER(B93),B93+1,"")</f>
        <v/>
      </c>
      <c r="J93" s="21"/>
      <c r="K93" s="31"/>
      <c r="L93" s="9" t="str">
        <f aca="true">IF(B93="","",IF(G93="No","Sin datos: documenta y analiza",IF(J93="Presentado",IF(AND(ISNUMBER(K93),K93&gt;I93),"Presentado fuera de plazo","Presentado"),IF(J93="Descartado con análisis","Descartado",IF(J93="Registro interno (formato pendiente)","Registro interno",IF(NOW()&gt;I93,"VENCIDO","Faltan "&amp;ROUND((I93-NOW())*24,0)&amp;" horas"))))))</f>
        <v/>
      </c>
    </row>
    <row r="94" customFormat="false" ht="15" hidden="false" customHeight="false" outlineLevel="0" collapsed="false">
      <c r="A94" s="9" t="str">
        <f aca="false">IF(B94="","",ROW()-5)</f>
        <v/>
      </c>
      <c r="B94" s="31"/>
      <c r="C94" s="21"/>
      <c r="D94" s="21"/>
      <c r="E94" s="21"/>
      <c r="F94" s="21"/>
      <c r="G94" s="21"/>
      <c r="H94" s="32"/>
      <c r="I94" s="33" t="str">
        <f aca="false">IF(ISNUMBER(B94),B94+1,"")</f>
        <v/>
      </c>
      <c r="J94" s="21"/>
      <c r="K94" s="31"/>
      <c r="L94" s="9" t="str">
        <f aca="true">IF(B94="","",IF(G94="No","Sin datos: documenta y analiza",IF(J94="Presentado",IF(AND(ISNUMBER(K94),K94&gt;I94),"Presentado fuera de plazo","Presentado"),IF(J94="Descartado con análisis","Descartado",IF(J94="Registro interno (formato pendiente)","Registro interno",IF(NOW()&gt;I94,"VENCIDO","Faltan "&amp;ROUND((I94-NOW())*24,0)&amp;" horas"))))))</f>
        <v/>
      </c>
    </row>
    <row r="95" customFormat="false" ht="15" hidden="false" customHeight="false" outlineLevel="0" collapsed="false">
      <c r="A95" s="9" t="str">
        <f aca="false">IF(B95="","",ROW()-5)</f>
        <v/>
      </c>
      <c r="B95" s="31"/>
      <c r="C95" s="21"/>
      <c r="D95" s="21"/>
      <c r="E95" s="21"/>
      <c r="F95" s="21"/>
      <c r="G95" s="21"/>
      <c r="H95" s="32"/>
      <c r="I95" s="33" t="str">
        <f aca="false">IF(ISNUMBER(B95),B95+1,"")</f>
        <v/>
      </c>
      <c r="J95" s="21"/>
      <c r="K95" s="31"/>
      <c r="L95" s="9" t="str">
        <f aca="true">IF(B95="","",IF(G95="No","Sin datos: documenta y analiza",IF(J95="Presentado",IF(AND(ISNUMBER(K95),K95&gt;I95),"Presentado fuera de plazo","Presentado"),IF(J95="Descartado con análisis","Descartado",IF(J95="Registro interno (formato pendiente)","Registro interno",IF(NOW()&gt;I95,"VENCIDO","Faltan "&amp;ROUND((I95-NOW())*24,0)&amp;" horas"))))))</f>
        <v/>
      </c>
    </row>
    <row r="96" customFormat="false" ht="15" hidden="false" customHeight="false" outlineLevel="0" collapsed="false">
      <c r="A96" s="9" t="str">
        <f aca="false">IF(B96="","",ROW()-5)</f>
        <v/>
      </c>
      <c r="B96" s="31"/>
      <c r="C96" s="21"/>
      <c r="D96" s="21"/>
      <c r="E96" s="21"/>
      <c r="F96" s="21"/>
      <c r="G96" s="21"/>
      <c r="H96" s="32"/>
      <c r="I96" s="33" t="str">
        <f aca="false">IF(ISNUMBER(B96),B96+1,"")</f>
        <v/>
      </c>
      <c r="J96" s="21"/>
      <c r="K96" s="31"/>
      <c r="L96" s="9" t="str">
        <f aca="true">IF(B96="","",IF(G96="No","Sin datos: documenta y analiza",IF(J96="Presentado",IF(AND(ISNUMBER(K96),K96&gt;I96),"Presentado fuera de plazo","Presentado"),IF(J96="Descartado con análisis","Descartado",IF(J96="Registro interno (formato pendiente)","Registro interno",IF(NOW()&gt;I96,"VENCIDO","Faltan "&amp;ROUND((I96-NOW())*24,0)&amp;" horas"))))))</f>
        <v/>
      </c>
    </row>
    <row r="97" customFormat="false" ht="15" hidden="false" customHeight="false" outlineLevel="0" collapsed="false">
      <c r="A97" s="9" t="str">
        <f aca="false">IF(B97="","",ROW()-5)</f>
        <v/>
      </c>
      <c r="B97" s="31"/>
      <c r="C97" s="21"/>
      <c r="D97" s="21"/>
      <c r="E97" s="21"/>
      <c r="F97" s="21"/>
      <c r="G97" s="21"/>
      <c r="H97" s="32"/>
      <c r="I97" s="33" t="str">
        <f aca="false">IF(ISNUMBER(B97),B97+1,"")</f>
        <v/>
      </c>
      <c r="J97" s="21"/>
      <c r="K97" s="31"/>
      <c r="L97" s="9" t="str">
        <f aca="true">IF(B97="","",IF(G97="No","Sin datos: documenta y analiza",IF(J97="Presentado",IF(AND(ISNUMBER(K97),K97&gt;I97),"Presentado fuera de plazo","Presentado"),IF(J97="Descartado con análisis","Descartado",IF(J97="Registro interno (formato pendiente)","Registro interno",IF(NOW()&gt;I97,"VENCIDO","Faltan "&amp;ROUND((I97-NOW())*24,0)&amp;" horas"))))))</f>
        <v/>
      </c>
    </row>
    <row r="98" customFormat="false" ht="15" hidden="false" customHeight="false" outlineLevel="0" collapsed="false">
      <c r="A98" s="9" t="str">
        <f aca="false">IF(B98="","",ROW()-5)</f>
        <v/>
      </c>
      <c r="B98" s="31"/>
      <c r="C98" s="21"/>
      <c r="D98" s="21"/>
      <c r="E98" s="21"/>
      <c r="F98" s="21"/>
      <c r="G98" s="21"/>
      <c r="H98" s="32"/>
      <c r="I98" s="33" t="str">
        <f aca="false">IF(ISNUMBER(B98),B98+1,"")</f>
        <v/>
      </c>
      <c r="J98" s="21"/>
      <c r="K98" s="31"/>
      <c r="L98" s="9" t="str">
        <f aca="true">IF(B98="","",IF(G98="No","Sin datos: documenta y analiza",IF(J98="Presentado",IF(AND(ISNUMBER(K98),K98&gt;I98),"Presentado fuera de plazo","Presentado"),IF(J98="Descartado con análisis","Descartado",IF(J98="Registro interno (formato pendiente)","Registro interno",IF(NOW()&gt;I98,"VENCIDO","Faltan "&amp;ROUND((I98-NOW())*24,0)&amp;" horas"))))))</f>
        <v/>
      </c>
    </row>
    <row r="99" customFormat="false" ht="15" hidden="false" customHeight="false" outlineLevel="0" collapsed="false">
      <c r="A99" s="9" t="str">
        <f aca="false">IF(B99="","",ROW()-5)</f>
        <v/>
      </c>
      <c r="B99" s="31"/>
      <c r="C99" s="21"/>
      <c r="D99" s="21"/>
      <c r="E99" s="21"/>
      <c r="F99" s="21"/>
      <c r="G99" s="21"/>
      <c r="H99" s="32"/>
      <c r="I99" s="33" t="str">
        <f aca="false">IF(ISNUMBER(B99),B99+1,"")</f>
        <v/>
      </c>
      <c r="J99" s="21"/>
      <c r="K99" s="31"/>
      <c r="L99" s="9" t="str">
        <f aca="true">IF(B99="","",IF(G99="No","Sin datos: documenta y analiza",IF(J99="Presentado",IF(AND(ISNUMBER(K99),K99&gt;I99),"Presentado fuera de plazo","Presentado"),IF(J99="Descartado con análisis","Descartado",IF(J99="Registro interno (formato pendiente)","Registro interno",IF(NOW()&gt;I99,"VENCIDO","Faltan "&amp;ROUND((I99-NOW())*24,0)&amp;" horas"))))))</f>
        <v/>
      </c>
    </row>
    <row r="100" customFormat="false" ht="15" hidden="false" customHeight="false" outlineLevel="0" collapsed="false">
      <c r="A100" s="9" t="str">
        <f aca="false">IF(B100="","",ROW()-5)</f>
        <v/>
      </c>
      <c r="B100" s="31"/>
      <c r="C100" s="21"/>
      <c r="D100" s="21"/>
      <c r="E100" s="21"/>
      <c r="F100" s="21"/>
      <c r="G100" s="21"/>
      <c r="H100" s="32"/>
      <c r="I100" s="33" t="str">
        <f aca="false">IF(ISNUMBER(B100),B100+1,"")</f>
        <v/>
      </c>
      <c r="J100" s="21"/>
      <c r="K100" s="31"/>
      <c r="L100" s="9" t="str">
        <f aca="true">IF(B100="","",IF(G100="No","Sin datos: documenta y analiza",IF(J100="Presentado",IF(AND(ISNUMBER(K100),K100&gt;I100),"Presentado fuera de plazo","Presentado"),IF(J100="Descartado con análisis","Descartado",IF(J100="Registro interno (formato pendiente)","Registro interno",IF(NOW()&gt;I100,"VENCIDO","Faltan "&amp;ROUND((I100-NOW())*24,0)&amp;" horas"))))))</f>
        <v/>
      </c>
    </row>
    <row r="101" customFormat="false" ht="15" hidden="false" customHeight="false" outlineLevel="0" collapsed="false">
      <c r="A101" s="9" t="str">
        <f aca="false">IF(B101="","",ROW()-5)</f>
        <v/>
      </c>
      <c r="B101" s="31"/>
      <c r="C101" s="21"/>
      <c r="D101" s="21"/>
      <c r="E101" s="21"/>
      <c r="F101" s="21"/>
      <c r="G101" s="21"/>
      <c r="H101" s="32"/>
      <c r="I101" s="33" t="str">
        <f aca="false">IF(ISNUMBER(B101),B101+1,"")</f>
        <v/>
      </c>
      <c r="J101" s="21"/>
      <c r="K101" s="31"/>
      <c r="L101" s="9" t="str">
        <f aca="true">IF(B101="","",IF(G101="No","Sin datos: documenta y analiza",IF(J101="Presentado",IF(AND(ISNUMBER(K101),K101&gt;I101),"Presentado fuera de plazo","Presentado"),IF(J101="Descartado con análisis","Descartado",IF(J101="Registro interno (formato pendiente)","Registro interno",IF(NOW()&gt;I101,"VENCIDO","Faltan "&amp;ROUND((I101-NOW())*24,0)&amp;" horas"))))))</f>
        <v/>
      </c>
    </row>
    <row r="102" customFormat="false" ht="15" hidden="false" customHeight="false" outlineLevel="0" collapsed="false">
      <c r="A102" s="9" t="str">
        <f aca="false">IF(B102="","",ROW()-5)</f>
        <v/>
      </c>
      <c r="B102" s="31"/>
      <c r="C102" s="21"/>
      <c r="D102" s="21"/>
      <c r="E102" s="21"/>
      <c r="F102" s="21"/>
      <c r="G102" s="21"/>
      <c r="H102" s="32"/>
      <c r="I102" s="33" t="str">
        <f aca="false">IF(ISNUMBER(B102),B102+1,"")</f>
        <v/>
      </c>
      <c r="J102" s="21"/>
      <c r="K102" s="31"/>
      <c r="L102" s="9" t="str">
        <f aca="true">IF(B102="","",IF(G102="No","Sin datos: documenta y analiza",IF(J102="Presentado",IF(AND(ISNUMBER(K102),K102&gt;I102),"Presentado fuera de plazo","Presentado"),IF(J102="Descartado con análisis","Descartado",IF(J102="Registro interno (formato pendiente)","Registro interno",IF(NOW()&gt;I102,"VENCIDO","Faltan "&amp;ROUND((I102-NOW())*24,0)&amp;" horas"))))))</f>
        <v/>
      </c>
    </row>
    <row r="103" customFormat="false" ht="15" hidden="false" customHeight="false" outlineLevel="0" collapsed="false">
      <c r="A103" s="9" t="str">
        <f aca="false">IF(B103="","",ROW()-5)</f>
        <v/>
      </c>
      <c r="B103" s="31"/>
      <c r="C103" s="21"/>
      <c r="D103" s="21"/>
      <c r="E103" s="21"/>
      <c r="F103" s="21"/>
      <c r="G103" s="21"/>
      <c r="H103" s="32"/>
      <c r="I103" s="33" t="str">
        <f aca="false">IF(ISNUMBER(B103),B103+1,"")</f>
        <v/>
      </c>
      <c r="J103" s="21"/>
      <c r="K103" s="31"/>
      <c r="L103" s="9" t="str">
        <f aca="true">IF(B103="","",IF(G103="No","Sin datos: documenta y analiza",IF(J103="Presentado",IF(AND(ISNUMBER(K103),K103&gt;I103),"Presentado fuera de plazo","Presentado"),IF(J103="Descartado con análisis","Descartado",IF(J103="Registro interno (formato pendiente)","Registro interno",IF(NOW()&gt;I103,"VENCIDO","Faltan "&amp;ROUND((I103-NOW())*24,0)&amp;" horas"))))))</f>
        <v/>
      </c>
    </row>
    <row r="104" customFormat="false" ht="15" hidden="false" customHeight="false" outlineLevel="0" collapsed="false">
      <c r="A104" s="9" t="str">
        <f aca="false">IF(B104="","",ROW()-5)</f>
        <v/>
      </c>
      <c r="B104" s="31"/>
      <c r="C104" s="21"/>
      <c r="D104" s="21"/>
      <c r="E104" s="21"/>
      <c r="F104" s="21"/>
      <c r="G104" s="21"/>
      <c r="H104" s="32"/>
      <c r="I104" s="33" t="str">
        <f aca="false">IF(ISNUMBER(B104),B104+1,"")</f>
        <v/>
      </c>
      <c r="J104" s="21"/>
      <c r="K104" s="31"/>
      <c r="L104" s="9" t="str">
        <f aca="true">IF(B104="","",IF(G104="No","Sin datos: documenta y analiza",IF(J104="Presentado",IF(AND(ISNUMBER(K104),K104&gt;I104),"Presentado fuera de plazo","Presentado"),IF(J104="Descartado con análisis","Descartado",IF(J104="Registro interno (formato pendiente)","Registro interno",IF(NOW()&gt;I104,"VENCIDO","Faltan "&amp;ROUND((I104-NOW())*24,0)&amp;" horas"))))))</f>
        <v/>
      </c>
    </row>
    <row r="105" customFormat="false" ht="15" hidden="false" customHeight="false" outlineLevel="0" collapsed="false">
      <c r="A105" s="9" t="str">
        <f aca="false">IF(B105="","",ROW()-5)</f>
        <v/>
      </c>
      <c r="B105" s="31"/>
      <c r="C105" s="21"/>
      <c r="D105" s="21"/>
      <c r="E105" s="21"/>
      <c r="F105" s="21"/>
      <c r="G105" s="21"/>
      <c r="H105" s="32"/>
      <c r="I105" s="33" t="str">
        <f aca="false">IF(ISNUMBER(B105),B105+1,"")</f>
        <v/>
      </c>
      <c r="J105" s="21"/>
      <c r="K105" s="31"/>
      <c r="L105" s="9" t="str">
        <f aca="true">IF(B105="","",IF(G105="No","Sin datos: documenta y analiza",IF(J105="Presentado",IF(AND(ISNUMBER(K105),K105&gt;I105),"Presentado fuera de plazo","Presentado"),IF(J105="Descartado con análisis","Descartado",IF(J105="Registro interno (formato pendiente)","Registro interno",IF(NOW()&gt;I105,"VENCIDO","Faltan "&amp;ROUND((I105-NOW())*24,0)&amp;" horas"))))))</f>
        <v/>
      </c>
    </row>
  </sheetData>
  <mergeCells count="2">
    <mergeCell ref="A1:L1"/>
    <mergeCell ref="A2:L2"/>
  </mergeCells>
  <conditionalFormatting sqref="L6:L105">
    <cfRule type="cellIs" priority="2" operator="equal" aboveAverage="0" equalAverage="0" bottom="0" percent="0" rank="0" text="" dxfId="8">
      <formula>"VENCIDO"</formula>
    </cfRule>
    <cfRule type="expression" priority="3" aboveAverage="0" equalAverage="0" bottom="0" percent="0" rank="0" text="" dxfId="9">
      <formula>LEFT(L6,6)="Faltan"</formula>
    </cfRule>
    <cfRule type="cellIs" priority="4" operator="equal" aboveAverage="0" equalAverage="0" bottom="0" percent="0" rank="0" text="" dxfId="9">
      <formula>"Presentado fuera de plazo"</formula>
    </cfRule>
  </conditionalFormatting>
  <dataValidations count="4">
    <dataValidation allowBlank="true" error="Elige un valor de la lista." errorStyle="stop" errorTitle="Valor no válido" operator="between" showDropDown="false" showErrorMessage="true" showInputMessage="false" sqref="D6:D105" type="list">
      <formula1>CLIENTES!$A$6:$A$305</formula1>
      <formula2>0</formula2>
    </dataValidation>
    <dataValidation allowBlank="true" error="Elige un valor de la lista." errorStyle="stop" errorTitle="Valor no válido" operator="between" showDropDown="false" showErrorMessage="true" showInputMessage="false" sqref="E6:E105" type="list">
      <formula1>"Sospecha (RCG 26 Bis),Hechos o indicios (RCG 26 Bis 1),Intento no concretado (RCG 26 Bis 2)"</formula1>
      <formula2>0</formula2>
    </dataValidation>
    <dataValidation allowBlank="true" error="Elige un valor de la lista." errorStyle="stop" errorTitle="Valor no válido" operator="between" showDropDown="false" showErrorMessage="true" showInputMessage="false" sqref="F6:G105" type="list">
      <formula1>"Sí,No"</formula1>
      <formula2>0</formula2>
    </dataValidation>
    <dataValidation allowBlank="true" error="Elige un valor de la lista." errorStyle="stop" errorTitle="Valor no válido" operator="between" showDropDown="false" showErrorMessage="true" showInputMessage="false" sqref="J6:J105" type="list">
      <formula1>"Pendiente,Presentado,Registro interno (formato pendiente),Descartado con análisis"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C27B"/>
    <pageSetUpPr fitToPage="tru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7" min="3" style="0" width="12"/>
    <col collapsed="false" customWidth="true" hidden="false" outlineLevel="0" max="8" min="8" style="0" width="18"/>
    <col collapsed="false" customWidth="true" hidden="false" outlineLevel="0" max="9" min="9" style="0" width="12"/>
    <col collapsed="false" customWidth="true" hidden="false" outlineLevel="0" max="10" min="10" style="0" width="18"/>
    <col collapsed="false" customWidth="true" hidden="false" outlineLevel="0" max="11" min="11" style="0" width="16"/>
  </cols>
  <sheetData>
    <row r="1" customFormat="false" ht="27.75" hidden="false" customHeight="true" outlineLevel="0" collapsed="false">
      <c r="A1" s="5" t="s">
        <v>191</v>
      </c>
      <c r="B1" s="5"/>
      <c r="C1" s="5"/>
      <c r="D1" s="5"/>
      <c r="E1" s="5"/>
      <c r="F1" s="5"/>
      <c r="G1" s="5"/>
      <c r="H1" s="5"/>
      <c r="I1" s="5"/>
      <c r="J1" s="5"/>
      <c r="K1" s="5"/>
    </row>
    <row r="2" customFormat="false" ht="42" hidden="false" customHeight="true" outlineLevel="0" collapsed="false">
      <c r="A2" s="6" t="s">
        <v>192</v>
      </c>
      <c r="B2" s="6"/>
      <c r="C2" s="6"/>
      <c r="D2" s="6"/>
      <c r="E2" s="6"/>
      <c r="F2" s="6"/>
      <c r="G2" s="6"/>
      <c r="H2" s="6"/>
      <c r="I2" s="6"/>
      <c r="J2" s="6"/>
      <c r="K2" s="6"/>
    </row>
    <row r="5" customFormat="false" ht="42" hidden="false" customHeight="true" outlineLevel="0" collapsed="false">
      <c r="A5" s="17" t="s">
        <v>193</v>
      </c>
      <c r="B5" s="17" t="s">
        <v>194</v>
      </c>
      <c r="C5" s="17" t="s">
        <v>195</v>
      </c>
      <c r="D5" s="17" t="s">
        <v>196</v>
      </c>
      <c r="E5" s="17" t="s">
        <v>197</v>
      </c>
      <c r="F5" s="17" t="s">
        <v>198</v>
      </c>
      <c r="G5" s="17" t="s">
        <v>199</v>
      </c>
      <c r="H5" s="17" t="s">
        <v>200</v>
      </c>
      <c r="I5" s="17" t="s">
        <v>201</v>
      </c>
      <c r="J5" s="17" t="s">
        <v>202</v>
      </c>
      <c r="K5" s="17" t="s">
        <v>169</v>
      </c>
    </row>
    <row r="6" customFormat="false" ht="15" hidden="false" customHeight="false" outlineLevel="0" collapsed="false">
      <c r="A6" s="25" t="s">
        <v>203</v>
      </c>
      <c r="B6" s="23" t="n">
        <f aca="false">DATE(CONFIG!$B$10,1,1)</f>
        <v>46023</v>
      </c>
      <c r="C6" s="9" t="n">
        <f aca="false">COUNTIFS(OPERACIONES!$B$6:$B$505,"&gt;="&amp;B6,OPERACIONES!$B$6:$B$505,"&lt;"&amp;EDATE(B6,1))</f>
        <v>0</v>
      </c>
      <c r="D6" s="9" t="n">
        <f aca="false">COUNTIFS(OPERACIONES!$B$6:$B$505,"&gt;="&amp;B6,OPERACIONES!$B$6:$B$505,"&lt;"&amp;EDATE(B6,1),OPERACIONES!$P$6:$P$505,"AVISO*")</f>
        <v>0</v>
      </c>
      <c r="E6" s="9" t="n">
        <f aca="false">COUNTIFS(OPERACIONES!$B$6:$B$505,"&gt;="&amp;B6,OPERACIONES!$B$6:$B$505,"&lt;"&amp;EDATE(B6,1),OPERACIONES!$P$6:$P$505,"AVISO*",OPERACIONES!$T$6:$T$505,"Presentado")</f>
        <v>0</v>
      </c>
      <c r="F6" s="9" t="n">
        <f aca="false">D6-E6</f>
        <v>0</v>
      </c>
      <c r="G6" s="9" t="n">
        <f aca="false">COUNTIFS(AVISOS_24H!$B$6:$B$105,"&gt;="&amp;B6,AVISOS_24H!$B$6:$B$105,"&lt;"&amp;EDATE(B6,1))</f>
        <v>0</v>
      </c>
      <c r="H6" s="9" t="str">
        <f aca="false">IF(D6=0,"Sí (RCG 25)","No: presentar Avisos")</f>
        <v>Sí (RCG 25)</v>
      </c>
      <c r="I6" s="23" t="n">
        <f aca="false">DATE(CONFIG!$B$10,2,17)</f>
        <v>46070</v>
      </c>
      <c r="J6" s="21"/>
      <c r="K6" s="25" t="str">
        <f aca="false">IF(AND(ISNUMBER(CONFIG!$B$11),EDATE(B6,1)&lt;=DATE(YEAR(CONFIG!$B$11),MONTH(CONFIG!$B$11),1)),"Antes del inicio",IF(IF(D6&gt;0,F6=0,J6="Presentado"),"Cumplido",IF(CONFIG!$B$6&gt;I6,"VENCIDO",IF(CONFIG!$B$6&gt;=B6,"En curso","Próximo"))))</f>
        <v>VENCIDO</v>
      </c>
    </row>
    <row r="7" customFormat="false" ht="15" hidden="false" customHeight="false" outlineLevel="0" collapsed="false">
      <c r="A7" s="25" t="s">
        <v>204</v>
      </c>
      <c r="B7" s="23" t="n">
        <f aca="false">DATE(CONFIG!$B$10,2,1)</f>
        <v>46054</v>
      </c>
      <c r="C7" s="9" t="n">
        <f aca="false">COUNTIFS(OPERACIONES!$B$6:$B$505,"&gt;="&amp;B7,OPERACIONES!$B$6:$B$505,"&lt;"&amp;EDATE(B7,1))</f>
        <v>0</v>
      </c>
      <c r="D7" s="9" t="n">
        <f aca="false">COUNTIFS(OPERACIONES!$B$6:$B$505,"&gt;="&amp;B7,OPERACIONES!$B$6:$B$505,"&lt;"&amp;EDATE(B7,1),OPERACIONES!$P$6:$P$505,"AVISO*")</f>
        <v>0</v>
      </c>
      <c r="E7" s="9" t="n">
        <f aca="false">COUNTIFS(OPERACIONES!$B$6:$B$505,"&gt;="&amp;B7,OPERACIONES!$B$6:$B$505,"&lt;"&amp;EDATE(B7,1),OPERACIONES!$P$6:$P$505,"AVISO*",OPERACIONES!$T$6:$T$505,"Presentado")</f>
        <v>0</v>
      </c>
      <c r="F7" s="9" t="n">
        <f aca="false">D7-E7</f>
        <v>0</v>
      </c>
      <c r="G7" s="9" t="n">
        <f aca="false">COUNTIFS(AVISOS_24H!$B$6:$B$105,"&gt;="&amp;B7,AVISOS_24H!$B$6:$B$105,"&lt;"&amp;EDATE(B7,1))</f>
        <v>0</v>
      </c>
      <c r="H7" s="9" t="str">
        <f aca="false">IF(D7=0,"Sí (RCG 25)","No: presentar Avisos")</f>
        <v>Sí (RCG 25)</v>
      </c>
      <c r="I7" s="23" t="n">
        <f aca="false">DATE(CONFIG!$B$10,3,17)</f>
        <v>46098</v>
      </c>
      <c r="J7" s="21"/>
      <c r="K7" s="25" t="str">
        <f aca="false">IF(AND(ISNUMBER(CONFIG!$B$11),EDATE(B7,1)&lt;=DATE(YEAR(CONFIG!$B$11),MONTH(CONFIG!$B$11),1)),"Antes del inicio",IF(IF(D7&gt;0,F7=0,J7="Presentado"),"Cumplido",IF(CONFIG!$B$6&gt;I7,"VENCIDO",IF(CONFIG!$B$6&gt;=B7,"En curso","Próximo"))))</f>
        <v>VENCIDO</v>
      </c>
    </row>
    <row r="8" customFormat="false" ht="15" hidden="false" customHeight="false" outlineLevel="0" collapsed="false">
      <c r="A8" s="25" t="s">
        <v>205</v>
      </c>
      <c r="B8" s="23" t="n">
        <f aca="false">DATE(CONFIG!$B$10,3,1)</f>
        <v>46082</v>
      </c>
      <c r="C8" s="9" t="n">
        <f aca="false">COUNTIFS(OPERACIONES!$B$6:$B$505,"&gt;="&amp;B8,OPERACIONES!$B$6:$B$505,"&lt;"&amp;EDATE(B8,1))</f>
        <v>1</v>
      </c>
      <c r="D8" s="9" t="n">
        <f aca="false">COUNTIFS(OPERACIONES!$B$6:$B$505,"&gt;="&amp;B8,OPERACIONES!$B$6:$B$505,"&lt;"&amp;EDATE(B8,1),OPERACIONES!$P$6:$P$505,"AVISO*")</f>
        <v>0</v>
      </c>
      <c r="E8" s="9" t="n">
        <f aca="false">COUNTIFS(OPERACIONES!$B$6:$B$505,"&gt;="&amp;B8,OPERACIONES!$B$6:$B$505,"&lt;"&amp;EDATE(B8,1),OPERACIONES!$P$6:$P$505,"AVISO*",OPERACIONES!$T$6:$T$505,"Presentado")</f>
        <v>0</v>
      </c>
      <c r="F8" s="9" t="n">
        <f aca="false">D8-E8</f>
        <v>0</v>
      </c>
      <c r="G8" s="9" t="n">
        <f aca="false">COUNTIFS(AVISOS_24H!$B$6:$B$105,"&gt;="&amp;B8,AVISOS_24H!$B$6:$B$105,"&lt;"&amp;EDATE(B8,1))</f>
        <v>0</v>
      </c>
      <c r="H8" s="9" t="str">
        <f aca="false">IF(D8=0,"Sí (RCG 25)","No: presentar Avisos")</f>
        <v>Sí (RCG 25)</v>
      </c>
      <c r="I8" s="23" t="n">
        <f aca="false">DATE(CONFIG!$B$10,4,17)</f>
        <v>46129</v>
      </c>
      <c r="J8" s="21"/>
      <c r="K8" s="25" t="str">
        <f aca="false">IF(AND(ISNUMBER(CONFIG!$B$11),EDATE(B8,1)&lt;=DATE(YEAR(CONFIG!$B$11),MONTH(CONFIG!$B$11),1)),"Antes del inicio",IF(IF(D8&gt;0,F8=0,J8="Presentado"),"Cumplido",IF(CONFIG!$B$6&gt;I8,"VENCIDO",IF(CONFIG!$B$6&gt;=B8,"En curso","Próximo"))))</f>
        <v>VENCIDO</v>
      </c>
    </row>
    <row r="9" customFormat="false" ht="15" hidden="false" customHeight="false" outlineLevel="0" collapsed="false">
      <c r="A9" s="25" t="s">
        <v>206</v>
      </c>
      <c r="B9" s="23" t="n">
        <f aca="false">DATE(CONFIG!$B$10,4,1)</f>
        <v>46113</v>
      </c>
      <c r="C9" s="9" t="n">
        <f aca="false">COUNTIFS(OPERACIONES!$B$6:$B$505,"&gt;="&amp;B9,OPERACIONES!$B$6:$B$505,"&lt;"&amp;EDATE(B9,1))</f>
        <v>0</v>
      </c>
      <c r="D9" s="9" t="n">
        <f aca="false">COUNTIFS(OPERACIONES!$B$6:$B$505,"&gt;="&amp;B9,OPERACIONES!$B$6:$B$505,"&lt;"&amp;EDATE(B9,1),OPERACIONES!$P$6:$P$505,"AVISO*")</f>
        <v>0</v>
      </c>
      <c r="E9" s="9" t="n">
        <f aca="false">COUNTIFS(OPERACIONES!$B$6:$B$505,"&gt;="&amp;B9,OPERACIONES!$B$6:$B$505,"&lt;"&amp;EDATE(B9,1),OPERACIONES!$P$6:$P$505,"AVISO*",OPERACIONES!$T$6:$T$505,"Presentado")</f>
        <v>0</v>
      </c>
      <c r="F9" s="9" t="n">
        <f aca="false">D9-E9</f>
        <v>0</v>
      </c>
      <c r="G9" s="9" t="n">
        <f aca="false">COUNTIFS(AVISOS_24H!$B$6:$B$105,"&gt;="&amp;B9,AVISOS_24H!$B$6:$B$105,"&lt;"&amp;EDATE(B9,1))</f>
        <v>0</v>
      </c>
      <c r="H9" s="9" t="str">
        <f aca="false">IF(D9=0,"Sí (RCG 25)","No: presentar Avisos")</f>
        <v>Sí (RCG 25)</v>
      </c>
      <c r="I9" s="23" t="n">
        <f aca="false">DATE(CONFIG!$B$10,5,17)</f>
        <v>46159</v>
      </c>
      <c r="J9" s="21"/>
      <c r="K9" s="25" t="str">
        <f aca="false">IF(AND(ISNUMBER(CONFIG!$B$11),EDATE(B9,1)&lt;=DATE(YEAR(CONFIG!$B$11),MONTH(CONFIG!$B$11),1)),"Antes del inicio",IF(IF(D9&gt;0,F9=0,J9="Presentado"),"Cumplido",IF(CONFIG!$B$6&gt;I9,"VENCIDO",IF(CONFIG!$B$6&gt;=B9,"En curso","Próximo"))))</f>
        <v>VENCIDO</v>
      </c>
    </row>
    <row r="10" customFormat="false" ht="15" hidden="false" customHeight="false" outlineLevel="0" collapsed="false">
      <c r="A10" s="25" t="s">
        <v>207</v>
      </c>
      <c r="B10" s="23" t="n">
        <f aca="false">DATE(CONFIG!$B$10,5,1)</f>
        <v>46143</v>
      </c>
      <c r="C10" s="9" t="n">
        <f aca="false">COUNTIFS(OPERACIONES!$B$6:$B$505,"&gt;="&amp;B10,OPERACIONES!$B$6:$B$505,"&lt;"&amp;EDATE(B10,1))</f>
        <v>0</v>
      </c>
      <c r="D10" s="9" t="n">
        <f aca="false">COUNTIFS(OPERACIONES!$B$6:$B$505,"&gt;="&amp;B10,OPERACIONES!$B$6:$B$505,"&lt;"&amp;EDATE(B10,1),OPERACIONES!$P$6:$P$505,"AVISO*")</f>
        <v>0</v>
      </c>
      <c r="E10" s="9" t="n">
        <f aca="false">COUNTIFS(OPERACIONES!$B$6:$B$505,"&gt;="&amp;B10,OPERACIONES!$B$6:$B$505,"&lt;"&amp;EDATE(B10,1),OPERACIONES!$P$6:$P$505,"AVISO*",OPERACIONES!$T$6:$T$505,"Presentado")</f>
        <v>0</v>
      </c>
      <c r="F10" s="9" t="n">
        <f aca="false">D10-E10</f>
        <v>0</v>
      </c>
      <c r="G10" s="9" t="n">
        <f aca="false">COUNTIFS(AVISOS_24H!$B$6:$B$105,"&gt;="&amp;B10,AVISOS_24H!$B$6:$B$105,"&lt;"&amp;EDATE(B10,1))</f>
        <v>0</v>
      </c>
      <c r="H10" s="9" t="str">
        <f aca="false">IF(D10=0,"Sí (RCG 25)","No: presentar Avisos")</f>
        <v>Sí (RCG 25)</v>
      </c>
      <c r="I10" s="23" t="n">
        <f aca="false">DATE(CONFIG!$B$10,6,17)</f>
        <v>46190</v>
      </c>
      <c r="J10" s="21"/>
      <c r="K10" s="25" t="str">
        <f aca="false">IF(AND(ISNUMBER(CONFIG!$B$11),EDATE(B10,1)&lt;=DATE(YEAR(CONFIG!$B$11),MONTH(CONFIG!$B$11),1)),"Antes del inicio",IF(IF(D10&gt;0,F10=0,J10="Presentado"),"Cumplido",IF(CONFIG!$B$6&gt;I10,"VENCIDO",IF(CONFIG!$B$6&gt;=B10,"En curso","Próximo"))))</f>
        <v>VENCIDO</v>
      </c>
    </row>
    <row r="11" customFormat="false" ht="15" hidden="false" customHeight="false" outlineLevel="0" collapsed="false">
      <c r="A11" s="25" t="s">
        <v>208</v>
      </c>
      <c r="B11" s="23" t="n">
        <f aca="false">DATE(CONFIG!$B$10,6,1)</f>
        <v>46174</v>
      </c>
      <c r="C11" s="9" t="n">
        <f aca="false">COUNTIFS(OPERACIONES!$B$6:$B$505,"&gt;="&amp;B11,OPERACIONES!$B$6:$B$505,"&lt;"&amp;EDATE(B11,1))</f>
        <v>0</v>
      </c>
      <c r="D11" s="9" t="n">
        <f aca="false">COUNTIFS(OPERACIONES!$B$6:$B$505,"&gt;="&amp;B11,OPERACIONES!$B$6:$B$505,"&lt;"&amp;EDATE(B11,1),OPERACIONES!$P$6:$P$505,"AVISO*")</f>
        <v>0</v>
      </c>
      <c r="E11" s="9" t="n">
        <f aca="false">COUNTIFS(OPERACIONES!$B$6:$B$505,"&gt;="&amp;B11,OPERACIONES!$B$6:$B$505,"&lt;"&amp;EDATE(B11,1),OPERACIONES!$P$6:$P$505,"AVISO*",OPERACIONES!$T$6:$T$505,"Presentado")</f>
        <v>0</v>
      </c>
      <c r="F11" s="9" t="n">
        <f aca="false">D11-E11</f>
        <v>0</v>
      </c>
      <c r="G11" s="9" t="n">
        <f aca="false">COUNTIFS(AVISOS_24H!$B$6:$B$105,"&gt;="&amp;B11,AVISOS_24H!$B$6:$B$105,"&lt;"&amp;EDATE(B11,1))</f>
        <v>0</v>
      </c>
      <c r="H11" s="9" t="str">
        <f aca="false">IF(D11=0,"Sí (RCG 25)","No: presentar Avisos")</f>
        <v>Sí (RCG 25)</v>
      </c>
      <c r="I11" s="23" t="n">
        <f aca="false">DATE(CONFIG!$B$10,7,17)</f>
        <v>46220</v>
      </c>
      <c r="J11" s="21"/>
      <c r="K11" s="25" t="str">
        <f aca="false">IF(AND(ISNUMBER(CONFIG!$B$11),EDATE(B11,1)&lt;=DATE(YEAR(CONFIG!$B$11),MONTH(CONFIG!$B$11),1)),"Antes del inicio",IF(IF(D11&gt;0,F11=0,J11="Presentado"),"Cumplido",IF(CONFIG!$B$6&gt;I11,"VENCIDO",IF(CONFIG!$B$6&gt;=B11,"En curso","Próximo"))))</f>
        <v>VENCIDO</v>
      </c>
    </row>
    <row r="12" customFormat="false" ht="15" hidden="false" customHeight="false" outlineLevel="0" collapsed="false">
      <c r="A12" s="25" t="s">
        <v>209</v>
      </c>
      <c r="B12" s="23" t="n">
        <f aca="false">DATE(CONFIG!$B$10,7,1)</f>
        <v>46204</v>
      </c>
      <c r="C12" s="9" t="n">
        <f aca="false">COUNTIFS(OPERACIONES!$B$6:$B$505,"&gt;="&amp;B12,OPERACIONES!$B$6:$B$505,"&lt;"&amp;EDATE(B12,1))</f>
        <v>0</v>
      </c>
      <c r="D12" s="9" t="n">
        <f aca="false">COUNTIFS(OPERACIONES!$B$6:$B$505,"&gt;="&amp;B12,OPERACIONES!$B$6:$B$505,"&lt;"&amp;EDATE(B12,1),OPERACIONES!$P$6:$P$505,"AVISO*")</f>
        <v>0</v>
      </c>
      <c r="E12" s="9" t="n">
        <f aca="false">COUNTIFS(OPERACIONES!$B$6:$B$505,"&gt;="&amp;B12,OPERACIONES!$B$6:$B$505,"&lt;"&amp;EDATE(B12,1),OPERACIONES!$P$6:$P$505,"AVISO*",OPERACIONES!$T$6:$T$505,"Presentado")</f>
        <v>0</v>
      </c>
      <c r="F12" s="9" t="n">
        <f aca="false">D12-E12</f>
        <v>0</v>
      </c>
      <c r="G12" s="9" t="n">
        <f aca="false">COUNTIFS(AVISOS_24H!$B$6:$B$105,"&gt;="&amp;B12,AVISOS_24H!$B$6:$B$105,"&lt;"&amp;EDATE(B12,1))</f>
        <v>0</v>
      </c>
      <c r="H12" s="9" t="str">
        <f aca="false">IF(D12=0,"Sí (RCG 25)","No: presentar Avisos")</f>
        <v>Sí (RCG 25)</v>
      </c>
      <c r="I12" s="23" t="n">
        <f aca="false">DATE(CONFIG!$B$10,8,17)</f>
        <v>46251</v>
      </c>
      <c r="J12" s="21"/>
      <c r="K12" s="25" t="str">
        <f aca="false">IF(AND(ISNUMBER(CONFIG!$B$11),EDATE(B12,1)&lt;=DATE(YEAR(CONFIG!$B$11),MONTH(CONFIG!$B$11),1)),"Antes del inicio",IF(IF(D12&gt;0,F12=0,J12="Presentado"),"Cumplido",IF(CONFIG!$B$6&gt;I12,"VENCIDO",IF(CONFIG!$B$6&gt;=B12,"En curso","Próximo"))))</f>
        <v>VENCIDO</v>
      </c>
    </row>
    <row r="13" customFormat="false" ht="15" hidden="false" customHeight="false" outlineLevel="0" collapsed="false">
      <c r="A13" s="25" t="s">
        <v>210</v>
      </c>
      <c r="B13" s="23" t="n">
        <f aca="false">DATE(CONFIG!$B$10,8,1)</f>
        <v>46235</v>
      </c>
      <c r="C13" s="9" t="n">
        <f aca="false">COUNTIFS(OPERACIONES!$B$6:$B$505,"&gt;="&amp;B13,OPERACIONES!$B$6:$B$505,"&lt;"&amp;EDATE(B13,1))</f>
        <v>0</v>
      </c>
      <c r="D13" s="9" t="n">
        <f aca="false">COUNTIFS(OPERACIONES!$B$6:$B$505,"&gt;="&amp;B13,OPERACIONES!$B$6:$B$505,"&lt;"&amp;EDATE(B13,1),OPERACIONES!$P$6:$P$505,"AVISO*")</f>
        <v>0</v>
      </c>
      <c r="E13" s="9" t="n">
        <f aca="false">COUNTIFS(OPERACIONES!$B$6:$B$505,"&gt;="&amp;B13,OPERACIONES!$B$6:$B$505,"&lt;"&amp;EDATE(B13,1),OPERACIONES!$P$6:$P$505,"AVISO*",OPERACIONES!$T$6:$T$505,"Presentado")</f>
        <v>0</v>
      </c>
      <c r="F13" s="9" t="n">
        <f aca="false">D13-E13</f>
        <v>0</v>
      </c>
      <c r="G13" s="9" t="n">
        <f aca="false">COUNTIFS(AVISOS_24H!$B$6:$B$105,"&gt;="&amp;B13,AVISOS_24H!$B$6:$B$105,"&lt;"&amp;EDATE(B13,1))</f>
        <v>0</v>
      </c>
      <c r="H13" s="9" t="str">
        <f aca="false">IF(D13=0,"Sí (RCG 25)","No: presentar Avisos")</f>
        <v>Sí (RCG 25)</v>
      </c>
      <c r="I13" s="23" t="n">
        <f aca="false">DATE(CONFIG!$B$10,9,17)</f>
        <v>46282</v>
      </c>
      <c r="J13" s="21"/>
      <c r="K13" s="25" t="str">
        <f aca="false">IF(AND(ISNUMBER(CONFIG!$B$11),EDATE(B13,1)&lt;=DATE(YEAR(CONFIG!$B$11),MONTH(CONFIG!$B$11),1)),"Antes del inicio",IF(IF(D13&gt;0,F13=0,J13="Presentado"),"Cumplido",IF(CONFIG!$B$6&gt;I13,"VENCIDO",IF(CONFIG!$B$6&gt;=B13,"En curso","Próximo"))))</f>
        <v>VENCIDO</v>
      </c>
    </row>
    <row r="14" customFormat="false" ht="15" hidden="false" customHeight="false" outlineLevel="0" collapsed="false">
      <c r="A14" s="25" t="s">
        <v>211</v>
      </c>
      <c r="B14" s="23" t="n">
        <f aca="false">DATE(CONFIG!$B$10,9,1)</f>
        <v>46266</v>
      </c>
      <c r="C14" s="9" t="n">
        <f aca="false">COUNTIFS(OPERACIONES!$B$6:$B$505,"&gt;="&amp;B14,OPERACIONES!$B$6:$B$505,"&lt;"&amp;EDATE(B14,1))</f>
        <v>0</v>
      </c>
      <c r="D14" s="9" t="n">
        <f aca="false">COUNTIFS(OPERACIONES!$B$6:$B$505,"&gt;="&amp;B14,OPERACIONES!$B$6:$B$505,"&lt;"&amp;EDATE(B14,1),OPERACIONES!$P$6:$P$505,"AVISO*")</f>
        <v>0</v>
      </c>
      <c r="E14" s="9" t="n">
        <f aca="false">COUNTIFS(OPERACIONES!$B$6:$B$505,"&gt;="&amp;B14,OPERACIONES!$B$6:$B$505,"&lt;"&amp;EDATE(B14,1),OPERACIONES!$P$6:$P$505,"AVISO*",OPERACIONES!$T$6:$T$505,"Presentado")</f>
        <v>0</v>
      </c>
      <c r="F14" s="9" t="n">
        <f aca="false">D14-E14</f>
        <v>0</v>
      </c>
      <c r="G14" s="9" t="n">
        <f aca="false">COUNTIFS(AVISOS_24H!$B$6:$B$105,"&gt;="&amp;B14,AVISOS_24H!$B$6:$B$105,"&lt;"&amp;EDATE(B14,1))</f>
        <v>0</v>
      </c>
      <c r="H14" s="9" t="str">
        <f aca="false">IF(D14=0,"Sí (RCG 25)","No: presentar Avisos")</f>
        <v>Sí (RCG 25)</v>
      </c>
      <c r="I14" s="23" t="n">
        <f aca="false">DATE(CONFIG!$B$10,10,17)</f>
        <v>46312</v>
      </c>
      <c r="J14" s="21"/>
      <c r="K14" s="25" t="str">
        <f aca="false">IF(AND(ISNUMBER(CONFIG!$B$11),EDATE(B14,1)&lt;=DATE(YEAR(CONFIG!$B$11),MONTH(CONFIG!$B$11),1)),"Antes del inicio",IF(IF(D14&gt;0,F14=0,J14="Presentado"),"Cumplido",IF(CONFIG!$B$6&gt;I14,"VENCIDO",IF(CONFIG!$B$6&gt;=B14,"En curso","Próximo"))))</f>
        <v>En curso</v>
      </c>
    </row>
    <row r="15" customFormat="false" ht="15" hidden="false" customHeight="false" outlineLevel="0" collapsed="false">
      <c r="A15" s="25" t="s">
        <v>212</v>
      </c>
      <c r="B15" s="23" t="n">
        <f aca="false">DATE(CONFIG!$B$10,10,1)</f>
        <v>46296</v>
      </c>
      <c r="C15" s="9" t="n">
        <f aca="false">COUNTIFS(OPERACIONES!$B$6:$B$505,"&gt;="&amp;B15,OPERACIONES!$B$6:$B$505,"&lt;"&amp;EDATE(B15,1))</f>
        <v>0</v>
      </c>
      <c r="D15" s="9" t="n">
        <f aca="false">COUNTIFS(OPERACIONES!$B$6:$B$505,"&gt;="&amp;B15,OPERACIONES!$B$6:$B$505,"&lt;"&amp;EDATE(B15,1),OPERACIONES!$P$6:$P$505,"AVISO*")</f>
        <v>0</v>
      </c>
      <c r="E15" s="9" t="n">
        <f aca="false">COUNTIFS(OPERACIONES!$B$6:$B$505,"&gt;="&amp;B15,OPERACIONES!$B$6:$B$505,"&lt;"&amp;EDATE(B15,1),OPERACIONES!$P$6:$P$505,"AVISO*",OPERACIONES!$T$6:$T$505,"Presentado")</f>
        <v>0</v>
      </c>
      <c r="F15" s="9" t="n">
        <f aca="false">D15-E15</f>
        <v>0</v>
      </c>
      <c r="G15" s="9" t="n">
        <f aca="false">COUNTIFS(AVISOS_24H!$B$6:$B$105,"&gt;="&amp;B15,AVISOS_24H!$B$6:$B$105,"&lt;"&amp;EDATE(B15,1))</f>
        <v>0</v>
      </c>
      <c r="H15" s="9" t="str">
        <f aca="false">IF(D15=0,"Sí (RCG 25)","No: presentar Avisos")</f>
        <v>Sí (RCG 25)</v>
      </c>
      <c r="I15" s="23" t="n">
        <f aca="false">DATE(CONFIG!$B$10,11,17)</f>
        <v>46343</v>
      </c>
      <c r="J15" s="21"/>
      <c r="K15" s="25" t="str">
        <f aca="false">IF(AND(ISNUMBER(CONFIG!$B$11),EDATE(B15,1)&lt;=DATE(YEAR(CONFIG!$B$11),MONTH(CONFIG!$B$11),1)),"Antes del inicio",IF(IF(D15&gt;0,F15=0,J15="Presentado"),"Cumplido",IF(CONFIG!$B$6&gt;I15,"VENCIDO",IF(CONFIG!$B$6&gt;=B15,"En curso","Próximo"))))</f>
        <v>Próximo</v>
      </c>
    </row>
    <row r="16" customFormat="false" ht="15" hidden="false" customHeight="false" outlineLevel="0" collapsed="false">
      <c r="A16" s="25" t="s">
        <v>213</v>
      </c>
      <c r="B16" s="23" t="n">
        <f aca="false">DATE(CONFIG!$B$10,11,1)</f>
        <v>46327</v>
      </c>
      <c r="C16" s="9" t="n">
        <f aca="false">COUNTIFS(OPERACIONES!$B$6:$B$505,"&gt;="&amp;B16,OPERACIONES!$B$6:$B$505,"&lt;"&amp;EDATE(B16,1))</f>
        <v>0</v>
      </c>
      <c r="D16" s="9" t="n">
        <f aca="false">COUNTIFS(OPERACIONES!$B$6:$B$505,"&gt;="&amp;B16,OPERACIONES!$B$6:$B$505,"&lt;"&amp;EDATE(B16,1),OPERACIONES!$P$6:$P$505,"AVISO*")</f>
        <v>0</v>
      </c>
      <c r="E16" s="9" t="n">
        <f aca="false">COUNTIFS(OPERACIONES!$B$6:$B$505,"&gt;="&amp;B16,OPERACIONES!$B$6:$B$505,"&lt;"&amp;EDATE(B16,1),OPERACIONES!$P$6:$P$505,"AVISO*",OPERACIONES!$T$6:$T$505,"Presentado")</f>
        <v>0</v>
      </c>
      <c r="F16" s="9" t="n">
        <f aca="false">D16-E16</f>
        <v>0</v>
      </c>
      <c r="G16" s="9" t="n">
        <f aca="false">COUNTIFS(AVISOS_24H!$B$6:$B$105,"&gt;="&amp;B16,AVISOS_24H!$B$6:$B$105,"&lt;"&amp;EDATE(B16,1))</f>
        <v>0</v>
      </c>
      <c r="H16" s="9" t="str">
        <f aca="false">IF(D16=0,"Sí (RCG 25)","No: presentar Avisos")</f>
        <v>Sí (RCG 25)</v>
      </c>
      <c r="I16" s="23" t="n">
        <f aca="false">DATE(CONFIG!$B$10,12,17)</f>
        <v>46373</v>
      </c>
      <c r="J16" s="21"/>
      <c r="K16" s="25" t="str">
        <f aca="false">IF(AND(ISNUMBER(CONFIG!$B$11),EDATE(B16,1)&lt;=DATE(YEAR(CONFIG!$B$11),MONTH(CONFIG!$B$11),1)),"Antes del inicio",IF(IF(D16&gt;0,F16=0,J16="Presentado"),"Cumplido",IF(CONFIG!$B$6&gt;I16,"VENCIDO",IF(CONFIG!$B$6&gt;=B16,"En curso","Próximo"))))</f>
        <v>Próximo</v>
      </c>
    </row>
    <row r="17" customFormat="false" ht="15" hidden="false" customHeight="false" outlineLevel="0" collapsed="false">
      <c r="A17" s="25" t="s">
        <v>214</v>
      </c>
      <c r="B17" s="23" t="n">
        <f aca="false">DATE(CONFIG!$B$10,12,1)</f>
        <v>46357</v>
      </c>
      <c r="C17" s="9" t="n">
        <f aca="false">COUNTIFS(OPERACIONES!$B$6:$B$505,"&gt;="&amp;B17,OPERACIONES!$B$6:$B$505,"&lt;"&amp;EDATE(B17,1))</f>
        <v>0</v>
      </c>
      <c r="D17" s="9" t="n">
        <f aca="false">COUNTIFS(OPERACIONES!$B$6:$B$505,"&gt;="&amp;B17,OPERACIONES!$B$6:$B$505,"&lt;"&amp;EDATE(B17,1),OPERACIONES!$P$6:$P$505,"AVISO*")</f>
        <v>0</v>
      </c>
      <c r="E17" s="9" t="n">
        <f aca="false">COUNTIFS(OPERACIONES!$B$6:$B$505,"&gt;="&amp;B17,OPERACIONES!$B$6:$B$505,"&lt;"&amp;EDATE(B17,1),OPERACIONES!$P$6:$P$505,"AVISO*",OPERACIONES!$T$6:$T$505,"Presentado")</f>
        <v>0</v>
      </c>
      <c r="F17" s="9" t="n">
        <f aca="false">D17-E17</f>
        <v>0</v>
      </c>
      <c r="G17" s="9" t="n">
        <f aca="false">COUNTIFS(AVISOS_24H!$B$6:$B$105,"&gt;="&amp;B17,AVISOS_24H!$B$6:$B$105,"&lt;"&amp;EDATE(B17,1))</f>
        <v>0</v>
      </c>
      <c r="H17" s="9" t="str">
        <f aca="false">IF(D17=0,"Sí (RCG 25)","No: presentar Avisos")</f>
        <v>Sí (RCG 25)</v>
      </c>
      <c r="I17" s="23" t="n">
        <f aca="false">DATE(CONFIG!$B$10,13,17)</f>
        <v>46404</v>
      </c>
      <c r="J17" s="21"/>
      <c r="K17" s="25" t="str">
        <f aca="false">IF(AND(ISNUMBER(CONFIG!$B$11),EDATE(B17,1)&lt;=DATE(YEAR(CONFIG!$B$11),MONTH(CONFIG!$B$11),1)),"Antes del inicio",IF(IF(D17&gt;0,F17=0,J17="Presentado"),"Cumplido",IF(CONFIG!$B$6&gt;I17,"VENCIDO",IF(CONFIG!$B$6&gt;=B17,"En curso","Próximo"))))</f>
        <v>Próximo</v>
      </c>
    </row>
    <row r="19" customFormat="false" ht="30" hidden="false" customHeight="true" outlineLevel="0" collapsed="false">
      <c r="A19" s="34" t="s">
        <v>215</v>
      </c>
      <c r="B19" s="34"/>
      <c r="C19" s="34"/>
      <c r="D19" s="34"/>
      <c r="E19" s="34"/>
      <c r="F19" s="34"/>
      <c r="G19" s="34"/>
      <c r="H19" s="34"/>
      <c r="I19" s="34"/>
      <c r="J19" s="34"/>
      <c r="K19" s="34"/>
    </row>
  </sheetData>
  <mergeCells count="3">
    <mergeCell ref="A1:K1"/>
    <mergeCell ref="A2:K2"/>
    <mergeCell ref="A19:K19"/>
  </mergeCells>
  <conditionalFormatting sqref="K6:K17">
    <cfRule type="cellIs" priority="2" operator="equal" aboveAverage="0" equalAverage="0" bottom="0" percent="0" rank="0" text="" dxfId="8">
      <formula>"VENCIDO"</formula>
    </cfRule>
    <cfRule type="cellIs" priority="3" operator="equal" aboveAverage="0" equalAverage="0" bottom="0" percent="0" rank="0" text="" dxfId="12">
      <formula>"Cumplido"</formula>
    </cfRule>
    <cfRule type="cellIs" priority="4" operator="equal" aboveAverage="0" equalAverage="0" bottom="0" percent="0" rank="0" text="" dxfId="9">
      <formula>"En curso"</formula>
    </cfRule>
  </conditionalFormatting>
  <dataValidations count="1">
    <dataValidation allowBlank="true" error="Elige un valor de la lista." errorStyle="stop" errorTitle="Valor no válido" operator="between" showDropDown="false" showErrorMessage="true" showInputMessage="false" sqref="J6:J17" type="list">
      <formula1>"Pendiente,Presentado"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D895"/>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18"/>
    <col collapsed="false" customWidth="true" hidden="false" outlineLevel="0" max="4" min="4" style="0" width="60"/>
  </cols>
  <sheetData>
    <row r="1" customFormat="false" ht="27.75" hidden="false" customHeight="true" outlineLevel="0" collapsed="false">
      <c r="A1" s="5" t="s">
        <v>216</v>
      </c>
      <c r="B1" s="5"/>
      <c r="C1" s="5"/>
      <c r="D1" s="5"/>
    </row>
    <row r="2" customFormat="false" ht="42" hidden="false" customHeight="true" outlineLevel="0" collapsed="false">
      <c r="A2" s="6" t="s">
        <v>217</v>
      </c>
      <c r="B2" s="6"/>
      <c r="C2" s="6"/>
      <c r="D2" s="6"/>
    </row>
    <row r="4" customFormat="false" ht="15" hidden="false" customHeight="false" outlineLevel="0" collapsed="false">
      <c r="A4" s="35" t="s">
        <v>218</v>
      </c>
      <c r="B4" s="21" t="s">
        <v>219</v>
      </c>
    </row>
    <row r="5" customFormat="false" ht="15" hidden="false" customHeight="false" outlineLevel="0" collapsed="false">
      <c r="A5" s="35" t="s">
        <v>90</v>
      </c>
      <c r="B5" s="22" t="n">
        <v>400000</v>
      </c>
    </row>
    <row r="6" customFormat="false" ht="15" hidden="false" customHeight="false" outlineLevel="0" collapsed="false">
      <c r="A6" s="35" t="s">
        <v>91</v>
      </c>
      <c r="B6" s="22" t="n">
        <v>0</v>
      </c>
    </row>
    <row r="8" customFormat="false" ht="15" hidden="false" customHeight="false" outlineLevel="0" collapsed="false">
      <c r="A8" s="35" t="s">
        <v>220</v>
      </c>
      <c r="B8" s="36" t="str">
        <f aca="false">IFERROR(INDEX(CATÁLOGO!$A$5:$A$39,MATCH($B$4,CATÁLOGO!$C$5:$C$39,0)),"")</f>
        <v>VIII</v>
      </c>
    </row>
    <row r="9" customFormat="false" ht="15" hidden="false" customHeight="false" outlineLevel="0" collapsed="false">
      <c r="A9" s="35" t="s">
        <v>221</v>
      </c>
      <c r="B9" s="37" t="n">
        <f aca="false">IFERROR(IF(ISNUMBER(INDEX(CATÁLOGO!$H$5:$H$39,MATCH($B$4,CATÁLOGO!$C$5:$C$39,0))),INDEX(CATÁLOGO!$H$5:$H$39,MATCH($B$4,CATÁLOGO!$C$5:$C$39,0)),INDEX(CATÁLOGO!$E$5:$E$39,MATCH($B$4,CATÁLOGO!$C$5:$C$39,0))),"")</f>
        <v>376565.1</v>
      </c>
    </row>
    <row r="10" customFormat="false" ht="15" hidden="false" customHeight="false" outlineLevel="0" collapsed="false">
      <c r="A10" s="35" t="s">
        <v>222</v>
      </c>
      <c r="B10" s="37" t="n">
        <f aca="false">IFERROR(IF(ISNUMBER(INDEX(CATÁLOGO!$I$5:$I$39,MATCH($B$4,CATÁLOGO!$C$5:$C$39,0))),INDEX(CATÁLOGO!$I$5:$I$39,MATCH($B$4,CATÁLOGO!$C$5:$C$39,0)),INDEX(CATÁLOGO!$F$5:$F$39,MATCH($B$4,CATÁLOGO!$C$5:$C$39,0))),"")</f>
        <v>753130.2</v>
      </c>
    </row>
    <row r="11" customFormat="false" ht="15" hidden="false" customHeight="false" outlineLevel="0" collapsed="false">
      <c r="A11" s="35" t="s">
        <v>223</v>
      </c>
      <c r="B11" s="37" t="n">
        <f aca="false">IFERROR(IF(ISNUMBER(INDEX(CATÁLOGO!$J$5:$J$39,MATCH($B$4,CATÁLOGO!$C$5:$C$39,0))),INDEX(CATÁLOGO!$J$5:$J$39,MATCH($B$4,CATÁLOGO!$C$5:$C$39,0)),"No aplica"),"")</f>
        <v>376565.1</v>
      </c>
    </row>
    <row r="12" customFormat="false" ht="15" hidden="false" customHeight="false" outlineLevel="0" collapsed="false">
      <c r="A12" s="35" t="s">
        <v>96</v>
      </c>
      <c r="B12" s="36" t="str">
        <f aca="false">IF(B9="Siempre","SÍ (siempre)",IF(ISNUMBER(B9),IF(B5&gt;=B9,"SÍ","No"),""))</f>
        <v>SÍ</v>
      </c>
    </row>
    <row r="13" customFormat="false" ht="15" hidden="false" customHeight="false" outlineLevel="0" collapsed="false">
      <c r="A13" s="35" t="s">
        <v>224</v>
      </c>
      <c r="B13" s="36" t="str">
        <f aca="false">IF(B10="Siempre","SÍ (siempre)",IF(B10="No aplica","No: sólo hay Aviso si ejecutas la operación en nombre del cliente",IF(ISNUMBER(B10),IF(B5&gt;=B10,IF(LEFT(B8,3)="XIV","SÍ, vía pedimento (R 16)","SÍ"),"No, pero revisa la acumulación"),"")))</f>
        <v>No, pero revisa la acumulación</v>
      </c>
    </row>
    <row r="14" customFormat="false" ht="15" hidden="false" customHeight="false" outlineLevel="0" collapsed="false">
      <c r="A14" s="35" t="s">
        <v>225</v>
      </c>
      <c r="B14" s="36" t="str">
        <f aca="false">IFERROR(IF(INDEX(CATÁLOGO!$D$5:$D$39,MATCH($B$4,CATÁLOGO!$C$5:$C$39,0))="ACUMULA","Sí: regístrala en OPERACIONES para ver si con otras alcanza el umbral","No: se evalúa sola (RCG 19)"),"")</f>
        <v>Sí: regístrala en OPERACIONES para ver si con otras alcanza el umbral</v>
      </c>
      <c r="C14" s="36"/>
      <c r="D14" s="36"/>
    </row>
    <row r="15" customFormat="false" ht="15" hidden="false" customHeight="false" outlineLevel="0" collapsed="false">
      <c r="A15" s="35" t="s">
        <v>226</v>
      </c>
      <c r="B15" s="36" t="str">
        <f aca="false">IF(OR(B6="",B6=0),"",IF(ISNUMBER(B11),IF(B6&gt;=B11,"NO: prohibido por el Art. 32","Sí, dentro del límite"),"No hay límite del Art. 32 para esta actividad"))</f>
        <v/>
      </c>
      <c r="C15" s="36"/>
      <c r="D15" s="36"/>
    </row>
    <row r="16" customFormat="false" ht="42" hidden="false" customHeight="true" outlineLevel="0" collapsed="false">
      <c r="A16" s="35" t="s">
        <v>227</v>
      </c>
      <c r="B16" s="26" t="str">
        <f aca="false">IFERROR(INDEX(CATÁLOGO!$L$5:$L$39,MATCH($B$4,CATÁLOGO!$C$5:$C$39,0)),"")</f>
        <v>Venta de vehículos de lujo o coleccionables, pagos en efectivo, operaciones múltiples en corto plazo.</v>
      </c>
      <c r="C16" s="26"/>
      <c r="D16" s="26"/>
    </row>
    <row r="17" customFormat="false" ht="42" hidden="false" customHeight="true" outlineLevel="0" collapsed="false">
      <c r="A17" s="35" t="s">
        <v>228</v>
      </c>
      <c r="B17" s="26" t="str">
        <f aca="false">IFERROR(INDEX(CATÁLOGO!$M$5:$M$39,MATCH($B$4,CATÁLOGO!$C$5:$C$39,0)),"")</f>
        <v>Venta de vehículos de gama media con esquemas de financiamiento parcial.</v>
      </c>
      <c r="C17" s="26"/>
      <c r="D17" s="26"/>
    </row>
    <row r="18" customFormat="false" ht="42" hidden="false" customHeight="true" outlineLevel="0" collapsed="false">
      <c r="A18" s="35" t="s">
        <v>229</v>
      </c>
      <c r="B18" s="26" t="str">
        <f aca="false">IFERROR(INDEX(CATÁLOGO!$N$5:$N$39,MATCH($B$4,CATÁLOGO!$C$5:$C$39,0)),"")</f>
        <v>Venta de vehículos económicos a través de agencias con pagos bancarios y crédito formal.</v>
      </c>
      <c r="C18" s="26"/>
      <c r="D18" s="26"/>
    </row>
    <row r="19" customFormat="false" ht="42" hidden="false" customHeight="true" outlineLevel="0" collapsed="false">
      <c r="A19" s="35" t="s">
        <v>230</v>
      </c>
      <c r="B19" s="26" t="str">
        <f aca="false">IFERROR(INDEX(CATÁLOGO!$O$5:$O$39,MATCH($B$4,CATÁLOGO!$C$5:$C$39,0)),"")</f>
        <v>Adquisición de vehículos para ocultar origen ilícito de fondos.</v>
      </c>
      <c r="C19" s="26"/>
      <c r="D19" s="26"/>
    </row>
    <row r="21" customFormat="false" ht="30" hidden="false" customHeight="true" outlineLevel="0" collapsed="false">
      <c r="A21" s="34" t="s">
        <v>231</v>
      </c>
      <c r="B21" s="34"/>
      <c r="C21" s="34"/>
      <c r="D21" s="34"/>
    </row>
  </sheetData>
  <mergeCells count="9">
    <mergeCell ref="A1:D1"/>
    <mergeCell ref="A2:D2"/>
    <mergeCell ref="B14:D14"/>
    <mergeCell ref="B15:D15"/>
    <mergeCell ref="B16:D16"/>
    <mergeCell ref="B17:D17"/>
    <mergeCell ref="B18:D18"/>
    <mergeCell ref="B19:D19"/>
    <mergeCell ref="A21:D21"/>
  </mergeCells>
  <conditionalFormatting sqref="B12:B13">
    <cfRule type="expression" priority="2" aboveAverage="0" equalAverage="0" bottom="0" percent="0" rank="0" text="" dxfId="8">
      <formula>LEFT(B12,2)="SÍ"</formula>
    </cfRule>
  </conditionalFormatting>
  <conditionalFormatting sqref="B15">
    <cfRule type="expression" priority="3" aboveAverage="0" equalAverage="0" bottom="0" percent="0" rank="0" text="" dxfId="8">
      <formula>LEFT(B15,2)="NO"</formula>
    </cfRule>
  </conditionalFormatting>
  <dataValidations count="2">
    <dataValidation allowBlank="true" error="Captura un número positivo." errorStyle="stop" operator="greaterThanOrEqual" showDropDown="false" showErrorMessage="true" showInputMessage="false" sqref="B5:B6" type="decimal">
      <formula1>0</formula1>
      <formula2>0</formula2>
    </dataValidation>
    <dataValidation allowBlank="true" error="Elige un valor de la lista." errorStyle="stop" errorTitle="Valor no válido" operator="between" showDropDown="false" showErrorMessage="true" showInputMessage="false" sqref="B4" type="list">
      <formula1>CATÁLOGO!$C$5:$C$39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58"/>
    <col collapsed="false" customWidth="true" hidden="false" outlineLevel="0" max="4" min="4" style="0" width="32"/>
    <col collapsed="false" customWidth="true" hidden="false" outlineLevel="0" max="5" min="5" style="0" width="13"/>
    <col collapsed="false" customWidth="true" hidden="false" outlineLevel="0" max="6" min="6" style="0" width="14"/>
    <col collapsed="false" customWidth="true" hidden="false" outlineLevel="0" max="7" min="7" style="0" width="13"/>
    <col collapsed="false" customWidth="true" hidden="false" outlineLevel="0" max="8" min="8" style="0" width="18"/>
    <col collapsed="false" customWidth="true" hidden="false" outlineLevel="0" max="9" min="9" style="0" width="30"/>
  </cols>
  <sheetData>
    <row r="1" customFormat="false" ht="27.75" hidden="false" customHeight="true" outlineLevel="0" collapsed="false">
      <c r="A1" s="5" t="s">
        <v>232</v>
      </c>
      <c r="B1" s="5"/>
      <c r="C1" s="5"/>
      <c r="D1" s="5"/>
      <c r="E1" s="5"/>
      <c r="F1" s="5"/>
      <c r="G1" s="5"/>
      <c r="H1" s="5"/>
      <c r="I1" s="5"/>
    </row>
    <row r="2" customFormat="false" ht="42" hidden="false" customHeight="true" outlineLevel="0" collapsed="false">
      <c r="A2" s="6" t="s">
        <v>233</v>
      </c>
      <c r="B2" s="6"/>
      <c r="C2" s="6"/>
      <c r="D2" s="6"/>
      <c r="E2" s="6"/>
      <c r="F2" s="6"/>
      <c r="G2" s="6"/>
      <c r="H2" s="6"/>
      <c r="I2" s="6"/>
    </row>
    <row r="3" customFormat="false" ht="15" hidden="false" customHeight="false" outlineLevel="0" collapsed="false">
      <c r="A3" s="35" t="s">
        <v>234</v>
      </c>
      <c r="B3" s="38" t="n">
        <f aca="false">IFERROR(COUNTIF(G6:G19,"Listo")/COUNTA(B6:B19),0)</f>
        <v>0</v>
      </c>
    </row>
    <row r="5" customFormat="false" ht="42" hidden="false" customHeight="true" outlineLevel="0" collapsed="false">
      <c r="A5" s="17" t="s">
        <v>235</v>
      </c>
      <c r="B5" s="17" t="s">
        <v>236</v>
      </c>
      <c r="C5" s="17" t="s">
        <v>237</v>
      </c>
      <c r="D5" s="17" t="s">
        <v>238</v>
      </c>
      <c r="E5" s="17" t="s">
        <v>239</v>
      </c>
      <c r="F5" s="17" t="s">
        <v>240</v>
      </c>
      <c r="G5" s="17" t="s">
        <v>189</v>
      </c>
      <c r="H5" s="17" t="s">
        <v>241</v>
      </c>
      <c r="I5" s="17" t="s">
        <v>242</v>
      </c>
    </row>
    <row r="6" customFormat="false" ht="63.75" hidden="false" customHeight="true" outlineLevel="0" collapsed="false">
      <c r="A6" s="26" t="n">
        <v>1</v>
      </c>
      <c r="B6" s="39" t="s">
        <v>243</v>
      </c>
      <c r="C6" s="26" t="s">
        <v>244</v>
      </c>
      <c r="D6" s="26" t="s">
        <v>245</v>
      </c>
      <c r="E6" s="23" t="n">
        <v>46356</v>
      </c>
      <c r="F6" s="26" t="str">
        <f aca="false">IF(E6-CONFIG!$B$6&lt;=0,"Ya exigible",E6-CONFIG!$B$6&amp;" días")</f>
        <v>70 días</v>
      </c>
      <c r="G6" s="32" t="s">
        <v>246</v>
      </c>
      <c r="H6" s="32"/>
      <c r="I6" s="32"/>
    </row>
    <row r="7" customFormat="false" ht="63.75" hidden="false" customHeight="true" outlineLevel="0" collapsed="false">
      <c r="A7" s="26" t="n">
        <v>2</v>
      </c>
      <c r="B7" s="39" t="s">
        <v>247</v>
      </c>
      <c r="C7" s="26" t="s">
        <v>248</v>
      </c>
      <c r="D7" s="26" t="s">
        <v>249</v>
      </c>
      <c r="E7" s="23" t="n">
        <v>46356</v>
      </c>
      <c r="F7" s="26" t="str">
        <f aca="false">IF(E7-CONFIG!$B$6&lt;=0,"Ya exigible",E7-CONFIG!$B$6&amp;" días")</f>
        <v>70 días</v>
      </c>
      <c r="G7" s="32" t="s">
        <v>246</v>
      </c>
      <c r="H7" s="32"/>
      <c r="I7" s="32"/>
    </row>
    <row r="8" customFormat="false" ht="63.75" hidden="false" customHeight="true" outlineLevel="0" collapsed="false">
      <c r="A8" s="26" t="n">
        <v>3</v>
      </c>
      <c r="B8" s="39" t="s">
        <v>250</v>
      </c>
      <c r="C8" s="26" t="s">
        <v>251</v>
      </c>
      <c r="D8" s="26" t="s">
        <v>252</v>
      </c>
      <c r="E8" s="23" t="n">
        <v>46447</v>
      </c>
      <c r="F8" s="26" t="str">
        <f aca="false">IF(E8-CONFIG!$B$6&lt;=0,"Ya exigible",E8-CONFIG!$B$6&amp;" días")</f>
        <v>161 días</v>
      </c>
      <c r="G8" s="32" t="s">
        <v>246</v>
      </c>
      <c r="H8" s="32"/>
      <c r="I8" s="32"/>
    </row>
    <row r="9" customFormat="false" ht="63.75" hidden="false" customHeight="true" outlineLevel="0" collapsed="false">
      <c r="A9" s="26" t="n">
        <v>4</v>
      </c>
      <c r="B9" s="39" t="s">
        <v>253</v>
      </c>
      <c r="C9" s="26" t="s">
        <v>254</v>
      </c>
      <c r="D9" s="26" t="s">
        <v>255</v>
      </c>
      <c r="E9" s="23" t="n">
        <v>46447</v>
      </c>
      <c r="F9" s="26" t="str">
        <f aca="false">IF(E9-CONFIG!$B$6&lt;=0,"Ya exigible",E9-CONFIG!$B$6&amp;" días")</f>
        <v>161 días</v>
      </c>
      <c r="G9" s="32" t="s">
        <v>246</v>
      </c>
      <c r="H9" s="32"/>
      <c r="I9" s="32"/>
    </row>
    <row r="10" customFormat="false" ht="63.75" hidden="false" customHeight="true" outlineLevel="0" collapsed="false">
      <c r="A10" s="26" t="n">
        <v>5</v>
      </c>
      <c r="B10" s="39" t="s">
        <v>256</v>
      </c>
      <c r="C10" s="26" t="s">
        <v>257</v>
      </c>
      <c r="D10" s="26" t="s">
        <v>258</v>
      </c>
      <c r="E10" s="23" t="n">
        <v>46447</v>
      </c>
      <c r="F10" s="26" t="str">
        <f aca="false">IF(E10-CONFIG!$B$6&lt;=0,"Ya exigible",E10-CONFIG!$B$6&amp;" días")</f>
        <v>161 días</v>
      </c>
      <c r="G10" s="32" t="s">
        <v>246</v>
      </c>
      <c r="H10" s="32"/>
      <c r="I10" s="32"/>
    </row>
    <row r="11" customFormat="false" ht="63.75" hidden="false" customHeight="true" outlineLevel="0" collapsed="false">
      <c r="A11" s="26" t="n">
        <v>6</v>
      </c>
      <c r="B11" s="39" t="s">
        <v>259</v>
      </c>
      <c r="C11" s="26" t="s">
        <v>260</v>
      </c>
      <c r="D11" s="26" t="s">
        <v>261</v>
      </c>
      <c r="E11" s="23" t="n">
        <v>46447</v>
      </c>
      <c r="F11" s="26" t="str">
        <f aca="false">IF(E11-CONFIG!$B$6&lt;=0,"Ya exigible",E11-CONFIG!$B$6&amp;" días")</f>
        <v>161 días</v>
      </c>
      <c r="G11" s="32" t="s">
        <v>246</v>
      </c>
      <c r="H11" s="32"/>
      <c r="I11" s="32"/>
    </row>
    <row r="12" customFormat="false" ht="63.75" hidden="false" customHeight="true" outlineLevel="0" collapsed="false">
      <c r="A12" s="26" t="n">
        <v>7</v>
      </c>
      <c r="B12" s="39" t="s">
        <v>262</v>
      </c>
      <c r="C12" s="26" t="s">
        <v>263</v>
      </c>
      <c r="D12" s="26" t="s">
        <v>264</v>
      </c>
      <c r="E12" s="23" t="n">
        <v>46447</v>
      </c>
      <c r="F12" s="26" t="str">
        <f aca="false">IF(E12-CONFIG!$B$6&lt;=0,"Ya exigible",E12-CONFIG!$B$6&amp;" días")</f>
        <v>161 días</v>
      </c>
      <c r="G12" s="32" t="s">
        <v>246</v>
      </c>
      <c r="H12" s="32"/>
      <c r="I12" s="32"/>
    </row>
    <row r="13" customFormat="false" ht="63.75" hidden="false" customHeight="true" outlineLevel="0" collapsed="false">
      <c r="A13" s="26" t="n">
        <v>8</v>
      </c>
      <c r="B13" s="39" t="s">
        <v>265</v>
      </c>
      <c r="C13" s="26" t="s">
        <v>266</v>
      </c>
      <c r="D13" s="26" t="s">
        <v>267</v>
      </c>
      <c r="E13" s="23" t="n">
        <v>46447</v>
      </c>
      <c r="F13" s="26" t="str">
        <f aca="false">IF(E13-CONFIG!$B$6&lt;=0,"Ya exigible",E13-CONFIG!$B$6&amp;" días")</f>
        <v>161 días</v>
      </c>
      <c r="G13" s="32" t="s">
        <v>246</v>
      </c>
      <c r="H13" s="32"/>
      <c r="I13" s="32"/>
    </row>
    <row r="14" customFormat="false" ht="63.75" hidden="false" customHeight="true" outlineLevel="0" collapsed="false">
      <c r="A14" s="26" t="n">
        <v>9</v>
      </c>
      <c r="B14" s="39" t="s">
        <v>268</v>
      </c>
      <c r="C14" s="26" t="s">
        <v>269</v>
      </c>
      <c r="D14" s="26" t="s">
        <v>270</v>
      </c>
      <c r="E14" s="23" t="n">
        <v>46447</v>
      </c>
      <c r="F14" s="26" t="str">
        <f aca="false">IF(E14-CONFIG!$B$6&lt;=0,"Ya exigible",E14-CONFIG!$B$6&amp;" días")</f>
        <v>161 días</v>
      </c>
      <c r="G14" s="32" t="s">
        <v>246</v>
      </c>
      <c r="H14" s="32"/>
      <c r="I14" s="32"/>
    </row>
    <row r="15" customFormat="false" ht="63.75" hidden="false" customHeight="true" outlineLevel="0" collapsed="false">
      <c r="A15" s="26" t="n">
        <v>10</v>
      </c>
      <c r="B15" s="39" t="s">
        <v>271</v>
      </c>
      <c r="C15" s="26" t="s">
        <v>272</v>
      </c>
      <c r="D15" s="26" t="s">
        <v>273</v>
      </c>
      <c r="E15" s="23" t="n">
        <v>46388</v>
      </c>
      <c r="F15" s="26" t="str">
        <f aca="false">IF(E15-CONFIG!$B$6&lt;=0,"Ya exigible",E15-CONFIG!$B$6&amp;" días")</f>
        <v>102 días</v>
      </c>
      <c r="G15" s="32" t="s">
        <v>246</v>
      </c>
      <c r="H15" s="32"/>
      <c r="I15" s="32"/>
    </row>
    <row r="16" customFormat="false" ht="63.75" hidden="false" customHeight="true" outlineLevel="0" collapsed="false">
      <c r="A16" s="26" t="n">
        <v>11</v>
      </c>
      <c r="B16" s="39" t="s">
        <v>274</v>
      </c>
      <c r="C16" s="26" t="s">
        <v>275</v>
      </c>
      <c r="D16" s="26" t="s">
        <v>276</v>
      </c>
      <c r="E16" s="23" t="n">
        <v>46539</v>
      </c>
      <c r="F16" s="26" t="str">
        <f aca="false">IF(E16-CONFIG!$B$6&lt;=0,"Ya exigible",E16-CONFIG!$B$6&amp;" días")</f>
        <v>253 días</v>
      </c>
      <c r="G16" s="32" t="s">
        <v>246</v>
      </c>
      <c r="H16" s="32"/>
      <c r="I16" s="32"/>
    </row>
    <row r="17" customFormat="false" ht="63.75" hidden="false" customHeight="true" outlineLevel="0" collapsed="false">
      <c r="A17" s="26" t="n">
        <v>12</v>
      </c>
      <c r="B17" s="39" t="s">
        <v>277</v>
      </c>
      <c r="C17" s="26" t="s">
        <v>278</v>
      </c>
      <c r="D17" s="26" t="s">
        <v>279</v>
      </c>
      <c r="E17" s="23" t="n">
        <v>46629</v>
      </c>
      <c r="F17" s="26" t="str">
        <f aca="false">IF(E17-CONFIG!$B$6&lt;=0,"Ya exigible",E17-CONFIG!$B$6&amp;" días")</f>
        <v>343 días</v>
      </c>
      <c r="G17" s="32" t="s">
        <v>246</v>
      </c>
      <c r="H17" s="32"/>
      <c r="I17" s="32"/>
    </row>
    <row r="18" customFormat="false" ht="63.75" hidden="false" customHeight="true" outlineLevel="0" collapsed="false">
      <c r="A18" s="26" t="n">
        <v>13</v>
      </c>
      <c r="B18" s="39" t="s">
        <v>280</v>
      </c>
      <c r="C18" s="26" t="s">
        <v>281</v>
      </c>
      <c r="D18" s="26" t="s">
        <v>282</v>
      </c>
      <c r="E18" s="23" t="n">
        <v>46753</v>
      </c>
      <c r="F18" s="26" t="str">
        <f aca="false">IF(E18-CONFIG!$B$6&lt;=0,"Ya exigible",E18-CONFIG!$B$6&amp;" días")</f>
        <v>467 días</v>
      </c>
      <c r="G18" s="32" t="s">
        <v>246</v>
      </c>
      <c r="H18" s="32"/>
      <c r="I18" s="32"/>
    </row>
    <row r="19" customFormat="false" ht="63.75" hidden="false" customHeight="true" outlineLevel="0" collapsed="false">
      <c r="A19" s="26" t="n">
        <v>14</v>
      </c>
      <c r="B19" s="39" t="s">
        <v>283</v>
      </c>
      <c r="C19" s="26" t="s">
        <v>284</v>
      </c>
      <c r="D19" s="26" t="s">
        <v>285</v>
      </c>
      <c r="E19" s="23" t="s">
        <v>286</v>
      </c>
      <c r="F19" s="26" t="s">
        <v>287</v>
      </c>
      <c r="G19" s="32" t="s">
        <v>246</v>
      </c>
      <c r="H19" s="32"/>
      <c r="I19" s="32"/>
    </row>
    <row r="21" customFormat="false" ht="15" hidden="false" customHeight="false" outlineLevel="0" collapsed="false">
      <c r="A21" s="14" t="s">
        <v>288</v>
      </c>
    </row>
  </sheetData>
  <mergeCells count="2">
    <mergeCell ref="A1:I1"/>
    <mergeCell ref="A2:I2"/>
  </mergeCells>
  <conditionalFormatting sqref="G6:G19">
    <cfRule type="cellIs" priority="2" operator="equal" aboveAverage="0" equalAverage="0" bottom="0" percent="0" rank="0" text="" dxfId="12">
      <formula>"Listo"</formula>
    </cfRule>
    <cfRule type="cellIs" priority="3" operator="equal" aboveAverage="0" equalAverage="0" bottom="0" percent="0" rank="0" text="" dxfId="9">
      <formula>"En proceso"</formula>
    </cfRule>
  </conditionalFormatting>
  <conditionalFormatting sqref="F6:F19">
    <cfRule type="cellIs" priority="4" operator="equal" aboveAverage="0" equalAverage="0" bottom="0" percent="0" rank="0" text="" dxfId="10">
      <formula>"Ya exigible"</formula>
    </cfRule>
  </conditionalFormatting>
  <dataValidations count="1">
    <dataValidation allowBlank="true" error="Elige un valor de la lista." errorStyle="stop" errorTitle="Valor no válido" operator="between" showDropDown="false" showErrorMessage="true" showInputMessage="false" sqref="G6:G19" type="list">
      <formula1>"Pendiente,En proceso,Listo"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I3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
    <col collapsed="false" customWidth="true" hidden="false" outlineLevel="0" max="3" min="3" style="0" width="70"/>
    <col collapsed="false" customWidth="true" hidden="false" outlineLevel="0" max="4" min="4" style="0" width="22"/>
    <col collapsed="false" customWidth="true" hidden="false" outlineLevel="0" max="5" min="5" style="0" width="14"/>
    <col collapsed="false" customWidth="true" hidden="false" outlineLevel="0" max="6" min="6" style="0" width="18"/>
    <col collapsed="false" customWidth="true" hidden="false" outlineLevel="0" max="7" min="7" style="0" width="11"/>
    <col collapsed="false" customWidth="true" hidden="false" outlineLevel="0" max="8" min="8" style="0" width="24"/>
    <col collapsed="false" customWidth="true" hidden="false" outlineLevel="0" max="9" min="9" style="0" width="11"/>
  </cols>
  <sheetData>
    <row r="1" customFormat="false" ht="27.75" hidden="false" customHeight="true" outlineLevel="0" collapsed="false">
      <c r="A1" s="5" t="s">
        <v>289</v>
      </c>
      <c r="B1" s="5"/>
      <c r="C1" s="5"/>
      <c r="D1" s="5"/>
      <c r="E1" s="5"/>
      <c r="F1" s="5"/>
      <c r="G1" s="5"/>
      <c r="H1" s="5"/>
      <c r="I1" s="5"/>
    </row>
    <row r="2" customFormat="false" ht="42" hidden="false" customHeight="true" outlineLevel="0" collapsed="false">
      <c r="A2" s="6" t="s">
        <v>290</v>
      </c>
      <c r="B2" s="6"/>
      <c r="C2" s="6"/>
      <c r="D2" s="6"/>
      <c r="E2" s="6"/>
      <c r="F2" s="6"/>
      <c r="G2" s="6"/>
      <c r="H2" s="6"/>
      <c r="I2" s="6"/>
    </row>
    <row r="4" customFormat="false" ht="42" hidden="false" customHeight="true" outlineLevel="0" collapsed="false">
      <c r="A4" s="17" t="s">
        <v>218</v>
      </c>
      <c r="B4" s="17" t="s">
        <v>291</v>
      </c>
      <c r="C4" s="17" t="s">
        <v>292</v>
      </c>
      <c r="D4" s="17" t="s">
        <v>293</v>
      </c>
      <c r="E4" s="17" t="s">
        <v>294</v>
      </c>
      <c r="F4" s="17" t="s">
        <v>295</v>
      </c>
      <c r="G4" s="17" t="s">
        <v>296</v>
      </c>
      <c r="H4" s="17" t="s">
        <v>297</v>
      </c>
      <c r="I4" s="17" t="s">
        <v>298</v>
      </c>
    </row>
    <row r="5" customFormat="false" ht="23.85" hidden="false" customHeight="false" outlineLevel="0" collapsed="false">
      <c r="A5" s="26" t="s">
        <v>299</v>
      </c>
      <c r="B5" s="26" t="n">
        <v>2108</v>
      </c>
      <c r="C5" s="26" t="s">
        <v>300</v>
      </c>
      <c r="D5" s="26" t="s">
        <v>301</v>
      </c>
      <c r="E5" s="26" t="s">
        <v>302</v>
      </c>
      <c r="F5" s="26" t="s">
        <v>303</v>
      </c>
      <c r="G5" s="26" t="s">
        <v>82</v>
      </c>
      <c r="H5" s="26" t="s">
        <v>304</v>
      </c>
      <c r="I5" s="26" t="n">
        <v>23</v>
      </c>
    </row>
    <row r="6" customFormat="false" ht="23.85" hidden="false" customHeight="false" outlineLevel="0" collapsed="false">
      <c r="A6" s="26" t="s">
        <v>299</v>
      </c>
      <c r="B6" s="26" t="n">
        <v>2112</v>
      </c>
      <c r="C6" s="26" t="s">
        <v>305</v>
      </c>
      <c r="D6" s="26" t="s">
        <v>301</v>
      </c>
      <c r="E6" s="26" t="s">
        <v>302</v>
      </c>
      <c r="F6" s="26" t="s">
        <v>303</v>
      </c>
      <c r="G6" s="26" t="s">
        <v>82</v>
      </c>
      <c r="H6" s="26" t="s">
        <v>304</v>
      </c>
      <c r="I6" s="26" t="n">
        <v>23</v>
      </c>
    </row>
    <row r="7" customFormat="false" ht="23.85" hidden="false" customHeight="false" outlineLevel="0" collapsed="false">
      <c r="A7" s="26" t="s">
        <v>299</v>
      </c>
      <c r="B7" s="26" t="n">
        <v>2121</v>
      </c>
      <c r="C7" s="26" t="s">
        <v>306</v>
      </c>
      <c r="D7" s="26" t="s">
        <v>301</v>
      </c>
      <c r="E7" s="26" t="s">
        <v>302</v>
      </c>
      <c r="F7" s="26" t="s">
        <v>303</v>
      </c>
      <c r="G7" s="26" t="s">
        <v>82</v>
      </c>
      <c r="H7" s="26" t="s">
        <v>304</v>
      </c>
      <c r="I7" s="26" t="n">
        <v>23</v>
      </c>
    </row>
    <row r="8" customFormat="false" ht="23.85" hidden="false" customHeight="false" outlineLevel="0" collapsed="false">
      <c r="A8" s="26" t="s">
        <v>307</v>
      </c>
      <c r="B8" s="26" t="n">
        <v>2202</v>
      </c>
      <c r="C8" s="26" t="s">
        <v>308</v>
      </c>
      <c r="D8" s="26" t="s">
        <v>301</v>
      </c>
      <c r="E8" s="26" t="s">
        <v>302</v>
      </c>
      <c r="F8" s="26" t="s">
        <v>303</v>
      </c>
      <c r="G8" s="26" t="s">
        <v>82</v>
      </c>
      <c r="H8" s="26" t="s">
        <v>304</v>
      </c>
      <c r="I8" s="26" t="n">
        <v>23</v>
      </c>
    </row>
    <row r="9" customFormat="false" ht="23.85" hidden="false" customHeight="false" outlineLevel="0" collapsed="false">
      <c r="A9" s="26" t="s">
        <v>307</v>
      </c>
      <c r="B9" s="26" t="n">
        <v>2205</v>
      </c>
      <c r="C9" s="26" t="s">
        <v>309</v>
      </c>
      <c r="D9" s="26" t="s">
        <v>301</v>
      </c>
      <c r="E9" s="26" t="s">
        <v>302</v>
      </c>
      <c r="F9" s="26" t="s">
        <v>303</v>
      </c>
      <c r="G9" s="26" t="s">
        <v>82</v>
      </c>
      <c r="H9" s="26" t="s">
        <v>304</v>
      </c>
      <c r="I9" s="26" t="n">
        <v>23</v>
      </c>
    </row>
    <row r="10" customFormat="false" ht="23.85" hidden="false" customHeight="false" outlineLevel="0" collapsed="false">
      <c r="A10" s="26" t="s">
        <v>310</v>
      </c>
      <c r="B10" s="26" t="n">
        <v>2302</v>
      </c>
      <c r="C10" s="26" t="s">
        <v>311</v>
      </c>
      <c r="D10" s="26" t="s">
        <v>301</v>
      </c>
      <c r="E10" s="26" t="s">
        <v>302</v>
      </c>
      <c r="F10" s="26" t="s">
        <v>303</v>
      </c>
      <c r="G10" s="26" t="s">
        <v>82</v>
      </c>
      <c r="H10" s="26" t="s">
        <v>304</v>
      </c>
      <c r="I10" s="26" t="n">
        <v>23</v>
      </c>
    </row>
    <row r="11" customFormat="false" ht="23.85" hidden="false" customHeight="false" outlineLevel="0" collapsed="false">
      <c r="A11" s="26" t="s">
        <v>312</v>
      </c>
      <c r="B11" s="26" t="n">
        <v>3707</v>
      </c>
      <c r="C11" s="26" t="s">
        <v>313</v>
      </c>
      <c r="D11" s="26" t="s">
        <v>301</v>
      </c>
      <c r="E11" s="26" t="s">
        <v>302</v>
      </c>
      <c r="F11" s="26" t="s">
        <v>303</v>
      </c>
      <c r="G11" s="26" t="s">
        <v>82</v>
      </c>
      <c r="H11" s="26" t="s">
        <v>304</v>
      </c>
      <c r="I11" s="26" t="n">
        <v>23</v>
      </c>
    </row>
    <row r="12" customFormat="false" ht="23.85" hidden="false" customHeight="false" outlineLevel="0" collapsed="false">
      <c r="A12" s="26" t="s">
        <v>314</v>
      </c>
      <c r="B12" s="26" t="n">
        <v>302</v>
      </c>
      <c r="C12" s="26" t="s">
        <v>315</v>
      </c>
      <c r="D12" s="26" t="s">
        <v>301</v>
      </c>
      <c r="E12" s="26" t="s">
        <v>302</v>
      </c>
      <c r="F12" s="26" t="s">
        <v>303</v>
      </c>
      <c r="G12" s="26" t="s">
        <v>82</v>
      </c>
      <c r="H12" s="26" t="s">
        <v>304</v>
      </c>
      <c r="I12" s="26" t="n">
        <v>23</v>
      </c>
    </row>
    <row r="13" customFormat="false" ht="23.85" hidden="false" customHeight="false" outlineLevel="0" collapsed="false">
      <c r="A13" s="26" t="s">
        <v>316</v>
      </c>
      <c r="B13" s="26" t="n">
        <v>2806</v>
      </c>
      <c r="C13" s="26" t="s">
        <v>317</v>
      </c>
      <c r="D13" s="26" t="s">
        <v>301</v>
      </c>
      <c r="E13" s="26" t="s">
        <v>302</v>
      </c>
      <c r="F13" s="26" t="s">
        <v>303</v>
      </c>
      <c r="G13" s="26" t="s">
        <v>82</v>
      </c>
      <c r="H13" s="26" t="s">
        <v>304</v>
      </c>
      <c r="I13" s="26" t="n">
        <v>23</v>
      </c>
    </row>
    <row r="14" customFormat="false" ht="23.85" hidden="false" customHeight="false" outlineLevel="0" collapsed="false">
      <c r="A14" s="26" t="s">
        <v>318</v>
      </c>
      <c r="B14" s="26" t="n">
        <v>2611</v>
      </c>
      <c r="C14" s="26" t="s">
        <v>306</v>
      </c>
      <c r="D14" s="26" t="s">
        <v>301</v>
      </c>
      <c r="E14" s="26" t="s">
        <v>302</v>
      </c>
      <c r="F14" s="26" t="s">
        <v>303</v>
      </c>
      <c r="G14" s="26" t="s">
        <v>82</v>
      </c>
      <c r="H14" s="26" t="s">
        <v>304</v>
      </c>
      <c r="I14" s="26" t="n">
        <v>23</v>
      </c>
    </row>
    <row r="15" customFormat="false" ht="23.85" hidden="false" customHeight="false" outlineLevel="0" collapsed="false">
      <c r="A15" s="26" t="s">
        <v>319</v>
      </c>
      <c r="B15" s="26" t="n">
        <v>3911</v>
      </c>
      <c r="C15" s="26" t="s">
        <v>320</v>
      </c>
      <c r="D15" s="26" t="s">
        <v>301</v>
      </c>
      <c r="E15" s="26" t="s">
        <v>302</v>
      </c>
      <c r="F15" s="26" t="s">
        <v>303</v>
      </c>
      <c r="G15" s="26" t="s">
        <v>82</v>
      </c>
      <c r="H15" s="26" t="s">
        <v>304</v>
      </c>
      <c r="I15" s="26" t="n">
        <v>23</v>
      </c>
    </row>
    <row r="16" customFormat="false" ht="23.85" hidden="false" customHeight="false" outlineLevel="0" collapsed="false">
      <c r="A16" s="26" t="s">
        <v>321</v>
      </c>
      <c r="B16" s="26" t="n">
        <v>3114</v>
      </c>
      <c r="C16" s="26" t="s">
        <v>322</v>
      </c>
      <c r="D16" s="26" t="s">
        <v>301</v>
      </c>
      <c r="E16" s="26" t="s">
        <v>302</v>
      </c>
      <c r="F16" s="26" t="s">
        <v>303</v>
      </c>
      <c r="G16" s="26" t="s">
        <v>82</v>
      </c>
      <c r="H16" s="26" t="s">
        <v>304</v>
      </c>
      <c r="I16" s="26" t="n">
        <v>23</v>
      </c>
    </row>
    <row r="17" customFormat="false" ht="23.85" hidden="false" customHeight="false" outlineLevel="0" collapsed="false">
      <c r="A17" s="26" t="s">
        <v>323</v>
      </c>
      <c r="B17" s="26" t="n">
        <v>2911</v>
      </c>
      <c r="C17" s="26" t="s">
        <v>306</v>
      </c>
      <c r="D17" s="26" t="s">
        <v>301</v>
      </c>
      <c r="E17" s="26" t="s">
        <v>302</v>
      </c>
      <c r="F17" s="26" t="s">
        <v>303</v>
      </c>
      <c r="G17" s="26" t="s">
        <v>82</v>
      </c>
      <c r="H17" s="26" t="s">
        <v>304</v>
      </c>
      <c r="I17" s="26" t="n">
        <v>23</v>
      </c>
    </row>
    <row r="18" customFormat="false" ht="23.85" hidden="false" customHeight="false" outlineLevel="0" collapsed="false">
      <c r="A18" s="26" t="s">
        <v>324</v>
      </c>
      <c r="B18" s="26" t="n">
        <v>3309</v>
      </c>
      <c r="C18" s="26" t="s">
        <v>325</v>
      </c>
      <c r="D18" s="26" t="s">
        <v>301</v>
      </c>
      <c r="E18" s="26" t="s">
        <v>302</v>
      </c>
      <c r="F18" s="26" t="s">
        <v>303</v>
      </c>
      <c r="G18" s="26" t="s">
        <v>82</v>
      </c>
      <c r="H18" s="26" t="s">
        <v>304</v>
      </c>
      <c r="I18" s="26" t="n">
        <v>23</v>
      </c>
    </row>
    <row r="19" customFormat="false" ht="23.85" hidden="false" customHeight="false" outlineLevel="0" collapsed="false">
      <c r="A19" s="26" t="s">
        <v>324</v>
      </c>
      <c r="B19" s="26" t="n">
        <v>3313</v>
      </c>
      <c r="C19" s="26" t="s">
        <v>322</v>
      </c>
      <c r="D19" s="26" t="s">
        <v>301</v>
      </c>
      <c r="E19" s="26" t="s">
        <v>302</v>
      </c>
      <c r="F19" s="26" t="s">
        <v>303</v>
      </c>
      <c r="G19" s="26" t="s">
        <v>82</v>
      </c>
      <c r="H19" s="26" t="s">
        <v>304</v>
      </c>
      <c r="I19" s="26" t="n">
        <v>23</v>
      </c>
    </row>
    <row r="20" customFormat="false" ht="23.85" hidden="false" customHeight="false" outlineLevel="0" collapsed="false">
      <c r="A20" s="26" t="s">
        <v>324</v>
      </c>
      <c r="B20" s="26" t="n">
        <v>3318</v>
      </c>
      <c r="C20" s="26" t="s">
        <v>326</v>
      </c>
      <c r="D20" s="26" t="s">
        <v>301</v>
      </c>
      <c r="E20" s="26" t="s">
        <v>302</v>
      </c>
      <c r="F20" s="26" t="s">
        <v>303</v>
      </c>
      <c r="G20" s="26" t="s">
        <v>82</v>
      </c>
      <c r="H20" s="26" t="s">
        <v>304</v>
      </c>
      <c r="I20" s="26" t="n">
        <v>23</v>
      </c>
    </row>
    <row r="21" customFormat="false" ht="23.85" hidden="false" customHeight="false" outlineLevel="0" collapsed="false">
      <c r="A21" s="26" t="s">
        <v>327</v>
      </c>
      <c r="B21" s="26" t="n">
        <v>2512</v>
      </c>
      <c r="C21" s="26" t="s">
        <v>328</v>
      </c>
      <c r="D21" s="26" t="s">
        <v>301</v>
      </c>
      <c r="E21" s="26" t="s">
        <v>302</v>
      </c>
      <c r="F21" s="26" t="s">
        <v>303</v>
      </c>
      <c r="G21" s="26" t="s">
        <v>82</v>
      </c>
      <c r="H21" s="26" t="s">
        <v>304</v>
      </c>
      <c r="I21" s="26" t="n">
        <v>23</v>
      </c>
    </row>
    <row r="22" customFormat="false" ht="23.85" hidden="false" customHeight="false" outlineLevel="0" collapsed="false">
      <c r="A22" s="26" t="s">
        <v>329</v>
      </c>
      <c r="B22" s="26" t="n">
        <v>3215</v>
      </c>
      <c r="C22" s="26" t="s">
        <v>330</v>
      </c>
      <c r="D22" s="26" t="s">
        <v>301</v>
      </c>
      <c r="E22" s="26" t="s">
        <v>302</v>
      </c>
      <c r="F22" s="26" t="s">
        <v>303</v>
      </c>
      <c r="G22" s="26" t="s">
        <v>82</v>
      </c>
      <c r="H22" s="26" t="s">
        <v>304</v>
      </c>
      <c r="I22" s="26" t="n">
        <v>23</v>
      </c>
    </row>
    <row r="23" customFormat="false" ht="23.85" hidden="false" customHeight="false" outlineLevel="0" collapsed="false">
      <c r="A23" s="26" t="s">
        <v>331</v>
      </c>
      <c r="B23" s="26" t="n">
        <v>2710</v>
      </c>
      <c r="C23" s="26" t="s">
        <v>332</v>
      </c>
      <c r="D23" s="26" t="s">
        <v>301</v>
      </c>
      <c r="E23" s="26" t="s">
        <v>302</v>
      </c>
      <c r="F23" s="26" t="s">
        <v>303</v>
      </c>
      <c r="G23" s="26" t="s">
        <v>82</v>
      </c>
      <c r="H23" s="26" t="s">
        <v>304</v>
      </c>
      <c r="I23" s="26" t="n">
        <v>23</v>
      </c>
    </row>
    <row r="24" customFormat="false" ht="23.85" hidden="false" customHeight="false" outlineLevel="0" collapsed="false">
      <c r="A24" s="26" t="s">
        <v>331</v>
      </c>
      <c r="B24" s="26" t="n">
        <v>2714</v>
      </c>
      <c r="C24" s="26" t="s">
        <v>333</v>
      </c>
      <c r="D24" s="26" t="s">
        <v>301</v>
      </c>
      <c r="E24" s="26" t="s">
        <v>302</v>
      </c>
      <c r="F24" s="26" t="s">
        <v>303</v>
      </c>
      <c r="G24" s="26" t="s">
        <v>82</v>
      </c>
      <c r="H24" s="26" t="s">
        <v>304</v>
      </c>
      <c r="I24" s="26" t="n">
        <v>23</v>
      </c>
    </row>
    <row r="25" customFormat="false" ht="23.85" hidden="false" customHeight="false" outlineLevel="0" collapsed="false">
      <c r="A25" s="26" t="s">
        <v>334</v>
      </c>
      <c r="B25" s="26" t="n">
        <v>3001</v>
      </c>
      <c r="C25" s="26" t="s">
        <v>335</v>
      </c>
      <c r="D25" s="26" t="s">
        <v>301</v>
      </c>
      <c r="E25" s="26" t="s">
        <v>302</v>
      </c>
      <c r="F25" s="26" t="s">
        <v>303</v>
      </c>
      <c r="G25" s="26" t="s">
        <v>82</v>
      </c>
      <c r="H25" s="26" t="s">
        <v>304</v>
      </c>
      <c r="I25" s="26" t="n">
        <v>23</v>
      </c>
    </row>
    <row r="26" customFormat="false" ht="35.05" hidden="false" customHeight="false" outlineLevel="0" collapsed="false">
      <c r="A26" s="26" t="s">
        <v>334</v>
      </c>
      <c r="B26" s="26" t="n">
        <v>3002</v>
      </c>
      <c r="C26" s="26" t="s">
        <v>336</v>
      </c>
      <c r="D26" s="26" t="s">
        <v>301</v>
      </c>
      <c r="E26" s="26" t="s">
        <v>302</v>
      </c>
      <c r="F26" s="26" t="s">
        <v>303</v>
      </c>
      <c r="G26" s="26" t="s">
        <v>82</v>
      </c>
      <c r="H26" s="26" t="s">
        <v>304</v>
      </c>
      <c r="I26" s="26" t="n">
        <v>23</v>
      </c>
    </row>
    <row r="27" customFormat="false" ht="23.85" hidden="false" customHeight="false" outlineLevel="0" collapsed="false">
      <c r="A27" s="26" t="s">
        <v>334</v>
      </c>
      <c r="B27" s="26" t="n">
        <v>3016</v>
      </c>
      <c r="C27" s="26" t="s">
        <v>306</v>
      </c>
      <c r="D27" s="26" t="s">
        <v>301</v>
      </c>
      <c r="E27" s="26" t="s">
        <v>302</v>
      </c>
      <c r="F27" s="26" t="s">
        <v>303</v>
      </c>
      <c r="G27" s="26" t="s">
        <v>82</v>
      </c>
      <c r="H27" s="26" t="s">
        <v>304</v>
      </c>
      <c r="I27" s="26" t="n">
        <v>23</v>
      </c>
    </row>
    <row r="28" customFormat="false" ht="23.85" hidden="false" customHeight="false" outlineLevel="0" collapsed="false">
      <c r="A28" s="26" t="s">
        <v>318</v>
      </c>
      <c r="B28" s="26" t="n">
        <v>2605</v>
      </c>
      <c r="C28" s="26" t="s">
        <v>337</v>
      </c>
      <c r="D28" s="26" t="s">
        <v>338</v>
      </c>
      <c r="E28" s="26" t="s">
        <v>339</v>
      </c>
      <c r="F28" s="26" t="s">
        <v>340</v>
      </c>
      <c r="G28" s="26" t="s">
        <v>82</v>
      </c>
      <c r="H28" s="26" t="s">
        <v>341</v>
      </c>
      <c r="I28" s="26" t="n">
        <v>9</v>
      </c>
    </row>
    <row r="29" customFormat="false" ht="23.85" hidden="false" customHeight="false" outlineLevel="0" collapsed="false">
      <c r="A29" s="26" t="s">
        <v>321</v>
      </c>
      <c r="B29" s="26" t="n">
        <v>3104</v>
      </c>
      <c r="C29" s="26" t="s">
        <v>342</v>
      </c>
      <c r="D29" s="26" t="s">
        <v>338</v>
      </c>
      <c r="E29" s="26" t="s">
        <v>339</v>
      </c>
      <c r="F29" s="26" t="s">
        <v>340</v>
      </c>
      <c r="G29" s="26" t="s">
        <v>82</v>
      </c>
      <c r="H29" s="26" t="s">
        <v>341</v>
      </c>
      <c r="I29" s="26" t="n">
        <v>9</v>
      </c>
    </row>
    <row r="30" customFormat="false" ht="35.05" hidden="false" customHeight="false" outlineLevel="0" collapsed="false">
      <c r="A30" s="26" t="s">
        <v>321</v>
      </c>
      <c r="B30" s="26" t="n">
        <v>3110</v>
      </c>
      <c r="C30" s="26" t="s">
        <v>343</v>
      </c>
      <c r="D30" s="26" t="s">
        <v>338</v>
      </c>
      <c r="E30" s="26" t="s">
        <v>339</v>
      </c>
      <c r="F30" s="26" t="s">
        <v>340</v>
      </c>
      <c r="G30" s="26" t="s">
        <v>82</v>
      </c>
      <c r="H30" s="26" t="s">
        <v>341</v>
      </c>
      <c r="I30" s="26" t="n">
        <v>9</v>
      </c>
    </row>
    <row r="31" customFormat="false" ht="23.85" hidden="false" customHeight="false" outlineLevel="0" collapsed="false">
      <c r="A31" s="26" t="s">
        <v>323</v>
      </c>
      <c r="B31" s="26" t="n">
        <v>2917</v>
      </c>
      <c r="C31" s="26" t="s">
        <v>344</v>
      </c>
      <c r="D31" s="26" t="s">
        <v>338</v>
      </c>
      <c r="E31" s="26" t="s">
        <v>339</v>
      </c>
      <c r="F31" s="26" t="s">
        <v>340</v>
      </c>
      <c r="G31" s="26" t="s">
        <v>82</v>
      </c>
      <c r="H31" s="26" t="s">
        <v>341</v>
      </c>
      <c r="I31" s="26" t="n">
        <v>9</v>
      </c>
    </row>
    <row r="32" customFormat="false" ht="23.85" hidden="false" customHeight="false" outlineLevel="0" collapsed="false">
      <c r="A32" s="26" t="s">
        <v>323</v>
      </c>
      <c r="B32" s="26" t="n">
        <v>2924</v>
      </c>
      <c r="C32" s="26" t="s">
        <v>337</v>
      </c>
      <c r="D32" s="26" t="s">
        <v>338</v>
      </c>
      <c r="E32" s="26" t="s">
        <v>339</v>
      </c>
      <c r="F32" s="26" t="s">
        <v>340</v>
      </c>
      <c r="G32" s="26" t="s">
        <v>82</v>
      </c>
      <c r="H32" s="26" t="s">
        <v>341</v>
      </c>
      <c r="I32" s="26" t="n">
        <v>9</v>
      </c>
    </row>
    <row r="33" customFormat="false" ht="35.05" hidden="false" customHeight="false" outlineLevel="0" collapsed="false">
      <c r="A33" s="26" t="s">
        <v>324</v>
      </c>
      <c r="B33" s="26" t="n">
        <v>3307</v>
      </c>
      <c r="C33" s="26" t="s">
        <v>345</v>
      </c>
      <c r="D33" s="26" t="s">
        <v>338</v>
      </c>
      <c r="E33" s="26" t="s">
        <v>339</v>
      </c>
      <c r="F33" s="26" t="s">
        <v>340</v>
      </c>
      <c r="G33" s="26" t="s">
        <v>82</v>
      </c>
      <c r="H33" s="26" t="s">
        <v>341</v>
      </c>
      <c r="I33" s="26" t="n">
        <v>9</v>
      </c>
    </row>
    <row r="34" customFormat="false" ht="23.85" hidden="false" customHeight="false" outlineLevel="0" collapsed="false">
      <c r="A34" s="26" t="s">
        <v>327</v>
      </c>
      <c r="B34" s="26" t="n">
        <v>2508</v>
      </c>
      <c r="C34" s="26" t="s">
        <v>346</v>
      </c>
      <c r="D34" s="26" t="s">
        <v>338</v>
      </c>
      <c r="E34" s="26" t="s">
        <v>339</v>
      </c>
      <c r="F34" s="26" t="s">
        <v>340</v>
      </c>
      <c r="G34" s="26" t="s">
        <v>82</v>
      </c>
      <c r="H34" s="26" t="s">
        <v>341</v>
      </c>
      <c r="I34" s="26" t="n">
        <v>9</v>
      </c>
    </row>
    <row r="35" customFormat="false" ht="23.85" hidden="false" customHeight="false" outlineLevel="0" collapsed="false">
      <c r="A35" s="26" t="s">
        <v>327</v>
      </c>
      <c r="B35" s="26" t="n">
        <v>2515</v>
      </c>
      <c r="C35" s="26" t="s">
        <v>337</v>
      </c>
      <c r="D35" s="26" t="s">
        <v>338</v>
      </c>
      <c r="E35" s="26" t="s">
        <v>339</v>
      </c>
      <c r="F35" s="26" t="s">
        <v>340</v>
      </c>
      <c r="G35" s="26" t="s">
        <v>82</v>
      </c>
      <c r="H35" s="26" t="s">
        <v>341</v>
      </c>
      <c r="I35" s="26" t="n">
        <v>9</v>
      </c>
    </row>
    <row r="36" customFormat="false" ht="23.85" hidden="false" customHeight="false" outlineLevel="0" collapsed="false">
      <c r="A36" s="26" t="s">
        <v>329</v>
      </c>
      <c r="B36" s="26" t="n">
        <v>3206</v>
      </c>
      <c r="C36" s="26" t="s">
        <v>347</v>
      </c>
      <c r="D36" s="26" t="s">
        <v>338</v>
      </c>
      <c r="E36" s="26" t="s">
        <v>339</v>
      </c>
      <c r="F36" s="26" t="s">
        <v>340</v>
      </c>
      <c r="G36" s="26" t="s">
        <v>82</v>
      </c>
      <c r="H36" s="26" t="s">
        <v>341</v>
      </c>
      <c r="I36" s="26" t="n">
        <v>9</v>
      </c>
    </row>
    <row r="37" customFormat="false" ht="23.85" hidden="false" customHeight="false" outlineLevel="0" collapsed="false">
      <c r="A37" s="26" t="s">
        <v>327</v>
      </c>
      <c r="B37" s="26" t="n">
        <v>2518</v>
      </c>
      <c r="C37" s="26" t="s">
        <v>348</v>
      </c>
      <c r="D37" s="26" t="s">
        <v>349</v>
      </c>
      <c r="E37" s="26" t="s">
        <v>350</v>
      </c>
      <c r="F37" s="26" t="s">
        <v>303</v>
      </c>
      <c r="G37" s="26" t="s">
        <v>83</v>
      </c>
      <c r="H37" s="26" t="s">
        <v>351</v>
      </c>
      <c r="I37" s="26" t="n">
        <v>1</v>
      </c>
    </row>
    <row r="38" customFormat="false" ht="23.85" hidden="false" customHeight="false" outlineLevel="0" collapsed="false">
      <c r="A38" s="26" t="s">
        <v>352</v>
      </c>
      <c r="B38" s="26" t="n">
        <v>4119</v>
      </c>
      <c r="C38" s="26" t="s">
        <v>353</v>
      </c>
      <c r="D38" s="26" t="s">
        <v>354</v>
      </c>
      <c r="E38" s="26" t="s">
        <v>350</v>
      </c>
      <c r="F38" s="26" t="s">
        <v>303</v>
      </c>
      <c r="G38" s="26" t="s">
        <v>83</v>
      </c>
      <c r="H38" s="26" t="s">
        <v>355</v>
      </c>
      <c r="I38" s="26" t="n">
        <v>1</v>
      </c>
    </row>
    <row r="39" customFormat="false" ht="23.85" hidden="false" customHeight="false" outlineLevel="0" collapsed="false">
      <c r="A39" s="26" t="s">
        <v>316</v>
      </c>
      <c r="B39" s="26" t="n">
        <v>2803</v>
      </c>
      <c r="C39" s="26" t="s">
        <v>356</v>
      </c>
      <c r="D39" s="26" t="s">
        <v>357</v>
      </c>
      <c r="E39" s="26" t="s">
        <v>339</v>
      </c>
      <c r="F39" s="26" t="s">
        <v>340</v>
      </c>
      <c r="G39" s="26" t="s">
        <v>82</v>
      </c>
      <c r="H39" s="26" t="s">
        <v>358</v>
      </c>
      <c r="I39" s="26" t="n">
        <v>1</v>
      </c>
    </row>
    <row r="40" customFormat="false" ht="23.85" hidden="false" customHeight="false" outlineLevel="0" collapsed="false">
      <c r="A40" s="26" t="s">
        <v>299</v>
      </c>
      <c r="B40" s="26" t="n">
        <v>2119</v>
      </c>
      <c r="C40" s="26" t="s">
        <v>359</v>
      </c>
      <c r="D40" s="26" t="s">
        <v>360</v>
      </c>
      <c r="E40" s="26" t="s">
        <v>302</v>
      </c>
      <c r="F40" s="26" t="s">
        <v>303</v>
      </c>
      <c r="G40" s="26" t="s">
        <v>83</v>
      </c>
      <c r="H40" s="26" t="s">
        <v>304</v>
      </c>
      <c r="I40" s="26" t="n">
        <v>14</v>
      </c>
    </row>
    <row r="41" customFormat="false" ht="23.85" hidden="false" customHeight="false" outlineLevel="0" collapsed="false">
      <c r="A41" s="26" t="s">
        <v>307</v>
      </c>
      <c r="B41" s="26" t="n">
        <v>2214</v>
      </c>
      <c r="C41" s="26" t="s">
        <v>361</v>
      </c>
      <c r="D41" s="26" t="s">
        <v>360</v>
      </c>
      <c r="E41" s="26" t="s">
        <v>302</v>
      </c>
      <c r="F41" s="26" t="s">
        <v>303</v>
      </c>
      <c r="G41" s="26" t="s">
        <v>83</v>
      </c>
      <c r="H41" s="26" t="s">
        <v>304</v>
      </c>
      <c r="I41" s="26" t="n">
        <v>14</v>
      </c>
    </row>
    <row r="42" customFormat="false" ht="23.85" hidden="false" customHeight="false" outlineLevel="0" collapsed="false">
      <c r="A42" s="26" t="s">
        <v>310</v>
      </c>
      <c r="B42" s="26" t="n">
        <v>2311</v>
      </c>
      <c r="C42" s="26" t="s">
        <v>359</v>
      </c>
      <c r="D42" s="26" t="s">
        <v>360</v>
      </c>
      <c r="E42" s="26" t="s">
        <v>302</v>
      </c>
      <c r="F42" s="26" t="s">
        <v>303</v>
      </c>
      <c r="G42" s="26" t="s">
        <v>83</v>
      </c>
      <c r="H42" s="26" t="s">
        <v>304</v>
      </c>
      <c r="I42" s="26" t="n">
        <v>14</v>
      </c>
    </row>
    <row r="43" customFormat="false" ht="23.85" hidden="false" customHeight="false" outlineLevel="0" collapsed="false">
      <c r="A43" s="26" t="s">
        <v>312</v>
      </c>
      <c r="B43" s="26" t="n">
        <v>3709</v>
      </c>
      <c r="C43" s="26" t="s">
        <v>362</v>
      </c>
      <c r="D43" s="26" t="s">
        <v>360</v>
      </c>
      <c r="E43" s="26" t="s">
        <v>302</v>
      </c>
      <c r="F43" s="26" t="s">
        <v>303</v>
      </c>
      <c r="G43" s="26" t="s">
        <v>83</v>
      </c>
      <c r="H43" s="26" t="s">
        <v>304</v>
      </c>
      <c r="I43" s="26" t="n">
        <v>14</v>
      </c>
    </row>
    <row r="44" customFormat="false" ht="23.85" hidden="false" customHeight="false" outlineLevel="0" collapsed="false">
      <c r="A44" s="26" t="s">
        <v>314</v>
      </c>
      <c r="B44" s="26" t="n">
        <v>309</v>
      </c>
      <c r="C44" s="26" t="s">
        <v>363</v>
      </c>
      <c r="D44" s="26" t="s">
        <v>360</v>
      </c>
      <c r="E44" s="26" t="s">
        <v>302</v>
      </c>
      <c r="F44" s="26" t="s">
        <v>303</v>
      </c>
      <c r="G44" s="26" t="s">
        <v>83</v>
      </c>
      <c r="H44" s="26" t="s">
        <v>304</v>
      </c>
      <c r="I44" s="26" t="n">
        <v>14</v>
      </c>
    </row>
    <row r="45" customFormat="false" ht="23.85" hidden="false" customHeight="false" outlineLevel="0" collapsed="false">
      <c r="A45" s="26" t="s">
        <v>318</v>
      </c>
      <c r="B45" s="26" t="n">
        <v>2609</v>
      </c>
      <c r="C45" s="26" t="s">
        <v>359</v>
      </c>
      <c r="D45" s="26" t="s">
        <v>360</v>
      </c>
      <c r="E45" s="26" t="s">
        <v>302</v>
      </c>
      <c r="F45" s="26" t="s">
        <v>303</v>
      </c>
      <c r="G45" s="26" t="s">
        <v>83</v>
      </c>
      <c r="H45" s="26" t="s">
        <v>304</v>
      </c>
      <c r="I45" s="26" t="n">
        <v>14</v>
      </c>
    </row>
    <row r="46" customFormat="false" ht="23.85" hidden="false" customHeight="false" outlineLevel="0" collapsed="false">
      <c r="A46" s="26" t="s">
        <v>319</v>
      </c>
      <c r="B46" s="26" t="n">
        <v>3909</v>
      </c>
      <c r="C46" s="26" t="s">
        <v>359</v>
      </c>
      <c r="D46" s="26" t="s">
        <v>360</v>
      </c>
      <c r="E46" s="26" t="s">
        <v>302</v>
      </c>
      <c r="F46" s="26" t="s">
        <v>303</v>
      </c>
      <c r="G46" s="26" t="s">
        <v>83</v>
      </c>
      <c r="H46" s="26" t="s">
        <v>304</v>
      </c>
      <c r="I46" s="26" t="n">
        <v>14</v>
      </c>
    </row>
    <row r="47" customFormat="false" ht="23.85" hidden="false" customHeight="false" outlineLevel="0" collapsed="false">
      <c r="A47" s="26" t="s">
        <v>321</v>
      </c>
      <c r="B47" s="26" t="n">
        <v>3112</v>
      </c>
      <c r="C47" s="26" t="s">
        <v>359</v>
      </c>
      <c r="D47" s="26" t="s">
        <v>360</v>
      </c>
      <c r="E47" s="26" t="s">
        <v>302</v>
      </c>
      <c r="F47" s="26" t="s">
        <v>303</v>
      </c>
      <c r="G47" s="26" t="s">
        <v>83</v>
      </c>
      <c r="H47" s="26" t="s">
        <v>304</v>
      </c>
      <c r="I47" s="26" t="n">
        <v>14</v>
      </c>
    </row>
    <row r="48" customFormat="false" ht="23.85" hidden="false" customHeight="false" outlineLevel="0" collapsed="false">
      <c r="A48" s="26" t="s">
        <v>323</v>
      </c>
      <c r="B48" s="26" t="n">
        <v>2909</v>
      </c>
      <c r="C48" s="26" t="s">
        <v>359</v>
      </c>
      <c r="D48" s="26" t="s">
        <v>360</v>
      </c>
      <c r="E48" s="26" t="s">
        <v>302</v>
      </c>
      <c r="F48" s="26" t="s">
        <v>303</v>
      </c>
      <c r="G48" s="26" t="s">
        <v>83</v>
      </c>
      <c r="H48" s="26" t="s">
        <v>304</v>
      </c>
      <c r="I48" s="26" t="n">
        <v>14</v>
      </c>
    </row>
    <row r="49" customFormat="false" ht="23.85" hidden="false" customHeight="false" outlineLevel="0" collapsed="false">
      <c r="A49" s="26" t="s">
        <v>323</v>
      </c>
      <c r="B49" s="26" t="n">
        <v>2918</v>
      </c>
      <c r="C49" s="26" t="s">
        <v>364</v>
      </c>
      <c r="D49" s="26" t="s">
        <v>360</v>
      </c>
      <c r="E49" s="26" t="s">
        <v>302</v>
      </c>
      <c r="F49" s="26" t="s">
        <v>303</v>
      </c>
      <c r="G49" s="26" t="s">
        <v>83</v>
      </c>
      <c r="H49" s="26" t="s">
        <v>304</v>
      </c>
      <c r="I49" s="26" t="n">
        <v>14</v>
      </c>
    </row>
    <row r="50" customFormat="false" ht="23.85" hidden="false" customHeight="false" outlineLevel="0" collapsed="false">
      <c r="A50" s="26" t="s">
        <v>324</v>
      </c>
      <c r="B50" s="26" t="n">
        <v>3310</v>
      </c>
      <c r="C50" s="26" t="s">
        <v>359</v>
      </c>
      <c r="D50" s="26" t="s">
        <v>360</v>
      </c>
      <c r="E50" s="26" t="s">
        <v>302</v>
      </c>
      <c r="F50" s="26" t="s">
        <v>303</v>
      </c>
      <c r="G50" s="26" t="s">
        <v>83</v>
      </c>
      <c r="H50" s="26" t="s">
        <v>304</v>
      </c>
      <c r="I50" s="26" t="n">
        <v>14</v>
      </c>
    </row>
    <row r="51" customFormat="false" ht="23.85" hidden="false" customHeight="false" outlineLevel="0" collapsed="false">
      <c r="A51" s="26" t="s">
        <v>327</v>
      </c>
      <c r="B51" s="26" t="n">
        <v>2510</v>
      </c>
      <c r="C51" s="26" t="s">
        <v>359</v>
      </c>
      <c r="D51" s="26" t="s">
        <v>360</v>
      </c>
      <c r="E51" s="26" t="s">
        <v>302</v>
      </c>
      <c r="F51" s="26" t="s">
        <v>303</v>
      </c>
      <c r="G51" s="26" t="s">
        <v>83</v>
      </c>
      <c r="H51" s="26" t="s">
        <v>304</v>
      </c>
      <c r="I51" s="26" t="n">
        <v>14</v>
      </c>
    </row>
    <row r="52" customFormat="false" ht="23.85" hidden="false" customHeight="false" outlineLevel="0" collapsed="false">
      <c r="A52" s="26" t="s">
        <v>331</v>
      </c>
      <c r="B52" s="26" t="n">
        <v>2711</v>
      </c>
      <c r="C52" s="26" t="s">
        <v>365</v>
      </c>
      <c r="D52" s="26" t="s">
        <v>360</v>
      </c>
      <c r="E52" s="26" t="s">
        <v>302</v>
      </c>
      <c r="F52" s="26" t="s">
        <v>303</v>
      </c>
      <c r="G52" s="26" t="s">
        <v>83</v>
      </c>
      <c r="H52" s="26" t="s">
        <v>304</v>
      </c>
      <c r="I52" s="26" t="n">
        <v>14</v>
      </c>
    </row>
    <row r="53" customFormat="false" ht="23.85" hidden="false" customHeight="false" outlineLevel="0" collapsed="false">
      <c r="A53" s="26" t="s">
        <v>334</v>
      </c>
      <c r="B53" s="26" t="n">
        <v>3014</v>
      </c>
      <c r="C53" s="26" t="s">
        <v>366</v>
      </c>
      <c r="D53" s="26" t="s">
        <v>360</v>
      </c>
      <c r="E53" s="26" t="s">
        <v>302</v>
      </c>
      <c r="F53" s="26" t="s">
        <v>303</v>
      </c>
      <c r="G53" s="26" t="s">
        <v>83</v>
      </c>
      <c r="H53" s="26" t="s">
        <v>304</v>
      </c>
      <c r="I53" s="26" t="n">
        <v>14</v>
      </c>
    </row>
    <row r="54" customFormat="false" ht="23.85" hidden="false" customHeight="false" outlineLevel="0" collapsed="false">
      <c r="A54" s="26" t="s">
        <v>316</v>
      </c>
      <c r="B54" s="26" t="n">
        <v>2804</v>
      </c>
      <c r="C54" s="26" t="s">
        <v>367</v>
      </c>
      <c r="D54" s="26" t="s">
        <v>368</v>
      </c>
      <c r="E54" s="26" t="s">
        <v>350</v>
      </c>
      <c r="F54" s="26" t="s">
        <v>369</v>
      </c>
      <c r="G54" s="26" t="s">
        <v>83</v>
      </c>
      <c r="H54" s="26" t="s">
        <v>370</v>
      </c>
      <c r="I54" s="26" t="n">
        <v>9</v>
      </c>
    </row>
    <row r="55" customFormat="false" ht="23.85" hidden="false" customHeight="false" outlineLevel="0" collapsed="false">
      <c r="A55" s="26" t="s">
        <v>316</v>
      </c>
      <c r="B55" s="26" t="n">
        <v>2812</v>
      </c>
      <c r="C55" s="26" t="s">
        <v>371</v>
      </c>
      <c r="D55" s="26" t="s">
        <v>368</v>
      </c>
      <c r="E55" s="26" t="s">
        <v>350</v>
      </c>
      <c r="F55" s="26" t="s">
        <v>369</v>
      </c>
      <c r="G55" s="26" t="s">
        <v>83</v>
      </c>
      <c r="H55" s="26" t="s">
        <v>370</v>
      </c>
      <c r="I55" s="26" t="n">
        <v>9</v>
      </c>
    </row>
    <row r="56" customFormat="false" ht="23.85" hidden="false" customHeight="false" outlineLevel="0" collapsed="false">
      <c r="A56" s="26" t="s">
        <v>327</v>
      </c>
      <c r="B56" s="26" t="n">
        <v>2519</v>
      </c>
      <c r="C56" s="26" t="s">
        <v>372</v>
      </c>
      <c r="D56" s="26" t="s">
        <v>368</v>
      </c>
      <c r="E56" s="26" t="s">
        <v>350</v>
      </c>
      <c r="F56" s="26" t="s">
        <v>369</v>
      </c>
      <c r="G56" s="26" t="s">
        <v>83</v>
      </c>
      <c r="H56" s="26" t="s">
        <v>370</v>
      </c>
      <c r="I56" s="26" t="n">
        <v>9</v>
      </c>
    </row>
    <row r="57" customFormat="false" ht="35.05" hidden="false" customHeight="false" outlineLevel="0" collapsed="false">
      <c r="A57" s="26" t="s">
        <v>373</v>
      </c>
      <c r="B57" s="26" t="n">
        <v>3415</v>
      </c>
      <c r="C57" s="26" t="s">
        <v>374</v>
      </c>
      <c r="D57" s="26" t="s">
        <v>368</v>
      </c>
      <c r="E57" s="26" t="s">
        <v>350</v>
      </c>
      <c r="F57" s="26" t="s">
        <v>369</v>
      </c>
      <c r="G57" s="26" t="s">
        <v>83</v>
      </c>
      <c r="H57" s="26" t="s">
        <v>370</v>
      </c>
      <c r="I57" s="26" t="n">
        <v>9</v>
      </c>
    </row>
    <row r="58" customFormat="false" ht="23.85" hidden="false" customHeight="false" outlineLevel="0" collapsed="false">
      <c r="A58" s="26" t="s">
        <v>375</v>
      </c>
      <c r="B58" s="26" t="n">
        <v>3512</v>
      </c>
      <c r="C58" s="26" t="s">
        <v>376</v>
      </c>
      <c r="D58" s="26" t="s">
        <v>368</v>
      </c>
      <c r="E58" s="26" t="s">
        <v>350</v>
      </c>
      <c r="F58" s="26" t="s">
        <v>369</v>
      </c>
      <c r="G58" s="26" t="s">
        <v>83</v>
      </c>
      <c r="H58" s="26" t="s">
        <v>370</v>
      </c>
      <c r="I58" s="26" t="n">
        <v>9</v>
      </c>
    </row>
    <row r="59" customFormat="false" ht="23.85" hidden="false" customHeight="false" outlineLevel="0" collapsed="false">
      <c r="A59" s="26" t="s">
        <v>375</v>
      </c>
      <c r="B59" s="26" t="n">
        <v>3513</v>
      </c>
      <c r="C59" s="26" t="s">
        <v>377</v>
      </c>
      <c r="D59" s="26" t="s">
        <v>368</v>
      </c>
      <c r="E59" s="26" t="s">
        <v>350</v>
      </c>
      <c r="F59" s="26" t="s">
        <v>369</v>
      </c>
      <c r="G59" s="26" t="s">
        <v>83</v>
      </c>
      <c r="H59" s="26" t="s">
        <v>370</v>
      </c>
      <c r="I59" s="26" t="n">
        <v>9</v>
      </c>
    </row>
    <row r="60" customFormat="false" ht="23.85" hidden="false" customHeight="false" outlineLevel="0" collapsed="false">
      <c r="A60" s="26" t="s">
        <v>331</v>
      </c>
      <c r="B60" s="26" t="n">
        <v>2704</v>
      </c>
      <c r="C60" s="26" t="s">
        <v>378</v>
      </c>
      <c r="D60" s="26" t="s">
        <v>368</v>
      </c>
      <c r="E60" s="26" t="s">
        <v>350</v>
      </c>
      <c r="F60" s="26" t="s">
        <v>369</v>
      </c>
      <c r="G60" s="26" t="s">
        <v>83</v>
      </c>
      <c r="H60" s="26" t="s">
        <v>370</v>
      </c>
      <c r="I60" s="26" t="n">
        <v>9</v>
      </c>
    </row>
    <row r="61" customFormat="false" ht="23.85" hidden="false" customHeight="false" outlineLevel="0" collapsed="false">
      <c r="A61" s="26" t="s">
        <v>334</v>
      </c>
      <c r="B61" s="26" t="n">
        <v>3004</v>
      </c>
      <c r="C61" s="26" t="s">
        <v>379</v>
      </c>
      <c r="D61" s="26" t="s">
        <v>368</v>
      </c>
      <c r="E61" s="26" t="s">
        <v>350</v>
      </c>
      <c r="F61" s="26" t="s">
        <v>369</v>
      </c>
      <c r="G61" s="26" t="s">
        <v>83</v>
      </c>
      <c r="H61" s="26" t="s">
        <v>370</v>
      </c>
      <c r="I61" s="26" t="n">
        <v>9</v>
      </c>
    </row>
    <row r="62" customFormat="false" ht="23.85" hidden="false" customHeight="false" outlineLevel="0" collapsed="false">
      <c r="A62" s="26" t="s">
        <v>352</v>
      </c>
      <c r="B62" s="26" t="n">
        <v>4114</v>
      </c>
      <c r="C62" s="26" t="s">
        <v>380</v>
      </c>
      <c r="D62" s="26" t="s">
        <v>368</v>
      </c>
      <c r="E62" s="26" t="s">
        <v>350</v>
      </c>
      <c r="F62" s="26" t="s">
        <v>369</v>
      </c>
      <c r="G62" s="26" t="s">
        <v>83</v>
      </c>
      <c r="H62" s="26" t="s">
        <v>370</v>
      </c>
      <c r="I62" s="26" t="n">
        <v>9</v>
      </c>
    </row>
    <row r="63" customFormat="false" ht="23.85" hidden="false" customHeight="false" outlineLevel="0" collapsed="false">
      <c r="A63" s="26" t="s">
        <v>314</v>
      </c>
      <c r="B63" s="26" t="n">
        <v>305</v>
      </c>
      <c r="C63" s="26" t="s">
        <v>381</v>
      </c>
      <c r="D63" s="26" t="s">
        <v>382</v>
      </c>
      <c r="E63" s="26" t="s">
        <v>350</v>
      </c>
      <c r="F63" s="26" t="s">
        <v>303</v>
      </c>
      <c r="G63" s="26" t="s">
        <v>83</v>
      </c>
      <c r="H63" s="26" t="s">
        <v>383</v>
      </c>
      <c r="I63" s="26" t="n">
        <v>3</v>
      </c>
    </row>
    <row r="64" customFormat="false" ht="23.85" hidden="false" customHeight="false" outlineLevel="0" collapsed="false">
      <c r="A64" s="26" t="s">
        <v>352</v>
      </c>
      <c r="B64" s="26" t="n">
        <v>4107</v>
      </c>
      <c r="C64" s="26" t="s">
        <v>384</v>
      </c>
      <c r="D64" s="26" t="s">
        <v>382</v>
      </c>
      <c r="E64" s="26" t="s">
        <v>350</v>
      </c>
      <c r="F64" s="26" t="s">
        <v>303</v>
      </c>
      <c r="G64" s="26" t="s">
        <v>83</v>
      </c>
      <c r="H64" s="26" t="s">
        <v>383</v>
      </c>
      <c r="I64" s="26" t="n">
        <v>3</v>
      </c>
    </row>
    <row r="65" customFormat="false" ht="23.85" hidden="false" customHeight="false" outlineLevel="0" collapsed="false">
      <c r="A65" s="26" t="s">
        <v>352</v>
      </c>
      <c r="B65" s="26" t="n">
        <v>4122</v>
      </c>
      <c r="C65" s="26" t="s">
        <v>385</v>
      </c>
      <c r="D65" s="26" t="s">
        <v>382</v>
      </c>
      <c r="E65" s="26" t="s">
        <v>350</v>
      </c>
      <c r="F65" s="26" t="s">
        <v>303</v>
      </c>
      <c r="G65" s="26" t="s">
        <v>83</v>
      </c>
      <c r="H65" s="26" t="s">
        <v>383</v>
      </c>
      <c r="I65" s="26" t="n">
        <v>3</v>
      </c>
    </row>
    <row r="66" customFormat="false" ht="23.85" hidden="false" customHeight="false" outlineLevel="0" collapsed="false">
      <c r="A66" s="26" t="s">
        <v>299</v>
      </c>
      <c r="B66" s="26" t="n">
        <v>2110</v>
      </c>
      <c r="C66" s="26" t="s">
        <v>386</v>
      </c>
      <c r="D66" s="26" t="s">
        <v>387</v>
      </c>
      <c r="E66" s="26" t="s">
        <v>302</v>
      </c>
      <c r="F66" s="26" t="s">
        <v>303</v>
      </c>
      <c r="G66" s="26" t="s">
        <v>82</v>
      </c>
      <c r="H66" s="26" t="s">
        <v>388</v>
      </c>
      <c r="I66" s="26" t="n">
        <v>1</v>
      </c>
    </row>
    <row r="67" customFormat="false" ht="23.85" hidden="false" customHeight="false" outlineLevel="0" collapsed="false">
      <c r="A67" s="26" t="s">
        <v>299</v>
      </c>
      <c r="B67" s="26" t="n">
        <v>2117</v>
      </c>
      <c r="C67" s="26" t="s">
        <v>389</v>
      </c>
      <c r="D67" s="26" t="s">
        <v>390</v>
      </c>
      <c r="E67" s="26" t="s">
        <v>350</v>
      </c>
      <c r="F67" s="26" t="s">
        <v>303</v>
      </c>
      <c r="G67" s="26" t="s">
        <v>82</v>
      </c>
      <c r="H67" s="26" t="s">
        <v>391</v>
      </c>
      <c r="I67" s="26" t="n">
        <v>31</v>
      </c>
    </row>
    <row r="68" customFormat="false" ht="23.85" hidden="false" customHeight="false" outlineLevel="0" collapsed="false">
      <c r="A68" s="26" t="s">
        <v>307</v>
      </c>
      <c r="B68" s="26" t="n">
        <v>2208</v>
      </c>
      <c r="C68" s="26" t="s">
        <v>392</v>
      </c>
      <c r="D68" s="26" t="s">
        <v>390</v>
      </c>
      <c r="E68" s="26" t="s">
        <v>350</v>
      </c>
      <c r="F68" s="26" t="s">
        <v>303</v>
      </c>
      <c r="G68" s="26" t="s">
        <v>82</v>
      </c>
      <c r="H68" s="26" t="s">
        <v>391</v>
      </c>
      <c r="I68" s="26" t="n">
        <v>31</v>
      </c>
    </row>
    <row r="69" customFormat="false" ht="23.85" hidden="false" customHeight="false" outlineLevel="0" collapsed="false">
      <c r="A69" s="26" t="s">
        <v>310</v>
      </c>
      <c r="B69" s="26" t="n">
        <v>2309</v>
      </c>
      <c r="C69" s="26" t="s">
        <v>393</v>
      </c>
      <c r="D69" s="26" t="s">
        <v>390</v>
      </c>
      <c r="E69" s="26" t="s">
        <v>350</v>
      </c>
      <c r="F69" s="26" t="s">
        <v>303</v>
      </c>
      <c r="G69" s="26" t="s">
        <v>82</v>
      </c>
      <c r="H69" s="26" t="s">
        <v>391</v>
      </c>
      <c r="I69" s="26" t="n">
        <v>31</v>
      </c>
    </row>
    <row r="70" customFormat="false" ht="23.85" hidden="false" customHeight="false" outlineLevel="0" collapsed="false">
      <c r="A70" s="26" t="s">
        <v>312</v>
      </c>
      <c r="B70" s="26" t="n">
        <v>3703</v>
      </c>
      <c r="C70" s="26" t="s">
        <v>394</v>
      </c>
      <c r="D70" s="26" t="s">
        <v>390</v>
      </c>
      <c r="E70" s="26" t="s">
        <v>350</v>
      </c>
      <c r="F70" s="26" t="s">
        <v>303</v>
      </c>
      <c r="G70" s="26" t="s">
        <v>82</v>
      </c>
      <c r="H70" s="26" t="s">
        <v>391</v>
      </c>
      <c r="I70" s="26" t="n">
        <v>31</v>
      </c>
    </row>
    <row r="71" customFormat="false" ht="23.85" hidden="false" customHeight="false" outlineLevel="0" collapsed="false">
      <c r="A71" s="26" t="s">
        <v>314</v>
      </c>
      <c r="B71" s="26" t="n">
        <v>306</v>
      </c>
      <c r="C71" s="26" t="s">
        <v>395</v>
      </c>
      <c r="D71" s="26" t="s">
        <v>390</v>
      </c>
      <c r="E71" s="26" t="s">
        <v>350</v>
      </c>
      <c r="F71" s="26" t="s">
        <v>303</v>
      </c>
      <c r="G71" s="26" t="s">
        <v>82</v>
      </c>
      <c r="H71" s="26" t="s">
        <v>391</v>
      </c>
      <c r="I71" s="26" t="n">
        <v>31</v>
      </c>
    </row>
    <row r="72" customFormat="false" ht="23.85" hidden="false" customHeight="false" outlineLevel="0" collapsed="false">
      <c r="A72" s="26" t="s">
        <v>314</v>
      </c>
      <c r="B72" s="26" t="n">
        <v>307</v>
      </c>
      <c r="C72" s="26" t="s">
        <v>396</v>
      </c>
      <c r="D72" s="26" t="s">
        <v>390</v>
      </c>
      <c r="E72" s="26" t="s">
        <v>350</v>
      </c>
      <c r="F72" s="26" t="s">
        <v>303</v>
      </c>
      <c r="G72" s="26" t="s">
        <v>82</v>
      </c>
      <c r="H72" s="26" t="s">
        <v>391</v>
      </c>
      <c r="I72" s="26" t="n">
        <v>31</v>
      </c>
    </row>
    <row r="73" customFormat="false" ht="23.85" hidden="false" customHeight="false" outlineLevel="0" collapsed="false">
      <c r="A73" s="26" t="s">
        <v>314</v>
      </c>
      <c r="B73" s="26" t="n">
        <v>317</v>
      </c>
      <c r="C73" s="26" t="s">
        <v>397</v>
      </c>
      <c r="D73" s="26" t="s">
        <v>390</v>
      </c>
      <c r="E73" s="26" t="s">
        <v>350</v>
      </c>
      <c r="F73" s="26" t="s">
        <v>303</v>
      </c>
      <c r="G73" s="26" t="s">
        <v>82</v>
      </c>
      <c r="H73" s="26" t="s">
        <v>391</v>
      </c>
      <c r="I73" s="26" t="n">
        <v>31</v>
      </c>
    </row>
    <row r="74" customFormat="false" ht="23.85" hidden="false" customHeight="false" outlineLevel="0" collapsed="false">
      <c r="A74" s="26" t="s">
        <v>318</v>
      </c>
      <c r="B74" s="26" t="n">
        <v>2607</v>
      </c>
      <c r="C74" s="26" t="s">
        <v>398</v>
      </c>
      <c r="D74" s="26" t="s">
        <v>390</v>
      </c>
      <c r="E74" s="26" t="s">
        <v>350</v>
      </c>
      <c r="F74" s="26" t="s">
        <v>303</v>
      </c>
      <c r="G74" s="26" t="s">
        <v>82</v>
      </c>
      <c r="H74" s="26" t="s">
        <v>391</v>
      </c>
      <c r="I74" s="26" t="n">
        <v>31</v>
      </c>
    </row>
    <row r="75" customFormat="false" ht="23.85" hidden="false" customHeight="false" outlineLevel="0" collapsed="false">
      <c r="A75" s="26" t="s">
        <v>319</v>
      </c>
      <c r="B75" s="26" t="n">
        <v>3907</v>
      </c>
      <c r="C75" s="26" t="s">
        <v>399</v>
      </c>
      <c r="D75" s="26" t="s">
        <v>390</v>
      </c>
      <c r="E75" s="26" t="s">
        <v>350</v>
      </c>
      <c r="F75" s="26" t="s">
        <v>303</v>
      </c>
      <c r="G75" s="26" t="s">
        <v>82</v>
      </c>
      <c r="H75" s="26" t="s">
        <v>391</v>
      </c>
      <c r="I75" s="26" t="n">
        <v>31</v>
      </c>
    </row>
    <row r="76" customFormat="false" ht="23.85" hidden="false" customHeight="false" outlineLevel="0" collapsed="false">
      <c r="A76" s="26" t="s">
        <v>321</v>
      </c>
      <c r="B76" s="26" t="n">
        <v>3107</v>
      </c>
      <c r="C76" s="26" t="s">
        <v>400</v>
      </c>
      <c r="D76" s="26" t="s">
        <v>390</v>
      </c>
      <c r="E76" s="26" t="s">
        <v>350</v>
      </c>
      <c r="F76" s="26" t="s">
        <v>303</v>
      </c>
      <c r="G76" s="26" t="s">
        <v>82</v>
      </c>
      <c r="H76" s="26" t="s">
        <v>391</v>
      </c>
      <c r="I76" s="26" t="n">
        <v>31</v>
      </c>
    </row>
    <row r="77" customFormat="false" ht="35.05" hidden="false" customHeight="false" outlineLevel="0" collapsed="false">
      <c r="A77" s="26" t="s">
        <v>323</v>
      </c>
      <c r="B77" s="26" t="n">
        <v>2905</v>
      </c>
      <c r="C77" s="26" t="s">
        <v>401</v>
      </c>
      <c r="D77" s="26" t="s">
        <v>390</v>
      </c>
      <c r="E77" s="26" t="s">
        <v>350</v>
      </c>
      <c r="F77" s="26" t="s">
        <v>303</v>
      </c>
      <c r="G77" s="26" t="s">
        <v>82</v>
      </c>
      <c r="H77" s="26" t="s">
        <v>391</v>
      </c>
      <c r="I77" s="26" t="n">
        <v>31</v>
      </c>
    </row>
    <row r="78" customFormat="false" ht="23.85" hidden="false" customHeight="false" outlineLevel="0" collapsed="false">
      <c r="A78" s="26" t="s">
        <v>323</v>
      </c>
      <c r="B78" s="26" t="n">
        <v>2907</v>
      </c>
      <c r="C78" s="26" t="s">
        <v>389</v>
      </c>
      <c r="D78" s="26" t="s">
        <v>390</v>
      </c>
      <c r="E78" s="26" t="s">
        <v>350</v>
      </c>
      <c r="F78" s="26" t="s">
        <v>303</v>
      </c>
      <c r="G78" s="26" t="s">
        <v>82</v>
      </c>
      <c r="H78" s="26" t="s">
        <v>391</v>
      </c>
      <c r="I78" s="26" t="n">
        <v>31</v>
      </c>
    </row>
    <row r="79" customFormat="false" ht="23.85" hidden="false" customHeight="false" outlineLevel="0" collapsed="false">
      <c r="A79" s="26" t="s">
        <v>323</v>
      </c>
      <c r="B79" s="26" t="n">
        <v>2916</v>
      </c>
      <c r="C79" s="26" t="s">
        <v>402</v>
      </c>
      <c r="D79" s="26" t="s">
        <v>390</v>
      </c>
      <c r="E79" s="26" t="s">
        <v>350</v>
      </c>
      <c r="F79" s="26" t="s">
        <v>303</v>
      </c>
      <c r="G79" s="26" t="s">
        <v>82</v>
      </c>
      <c r="H79" s="26" t="s">
        <v>391</v>
      </c>
      <c r="I79" s="26" t="n">
        <v>31</v>
      </c>
    </row>
    <row r="80" customFormat="false" ht="23.85" hidden="false" customHeight="false" outlineLevel="0" collapsed="false">
      <c r="A80" s="26" t="s">
        <v>324</v>
      </c>
      <c r="B80" s="26" t="n">
        <v>3305</v>
      </c>
      <c r="C80" s="26" t="s">
        <v>400</v>
      </c>
      <c r="D80" s="26" t="s">
        <v>390</v>
      </c>
      <c r="E80" s="26" t="s">
        <v>350</v>
      </c>
      <c r="F80" s="26" t="s">
        <v>303</v>
      </c>
      <c r="G80" s="26" t="s">
        <v>82</v>
      </c>
      <c r="H80" s="26" t="s">
        <v>391</v>
      </c>
      <c r="I80" s="26" t="n">
        <v>31</v>
      </c>
    </row>
    <row r="81" customFormat="false" ht="23.85" hidden="false" customHeight="false" outlineLevel="0" collapsed="false">
      <c r="A81" s="26" t="s">
        <v>327</v>
      </c>
      <c r="B81" s="26" t="n">
        <v>2507</v>
      </c>
      <c r="C81" s="26" t="s">
        <v>389</v>
      </c>
      <c r="D81" s="26" t="s">
        <v>390</v>
      </c>
      <c r="E81" s="26" t="s">
        <v>350</v>
      </c>
      <c r="F81" s="26" t="s">
        <v>303</v>
      </c>
      <c r="G81" s="26" t="s">
        <v>82</v>
      </c>
      <c r="H81" s="26" t="s">
        <v>391</v>
      </c>
      <c r="I81" s="26" t="n">
        <v>31</v>
      </c>
    </row>
    <row r="82" customFormat="false" ht="23.85" hidden="false" customHeight="false" outlineLevel="0" collapsed="false">
      <c r="A82" s="26" t="s">
        <v>329</v>
      </c>
      <c r="B82" s="26" t="n">
        <v>3203</v>
      </c>
      <c r="C82" s="26" t="s">
        <v>403</v>
      </c>
      <c r="D82" s="26" t="s">
        <v>390</v>
      </c>
      <c r="E82" s="26" t="s">
        <v>350</v>
      </c>
      <c r="F82" s="26" t="s">
        <v>303</v>
      </c>
      <c r="G82" s="26" t="s">
        <v>82</v>
      </c>
      <c r="H82" s="26" t="s">
        <v>391</v>
      </c>
      <c r="I82" s="26" t="n">
        <v>31</v>
      </c>
    </row>
    <row r="83" customFormat="false" ht="23.85" hidden="false" customHeight="false" outlineLevel="0" collapsed="false">
      <c r="A83" s="26" t="s">
        <v>329</v>
      </c>
      <c r="B83" s="26" t="n">
        <v>3212</v>
      </c>
      <c r="C83" s="26" t="s">
        <v>404</v>
      </c>
      <c r="D83" s="26" t="s">
        <v>390</v>
      </c>
      <c r="E83" s="26" t="s">
        <v>350</v>
      </c>
      <c r="F83" s="26" t="s">
        <v>303</v>
      </c>
      <c r="G83" s="26" t="s">
        <v>82</v>
      </c>
      <c r="H83" s="26" t="s">
        <v>391</v>
      </c>
      <c r="I83" s="26" t="n">
        <v>31</v>
      </c>
    </row>
    <row r="84" customFormat="false" ht="23.85" hidden="false" customHeight="false" outlineLevel="0" collapsed="false">
      <c r="A84" s="26" t="s">
        <v>329</v>
      </c>
      <c r="B84" s="26" t="n">
        <v>3218</v>
      </c>
      <c r="C84" s="26" t="s">
        <v>405</v>
      </c>
      <c r="D84" s="26" t="s">
        <v>390</v>
      </c>
      <c r="E84" s="26" t="s">
        <v>350</v>
      </c>
      <c r="F84" s="26" t="s">
        <v>303</v>
      </c>
      <c r="G84" s="26" t="s">
        <v>82</v>
      </c>
      <c r="H84" s="26" t="s">
        <v>391</v>
      </c>
      <c r="I84" s="26" t="n">
        <v>31</v>
      </c>
    </row>
    <row r="85" customFormat="false" ht="23.85" hidden="false" customHeight="false" outlineLevel="0" collapsed="false">
      <c r="A85" s="26" t="s">
        <v>373</v>
      </c>
      <c r="B85" s="26" t="n">
        <v>3402</v>
      </c>
      <c r="C85" s="26" t="s">
        <v>400</v>
      </c>
      <c r="D85" s="26" t="s">
        <v>390</v>
      </c>
      <c r="E85" s="26" t="s">
        <v>350</v>
      </c>
      <c r="F85" s="26" t="s">
        <v>303</v>
      </c>
      <c r="G85" s="26" t="s">
        <v>82</v>
      </c>
      <c r="H85" s="26" t="s">
        <v>391</v>
      </c>
      <c r="I85" s="26" t="n">
        <v>31</v>
      </c>
    </row>
    <row r="86" customFormat="false" ht="23.85" hidden="false" customHeight="false" outlineLevel="0" collapsed="false">
      <c r="A86" s="26" t="s">
        <v>373</v>
      </c>
      <c r="B86" s="26" t="n">
        <v>3407</v>
      </c>
      <c r="C86" s="26" t="s">
        <v>406</v>
      </c>
      <c r="D86" s="26" t="s">
        <v>390</v>
      </c>
      <c r="E86" s="26" t="s">
        <v>350</v>
      </c>
      <c r="F86" s="26" t="s">
        <v>303</v>
      </c>
      <c r="G86" s="26" t="s">
        <v>82</v>
      </c>
      <c r="H86" s="26" t="s">
        <v>391</v>
      </c>
      <c r="I86" s="26" t="n">
        <v>31</v>
      </c>
    </row>
    <row r="87" customFormat="false" ht="23.85" hidden="false" customHeight="false" outlineLevel="0" collapsed="false">
      <c r="A87" s="26" t="s">
        <v>373</v>
      </c>
      <c r="B87" s="26" t="n">
        <v>3416</v>
      </c>
      <c r="C87" s="26" t="s">
        <v>407</v>
      </c>
      <c r="D87" s="26" t="s">
        <v>390</v>
      </c>
      <c r="E87" s="26" t="s">
        <v>350</v>
      </c>
      <c r="F87" s="26" t="s">
        <v>303</v>
      </c>
      <c r="G87" s="26" t="s">
        <v>82</v>
      </c>
      <c r="H87" s="26" t="s">
        <v>391</v>
      </c>
      <c r="I87" s="26" t="n">
        <v>31</v>
      </c>
    </row>
    <row r="88" customFormat="false" ht="23.85" hidden="false" customHeight="false" outlineLevel="0" collapsed="false">
      <c r="A88" s="26" t="s">
        <v>373</v>
      </c>
      <c r="B88" s="26" t="n">
        <v>3417</v>
      </c>
      <c r="C88" s="26" t="s">
        <v>408</v>
      </c>
      <c r="D88" s="26" t="s">
        <v>390</v>
      </c>
      <c r="E88" s="26" t="s">
        <v>350</v>
      </c>
      <c r="F88" s="26" t="s">
        <v>303</v>
      </c>
      <c r="G88" s="26" t="s">
        <v>82</v>
      </c>
      <c r="H88" s="26" t="s">
        <v>391</v>
      </c>
      <c r="I88" s="26" t="n">
        <v>31</v>
      </c>
    </row>
    <row r="89" customFormat="false" ht="23.85" hidden="false" customHeight="false" outlineLevel="0" collapsed="false">
      <c r="A89" s="26" t="s">
        <v>373</v>
      </c>
      <c r="B89" s="26" t="n">
        <v>3425</v>
      </c>
      <c r="C89" s="26" t="s">
        <v>409</v>
      </c>
      <c r="D89" s="26" t="s">
        <v>390</v>
      </c>
      <c r="E89" s="26" t="s">
        <v>350</v>
      </c>
      <c r="F89" s="26" t="s">
        <v>303</v>
      </c>
      <c r="G89" s="26" t="s">
        <v>82</v>
      </c>
      <c r="H89" s="26" t="s">
        <v>391</v>
      </c>
      <c r="I89" s="26" t="n">
        <v>31</v>
      </c>
    </row>
    <row r="90" customFormat="false" ht="23.85" hidden="false" customHeight="false" outlineLevel="0" collapsed="false">
      <c r="A90" s="26" t="s">
        <v>375</v>
      </c>
      <c r="B90" s="26" t="n">
        <v>3502</v>
      </c>
      <c r="C90" s="26" t="s">
        <v>400</v>
      </c>
      <c r="D90" s="26" t="s">
        <v>390</v>
      </c>
      <c r="E90" s="26" t="s">
        <v>350</v>
      </c>
      <c r="F90" s="26" t="s">
        <v>303</v>
      </c>
      <c r="G90" s="26" t="s">
        <v>82</v>
      </c>
      <c r="H90" s="26" t="s">
        <v>391</v>
      </c>
      <c r="I90" s="26" t="n">
        <v>31</v>
      </c>
    </row>
    <row r="91" customFormat="false" ht="23.85" hidden="false" customHeight="false" outlineLevel="0" collapsed="false">
      <c r="A91" s="26" t="s">
        <v>375</v>
      </c>
      <c r="B91" s="26" t="n">
        <v>3517</v>
      </c>
      <c r="C91" s="26" t="s">
        <v>409</v>
      </c>
      <c r="D91" s="26" t="s">
        <v>390</v>
      </c>
      <c r="E91" s="26" t="s">
        <v>350</v>
      </c>
      <c r="F91" s="26" t="s">
        <v>303</v>
      </c>
      <c r="G91" s="26" t="s">
        <v>82</v>
      </c>
      <c r="H91" s="26" t="s">
        <v>391</v>
      </c>
      <c r="I91" s="26" t="n">
        <v>31</v>
      </c>
    </row>
    <row r="92" customFormat="false" ht="23.85" hidden="false" customHeight="false" outlineLevel="0" collapsed="false">
      <c r="A92" s="26" t="s">
        <v>331</v>
      </c>
      <c r="B92" s="26" t="n">
        <v>2703</v>
      </c>
      <c r="C92" s="26" t="s">
        <v>410</v>
      </c>
      <c r="D92" s="26" t="s">
        <v>390</v>
      </c>
      <c r="E92" s="26" t="s">
        <v>350</v>
      </c>
      <c r="F92" s="26" t="s">
        <v>303</v>
      </c>
      <c r="G92" s="26" t="s">
        <v>82</v>
      </c>
      <c r="H92" s="26" t="s">
        <v>391</v>
      </c>
      <c r="I92" s="26" t="n">
        <v>31</v>
      </c>
    </row>
    <row r="93" customFormat="false" ht="23.85" hidden="false" customHeight="false" outlineLevel="0" collapsed="false">
      <c r="A93" s="26" t="s">
        <v>331</v>
      </c>
      <c r="B93" s="26" t="n">
        <v>2708</v>
      </c>
      <c r="C93" s="26" t="s">
        <v>411</v>
      </c>
      <c r="D93" s="26" t="s">
        <v>390</v>
      </c>
      <c r="E93" s="26" t="s">
        <v>350</v>
      </c>
      <c r="F93" s="26" t="s">
        <v>303</v>
      </c>
      <c r="G93" s="26" t="s">
        <v>82</v>
      </c>
      <c r="H93" s="26" t="s">
        <v>391</v>
      </c>
      <c r="I93" s="26" t="n">
        <v>31</v>
      </c>
    </row>
    <row r="94" customFormat="false" ht="23.85" hidden="false" customHeight="false" outlineLevel="0" collapsed="false">
      <c r="A94" s="26" t="s">
        <v>334</v>
      </c>
      <c r="B94" s="26" t="n">
        <v>3011</v>
      </c>
      <c r="C94" s="26" t="s">
        <v>389</v>
      </c>
      <c r="D94" s="26" t="s">
        <v>390</v>
      </c>
      <c r="E94" s="26" t="s">
        <v>350</v>
      </c>
      <c r="F94" s="26" t="s">
        <v>303</v>
      </c>
      <c r="G94" s="26" t="s">
        <v>82</v>
      </c>
      <c r="H94" s="26" t="s">
        <v>391</v>
      </c>
      <c r="I94" s="26" t="n">
        <v>31</v>
      </c>
    </row>
    <row r="95" customFormat="false" ht="35.05" hidden="false" customHeight="false" outlineLevel="0" collapsed="false">
      <c r="A95" s="26" t="s">
        <v>334</v>
      </c>
      <c r="B95" s="26" t="n">
        <v>3020</v>
      </c>
      <c r="C95" s="26" t="s">
        <v>412</v>
      </c>
      <c r="D95" s="26" t="s">
        <v>390</v>
      </c>
      <c r="E95" s="26" t="s">
        <v>350</v>
      </c>
      <c r="F95" s="26" t="s">
        <v>303</v>
      </c>
      <c r="G95" s="26" t="s">
        <v>82</v>
      </c>
      <c r="H95" s="26" t="s">
        <v>391</v>
      </c>
      <c r="I95" s="26" t="n">
        <v>31</v>
      </c>
    </row>
    <row r="96" customFormat="false" ht="23.85" hidden="false" customHeight="false" outlineLevel="0" collapsed="false">
      <c r="A96" s="26" t="s">
        <v>352</v>
      </c>
      <c r="B96" s="26" t="n">
        <v>4110</v>
      </c>
      <c r="C96" s="26" t="s">
        <v>413</v>
      </c>
      <c r="D96" s="26" t="s">
        <v>390</v>
      </c>
      <c r="E96" s="26" t="s">
        <v>350</v>
      </c>
      <c r="F96" s="26" t="s">
        <v>303</v>
      </c>
      <c r="G96" s="26" t="s">
        <v>82</v>
      </c>
      <c r="H96" s="26" t="s">
        <v>391</v>
      </c>
      <c r="I96" s="26" t="n">
        <v>31</v>
      </c>
    </row>
    <row r="97" customFormat="false" ht="23.85" hidden="false" customHeight="false" outlineLevel="0" collapsed="false">
      <c r="A97" s="26" t="s">
        <v>352</v>
      </c>
      <c r="B97" s="26" t="n">
        <v>4113</v>
      </c>
      <c r="C97" s="26" t="s">
        <v>414</v>
      </c>
      <c r="D97" s="26" t="s">
        <v>390</v>
      </c>
      <c r="E97" s="26" t="s">
        <v>350</v>
      </c>
      <c r="F97" s="26" t="s">
        <v>303</v>
      </c>
      <c r="G97" s="26" t="s">
        <v>82</v>
      </c>
      <c r="H97" s="26" t="s">
        <v>391</v>
      </c>
      <c r="I97" s="26" t="n">
        <v>31</v>
      </c>
    </row>
    <row r="98" customFormat="false" ht="23.85" hidden="false" customHeight="false" outlineLevel="0" collapsed="false">
      <c r="A98" s="26" t="s">
        <v>299</v>
      </c>
      <c r="B98" s="26" t="n">
        <v>2118</v>
      </c>
      <c r="C98" s="26" t="s">
        <v>415</v>
      </c>
      <c r="D98" s="26" t="s">
        <v>416</v>
      </c>
      <c r="E98" s="26" t="s">
        <v>350</v>
      </c>
      <c r="F98" s="26" t="s">
        <v>303</v>
      </c>
      <c r="G98" s="26" t="s">
        <v>82</v>
      </c>
      <c r="H98" s="26" t="s">
        <v>417</v>
      </c>
      <c r="I98" s="26" t="n">
        <v>46</v>
      </c>
    </row>
    <row r="99" customFormat="false" ht="23.85" hidden="false" customHeight="false" outlineLevel="0" collapsed="false">
      <c r="A99" s="26" t="s">
        <v>299</v>
      </c>
      <c r="B99" s="26" t="n">
        <v>2126</v>
      </c>
      <c r="C99" s="26" t="s">
        <v>418</v>
      </c>
      <c r="D99" s="26" t="s">
        <v>416</v>
      </c>
      <c r="E99" s="26" t="s">
        <v>350</v>
      </c>
      <c r="F99" s="26" t="s">
        <v>303</v>
      </c>
      <c r="G99" s="26" t="s">
        <v>82</v>
      </c>
      <c r="H99" s="26" t="s">
        <v>417</v>
      </c>
      <c r="I99" s="26" t="n">
        <v>46</v>
      </c>
    </row>
    <row r="100" customFormat="false" ht="23.85" hidden="false" customHeight="false" outlineLevel="0" collapsed="false">
      <c r="A100" s="26" t="s">
        <v>299</v>
      </c>
      <c r="B100" s="26" t="n">
        <v>2127</v>
      </c>
      <c r="C100" s="26" t="s">
        <v>419</v>
      </c>
      <c r="D100" s="26" t="s">
        <v>416</v>
      </c>
      <c r="E100" s="26" t="s">
        <v>350</v>
      </c>
      <c r="F100" s="26" t="s">
        <v>303</v>
      </c>
      <c r="G100" s="26" t="s">
        <v>82</v>
      </c>
      <c r="H100" s="26" t="s">
        <v>417</v>
      </c>
      <c r="I100" s="26" t="n">
        <v>46</v>
      </c>
    </row>
    <row r="101" customFormat="false" ht="23.85" hidden="false" customHeight="false" outlineLevel="0" collapsed="false">
      <c r="A101" s="26" t="s">
        <v>307</v>
      </c>
      <c r="B101" s="26" t="n">
        <v>2209</v>
      </c>
      <c r="C101" s="26" t="s">
        <v>420</v>
      </c>
      <c r="D101" s="26" t="s">
        <v>416</v>
      </c>
      <c r="E101" s="26" t="s">
        <v>350</v>
      </c>
      <c r="F101" s="26" t="s">
        <v>303</v>
      </c>
      <c r="G101" s="26" t="s">
        <v>82</v>
      </c>
      <c r="H101" s="26" t="s">
        <v>417</v>
      </c>
      <c r="I101" s="26" t="n">
        <v>46</v>
      </c>
    </row>
    <row r="102" customFormat="false" ht="23.85" hidden="false" customHeight="false" outlineLevel="0" collapsed="false">
      <c r="A102" s="26" t="s">
        <v>307</v>
      </c>
      <c r="B102" s="26" t="n">
        <v>2212</v>
      </c>
      <c r="C102" s="26" t="s">
        <v>421</v>
      </c>
      <c r="D102" s="26" t="s">
        <v>416</v>
      </c>
      <c r="E102" s="26" t="s">
        <v>350</v>
      </c>
      <c r="F102" s="26" t="s">
        <v>303</v>
      </c>
      <c r="G102" s="26" t="s">
        <v>82</v>
      </c>
      <c r="H102" s="26" t="s">
        <v>417</v>
      </c>
      <c r="I102" s="26" t="n">
        <v>46</v>
      </c>
    </row>
    <row r="103" customFormat="false" ht="23.85" hidden="false" customHeight="false" outlineLevel="0" collapsed="false">
      <c r="A103" s="26" t="s">
        <v>310</v>
      </c>
      <c r="B103" s="26" t="n">
        <v>2310</v>
      </c>
      <c r="C103" s="26" t="s">
        <v>422</v>
      </c>
      <c r="D103" s="26" t="s">
        <v>416</v>
      </c>
      <c r="E103" s="26" t="s">
        <v>350</v>
      </c>
      <c r="F103" s="26" t="s">
        <v>303</v>
      </c>
      <c r="G103" s="26" t="s">
        <v>82</v>
      </c>
      <c r="H103" s="26" t="s">
        <v>417</v>
      </c>
      <c r="I103" s="26" t="n">
        <v>46</v>
      </c>
    </row>
    <row r="104" customFormat="false" ht="23.85" hidden="false" customHeight="false" outlineLevel="0" collapsed="false">
      <c r="A104" s="26" t="s">
        <v>310</v>
      </c>
      <c r="B104" s="26" t="n">
        <v>2315</v>
      </c>
      <c r="C104" s="26" t="s">
        <v>419</v>
      </c>
      <c r="D104" s="26" t="s">
        <v>416</v>
      </c>
      <c r="E104" s="26" t="s">
        <v>350</v>
      </c>
      <c r="F104" s="26" t="s">
        <v>303</v>
      </c>
      <c r="G104" s="26" t="s">
        <v>82</v>
      </c>
      <c r="H104" s="26" t="s">
        <v>417</v>
      </c>
      <c r="I104" s="26" t="n">
        <v>46</v>
      </c>
    </row>
    <row r="105" customFormat="false" ht="23.85" hidden="false" customHeight="false" outlineLevel="0" collapsed="false">
      <c r="A105" s="26" t="s">
        <v>312</v>
      </c>
      <c r="B105" s="26" t="n">
        <v>3704</v>
      </c>
      <c r="C105" s="26" t="s">
        <v>423</v>
      </c>
      <c r="D105" s="26" t="s">
        <v>416</v>
      </c>
      <c r="E105" s="26" t="s">
        <v>350</v>
      </c>
      <c r="F105" s="26" t="s">
        <v>303</v>
      </c>
      <c r="G105" s="26" t="s">
        <v>82</v>
      </c>
      <c r="H105" s="26" t="s">
        <v>417</v>
      </c>
      <c r="I105" s="26" t="n">
        <v>46</v>
      </c>
    </row>
    <row r="106" customFormat="false" ht="23.85" hidden="false" customHeight="false" outlineLevel="0" collapsed="false">
      <c r="A106" s="26" t="s">
        <v>312</v>
      </c>
      <c r="B106" s="26" t="n">
        <v>3712</v>
      </c>
      <c r="C106" s="26" t="s">
        <v>424</v>
      </c>
      <c r="D106" s="26" t="s">
        <v>416</v>
      </c>
      <c r="E106" s="26" t="s">
        <v>350</v>
      </c>
      <c r="F106" s="26" t="s">
        <v>303</v>
      </c>
      <c r="G106" s="26" t="s">
        <v>82</v>
      </c>
      <c r="H106" s="26" t="s">
        <v>417</v>
      </c>
      <c r="I106" s="26" t="n">
        <v>46</v>
      </c>
    </row>
    <row r="107" customFormat="false" ht="23.85" hidden="false" customHeight="false" outlineLevel="0" collapsed="false">
      <c r="A107" s="26" t="s">
        <v>314</v>
      </c>
      <c r="B107" s="26" t="n">
        <v>308</v>
      </c>
      <c r="C107" s="26" t="s">
        <v>422</v>
      </c>
      <c r="D107" s="26" t="s">
        <v>416</v>
      </c>
      <c r="E107" s="26" t="s">
        <v>350</v>
      </c>
      <c r="F107" s="26" t="s">
        <v>303</v>
      </c>
      <c r="G107" s="26" t="s">
        <v>82</v>
      </c>
      <c r="H107" s="26" t="s">
        <v>417</v>
      </c>
      <c r="I107" s="26" t="n">
        <v>46</v>
      </c>
    </row>
    <row r="108" customFormat="false" ht="23.85" hidden="false" customHeight="false" outlineLevel="0" collapsed="false">
      <c r="A108" s="26" t="s">
        <v>316</v>
      </c>
      <c r="B108" s="26" t="n">
        <v>2809</v>
      </c>
      <c r="C108" s="26" t="s">
        <v>423</v>
      </c>
      <c r="D108" s="26" t="s">
        <v>416</v>
      </c>
      <c r="E108" s="26" t="s">
        <v>350</v>
      </c>
      <c r="F108" s="26" t="s">
        <v>303</v>
      </c>
      <c r="G108" s="26" t="s">
        <v>82</v>
      </c>
      <c r="H108" s="26" t="s">
        <v>417</v>
      </c>
      <c r="I108" s="26" t="n">
        <v>46</v>
      </c>
    </row>
    <row r="109" customFormat="false" ht="23.85" hidden="false" customHeight="false" outlineLevel="0" collapsed="false">
      <c r="A109" s="26" t="s">
        <v>318</v>
      </c>
      <c r="B109" s="26" t="n">
        <v>2602</v>
      </c>
      <c r="C109" s="26" t="s">
        <v>425</v>
      </c>
      <c r="D109" s="26" t="s">
        <v>416</v>
      </c>
      <c r="E109" s="26" t="s">
        <v>350</v>
      </c>
      <c r="F109" s="26" t="s">
        <v>303</v>
      </c>
      <c r="G109" s="26" t="s">
        <v>82</v>
      </c>
      <c r="H109" s="26" t="s">
        <v>417</v>
      </c>
      <c r="I109" s="26" t="n">
        <v>46</v>
      </c>
    </row>
    <row r="110" customFormat="false" ht="23.85" hidden="false" customHeight="false" outlineLevel="0" collapsed="false">
      <c r="A110" s="26" t="s">
        <v>318</v>
      </c>
      <c r="B110" s="26" t="n">
        <v>2608</v>
      </c>
      <c r="C110" s="26" t="s">
        <v>423</v>
      </c>
      <c r="D110" s="26" t="s">
        <v>416</v>
      </c>
      <c r="E110" s="26" t="s">
        <v>350</v>
      </c>
      <c r="F110" s="26" t="s">
        <v>303</v>
      </c>
      <c r="G110" s="26" t="s">
        <v>82</v>
      </c>
      <c r="H110" s="26" t="s">
        <v>417</v>
      </c>
      <c r="I110" s="26" t="n">
        <v>46</v>
      </c>
    </row>
    <row r="111" customFormat="false" ht="23.85" hidden="false" customHeight="false" outlineLevel="0" collapsed="false">
      <c r="A111" s="26" t="s">
        <v>318</v>
      </c>
      <c r="B111" s="26" t="n">
        <v>2616</v>
      </c>
      <c r="C111" s="26" t="s">
        <v>426</v>
      </c>
      <c r="D111" s="26" t="s">
        <v>416</v>
      </c>
      <c r="E111" s="26" t="s">
        <v>350</v>
      </c>
      <c r="F111" s="26" t="s">
        <v>303</v>
      </c>
      <c r="G111" s="26" t="s">
        <v>82</v>
      </c>
      <c r="H111" s="26" t="s">
        <v>417</v>
      </c>
      <c r="I111" s="26" t="n">
        <v>46</v>
      </c>
    </row>
    <row r="112" customFormat="false" ht="23.85" hidden="false" customHeight="false" outlineLevel="0" collapsed="false">
      <c r="A112" s="26" t="s">
        <v>319</v>
      </c>
      <c r="B112" s="26" t="n">
        <v>3902</v>
      </c>
      <c r="C112" s="26" t="s">
        <v>427</v>
      </c>
      <c r="D112" s="26" t="s">
        <v>416</v>
      </c>
      <c r="E112" s="26" t="s">
        <v>350</v>
      </c>
      <c r="F112" s="26" t="s">
        <v>303</v>
      </c>
      <c r="G112" s="26" t="s">
        <v>82</v>
      </c>
      <c r="H112" s="26" t="s">
        <v>417</v>
      </c>
      <c r="I112" s="26" t="n">
        <v>46</v>
      </c>
    </row>
    <row r="113" customFormat="false" ht="23.85" hidden="false" customHeight="false" outlineLevel="0" collapsed="false">
      <c r="A113" s="26" t="s">
        <v>319</v>
      </c>
      <c r="B113" s="26" t="n">
        <v>3908</v>
      </c>
      <c r="C113" s="26" t="s">
        <v>428</v>
      </c>
      <c r="D113" s="26" t="s">
        <v>416</v>
      </c>
      <c r="E113" s="26" t="s">
        <v>350</v>
      </c>
      <c r="F113" s="26" t="s">
        <v>303</v>
      </c>
      <c r="G113" s="26" t="s">
        <v>82</v>
      </c>
      <c r="H113" s="26" t="s">
        <v>417</v>
      </c>
      <c r="I113" s="26" t="n">
        <v>46</v>
      </c>
    </row>
    <row r="114" customFormat="false" ht="23.85" hidden="false" customHeight="false" outlineLevel="0" collapsed="false">
      <c r="A114" s="26" t="s">
        <v>321</v>
      </c>
      <c r="B114" s="26" t="n">
        <v>3102</v>
      </c>
      <c r="C114" s="26" t="s">
        <v>429</v>
      </c>
      <c r="D114" s="26" t="s">
        <v>416</v>
      </c>
      <c r="E114" s="26" t="s">
        <v>350</v>
      </c>
      <c r="F114" s="26" t="s">
        <v>303</v>
      </c>
      <c r="G114" s="26" t="s">
        <v>82</v>
      </c>
      <c r="H114" s="26" t="s">
        <v>417</v>
      </c>
      <c r="I114" s="26" t="n">
        <v>46</v>
      </c>
    </row>
    <row r="115" customFormat="false" ht="23.85" hidden="false" customHeight="false" outlineLevel="0" collapsed="false">
      <c r="A115" s="26" t="s">
        <v>321</v>
      </c>
      <c r="B115" s="26" t="n">
        <v>3111</v>
      </c>
      <c r="C115" s="26" t="s">
        <v>420</v>
      </c>
      <c r="D115" s="26" t="s">
        <v>416</v>
      </c>
      <c r="E115" s="26" t="s">
        <v>350</v>
      </c>
      <c r="F115" s="26" t="s">
        <v>303</v>
      </c>
      <c r="G115" s="26" t="s">
        <v>82</v>
      </c>
      <c r="H115" s="26" t="s">
        <v>417</v>
      </c>
      <c r="I115" s="26" t="n">
        <v>46</v>
      </c>
    </row>
    <row r="116" customFormat="false" ht="23.85" hidden="false" customHeight="false" outlineLevel="0" collapsed="false">
      <c r="A116" s="26" t="s">
        <v>321</v>
      </c>
      <c r="B116" s="26" t="n">
        <v>3117</v>
      </c>
      <c r="C116" s="26" t="s">
        <v>430</v>
      </c>
      <c r="D116" s="26" t="s">
        <v>416</v>
      </c>
      <c r="E116" s="26" t="s">
        <v>350</v>
      </c>
      <c r="F116" s="26" t="s">
        <v>303</v>
      </c>
      <c r="G116" s="26" t="s">
        <v>82</v>
      </c>
      <c r="H116" s="26" t="s">
        <v>417</v>
      </c>
      <c r="I116" s="26" t="n">
        <v>46</v>
      </c>
    </row>
    <row r="117" customFormat="false" ht="23.85" hidden="false" customHeight="false" outlineLevel="0" collapsed="false">
      <c r="A117" s="26" t="s">
        <v>321</v>
      </c>
      <c r="B117" s="26" t="n">
        <v>3119</v>
      </c>
      <c r="C117" s="26" t="s">
        <v>431</v>
      </c>
      <c r="D117" s="26" t="s">
        <v>416</v>
      </c>
      <c r="E117" s="26" t="s">
        <v>350</v>
      </c>
      <c r="F117" s="26" t="s">
        <v>303</v>
      </c>
      <c r="G117" s="26" t="s">
        <v>82</v>
      </c>
      <c r="H117" s="26" t="s">
        <v>417</v>
      </c>
      <c r="I117" s="26" t="n">
        <v>46</v>
      </c>
    </row>
    <row r="118" customFormat="false" ht="23.85" hidden="false" customHeight="false" outlineLevel="0" collapsed="false">
      <c r="A118" s="26" t="s">
        <v>323</v>
      </c>
      <c r="B118" s="26" t="n">
        <v>2908</v>
      </c>
      <c r="C118" s="26" t="s">
        <v>423</v>
      </c>
      <c r="D118" s="26" t="s">
        <v>416</v>
      </c>
      <c r="E118" s="26" t="s">
        <v>350</v>
      </c>
      <c r="F118" s="26" t="s">
        <v>303</v>
      </c>
      <c r="G118" s="26" t="s">
        <v>82</v>
      </c>
      <c r="H118" s="26" t="s">
        <v>417</v>
      </c>
      <c r="I118" s="26" t="n">
        <v>46</v>
      </c>
    </row>
    <row r="119" customFormat="false" ht="23.85" hidden="false" customHeight="false" outlineLevel="0" collapsed="false">
      <c r="A119" s="26" t="s">
        <v>323</v>
      </c>
      <c r="B119" s="26" t="n">
        <v>2921</v>
      </c>
      <c r="C119" s="26" t="s">
        <v>432</v>
      </c>
      <c r="D119" s="26" t="s">
        <v>416</v>
      </c>
      <c r="E119" s="26" t="s">
        <v>350</v>
      </c>
      <c r="F119" s="26" t="s">
        <v>303</v>
      </c>
      <c r="G119" s="26" t="s">
        <v>82</v>
      </c>
      <c r="H119" s="26" t="s">
        <v>417</v>
      </c>
      <c r="I119" s="26" t="n">
        <v>46</v>
      </c>
    </row>
    <row r="120" customFormat="false" ht="23.85" hidden="false" customHeight="false" outlineLevel="0" collapsed="false">
      <c r="A120" s="26" t="s">
        <v>323</v>
      </c>
      <c r="B120" s="26" t="n">
        <v>2925</v>
      </c>
      <c r="C120" s="26" t="s">
        <v>419</v>
      </c>
      <c r="D120" s="26" t="s">
        <v>416</v>
      </c>
      <c r="E120" s="26" t="s">
        <v>350</v>
      </c>
      <c r="F120" s="26" t="s">
        <v>303</v>
      </c>
      <c r="G120" s="26" t="s">
        <v>82</v>
      </c>
      <c r="H120" s="26" t="s">
        <v>417</v>
      </c>
      <c r="I120" s="26" t="n">
        <v>46</v>
      </c>
    </row>
    <row r="121" customFormat="false" ht="23.85" hidden="false" customHeight="false" outlineLevel="0" collapsed="false">
      <c r="A121" s="26" t="s">
        <v>324</v>
      </c>
      <c r="B121" s="26" t="n">
        <v>3308</v>
      </c>
      <c r="C121" s="26" t="s">
        <v>420</v>
      </c>
      <c r="D121" s="26" t="s">
        <v>416</v>
      </c>
      <c r="E121" s="26" t="s">
        <v>350</v>
      </c>
      <c r="F121" s="26" t="s">
        <v>303</v>
      </c>
      <c r="G121" s="26" t="s">
        <v>82</v>
      </c>
      <c r="H121" s="26" t="s">
        <v>417</v>
      </c>
      <c r="I121" s="26" t="n">
        <v>46</v>
      </c>
    </row>
    <row r="122" customFormat="false" ht="23.85" hidden="false" customHeight="false" outlineLevel="0" collapsed="false">
      <c r="A122" s="26" t="s">
        <v>324</v>
      </c>
      <c r="B122" s="26" t="n">
        <v>3316</v>
      </c>
      <c r="C122" s="26" t="s">
        <v>433</v>
      </c>
      <c r="D122" s="26" t="s">
        <v>416</v>
      </c>
      <c r="E122" s="26" t="s">
        <v>350</v>
      </c>
      <c r="F122" s="26" t="s">
        <v>303</v>
      </c>
      <c r="G122" s="26" t="s">
        <v>82</v>
      </c>
      <c r="H122" s="26" t="s">
        <v>417</v>
      </c>
      <c r="I122" s="26" t="n">
        <v>46</v>
      </c>
    </row>
    <row r="123" customFormat="false" ht="23.85" hidden="false" customHeight="false" outlineLevel="0" collapsed="false">
      <c r="A123" s="26" t="s">
        <v>327</v>
      </c>
      <c r="B123" s="26" t="n">
        <v>2502</v>
      </c>
      <c r="C123" s="26" t="s">
        <v>434</v>
      </c>
      <c r="D123" s="26" t="s">
        <v>416</v>
      </c>
      <c r="E123" s="26" t="s">
        <v>350</v>
      </c>
      <c r="F123" s="26" t="s">
        <v>303</v>
      </c>
      <c r="G123" s="26" t="s">
        <v>82</v>
      </c>
      <c r="H123" s="26" t="s">
        <v>417</v>
      </c>
      <c r="I123" s="26" t="n">
        <v>46</v>
      </c>
    </row>
    <row r="124" customFormat="false" ht="23.85" hidden="false" customHeight="false" outlineLevel="0" collapsed="false">
      <c r="A124" s="26" t="s">
        <v>327</v>
      </c>
      <c r="B124" s="26" t="n">
        <v>2509</v>
      </c>
      <c r="C124" s="26" t="s">
        <v>423</v>
      </c>
      <c r="D124" s="26" t="s">
        <v>416</v>
      </c>
      <c r="E124" s="26" t="s">
        <v>350</v>
      </c>
      <c r="F124" s="26" t="s">
        <v>303</v>
      </c>
      <c r="G124" s="26" t="s">
        <v>82</v>
      </c>
      <c r="H124" s="26" t="s">
        <v>417</v>
      </c>
      <c r="I124" s="26" t="n">
        <v>46</v>
      </c>
    </row>
    <row r="125" customFormat="false" ht="23.85" hidden="false" customHeight="false" outlineLevel="0" collapsed="false">
      <c r="A125" s="26" t="s">
        <v>329</v>
      </c>
      <c r="B125" s="26" t="n">
        <v>3202</v>
      </c>
      <c r="C125" s="26" t="s">
        <v>425</v>
      </c>
      <c r="D125" s="26" t="s">
        <v>416</v>
      </c>
      <c r="E125" s="26" t="s">
        <v>350</v>
      </c>
      <c r="F125" s="26" t="s">
        <v>303</v>
      </c>
      <c r="G125" s="26" t="s">
        <v>82</v>
      </c>
      <c r="H125" s="26" t="s">
        <v>417</v>
      </c>
      <c r="I125" s="26" t="n">
        <v>46</v>
      </c>
    </row>
    <row r="126" customFormat="false" ht="23.85" hidden="false" customHeight="false" outlineLevel="0" collapsed="false">
      <c r="A126" s="26" t="s">
        <v>329</v>
      </c>
      <c r="B126" s="26" t="n">
        <v>3208</v>
      </c>
      <c r="C126" s="26" t="s">
        <v>423</v>
      </c>
      <c r="D126" s="26" t="s">
        <v>416</v>
      </c>
      <c r="E126" s="26" t="s">
        <v>350</v>
      </c>
      <c r="F126" s="26" t="s">
        <v>303</v>
      </c>
      <c r="G126" s="26" t="s">
        <v>82</v>
      </c>
      <c r="H126" s="26" t="s">
        <v>417</v>
      </c>
      <c r="I126" s="26" t="n">
        <v>46</v>
      </c>
    </row>
    <row r="127" customFormat="false" ht="23.85" hidden="false" customHeight="false" outlineLevel="0" collapsed="false">
      <c r="A127" s="26" t="s">
        <v>373</v>
      </c>
      <c r="B127" s="26" t="n">
        <v>3403</v>
      </c>
      <c r="C127" s="26" t="s">
        <v>420</v>
      </c>
      <c r="D127" s="26" t="s">
        <v>416</v>
      </c>
      <c r="E127" s="26" t="s">
        <v>350</v>
      </c>
      <c r="F127" s="26" t="s">
        <v>303</v>
      </c>
      <c r="G127" s="26" t="s">
        <v>82</v>
      </c>
      <c r="H127" s="26" t="s">
        <v>417</v>
      </c>
      <c r="I127" s="26" t="n">
        <v>46</v>
      </c>
    </row>
    <row r="128" customFormat="false" ht="23.85" hidden="false" customHeight="false" outlineLevel="0" collapsed="false">
      <c r="A128" s="26" t="s">
        <v>373</v>
      </c>
      <c r="B128" s="26" t="n">
        <v>3410</v>
      </c>
      <c r="C128" s="26" t="s">
        <v>435</v>
      </c>
      <c r="D128" s="26" t="s">
        <v>416</v>
      </c>
      <c r="E128" s="26" t="s">
        <v>350</v>
      </c>
      <c r="F128" s="26" t="s">
        <v>303</v>
      </c>
      <c r="G128" s="26" t="s">
        <v>82</v>
      </c>
      <c r="H128" s="26" t="s">
        <v>417</v>
      </c>
      <c r="I128" s="26" t="n">
        <v>46</v>
      </c>
    </row>
    <row r="129" customFormat="false" ht="23.85" hidden="false" customHeight="false" outlineLevel="0" collapsed="false">
      <c r="A129" s="26" t="s">
        <v>373</v>
      </c>
      <c r="B129" s="26" t="n">
        <v>3419</v>
      </c>
      <c r="C129" s="26" t="s">
        <v>436</v>
      </c>
      <c r="D129" s="26" t="s">
        <v>416</v>
      </c>
      <c r="E129" s="26" t="s">
        <v>350</v>
      </c>
      <c r="F129" s="26" t="s">
        <v>303</v>
      </c>
      <c r="G129" s="26" t="s">
        <v>82</v>
      </c>
      <c r="H129" s="26" t="s">
        <v>417</v>
      </c>
      <c r="I129" s="26" t="n">
        <v>46</v>
      </c>
    </row>
    <row r="130" customFormat="false" ht="23.85" hidden="false" customHeight="false" outlineLevel="0" collapsed="false">
      <c r="A130" s="26" t="s">
        <v>373</v>
      </c>
      <c r="B130" s="26" t="n">
        <v>3423</v>
      </c>
      <c r="C130" s="26" t="s">
        <v>437</v>
      </c>
      <c r="D130" s="26" t="s">
        <v>416</v>
      </c>
      <c r="E130" s="26" t="s">
        <v>350</v>
      </c>
      <c r="F130" s="26" t="s">
        <v>303</v>
      </c>
      <c r="G130" s="26" t="s">
        <v>82</v>
      </c>
      <c r="H130" s="26" t="s">
        <v>417</v>
      </c>
      <c r="I130" s="26" t="n">
        <v>46</v>
      </c>
    </row>
    <row r="131" customFormat="false" ht="23.85" hidden="false" customHeight="false" outlineLevel="0" collapsed="false">
      <c r="A131" s="26" t="s">
        <v>373</v>
      </c>
      <c r="B131" s="26" t="n">
        <v>3424</v>
      </c>
      <c r="C131" s="26" t="s">
        <v>438</v>
      </c>
      <c r="D131" s="26" t="s">
        <v>416</v>
      </c>
      <c r="E131" s="26" t="s">
        <v>350</v>
      </c>
      <c r="F131" s="26" t="s">
        <v>303</v>
      </c>
      <c r="G131" s="26" t="s">
        <v>82</v>
      </c>
      <c r="H131" s="26" t="s">
        <v>417</v>
      </c>
      <c r="I131" s="26" t="n">
        <v>46</v>
      </c>
    </row>
    <row r="132" customFormat="false" ht="35.05" hidden="false" customHeight="false" outlineLevel="0" collapsed="false">
      <c r="A132" s="26" t="s">
        <v>375</v>
      </c>
      <c r="B132" s="26" t="n">
        <v>3503</v>
      </c>
      <c r="C132" s="26" t="s">
        <v>439</v>
      </c>
      <c r="D132" s="26" t="s">
        <v>416</v>
      </c>
      <c r="E132" s="26" t="s">
        <v>350</v>
      </c>
      <c r="F132" s="26" t="s">
        <v>303</v>
      </c>
      <c r="G132" s="26" t="s">
        <v>82</v>
      </c>
      <c r="H132" s="26" t="s">
        <v>417</v>
      </c>
      <c r="I132" s="26" t="n">
        <v>46</v>
      </c>
    </row>
    <row r="133" customFormat="false" ht="35.05" hidden="false" customHeight="false" outlineLevel="0" collapsed="false">
      <c r="A133" s="26" t="s">
        <v>375</v>
      </c>
      <c r="B133" s="26" t="n">
        <v>3509</v>
      </c>
      <c r="C133" s="26" t="s">
        <v>440</v>
      </c>
      <c r="D133" s="26" t="s">
        <v>416</v>
      </c>
      <c r="E133" s="26" t="s">
        <v>350</v>
      </c>
      <c r="F133" s="26" t="s">
        <v>303</v>
      </c>
      <c r="G133" s="26" t="s">
        <v>82</v>
      </c>
      <c r="H133" s="26" t="s">
        <v>417</v>
      </c>
      <c r="I133" s="26" t="n">
        <v>46</v>
      </c>
    </row>
    <row r="134" customFormat="false" ht="23.85" hidden="false" customHeight="false" outlineLevel="0" collapsed="false">
      <c r="A134" s="26" t="s">
        <v>375</v>
      </c>
      <c r="B134" s="26" t="n">
        <v>3511</v>
      </c>
      <c r="C134" s="26" t="s">
        <v>441</v>
      </c>
      <c r="D134" s="26" t="s">
        <v>416</v>
      </c>
      <c r="E134" s="26" t="s">
        <v>350</v>
      </c>
      <c r="F134" s="26" t="s">
        <v>303</v>
      </c>
      <c r="G134" s="26" t="s">
        <v>82</v>
      </c>
      <c r="H134" s="26" t="s">
        <v>417</v>
      </c>
      <c r="I134" s="26" t="n">
        <v>46</v>
      </c>
    </row>
    <row r="135" customFormat="false" ht="23.85" hidden="false" customHeight="false" outlineLevel="0" collapsed="false">
      <c r="A135" s="26" t="s">
        <v>375</v>
      </c>
      <c r="B135" s="26" t="n">
        <v>3516</v>
      </c>
      <c r="C135" s="26" t="s">
        <v>442</v>
      </c>
      <c r="D135" s="26" t="s">
        <v>416</v>
      </c>
      <c r="E135" s="26" t="s">
        <v>350</v>
      </c>
      <c r="F135" s="26" t="s">
        <v>303</v>
      </c>
      <c r="G135" s="26" t="s">
        <v>82</v>
      </c>
      <c r="H135" s="26" t="s">
        <v>417</v>
      </c>
      <c r="I135" s="26" t="n">
        <v>46</v>
      </c>
    </row>
    <row r="136" customFormat="false" ht="23.85" hidden="false" customHeight="false" outlineLevel="0" collapsed="false">
      <c r="A136" s="26" t="s">
        <v>331</v>
      </c>
      <c r="B136" s="26" t="n">
        <v>2709</v>
      </c>
      <c r="C136" s="26" t="s">
        <v>443</v>
      </c>
      <c r="D136" s="26" t="s">
        <v>416</v>
      </c>
      <c r="E136" s="26" t="s">
        <v>350</v>
      </c>
      <c r="F136" s="26" t="s">
        <v>303</v>
      </c>
      <c r="G136" s="26" t="s">
        <v>82</v>
      </c>
      <c r="H136" s="26" t="s">
        <v>417</v>
      </c>
      <c r="I136" s="26" t="n">
        <v>46</v>
      </c>
    </row>
    <row r="137" customFormat="false" ht="23.85" hidden="false" customHeight="false" outlineLevel="0" collapsed="false">
      <c r="A137" s="26" t="s">
        <v>334</v>
      </c>
      <c r="B137" s="26" t="n">
        <v>3006</v>
      </c>
      <c r="C137" s="26" t="s">
        <v>444</v>
      </c>
      <c r="D137" s="26" t="s">
        <v>416</v>
      </c>
      <c r="E137" s="26" t="s">
        <v>350</v>
      </c>
      <c r="F137" s="26" t="s">
        <v>303</v>
      </c>
      <c r="G137" s="26" t="s">
        <v>82</v>
      </c>
      <c r="H137" s="26" t="s">
        <v>417</v>
      </c>
      <c r="I137" s="26" t="n">
        <v>46</v>
      </c>
    </row>
    <row r="138" customFormat="false" ht="23.85" hidden="false" customHeight="false" outlineLevel="0" collapsed="false">
      <c r="A138" s="26" t="s">
        <v>334</v>
      </c>
      <c r="B138" s="26" t="n">
        <v>3013</v>
      </c>
      <c r="C138" s="26" t="s">
        <v>423</v>
      </c>
      <c r="D138" s="26" t="s">
        <v>416</v>
      </c>
      <c r="E138" s="26" t="s">
        <v>350</v>
      </c>
      <c r="F138" s="26" t="s">
        <v>303</v>
      </c>
      <c r="G138" s="26" t="s">
        <v>82</v>
      </c>
      <c r="H138" s="26" t="s">
        <v>417</v>
      </c>
      <c r="I138" s="26" t="n">
        <v>46</v>
      </c>
    </row>
    <row r="139" customFormat="false" ht="23.85" hidden="false" customHeight="false" outlineLevel="0" collapsed="false">
      <c r="A139" s="26" t="s">
        <v>334</v>
      </c>
      <c r="B139" s="26" t="n">
        <v>3022</v>
      </c>
      <c r="C139" s="26" t="s">
        <v>445</v>
      </c>
      <c r="D139" s="26" t="s">
        <v>416</v>
      </c>
      <c r="E139" s="26" t="s">
        <v>350</v>
      </c>
      <c r="F139" s="26" t="s">
        <v>303</v>
      </c>
      <c r="G139" s="26" t="s">
        <v>82</v>
      </c>
      <c r="H139" s="26" t="s">
        <v>417</v>
      </c>
      <c r="I139" s="26" t="n">
        <v>46</v>
      </c>
    </row>
    <row r="140" customFormat="false" ht="23.85" hidden="false" customHeight="false" outlineLevel="0" collapsed="false">
      <c r="A140" s="26" t="s">
        <v>352</v>
      </c>
      <c r="B140" s="26" t="n">
        <v>4109</v>
      </c>
      <c r="C140" s="26" t="s">
        <v>446</v>
      </c>
      <c r="D140" s="26" t="s">
        <v>416</v>
      </c>
      <c r="E140" s="26" t="s">
        <v>350</v>
      </c>
      <c r="F140" s="26" t="s">
        <v>303</v>
      </c>
      <c r="G140" s="26" t="s">
        <v>82</v>
      </c>
      <c r="H140" s="26" t="s">
        <v>417</v>
      </c>
      <c r="I140" s="26" t="n">
        <v>46</v>
      </c>
    </row>
    <row r="141" customFormat="false" ht="23.85" hidden="false" customHeight="false" outlineLevel="0" collapsed="false">
      <c r="A141" s="26" t="s">
        <v>352</v>
      </c>
      <c r="B141" s="26" t="n">
        <v>4117</v>
      </c>
      <c r="C141" s="26" t="s">
        <v>447</v>
      </c>
      <c r="D141" s="26" t="s">
        <v>416</v>
      </c>
      <c r="E141" s="26" t="s">
        <v>350</v>
      </c>
      <c r="F141" s="26" t="s">
        <v>303</v>
      </c>
      <c r="G141" s="26" t="s">
        <v>82</v>
      </c>
      <c r="H141" s="26" t="s">
        <v>417</v>
      </c>
      <c r="I141" s="26" t="n">
        <v>46</v>
      </c>
    </row>
    <row r="142" customFormat="false" ht="23.85" hidden="false" customHeight="false" outlineLevel="0" collapsed="false">
      <c r="A142" s="26" t="s">
        <v>352</v>
      </c>
      <c r="B142" s="26" t="n">
        <v>4118</v>
      </c>
      <c r="C142" s="26" t="s">
        <v>448</v>
      </c>
      <c r="D142" s="26" t="s">
        <v>416</v>
      </c>
      <c r="E142" s="26" t="s">
        <v>350</v>
      </c>
      <c r="F142" s="26" t="s">
        <v>303</v>
      </c>
      <c r="G142" s="26" t="s">
        <v>82</v>
      </c>
      <c r="H142" s="26" t="s">
        <v>417</v>
      </c>
      <c r="I142" s="26" t="n">
        <v>46</v>
      </c>
    </row>
    <row r="143" customFormat="false" ht="23.85" hidden="false" customHeight="false" outlineLevel="0" collapsed="false">
      <c r="A143" s="26" t="s">
        <v>352</v>
      </c>
      <c r="B143" s="26" t="n">
        <v>4120</v>
      </c>
      <c r="C143" s="26" t="s">
        <v>449</v>
      </c>
      <c r="D143" s="26" t="s">
        <v>416</v>
      </c>
      <c r="E143" s="26" t="s">
        <v>350</v>
      </c>
      <c r="F143" s="26" t="s">
        <v>303</v>
      </c>
      <c r="G143" s="26" t="s">
        <v>82</v>
      </c>
      <c r="H143" s="26" t="s">
        <v>417</v>
      </c>
      <c r="I143" s="26" t="n">
        <v>46</v>
      </c>
    </row>
    <row r="144" customFormat="false" ht="23.85" hidden="false" customHeight="false" outlineLevel="0" collapsed="false">
      <c r="A144" s="26" t="s">
        <v>299</v>
      </c>
      <c r="B144" s="26" t="n">
        <v>2111</v>
      </c>
      <c r="C144" s="26" t="s">
        <v>450</v>
      </c>
      <c r="D144" s="26" t="s">
        <v>451</v>
      </c>
      <c r="E144" s="26" t="s">
        <v>302</v>
      </c>
      <c r="F144" s="26" t="s">
        <v>303</v>
      </c>
      <c r="G144" s="26" t="s">
        <v>81</v>
      </c>
      <c r="H144" s="26" t="s">
        <v>452</v>
      </c>
      <c r="I144" s="26" t="n">
        <v>2</v>
      </c>
    </row>
    <row r="145" customFormat="false" ht="23.85" hidden="false" customHeight="false" outlineLevel="0" collapsed="false">
      <c r="A145" s="26" t="s">
        <v>352</v>
      </c>
      <c r="B145" s="26" t="n">
        <v>4121</v>
      </c>
      <c r="C145" s="26" t="s">
        <v>453</v>
      </c>
      <c r="D145" s="26" t="s">
        <v>451</v>
      </c>
      <c r="E145" s="26" t="s">
        <v>302</v>
      </c>
      <c r="F145" s="26" t="s">
        <v>303</v>
      </c>
      <c r="G145" s="26" t="s">
        <v>81</v>
      </c>
      <c r="H145" s="26" t="s">
        <v>452</v>
      </c>
      <c r="I145" s="26" t="n">
        <v>2</v>
      </c>
    </row>
    <row r="146" customFormat="false" ht="23.85" hidden="false" customHeight="false" outlineLevel="0" collapsed="false">
      <c r="A146" s="26" t="s">
        <v>299</v>
      </c>
      <c r="B146" s="26" t="n">
        <v>2121</v>
      </c>
      <c r="C146" s="26" t="s">
        <v>306</v>
      </c>
      <c r="D146" s="26" t="s">
        <v>454</v>
      </c>
      <c r="E146" s="26" t="s">
        <v>302</v>
      </c>
      <c r="F146" s="26" t="s">
        <v>303</v>
      </c>
      <c r="G146" s="26" t="s">
        <v>82</v>
      </c>
      <c r="H146" s="26" t="s">
        <v>455</v>
      </c>
      <c r="I146" s="26" t="n">
        <v>11</v>
      </c>
    </row>
    <row r="147" customFormat="false" ht="23.85" hidden="false" customHeight="false" outlineLevel="0" collapsed="false">
      <c r="A147" s="26" t="s">
        <v>310</v>
      </c>
      <c r="B147" s="26" t="n">
        <v>2301</v>
      </c>
      <c r="C147" s="26" t="s">
        <v>456</v>
      </c>
      <c r="D147" s="26" t="s">
        <v>454</v>
      </c>
      <c r="E147" s="26" t="s">
        <v>302</v>
      </c>
      <c r="F147" s="26" t="s">
        <v>303</v>
      </c>
      <c r="G147" s="26" t="s">
        <v>82</v>
      </c>
      <c r="H147" s="26" t="s">
        <v>455</v>
      </c>
      <c r="I147" s="26" t="n">
        <v>11</v>
      </c>
    </row>
    <row r="148" customFormat="false" ht="23.85" hidden="false" customHeight="false" outlineLevel="0" collapsed="false">
      <c r="A148" s="26" t="s">
        <v>310</v>
      </c>
      <c r="B148" s="26" t="n">
        <v>2303</v>
      </c>
      <c r="C148" s="26" t="s">
        <v>457</v>
      </c>
      <c r="D148" s="26" t="s">
        <v>454</v>
      </c>
      <c r="E148" s="26" t="s">
        <v>302</v>
      </c>
      <c r="F148" s="26" t="s">
        <v>303</v>
      </c>
      <c r="G148" s="26" t="s">
        <v>82</v>
      </c>
      <c r="H148" s="26" t="s">
        <v>455</v>
      </c>
      <c r="I148" s="26" t="n">
        <v>11</v>
      </c>
    </row>
    <row r="149" customFormat="false" ht="23.85" hidden="false" customHeight="false" outlineLevel="0" collapsed="false">
      <c r="A149" s="26" t="s">
        <v>310</v>
      </c>
      <c r="B149" s="26" t="n">
        <v>2305</v>
      </c>
      <c r="C149" s="26" t="s">
        <v>458</v>
      </c>
      <c r="D149" s="26" t="s">
        <v>454</v>
      </c>
      <c r="E149" s="26" t="s">
        <v>302</v>
      </c>
      <c r="F149" s="26" t="s">
        <v>303</v>
      </c>
      <c r="G149" s="26" t="s">
        <v>82</v>
      </c>
      <c r="H149" s="26" t="s">
        <v>455</v>
      </c>
      <c r="I149" s="26" t="n">
        <v>11</v>
      </c>
    </row>
    <row r="150" customFormat="false" ht="23.85" hidden="false" customHeight="false" outlineLevel="0" collapsed="false">
      <c r="A150" s="26" t="s">
        <v>310</v>
      </c>
      <c r="B150" s="26" t="n">
        <v>2306</v>
      </c>
      <c r="C150" s="26" t="s">
        <v>459</v>
      </c>
      <c r="D150" s="26" t="s">
        <v>454</v>
      </c>
      <c r="E150" s="26" t="s">
        <v>302</v>
      </c>
      <c r="F150" s="26" t="s">
        <v>303</v>
      </c>
      <c r="G150" s="26" t="s">
        <v>82</v>
      </c>
      <c r="H150" s="26" t="s">
        <v>455</v>
      </c>
      <c r="I150" s="26" t="n">
        <v>11</v>
      </c>
    </row>
    <row r="151" customFormat="false" ht="23.85" hidden="false" customHeight="false" outlineLevel="0" collapsed="false">
      <c r="A151" s="26" t="s">
        <v>318</v>
      </c>
      <c r="B151" s="26" t="n">
        <v>2611</v>
      </c>
      <c r="C151" s="26" t="s">
        <v>306</v>
      </c>
      <c r="D151" s="26" t="s">
        <v>454</v>
      </c>
      <c r="E151" s="26" t="s">
        <v>302</v>
      </c>
      <c r="F151" s="26" t="s">
        <v>303</v>
      </c>
      <c r="G151" s="26" t="s">
        <v>82</v>
      </c>
      <c r="H151" s="26" t="s">
        <v>455</v>
      </c>
      <c r="I151" s="26" t="n">
        <v>11</v>
      </c>
    </row>
    <row r="152" customFormat="false" ht="23.85" hidden="false" customHeight="false" outlineLevel="0" collapsed="false">
      <c r="A152" s="26" t="s">
        <v>321</v>
      </c>
      <c r="B152" s="26" t="n">
        <v>3114</v>
      </c>
      <c r="C152" s="26" t="s">
        <v>322</v>
      </c>
      <c r="D152" s="26" t="s">
        <v>454</v>
      </c>
      <c r="E152" s="26" t="s">
        <v>302</v>
      </c>
      <c r="F152" s="26" t="s">
        <v>303</v>
      </c>
      <c r="G152" s="26" t="s">
        <v>82</v>
      </c>
      <c r="H152" s="26" t="s">
        <v>455</v>
      </c>
      <c r="I152" s="26" t="n">
        <v>11</v>
      </c>
    </row>
    <row r="153" customFormat="false" ht="23.85" hidden="false" customHeight="false" outlineLevel="0" collapsed="false">
      <c r="A153" s="26" t="s">
        <v>323</v>
      </c>
      <c r="B153" s="26" t="n">
        <v>2911</v>
      </c>
      <c r="C153" s="26" t="s">
        <v>306</v>
      </c>
      <c r="D153" s="26" t="s">
        <v>454</v>
      </c>
      <c r="E153" s="26" t="s">
        <v>302</v>
      </c>
      <c r="F153" s="26" t="s">
        <v>303</v>
      </c>
      <c r="G153" s="26" t="s">
        <v>82</v>
      </c>
      <c r="H153" s="26" t="s">
        <v>455</v>
      </c>
      <c r="I153" s="26" t="n">
        <v>11</v>
      </c>
    </row>
    <row r="154" customFormat="false" ht="23.85" hidden="false" customHeight="false" outlineLevel="0" collapsed="false">
      <c r="A154" s="26" t="s">
        <v>324</v>
      </c>
      <c r="B154" s="26" t="n">
        <v>3313</v>
      </c>
      <c r="C154" s="26" t="s">
        <v>322</v>
      </c>
      <c r="D154" s="26" t="s">
        <v>454</v>
      </c>
      <c r="E154" s="26" t="s">
        <v>302</v>
      </c>
      <c r="F154" s="26" t="s">
        <v>303</v>
      </c>
      <c r="G154" s="26" t="s">
        <v>82</v>
      </c>
      <c r="H154" s="26" t="s">
        <v>455</v>
      </c>
      <c r="I154" s="26" t="n">
        <v>11</v>
      </c>
    </row>
    <row r="155" customFormat="false" ht="23.85" hidden="false" customHeight="false" outlineLevel="0" collapsed="false">
      <c r="A155" s="26" t="s">
        <v>327</v>
      </c>
      <c r="B155" s="26" t="n">
        <v>2512</v>
      </c>
      <c r="C155" s="26" t="s">
        <v>328</v>
      </c>
      <c r="D155" s="26" t="s">
        <v>454</v>
      </c>
      <c r="E155" s="26" t="s">
        <v>302</v>
      </c>
      <c r="F155" s="26" t="s">
        <v>303</v>
      </c>
      <c r="G155" s="26" t="s">
        <v>82</v>
      </c>
      <c r="H155" s="26" t="s">
        <v>455</v>
      </c>
      <c r="I155" s="26" t="n">
        <v>11</v>
      </c>
    </row>
    <row r="156" customFormat="false" ht="23.85" hidden="false" customHeight="false" outlineLevel="0" collapsed="false">
      <c r="A156" s="26" t="s">
        <v>334</v>
      </c>
      <c r="B156" s="26" t="n">
        <v>3016</v>
      </c>
      <c r="C156" s="26" t="s">
        <v>306</v>
      </c>
      <c r="D156" s="26" t="s">
        <v>454</v>
      </c>
      <c r="E156" s="26" t="s">
        <v>302</v>
      </c>
      <c r="F156" s="26" t="s">
        <v>303</v>
      </c>
      <c r="G156" s="26" t="s">
        <v>82</v>
      </c>
      <c r="H156" s="26" t="s">
        <v>455</v>
      </c>
      <c r="I156" s="26" t="n">
        <v>11</v>
      </c>
    </row>
    <row r="157" customFormat="false" ht="23.85" hidden="false" customHeight="false" outlineLevel="0" collapsed="false">
      <c r="A157" s="26" t="s">
        <v>319</v>
      </c>
      <c r="B157" s="26" t="n">
        <v>3904</v>
      </c>
      <c r="C157" s="26" t="s">
        <v>460</v>
      </c>
      <c r="D157" s="26" t="s">
        <v>461</v>
      </c>
      <c r="E157" s="26" t="s">
        <v>350</v>
      </c>
      <c r="F157" s="26" t="s">
        <v>369</v>
      </c>
      <c r="G157" s="26" t="s">
        <v>82</v>
      </c>
      <c r="H157" s="26" t="s">
        <v>462</v>
      </c>
      <c r="I157" s="26" t="n">
        <v>5</v>
      </c>
    </row>
    <row r="158" customFormat="false" ht="23.85" hidden="false" customHeight="false" outlineLevel="0" collapsed="false">
      <c r="A158" s="26" t="s">
        <v>324</v>
      </c>
      <c r="B158" s="26" t="n">
        <v>3302</v>
      </c>
      <c r="C158" s="26" t="s">
        <v>463</v>
      </c>
      <c r="D158" s="26" t="s">
        <v>461</v>
      </c>
      <c r="E158" s="26" t="s">
        <v>350</v>
      </c>
      <c r="F158" s="26" t="s">
        <v>369</v>
      </c>
      <c r="G158" s="26" t="s">
        <v>82</v>
      </c>
      <c r="H158" s="26" t="s">
        <v>462</v>
      </c>
      <c r="I158" s="26" t="n">
        <v>5</v>
      </c>
    </row>
    <row r="159" customFormat="false" ht="23.85" hidden="false" customHeight="false" outlineLevel="0" collapsed="false">
      <c r="A159" s="26" t="s">
        <v>373</v>
      </c>
      <c r="B159" s="26" t="n">
        <v>3422</v>
      </c>
      <c r="C159" s="26" t="s">
        <v>464</v>
      </c>
      <c r="D159" s="26" t="s">
        <v>461</v>
      </c>
      <c r="E159" s="26" t="s">
        <v>350</v>
      </c>
      <c r="F159" s="26" t="s">
        <v>369</v>
      </c>
      <c r="G159" s="26" t="s">
        <v>82</v>
      </c>
      <c r="H159" s="26" t="s">
        <v>462</v>
      </c>
      <c r="I159" s="26" t="n">
        <v>5</v>
      </c>
    </row>
    <row r="160" customFormat="false" ht="23.85" hidden="false" customHeight="false" outlineLevel="0" collapsed="false">
      <c r="A160" s="26" t="s">
        <v>334</v>
      </c>
      <c r="B160" s="26" t="n">
        <v>3008</v>
      </c>
      <c r="C160" s="26" t="s">
        <v>465</v>
      </c>
      <c r="D160" s="26" t="s">
        <v>461</v>
      </c>
      <c r="E160" s="26" t="s">
        <v>350</v>
      </c>
      <c r="F160" s="26" t="s">
        <v>369</v>
      </c>
      <c r="G160" s="26" t="s">
        <v>82</v>
      </c>
      <c r="H160" s="26" t="s">
        <v>462</v>
      </c>
      <c r="I160" s="26" t="n">
        <v>5</v>
      </c>
    </row>
    <row r="161" customFormat="false" ht="23.85" hidden="false" customHeight="false" outlineLevel="0" collapsed="false">
      <c r="A161" s="26" t="s">
        <v>352</v>
      </c>
      <c r="B161" s="26" t="n">
        <v>4103</v>
      </c>
      <c r="C161" s="26" t="s">
        <v>466</v>
      </c>
      <c r="D161" s="26" t="s">
        <v>461</v>
      </c>
      <c r="E161" s="26" t="s">
        <v>350</v>
      </c>
      <c r="F161" s="26" t="s">
        <v>369</v>
      </c>
      <c r="G161" s="26" t="s">
        <v>82</v>
      </c>
      <c r="H161" s="26" t="s">
        <v>462</v>
      </c>
      <c r="I161" s="26" t="n">
        <v>5</v>
      </c>
    </row>
    <row r="162" customFormat="false" ht="35.05" hidden="false" customHeight="false" outlineLevel="0" collapsed="false">
      <c r="A162" s="26" t="s">
        <v>299</v>
      </c>
      <c r="B162" s="26" t="n">
        <v>2116</v>
      </c>
      <c r="C162" s="26" t="s">
        <v>467</v>
      </c>
      <c r="D162" s="26" t="s">
        <v>468</v>
      </c>
      <c r="E162" s="26" t="s">
        <v>350</v>
      </c>
      <c r="F162" s="26" t="s">
        <v>340</v>
      </c>
      <c r="G162" s="26" t="s">
        <v>82</v>
      </c>
      <c r="H162" s="26" t="s">
        <v>383</v>
      </c>
      <c r="I162" s="26" t="n">
        <v>16</v>
      </c>
    </row>
    <row r="163" customFormat="false" ht="35.05" hidden="false" customHeight="false" outlineLevel="0" collapsed="false">
      <c r="A163" s="26" t="s">
        <v>307</v>
      </c>
      <c r="B163" s="26" t="n">
        <v>2207</v>
      </c>
      <c r="C163" s="26" t="s">
        <v>467</v>
      </c>
      <c r="D163" s="26" t="s">
        <v>468</v>
      </c>
      <c r="E163" s="26" t="s">
        <v>350</v>
      </c>
      <c r="F163" s="26" t="s">
        <v>340</v>
      </c>
      <c r="G163" s="26" t="s">
        <v>82</v>
      </c>
      <c r="H163" s="26" t="s">
        <v>383</v>
      </c>
      <c r="I163" s="26" t="n">
        <v>16</v>
      </c>
    </row>
    <row r="164" customFormat="false" ht="35.05" hidden="false" customHeight="false" outlineLevel="0" collapsed="false">
      <c r="A164" s="26" t="s">
        <v>310</v>
      </c>
      <c r="B164" s="26" t="n">
        <v>2308</v>
      </c>
      <c r="C164" s="26" t="s">
        <v>467</v>
      </c>
      <c r="D164" s="26" t="s">
        <v>468</v>
      </c>
      <c r="E164" s="26" t="s">
        <v>350</v>
      </c>
      <c r="F164" s="26" t="s">
        <v>340</v>
      </c>
      <c r="G164" s="26" t="s">
        <v>82</v>
      </c>
      <c r="H164" s="26" t="s">
        <v>383</v>
      </c>
      <c r="I164" s="26" t="n">
        <v>16</v>
      </c>
    </row>
    <row r="165" customFormat="false" ht="35.05" hidden="false" customHeight="false" outlineLevel="0" collapsed="false">
      <c r="A165" s="26" t="s">
        <v>312</v>
      </c>
      <c r="B165" s="26" t="n">
        <v>3702</v>
      </c>
      <c r="C165" s="26" t="s">
        <v>467</v>
      </c>
      <c r="D165" s="26" t="s">
        <v>468</v>
      </c>
      <c r="E165" s="26" t="s">
        <v>350</v>
      </c>
      <c r="F165" s="26" t="s">
        <v>340</v>
      </c>
      <c r="G165" s="26" t="s">
        <v>82</v>
      </c>
      <c r="H165" s="26" t="s">
        <v>383</v>
      </c>
      <c r="I165" s="26" t="n">
        <v>16</v>
      </c>
    </row>
    <row r="166" customFormat="false" ht="35.05" hidden="false" customHeight="false" outlineLevel="0" collapsed="false">
      <c r="A166" s="26" t="s">
        <v>316</v>
      </c>
      <c r="B166" s="26" t="n">
        <v>2807</v>
      </c>
      <c r="C166" s="26" t="s">
        <v>467</v>
      </c>
      <c r="D166" s="26" t="s">
        <v>468</v>
      </c>
      <c r="E166" s="26" t="s">
        <v>350</v>
      </c>
      <c r="F166" s="26" t="s">
        <v>340</v>
      </c>
      <c r="G166" s="26" t="s">
        <v>82</v>
      </c>
      <c r="H166" s="26" t="s">
        <v>383</v>
      </c>
      <c r="I166" s="26" t="n">
        <v>16</v>
      </c>
    </row>
    <row r="167" customFormat="false" ht="35.05" hidden="false" customHeight="false" outlineLevel="0" collapsed="false">
      <c r="A167" s="26" t="s">
        <v>318</v>
      </c>
      <c r="B167" s="26" t="n">
        <v>2604</v>
      </c>
      <c r="C167" s="26" t="s">
        <v>467</v>
      </c>
      <c r="D167" s="26" t="s">
        <v>468</v>
      </c>
      <c r="E167" s="26" t="s">
        <v>350</v>
      </c>
      <c r="F167" s="26" t="s">
        <v>340</v>
      </c>
      <c r="G167" s="26" t="s">
        <v>82</v>
      </c>
      <c r="H167" s="26" t="s">
        <v>383</v>
      </c>
      <c r="I167" s="26" t="n">
        <v>16</v>
      </c>
    </row>
    <row r="168" customFormat="false" ht="35.05" hidden="false" customHeight="false" outlineLevel="0" collapsed="false">
      <c r="A168" s="26" t="s">
        <v>319</v>
      </c>
      <c r="B168" s="26" t="n">
        <v>3905</v>
      </c>
      <c r="C168" s="26" t="s">
        <v>467</v>
      </c>
      <c r="D168" s="26" t="s">
        <v>468</v>
      </c>
      <c r="E168" s="26" t="s">
        <v>350</v>
      </c>
      <c r="F168" s="26" t="s">
        <v>340</v>
      </c>
      <c r="G168" s="26" t="s">
        <v>82</v>
      </c>
      <c r="H168" s="26" t="s">
        <v>383</v>
      </c>
      <c r="I168" s="26" t="n">
        <v>16</v>
      </c>
    </row>
    <row r="169" customFormat="false" ht="35.05" hidden="false" customHeight="false" outlineLevel="0" collapsed="false">
      <c r="A169" s="26" t="s">
        <v>321</v>
      </c>
      <c r="B169" s="26" t="n">
        <v>3105</v>
      </c>
      <c r="C169" s="26" t="s">
        <v>467</v>
      </c>
      <c r="D169" s="26" t="s">
        <v>468</v>
      </c>
      <c r="E169" s="26" t="s">
        <v>350</v>
      </c>
      <c r="F169" s="26" t="s">
        <v>340</v>
      </c>
      <c r="G169" s="26" t="s">
        <v>82</v>
      </c>
      <c r="H169" s="26" t="s">
        <v>383</v>
      </c>
      <c r="I169" s="26" t="n">
        <v>16</v>
      </c>
    </row>
    <row r="170" customFormat="false" ht="35.05" hidden="false" customHeight="false" outlineLevel="0" collapsed="false">
      <c r="A170" s="26" t="s">
        <v>323</v>
      </c>
      <c r="B170" s="26" t="n">
        <v>2902</v>
      </c>
      <c r="C170" s="26" t="s">
        <v>467</v>
      </c>
      <c r="D170" s="26" t="s">
        <v>468</v>
      </c>
      <c r="E170" s="26" t="s">
        <v>350</v>
      </c>
      <c r="F170" s="26" t="s">
        <v>340</v>
      </c>
      <c r="G170" s="26" t="s">
        <v>82</v>
      </c>
      <c r="H170" s="26" t="s">
        <v>383</v>
      </c>
      <c r="I170" s="26" t="n">
        <v>16</v>
      </c>
    </row>
    <row r="171" customFormat="false" ht="35.05" hidden="false" customHeight="false" outlineLevel="0" collapsed="false">
      <c r="A171" s="26" t="s">
        <v>324</v>
      </c>
      <c r="B171" s="26" t="n">
        <v>3303</v>
      </c>
      <c r="C171" s="26" t="s">
        <v>467</v>
      </c>
      <c r="D171" s="26" t="s">
        <v>468</v>
      </c>
      <c r="E171" s="26" t="s">
        <v>350</v>
      </c>
      <c r="F171" s="26" t="s">
        <v>340</v>
      </c>
      <c r="G171" s="26" t="s">
        <v>82</v>
      </c>
      <c r="H171" s="26" t="s">
        <v>383</v>
      </c>
      <c r="I171" s="26" t="n">
        <v>16</v>
      </c>
    </row>
    <row r="172" customFormat="false" ht="35.05" hidden="false" customHeight="false" outlineLevel="0" collapsed="false">
      <c r="A172" s="26" t="s">
        <v>327</v>
      </c>
      <c r="B172" s="26" t="n">
        <v>2505</v>
      </c>
      <c r="C172" s="26" t="s">
        <v>467</v>
      </c>
      <c r="D172" s="26" t="s">
        <v>468</v>
      </c>
      <c r="E172" s="26" t="s">
        <v>350</v>
      </c>
      <c r="F172" s="26" t="s">
        <v>340</v>
      </c>
      <c r="G172" s="26" t="s">
        <v>82</v>
      </c>
      <c r="H172" s="26" t="s">
        <v>383</v>
      </c>
      <c r="I172" s="26" t="n">
        <v>16</v>
      </c>
    </row>
    <row r="173" customFormat="false" ht="35.05" hidden="false" customHeight="false" outlineLevel="0" collapsed="false">
      <c r="A173" s="26" t="s">
        <v>329</v>
      </c>
      <c r="B173" s="26" t="n">
        <v>3205</v>
      </c>
      <c r="C173" s="26" t="s">
        <v>467</v>
      </c>
      <c r="D173" s="26" t="s">
        <v>468</v>
      </c>
      <c r="E173" s="26" t="s">
        <v>350</v>
      </c>
      <c r="F173" s="26" t="s">
        <v>340</v>
      </c>
      <c r="G173" s="26" t="s">
        <v>82</v>
      </c>
      <c r="H173" s="26" t="s">
        <v>383</v>
      </c>
      <c r="I173" s="26" t="n">
        <v>16</v>
      </c>
    </row>
    <row r="174" customFormat="false" ht="35.05" hidden="false" customHeight="false" outlineLevel="0" collapsed="false">
      <c r="A174" s="26" t="s">
        <v>373</v>
      </c>
      <c r="B174" s="26" t="n">
        <v>3406</v>
      </c>
      <c r="C174" s="26" t="s">
        <v>467</v>
      </c>
      <c r="D174" s="26" t="s">
        <v>468</v>
      </c>
      <c r="E174" s="26" t="s">
        <v>350</v>
      </c>
      <c r="F174" s="26" t="s">
        <v>340</v>
      </c>
      <c r="G174" s="26" t="s">
        <v>82</v>
      </c>
      <c r="H174" s="26" t="s">
        <v>383</v>
      </c>
      <c r="I174" s="26" t="n">
        <v>16</v>
      </c>
    </row>
    <row r="175" customFormat="false" ht="35.05" hidden="false" customHeight="false" outlineLevel="0" collapsed="false">
      <c r="A175" s="26" t="s">
        <v>375</v>
      </c>
      <c r="B175" s="26" t="n">
        <v>3506</v>
      </c>
      <c r="C175" s="26" t="s">
        <v>467</v>
      </c>
      <c r="D175" s="26" t="s">
        <v>468</v>
      </c>
      <c r="E175" s="26" t="s">
        <v>350</v>
      </c>
      <c r="F175" s="26" t="s">
        <v>340</v>
      </c>
      <c r="G175" s="26" t="s">
        <v>82</v>
      </c>
      <c r="H175" s="26" t="s">
        <v>383</v>
      </c>
      <c r="I175" s="26" t="n">
        <v>16</v>
      </c>
    </row>
    <row r="176" customFormat="false" ht="35.05" hidden="false" customHeight="false" outlineLevel="0" collapsed="false">
      <c r="A176" s="26" t="s">
        <v>331</v>
      </c>
      <c r="B176" s="26" t="n">
        <v>2706</v>
      </c>
      <c r="C176" s="26" t="s">
        <v>467</v>
      </c>
      <c r="D176" s="26" t="s">
        <v>468</v>
      </c>
      <c r="E176" s="26" t="s">
        <v>350</v>
      </c>
      <c r="F176" s="26" t="s">
        <v>340</v>
      </c>
      <c r="G176" s="26" t="s">
        <v>82</v>
      </c>
      <c r="H176" s="26" t="s">
        <v>383</v>
      </c>
      <c r="I176" s="26" t="n">
        <v>16</v>
      </c>
    </row>
    <row r="177" customFormat="false" ht="35.05" hidden="false" customHeight="false" outlineLevel="0" collapsed="false">
      <c r="A177" s="26" t="s">
        <v>334</v>
      </c>
      <c r="B177" s="26" t="n">
        <v>3009</v>
      </c>
      <c r="C177" s="26" t="s">
        <v>467</v>
      </c>
      <c r="D177" s="26" t="s">
        <v>468</v>
      </c>
      <c r="E177" s="26" t="s">
        <v>350</v>
      </c>
      <c r="F177" s="26" t="s">
        <v>340</v>
      </c>
      <c r="G177" s="26" t="s">
        <v>82</v>
      </c>
      <c r="H177" s="26" t="s">
        <v>383</v>
      </c>
      <c r="I177" s="26" t="n">
        <v>16</v>
      </c>
    </row>
    <row r="178" customFormat="false" ht="23.85" hidden="false" customHeight="false" outlineLevel="0" collapsed="false">
      <c r="A178" s="26" t="s">
        <v>299</v>
      </c>
      <c r="B178" s="26" t="n">
        <v>2115</v>
      </c>
      <c r="C178" s="26" t="s">
        <v>469</v>
      </c>
      <c r="D178" s="26" t="s">
        <v>470</v>
      </c>
      <c r="E178" s="26" t="s">
        <v>350</v>
      </c>
      <c r="F178" s="26" t="s">
        <v>369</v>
      </c>
      <c r="G178" s="26" t="s">
        <v>83</v>
      </c>
      <c r="H178" s="26" t="s">
        <v>471</v>
      </c>
      <c r="I178" s="26" t="n">
        <v>40</v>
      </c>
    </row>
    <row r="179" customFormat="false" ht="23.85" hidden="false" customHeight="false" outlineLevel="0" collapsed="false">
      <c r="A179" s="26" t="s">
        <v>299</v>
      </c>
      <c r="B179" s="26" t="n">
        <v>2124</v>
      </c>
      <c r="C179" s="26" t="s">
        <v>472</v>
      </c>
      <c r="D179" s="26" t="s">
        <v>470</v>
      </c>
      <c r="E179" s="26" t="s">
        <v>350</v>
      </c>
      <c r="F179" s="26" t="s">
        <v>369</v>
      </c>
      <c r="G179" s="26" t="s">
        <v>83</v>
      </c>
      <c r="H179" s="26" t="s">
        <v>471</v>
      </c>
      <c r="I179" s="26" t="n">
        <v>40</v>
      </c>
    </row>
    <row r="180" customFormat="false" ht="23.85" hidden="false" customHeight="false" outlineLevel="0" collapsed="false">
      <c r="A180" s="26" t="s">
        <v>307</v>
      </c>
      <c r="B180" s="26" t="n">
        <v>2206</v>
      </c>
      <c r="C180" s="26" t="s">
        <v>473</v>
      </c>
      <c r="D180" s="26" t="s">
        <v>470</v>
      </c>
      <c r="E180" s="26" t="s">
        <v>350</v>
      </c>
      <c r="F180" s="26" t="s">
        <v>369</v>
      </c>
      <c r="G180" s="26" t="s">
        <v>83</v>
      </c>
      <c r="H180" s="26" t="s">
        <v>471</v>
      </c>
      <c r="I180" s="26" t="n">
        <v>40</v>
      </c>
    </row>
    <row r="181" customFormat="false" ht="23.85" hidden="false" customHeight="false" outlineLevel="0" collapsed="false">
      <c r="A181" s="26" t="s">
        <v>310</v>
      </c>
      <c r="B181" s="26" t="n">
        <v>2307</v>
      </c>
      <c r="C181" s="26" t="s">
        <v>469</v>
      </c>
      <c r="D181" s="26" t="s">
        <v>470</v>
      </c>
      <c r="E181" s="26" t="s">
        <v>350</v>
      </c>
      <c r="F181" s="26" t="s">
        <v>369</v>
      </c>
      <c r="G181" s="26" t="s">
        <v>83</v>
      </c>
      <c r="H181" s="26" t="s">
        <v>471</v>
      </c>
      <c r="I181" s="26" t="n">
        <v>40</v>
      </c>
    </row>
    <row r="182" customFormat="false" ht="23.85" hidden="false" customHeight="false" outlineLevel="0" collapsed="false">
      <c r="A182" s="26" t="s">
        <v>310</v>
      </c>
      <c r="B182" s="26" t="n">
        <v>2314</v>
      </c>
      <c r="C182" s="26" t="s">
        <v>472</v>
      </c>
      <c r="D182" s="26" t="s">
        <v>470</v>
      </c>
      <c r="E182" s="26" t="s">
        <v>350</v>
      </c>
      <c r="F182" s="26" t="s">
        <v>369</v>
      </c>
      <c r="G182" s="26" t="s">
        <v>83</v>
      </c>
      <c r="H182" s="26" t="s">
        <v>471</v>
      </c>
      <c r="I182" s="26" t="n">
        <v>40</v>
      </c>
    </row>
    <row r="183" customFormat="false" ht="23.85" hidden="false" customHeight="false" outlineLevel="0" collapsed="false">
      <c r="A183" s="26" t="s">
        <v>312</v>
      </c>
      <c r="B183" s="26" t="n">
        <v>3701</v>
      </c>
      <c r="C183" s="26" t="s">
        <v>469</v>
      </c>
      <c r="D183" s="26" t="s">
        <v>470</v>
      </c>
      <c r="E183" s="26" t="s">
        <v>350</v>
      </c>
      <c r="F183" s="26" t="s">
        <v>369</v>
      </c>
      <c r="G183" s="26" t="s">
        <v>83</v>
      </c>
      <c r="H183" s="26" t="s">
        <v>471</v>
      </c>
      <c r="I183" s="26" t="n">
        <v>40</v>
      </c>
    </row>
    <row r="184" customFormat="false" ht="23.85" hidden="false" customHeight="false" outlineLevel="0" collapsed="false">
      <c r="A184" s="26" t="s">
        <v>312</v>
      </c>
      <c r="B184" s="26" t="n">
        <v>3710</v>
      </c>
      <c r="C184" s="26" t="s">
        <v>472</v>
      </c>
      <c r="D184" s="26" t="s">
        <v>470</v>
      </c>
      <c r="E184" s="26" t="s">
        <v>350</v>
      </c>
      <c r="F184" s="26" t="s">
        <v>369</v>
      </c>
      <c r="G184" s="26" t="s">
        <v>83</v>
      </c>
      <c r="H184" s="26" t="s">
        <v>471</v>
      </c>
      <c r="I184" s="26" t="n">
        <v>40</v>
      </c>
    </row>
    <row r="185" customFormat="false" ht="23.85" hidden="false" customHeight="false" outlineLevel="0" collapsed="false">
      <c r="A185" s="26" t="s">
        <v>314</v>
      </c>
      <c r="B185" s="26" t="n">
        <v>304</v>
      </c>
      <c r="C185" s="26" t="s">
        <v>474</v>
      </c>
      <c r="D185" s="26" t="s">
        <v>470</v>
      </c>
      <c r="E185" s="26" t="s">
        <v>350</v>
      </c>
      <c r="F185" s="26" t="s">
        <v>369</v>
      </c>
      <c r="G185" s="26" t="s">
        <v>83</v>
      </c>
      <c r="H185" s="26" t="s">
        <v>471</v>
      </c>
      <c r="I185" s="26" t="n">
        <v>40</v>
      </c>
    </row>
    <row r="186" customFormat="false" ht="23.85" hidden="false" customHeight="false" outlineLevel="0" collapsed="false">
      <c r="A186" s="26" t="s">
        <v>314</v>
      </c>
      <c r="B186" s="26" t="n">
        <v>313</v>
      </c>
      <c r="C186" s="26" t="s">
        <v>475</v>
      </c>
      <c r="D186" s="26" t="s">
        <v>470</v>
      </c>
      <c r="E186" s="26" t="s">
        <v>350</v>
      </c>
      <c r="F186" s="26" t="s">
        <v>369</v>
      </c>
      <c r="G186" s="26" t="s">
        <v>83</v>
      </c>
      <c r="H186" s="26" t="s">
        <v>471</v>
      </c>
      <c r="I186" s="26" t="n">
        <v>40</v>
      </c>
    </row>
    <row r="187" customFormat="false" ht="23.85" hidden="false" customHeight="false" outlineLevel="0" collapsed="false">
      <c r="A187" s="26" t="s">
        <v>316</v>
      </c>
      <c r="B187" s="26" t="n">
        <v>2801</v>
      </c>
      <c r="C187" s="26" t="s">
        <v>469</v>
      </c>
      <c r="D187" s="26" t="s">
        <v>470</v>
      </c>
      <c r="E187" s="26" t="s">
        <v>350</v>
      </c>
      <c r="F187" s="26" t="s">
        <v>369</v>
      </c>
      <c r="G187" s="26" t="s">
        <v>83</v>
      </c>
      <c r="H187" s="26" t="s">
        <v>471</v>
      </c>
      <c r="I187" s="26" t="n">
        <v>40</v>
      </c>
    </row>
    <row r="188" customFormat="false" ht="23.85" hidden="false" customHeight="false" outlineLevel="0" collapsed="false">
      <c r="A188" s="26" t="s">
        <v>316</v>
      </c>
      <c r="B188" s="26" t="n">
        <v>2808</v>
      </c>
      <c r="C188" s="26" t="s">
        <v>472</v>
      </c>
      <c r="D188" s="26" t="s">
        <v>470</v>
      </c>
      <c r="E188" s="26" t="s">
        <v>350</v>
      </c>
      <c r="F188" s="26" t="s">
        <v>369</v>
      </c>
      <c r="G188" s="26" t="s">
        <v>83</v>
      </c>
      <c r="H188" s="26" t="s">
        <v>471</v>
      </c>
      <c r="I188" s="26" t="n">
        <v>40</v>
      </c>
    </row>
    <row r="189" customFormat="false" ht="23.85" hidden="false" customHeight="false" outlineLevel="0" collapsed="false">
      <c r="A189" s="26" t="s">
        <v>318</v>
      </c>
      <c r="B189" s="26" t="n">
        <v>2601</v>
      </c>
      <c r="C189" s="26" t="s">
        <v>469</v>
      </c>
      <c r="D189" s="26" t="s">
        <v>470</v>
      </c>
      <c r="E189" s="26" t="s">
        <v>350</v>
      </c>
      <c r="F189" s="26" t="s">
        <v>369</v>
      </c>
      <c r="G189" s="26" t="s">
        <v>83</v>
      </c>
      <c r="H189" s="26" t="s">
        <v>471</v>
      </c>
      <c r="I189" s="26" t="n">
        <v>40</v>
      </c>
    </row>
    <row r="190" customFormat="false" ht="23.85" hidden="false" customHeight="false" outlineLevel="0" collapsed="false">
      <c r="A190" s="26" t="s">
        <v>318</v>
      </c>
      <c r="B190" s="26" t="n">
        <v>2606</v>
      </c>
      <c r="C190" s="26" t="s">
        <v>476</v>
      </c>
      <c r="D190" s="26" t="s">
        <v>470</v>
      </c>
      <c r="E190" s="26" t="s">
        <v>350</v>
      </c>
      <c r="F190" s="26" t="s">
        <v>369</v>
      </c>
      <c r="G190" s="26" t="s">
        <v>83</v>
      </c>
      <c r="H190" s="26" t="s">
        <v>471</v>
      </c>
      <c r="I190" s="26" t="n">
        <v>40</v>
      </c>
    </row>
    <row r="191" customFormat="false" ht="23.85" hidden="false" customHeight="false" outlineLevel="0" collapsed="false">
      <c r="A191" s="26" t="s">
        <v>319</v>
      </c>
      <c r="B191" s="26" t="n">
        <v>3901</v>
      </c>
      <c r="C191" s="26" t="s">
        <v>477</v>
      </c>
      <c r="D191" s="26" t="s">
        <v>470</v>
      </c>
      <c r="E191" s="26" t="s">
        <v>350</v>
      </c>
      <c r="F191" s="26" t="s">
        <v>369</v>
      </c>
      <c r="G191" s="26" t="s">
        <v>83</v>
      </c>
      <c r="H191" s="26" t="s">
        <v>471</v>
      </c>
      <c r="I191" s="26" t="n">
        <v>40</v>
      </c>
    </row>
    <row r="192" customFormat="false" ht="23.85" hidden="false" customHeight="false" outlineLevel="0" collapsed="false">
      <c r="A192" s="26" t="s">
        <v>319</v>
      </c>
      <c r="B192" s="26" t="n">
        <v>3906</v>
      </c>
      <c r="C192" s="26" t="s">
        <v>478</v>
      </c>
      <c r="D192" s="26" t="s">
        <v>470</v>
      </c>
      <c r="E192" s="26" t="s">
        <v>350</v>
      </c>
      <c r="F192" s="26" t="s">
        <v>369</v>
      </c>
      <c r="G192" s="26" t="s">
        <v>83</v>
      </c>
      <c r="H192" s="26" t="s">
        <v>471</v>
      </c>
      <c r="I192" s="26" t="n">
        <v>40</v>
      </c>
    </row>
    <row r="193" customFormat="false" ht="23.85" hidden="false" customHeight="false" outlineLevel="0" collapsed="false">
      <c r="A193" s="26" t="s">
        <v>321</v>
      </c>
      <c r="B193" s="26" t="n">
        <v>3101</v>
      </c>
      <c r="C193" s="26" t="s">
        <v>473</v>
      </c>
      <c r="D193" s="26" t="s">
        <v>470</v>
      </c>
      <c r="E193" s="26" t="s">
        <v>350</v>
      </c>
      <c r="F193" s="26" t="s">
        <v>369</v>
      </c>
      <c r="G193" s="26" t="s">
        <v>83</v>
      </c>
      <c r="H193" s="26" t="s">
        <v>471</v>
      </c>
      <c r="I193" s="26" t="n">
        <v>40</v>
      </c>
    </row>
    <row r="194" customFormat="false" ht="23.85" hidden="false" customHeight="false" outlineLevel="0" collapsed="false">
      <c r="A194" s="26" t="s">
        <v>321</v>
      </c>
      <c r="B194" s="26" t="n">
        <v>3106</v>
      </c>
      <c r="C194" s="26" t="s">
        <v>479</v>
      </c>
      <c r="D194" s="26" t="s">
        <v>470</v>
      </c>
      <c r="E194" s="26" t="s">
        <v>350</v>
      </c>
      <c r="F194" s="26" t="s">
        <v>369</v>
      </c>
      <c r="G194" s="26" t="s">
        <v>83</v>
      </c>
      <c r="H194" s="26" t="s">
        <v>471</v>
      </c>
      <c r="I194" s="26" t="n">
        <v>40</v>
      </c>
    </row>
    <row r="195" customFormat="false" ht="23.85" hidden="false" customHeight="false" outlineLevel="0" collapsed="false">
      <c r="A195" s="26" t="s">
        <v>321</v>
      </c>
      <c r="B195" s="26" t="n">
        <v>3118</v>
      </c>
      <c r="C195" s="26" t="s">
        <v>480</v>
      </c>
      <c r="D195" s="26" t="s">
        <v>470</v>
      </c>
      <c r="E195" s="26" t="s">
        <v>350</v>
      </c>
      <c r="F195" s="26" t="s">
        <v>369</v>
      </c>
      <c r="G195" s="26" t="s">
        <v>83</v>
      </c>
      <c r="H195" s="26" t="s">
        <v>471</v>
      </c>
      <c r="I195" s="26" t="n">
        <v>40</v>
      </c>
    </row>
    <row r="196" customFormat="false" ht="23.85" hidden="false" customHeight="false" outlineLevel="0" collapsed="false">
      <c r="A196" s="26" t="s">
        <v>323</v>
      </c>
      <c r="B196" s="26" t="n">
        <v>2901</v>
      </c>
      <c r="C196" s="26" t="s">
        <v>469</v>
      </c>
      <c r="D196" s="26" t="s">
        <v>470</v>
      </c>
      <c r="E196" s="26" t="s">
        <v>350</v>
      </c>
      <c r="F196" s="26" t="s">
        <v>369</v>
      </c>
      <c r="G196" s="26" t="s">
        <v>83</v>
      </c>
      <c r="H196" s="26" t="s">
        <v>471</v>
      </c>
      <c r="I196" s="26" t="n">
        <v>40</v>
      </c>
    </row>
    <row r="197" customFormat="false" ht="23.85" hidden="false" customHeight="false" outlineLevel="0" collapsed="false">
      <c r="A197" s="26" t="s">
        <v>323</v>
      </c>
      <c r="B197" s="26" t="n">
        <v>2906</v>
      </c>
      <c r="C197" s="26" t="s">
        <v>472</v>
      </c>
      <c r="D197" s="26" t="s">
        <v>470</v>
      </c>
      <c r="E197" s="26" t="s">
        <v>350</v>
      </c>
      <c r="F197" s="26" t="s">
        <v>369</v>
      </c>
      <c r="G197" s="26" t="s">
        <v>83</v>
      </c>
      <c r="H197" s="26" t="s">
        <v>471</v>
      </c>
      <c r="I197" s="26" t="n">
        <v>40</v>
      </c>
    </row>
    <row r="198" customFormat="false" ht="23.85" hidden="false" customHeight="false" outlineLevel="0" collapsed="false">
      <c r="A198" s="26" t="s">
        <v>324</v>
      </c>
      <c r="B198" s="26" t="n">
        <v>3301</v>
      </c>
      <c r="C198" s="26" t="s">
        <v>473</v>
      </c>
      <c r="D198" s="26" t="s">
        <v>470</v>
      </c>
      <c r="E198" s="26" t="s">
        <v>350</v>
      </c>
      <c r="F198" s="26" t="s">
        <v>369</v>
      </c>
      <c r="G198" s="26" t="s">
        <v>83</v>
      </c>
      <c r="H198" s="26" t="s">
        <v>471</v>
      </c>
      <c r="I198" s="26" t="n">
        <v>40</v>
      </c>
    </row>
    <row r="199" customFormat="false" ht="23.85" hidden="false" customHeight="false" outlineLevel="0" collapsed="false">
      <c r="A199" s="26" t="s">
        <v>324</v>
      </c>
      <c r="B199" s="26" t="n">
        <v>3304</v>
      </c>
      <c r="C199" s="26" t="s">
        <v>481</v>
      </c>
      <c r="D199" s="26" t="s">
        <v>470</v>
      </c>
      <c r="E199" s="26" t="s">
        <v>350</v>
      </c>
      <c r="F199" s="26" t="s">
        <v>369</v>
      </c>
      <c r="G199" s="26" t="s">
        <v>83</v>
      </c>
      <c r="H199" s="26" t="s">
        <v>471</v>
      </c>
      <c r="I199" s="26" t="n">
        <v>40</v>
      </c>
    </row>
    <row r="200" customFormat="false" ht="23.85" hidden="false" customHeight="false" outlineLevel="0" collapsed="false">
      <c r="A200" s="26" t="s">
        <v>324</v>
      </c>
      <c r="B200" s="26" t="n">
        <v>3317</v>
      </c>
      <c r="C200" s="26" t="s">
        <v>482</v>
      </c>
      <c r="D200" s="26" t="s">
        <v>470</v>
      </c>
      <c r="E200" s="26" t="s">
        <v>350</v>
      </c>
      <c r="F200" s="26" t="s">
        <v>369</v>
      </c>
      <c r="G200" s="26" t="s">
        <v>83</v>
      </c>
      <c r="H200" s="26" t="s">
        <v>471</v>
      </c>
      <c r="I200" s="26" t="n">
        <v>40</v>
      </c>
    </row>
    <row r="201" customFormat="false" ht="23.85" hidden="false" customHeight="false" outlineLevel="0" collapsed="false">
      <c r="A201" s="26" t="s">
        <v>327</v>
      </c>
      <c r="B201" s="26" t="n">
        <v>2501</v>
      </c>
      <c r="C201" s="26" t="s">
        <v>469</v>
      </c>
      <c r="D201" s="26" t="s">
        <v>470</v>
      </c>
      <c r="E201" s="26" t="s">
        <v>350</v>
      </c>
      <c r="F201" s="26" t="s">
        <v>369</v>
      </c>
      <c r="G201" s="26" t="s">
        <v>83</v>
      </c>
      <c r="H201" s="26" t="s">
        <v>471</v>
      </c>
      <c r="I201" s="26" t="n">
        <v>40</v>
      </c>
    </row>
    <row r="202" customFormat="false" ht="23.85" hidden="false" customHeight="false" outlineLevel="0" collapsed="false">
      <c r="A202" s="26" t="s">
        <v>327</v>
      </c>
      <c r="B202" s="26" t="n">
        <v>2506</v>
      </c>
      <c r="C202" s="26" t="s">
        <v>483</v>
      </c>
      <c r="D202" s="26" t="s">
        <v>470</v>
      </c>
      <c r="E202" s="26" t="s">
        <v>350</v>
      </c>
      <c r="F202" s="26" t="s">
        <v>369</v>
      </c>
      <c r="G202" s="26" t="s">
        <v>83</v>
      </c>
      <c r="H202" s="26" t="s">
        <v>471</v>
      </c>
      <c r="I202" s="26" t="n">
        <v>40</v>
      </c>
    </row>
    <row r="203" customFormat="false" ht="23.85" hidden="false" customHeight="false" outlineLevel="0" collapsed="false">
      <c r="A203" s="26" t="s">
        <v>329</v>
      </c>
      <c r="B203" s="26" t="n">
        <v>3201</v>
      </c>
      <c r="C203" s="26" t="s">
        <v>469</v>
      </c>
      <c r="D203" s="26" t="s">
        <v>470</v>
      </c>
      <c r="E203" s="26" t="s">
        <v>350</v>
      </c>
      <c r="F203" s="26" t="s">
        <v>369</v>
      </c>
      <c r="G203" s="26" t="s">
        <v>83</v>
      </c>
      <c r="H203" s="26" t="s">
        <v>471</v>
      </c>
      <c r="I203" s="26" t="n">
        <v>40</v>
      </c>
    </row>
    <row r="204" customFormat="false" ht="23.85" hidden="false" customHeight="false" outlineLevel="0" collapsed="false">
      <c r="A204" s="26" t="s">
        <v>329</v>
      </c>
      <c r="B204" s="26" t="n">
        <v>3204</v>
      </c>
      <c r="C204" s="26" t="s">
        <v>484</v>
      </c>
      <c r="D204" s="26" t="s">
        <v>470</v>
      </c>
      <c r="E204" s="26" t="s">
        <v>350</v>
      </c>
      <c r="F204" s="26" t="s">
        <v>369</v>
      </c>
      <c r="G204" s="26" t="s">
        <v>83</v>
      </c>
      <c r="H204" s="26" t="s">
        <v>471</v>
      </c>
      <c r="I204" s="26" t="n">
        <v>40</v>
      </c>
    </row>
    <row r="205" customFormat="false" ht="23.85" hidden="false" customHeight="false" outlineLevel="0" collapsed="false">
      <c r="A205" s="26" t="s">
        <v>329</v>
      </c>
      <c r="B205" s="26" t="n">
        <v>3207</v>
      </c>
      <c r="C205" s="26" t="s">
        <v>476</v>
      </c>
      <c r="D205" s="26" t="s">
        <v>470</v>
      </c>
      <c r="E205" s="26" t="s">
        <v>350</v>
      </c>
      <c r="F205" s="26" t="s">
        <v>369</v>
      </c>
      <c r="G205" s="26" t="s">
        <v>83</v>
      </c>
      <c r="H205" s="26" t="s">
        <v>471</v>
      </c>
      <c r="I205" s="26" t="n">
        <v>40</v>
      </c>
    </row>
    <row r="206" customFormat="false" ht="35.05" hidden="false" customHeight="false" outlineLevel="0" collapsed="false">
      <c r="A206" s="26" t="s">
        <v>329</v>
      </c>
      <c r="B206" s="26" t="n">
        <v>3217</v>
      </c>
      <c r="C206" s="26" t="s">
        <v>485</v>
      </c>
      <c r="D206" s="26" t="s">
        <v>470</v>
      </c>
      <c r="E206" s="26" t="s">
        <v>350</v>
      </c>
      <c r="F206" s="26" t="s">
        <v>369</v>
      </c>
      <c r="G206" s="26" t="s">
        <v>83</v>
      </c>
      <c r="H206" s="26" t="s">
        <v>471</v>
      </c>
      <c r="I206" s="26" t="n">
        <v>40</v>
      </c>
    </row>
    <row r="207" customFormat="false" ht="23.85" hidden="false" customHeight="false" outlineLevel="0" collapsed="false">
      <c r="A207" s="26" t="s">
        <v>373</v>
      </c>
      <c r="B207" s="26" t="n">
        <v>3401</v>
      </c>
      <c r="C207" s="26" t="s">
        <v>473</v>
      </c>
      <c r="D207" s="26" t="s">
        <v>470</v>
      </c>
      <c r="E207" s="26" t="s">
        <v>350</v>
      </c>
      <c r="F207" s="26" t="s">
        <v>369</v>
      </c>
      <c r="G207" s="26" t="s">
        <v>83</v>
      </c>
      <c r="H207" s="26" t="s">
        <v>471</v>
      </c>
      <c r="I207" s="26" t="n">
        <v>40</v>
      </c>
    </row>
    <row r="208" customFormat="false" ht="23.85" hidden="false" customHeight="false" outlineLevel="0" collapsed="false">
      <c r="A208" s="26" t="s">
        <v>373</v>
      </c>
      <c r="B208" s="26" t="n">
        <v>3408</v>
      </c>
      <c r="C208" s="26" t="s">
        <v>486</v>
      </c>
      <c r="D208" s="26" t="s">
        <v>470</v>
      </c>
      <c r="E208" s="26" t="s">
        <v>350</v>
      </c>
      <c r="F208" s="26" t="s">
        <v>369</v>
      </c>
      <c r="G208" s="26" t="s">
        <v>83</v>
      </c>
      <c r="H208" s="26" t="s">
        <v>471</v>
      </c>
      <c r="I208" s="26" t="n">
        <v>40</v>
      </c>
    </row>
    <row r="209" customFormat="false" ht="23.85" hidden="false" customHeight="false" outlineLevel="0" collapsed="false">
      <c r="A209" s="26" t="s">
        <v>373</v>
      </c>
      <c r="B209" s="26" t="n">
        <v>3411</v>
      </c>
      <c r="C209" s="26" t="s">
        <v>487</v>
      </c>
      <c r="D209" s="26" t="s">
        <v>470</v>
      </c>
      <c r="E209" s="26" t="s">
        <v>350</v>
      </c>
      <c r="F209" s="26" t="s">
        <v>369</v>
      </c>
      <c r="G209" s="26" t="s">
        <v>83</v>
      </c>
      <c r="H209" s="26" t="s">
        <v>471</v>
      </c>
      <c r="I209" s="26" t="n">
        <v>40</v>
      </c>
    </row>
    <row r="210" customFormat="false" ht="23.85" hidden="false" customHeight="false" outlineLevel="0" collapsed="false">
      <c r="A210" s="26" t="s">
        <v>375</v>
      </c>
      <c r="B210" s="26" t="n">
        <v>3501</v>
      </c>
      <c r="C210" s="26" t="s">
        <v>488</v>
      </c>
      <c r="D210" s="26" t="s">
        <v>470</v>
      </c>
      <c r="E210" s="26" t="s">
        <v>350</v>
      </c>
      <c r="F210" s="26" t="s">
        <v>369</v>
      </c>
      <c r="G210" s="26" t="s">
        <v>83</v>
      </c>
      <c r="H210" s="26" t="s">
        <v>471</v>
      </c>
      <c r="I210" s="26" t="n">
        <v>40</v>
      </c>
    </row>
    <row r="211" customFormat="false" ht="23.85" hidden="false" customHeight="false" outlineLevel="0" collapsed="false">
      <c r="A211" s="26" t="s">
        <v>375</v>
      </c>
      <c r="B211" s="26" t="n">
        <v>3507</v>
      </c>
      <c r="C211" s="26" t="s">
        <v>489</v>
      </c>
      <c r="D211" s="26" t="s">
        <v>470</v>
      </c>
      <c r="E211" s="26" t="s">
        <v>350</v>
      </c>
      <c r="F211" s="26" t="s">
        <v>369</v>
      </c>
      <c r="G211" s="26" t="s">
        <v>83</v>
      </c>
      <c r="H211" s="26" t="s">
        <v>471</v>
      </c>
      <c r="I211" s="26" t="n">
        <v>40</v>
      </c>
    </row>
    <row r="212" customFormat="false" ht="23.85" hidden="false" customHeight="false" outlineLevel="0" collapsed="false">
      <c r="A212" s="26" t="s">
        <v>331</v>
      </c>
      <c r="B212" s="26" t="n">
        <v>2705</v>
      </c>
      <c r="C212" s="26" t="s">
        <v>490</v>
      </c>
      <c r="D212" s="26" t="s">
        <v>470</v>
      </c>
      <c r="E212" s="26" t="s">
        <v>350</v>
      </c>
      <c r="F212" s="26" t="s">
        <v>369</v>
      </c>
      <c r="G212" s="26" t="s">
        <v>83</v>
      </c>
      <c r="H212" s="26" t="s">
        <v>471</v>
      </c>
      <c r="I212" s="26" t="n">
        <v>40</v>
      </c>
    </row>
    <row r="213" customFormat="false" ht="23.85" hidden="false" customHeight="false" outlineLevel="0" collapsed="false">
      <c r="A213" s="26" t="s">
        <v>331</v>
      </c>
      <c r="B213" s="26" t="n">
        <v>2707</v>
      </c>
      <c r="C213" s="26" t="s">
        <v>491</v>
      </c>
      <c r="D213" s="26" t="s">
        <v>470</v>
      </c>
      <c r="E213" s="26" t="s">
        <v>350</v>
      </c>
      <c r="F213" s="26" t="s">
        <v>369</v>
      </c>
      <c r="G213" s="26" t="s">
        <v>83</v>
      </c>
      <c r="H213" s="26" t="s">
        <v>471</v>
      </c>
      <c r="I213" s="26" t="n">
        <v>40</v>
      </c>
    </row>
    <row r="214" customFormat="false" ht="23.85" hidden="false" customHeight="false" outlineLevel="0" collapsed="false">
      <c r="A214" s="26" t="s">
        <v>334</v>
      </c>
      <c r="B214" s="26" t="n">
        <v>3003</v>
      </c>
      <c r="C214" s="26" t="s">
        <v>492</v>
      </c>
      <c r="D214" s="26" t="s">
        <v>470</v>
      </c>
      <c r="E214" s="26" t="s">
        <v>350</v>
      </c>
      <c r="F214" s="26" t="s">
        <v>369</v>
      </c>
      <c r="G214" s="26" t="s">
        <v>83</v>
      </c>
      <c r="H214" s="26" t="s">
        <v>471</v>
      </c>
      <c r="I214" s="26" t="n">
        <v>40</v>
      </c>
    </row>
    <row r="215" customFormat="false" ht="23.85" hidden="false" customHeight="false" outlineLevel="0" collapsed="false">
      <c r="A215" s="26" t="s">
        <v>334</v>
      </c>
      <c r="B215" s="26" t="n">
        <v>3005</v>
      </c>
      <c r="C215" s="26" t="s">
        <v>469</v>
      </c>
      <c r="D215" s="26" t="s">
        <v>470</v>
      </c>
      <c r="E215" s="26" t="s">
        <v>350</v>
      </c>
      <c r="F215" s="26" t="s">
        <v>369</v>
      </c>
      <c r="G215" s="26" t="s">
        <v>83</v>
      </c>
      <c r="H215" s="26" t="s">
        <v>471</v>
      </c>
      <c r="I215" s="26" t="n">
        <v>40</v>
      </c>
    </row>
    <row r="216" customFormat="false" ht="23.85" hidden="false" customHeight="false" outlineLevel="0" collapsed="false">
      <c r="A216" s="26" t="s">
        <v>334</v>
      </c>
      <c r="B216" s="26" t="n">
        <v>3010</v>
      </c>
      <c r="C216" s="26" t="s">
        <v>493</v>
      </c>
      <c r="D216" s="26" t="s">
        <v>470</v>
      </c>
      <c r="E216" s="26" t="s">
        <v>350</v>
      </c>
      <c r="F216" s="26" t="s">
        <v>369</v>
      </c>
      <c r="G216" s="26" t="s">
        <v>83</v>
      </c>
      <c r="H216" s="26" t="s">
        <v>471</v>
      </c>
      <c r="I216" s="26" t="n">
        <v>40</v>
      </c>
    </row>
    <row r="217" customFormat="false" ht="23.85" hidden="false" customHeight="false" outlineLevel="0" collapsed="false">
      <c r="A217" s="26" t="s">
        <v>352</v>
      </c>
      <c r="B217" s="26" t="n">
        <v>4108</v>
      </c>
      <c r="C217" s="26" t="s">
        <v>494</v>
      </c>
      <c r="D217" s="26" t="s">
        <v>470</v>
      </c>
      <c r="E217" s="26" t="s">
        <v>350</v>
      </c>
      <c r="F217" s="26" t="s">
        <v>369</v>
      </c>
      <c r="G217" s="26" t="s">
        <v>83</v>
      </c>
      <c r="H217" s="26" t="s">
        <v>471</v>
      </c>
      <c r="I217" s="26" t="n">
        <v>40</v>
      </c>
    </row>
    <row r="218" customFormat="false" ht="23.85" hidden="false" customHeight="false" outlineLevel="0" collapsed="false">
      <c r="A218" s="26" t="s">
        <v>299</v>
      </c>
      <c r="B218" s="26" t="n">
        <v>2123</v>
      </c>
      <c r="C218" s="26" t="s">
        <v>495</v>
      </c>
      <c r="D218" s="26" t="s">
        <v>496</v>
      </c>
      <c r="E218" s="26" t="s">
        <v>350</v>
      </c>
      <c r="F218" s="26" t="s">
        <v>369</v>
      </c>
      <c r="G218" s="26" t="s">
        <v>83</v>
      </c>
      <c r="H218" s="26" t="s">
        <v>471</v>
      </c>
      <c r="I218" s="26" t="n">
        <v>18</v>
      </c>
    </row>
    <row r="219" customFormat="false" ht="23.85" hidden="false" customHeight="false" outlineLevel="0" collapsed="false">
      <c r="A219" s="26" t="s">
        <v>307</v>
      </c>
      <c r="B219" s="26" t="n">
        <v>2211</v>
      </c>
      <c r="C219" s="26" t="s">
        <v>497</v>
      </c>
      <c r="D219" s="26" t="s">
        <v>496</v>
      </c>
      <c r="E219" s="26" t="s">
        <v>350</v>
      </c>
      <c r="F219" s="26" t="s">
        <v>369</v>
      </c>
      <c r="G219" s="26" t="s">
        <v>83</v>
      </c>
      <c r="H219" s="26" t="s">
        <v>471</v>
      </c>
      <c r="I219" s="26" t="n">
        <v>18</v>
      </c>
    </row>
    <row r="220" customFormat="false" ht="23.85" hidden="false" customHeight="false" outlineLevel="0" collapsed="false">
      <c r="A220" s="26" t="s">
        <v>310</v>
      </c>
      <c r="B220" s="26" t="n">
        <v>2313</v>
      </c>
      <c r="C220" s="26" t="s">
        <v>495</v>
      </c>
      <c r="D220" s="26" t="s">
        <v>496</v>
      </c>
      <c r="E220" s="26" t="s">
        <v>350</v>
      </c>
      <c r="F220" s="26" t="s">
        <v>369</v>
      </c>
      <c r="G220" s="26" t="s">
        <v>83</v>
      </c>
      <c r="H220" s="26" t="s">
        <v>471</v>
      </c>
      <c r="I220" s="26" t="n">
        <v>18</v>
      </c>
    </row>
    <row r="221" customFormat="false" ht="23.85" hidden="false" customHeight="false" outlineLevel="0" collapsed="false">
      <c r="A221" s="26" t="s">
        <v>312</v>
      </c>
      <c r="B221" s="26" t="n">
        <v>3706</v>
      </c>
      <c r="C221" s="26" t="s">
        <v>495</v>
      </c>
      <c r="D221" s="26" t="s">
        <v>496</v>
      </c>
      <c r="E221" s="26" t="s">
        <v>350</v>
      </c>
      <c r="F221" s="26" t="s">
        <v>369</v>
      </c>
      <c r="G221" s="26" t="s">
        <v>83</v>
      </c>
      <c r="H221" s="26" t="s">
        <v>471</v>
      </c>
      <c r="I221" s="26" t="n">
        <v>18</v>
      </c>
    </row>
    <row r="222" customFormat="false" ht="23.85" hidden="false" customHeight="false" outlineLevel="0" collapsed="false">
      <c r="A222" s="26" t="s">
        <v>314</v>
      </c>
      <c r="B222" s="26" t="n">
        <v>312</v>
      </c>
      <c r="C222" s="26" t="s">
        <v>498</v>
      </c>
      <c r="D222" s="26" t="s">
        <v>496</v>
      </c>
      <c r="E222" s="26" t="s">
        <v>350</v>
      </c>
      <c r="F222" s="26" t="s">
        <v>369</v>
      </c>
      <c r="G222" s="26" t="s">
        <v>83</v>
      </c>
      <c r="H222" s="26" t="s">
        <v>471</v>
      </c>
      <c r="I222" s="26" t="n">
        <v>18</v>
      </c>
    </row>
    <row r="223" customFormat="false" ht="23.85" hidden="false" customHeight="false" outlineLevel="0" collapsed="false">
      <c r="A223" s="26" t="s">
        <v>316</v>
      </c>
      <c r="B223" s="26" t="n">
        <v>2811</v>
      </c>
      <c r="C223" s="26" t="s">
        <v>495</v>
      </c>
      <c r="D223" s="26" t="s">
        <v>496</v>
      </c>
      <c r="E223" s="26" t="s">
        <v>350</v>
      </c>
      <c r="F223" s="26" t="s">
        <v>369</v>
      </c>
      <c r="G223" s="26" t="s">
        <v>83</v>
      </c>
      <c r="H223" s="26" t="s">
        <v>471</v>
      </c>
      <c r="I223" s="26" t="n">
        <v>18</v>
      </c>
    </row>
    <row r="224" customFormat="false" ht="23.85" hidden="false" customHeight="false" outlineLevel="0" collapsed="false">
      <c r="A224" s="26" t="s">
        <v>318</v>
      </c>
      <c r="B224" s="26" t="n">
        <v>2613</v>
      </c>
      <c r="C224" s="26" t="s">
        <v>495</v>
      </c>
      <c r="D224" s="26" t="s">
        <v>496</v>
      </c>
      <c r="E224" s="26" t="s">
        <v>350</v>
      </c>
      <c r="F224" s="26" t="s">
        <v>369</v>
      </c>
      <c r="G224" s="26" t="s">
        <v>83</v>
      </c>
      <c r="H224" s="26" t="s">
        <v>471</v>
      </c>
      <c r="I224" s="26" t="n">
        <v>18</v>
      </c>
    </row>
    <row r="225" customFormat="false" ht="23.85" hidden="false" customHeight="false" outlineLevel="0" collapsed="false">
      <c r="A225" s="26" t="s">
        <v>319</v>
      </c>
      <c r="B225" s="26" t="n">
        <v>3912</v>
      </c>
      <c r="C225" s="26" t="s">
        <v>499</v>
      </c>
      <c r="D225" s="26" t="s">
        <v>496</v>
      </c>
      <c r="E225" s="26" t="s">
        <v>350</v>
      </c>
      <c r="F225" s="26" t="s">
        <v>369</v>
      </c>
      <c r="G225" s="26" t="s">
        <v>83</v>
      </c>
      <c r="H225" s="26" t="s">
        <v>471</v>
      </c>
      <c r="I225" s="26" t="n">
        <v>18</v>
      </c>
    </row>
    <row r="226" customFormat="false" ht="23.85" hidden="false" customHeight="false" outlineLevel="0" collapsed="false">
      <c r="A226" s="26" t="s">
        <v>321</v>
      </c>
      <c r="B226" s="26" t="n">
        <v>3116</v>
      </c>
      <c r="C226" s="26" t="s">
        <v>497</v>
      </c>
      <c r="D226" s="26" t="s">
        <v>496</v>
      </c>
      <c r="E226" s="26" t="s">
        <v>350</v>
      </c>
      <c r="F226" s="26" t="s">
        <v>369</v>
      </c>
      <c r="G226" s="26" t="s">
        <v>83</v>
      </c>
      <c r="H226" s="26" t="s">
        <v>471</v>
      </c>
      <c r="I226" s="26" t="n">
        <v>18</v>
      </c>
    </row>
    <row r="227" customFormat="false" ht="23.85" hidden="false" customHeight="false" outlineLevel="0" collapsed="false">
      <c r="A227" s="26" t="s">
        <v>323</v>
      </c>
      <c r="B227" s="26" t="n">
        <v>2913</v>
      </c>
      <c r="C227" s="26" t="s">
        <v>495</v>
      </c>
      <c r="D227" s="26" t="s">
        <v>496</v>
      </c>
      <c r="E227" s="26" t="s">
        <v>350</v>
      </c>
      <c r="F227" s="26" t="s">
        <v>369</v>
      </c>
      <c r="G227" s="26" t="s">
        <v>83</v>
      </c>
      <c r="H227" s="26" t="s">
        <v>471</v>
      </c>
      <c r="I227" s="26" t="n">
        <v>18</v>
      </c>
    </row>
    <row r="228" customFormat="false" ht="23.85" hidden="false" customHeight="false" outlineLevel="0" collapsed="false">
      <c r="A228" s="26" t="s">
        <v>324</v>
      </c>
      <c r="B228" s="26" t="n">
        <v>3312</v>
      </c>
      <c r="C228" s="26" t="s">
        <v>497</v>
      </c>
      <c r="D228" s="26" t="s">
        <v>496</v>
      </c>
      <c r="E228" s="26" t="s">
        <v>350</v>
      </c>
      <c r="F228" s="26" t="s">
        <v>369</v>
      </c>
      <c r="G228" s="26" t="s">
        <v>83</v>
      </c>
      <c r="H228" s="26" t="s">
        <v>471</v>
      </c>
      <c r="I228" s="26" t="n">
        <v>18</v>
      </c>
    </row>
    <row r="229" customFormat="false" ht="23.85" hidden="false" customHeight="false" outlineLevel="0" collapsed="false">
      <c r="A229" s="26" t="s">
        <v>327</v>
      </c>
      <c r="B229" s="26" t="n">
        <v>2514</v>
      </c>
      <c r="C229" s="26" t="s">
        <v>495</v>
      </c>
      <c r="D229" s="26" t="s">
        <v>496</v>
      </c>
      <c r="E229" s="26" t="s">
        <v>350</v>
      </c>
      <c r="F229" s="26" t="s">
        <v>369</v>
      </c>
      <c r="G229" s="26" t="s">
        <v>83</v>
      </c>
      <c r="H229" s="26" t="s">
        <v>471</v>
      </c>
      <c r="I229" s="26" t="n">
        <v>18</v>
      </c>
    </row>
    <row r="230" customFormat="false" ht="23.85" hidden="false" customHeight="false" outlineLevel="0" collapsed="false">
      <c r="A230" s="26" t="s">
        <v>329</v>
      </c>
      <c r="B230" s="26" t="n">
        <v>3211</v>
      </c>
      <c r="C230" s="26" t="s">
        <v>495</v>
      </c>
      <c r="D230" s="26" t="s">
        <v>496</v>
      </c>
      <c r="E230" s="26" t="s">
        <v>350</v>
      </c>
      <c r="F230" s="26" t="s">
        <v>369</v>
      </c>
      <c r="G230" s="26" t="s">
        <v>83</v>
      </c>
      <c r="H230" s="26" t="s">
        <v>471</v>
      </c>
      <c r="I230" s="26" t="n">
        <v>18</v>
      </c>
    </row>
    <row r="231" customFormat="false" ht="23.85" hidden="false" customHeight="false" outlineLevel="0" collapsed="false">
      <c r="A231" s="26" t="s">
        <v>373</v>
      </c>
      <c r="B231" s="26" t="n">
        <v>3404</v>
      </c>
      <c r="C231" s="26" t="s">
        <v>497</v>
      </c>
      <c r="D231" s="26" t="s">
        <v>496</v>
      </c>
      <c r="E231" s="26" t="s">
        <v>350</v>
      </c>
      <c r="F231" s="26" t="s">
        <v>369</v>
      </c>
      <c r="G231" s="26" t="s">
        <v>83</v>
      </c>
      <c r="H231" s="26" t="s">
        <v>471</v>
      </c>
      <c r="I231" s="26" t="n">
        <v>18</v>
      </c>
    </row>
    <row r="232" customFormat="false" ht="23.85" hidden="false" customHeight="false" outlineLevel="0" collapsed="false">
      <c r="A232" s="26" t="s">
        <v>375</v>
      </c>
      <c r="B232" s="26" t="n">
        <v>3504</v>
      </c>
      <c r="C232" s="26" t="s">
        <v>500</v>
      </c>
      <c r="D232" s="26" t="s">
        <v>496</v>
      </c>
      <c r="E232" s="26" t="s">
        <v>350</v>
      </c>
      <c r="F232" s="26" t="s">
        <v>369</v>
      </c>
      <c r="G232" s="26" t="s">
        <v>83</v>
      </c>
      <c r="H232" s="26" t="s">
        <v>471</v>
      </c>
      <c r="I232" s="26" t="n">
        <v>18</v>
      </c>
    </row>
    <row r="233" customFormat="false" ht="23.85" hidden="false" customHeight="false" outlineLevel="0" collapsed="false">
      <c r="A233" s="26" t="s">
        <v>331</v>
      </c>
      <c r="B233" s="26" t="n">
        <v>2713</v>
      </c>
      <c r="C233" s="26" t="s">
        <v>501</v>
      </c>
      <c r="D233" s="26" t="s">
        <v>496</v>
      </c>
      <c r="E233" s="26" t="s">
        <v>350</v>
      </c>
      <c r="F233" s="26" t="s">
        <v>369</v>
      </c>
      <c r="G233" s="26" t="s">
        <v>83</v>
      </c>
      <c r="H233" s="26" t="s">
        <v>471</v>
      </c>
      <c r="I233" s="26" t="n">
        <v>18</v>
      </c>
    </row>
    <row r="234" customFormat="false" ht="23.85" hidden="false" customHeight="false" outlineLevel="0" collapsed="false">
      <c r="A234" s="26" t="s">
        <v>334</v>
      </c>
      <c r="B234" s="26" t="n">
        <v>3018</v>
      </c>
      <c r="C234" s="26" t="s">
        <v>495</v>
      </c>
      <c r="D234" s="26" t="s">
        <v>496</v>
      </c>
      <c r="E234" s="26" t="s">
        <v>350</v>
      </c>
      <c r="F234" s="26" t="s">
        <v>369</v>
      </c>
      <c r="G234" s="26" t="s">
        <v>83</v>
      </c>
      <c r="H234" s="26" t="s">
        <v>471</v>
      </c>
      <c r="I234" s="26" t="n">
        <v>18</v>
      </c>
    </row>
    <row r="235" customFormat="false" ht="23.85" hidden="false" customHeight="false" outlineLevel="0" collapsed="false">
      <c r="A235" s="26" t="s">
        <v>352</v>
      </c>
      <c r="B235" s="26" t="n">
        <v>4105</v>
      </c>
      <c r="C235" s="26" t="s">
        <v>502</v>
      </c>
      <c r="D235" s="26" t="s">
        <v>496</v>
      </c>
      <c r="E235" s="26" t="s">
        <v>350</v>
      </c>
      <c r="F235" s="26" t="s">
        <v>369</v>
      </c>
      <c r="G235" s="26" t="s">
        <v>83</v>
      </c>
      <c r="H235" s="26" t="s">
        <v>471</v>
      </c>
      <c r="I235" s="26" t="n">
        <v>18</v>
      </c>
    </row>
    <row r="236" customFormat="false" ht="23.85" hidden="false" customHeight="false" outlineLevel="0" collapsed="false">
      <c r="A236" s="26" t="s">
        <v>299</v>
      </c>
      <c r="B236" s="26" t="n">
        <v>2103</v>
      </c>
      <c r="C236" s="26" t="s">
        <v>503</v>
      </c>
      <c r="D236" s="26" t="s">
        <v>504</v>
      </c>
      <c r="E236" s="26" t="s">
        <v>302</v>
      </c>
      <c r="F236" s="26" t="s">
        <v>303</v>
      </c>
      <c r="G236" s="26" t="s">
        <v>82</v>
      </c>
      <c r="H236" s="26" t="s">
        <v>505</v>
      </c>
      <c r="I236" s="26" t="n">
        <v>17</v>
      </c>
    </row>
    <row r="237" customFormat="false" ht="23.85" hidden="false" customHeight="false" outlineLevel="0" collapsed="false">
      <c r="A237" s="26" t="s">
        <v>299</v>
      </c>
      <c r="B237" s="26" t="n">
        <v>2113</v>
      </c>
      <c r="C237" s="26" t="s">
        <v>506</v>
      </c>
      <c r="D237" s="26" t="s">
        <v>504</v>
      </c>
      <c r="E237" s="26" t="s">
        <v>302</v>
      </c>
      <c r="F237" s="26" t="s">
        <v>303</v>
      </c>
      <c r="G237" s="26" t="s">
        <v>82</v>
      </c>
      <c r="H237" s="26" t="s">
        <v>505</v>
      </c>
      <c r="I237" s="26" t="n">
        <v>17</v>
      </c>
    </row>
    <row r="238" customFormat="false" ht="23.85" hidden="false" customHeight="false" outlineLevel="0" collapsed="false">
      <c r="A238" s="26" t="s">
        <v>307</v>
      </c>
      <c r="B238" s="26" t="n">
        <v>2202</v>
      </c>
      <c r="C238" s="26" t="s">
        <v>308</v>
      </c>
      <c r="D238" s="26" t="s">
        <v>504</v>
      </c>
      <c r="E238" s="26" t="s">
        <v>302</v>
      </c>
      <c r="F238" s="26" t="s">
        <v>303</v>
      </c>
      <c r="G238" s="26" t="s">
        <v>82</v>
      </c>
      <c r="H238" s="26" t="s">
        <v>505</v>
      </c>
      <c r="I238" s="26" t="n">
        <v>17</v>
      </c>
    </row>
    <row r="239" customFormat="false" ht="23.85" hidden="false" customHeight="false" outlineLevel="0" collapsed="false">
      <c r="A239" s="26" t="s">
        <v>307</v>
      </c>
      <c r="B239" s="26" t="n">
        <v>2205</v>
      </c>
      <c r="C239" s="26" t="s">
        <v>309</v>
      </c>
      <c r="D239" s="26" t="s">
        <v>504</v>
      </c>
      <c r="E239" s="26" t="s">
        <v>302</v>
      </c>
      <c r="F239" s="26" t="s">
        <v>303</v>
      </c>
      <c r="G239" s="26" t="s">
        <v>82</v>
      </c>
      <c r="H239" s="26" t="s">
        <v>505</v>
      </c>
      <c r="I239" s="26" t="n">
        <v>17</v>
      </c>
    </row>
    <row r="240" customFormat="false" ht="23.85" hidden="false" customHeight="false" outlineLevel="0" collapsed="false">
      <c r="A240" s="26" t="s">
        <v>310</v>
      </c>
      <c r="B240" s="26" t="n">
        <v>2302</v>
      </c>
      <c r="C240" s="26" t="s">
        <v>311</v>
      </c>
      <c r="D240" s="26" t="s">
        <v>504</v>
      </c>
      <c r="E240" s="26" t="s">
        <v>302</v>
      </c>
      <c r="F240" s="26" t="s">
        <v>303</v>
      </c>
      <c r="G240" s="26" t="s">
        <v>82</v>
      </c>
      <c r="H240" s="26" t="s">
        <v>505</v>
      </c>
      <c r="I240" s="26" t="n">
        <v>17</v>
      </c>
    </row>
    <row r="241" customFormat="false" ht="23.85" hidden="false" customHeight="false" outlineLevel="0" collapsed="false">
      <c r="A241" s="26" t="s">
        <v>310</v>
      </c>
      <c r="B241" s="26" t="n">
        <v>2304</v>
      </c>
      <c r="C241" s="26" t="s">
        <v>507</v>
      </c>
      <c r="D241" s="26" t="s">
        <v>504</v>
      </c>
      <c r="E241" s="26" t="s">
        <v>302</v>
      </c>
      <c r="F241" s="26" t="s">
        <v>303</v>
      </c>
      <c r="G241" s="26" t="s">
        <v>82</v>
      </c>
      <c r="H241" s="26" t="s">
        <v>505</v>
      </c>
      <c r="I241" s="26" t="n">
        <v>17</v>
      </c>
    </row>
    <row r="242" customFormat="false" ht="23.85" hidden="false" customHeight="false" outlineLevel="0" collapsed="false">
      <c r="A242" s="26" t="s">
        <v>312</v>
      </c>
      <c r="B242" s="26" t="n">
        <v>3707</v>
      </c>
      <c r="C242" s="26" t="s">
        <v>313</v>
      </c>
      <c r="D242" s="26" t="s">
        <v>504</v>
      </c>
      <c r="E242" s="26" t="s">
        <v>302</v>
      </c>
      <c r="F242" s="26" t="s">
        <v>303</v>
      </c>
      <c r="G242" s="26" t="s">
        <v>82</v>
      </c>
      <c r="H242" s="26" t="s">
        <v>505</v>
      </c>
      <c r="I242" s="26" t="n">
        <v>17</v>
      </c>
    </row>
    <row r="243" customFormat="false" ht="23.85" hidden="false" customHeight="false" outlineLevel="0" collapsed="false">
      <c r="A243" s="26" t="s">
        <v>312</v>
      </c>
      <c r="B243" s="26" t="n">
        <v>3708</v>
      </c>
      <c r="C243" s="26" t="s">
        <v>508</v>
      </c>
      <c r="D243" s="26" t="s">
        <v>504</v>
      </c>
      <c r="E243" s="26" t="s">
        <v>302</v>
      </c>
      <c r="F243" s="26" t="s">
        <v>303</v>
      </c>
      <c r="G243" s="26" t="s">
        <v>82</v>
      </c>
      <c r="H243" s="26" t="s">
        <v>505</v>
      </c>
      <c r="I243" s="26" t="n">
        <v>17</v>
      </c>
    </row>
    <row r="244" customFormat="false" ht="23.85" hidden="false" customHeight="false" outlineLevel="0" collapsed="false">
      <c r="A244" s="26" t="s">
        <v>314</v>
      </c>
      <c r="B244" s="26" t="n">
        <v>302</v>
      </c>
      <c r="C244" s="26" t="s">
        <v>315</v>
      </c>
      <c r="D244" s="26" t="s">
        <v>504</v>
      </c>
      <c r="E244" s="26" t="s">
        <v>302</v>
      </c>
      <c r="F244" s="26" t="s">
        <v>303</v>
      </c>
      <c r="G244" s="26" t="s">
        <v>82</v>
      </c>
      <c r="H244" s="26" t="s">
        <v>505</v>
      </c>
      <c r="I244" s="26" t="n">
        <v>17</v>
      </c>
    </row>
    <row r="245" customFormat="false" ht="23.85" hidden="false" customHeight="false" outlineLevel="0" collapsed="false">
      <c r="A245" s="26" t="s">
        <v>314</v>
      </c>
      <c r="B245" s="26" t="n">
        <v>303</v>
      </c>
      <c r="C245" s="26" t="s">
        <v>509</v>
      </c>
      <c r="D245" s="26" t="s">
        <v>504</v>
      </c>
      <c r="E245" s="26" t="s">
        <v>302</v>
      </c>
      <c r="F245" s="26" t="s">
        <v>303</v>
      </c>
      <c r="G245" s="26" t="s">
        <v>82</v>
      </c>
      <c r="H245" s="26" t="s">
        <v>505</v>
      </c>
      <c r="I245" s="26" t="n">
        <v>17</v>
      </c>
    </row>
    <row r="246" customFormat="false" ht="23.85" hidden="false" customHeight="false" outlineLevel="0" collapsed="false">
      <c r="A246" s="26" t="s">
        <v>314</v>
      </c>
      <c r="B246" s="26" t="n">
        <v>309</v>
      </c>
      <c r="C246" s="26" t="s">
        <v>363</v>
      </c>
      <c r="D246" s="26" t="s">
        <v>504</v>
      </c>
      <c r="E246" s="26" t="s">
        <v>302</v>
      </c>
      <c r="F246" s="26" t="s">
        <v>303</v>
      </c>
      <c r="G246" s="26" t="s">
        <v>82</v>
      </c>
      <c r="H246" s="26" t="s">
        <v>505</v>
      </c>
      <c r="I246" s="26" t="n">
        <v>17</v>
      </c>
    </row>
    <row r="247" customFormat="false" ht="23.85" hidden="false" customHeight="false" outlineLevel="0" collapsed="false">
      <c r="A247" s="26" t="s">
        <v>319</v>
      </c>
      <c r="B247" s="26" t="n">
        <v>3911</v>
      </c>
      <c r="C247" s="26" t="s">
        <v>320</v>
      </c>
      <c r="D247" s="26" t="s">
        <v>504</v>
      </c>
      <c r="E247" s="26" t="s">
        <v>302</v>
      </c>
      <c r="F247" s="26" t="s">
        <v>303</v>
      </c>
      <c r="G247" s="26" t="s">
        <v>82</v>
      </c>
      <c r="H247" s="26" t="s">
        <v>505</v>
      </c>
      <c r="I247" s="26" t="n">
        <v>17</v>
      </c>
    </row>
    <row r="248" customFormat="false" ht="23.85" hidden="false" customHeight="false" outlineLevel="0" collapsed="false">
      <c r="A248" s="26" t="s">
        <v>324</v>
      </c>
      <c r="B248" s="26" t="n">
        <v>3309</v>
      </c>
      <c r="C248" s="26" t="s">
        <v>325</v>
      </c>
      <c r="D248" s="26" t="s">
        <v>504</v>
      </c>
      <c r="E248" s="26" t="s">
        <v>302</v>
      </c>
      <c r="F248" s="26" t="s">
        <v>303</v>
      </c>
      <c r="G248" s="26" t="s">
        <v>82</v>
      </c>
      <c r="H248" s="26" t="s">
        <v>505</v>
      </c>
      <c r="I248" s="26" t="n">
        <v>17</v>
      </c>
    </row>
    <row r="249" customFormat="false" ht="23.85" hidden="false" customHeight="false" outlineLevel="0" collapsed="false">
      <c r="A249" s="26" t="s">
        <v>331</v>
      </c>
      <c r="B249" s="26" t="n">
        <v>2702</v>
      </c>
      <c r="C249" s="26" t="s">
        <v>510</v>
      </c>
      <c r="D249" s="26" t="s">
        <v>504</v>
      </c>
      <c r="E249" s="26" t="s">
        <v>302</v>
      </c>
      <c r="F249" s="26" t="s">
        <v>303</v>
      </c>
      <c r="G249" s="26" t="s">
        <v>82</v>
      </c>
      <c r="H249" s="26" t="s">
        <v>505</v>
      </c>
      <c r="I249" s="26" t="n">
        <v>17</v>
      </c>
    </row>
    <row r="250" customFormat="false" ht="23.85" hidden="false" customHeight="false" outlineLevel="0" collapsed="false">
      <c r="A250" s="26" t="s">
        <v>331</v>
      </c>
      <c r="B250" s="26" t="n">
        <v>2710</v>
      </c>
      <c r="C250" s="26" t="s">
        <v>332</v>
      </c>
      <c r="D250" s="26" t="s">
        <v>504</v>
      </c>
      <c r="E250" s="26" t="s">
        <v>302</v>
      </c>
      <c r="F250" s="26" t="s">
        <v>303</v>
      </c>
      <c r="G250" s="26" t="s">
        <v>82</v>
      </c>
      <c r="H250" s="26" t="s">
        <v>505</v>
      </c>
      <c r="I250" s="26" t="n">
        <v>17</v>
      </c>
    </row>
    <row r="251" customFormat="false" ht="23.85" hidden="false" customHeight="false" outlineLevel="0" collapsed="false">
      <c r="A251" s="26" t="s">
        <v>331</v>
      </c>
      <c r="B251" s="26" t="n">
        <v>2711</v>
      </c>
      <c r="C251" s="26" t="s">
        <v>365</v>
      </c>
      <c r="D251" s="26" t="s">
        <v>504</v>
      </c>
      <c r="E251" s="26" t="s">
        <v>302</v>
      </c>
      <c r="F251" s="26" t="s">
        <v>303</v>
      </c>
      <c r="G251" s="26" t="s">
        <v>82</v>
      </c>
      <c r="H251" s="26" t="s">
        <v>505</v>
      </c>
      <c r="I251" s="26" t="n">
        <v>17</v>
      </c>
    </row>
    <row r="252" customFormat="false" ht="23.85" hidden="false" customHeight="false" outlineLevel="0" collapsed="false">
      <c r="A252" s="26" t="s">
        <v>331</v>
      </c>
      <c r="B252" s="26" t="n">
        <v>2714</v>
      </c>
      <c r="C252" s="26" t="s">
        <v>333</v>
      </c>
      <c r="D252" s="26" t="s">
        <v>504</v>
      </c>
      <c r="E252" s="26" t="s">
        <v>302</v>
      </c>
      <c r="F252" s="26" t="s">
        <v>303</v>
      </c>
      <c r="G252" s="26" t="s">
        <v>82</v>
      </c>
      <c r="H252" s="26" t="s">
        <v>505</v>
      </c>
      <c r="I252" s="26" t="n">
        <v>17</v>
      </c>
    </row>
    <row r="253" customFormat="false" ht="23.85" hidden="false" customHeight="false" outlineLevel="0" collapsed="false">
      <c r="A253" s="26" t="s">
        <v>299</v>
      </c>
      <c r="B253" s="26" t="n">
        <v>2125</v>
      </c>
      <c r="C253" s="26" t="s">
        <v>511</v>
      </c>
      <c r="D253" s="26" t="s">
        <v>512</v>
      </c>
      <c r="E253" s="26" t="s">
        <v>302</v>
      </c>
      <c r="F253" s="26" t="s">
        <v>303</v>
      </c>
      <c r="G253" s="26" t="s">
        <v>81</v>
      </c>
      <c r="H253" s="26" t="s">
        <v>452</v>
      </c>
      <c r="I253" s="26" t="n">
        <v>23</v>
      </c>
    </row>
    <row r="254" customFormat="false" ht="23.85" hidden="false" customHeight="false" outlineLevel="0" collapsed="false">
      <c r="A254" s="26" t="s">
        <v>310</v>
      </c>
      <c r="B254" s="26" t="n">
        <v>2304</v>
      </c>
      <c r="C254" s="26" t="s">
        <v>507</v>
      </c>
      <c r="D254" s="26" t="s">
        <v>512</v>
      </c>
      <c r="E254" s="26" t="s">
        <v>302</v>
      </c>
      <c r="F254" s="26" t="s">
        <v>303</v>
      </c>
      <c r="G254" s="26" t="s">
        <v>81</v>
      </c>
      <c r="H254" s="26" t="s">
        <v>452</v>
      </c>
      <c r="I254" s="26" t="n">
        <v>23</v>
      </c>
    </row>
    <row r="255" customFormat="false" ht="23.85" hidden="false" customHeight="false" outlineLevel="0" collapsed="false">
      <c r="A255" s="26" t="s">
        <v>312</v>
      </c>
      <c r="B255" s="26" t="n">
        <v>3709</v>
      </c>
      <c r="C255" s="26" t="s">
        <v>362</v>
      </c>
      <c r="D255" s="26" t="s">
        <v>512</v>
      </c>
      <c r="E255" s="26" t="s">
        <v>302</v>
      </c>
      <c r="F255" s="26" t="s">
        <v>303</v>
      </c>
      <c r="G255" s="26" t="s">
        <v>81</v>
      </c>
      <c r="H255" s="26" t="s">
        <v>452</v>
      </c>
      <c r="I255" s="26" t="n">
        <v>23</v>
      </c>
    </row>
    <row r="256" customFormat="false" ht="23.85" hidden="false" customHeight="false" outlineLevel="0" collapsed="false">
      <c r="A256" s="26" t="s">
        <v>312</v>
      </c>
      <c r="B256" s="26" t="n">
        <v>3711</v>
      </c>
      <c r="C256" s="26" t="s">
        <v>511</v>
      </c>
      <c r="D256" s="26" t="s">
        <v>512</v>
      </c>
      <c r="E256" s="26" t="s">
        <v>302</v>
      </c>
      <c r="F256" s="26" t="s">
        <v>303</v>
      </c>
      <c r="G256" s="26" t="s">
        <v>81</v>
      </c>
      <c r="H256" s="26" t="s">
        <v>452</v>
      </c>
      <c r="I256" s="26" t="n">
        <v>23</v>
      </c>
    </row>
    <row r="257" customFormat="false" ht="23.85" hidden="false" customHeight="false" outlineLevel="0" collapsed="false">
      <c r="A257" s="26" t="s">
        <v>314</v>
      </c>
      <c r="B257" s="26" t="n">
        <v>303</v>
      </c>
      <c r="C257" s="26" t="s">
        <v>509</v>
      </c>
      <c r="D257" s="26" t="s">
        <v>512</v>
      </c>
      <c r="E257" s="26" t="s">
        <v>302</v>
      </c>
      <c r="F257" s="26" t="s">
        <v>303</v>
      </c>
      <c r="G257" s="26" t="s">
        <v>81</v>
      </c>
      <c r="H257" s="26" t="s">
        <v>452</v>
      </c>
      <c r="I257" s="26" t="n">
        <v>23</v>
      </c>
    </row>
    <row r="258" customFormat="false" ht="23.85" hidden="false" customHeight="false" outlineLevel="0" collapsed="false">
      <c r="A258" s="26" t="s">
        <v>314</v>
      </c>
      <c r="B258" s="26" t="n">
        <v>314</v>
      </c>
      <c r="C258" s="26" t="s">
        <v>513</v>
      </c>
      <c r="D258" s="26" t="s">
        <v>512</v>
      </c>
      <c r="E258" s="26" t="s">
        <v>302</v>
      </c>
      <c r="F258" s="26" t="s">
        <v>303</v>
      </c>
      <c r="G258" s="26" t="s">
        <v>81</v>
      </c>
      <c r="H258" s="26" t="s">
        <v>452</v>
      </c>
      <c r="I258" s="26" t="n">
        <v>23</v>
      </c>
    </row>
    <row r="259" customFormat="false" ht="23.85" hidden="false" customHeight="false" outlineLevel="0" collapsed="false">
      <c r="A259" s="26" t="s">
        <v>316</v>
      </c>
      <c r="B259" s="26" t="n">
        <v>2802</v>
      </c>
      <c r="C259" s="26" t="s">
        <v>514</v>
      </c>
      <c r="D259" s="26" t="s">
        <v>512</v>
      </c>
      <c r="E259" s="26" t="s">
        <v>302</v>
      </c>
      <c r="F259" s="26" t="s">
        <v>303</v>
      </c>
      <c r="G259" s="26" t="s">
        <v>81</v>
      </c>
      <c r="H259" s="26" t="s">
        <v>452</v>
      </c>
      <c r="I259" s="26" t="n">
        <v>23</v>
      </c>
    </row>
    <row r="260" customFormat="false" ht="23.85" hidden="false" customHeight="false" outlineLevel="0" collapsed="false">
      <c r="A260" s="26" t="s">
        <v>316</v>
      </c>
      <c r="B260" s="26" t="n">
        <v>2805</v>
      </c>
      <c r="C260" s="26" t="s">
        <v>511</v>
      </c>
      <c r="D260" s="26" t="s">
        <v>512</v>
      </c>
      <c r="E260" s="26" t="s">
        <v>302</v>
      </c>
      <c r="F260" s="26" t="s">
        <v>303</v>
      </c>
      <c r="G260" s="26" t="s">
        <v>81</v>
      </c>
      <c r="H260" s="26" t="s">
        <v>452</v>
      </c>
      <c r="I260" s="26" t="n">
        <v>23</v>
      </c>
    </row>
    <row r="261" customFormat="false" ht="23.85" hidden="false" customHeight="false" outlineLevel="0" collapsed="false">
      <c r="A261" s="26" t="s">
        <v>318</v>
      </c>
      <c r="B261" s="26" t="n">
        <v>2603</v>
      </c>
      <c r="C261" s="26" t="s">
        <v>515</v>
      </c>
      <c r="D261" s="26" t="s">
        <v>512</v>
      </c>
      <c r="E261" s="26" t="s">
        <v>302</v>
      </c>
      <c r="F261" s="26" t="s">
        <v>303</v>
      </c>
      <c r="G261" s="26" t="s">
        <v>81</v>
      </c>
      <c r="H261" s="26" t="s">
        <v>452</v>
      </c>
      <c r="I261" s="26" t="n">
        <v>23</v>
      </c>
    </row>
    <row r="262" customFormat="false" ht="23.85" hidden="false" customHeight="false" outlineLevel="0" collapsed="false">
      <c r="A262" s="26" t="s">
        <v>319</v>
      </c>
      <c r="B262" s="26" t="n">
        <v>3903</v>
      </c>
      <c r="C262" s="26" t="s">
        <v>516</v>
      </c>
      <c r="D262" s="26" t="s">
        <v>512</v>
      </c>
      <c r="E262" s="26" t="s">
        <v>302</v>
      </c>
      <c r="F262" s="26" t="s">
        <v>303</v>
      </c>
      <c r="G262" s="26" t="s">
        <v>81</v>
      </c>
      <c r="H262" s="26" t="s">
        <v>452</v>
      </c>
      <c r="I262" s="26" t="n">
        <v>23</v>
      </c>
    </row>
    <row r="263" customFormat="false" ht="23.85" hidden="false" customHeight="false" outlineLevel="0" collapsed="false">
      <c r="A263" s="26" t="s">
        <v>321</v>
      </c>
      <c r="B263" s="26" t="n">
        <v>3103</v>
      </c>
      <c r="C263" s="26" t="s">
        <v>517</v>
      </c>
      <c r="D263" s="26" t="s">
        <v>512</v>
      </c>
      <c r="E263" s="26" t="s">
        <v>302</v>
      </c>
      <c r="F263" s="26" t="s">
        <v>303</v>
      </c>
      <c r="G263" s="26" t="s">
        <v>81</v>
      </c>
      <c r="H263" s="26" t="s">
        <v>452</v>
      </c>
      <c r="I263" s="26" t="n">
        <v>23</v>
      </c>
    </row>
    <row r="264" customFormat="false" ht="23.85" hidden="false" customHeight="false" outlineLevel="0" collapsed="false">
      <c r="A264" s="26" t="s">
        <v>321</v>
      </c>
      <c r="B264" s="26" t="n">
        <v>3109</v>
      </c>
      <c r="C264" s="26" t="s">
        <v>518</v>
      </c>
      <c r="D264" s="26" t="s">
        <v>512</v>
      </c>
      <c r="E264" s="26" t="s">
        <v>302</v>
      </c>
      <c r="F264" s="26" t="s">
        <v>303</v>
      </c>
      <c r="G264" s="26" t="s">
        <v>81</v>
      </c>
      <c r="H264" s="26" t="s">
        <v>452</v>
      </c>
      <c r="I264" s="26" t="n">
        <v>23</v>
      </c>
    </row>
    <row r="265" customFormat="false" ht="35.05" hidden="false" customHeight="false" outlineLevel="0" collapsed="false">
      <c r="A265" s="26" t="s">
        <v>323</v>
      </c>
      <c r="B265" s="26" t="n">
        <v>2904</v>
      </c>
      <c r="C265" s="26" t="s">
        <v>519</v>
      </c>
      <c r="D265" s="26" t="s">
        <v>512</v>
      </c>
      <c r="E265" s="26" t="s">
        <v>302</v>
      </c>
      <c r="F265" s="26" t="s">
        <v>303</v>
      </c>
      <c r="G265" s="26" t="s">
        <v>81</v>
      </c>
      <c r="H265" s="26" t="s">
        <v>452</v>
      </c>
      <c r="I265" s="26" t="n">
        <v>23</v>
      </c>
    </row>
    <row r="266" customFormat="false" ht="23.85" hidden="false" customHeight="false" outlineLevel="0" collapsed="false">
      <c r="A266" s="26" t="s">
        <v>324</v>
      </c>
      <c r="B266" s="26" t="n">
        <v>3306</v>
      </c>
      <c r="C266" s="26" t="s">
        <v>520</v>
      </c>
      <c r="D266" s="26" t="s">
        <v>512</v>
      </c>
      <c r="E266" s="26" t="s">
        <v>302</v>
      </c>
      <c r="F266" s="26" t="s">
        <v>303</v>
      </c>
      <c r="G266" s="26" t="s">
        <v>81</v>
      </c>
      <c r="H266" s="26" t="s">
        <v>452</v>
      </c>
      <c r="I266" s="26" t="n">
        <v>23</v>
      </c>
    </row>
    <row r="267" customFormat="false" ht="23.85" hidden="false" customHeight="false" outlineLevel="0" collapsed="false">
      <c r="A267" s="26" t="s">
        <v>324</v>
      </c>
      <c r="B267" s="26" t="n">
        <v>3315</v>
      </c>
      <c r="C267" s="26" t="s">
        <v>517</v>
      </c>
      <c r="D267" s="26" t="s">
        <v>512</v>
      </c>
      <c r="E267" s="26" t="s">
        <v>302</v>
      </c>
      <c r="F267" s="26" t="s">
        <v>303</v>
      </c>
      <c r="G267" s="26" t="s">
        <v>81</v>
      </c>
      <c r="H267" s="26" t="s">
        <v>452</v>
      </c>
      <c r="I267" s="26" t="n">
        <v>23</v>
      </c>
    </row>
    <row r="268" customFormat="false" ht="23.85" hidden="false" customHeight="false" outlineLevel="0" collapsed="false">
      <c r="A268" s="26" t="s">
        <v>327</v>
      </c>
      <c r="B268" s="26" t="n">
        <v>2504</v>
      </c>
      <c r="C268" s="26" t="s">
        <v>521</v>
      </c>
      <c r="D268" s="26" t="s">
        <v>512</v>
      </c>
      <c r="E268" s="26" t="s">
        <v>302</v>
      </c>
      <c r="F268" s="26" t="s">
        <v>303</v>
      </c>
      <c r="G268" s="26" t="s">
        <v>81</v>
      </c>
      <c r="H268" s="26" t="s">
        <v>452</v>
      </c>
      <c r="I268" s="26" t="n">
        <v>23</v>
      </c>
    </row>
    <row r="269" customFormat="false" ht="23.85" hidden="false" customHeight="false" outlineLevel="0" collapsed="false">
      <c r="A269" s="26" t="s">
        <v>327</v>
      </c>
      <c r="B269" s="26" t="n">
        <v>2516</v>
      </c>
      <c r="C269" s="26" t="s">
        <v>522</v>
      </c>
      <c r="D269" s="26" t="s">
        <v>512</v>
      </c>
      <c r="E269" s="26" t="s">
        <v>302</v>
      </c>
      <c r="F269" s="26" t="s">
        <v>303</v>
      </c>
      <c r="G269" s="26" t="s">
        <v>81</v>
      </c>
      <c r="H269" s="26" t="s">
        <v>452</v>
      </c>
      <c r="I269" s="26" t="n">
        <v>23</v>
      </c>
    </row>
    <row r="270" customFormat="false" ht="23.85" hidden="false" customHeight="false" outlineLevel="0" collapsed="false">
      <c r="A270" s="26" t="s">
        <v>329</v>
      </c>
      <c r="B270" s="26" t="n">
        <v>3213</v>
      </c>
      <c r="C270" s="26" t="s">
        <v>511</v>
      </c>
      <c r="D270" s="26" t="s">
        <v>512</v>
      </c>
      <c r="E270" s="26" t="s">
        <v>302</v>
      </c>
      <c r="F270" s="26" t="s">
        <v>303</v>
      </c>
      <c r="G270" s="26" t="s">
        <v>81</v>
      </c>
      <c r="H270" s="26" t="s">
        <v>452</v>
      </c>
      <c r="I270" s="26" t="n">
        <v>23</v>
      </c>
    </row>
    <row r="271" customFormat="false" ht="23.85" hidden="false" customHeight="false" outlineLevel="0" collapsed="false">
      <c r="A271" s="26" t="s">
        <v>373</v>
      </c>
      <c r="B271" s="26" t="n">
        <v>3409</v>
      </c>
      <c r="C271" s="26" t="s">
        <v>517</v>
      </c>
      <c r="D271" s="26" t="s">
        <v>512</v>
      </c>
      <c r="E271" s="26" t="s">
        <v>302</v>
      </c>
      <c r="F271" s="26" t="s">
        <v>303</v>
      </c>
      <c r="G271" s="26" t="s">
        <v>81</v>
      </c>
      <c r="H271" s="26" t="s">
        <v>452</v>
      </c>
      <c r="I271" s="26" t="n">
        <v>23</v>
      </c>
    </row>
    <row r="272" customFormat="false" ht="23.85" hidden="false" customHeight="false" outlineLevel="0" collapsed="false">
      <c r="A272" s="26" t="s">
        <v>375</v>
      </c>
      <c r="B272" s="26" t="n">
        <v>3508</v>
      </c>
      <c r="C272" s="26" t="s">
        <v>523</v>
      </c>
      <c r="D272" s="26" t="s">
        <v>512</v>
      </c>
      <c r="E272" s="26" t="s">
        <v>302</v>
      </c>
      <c r="F272" s="26" t="s">
        <v>303</v>
      </c>
      <c r="G272" s="26" t="s">
        <v>81</v>
      </c>
      <c r="H272" s="26" t="s">
        <v>452</v>
      </c>
      <c r="I272" s="26" t="n">
        <v>23</v>
      </c>
    </row>
    <row r="273" customFormat="false" ht="23.85" hidden="false" customHeight="false" outlineLevel="0" collapsed="false">
      <c r="A273" s="26" t="s">
        <v>375</v>
      </c>
      <c r="B273" s="26" t="n">
        <v>3514</v>
      </c>
      <c r="C273" s="26" t="s">
        <v>524</v>
      </c>
      <c r="D273" s="26" t="s">
        <v>512</v>
      </c>
      <c r="E273" s="26" t="s">
        <v>302</v>
      </c>
      <c r="F273" s="26" t="s">
        <v>303</v>
      </c>
      <c r="G273" s="26" t="s">
        <v>81</v>
      </c>
      <c r="H273" s="26" t="s">
        <v>452</v>
      </c>
      <c r="I273" s="26" t="n">
        <v>23</v>
      </c>
    </row>
    <row r="274" customFormat="false" ht="23.85" hidden="false" customHeight="false" outlineLevel="0" collapsed="false">
      <c r="A274" s="26" t="s">
        <v>331</v>
      </c>
      <c r="B274" s="26" t="n">
        <v>2714</v>
      </c>
      <c r="C274" s="26" t="s">
        <v>333</v>
      </c>
      <c r="D274" s="26" t="s">
        <v>512</v>
      </c>
      <c r="E274" s="26" t="s">
        <v>302</v>
      </c>
      <c r="F274" s="26" t="s">
        <v>303</v>
      </c>
      <c r="G274" s="26" t="s">
        <v>81</v>
      </c>
      <c r="H274" s="26" t="s">
        <v>452</v>
      </c>
      <c r="I274" s="26" t="n">
        <v>23</v>
      </c>
    </row>
    <row r="275" customFormat="false" ht="35.05" hidden="false" customHeight="false" outlineLevel="0" collapsed="false">
      <c r="A275" s="26" t="s">
        <v>334</v>
      </c>
      <c r="B275" s="26" t="n">
        <v>3007</v>
      </c>
      <c r="C275" s="26" t="s">
        <v>525</v>
      </c>
      <c r="D275" s="26" t="s">
        <v>512</v>
      </c>
      <c r="E275" s="26" t="s">
        <v>302</v>
      </c>
      <c r="F275" s="26" t="s">
        <v>303</v>
      </c>
      <c r="G275" s="26" t="s">
        <v>81</v>
      </c>
      <c r="H275" s="26" t="s">
        <v>452</v>
      </c>
      <c r="I275" s="26" t="n">
        <v>23</v>
      </c>
    </row>
    <row r="276" customFormat="false" ht="23.85" hidden="false" customHeight="false" outlineLevel="0" collapsed="false">
      <c r="A276" s="26" t="s">
        <v>307</v>
      </c>
      <c r="B276" s="26" t="n">
        <v>2203</v>
      </c>
      <c r="C276" s="26" t="s">
        <v>526</v>
      </c>
      <c r="D276" s="26" t="s">
        <v>527</v>
      </c>
      <c r="E276" s="26" t="s">
        <v>528</v>
      </c>
      <c r="F276" s="26" t="s">
        <v>303</v>
      </c>
      <c r="G276" s="26" t="s">
        <v>82</v>
      </c>
      <c r="H276" s="26" t="s">
        <v>471</v>
      </c>
      <c r="I276" s="26" t="n">
        <v>5</v>
      </c>
    </row>
    <row r="277" customFormat="false" ht="23.85" hidden="false" customHeight="false" outlineLevel="0" collapsed="false">
      <c r="A277" s="26" t="s">
        <v>316</v>
      </c>
      <c r="B277" s="26" t="n">
        <v>2813</v>
      </c>
      <c r="C277" s="26" t="s">
        <v>529</v>
      </c>
      <c r="D277" s="26" t="s">
        <v>527</v>
      </c>
      <c r="E277" s="26" t="s">
        <v>528</v>
      </c>
      <c r="F277" s="26" t="s">
        <v>303</v>
      </c>
      <c r="G277" s="26" t="s">
        <v>82</v>
      </c>
      <c r="H277" s="26" t="s">
        <v>471</v>
      </c>
      <c r="I277" s="26" t="n">
        <v>5</v>
      </c>
    </row>
    <row r="278" customFormat="false" ht="23.85" hidden="false" customHeight="false" outlineLevel="0" collapsed="false">
      <c r="A278" s="26" t="s">
        <v>327</v>
      </c>
      <c r="B278" s="26" t="n">
        <v>2517</v>
      </c>
      <c r="C278" s="26" t="s">
        <v>530</v>
      </c>
      <c r="D278" s="26" t="s">
        <v>527</v>
      </c>
      <c r="E278" s="26" t="s">
        <v>528</v>
      </c>
      <c r="F278" s="26" t="s">
        <v>303</v>
      </c>
      <c r="G278" s="26" t="s">
        <v>82</v>
      </c>
      <c r="H278" s="26" t="s">
        <v>471</v>
      </c>
      <c r="I278" s="26" t="n">
        <v>5</v>
      </c>
    </row>
    <row r="279" customFormat="false" ht="23.85" hidden="false" customHeight="false" outlineLevel="0" collapsed="false">
      <c r="A279" s="26" t="s">
        <v>329</v>
      </c>
      <c r="B279" s="26" t="n">
        <v>3214</v>
      </c>
      <c r="C279" s="26" t="s">
        <v>531</v>
      </c>
      <c r="D279" s="26" t="s">
        <v>527</v>
      </c>
      <c r="E279" s="26" t="s">
        <v>528</v>
      </c>
      <c r="F279" s="26" t="s">
        <v>303</v>
      </c>
      <c r="G279" s="26" t="s">
        <v>82</v>
      </c>
      <c r="H279" s="26" t="s">
        <v>471</v>
      </c>
      <c r="I279" s="26" t="n">
        <v>5</v>
      </c>
    </row>
    <row r="280" customFormat="false" ht="23.85" hidden="false" customHeight="false" outlineLevel="0" collapsed="false">
      <c r="A280" s="26" t="s">
        <v>373</v>
      </c>
      <c r="B280" s="26" t="n">
        <v>3418</v>
      </c>
      <c r="C280" s="26" t="s">
        <v>532</v>
      </c>
      <c r="D280" s="26" t="s">
        <v>527</v>
      </c>
      <c r="E280" s="26" t="s">
        <v>528</v>
      </c>
      <c r="F280" s="26" t="s">
        <v>303</v>
      </c>
      <c r="G280" s="26" t="s">
        <v>82</v>
      </c>
      <c r="H280" s="26" t="s">
        <v>471</v>
      </c>
      <c r="I280" s="26" t="n">
        <v>5</v>
      </c>
    </row>
    <row r="281" customFormat="false" ht="35.05" hidden="false" customHeight="false" outlineLevel="0" collapsed="false">
      <c r="A281" s="26" t="s">
        <v>299</v>
      </c>
      <c r="B281" s="26" t="n">
        <v>2114</v>
      </c>
      <c r="C281" s="26" t="s">
        <v>533</v>
      </c>
      <c r="D281" s="26" t="s">
        <v>534</v>
      </c>
      <c r="E281" s="26" t="s">
        <v>302</v>
      </c>
      <c r="F281" s="26" t="s">
        <v>303</v>
      </c>
      <c r="G281" s="26" t="s">
        <v>82</v>
      </c>
      <c r="H281" s="26" t="s">
        <v>391</v>
      </c>
      <c r="I281" s="26" t="n">
        <v>28</v>
      </c>
    </row>
    <row r="282" customFormat="false" ht="23.85" hidden="false" customHeight="false" outlineLevel="0" collapsed="false">
      <c r="A282" s="26" t="s">
        <v>307</v>
      </c>
      <c r="B282" s="26" t="n">
        <v>2203</v>
      </c>
      <c r="C282" s="26" t="s">
        <v>526</v>
      </c>
      <c r="D282" s="26" t="s">
        <v>534</v>
      </c>
      <c r="E282" s="26" t="s">
        <v>302</v>
      </c>
      <c r="F282" s="26" t="s">
        <v>303</v>
      </c>
      <c r="G282" s="26" t="s">
        <v>82</v>
      </c>
      <c r="H282" s="26" t="s">
        <v>391</v>
      </c>
      <c r="I282" s="26" t="n">
        <v>28</v>
      </c>
    </row>
    <row r="283" customFormat="false" ht="23.85" hidden="false" customHeight="false" outlineLevel="0" collapsed="false">
      <c r="A283" s="26" t="s">
        <v>307</v>
      </c>
      <c r="B283" s="26" t="n">
        <v>2204</v>
      </c>
      <c r="C283" s="26" t="s">
        <v>535</v>
      </c>
      <c r="D283" s="26" t="s">
        <v>534</v>
      </c>
      <c r="E283" s="26" t="s">
        <v>302</v>
      </c>
      <c r="F283" s="26" t="s">
        <v>303</v>
      </c>
      <c r="G283" s="26" t="s">
        <v>82</v>
      </c>
      <c r="H283" s="26" t="s">
        <v>391</v>
      </c>
      <c r="I283" s="26" t="n">
        <v>28</v>
      </c>
    </row>
    <row r="284" customFormat="false" ht="23.85" hidden="false" customHeight="false" outlineLevel="0" collapsed="false">
      <c r="A284" s="26" t="s">
        <v>307</v>
      </c>
      <c r="B284" s="26" t="n">
        <v>2215</v>
      </c>
      <c r="C284" s="26" t="s">
        <v>536</v>
      </c>
      <c r="D284" s="26" t="s">
        <v>534</v>
      </c>
      <c r="E284" s="26" t="s">
        <v>302</v>
      </c>
      <c r="F284" s="26" t="s">
        <v>303</v>
      </c>
      <c r="G284" s="26" t="s">
        <v>82</v>
      </c>
      <c r="H284" s="26" t="s">
        <v>391</v>
      </c>
      <c r="I284" s="26" t="n">
        <v>28</v>
      </c>
    </row>
    <row r="285" customFormat="false" ht="23.85" hidden="false" customHeight="false" outlineLevel="0" collapsed="false">
      <c r="A285" s="26" t="s">
        <v>307</v>
      </c>
      <c r="B285" s="26" t="n">
        <v>2216</v>
      </c>
      <c r="C285" s="26" t="s">
        <v>537</v>
      </c>
      <c r="D285" s="26" t="s">
        <v>534</v>
      </c>
      <c r="E285" s="26" t="s">
        <v>302</v>
      </c>
      <c r="F285" s="26" t="s">
        <v>303</v>
      </c>
      <c r="G285" s="26" t="s">
        <v>82</v>
      </c>
      <c r="H285" s="26" t="s">
        <v>391</v>
      </c>
      <c r="I285" s="26" t="n">
        <v>28</v>
      </c>
    </row>
    <row r="286" customFormat="false" ht="23.85" hidden="false" customHeight="false" outlineLevel="0" collapsed="false">
      <c r="A286" s="26" t="s">
        <v>314</v>
      </c>
      <c r="B286" s="26" t="n">
        <v>301</v>
      </c>
      <c r="C286" s="26" t="s">
        <v>538</v>
      </c>
      <c r="D286" s="26" t="s">
        <v>534</v>
      </c>
      <c r="E286" s="26" t="s">
        <v>302</v>
      </c>
      <c r="F286" s="26" t="s">
        <v>303</v>
      </c>
      <c r="G286" s="26" t="s">
        <v>82</v>
      </c>
      <c r="H286" s="26" t="s">
        <v>391</v>
      </c>
      <c r="I286" s="26" t="n">
        <v>28</v>
      </c>
    </row>
    <row r="287" customFormat="false" ht="23.85" hidden="false" customHeight="false" outlineLevel="0" collapsed="false">
      <c r="A287" s="26" t="s">
        <v>314</v>
      </c>
      <c r="B287" s="26" t="n">
        <v>311</v>
      </c>
      <c r="C287" s="26" t="s">
        <v>539</v>
      </c>
      <c r="D287" s="26" t="s">
        <v>534</v>
      </c>
      <c r="E287" s="26" t="s">
        <v>302</v>
      </c>
      <c r="F287" s="26" t="s">
        <v>303</v>
      </c>
      <c r="G287" s="26" t="s">
        <v>82</v>
      </c>
      <c r="H287" s="26" t="s">
        <v>391</v>
      </c>
      <c r="I287" s="26" t="n">
        <v>28</v>
      </c>
    </row>
    <row r="288" customFormat="false" ht="23.85" hidden="false" customHeight="false" outlineLevel="0" collapsed="false">
      <c r="A288" s="26" t="s">
        <v>318</v>
      </c>
      <c r="B288" s="26" t="n">
        <v>2614</v>
      </c>
      <c r="C288" s="26" t="s">
        <v>540</v>
      </c>
      <c r="D288" s="26" t="s">
        <v>534</v>
      </c>
      <c r="E288" s="26" t="s">
        <v>302</v>
      </c>
      <c r="F288" s="26" t="s">
        <v>303</v>
      </c>
      <c r="G288" s="26" t="s">
        <v>82</v>
      </c>
      <c r="H288" s="26" t="s">
        <v>391</v>
      </c>
      <c r="I288" s="26" t="n">
        <v>28</v>
      </c>
    </row>
    <row r="289" customFormat="false" ht="35.05" hidden="false" customHeight="false" outlineLevel="0" collapsed="false">
      <c r="A289" s="26" t="s">
        <v>321</v>
      </c>
      <c r="B289" s="26" t="n">
        <v>3108</v>
      </c>
      <c r="C289" s="26" t="s">
        <v>541</v>
      </c>
      <c r="D289" s="26" t="s">
        <v>534</v>
      </c>
      <c r="E289" s="26" t="s">
        <v>302</v>
      </c>
      <c r="F289" s="26" t="s">
        <v>303</v>
      </c>
      <c r="G289" s="26" t="s">
        <v>82</v>
      </c>
      <c r="H289" s="26" t="s">
        <v>391</v>
      </c>
      <c r="I289" s="26" t="n">
        <v>28</v>
      </c>
    </row>
    <row r="290" customFormat="false" ht="23.85" hidden="false" customHeight="false" outlineLevel="0" collapsed="false">
      <c r="A290" s="26" t="s">
        <v>323</v>
      </c>
      <c r="B290" s="26" t="n">
        <v>2903</v>
      </c>
      <c r="C290" s="26" t="s">
        <v>542</v>
      </c>
      <c r="D290" s="26" t="s">
        <v>534</v>
      </c>
      <c r="E290" s="26" t="s">
        <v>302</v>
      </c>
      <c r="F290" s="26" t="s">
        <v>303</v>
      </c>
      <c r="G290" s="26" t="s">
        <v>82</v>
      </c>
      <c r="H290" s="26" t="s">
        <v>391</v>
      </c>
      <c r="I290" s="26" t="n">
        <v>28</v>
      </c>
    </row>
    <row r="291" customFormat="false" ht="23.85" hidden="false" customHeight="false" outlineLevel="0" collapsed="false">
      <c r="A291" s="26" t="s">
        <v>323</v>
      </c>
      <c r="B291" s="26" t="n">
        <v>2914</v>
      </c>
      <c r="C291" s="26" t="s">
        <v>543</v>
      </c>
      <c r="D291" s="26" t="s">
        <v>534</v>
      </c>
      <c r="E291" s="26" t="s">
        <v>302</v>
      </c>
      <c r="F291" s="26" t="s">
        <v>303</v>
      </c>
      <c r="G291" s="26" t="s">
        <v>82</v>
      </c>
      <c r="H291" s="26" t="s">
        <v>391</v>
      </c>
      <c r="I291" s="26" t="n">
        <v>28</v>
      </c>
    </row>
    <row r="292" customFormat="false" ht="23.85" hidden="false" customHeight="false" outlineLevel="0" collapsed="false">
      <c r="A292" s="26" t="s">
        <v>323</v>
      </c>
      <c r="B292" s="26" t="n">
        <v>2915</v>
      </c>
      <c r="C292" s="26" t="s">
        <v>544</v>
      </c>
      <c r="D292" s="26" t="s">
        <v>534</v>
      </c>
      <c r="E292" s="26" t="s">
        <v>302</v>
      </c>
      <c r="F292" s="26" t="s">
        <v>303</v>
      </c>
      <c r="G292" s="26" t="s">
        <v>82</v>
      </c>
      <c r="H292" s="26" t="s">
        <v>391</v>
      </c>
      <c r="I292" s="26" t="n">
        <v>28</v>
      </c>
    </row>
    <row r="293" customFormat="false" ht="23.85" hidden="false" customHeight="false" outlineLevel="0" collapsed="false">
      <c r="A293" s="26" t="s">
        <v>323</v>
      </c>
      <c r="B293" s="26" t="n">
        <v>2922</v>
      </c>
      <c r="C293" s="26" t="s">
        <v>545</v>
      </c>
      <c r="D293" s="26" t="s">
        <v>534</v>
      </c>
      <c r="E293" s="26" t="s">
        <v>302</v>
      </c>
      <c r="F293" s="26" t="s">
        <v>303</v>
      </c>
      <c r="G293" s="26" t="s">
        <v>82</v>
      </c>
      <c r="H293" s="26" t="s">
        <v>391</v>
      </c>
      <c r="I293" s="26" t="n">
        <v>28</v>
      </c>
    </row>
    <row r="294" customFormat="false" ht="23.85" hidden="false" customHeight="false" outlineLevel="0" collapsed="false">
      <c r="A294" s="26" t="s">
        <v>323</v>
      </c>
      <c r="B294" s="26" t="n">
        <v>2923</v>
      </c>
      <c r="C294" s="26" t="s">
        <v>546</v>
      </c>
      <c r="D294" s="26" t="s">
        <v>534</v>
      </c>
      <c r="E294" s="26" t="s">
        <v>302</v>
      </c>
      <c r="F294" s="26" t="s">
        <v>303</v>
      </c>
      <c r="G294" s="26" t="s">
        <v>82</v>
      </c>
      <c r="H294" s="26" t="s">
        <v>391</v>
      </c>
      <c r="I294" s="26" t="n">
        <v>28</v>
      </c>
    </row>
    <row r="295" customFormat="false" ht="23.85" hidden="false" customHeight="false" outlineLevel="0" collapsed="false">
      <c r="A295" s="26" t="s">
        <v>327</v>
      </c>
      <c r="B295" s="26" t="n">
        <v>2520</v>
      </c>
      <c r="C295" s="26" t="s">
        <v>547</v>
      </c>
      <c r="D295" s="26" t="s">
        <v>534</v>
      </c>
      <c r="E295" s="26" t="s">
        <v>302</v>
      </c>
      <c r="F295" s="26" t="s">
        <v>303</v>
      </c>
      <c r="G295" s="26" t="s">
        <v>82</v>
      </c>
      <c r="H295" s="26" t="s">
        <v>391</v>
      </c>
      <c r="I295" s="26" t="n">
        <v>28</v>
      </c>
    </row>
    <row r="296" customFormat="false" ht="23.85" hidden="false" customHeight="false" outlineLevel="0" collapsed="false">
      <c r="A296" s="26" t="s">
        <v>373</v>
      </c>
      <c r="B296" s="26" t="n">
        <v>3412</v>
      </c>
      <c r="C296" s="26" t="s">
        <v>548</v>
      </c>
      <c r="D296" s="26" t="s">
        <v>534</v>
      </c>
      <c r="E296" s="26" t="s">
        <v>302</v>
      </c>
      <c r="F296" s="26" t="s">
        <v>303</v>
      </c>
      <c r="G296" s="26" t="s">
        <v>82</v>
      </c>
      <c r="H296" s="26" t="s">
        <v>391</v>
      </c>
      <c r="I296" s="26" t="n">
        <v>28</v>
      </c>
    </row>
    <row r="297" customFormat="false" ht="23.85" hidden="false" customHeight="false" outlineLevel="0" collapsed="false">
      <c r="A297" s="26" t="s">
        <v>373</v>
      </c>
      <c r="B297" s="26" t="n">
        <v>3414</v>
      </c>
      <c r="C297" s="26" t="s">
        <v>549</v>
      </c>
      <c r="D297" s="26" t="s">
        <v>534</v>
      </c>
      <c r="E297" s="26" t="s">
        <v>302</v>
      </c>
      <c r="F297" s="26" t="s">
        <v>303</v>
      </c>
      <c r="G297" s="26" t="s">
        <v>82</v>
      </c>
      <c r="H297" s="26" t="s">
        <v>391</v>
      </c>
      <c r="I297" s="26" t="n">
        <v>28</v>
      </c>
    </row>
    <row r="298" customFormat="false" ht="23.85" hidden="false" customHeight="false" outlineLevel="0" collapsed="false">
      <c r="A298" s="26" t="s">
        <v>373</v>
      </c>
      <c r="B298" s="26" t="n">
        <v>3421</v>
      </c>
      <c r="C298" s="26" t="s">
        <v>550</v>
      </c>
      <c r="D298" s="26" t="s">
        <v>534</v>
      </c>
      <c r="E298" s="26" t="s">
        <v>302</v>
      </c>
      <c r="F298" s="26" t="s">
        <v>303</v>
      </c>
      <c r="G298" s="26" t="s">
        <v>82</v>
      </c>
      <c r="H298" s="26" t="s">
        <v>391</v>
      </c>
      <c r="I298" s="26" t="n">
        <v>28</v>
      </c>
    </row>
    <row r="299" customFormat="false" ht="23.85" hidden="false" customHeight="false" outlineLevel="0" collapsed="false">
      <c r="A299" s="26" t="s">
        <v>331</v>
      </c>
      <c r="B299" s="26" t="n">
        <v>2701</v>
      </c>
      <c r="C299" s="26" t="s">
        <v>551</v>
      </c>
      <c r="D299" s="26" t="s">
        <v>534</v>
      </c>
      <c r="E299" s="26" t="s">
        <v>302</v>
      </c>
      <c r="F299" s="26" t="s">
        <v>303</v>
      </c>
      <c r="G299" s="26" t="s">
        <v>82</v>
      </c>
      <c r="H299" s="26" t="s">
        <v>391</v>
      </c>
      <c r="I299" s="26" t="n">
        <v>28</v>
      </c>
    </row>
    <row r="300" customFormat="false" ht="23.85" hidden="false" customHeight="false" outlineLevel="0" collapsed="false">
      <c r="A300" s="26" t="s">
        <v>334</v>
      </c>
      <c r="B300" s="26" t="n">
        <v>3019</v>
      </c>
      <c r="C300" s="26" t="s">
        <v>552</v>
      </c>
      <c r="D300" s="26" t="s">
        <v>534</v>
      </c>
      <c r="E300" s="26" t="s">
        <v>302</v>
      </c>
      <c r="F300" s="26" t="s">
        <v>303</v>
      </c>
      <c r="G300" s="26" t="s">
        <v>82</v>
      </c>
      <c r="H300" s="26" t="s">
        <v>391</v>
      </c>
      <c r="I300" s="26" t="n">
        <v>28</v>
      </c>
    </row>
    <row r="301" customFormat="false" ht="23.85" hidden="false" customHeight="false" outlineLevel="0" collapsed="false">
      <c r="A301" s="26" t="s">
        <v>352</v>
      </c>
      <c r="B301" s="26" t="n">
        <v>4101</v>
      </c>
      <c r="C301" s="26" t="s">
        <v>553</v>
      </c>
      <c r="D301" s="26" t="s">
        <v>534</v>
      </c>
      <c r="E301" s="26" t="s">
        <v>302</v>
      </c>
      <c r="F301" s="26" t="s">
        <v>303</v>
      </c>
      <c r="G301" s="26" t="s">
        <v>82</v>
      </c>
      <c r="H301" s="26" t="s">
        <v>391</v>
      </c>
      <c r="I301" s="26" t="n">
        <v>28</v>
      </c>
    </row>
    <row r="302" customFormat="false" ht="23.85" hidden="false" customHeight="false" outlineLevel="0" collapsed="false">
      <c r="A302" s="26" t="s">
        <v>352</v>
      </c>
      <c r="B302" s="26" t="n">
        <v>4102</v>
      </c>
      <c r="C302" s="26" t="s">
        <v>554</v>
      </c>
      <c r="D302" s="26" t="s">
        <v>534</v>
      </c>
      <c r="E302" s="26" t="s">
        <v>302</v>
      </c>
      <c r="F302" s="26" t="s">
        <v>303</v>
      </c>
      <c r="G302" s="26" t="s">
        <v>82</v>
      </c>
      <c r="H302" s="26" t="s">
        <v>391</v>
      </c>
      <c r="I302" s="26" t="n">
        <v>28</v>
      </c>
    </row>
    <row r="303" customFormat="false" ht="23.85" hidden="false" customHeight="false" outlineLevel="0" collapsed="false">
      <c r="A303" s="26" t="s">
        <v>352</v>
      </c>
      <c r="B303" s="26" t="n">
        <v>4104</v>
      </c>
      <c r="C303" s="26" t="s">
        <v>555</v>
      </c>
      <c r="D303" s="26" t="s">
        <v>534</v>
      </c>
      <c r="E303" s="26" t="s">
        <v>302</v>
      </c>
      <c r="F303" s="26" t="s">
        <v>303</v>
      </c>
      <c r="G303" s="26" t="s">
        <v>82</v>
      </c>
      <c r="H303" s="26" t="s">
        <v>391</v>
      </c>
      <c r="I303" s="26" t="n">
        <v>28</v>
      </c>
    </row>
    <row r="304" customFormat="false" ht="23.85" hidden="false" customHeight="false" outlineLevel="0" collapsed="false">
      <c r="A304" s="26" t="s">
        <v>352</v>
      </c>
      <c r="B304" s="26" t="n">
        <v>4106</v>
      </c>
      <c r="C304" s="26" t="s">
        <v>556</v>
      </c>
      <c r="D304" s="26" t="s">
        <v>534</v>
      </c>
      <c r="E304" s="26" t="s">
        <v>302</v>
      </c>
      <c r="F304" s="26" t="s">
        <v>303</v>
      </c>
      <c r="G304" s="26" t="s">
        <v>82</v>
      </c>
      <c r="H304" s="26" t="s">
        <v>391</v>
      </c>
      <c r="I304" s="26" t="n">
        <v>28</v>
      </c>
    </row>
    <row r="305" customFormat="false" ht="23.85" hidden="false" customHeight="false" outlineLevel="0" collapsed="false">
      <c r="A305" s="26" t="s">
        <v>352</v>
      </c>
      <c r="B305" s="26" t="n">
        <v>4111</v>
      </c>
      <c r="C305" s="26" t="s">
        <v>557</v>
      </c>
      <c r="D305" s="26" t="s">
        <v>534</v>
      </c>
      <c r="E305" s="26" t="s">
        <v>302</v>
      </c>
      <c r="F305" s="26" t="s">
        <v>303</v>
      </c>
      <c r="G305" s="26" t="s">
        <v>82</v>
      </c>
      <c r="H305" s="26" t="s">
        <v>391</v>
      </c>
      <c r="I305" s="26" t="n">
        <v>28</v>
      </c>
    </row>
    <row r="306" customFormat="false" ht="23.85" hidden="false" customHeight="false" outlineLevel="0" collapsed="false">
      <c r="A306" s="26" t="s">
        <v>352</v>
      </c>
      <c r="B306" s="26" t="n">
        <v>4113</v>
      </c>
      <c r="C306" s="26" t="s">
        <v>414</v>
      </c>
      <c r="D306" s="26" t="s">
        <v>534</v>
      </c>
      <c r="E306" s="26" t="s">
        <v>302</v>
      </c>
      <c r="F306" s="26" t="s">
        <v>303</v>
      </c>
      <c r="G306" s="26" t="s">
        <v>82</v>
      </c>
      <c r="H306" s="26" t="s">
        <v>391</v>
      </c>
      <c r="I306" s="26" t="n">
        <v>28</v>
      </c>
    </row>
    <row r="307" customFormat="false" ht="23.85" hidden="false" customHeight="false" outlineLevel="0" collapsed="false">
      <c r="A307" s="26" t="s">
        <v>352</v>
      </c>
      <c r="B307" s="26" t="n">
        <v>4115</v>
      </c>
      <c r="C307" s="26" t="s">
        <v>558</v>
      </c>
      <c r="D307" s="26" t="s">
        <v>534</v>
      </c>
      <c r="E307" s="26" t="s">
        <v>302</v>
      </c>
      <c r="F307" s="26" t="s">
        <v>303</v>
      </c>
      <c r="G307" s="26" t="s">
        <v>82</v>
      </c>
      <c r="H307" s="26" t="s">
        <v>391</v>
      </c>
      <c r="I307" s="26" t="n">
        <v>28</v>
      </c>
    </row>
    <row r="308" customFormat="false" ht="23.85" hidden="false" customHeight="false" outlineLevel="0" collapsed="false">
      <c r="A308" s="26" t="s">
        <v>352</v>
      </c>
      <c r="B308" s="26" t="n">
        <v>4116</v>
      </c>
      <c r="C308" s="26" t="s">
        <v>559</v>
      </c>
      <c r="D308" s="26" t="s">
        <v>534</v>
      </c>
      <c r="E308" s="26" t="s">
        <v>302</v>
      </c>
      <c r="F308" s="26" t="s">
        <v>303</v>
      </c>
      <c r="G308" s="26" t="s">
        <v>82</v>
      </c>
      <c r="H308" s="26" t="s">
        <v>391</v>
      </c>
      <c r="I308" s="26" t="n">
        <v>28</v>
      </c>
    </row>
    <row r="309" customFormat="false" ht="23.85" hidden="false" customHeight="false" outlineLevel="0" collapsed="false">
      <c r="A309" s="26" t="s">
        <v>299</v>
      </c>
      <c r="B309" s="26" t="n">
        <v>2104</v>
      </c>
      <c r="C309" s="26" t="s">
        <v>560</v>
      </c>
      <c r="D309" s="26" t="s">
        <v>561</v>
      </c>
      <c r="E309" s="26" t="s">
        <v>302</v>
      </c>
      <c r="F309" s="26" t="s">
        <v>303</v>
      </c>
      <c r="G309" s="26" t="s">
        <v>82</v>
      </c>
      <c r="H309" s="26" t="s">
        <v>462</v>
      </c>
      <c r="I309" s="26" t="n">
        <v>7</v>
      </c>
    </row>
    <row r="310" customFormat="false" ht="23.85" hidden="false" customHeight="false" outlineLevel="0" collapsed="false">
      <c r="A310" s="26" t="s">
        <v>307</v>
      </c>
      <c r="B310" s="26" t="n">
        <v>2201</v>
      </c>
      <c r="C310" s="26" t="s">
        <v>562</v>
      </c>
      <c r="D310" s="26" t="s">
        <v>561</v>
      </c>
      <c r="E310" s="26" t="s">
        <v>302</v>
      </c>
      <c r="F310" s="26" t="s">
        <v>303</v>
      </c>
      <c r="G310" s="26" t="s">
        <v>82</v>
      </c>
      <c r="H310" s="26" t="s">
        <v>462</v>
      </c>
      <c r="I310" s="26" t="n">
        <v>7</v>
      </c>
    </row>
    <row r="311" customFormat="false" ht="23.85" hidden="false" customHeight="false" outlineLevel="0" collapsed="false">
      <c r="A311" s="26" t="s">
        <v>321</v>
      </c>
      <c r="B311" s="26" t="n">
        <v>3109</v>
      </c>
      <c r="C311" s="26" t="s">
        <v>518</v>
      </c>
      <c r="D311" s="26" t="s">
        <v>561</v>
      </c>
      <c r="E311" s="26" t="s">
        <v>302</v>
      </c>
      <c r="F311" s="26" t="s">
        <v>303</v>
      </c>
      <c r="G311" s="26" t="s">
        <v>82</v>
      </c>
      <c r="H311" s="26" t="s">
        <v>462</v>
      </c>
      <c r="I311" s="26" t="n">
        <v>7</v>
      </c>
    </row>
    <row r="312" customFormat="false" ht="23.85" hidden="false" customHeight="false" outlineLevel="0" collapsed="false">
      <c r="A312" s="26" t="s">
        <v>324</v>
      </c>
      <c r="B312" s="26" t="n">
        <v>3306</v>
      </c>
      <c r="C312" s="26" t="s">
        <v>520</v>
      </c>
      <c r="D312" s="26" t="s">
        <v>561</v>
      </c>
      <c r="E312" s="26" t="s">
        <v>302</v>
      </c>
      <c r="F312" s="26" t="s">
        <v>303</v>
      </c>
      <c r="G312" s="26" t="s">
        <v>82</v>
      </c>
      <c r="H312" s="26" t="s">
        <v>462</v>
      </c>
      <c r="I312" s="26" t="n">
        <v>7</v>
      </c>
    </row>
    <row r="313" customFormat="false" ht="23.85" hidden="false" customHeight="false" outlineLevel="0" collapsed="false">
      <c r="A313" s="26" t="s">
        <v>329</v>
      </c>
      <c r="B313" s="26" t="n">
        <v>3216</v>
      </c>
      <c r="C313" s="26" t="s">
        <v>563</v>
      </c>
      <c r="D313" s="26" t="s">
        <v>561</v>
      </c>
      <c r="E313" s="26" t="s">
        <v>302</v>
      </c>
      <c r="F313" s="26" t="s">
        <v>303</v>
      </c>
      <c r="G313" s="26" t="s">
        <v>82</v>
      </c>
      <c r="H313" s="26" t="s">
        <v>462</v>
      </c>
      <c r="I313" s="26" t="n">
        <v>7</v>
      </c>
    </row>
    <row r="314" customFormat="false" ht="23.85" hidden="false" customHeight="false" outlineLevel="0" collapsed="false">
      <c r="A314" s="26" t="s">
        <v>334</v>
      </c>
      <c r="B314" s="26" t="n">
        <v>3021</v>
      </c>
      <c r="C314" s="26" t="s">
        <v>564</v>
      </c>
      <c r="D314" s="26" t="s">
        <v>561</v>
      </c>
      <c r="E314" s="26" t="s">
        <v>302</v>
      </c>
      <c r="F314" s="26" t="s">
        <v>303</v>
      </c>
      <c r="G314" s="26" t="s">
        <v>82</v>
      </c>
      <c r="H314" s="26" t="s">
        <v>462</v>
      </c>
      <c r="I314" s="26" t="n">
        <v>7</v>
      </c>
    </row>
    <row r="315" customFormat="false" ht="23.85" hidden="false" customHeight="false" outlineLevel="0" collapsed="false">
      <c r="A315" s="26" t="s">
        <v>352</v>
      </c>
      <c r="B315" s="26" t="n">
        <v>4106</v>
      </c>
      <c r="C315" s="26" t="s">
        <v>556</v>
      </c>
      <c r="D315" s="26" t="s">
        <v>561</v>
      </c>
      <c r="E315" s="26" t="s">
        <v>302</v>
      </c>
      <c r="F315" s="26" t="s">
        <v>303</v>
      </c>
      <c r="G315" s="26" t="s">
        <v>82</v>
      </c>
      <c r="H315" s="26" t="s">
        <v>462</v>
      </c>
      <c r="I315" s="26" t="n">
        <v>7</v>
      </c>
    </row>
    <row r="316" customFormat="false" ht="23.85" hidden="false" customHeight="false" outlineLevel="0" collapsed="false">
      <c r="A316" s="26" t="s">
        <v>299</v>
      </c>
      <c r="B316" s="26" t="n">
        <v>2101</v>
      </c>
      <c r="C316" s="26" t="s">
        <v>565</v>
      </c>
      <c r="D316" s="26" t="s">
        <v>566</v>
      </c>
      <c r="E316" s="26" t="s">
        <v>302</v>
      </c>
      <c r="F316" s="26" t="s">
        <v>303</v>
      </c>
      <c r="G316" s="26" t="s">
        <v>82</v>
      </c>
      <c r="H316" s="26" t="s">
        <v>567</v>
      </c>
      <c r="I316" s="26" t="n">
        <v>46</v>
      </c>
    </row>
    <row r="317" customFormat="false" ht="23.85" hidden="false" customHeight="false" outlineLevel="0" collapsed="false">
      <c r="A317" s="26" t="s">
        <v>299</v>
      </c>
      <c r="B317" s="26" t="n">
        <v>2102</v>
      </c>
      <c r="C317" s="26" t="s">
        <v>568</v>
      </c>
      <c r="D317" s="26" t="s">
        <v>566</v>
      </c>
      <c r="E317" s="26" t="s">
        <v>302</v>
      </c>
      <c r="F317" s="26" t="s">
        <v>303</v>
      </c>
      <c r="G317" s="26" t="s">
        <v>82</v>
      </c>
      <c r="H317" s="26" t="s">
        <v>567</v>
      </c>
      <c r="I317" s="26" t="n">
        <v>46</v>
      </c>
    </row>
    <row r="318" customFormat="false" ht="23.85" hidden="false" customHeight="false" outlineLevel="0" collapsed="false">
      <c r="A318" s="26" t="s">
        <v>299</v>
      </c>
      <c r="B318" s="26" t="n">
        <v>2103</v>
      </c>
      <c r="C318" s="26" t="s">
        <v>503</v>
      </c>
      <c r="D318" s="26" t="s">
        <v>566</v>
      </c>
      <c r="E318" s="26" t="s">
        <v>302</v>
      </c>
      <c r="F318" s="26" t="s">
        <v>303</v>
      </c>
      <c r="G318" s="26" t="s">
        <v>82</v>
      </c>
      <c r="H318" s="26" t="s">
        <v>567</v>
      </c>
      <c r="I318" s="26" t="n">
        <v>46</v>
      </c>
    </row>
    <row r="319" customFormat="false" ht="23.85" hidden="false" customHeight="false" outlineLevel="0" collapsed="false">
      <c r="A319" s="26" t="s">
        <v>299</v>
      </c>
      <c r="B319" s="26" t="n">
        <v>2105</v>
      </c>
      <c r="C319" s="26" t="s">
        <v>569</v>
      </c>
      <c r="D319" s="26" t="s">
        <v>566</v>
      </c>
      <c r="E319" s="26" t="s">
        <v>302</v>
      </c>
      <c r="F319" s="26" t="s">
        <v>303</v>
      </c>
      <c r="G319" s="26" t="s">
        <v>82</v>
      </c>
      <c r="H319" s="26" t="s">
        <v>567</v>
      </c>
      <c r="I319" s="26" t="n">
        <v>46</v>
      </c>
    </row>
    <row r="320" customFormat="false" ht="23.85" hidden="false" customHeight="false" outlineLevel="0" collapsed="false">
      <c r="A320" s="26" t="s">
        <v>299</v>
      </c>
      <c r="B320" s="26" t="n">
        <v>2106</v>
      </c>
      <c r="C320" s="26" t="s">
        <v>570</v>
      </c>
      <c r="D320" s="26" t="s">
        <v>566</v>
      </c>
      <c r="E320" s="26" t="s">
        <v>302</v>
      </c>
      <c r="F320" s="26" t="s">
        <v>303</v>
      </c>
      <c r="G320" s="26" t="s">
        <v>82</v>
      </c>
      <c r="H320" s="26" t="s">
        <v>567</v>
      </c>
      <c r="I320" s="26" t="n">
        <v>46</v>
      </c>
    </row>
    <row r="321" customFormat="false" ht="23.85" hidden="false" customHeight="false" outlineLevel="0" collapsed="false">
      <c r="A321" s="26" t="s">
        <v>299</v>
      </c>
      <c r="B321" s="26" t="n">
        <v>2107</v>
      </c>
      <c r="C321" s="26" t="s">
        <v>571</v>
      </c>
      <c r="D321" s="26" t="s">
        <v>566</v>
      </c>
      <c r="E321" s="26" t="s">
        <v>302</v>
      </c>
      <c r="F321" s="26" t="s">
        <v>303</v>
      </c>
      <c r="G321" s="26" t="s">
        <v>82</v>
      </c>
      <c r="H321" s="26" t="s">
        <v>567</v>
      </c>
      <c r="I321" s="26" t="n">
        <v>46</v>
      </c>
    </row>
    <row r="322" customFormat="false" ht="23.85" hidden="false" customHeight="false" outlineLevel="0" collapsed="false">
      <c r="A322" s="26" t="s">
        <v>299</v>
      </c>
      <c r="B322" s="26" t="n">
        <v>2108</v>
      </c>
      <c r="C322" s="26" t="s">
        <v>300</v>
      </c>
      <c r="D322" s="26" t="s">
        <v>566</v>
      </c>
      <c r="E322" s="26" t="s">
        <v>302</v>
      </c>
      <c r="F322" s="26" t="s">
        <v>303</v>
      </c>
      <c r="G322" s="26" t="s">
        <v>82</v>
      </c>
      <c r="H322" s="26" t="s">
        <v>567</v>
      </c>
      <c r="I322" s="26" t="n">
        <v>46</v>
      </c>
    </row>
    <row r="323" customFormat="false" ht="23.85" hidden="false" customHeight="false" outlineLevel="0" collapsed="false">
      <c r="A323" s="26" t="s">
        <v>299</v>
      </c>
      <c r="B323" s="26" t="n">
        <v>2120</v>
      </c>
      <c r="C323" s="26" t="s">
        <v>572</v>
      </c>
      <c r="D323" s="26" t="s">
        <v>566</v>
      </c>
      <c r="E323" s="26" t="s">
        <v>302</v>
      </c>
      <c r="F323" s="26" t="s">
        <v>303</v>
      </c>
      <c r="G323" s="26" t="s">
        <v>82</v>
      </c>
      <c r="H323" s="26" t="s">
        <v>567</v>
      </c>
      <c r="I323" s="26" t="n">
        <v>46</v>
      </c>
    </row>
    <row r="324" customFormat="false" ht="23.85" hidden="false" customHeight="false" outlineLevel="0" collapsed="false">
      <c r="A324" s="26" t="s">
        <v>299</v>
      </c>
      <c r="B324" s="26" t="n">
        <v>2121</v>
      </c>
      <c r="C324" s="26" t="s">
        <v>306</v>
      </c>
      <c r="D324" s="26" t="s">
        <v>566</v>
      </c>
      <c r="E324" s="26" t="s">
        <v>302</v>
      </c>
      <c r="F324" s="26" t="s">
        <v>303</v>
      </c>
      <c r="G324" s="26" t="s">
        <v>82</v>
      </c>
      <c r="H324" s="26" t="s">
        <v>567</v>
      </c>
      <c r="I324" s="26" t="n">
        <v>46</v>
      </c>
    </row>
    <row r="325" customFormat="false" ht="23.85" hidden="false" customHeight="false" outlineLevel="0" collapsed="false">
      <c r="A325" s="26" t="s">
        <v>307</v>
      </c>
      <c r="B325" s="26" t="n">
        <v>2202</v>
      </c>
      <c r="C325" s="26" t="s">
        <v>308</v>
      </c>
      <c r="D325" s="26" t="s">
        <v>566</v>
      </c>
      <c r="E325" s="26" t="s">
        <v>302</v>
      </c>
      <c r="F325" s="26" t="s">
        <v>303</v>
      </c>
      <c r="G325" s="26" t="s">
        <v>82</v>
      </c>
      <c r="H325" s="26" t="s">
        <v>567</v>
      </c>
      <c r="I325" s="26" t="n">
        <v>46</v>
      </c>
    </row>
    <row r="326" customFormat="false" ht="23.85" hidden="false" customHeight="false" outlineLevel="0" collapsed="false">
      <c r="A326" s="26" t="s">
        <v>307</v>
      </c>
      <c r="B326" s="26" t="n">
        <v>2205</v>
      </c>
      <c r="C326" s="26" t="s">
        <v>309</v>
      </c>
      <c r="D326" s="26" t="s">
        <v>566</v>
      </c>
      <c r="E326" s="26" t="s">
        <v>302</v>
      </c>
      <c r="F326" s="26" t="s">
        <v>303</v>
      </c>
      <c r="G326" s="26" t="s">
        <v>82</v>
      </c>
      <c r="H326" s="26" t="s">
        <v>567</v>
      </c>
      <c r="I326" s="26" t="n">
        <v>46</v>
      </c>
    </row>
    <row r="327" customFormat="false" ht="23.85" hidden="false" customHeight="false" outlineLevel="0" collapsed="false">
      <c r="A327" s="26" t="s">
        <v>307</v>
      </c>
      <c r="B327" s="26" t="n">
        <v>2213</v>
      </c>
      <c r="C327" s="26" t="s">
        <v>573</v>
      </c>
      <c r="D327" s="26" t="s">
        <v>566</v>
      </c>
      <c r="E327" s="26" t="s">
        <v>302</v>
      </c>
      <c r="F327" s="26" t="s">
        <v>303</v>
      </c>
      <c r="G327" s="26" t="s">
        <v>82</v>
      </c>
      <c r="H327" s="26" t="s">
        <v>567</v>
      </c>
      <c r="I327" s="26" t="n">
        <v>46</v>
      </c>
    </row>
    <row r="328" customFormat="false" ht="23.85" hidden="false" customHeight="false" outlineLevel="0" collapsed="false">
      <c r="A328" s="26" t="s">
        <v>307</v>
      </c>
      <c r="B328" s="26" t="n">
        <v>2214</v>
      </c>
      <c r="C328" s="26" t="s">
        <v>361</v>
      </c>
      <c r="D328" s="26" t="s">
        <v>566</v>
      </c>
      <c r="E328" s="26" t="s">
        <v>302</v>
      </c>
      <c r="F328" s="26" t="s">
        <v>303</v>
      </c>
      <c r="G328" s="26" t="s">
        <v>82</v>
      </c>
      <c r="H328" s="26" t="s">
        <v>567</v>
      </c>
      <c r="I328" s="26" t="n">
        <v>46</v>
      </c>
    </row>
    <row r="329" customFormat="false" ht="23.85" hidden="false" customHeight="false" outlineLevel="0" collapsed="false">
      <c r="A329" s="26" t="s">
        <v>310</v>
      </c>
      <c r="B329" s="26" t="n">
        <v>2302</v>
      </c>
      <c r="C329" s="26" t="s">
        <v>311</v>
      </c>
      <c r="D329" s="26" t="s">
        <v>566</v>
      </c>
      <c r="E329" s="26" t="s">
        <v>302</v>
      </c>
      <c r="F329" s="26" t="s">
        <v>303</v>
      </c>
      <c r="G329" s="26" t="s">
        <v>82</v>
      </c>
      <c r="H329" s="26" t="s">
        <v>567</v>
      </c>
      <c r="I329" s="26" t="n">
        <v>46</v>
      </c>
    </row>
    <row r="330" customFormat="false" ht="23.85" hidden="false" customHeight="false" outlineLevel="0" collapsed="false">
      <c r="A330" s="26" t="s">
        <v>310</v>
      </c>
      <c r="B330" s="26" t="n">
        <v>2316</v>
      </c>
      <c r="C330" s="26" t="s">
        <v>572</v>
      </c>
      <c r="D330" s="26" t="s">
        <v>566</v>
      </c>
      <c r="E330" s="26" t="s">
        <v>302</v>
      </c>
      <c r="F330" s="26" t="s">
        <v>303</v>
      </c>
      <c r="G330" s="26" t="s">
        <v>82</v>
      </c>
      <c r="H330" s="26" t="s">
        <v>567</v>
      </c>
      <c r="I330" s="26" t="n">
        <v>46</v>
      </c>
    </row>
    <row r="331" customFormat="false" ht="23.85" hidden="false" customHeight="false" outlineLevel="0" collapsed="false">
      <c r="A331" s="26" t="s">
        <v>312</v>
      </c>
      <c r="B331" s="26" t="n">
        <v>3708</v>
      </c>
      <c r="C331" s="26" t="s">
        <v>508</v>
      </c>
      <c r="D331" s="26" t="s">
        <v>566</v>
      </c>
      <c r="E331" s="26" t="s">
        <v>302</v>
      </c>
      <c r="F331" s="26" t="s">
        <v>303</v>
      </c>
      <c r="G331" s="26" t="s">
        <v>82</v>
      </c>
      <c r="H331" s="26" t="s">
        <v>567</v>
      </c>
      <c r="I331" s="26" t="n">
        <v>46</v>
      </c>
    </row>
    <row r="332" customFormat="false" ht="23.85" hidden="false" customHeight="false" outlineLevel="0" collapsed="false">
      <c r="A332" s="26" t="s">
        <v>312</v>
      </c>
      <c r="B332" s="26" t="n">
        <v>3709</v>
      </c>
      <c r="C332" s="26" t="s">
        <v>362</v>
      </c>
      <c r="D332" s="26" t="s">
        <v>566</v>
      </c>
      <c r="E332" s="26" t="s">
        <v>302</v>
      </c>
      <c r="F332" s="26" t="s">
        <v>303</v>
      </c>
      <c r="G332" s="26" t="s">
        <v>82</v>
      </c>
      <c r="H332" s="26" t="s">
        <v>567</v>
      </c>
      <c r="I332" s="26" t="n">
        <v>46</v>
      </c>
    </row>
    <row r="333" customFormat="false" ht="23.85" hidden="false" customHeight="false" outlineLevel="0" collapsed="false">
      <c r="A333" s="26" t="s">
        <v>314</v>
      </c>
      <c r="B333" s="26" t="n">
        <v>302</v>
      </c>
      <c r="C333" s="26" t="s">
        <v>315</v>
      </c>
      <c r="D333" s="26" t="s">
        <v>566</v>
      </c>
      <c r="E333" s="26" t="s">
        <v>302</v>
      </c>
      <c r="F333" s="26" t="s">
        <v>303</v>
      </c>
      <c r="G333" s="26" t="s">
        <v>82</v>
      </c>
      <c r="H333" s="26" t="s">
        <v>567</v>
      </c>
      <c r="I333" s="26" t="n">
        <v>46</v>
      </c>
    </row>
    <row r="334" customFormat="false" ht="23.85" hidden="false" customHeight="false" outlineLevel="0" collapsed="false">
      <c r="A334" s="26" t="s">
        <v>314</v>
      </c>
      <c r="B334" s="26" t="n">
        <v>315</v>
      </c>
      <c r="C334" s="26" t="s">
        <v>574</v>
      </c>
      <c r="D334" s="26" t="s">
        <v>566</v>
      </c>
      <c r="E334" s="26" t="s">
        <v>302</v>
      </c>
      <c r="F334" s="26" t="s">
        <v>303</v>
      </c>
      <c r="G334" s="26" t="s">
        <v>82</v>
      </c>
      <c r="H334" s="26" t="s">
        <v>567</v>
      </c>
      <c r="I334" s="26" t="n">
        <v>46</v>
      </c>
    </row>
    <row r="335" customFormat="false" ht="23.85" hidden="false" customHeight="false" outlineLevel="0" collapsed="false">
      <c r="A335" s="26" t="s">
        <v>314</v>
      </c>
      <c r="B335" s="26" t="n">
        <v>316</v>
      </c>
      <c r="C335" s="26" t="s">
        <v>575</v>
      </c>
      <c r="D335" s="26" t="s">
        <v>566</v>
      </c>
      <c r="E335" s="26" t="s">
        <v>302</v>
      </c>
      <c r="F335" s="26" t="s">
        <v>303</v>
      </c>
      <c r="G335" s="26" t="s">
        <v>82</v>
      </c>
      <c r="H335" s="26" t="s">
        <v>567</v>
      </c>
      <c r="I335" s="26" t="n">
        <v>46</v>
      </c>
    </row>
    <row r="336" customFormat="false" ht="23.85" hidden="false" customHeight="false" outlineLevel="0" collapsed="false">
      <c r="A336" s="26" t="s">
        <v>316</v>
      </c>
      <c r="B336" s="26" t="n">
        <v>2806</v>
      </c>
      <c r="C336" s="26" t="s">
        <v>317</v>
      </c>
      <c r="D336" s="26" t="s">
        <v>566</v>
      </c>
      <c r="E336" s="26" t="s">
        <v>302</v>
      </c>
      <c r="F336" s="26" t="s">
        <v>303</v>
      </c>
      <c r="G336" s="26" t="s">
        <v>82</v>
      </c>
      <c r="H336" s="26" t="s">
        <v>567</v>
      </c>
      <c r="I336" s="26" t="n">
        <v>46</v>
      </c>
    </row>
    <row r="337" customFormat="false" ht="23.85" hidden="false" customHeight="false" outlineLevel="0" collapsed="false">
      <c r="A337" s="26" t="s">
        <v>316</v>
      </c>
      <c r="B337" s="26" t="n">
        <v>2814</v>
      </c>
      <c r="C337" s="26" t="s">
        <v>576</v>
      </c>
      <c r="D337" s="26" t="s">
        <v>566</v>
      </c>
      <c r="E337" s="26" t="s">
        <v>302</v>
      </c>
      <c r="F337" s="26" t="s">
        <v>303</v>
      </c>
      <c r="G337" s="26" t="s">
        <v>82</v>
      </c>
      <c r="H337" s="26" t="s">
        <v>567</v>
      </c>
      <c r="I337" s="26" t="n">
        <v>46</v>
      </c>
    </row>
    <row r="338" customFormat="false" ht="23.85" hidden="false" customHeight="false" outlineLevel="0" collapsed="false">
      <c r="A338" s="26" t="s">
        <v>318</v>
      </c>
      <c r="B338" s="26" t="n">
        <v>2610</v>
      </c>
      <c r="C338" s="26" t="s">
        <v>572</v>
      </c>
      <c r="D338" s="26" t="s">
        <v>566</v>
      </c>
      <c r="E338" s="26" t="s">
        <v>302</v>
      </c>
      <c r="F338" s="26" t="s">
        <v>303</v>
      </c>
      <c r="G338" s="26" t="s">
        <v>82</v>
      </c>
      <c r="H338" s="26" t="s">
        <v>567</v>
      </c>
      <c r="I338" s="26" t="n">
        <v>46</v>
      </c>
    </row>
    <row r="339" customFormat="false" ht="23.85" hidden="false" customHeight="false" outlineLevel="0" collapsed="false">
      <c r="A339" s="26" t="s">
        <v>318</v>
      </c>
      <c r="B339" s="26" t="n">
        <v>2611</v>
      </c>
      <c r="C339" s="26" t="s">
        <v>306</v>
      </c>
      <c r="D339" s="26" t="s">
        <v>566</v>
      </c>
      <c r="E339" s="26" t="s">
        <v>302</v>
      </c>
      <c r="F339" s="26" t="s">
        <v>303</v>
      </c>
      <c r="G339" s="26" t="s">
        <v>82</v>
      </c>
      <c r="H339" s="26" t="s">
        <v>567</v>
      </c>
      <c r="I339" s="26" t="n">
        <v>46</v>
      </c>
    </row>
    <row r="340" customFormat="false" ht="23.85" hidden="false" customHeight="false" outlineLevel="0" collapsed="false">
      <c r="A340" s="26" t="s">
        <v>318</v>
      </c>
      <c r="B340" s="26" t="n">
        <v>2617</v>
      </c>
      <c r="C340" s="26" t="s">
        <v>577</v>
      </c>
      <c r="D340" s="26" t="s">
        <v>566</v>
      </c>
      <c r="E340" s="26" t="s">
        <v>302</v>
      </c>
      <c r="F340" s="26" t="s">
        <v>303</v>
      </c>
      <c r="G340" s="26" t="s">
        <v>82</v>
      </c>
      <c r="H340" s="26" t="s">
        <v>567</v>
      </c>
      <c r="I340" s="26" t="n">
        <v>46</v>
      </c>
    </row>
    <row r="341" customFormat="false" ht="23.85" hidden="false" customHeight="false" outlineLevel="0" collapsed="false">
      <c r="A341" s="26" t="s">
        <v>321</v>
      </c>
      <c r="B341" s="26" t="n">
        <v>3113</v>
      </c>
      <c r="C341" s="26" t="s">
        <v>578</v>
      </c>
      <c r="D341" s="26" t="s">
        <v>566</v>
      </c>
      <c r="E341" s="26" t="s">
        <v>302</v>
      </c>
      <c r="F341" s="26" t="s">
        <v>303</v>
      </c>
      <c r="G341" s="26" t="s">
        <v>82</v>
      </c>
      <c r="H341" s="26" t="s">
        <v>567</v>
      </c>
      <c r="I341" s="26" t="n">
        <v>46</v>
      </c>
    </row>
    <row r="342" customFormat="false" ht="23.85" hidden="false" customHeight="false" outlineLevel="0" collapsed="false">
      <c r="A342" s="26" t="s">
        <v>321</v>
      </c>
      <c r="B342" s="26" t="n">
        <v>3114</v>
      </c>
      <c r="C342" s="26" t="s">
        <v>322</v>
      </c>
      <c r="D342" s="26" t="s">
        <v>566</v>
      </c>
      <c r="E342" s="26" t="s">
        <v>302</v>
      </c>
      <c r="F342" s="26" t="s">
        <v>303</v>
      </c>
      <c r="G342" s="26" t="s">
        <v>82</v>
      </c>
      <c r="H342" s="26" t="s">
        <v>567</v>
      </c>
      <c r="I342" s="26" t="n">
        <v>46</v>
      </c>
    </row>
    <row r="343" customFormat="false" ht="23.85" hidden="false" customHeight="false" outlineLevel="0" collapsed="false">
      <c r="A343" s="26" t="s">
        <v>321</v>
      </c>
      <c r="B343" s="26" t="n">
        <v>3120</v>
      </c>
      <c r="C343" s="26" t="s">
        <v>579</v>
      </c>
      <c r="D343" s="26" t="s">
        <v>566</v>
      </c>
      <c r="E343" s="26" t="s">
        <v>302</v>
      </c>
      <c r="F343" s="26" t="s">
        <v>303</v>
      </c>
      <c r="G343" s="26" t="s">
        <v>82</v>
      </c>
      <c r="H343" s="26" t="s">
        <v>567</v>
      </c>
      <c r="I343" s="26" t="n">
        <v>46</v>
      </c>
    </row>
    <row r="344" customFormat="false" ht="23.85" hidden="false" customHeight="false" outlineLevel="0" collapsed="false">
      <c r="A344" s="26" t="s">
        <v>323</v>
      </c>
      <c r="B344" s="26" t="n">
        <v>2910</v>
      </c>
      <c r="C344" s="26" t="s">
        <v>572</v>
      </c>
      <c r="D344" s="26" t="s">
        <v>566</v>
      </c>
      <c r="E344" s="26" t="s">
        <v>302</v>
      </c>
      <c r="F344" s="26" t="s">
        <v>303</v>
      </c>
      <c r="G344" s="26" t="s">
        <v>82</v>
      </c>
      <c r="H344" s="26" t="s">
        <v>567</v>
      </c>
      <c r="I344" s="26" t="n">
        <v>46</v>
      </c>
    </row>
    <row r="345" customFormat="false" ht="23.85" hidden="false" customHeight="false" outlineLevel="0" collapsed="false">
      <c r="A345" s="26" t="s">
        <v>323</v>
      </c>
      <c r="B345" s="26" t="n">
        <v>2911</v>
      </c>
      <c r="C345" s="26" t="s">
        <v>306</v>
      </c>
      <c r="D345" s="26" t="s">
        <v>566</v>
      </c>
      <c r="E345" s="26" t="s">
        <v>302</v>
      </c>
      <c r="F345" s="26" t="s">
        <v>303</v>
      </c>
      <c r="G345" s="26" t="s">
        <v>82</v>
      </c>
      <c r="H345" s="26" t="s">
        <v>567</v>
      </c>
      <c r="I345" s="26" t="n">
        <v>46</v>
      </c>
    </row>
    <row r="346" customFormat="false" ht="23.85" hidden="false" customHeight="false" outlineLevel="0" collapsed="false">
      <c r="A346" s="26" t="s">
        <v>323</v>
      </c>
      <c r="B346" s="26" t="n">
        <v>2918</v>
      </c>
      <c r="C346" s="26" t="s">
        <v>364</v>
      </c>
      <c r="D346" s="26" t="s">
        <v>566</v>
      </c>
      <c r="E346" s="26" t="s">
        <v>302</v>
      </c>
      <c r="F346" s="26" t="s">
        <v>303</v>
      </c>
      <c r="G346" s="26" t="s">
        <v>82</v>
      </c>
      <c r="H346" s="26" t="s">
        <v>567</v>
      </c>
      <c r="I346" s="26" t="n">
        <v>46</v>
      </c>
    </row>
    <row r="347" customFormat="false" ht="23.85" hidden="false" customHeight="false" outlineLevel="0" collapsed="false">
      <c r="A347" s="26" t="s">
        <v>323</v>
      </c>
      <c r="B347" s="26" t="n">
        <v>2919</v>
      </c>
      <c r="C347" s="26" t="s">
        <v>580</v>
      </c>
      <c r="D347" s="26" t="s">
        <v>566</v>
      </c>
      <c r="E347" s="26" t="s">
        <v>302</v>
      </c>
      <c r="F347" s="26" t="s">
        <v>303</v>
      </c>
      <c r="G347" s="26" t="s">
        <v>82</v>
      </c>
      <c r="H347" s="26" t="s">
        <v>567</v>
      </c>
      <c r="I347" s="26" t="n">
        <v>46</v>
      </c>
    </row>
    <row r="348" customFormat="false" ht="35.05" hidden="false" customHeight="false" outlineLevel="0" collapsed="false">
      <c r="A348" s="26" t="s">
        <v>323</v>
      </c>
      <c r="B348" s="26" t="n">
        <v>2920</v>
      </c>
      <c r="C348" s="26" t="s">
        <v>581</v>
      </c>
      <c r="D348" s="26" t="s">
        <v>566</v>
      </c>
      <c r="E348" s="26" t="s">
        <v>302</v>
      </c>
      <c r="F348" s="26" t="s">
        <v>303</v>
      </c>
      <c r="G348" s="26" t="s">
        <v>82</v>
      </c>
      <c r="H348" s="26" t="s">
        <v>567</v>
      </c>
      <c r="I348" s="26" t="n">
        <v>46</v>
      </c>
    </row>
    <row r="349" customFormat="false" ht="23.85" hidden="false" customHeight="false" outlineLevel="0" collapsed="false">
      <c r="A349" s="26" t="s">
        <v>324</v>
      </c>
      <c r="B349" s="26" t="n">
        <v>3309</v>
      </c>
      <c r="C349" s="26" t="s">
        <v>325</v>
      </c>
      <c r="D349" s="26" t="s">
        <v>566</v>
      </c>
      <c r="E349" s="26" t="s">
        <v>302</v>
      </c>
      <c r="F349" s="26" t="s">
        <v>303</v>
      </c>
      <c r="G349" s="26" t="s">
        <v>82</v>
      </c>
      <c r="H349" s="26" t="s">
        <v>567</v>
      </c>
      <c r="I349" s="26" t="n">
        <v>46</v>
      </c>
    </row>
    <row r="350" customFormat="false" ht="23.85" hidden="false" customHeight="false" outlineLevel="0" collapsed="false">
      <c r="A350" s="26" t="s">
        <v>324</v>
      </c>
      <c r="B350" s="26" t="n">
        <v>3311</v>
      </c>
      <c r="C350" s="26" t="s">
        <v>578</v>
      </c>
      <c r="D350" s="26" t="s">
        <v>566</v>
      </c>
      <c r="E350" s="26" t="s">
        <v>302</v>
      </c>
      <c r="F350" s="26" t="s">
        <v>303</v>
      </c>
      <c r="G350" s="26" t="s">
        <v>82</v>
      </c>
      <c r="H350" s="26" t="s">
        <v>567</v>
      </c>
      <c r="I350" s="26" t="n">
        <v>46</v>
      </c>
    </row>
    <row r="351" customFormat="false" ht="23.85" hidden="false" customHeight="false" outlineLevel="0" collapsed="false">
      <c r="A351" s="26" t="s">
        <v>324</v>
      </c>
      <c r="B351" s="26" t="n">
        <v>3313</v>
      </c>
      <c r="C351" s="26" t="s">
        <v>322</v>
      </c>
      <c r="D351" s="26" t="s">
        <v>566</v>
      </c>
      <c r="E351" s="26" t="s">
        <v>302</v>
      </c>
      <c r="F351" s="26" t="s">
        <v>303</v>
      </c>
      <c r="G351" s="26" t="s">
        <v>82</v>
      </c>
      <c r="H351" s="26" t="s">
        <v>567</v>
      </c>
      <c r="I351" s="26" t="n">
        <v>46</v>
      </c>
    </row>
    <row r="352" customFormat="false" ht="23.85" hidden="false" customHeight="false" outlineLevel="0" collapsed="false">
      <c r="A352" s="26" t="s">
        <v>324</v>
      </c>
      <c r="B352" s="26" t="n">
        <v>3318</v>
      </c>
      <c r="C352" s="26" t="s">
        <v>326</v>
      </c>
      <c r="D352" s="26" t="s">
        <v>566</v>
      </c>
      <c r="E352" s="26" t="s">
        <v>302</v>
      </c>
      <c r="F352" s="26" t="s">
        <v>303</v>
      </c>
      <c r="G352" s="26" t="s">
        <v>82</v>
      </c>
      <c r="H352" s="26" t="s">
        <v>567</v>
      </c>
      <c r="I352" s="26" t="n">
        <v>46</v>
      </c>
    </row>
    <row r="353" customFormat="false" ht="23.85" hidden="false" customHeight="false" outlineLevel="0" collapsed="false">
      <c r="A353" s="26" t="s">
        <v>324</v>
      </c>
      <c r="B353" s="26" t="n">
        <v>3319</v>
      </c>
      <c r="C353" s="26" t="s">
        <v>576</v>
      </c>
      <c r="D353" s="26" t="s">
        <v>566</v>
      </c>
      <c r="E353" s="26" t="s">
        <v>302</v>
      </c>
      <c r="F353" s="26" t="s">
        <v>303</v>
      </c>
      <c r="G353" s="26" t="s">
        <v>82</v>
      </c>
      <c r="H353" s="26" t="s">
        <v>567</v>
      </c>
      <c r="I353" s="26" t="n">
        <v>46</v>
      </c>
    </row>
    <row r="354" customFormat="false" ht="23.85" hidden="false" customHeight="false" outlineLevel="0" collapsed="false">
      <c r="A354" s="26" t="s">
        <v>327</v>
      </c>
      <c r="B354" s="26" t="n">
        <v>2503</v>
      </c>
      <c r="C354" s="26" t="s">
        <v>582</v>
      </c>
      <c r="D354" s="26" t="s">
        <v>566</v>
      </c>
      <c r="E354" s="26" t="s">
        <v>302</v>
      </c>
      <c r="F354" s="26" t="s">
        <v>303</v>
      </c>
      <c r="G354" s="26" t="s">
        <v>82</v>
      </c>
      <c r="H354" s="26" t="s">
        <v>567</v>
      </c>
      <c r="I354" s="26" t="n">
        <v>46</v>
      </c>
    </row>
    <row r="355" customFormat="false" ht="23.85" hidden="false" customHeight="false" outlineLevel="0" collapsed="false">
      <c r="A355" s="26" t="s">
        <v>327</v>
      </c>
      <c r="B355" s="26" t="n">
        <v>2511</v>
      </c>
      <c r="C355" s="26" t="s">
        <v>572</v>
      </c>
      <c r="D355" s="26" t="s">
        <v>566</v>
      </c>
      <c r="E355" s="26" t="s">
        <v>302</v>
      </c>
      <c r="F355" s="26" t="s">
        <v>303</v>
      </c>
      <c r="G355" s="26" t="s">
        <v>82</v>
      </c>
      <c r="H355" s="26" t="s">
        <v>567</v>
      </c>
      <c r="I355" s="26" t="n">
        <v>46</v>
      </c>
    </row>
    <row r="356" customFormat="false" ht="23.85" hidden="false" customHeight="false" outlineLevel="0" collapsed="false">
      <c r="A356" s="26" t="s">
        <v>327</v>
      </c>
      <c r="B356" s="26" t="n">
        <v>2512</v>
      </c>
      <c r="C356" s="26" t="s">
        <v>328</v>
      </c>
      <c r="D356" s="26" t="s">
        <v>566</v>
      </c>
      <c r="E356" s="26" t="s">
        <v>302</v>
      </c>
      <c r="F356" s="26" t="s">
        <v>303</v>
      </c>
      <c r="G356" s="26" t="s">
        <v>82</v>
      </c>
      <c r="H356" s="26" t="s">
        <v>567</v>
      </c>
      <c r="I356" s="26" t="n">
        <v>46</v>
      </c>
    </row>
    <row r="357" customFormat="false" ht="23.85" hidden="false" customHeight="false" outlineLevel="0" collapsed="false">
      <c r="A357" s="26" t="s">
        <v>327</v>
      </c>
      <c r="B357" s="26" t="n">
        <v>2521</v>
      </c>
      <c r="C357" s="26" t="s">
        <v>583</v>
      </c>
      <c r="D357" s="26" t="s">
        <v>566</v>
      </c>
      <c r="E357" s="26" t="s">
        <v>302</v>
      </c>
      <c r="F357" s="26" t="s">
        <v>303</v>
      </c>
      <c r="G357" s="26" t="s">
        <v>82</v>
      </c>
      <c r="H357" s="26" t="s">
        <v>567</v>
      </c>
      <c r="I357" s="26" t="n">
        <v>46</v>
      </c>
    </row>
    <row r="358" customFormat="false" ht="23.85" hidden="false" customHeight="false" outlineLevel="0" collapsed="false">
      <c r="A358" s="26" t="s">
        <v>329</v>
      </c>
      <c r="B358" s="26" t="n">
        <v>3209</v>
      </c>
      <c r="C358" s="26" t="s">
        <v>584</v>
      </c>
      <c r="D358" s="26" t="s">
        <v>566</v>
      </c>
      <c r="E358" s="26" t="s">
        <v>302</v>
      </c>
      <c r="F358" s="26" t="s">
        <v>303</v>
      </c>
      <c r="G358" s="26" t="s">
        <v>82</v>
      </c>
      <c r="H358" s="26" t="s">
        <v>567</v>
      </c>
      <c r="I358" s="26" t="n">
        <v>46</v>
      </c>
    </row>
    <row r="359" customFormat="false" ht="23.85" hidden="false" customHeight="false" outlineLevel="0" collapsed="false">
      <c r="A359" s="26" t="s">
        <v>375</v>
      </c>
      <c r="B359" s="26" t="n">
        <v>3510</v>
      </c>
      <c r="C359" s="26" t="s">
        <v>585</v>
      </c>
      <c r="D359" s="26" t="s">
        <v>566</v>
      </c>
      <c r="E359" s="26" t="s">
        <v>302</v>
      </c>
      <c r="F359" s="26" t="s">
        <v>303</v>
      </c>
      <c r="G359" s="26" t="s">
        <v>82</v>
      </c>
      <c r="H359" s="26" t="s">
        <v>567</v>
      </c>
      <c r="I359" s="26" t="n">
        <v>46</v>
      </c>
    </row>
    <row r="360" customFormat="false" ht="23.85" hidden="false" customHeight="false" outlineLevel="0" collapsed="false">
      <c r="A360" s="26" t="s">
        <v>334</v>
      </c>
      <c r="B360" s="26" t="n">
        <v>3016</v>
      </c>
      <c r="C360" s="26" t="s">
        <v>306</v>
      </c>
      <c r="D360" s="26" t="s">
        <v>566</v>
      </c>
      <c r="E360" s="26" t="s">
        <v>302</v>
      </c>
      <c r="F360" s="26" t="s">
        <v>303</v>
      </c>
      <c r="G360" s="26" t="s">
        <v>82</v>
      </c>
      <c r="H360" s="26" t="s">
        <v>567</v>
      </c>
      <c r="I360" s="26" t="n">
        <v>46</v>
      </c>
    </row>
    <row r="361" customFormat="false" ht="23.85" hidden="false" customHeight="false" outlineLevel="0" collapsed="false">
      <c r="A361" s="26" t="s">
        <v>334</v>
      </c>
      <c r="B361" s="26" t="n">
        <v>3023</v>
      </c>
      <c r="C361" s="26" t="s">
        <v>577</v>
      </c>
      <c r="D361" s="26" t="s">
        <v>566</v>
      </c>
      <c r="E361" s="26" t="s">
        <v>302</v>
      </c>
      <c r="F361" s="26" t="s">
        <v>303</v>
      </c>
      <c r="G361" s="26" t="s">
        <v>82</v>
      </c>
      <c r="H361" s="26" t="s">
        <v>567</v>
      </c>
      <c r="I361" s="26" t="n">
        <v>46</v>
      </c>
    </row>
    <row r="362" customFormat="false" ht="35.05" hidden="false" customHeight="false" outlineLevel="0" collapsed="false">
      <c r="A362" s="26" t="s">
        <v>299</v>
      </c>
      <c r="B362" s="26" t="n">
        <v>2122</v>
      </c>
      <c r="C362" s="26" t="s">
        <v>586</v>
      </c>
      <c r="D362" s="26" t="s">
        <v>587</v>
      </c>
      <c r="E362" s="26" t="s">
        <v>350</v>
      </c>
      <c r="F362" s="26" t="s">
        <v>369</v>
      </c>
      <c r="G362" s="26" t="s">
        <v>83</v>
      </c>
      <c r="H362" s="26" t="s">
        <v>588</v>
      </c>
      <c r="I362" s="26" t="n">
        <v>18</v>
      </c>
    </row>
    <row r="363" customFormat="false" ht="35.05" hidden="false" customHeight="false" outlineLevel="0" collapsed="false">
      <c r="A363" s="26" t="s">
        <v>307</v>
      </c>
      <c r="B363" s="26" t="n">
        <v>2210</v>
      </c>
      <c r="C363" s="26" t="s">
        <v>589</v>
      </c>
      <c r="D363" s="26" t="s">
        <v>587</v>
      </c>
      <c r="E363" s="26" t="s">
        <v>350</v>
      </c>
      <c r="F363" s="26" t="s">
        <v>369</v>
      </c>
      <c r="G363" s="26" t="s">
        <v>83</v>
      </c>
      <c r="H363" s="26" t="s">
        <v>588</v>
      </c>
      <c r="I363" s="26" t="n">
        <v>18</v>
      </c>
    </row>
    <row r="364" customFormat="false" ht="35.05" hidden="false" customHeight="false" outlineLevel="0" collapsed="false">
      <c r="A364" s="26" t="s">
        <v>310</v>
      </c>
      <c r="B364" s="26" t="n">
        <v>2312</v>
      </c>
      <c r="C364" s="26" t="s">
        <v>586</v>
      </c>
      <c r="D364" s="26" t="s">
        <v>587</v>
      </c>
      <c r="E364" s="26" t="s">
        <v>350</v>
      </c>
      <c r="F364" s="26" t="s">
        <v>369</v>
      </c>
      <c r="G364" s="26" t="s">
        <v>83</v>
      </c>
      <c r="H364" s="26" t="s">
        <v>588</v>
      </c>
      <c r="I364" s="26" t="n">
        <v>18</v>
      </c>
    </row>
    <row r="365" customFormat="false" ht="35.05" hidden="false" customHeight="false" outlineLevel="0" collapsed="false">
      <c r="A365" s="26" t="s">
        <v>312</v>
      </c>
      <c r="B365" s="26" t="n">
        <v>3705</v>
      </c>
      <c r="C365" s="26" t="s">
        <v>590</v>
      </c>
      <c r="D365" s="26" t="s">
        <v>587</v>
      </c>
      <c r="E365" s="26" t="s">
        <v>350</v>
      </c>
      <c r="F365" s="26" t="s">
        <v>369</v>
      </c>
      <c r="G365" s="26" t="s">
        <v>83</v>
      </c>
      <c r="H365" s="26" t="s">
        <v>588</v>
      </c>
      <c r="I365" s="26" t="n">
        <v>18</v>
      </c>
    </row>
    <row r="366" customFormat="false" ht="23.85" hidden="false" customHeight="false" outlineLevel="0" collapsed="false">
      <c r="A366" s="26" t="s">
        <v>314</v>
      </c>
      <c r="B366" s="26" t="n">
        <v>310</v>
      </c>
      <c r="C366" s="26" t="s">
        <v>591</v>
      </c>
      <c r="D366" s="26" t="s">
        <v>587</v>
      </c>
      <c r="E366" s="26" t="s">
        <v>350</v>
      </c>
      <c r="F366" s="26" t="s">
        <v>369</v>
      </c>
      <c r="G366" s="26" t="s">
        <v>83</v>
      </c>
      <c r="H366" s="26" t="s">
        <v>588</v>
      </c>
      <c r="I366" s="26" t="n">
        <v>18</v>
      </c>
    </row>
    <row r="367" customFormat="false" ht="35.05" hidden="false" customHeight="false" outlineLevel="0" collapsed="false">
      <c r="A367" s="26" t="s">
        <v>316</v>
      </c>
      <c r="B367" s="26" t="n">
        <v>2810</v>
      </c>
      <c r="C367" s="26" t="s">
        <v>590</v>
      </c>
      <c r="D367" s="26" t="s">
        <v>587</v>
      </c>
      <c r="E367" s="26" t="s">
        <v>350</v>
      </c>
      <c r="F367" s="26" t="s">
        <v>369</v>
      </c>
      <c r="G367" s="26" t="s">
        <v>83</v>
      </c>
      <c r="H367" s="26" t="s">
        <v>588</v>
      </c>
      <c r="I367" s="26" t="n">
        <v>18</v>
      </c>
    </row>
    <row r="368" customFormat="false" ht="35.05" hidden="false" customHeight="false" outlineLevel="0" collapsed="false">
      <c r="A368" s="26" t="s">
        <v>318</v>
      </c>
      <c r="B368" s="26" t="n">
        <v>2612</v>
      </c>
      <c r="C368" s="26" t="s">
        <v>590</v>
      </c>
      <c r="D368" s="26" t="s">
        <v>587</v>
      </c>
      <c r="E368" s="26" t="s">
        <v>350</v>
      </c>
      <c r="F368" s="26" t="s">
        <v>369</v>
      </c>
      <c r="G368" s="26" t="s">
        <v>83</v>
      </c>
      <c r="H368" s="26" t="s">
        <v>588</v>
      </c>
      <c r="I368" s="26" t="n">
        <v>18</v>
      </c>
    </row>
    <row r="369" customFormat="false" ht="35.05" hidden="false" customHeight="false" outlineLevel="0" collapsed="false">
      <c r="A369" s="26" t="s">
        <v>319</v>
      </c>
      <c r="B369" s="26" t="n">
        <v>3913</v>
      </c>
      <c r="C369" s="26" t="s">
        <v>592</v>
      </c>
      <c r="D369" s="26" t="s">
        <v>587</v>
      </c>
      <c r="E369" s="26" t="s">
        <v>350</v>
      </c>
      <c r="F369" s="26" t="s">
        <v>369</v>
      </c>
      <c r="G369" s="26" t="s">
        <v>83</v>
      </c>
      <c r="H369" s="26" t="s">
        <v>588</v>
      </c>
      <c r="I369" s="26" t="n">
        <v>18</v>
      </c>
    </row>
    <row r="370" customFormat="false" ht="35.05" hidden="false" customHeight="false" outlineLevel="0" collapsed="false">
      <c r="A370" s="26" t="s">
        <v>321</v>
      </c>
      <c r="B370" s="26" t="n">
        <v>3115</v>
      </c>
      <c r="C370" s="26" t="s">
        <v>593</v>
      </c>
      <c r="D370" s="26" t="s">
        <v>587</v>
      </c>
      <c r="E370" s="26" t="s">
        <v>350</v>
      </c>
      <c r="F370" s="26" t="s">
        <v>369</v>
      </c>
      <c r="G370" s="26" t="s">
        <v>83</v>
      </c>
      <c r="H370" s="26" t="s">
        <v>588</v>
      </c>
      <c r="I370" s="26" t="n">
        <v>18</v>
      </c>
    </row>
    <row r="371" customFormat="false" ht="35.05" hidden="false" customHeight="false" outlineLevel="0" collapsed="false">
      <c r="A371" s="26" t="s">
        <v>323</v>
      </c>
      <c r="B371" s="26" t="n">
        <v>2912</v>
      </c>
      <c r="C371" s="26" t="s">
        <v>590</v>
      </c>
      <c r="D371" s="26" t="s">
        <v>587</v>
      </c>
      <c r="E371" s="26" t="s">
        <v>350</v>
      </c>
      <c r="F371" s="26" t="s">
        <v>369</v>
      </c>
      <c r="G371" s="26" t="s">
        <v>83</v>
      </c>
      <c r="H371" s="26" t="s">
        <v>588</v>
      </c>
      <c r="I371" s="26" t="n">
        <v>18</v>
      </c>
    </row>
    <row r="372" customFormat="false" ht="23.85" hidden="false" customHeight="false" outlineLevel="0" collapsed="false">
      <c r="A372" s="26" t="s">
        <v>324</v>
      </c>
      <c r="B372" s="26" t="n">
        <v>3314</v>
      </c>
      <c r="C372" s="26" t="s">
        <v>594</v>
      </c>
      <c r="D372" s="26" t="s">
        <v>587</v>
      </c>
      <c r="E372" s="26" t="s">
        <v>350</v>
      </c>
      <c r="F372" s="26" t="s">
        <v>369</v>
      </c>
      <c r="G372" s="26" t="s">
        <v>83</v>
      </c>
      <c r="H372" s="26" t="s">
        <v>588</v>
      </c>
      <c r="I372" s="26" t="n">
        <v>18</v>
      </c>
    </row>
    <row r="373" customFormat="false" ht="35.05" hidden="false" customHeight="false" outlineLevel="0" collapsed="false">
      <c r="A373" s="26" t="s">
        <v>327</v>
      </c>
      <c r="B373" s="26" t="n">
        <v>2513</v>
      </c>
      <c r="C373" s="26" t="s">
        <v>586</v>
      </c>
      <c r="D373" s="26" t="s">
        <v>587</v>
      </c>
      <c r="E373" s="26" t="s">
        <v>350</v>
      </c>
      <c r="F373" s="26" t="s">
        <v>369</v>
      </c>
      <c r="G373" s="26" t="s">
        <v>83</v>
      </c>
      <c r="H373" s="26" t="s">
        <v>588</v>
      </c>
      <c r="I373" s="26" t="n">
        <v>18</v>
      </c>
    </row>
    <row r="374" customFormat="false" ht="35.05" hidden="false" customHeight="false" outlineLevel="0" collapsed="false">
      <c r="A374" s="26" t="s">
        <v>329</v>
      </c>
      <c r="B374" s="26" t="n">
        <v>3210</v>
      </c>
      <c r="C374" s="26" t="s">
        <v>586</v>
      </c>
      <c r="D374" s="26" t="s">
        <v>587</v>
      </c>
      <c r="E374" s="26" t="s">
        <v>350</v>
      </c>
      <c r="F374" s="26" t="s">
        <v>369</v>
      </c>
      <c r="G374" s="26" t="s">
        <v>83</v>
      </c>
      <c r="H374" s="26" t="s">
        <v>588</v>
      </c>
      <c r="I374" s="26" t="n">
        <v>18</v>
      </c>
    </row>
    <row r="375" customFormat="false" ht="23.85" hidden="false" customHeight="false" outlineLevel="0" collapsed="false">
      <c r="A375" s="26" t="s">
        <v>373</v>
      </c>
      <c r="B375" s="26" t="n">
        <v>3405</v>
      </c>
      <c r="C375" s="26" t="s">
        <v>594</v>
      </c>
      <c r="D375" s="26" t="s">
        <v>587</v>
      </c>
      <c r="E375" s="26" t="s">
        <v>350</v>
      </c>
      <c r="F375" s="26" t="s">
        <v>369</v>
      </c>
      <c r="G375" s="26" t="s">
        <v>83</v>
      </c>
      <c r="H375" s="26" t="s">
        <v>588</v>
      </c>
      <c r="I375" s="26" t="n">
        <v>18</v>
      </c>
    </row>
    <row r="376" customFormat="false" ht="35.05" hidden="false" customHeight="false" outlineLevel="0" collapsed="false">
      <c r="A376" s="26" t="s">
        <v>375</v>
      </c>
      <c r="B376" s="26" t="n">
        <v>3505</v>
      </c>
      <c r="C376" s="26" t="s">
        <v>595</v>
      </c>
      <c r="D376" s="26" t="s">
        <v>587</v>
      </c>
      <c r="E376" s="26" t="s">
        <v>350</v>
      </c>
      <c r="F376" s="26" t="s">
        <v>369</v>
      </c>
      <c r="G376" s="26" t="s">
        <v>83</v>
      </c>
      <c r="H376" s="26" t="s">
        <v>588</v>
      </c>
      <c r="I376" s="26" t="n">
        <v>18</v>
      </c>
    </row>
    <row r="377" customFormat="false" ht="35.05" hidden="false" customHeight="false" outlineLevel="0" collapsed="false">
      <c r="A377" s="26" t="s">
        <v>331</v>
      </c>
      <c r="B377" s="26" t="n">
        <v>2715</v>
      </c>
      <c r="C377" s="26" t="s">
        <v>596</v>
      </c>
      <c r="D377" s="26" t="s">
        <v>587</v>
      </c>
      <c r="E377" s="26" t="s">
        <v>350</v>
      </c>
      <c r="F377" s="26" t="s">
        <v>369</v>
      </c>
      <c r="G377" s="26" t="s">
        <v>83</v>
      </c>
      <c r="H377" s="26" t="s">
        <v>588</v>
      </c>
      <c r="I377" s="26" t="n">
        <v>18</v>
      </c>
    </row>
    <row r="378" customFormat="false" ht="35.05" hidden="false" customHeight="false" outlineLevel="0" collapsed="false">
      <c r="A378" s="26" t="s">
        <v>334</v>
      </c>
      <c r="B378" s="26" t="n">
        <v>3017</v>
      </c>
      <c r="C378" s="26" t="s">
        <v>597</v>
      </c>
      <c r="D378" s="26" t="s">
        <v>587</v>
      </c>
      <c r="E378" s="26" t="s">
        <v>350</v>
      </c>
      <c r="F378" s="26" t="s">
        <v>369</v>
      </c>
      <c r="G378" s="26" t="s">
        <v>83</v>
      </c>
      <c r="H378" s="26" t="s">
        <v>588</v>
      </c>
      <c r="I378" s="26" t="n">
        <v>18</v>
      </c>
    </row>
    <row r="379" customFormat="false" ht="35.05" hidden="false" customHeight="false" outlineLevel="0" collapsed="false">
      <c r="A379" s="26" t="s">
        <v>334</v>
      </c>
      <c r="B379" s="26" t="n">
        <v>3024</v>
      </c>
      <c r="C379" s="26" t="s">
        <v>598</v>
      </c>
      <c r="D379" s="26" t="s">
        <v>587</v>
      </c>
      <c r="E379" s="26" t="s">
        <v>350</v>
      </c>
      <c r="F379" s="26" t="s">
        <v>369</v>
      </c>
      <c r="G379" s="26" t="s">
        <v>83</v>
      </c>
      <c r="H379" s="26" t="s">
        <v>588</v>
      </c>
      <c r="I379" s="26" t="n">
        <v>18</v>
      </c>
    </row>
    <row r="380" customFormat="false" ht="23.85" hidden="false" customHeight="false" outlineLevel="0" collapsed="false">
      <c r="A380" s="26" t="s">
        <v>299</v>
      </c>
      <c r="B380" s="26" t="n">
        <v>2108</v>
      </c>
      <c r="C380" s="26" t="s">
        <v>300</v>
      </c>
      <c r="D380" s="26" t="s">
        <v>599</v>
      </c>
      <c r="E380" s="26" t="s">
        <v>302</v>
      </c>
      <c r="F380" s="26" t="s">
        <v>303</v>
      </c>
      <c r="G380" s="26" t="s">
        <v>83</v>
      </c>
      <c r="H380" s="26" t="s">
        <v>600</v>
      </c>
      <c r="I380" s="26" t="n">
        <v>18</v>
      </c>
    </row>
    <row r="381" customFormat="false" ht="23.85" hidden="false" customHeight="false" outlineLevel="0" collapsed="false">
      <c r="A381" s="26" t="s">
        <v>299</v>
      </c>
      <c r="B381" s="26" t="n">
        <v>2109</v>
      </c>
      <c r="C381" s="26" t="s">
        <v>601</v>
      </c>
      <c r="D381" s="26" t="s">
        <v>599</v>
      </c>
      <c r="E381" s="26" t="s">
        <v>302</v>
      </c>
      <c r="F381" s="26" t="s">
        <v>303</v>
      </c>
      <c r="G381" s="26" t="s">
        <v>83</v>
      </c>
      <c r="H381" s="26" t="s">
        <v>600</v>
      </c>
      <c r="I381" s="26" t="n">
        <v>18</v>
      </c>
    </row>
    <row r="382" customFormat="false" ht="23.85" hidden="false" customHeight="false" outlineLevel="0" collapsed="false">
      <c r="A382" s="26" t="s">
        <v>299</v>
      </c>
      <c r="B382" s="26" t="n">
        <v>2112</v>
      </c>
      <c r="C382" s="26" t="s">
        <v>305</v>
      </c>
      <c r="D382" s="26" t="s">
        <v>599</v>
      </c>
      <c r="E382" s="26" t="s">
        <v>302</v>
      </c>
      <c r="F382" s="26" t="s">
        <v>303</v>
      </c>
      <c r="G382" s="26" t="s">
        <v>83</v>
      </c>
      <c r="H382" s="26" t="s">
        <v>600</v>
      </c>
      <c r="I382" s="26" t="n">
        <v>18</v>
      </c>
    </row>
    <row r="383" customFormat="false" ht="23.85" hidden="false" customHeight="false" outlineLevel="0" collapsed="false">
      <c r="A383" s="26" t="s">
        <v>299</v>
      </c>
      <c r="B383" s="26" t="n">
        <v>2120</v>
      </c>
      <c r="C383" s="26" t="s">
        <v>572</v>
      </c>
      <c r="D383" s="26" t="s">
        <v>599</v>
      </c>
      <c r="E383" s="26" t="s">
        <v>302</v>
      </c>
      <c r="F383" s="26" t="s">
        <v>303</v>
      </c>
      <c r="G383" s="26" t="s">
        <v>83</v>
      </c>
      <c r="H383" s="26" t="s">
        <v>600</v>
      </c>
      <c r="I383" s="26" t="n">
        <v>18</v>
      </c>
    </row>
    <row r="384" customFormat="false" ht="23.85" hidden="false" customHeight="false" outlineLevel="0" collapsed="false">
      <c r="A384" s="26" t="s">
        <v>307</v>
      </c>
      <c r="B384" s="26" t="n">
        <v>2213</v>
      </c>
      <c r="C384" s="26" t="s">
        <v>573</v>
      </c>
      <c r="D384" s="26" t="s">
        <v>599</v>
      </c>
      <c r="E384" s="26" t="s">
        <v>302</v>
      </c>
      <c r="F384" s="26" t="s">
        <v>303</v>
      </c>
      <c r="G384" s="26" t="s">
        <v>83</v>
      </c>
      <c r="H384" s="26" t="s">
        <v>600</v>
      </c>
      <c r="I384" s="26" t="n">
        <v>18</v>
      </c>
    </row>
    <row r="385" customFormat="false" ht="23.85" hidden="false" customHeight="false" outlineLevel="0" collapsed="false">
      <c r="A385" s="26" t="s">
        <v>310</v>
      </c>
      <c r="B385" s="26" t="n">
        <v>2316</v>
      </c>
      <c r="C385" s="26" t="s">
        <v>572</v>
      </c>
      <c r="D385" s="26" t="s">
        <v>599</v>
      </c>
      <c r="E385" s="26" t="s">
        <v>302</v>
      </c>
      <c r="F385" s="26" t="s">
        <v>303</v>
      </c>
      <c r="G385" s="26" t="s">
        <v>83</v>
      </c>
      <c r="H385" s="26" t="s">
        <v>600</v>
      </c>
      <c r="I385" s="26" t="n">
        <v>18</v>
      </c>
    </row>
    <row r="386" customFormat="false" ht="23.85" hidden="false" customHeight="false" outlineLevel="0" collapsed="false">
      <c r="A386" s="26" t="s">
        <v>314</v>
      </c>
      <c r="B386" s="26" t="n">
        <v>315</v>
      </c>
      <c r="C386" s="26" t="s">
        <v>574</v>
      </c>
      <c r="D386" s="26" t="s">
        <v>599</v>
      </c>
      <c r="E386" s="26" t="s">
        <v>302</v>
      </c>
      <c r="F386" s="26" t="s">
        <v>303</v>
      </c>
      <c r="G386" s="26" t="s">
        <v>83</v>
      </c>
      <c r="H386" s="26" t="s">
        <v>600</v>
      </c>
      <c r="I386" s="26" t="n">
        <v>18</v>
      </c>
    </row>
    <row r="387" customFormat="false" ht="23.85" hidden="false" customHeight="false" outlineLevel="0" collapsed="false">
      <c r="A387" s="26" t="s">
        <v>314</v>
      </c>
      <c r="B387" s="26" t="n">
        <v>316</v>
      </c>
      <c r="C387" s="26" t="s">
        <v>575</v>
      </c>
      <c r="D387" s="26" t="s">
        <v>599</v>
      </c>
      <c r="E387" s="26" t="s">
        <v>302</v>
      </c>
      <c r="F387" s="26" t="s">
        <v>303</v>
      </c>
      <c r="G387" s="26" t="s">
        <v>83</v>
      </c>
      <c r="H387" s="26" t="s">
        <v>600</v>
      </c>
      <c r="I387" s="26" t="n">
        <v>18</v>
      </c>
    </row>
    <row r="388" customFormat="false" ht="23.85" hidden="false" customHeight="false" outlineLevel="0" collapsed="false">
      <c r="A388" s="26" t="s">
        <v>318</v>
      </c>
      <c r="B388" s="26" t="n">
        <v>2610</v>
      </c>
      <c r="C388" s="26" t="s">
        <v>572</v>
      </c>
      <c r="D388" s="26" t="s">
        <v>599</v>
      </c>
      <c r="E388" s="26" t="s">
        <v>302</v>
      </c>
      <c r="F388" s="26" t="s">
        <v>303</v>
      </c>
      <c r="G388" s="26" t="s">
        <v>83</v>
      </c>
      <c r="H388" s="26" t="s">
        <v>600</v>
      </c>
      <c r="I388" s="26" t="n">
        <v>18</v>
      </c>
    </row>
    <row r="389" customFormat="false" ht="23.85" hidden="false" customHeight="false" outlineLevel="0" collapsed="false">
      <c r="A389" s="26" t="s">
        <v>319</v>
      </c>
      <c r="B389" s="26" t="n">
        <v>3910</v>
      </c>
      <c r="C389" s="26" t="s">
        <v>602</v>
      </c>
      <c r="D389" s="26" t="s">
        <v>599</v>
      </c>
      <c r="E389" s="26" t="s">
        <v>302</v>
      </c>
      <c r="F389" s="26" t="s">
        <v>303</v>
      </c>
      <c r="G389" s="26" t="s">
        <v>83</v>
      </c>
      <c r="H389" s="26" t="s">
        <v>600</v>
      </c>
      <c r="I389" s="26" t="n">
        <v>18</v>
      </c>
    </row>
    <row r="390" customFormat="false" ht="23.85" hidden="false" customHeight="false" outlineLevel="0" collapsed="false">
      <c r="A390" s="26" t="s">
        <v>321</v>
      </c>
      <c r="B390" s="26" t="n">
        <v>3113</v>
      </c>
      <c r="C390" s="26" t="s">
        <v>578</v>
      </c>
      <c r="D390" s="26" t="s">
        <v>599</v>
      </c>
      <c r="E390" s="26" t="s">
        <v>302</v>
      </c>
      <c r="F390" s="26" t="s">
        <v>303</v>
      </c>
      <c r="G390" s="26" t="s">
        <v>83</v>
      </c>
      <c r="H390" s="26" t="s">
        <v>600</v>
      </c>
      <c r="I390" s="26" t="n">
        <v>18</v>
      </c>
    </row>
    <row r="391" customFormat="false" ht="23.85" hidden="false" customHeight="false" outlineLevel="0" collapsed="false">
      <c r="A391" s="26" t="s">
        <v>323</v>
      </c>
      <c r="B391" s="26" t="n">
        <v>2910</v>
      </c>
      <c r="C391" s="26" t="s">
        <v>572</v>
      </c>
      <c r="D391" s="26" t="s">
        <v>599</v>
      </c>
      <c r="E391" s="26" t="s">
        <v>302</v>
      </c>
      <c r="F391" s="26" t="s">
        <v>303</v>
      </c>
      <c r="G391" s="26" t="s">
        <v>83</v>
      </c>
      <c r="H391" s="26" t="s">
        <v>600</v>
      </c>
      <c r="I391" s="26" t="n">
        <v>18</v>
      </c>
    </row>
    <row r="392" customFormat="false" ht="23.85" hidden="false" customHeight="false" outlineLevel="0" collapsed="false">
      <c r="A392" s="26" t="s">
        <v>324</v>
      </c>
      <c r="B392" s="26" t="n">
        <v>3311</v>
      </c>
      <c r="C392" s="26" t="s">
        <v>578</v>
      </c>
      <c r="D392" s="26" t="s">
        <v>599</v>
      </c>
      <c r="E392" s="26" t="s">
        <v>302</v>
      </c>
      <c r="F392" s="26" t="s">
        <v>303</v>
      </c>
      <c r="G392" s="26" t="s">
        <v>83</v>
      </c>
      <c r="H392" s="26" t="s">
        <v>600</v>
      </c>
      <c r="I392" s="26" t="n">
        <v>18</v>
      </c>
    </row>
    <row r="393" customFormat="false" ht="23.85" hidden="false" customHeight="false" outlineLevel="0" collapsed="false">
      <c r="A393" s="26" t="s">
        <v>327</v>
      </c>
      <c r="B393" s="26" t="n">
        <v>2511</v>
      </c>
      <c r="C393" s="26" t="s">
        <v>572</v>
      </c>
      <c r="D393" s="26" t="s">
        <v>599</v>
      </c>
      <c r="E393" s="26" t="s">
        <v>302</v>
      </c>
      <c r="F393" s="26" t="s">
        <v>303</v>
      </c>
      <c r="G393" s="26" t="s">
        <v>83</v>
      </c>
      <c r="H393" s="26" t="s">
        <v>600</v>
      </c>
      <c r="I393" s="26" t="n">
        <v>18</v>
      </c>
    </row>
    <row r="394" customFormat="false" ht="23.85" hidden="false" customHeight="false" outlineLevel="0" collapsed="false">
      <c r="A394" s="26" t="s">
        <v>329</v>
      </c>
      <c r="B394" s="26" t="n">
        <v>3209</v>
      </c>
      <c r="C394" s="26" t="s">
        <v>584</v>
      </c>
      <c r="D394" s="26" t="s">
        <v>599</v>
      </c>
      <c r="E394" s="26" t="s">
        <v>302</v>
      </c>
      <c r="F394" s="26" t="s">
        <v>303</v>
      </c>
      <c r="G394" s="26" t="s">
        <v>83</v>
      </c>
      <c r="H394" s="26" t="s">
        <v>600</v>
      </c>
      <c r="I394" s="26" t="n">
        <v>18</v>
      </c>
    </row>
    <row r="395" customFormat="false" ht="23.85" hidden="false" customHeight="false" outlineLevel="0" collapsed="false">
      <c r="A395" s="26" t="s">
        <v>331</v>
      </c>
      <c r="B395" s="26" t="n">
        <v>2712</v>
      </c>
      <c r="C395" s="26" t="s">
        <v>603</v>
      </c>
      <c r="D395" s="26" t="s">
        <v>599</v>
      </c>
      <c r="E395" s="26" t="s">
        <v>302</v>
      </c>
      <c r="F395" s="26" t="s">
        <v>303</v>
      </c>
      <c r="G395" s="26" t="s">
        <v>83</v>
      </c>
      <c r="H395" s="26" t="s">
        <v>600</v>
      </c>
      <c r="I395" s="26" t="n">
        <v>18</v>
      </c>
    </row>
    <row r="396" customFormat="false" ht="23.85" hidden="false" customHeight="false" outlineLevel="0" collapsed="false">
      <c r="A396" s="26" t="s">
        <v>334</v>
      </c>
      <c r="B396" s="26" t="n">
        <v>3015</v>
      </c>
      <c r="C396" s="26" t="s">
        <v>604</v>
      </c>
      <c r="D396" s="26" t="s">
        <v>599</v>
      </c>
      <c r="E396" s="26" t="s">
        <v>302</v>
      </c>
      <c r="F396" s="26" t="s">
        <v>303</v>
      </c>
      <c r="G396" s="26" t="s">
        <v>83</v>
      </c>
      <c r="H396" s="26" t="s">
        <v>600</v>
      </c>
      <c r="I396" s="26" t="n">
        <v>18</v>
      </c>
    </row>
    <row r="397" customFormat="false" ht="23.85" hidden="false" customHeight="false" outlineLevel="0" collapsed="false">
      <c r="A397" s="26" t="s">
        <v>352</v>
      </c>
      <c r="B397" s="26" t="n">
        <v>4112</v>
      </c>
      <c r="C397" s="26" t="s">
        <v>605</v>
      </c>
      <c r="D397" s="26" t="s">
        <v>599</v>
      </c>
      <c r="E397" s="26" t="s">
        <v>302</v>
      </c>
      <c r="F397" s="26" t="s">
        <v>303</v>
      </c>
      <c r="G397" s="26" t="s">
        <v>83</v>
      </c>
      <c r="H397" s="26" t="s">
        <v>600</v>
      </c>
      <c r="I397" s="26" t="n">
        <v>18</v>
      </c>
    </row>
  </sheetData>
  <autoFilter ref="A4:I397"/>
  <mergeCells count="2">
    <mergeCell ref="A1:I1"/>
    <mergeCell ref="A2:I2"/>
  </mergeCells>
  <conditionalFormatting sqref="G5:G397">
    <cfRule type="cellIs" priority="2" operator="equal" aboveAverage="0" equalAverage="0" bottom="0" percent="0" rank="0" text="" dxfId="8">
      <formula>"Alto"</formula>
    </cfRule>
    <cfRule type="cellIs" priority="3" operator="equal" aboveAverage="0" equalAverage="0" bottom="0" percent="0" rank="0" text="" dxfId="9">
      <formula>"Medio"</formula>
    </cfRule>
    <cfRule type="cellIs" priority="4" operator="equal" aboveAverage="0" equalAverage="0" bottom="0" percent="0" rank="0" text="" dxfId="12">
      <formula>"Bajo"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D4D4D"/>
    <pageSetUpPr fitToPage="true"/>
  </sheetPr>
  <dimension ref="A1:Q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40"/>
    <col collapsed="false" customWidth="true" hidden="false" outlineLevel="0" max="4" min="4" style="0" width="14"/>
    <col collapsed="false" customWidth="true" hidden="false" outlineLevel="0" max="5" min="5" style="0" width="13"/>
    <col collapsed="false" customWidth="true" hidden="false" outlineLevel="0" max="6" min="6" style="0" width="12"/>
    <col collapsed="false" customWidth="true" hidden="false" outlineLevel="0" max="7" min="7" style="0" width="14"/>
    <col collapsed="false" customWidth="true" hidden="false" outlineLevel="0" max="10" min="8" style="0" width="15"/>
    <col collapsed="false" customWidth="true" hidden="false" outlineLevel="0" max="11" min="11" style="0" width="36"/>
    <col collapsed="false" customWidth="true" hidden="false" outlineLevel="0" max="14" min="12" style="0" width="44"/>
    <col collapsed="false" customWidth="true" hidden="false" outlineLevel="0" max="15" min="15" style="0" width="36"/>
    <col collapsed="false" customWidth="true" hidden="false" outlineLevel="0" max="17" min="16" style="0" width="30"/>
  </cols>
  <sheetData>
    <row r="1" customFormat="false" ht="27.75" hidden="false" customHeight="true" outlineLevel="0" collapsed="false">
      <c r="A1" s="5" t="s">
        <v>606</v>
      </c>
      <c r="B1" s="5"/>
      <c r="C1" s="5"/>
      <c r="D1" s="5"/>
      <c r="E1" s="5"/>
      <c r="F1" s="5"/>
      <c r="G1" s="5"/>
      <c r="H1" s="5"/>
      <c r="I1" s="5"/>
      <c r="J1" s="5"/>
      <c r="K1" s="5"/>
      <c r="L1" s="5"/>
      <c r="M1" s="5"/>
      <c r="N1" s="5"/>
      <c r="O1" s="5"/>
      <c r="P1" s="5"/>
      <c r="Q1" s="5"/>
    </row>
    <row r="2" customFormat="false" ht="42" hidden="false" customHeight="true" outlineLevel="0" collapsed="false">
      <c r="A2" s="6" t="s">
        <v>607</v>
      </c>
      <c r="B2" s="6"/>
      <c r="C2" s="6"/>
      <c r="D2" s="6"/>
      <c r="E2" s="6"/>
      <c r="F2" s="6"/>
      <c r="G2" s="6"/>
      <c r="H2" s="6"/>
      <c r="I2" s="6"/>
      <c r="J2" s="6"/>
      <c r="K2" s="6"/>
      <c r="L2" s="6"/>
      <c r="M2" s="6"/>
      <c r="N2" s="6"/>
      <c r="O2" s="6"/>
      <c r="P2" s="6"/>
      <c r="Q2" s="6"/>
    </row>
    <row r="4" customFormat="false" ht="42" hidden="false" customHeight="true" outlineLevel="0" collapsed="false">
      <c r="A4" s="17" t="s">
        <v>608</v>
      </c>
      <c r="B4" s="17" t="s">
        <v>218</v>
      </c>
      <c r="C4" s="17" t="s">
        <v>609</v>
      </c>
      <c r="D4" s="17" t="s">
        <v>610</v>
      </c>
      <c r="E4" s="17" t="s">
        <v>611</v>
      </c>
      <c r="F4" s="17" t="s">
        <v>612</v>
      </c>
      <c r="G4" s="17" t="s">
        <v>613</v>
      </c>
      <c r="H4" s="17" t="s">
        <v>614</v>
      </c>
      <c r="I4" s="17" t="s">
        <v>615</v>
      </c>
      <c r="J4" s="17" t="s">
        <v>616</v>
      </c>
      <c r="K4" s="17" t="s">
        <v>617</v>
      </c>
      <c r="L4" s="17" t="s">
        <v>618</v>
      </c>
      <c r="M4" s="17" t="s">
        <v>619</v>
      </c>
      <c r="N4" s="17" t="s">
        <v>620</v>
      </c>
      <c r="O4" s="17" t="s">
        <v>621</v>
      </c>
      <c r="P4" s="17" t="s">
        <v>622</v>
      </c>
      <c r="Q4" s="17" t="s">
        <v>623</v>
      </c>
    </row>
    <row r="5" customFormat="false" ht="60" hidden="false" customHeight="true" outlineLevel="0" collapsed="false">
      <c r="A5" s="9" t="s">
        <v>624</v>
      </c>
      <c r="B5" s="26" t="s">
        <v>625</v>
      </c>
      <c r="C5" s="9" t="s">
        <v>626</v>
      </c>
      <c r="D5" s="9" t="s">
        <v>627</v>
      </c>
      <c r="E5" s="9" t="n">
        <v>325</v>
      </c>
      <c r="F5" s="9" t="n">
        <v>645</v>
      </c>
      <c r="G5" s="9" t="n">
        <v>3210</v>
      </c>
      <c r="H5" s="24" t="n">
        <f aca="false">IF(ISNUMBER(E5),E5*CONFIG!$B$4,E5)</f>
        <v>38125.75</v>
      </c>
      <c r="I5" s="24" t="n">
        <f aca="false">IF(ISNUMBER(F5),F5*CONFIG!$B$4,F5)</f>
        <v>75664.95</v>
      </c>
      <c r="J5" s="24" t="n">
        <f aca="false">IF(ISNUMBER(G5),G5*CONFIG!$B$4,G5)</f>
        <v>376565.1</v>
      </c>
      <c r="K5" s="26"/>
      <c r="L5" s="26" t="s">
        <v>628</v>
      </c>
      <c r="M5" s="26" t="s">
        <v>629</v>
      </c>
      <c r="N5" s="26" t="s">
        <v>630</v>
      </c>
      <c r="O5" s="26" t="s">
        <v>631</v>
      </c>
      <c r="P5" s="26" t="s">
        <v>632</v>
      </c>
      <c r="Q5" s="26" t="s">
        <v>633</v>
      </c>
    </row>
    <row r="6" customFormat="false" ht="60" hidden="false" customHeight="true" outlineLevel="0" collapsed="false">
      <c r="A6" s="9" t="s">
        <v>634</v>
      </c>
      <c r="B6" s="26" t="s">
        <v>635</v>
      </c>
      <c r="C6" s="9" t="s">
        <v>636</v>
      </c>
      <c r="D6" s="9" t="s">
        <v>627</v>
      </c>
      <c r="E6" s="9" t="n">
        <v>805</v>
      </c>
      <c r="F6" s="9" t="n">
        <v>1285</v>
      </c>
      <c r="G6" s="9" t="s">
        <v>637</v>
      </c>
      <c r="H6" s="24" t="n">
        <f aca="false">IF(ISNUMBER(E6),E6*CONFIG!$B$4,E6)</f>
        <v>94434.55</v>
      </c>
      <c r="I6" s="24" t="n">
        <f aca="false">IF(ISNUMBER(F6),F6*CONFIG!$B$4,F6)</f>
        <v>150743.35</v>
      </c>
      <c r="J6" s="24" t="str">
        <f aca="false">IF(ISNUMBER(G6),G6*CONFIG!$B$4,G6)</f>
        <v>No aplica</v>
      </c>
      <c r="K6" s="26"/>
      <c r="L6" s="26" t="s">
        <v>638</v>
      </c>
      <c r="M6" s="26" t="s">
        <v>639</v>
      </c>
      <c r="N6" s="26" t="s">
        <v>640</v>
      </c>
      <c r="O6" s="26" t="s">
        <v>641</v>
      </c>
      <c r="P6" s="26" t="s">
        <v>642</v>
      </c>
      <c r="Q6" s="26" t="s">
        <v>643</v>
      </c>
    </row>
    <row r="7" customFormat="false" ht="60" hidden="false" customHeight="true" outlineLevel="0" collapsed="false">
      <c r="A7" s="9" t="s">
        <v>634</v>
      </c>
      <c r="B7" s="26" t="s">
        <v>644</v>
      </c>
      <c r="C7" s="9" t="s">
        <v>645</v>
      </c>
      <c r="D7" s="9" t="s">
        <v>646</v>
      </c>
      <c r="E7" s="9" t="n">
        <v>645</v>
      </c>
      <c r="F7" s="9" t="n">
        <v>645</v>
      </c>
      <c r="G7" s="9" t="s">
        <v>637</v>
      </c>
      <c r="H7" s="24" t="n">
        <f aca="false">IF(ISNUMBER(E7),E7*CONFIG!$B$4,E7)</f>
        <v>75664.95</v>
      </c>
      <c r="I7" s="24" t="n">
        <f aca="false">IF(ISNUMBER(F7),F7*CONFIG!$B$4,F7)</f>
        <v>75664.95</v>
      </c>
      <c r="J7" s="24" t="str">
        <f aca="false">IF(ISNUMBER(G7),G7*CONFIG!$B$4,G7)</f>
        <v>No aplica</v>
      </c>
      <c r="K7" s="26"/>
      <c r="L7" s="26" t="s">
        <v>647</v>
      </c>
      <c r="M7" s="26" t="s">
        <v>648</v>
      </c>
      <c r="N7" s="26" t="s">
        <v>649</v>
      </c>
      <c r="O7" s="26" t="s">
        <v>650</v>
      </c>
      <c r="P7" s="26" t="s">
        <v>651</v>
      </c>
      <c r="Q7" s="26" t="s">
        <v>652</v>
      </c>
    </row>
    <row r="8" customFormat="false" ht="60" hidden="false" customHeight="true" outlineLevel="0" collapsed="false">
      <c r="A8" s="9" t="s">
        <v>653</v>
      </c>
      <c r="B8" s="26" t="s">
        <v>654</v>
      </c>
      <c r="C8" s="9" t="s">
        <v>655</v>
      </c>
      <c r="D8" s="9" t="s">
        <v>627</v>
      </c>
      <c r="E8" s="9" t="s">
        <v>656</v>
      </c>
      <c r="F8" s="9" t="n">
        <v>645</v>
      </c>
      <c r="G8" s="9" t="s">
        <v>637</v>
      </c>
      <c r="H8" s="24" t="str">
        <f aca="false">IF(ISNUMBER(E8),E8*CONFIG!$B$4,E8)</f>
        <v>Siempre</v>
      </c>
      <c r="I8" s="24" t="n">
        <f aca="false">IF(ISNUMBER(F8),F8*CONFIG!$B$4,F8)</f>
        <v>75664.95</v>
      </c>
      <c r="J8" s="24" t="str">
        <f aca="false">IF(ISNUMBER(G8),G8*CONFIG!$B$4,G8)</f>
        <v>No aplica</v>
      </c>
      <c r="K8" s="26"/>
      <c r="L8" s="26" t="s">
        <v>657</v>
      </c>
      <c r="M8" s="26" t="s">
        <v>658</v>
      </c>
      <c r="N8" s="26" t="s">
        <v>659</v>
      </c>
      <c r="O8" s="26" t="s">
        <v>660</v>
      </c>
      <c r="P8" s="26" t="s">
        <v>661</v>
      </c>
      <c r="Q8" s="26" t="s">
        <v>662</v>
      </c>
    </row>
    <row r="9" customFormat="false" ht="60" hidden="false" customHeight="true" outlineLevel="0" collapsed="false">
      <c r="A9" s="9" t="s">
        <v>663</v>
      </c>
      <c r="B9" s="26" t="s">
        <v>664</v>
      </c>
      <c r="C9" s="9" t="s">
        <v>665</v>
      </c>
      <c r="D9" s="9" t="s">
        <v>627</v>
      </c>
      <c r="E9" s="9" t="s">
        <v>656</v>
      </c>
      <c r="F9" s="9" t="n">
        <v>1605</v>
      </c>
      <c r="G9" s="9" t="s">
        <v>637</v>
      </c>
      <c r="H9" s="24" t="str">
        <f aca="false">IF(ISNUMBER(E9),E9*CONFIG!$B$4,E9)</f>
        <v>Siempre</v>
      </c>
      <c r="I9" s="24" t="n">
        <f aca="false">IF(ISNUMBER(F9),F9*CONFIG!$B$4,F9)</f>
        <v>188282.55</v>
      </c>
      <c r="J9" s="24" t="str">
        <f aca="false">IF(ISNUMBER(G9),G9*CONFIG!$B$4,G9)</f>
        <v>No aplica</v>
      </c>
      <c r="K9" s="26"/>
      <c r="L9" s="26" t="s">
        <v>666</v>
      </c>
      <c r="M9" s="26" t="s">
        <v>667</v>
      </c>
      <c r="N9" s="26" t="s">
        <v>668</v>
      </c>
      <c r="O9" s="26" t="s">
        <v>669</v>
      </c>
      <c r="P9" s="26" t="s">
        <v>670</v>
      </c>
      <c r="Q9" s="26" t="s">
        <v>671</v>
      </c>
    </row>
    <row r="10" customFormat="false" ht="60" hidden="false" customHeight="true" outlineLevel="0" collapsed="false">
      <c r="A10" s="9" t="s">
        <v>672</v>
      </c>
      <c r="B10" s="26" t="s">
        <v>673</v>
      </c>
      <c r="C10" s="9" t="s">
        <v>674</v>
      </c>
      <c r="D10" s="9" t="s">
        <v>627</v>
      </c>
      <c r="E10" s="9" t="s">
        <v>656</v>
      </c>
      <c r="F10" s="9" t="n">
        <v>8025</v>
      </c>
      <c r="G10" s="9" t="n">
        <v>8025</v>
      </c>
      <c r="H10" s="24" t="str">
        <f aca="false">IF(ISNUMBER(E10),E10*CONFIG!$B$4,E10)</f>
        <v>Siempre</v>
      </c>
      <c r="I10" s="24" t="n">
        <f aca="false">IF(ISNUMBER(F10),F10*CONFIG!$B$4,F10)</f>
        <v>941412.75</v>
      </c>
      <c r="J10" s="24" t="n">
        <f aca="false">IF(ISNUMBER(G10),G10*CONFIG!$B$4,G10)</f>
        <v>941412.75</v>
      </c>
      <c r="K10" s="26"/>
      <c r="L10" s="26" t="s">
        <v>675</v>
      </c>
      <c r="M10" s="26" t="s">
        <v>676</v>
      </c>
      <c r="N10" s="26" t="s">
        <v>677</v>
      </c>
      <c r="O10" s="26" t="s">
        <v>678</v>
      </c>
      <c r="P10" s="26" t="s">
        <v>679</v>
      </c>
      <c r="Q10" s="26" t="s">
        <v>680</v>
      </c>
    </row>
    <row r="11" customFormat="false" ht="60" hidden="false" customHeight="true" outlineLevel="0" collapsed="false">
      <c r="A11" s="9" t="s">
        <v>681</v>
      </c>
      <c r="B11" s="26" t="s">
        <v>682</v>
      </c>
      <c r="C11" s="9" t="s">
        <v>683</v>
      </c>
      <c r="D11" s="9" t="s">
        <v>627</v>
      </c>
      <c r="E11" s="9" t="s">
        <v>656</v>
      </c>
      <c r="F11" s="9" t="n">
        <v>8025</v>
      </c>
      <c r="G11" s="9" t="s">
        <v>637</v>
      </c>
      <c r="H11" s="24" t="str">
        <f aca="false">IF(ISNUMBER(E11),E11*CONFIG!$B$4,E11)</f>
        <v>Siempre</v>
      </c>
      <c r="I11" s="24" t="n">
        <f aca="false">IF(ISNUMBER(F11),F11*CONFIG!$B$4,F11)</f>
        <v>941412.75</v>
      </c>
      <c r="J11" s="24" t="str">
        <f aca="false">IF(ISNUMBER(G11),G11*CONFIG!$B$4,G11)</f>
        <v>No aplica</v>
      </c>
      <c r="K11" s="26" t="s">
        <v>684</v>
      </c>
      <c r="L11" s="26" t="s">
        <v>685</v>
      </c>
      <c r="M11" s="26" t="s">
        <v>686</v>
      </c>
      <c r="N11" s="26" t="s">
        <v>687</v>
      </c>
      <c r="O11" s="26" t="s">
        <v>688</v>
      </c>
      <c r="P11" s="26" t="s">
        <v>689</v>
      </c>
      <c r="Q11" s="26" t="s">
        <v>690</v>
      </c>
    </row>
    <row r="12" customFormat="false" ht="60" hidden="false" customHeight="true" outlineLevel="0" collapsed="false">
      <c r="A12" s="9" t="s">
        <v>691</v>
      </c>
      <c r="B12" s="26" t="s">
        <v>692</v>
      </c>
      <c r="C12" s="9" t="s">
        <v>135</v>
      </c>
      <c r="D12" s="9" t="s">
        <v>627</v>
      </c>
      <c r="E12" s="9" t="n">
        <v>805</v>
      </c>
      <c r="F12" s="9" t="n">
        <v>1605</v>
      </c>
      <c r="G12" s="9" t="n">
        <v>3210</v>
      </c>
      <c r="H12" s="24" t="n">
        <f aca="false">IF(ISNUMBER(E12),E12*CONFIG!$B$4,E12)</f>
        <v>94434.55</v>
      </c>
      <c r="I12" s="24" t="n">
        <f aca="false">IF(ISNUMBER(F12),F12*CONFIG!$B$4,F12)</f>
        <v>188282.55</v>
      </c>
      <c r="J12" s="24" t="n">
        <f aca="false">IF(ISNUMBER(G12),G12*CONFIG!$B$4,G12)</f>
        <v>376565.1</v>
      </c>
      <c r="K12" s="26" t="s">
        <v>693</v>
      </c>
      <c r="L12" s="26" t="s">
        <v>694</v>
      </c>
      <c r="M12" s="26" t="s">
        <v>695</v>
      </c>
      <c r="N12" s="26" t="s">
        <v>696</v>
      </c>
      <c r="O12" s="26" t="s">
        <v>697</v>
      </c>
      <c r="P12" s="26" t="s">
        <v>698</v>
      </c>
      <c r="Q12" s="26" t="s">
        <v>699</v>
      </c>
    </row>
    <row r="13" customFormat="false" ht="60" hidden="false" customHeight="true" outlineLevel="0" collapsed="false">
      <c r="A13" s="9" t="s">
        <v>700</v>
      </c>
      <c r="B13" s="26" t="s">
        <v>701</v>
      </c>
      <c r="C13" s="9" t="s">
        <v>702</v>
      </c>
      <c r="D13" s="9" t="s">
        <v>627</v>
      </c>
      <c r="E13" s="9" t="n">
        <v>2410</v>
      </c>
      <c r="F13" s="9" t="n">
        <v>4815</v>
      </c>
      <c r="G13" s="9" t="n">
        <v>3210</v>
      </c>
      <c r="H13" s="24" t="n">
        <f aca="false">IF(ISNUMBER(E13),E13*CONFIG!$B$4,E13)</f>
        <v>282717.1</v>
      </c>
      <c r="I13" s="24" t="n">
        <f aca="false">IF(ISNUMBER(F13),F13*CONFIG!$B$4,F13)</f>
        <v>564847.65</v>
      </c>
      <c r="J13" s="24" t="n">
        <f aca="false">IF(ISNUMBER(G13),G13*CONFIG!$B$4,G13)</f>
        <v>376565.1</v>
      </c>
      <c r="K13" s="26"/>
      <c r="L13" s="26" t="s">
        <v>703</v>
      </c>
      <c r="M13" s="26" t="s">
        <v>704</v>
      </c>
      <c r="N13" s="26" t="s">
        <v>705</v>
      </c>
      <c r="O13" s="26" t="s">
        <v>706</v>
      </c>
      <c r="P13" s="26" t="s">
        <v>707</v>
      </c>
      <c r="Q13" s="26" t="s">
        <v>708</v>
      </c>
    </row>
    <row r="14" customFormat="false" ht="60" hidden="false" customHeight="true" outlineLevel="0" collapsed="false">
      <c r="A14" s="9" t="s">
        <v>709</v>
      </c>
      <c r="B14" s="26" t="s">
        <v>710</v>
      </c>
      <c r="C14" s="9" t="s">
        <v>219</v>
      </c>
      <c r="D14" s="9" t="s">
        <v>627</v>
      </c>
      <c r="E14" s="9" t="n">
        <v>3210</v>
      </c>
      <c r="F14" s="9" t="n">
        <v>6420</v>
      </c>
      <c r="G14" s="9" t="n">
        <v>3210</v>
      </c>
      <c r="H14" s="24" t="n">
        <f aca="false">IF(ISNUMBER(E14),E14*CONFIG!$B$4,E14)</f>
        <v>376565.1</v>
      </c>
      <c r="I14" s="24" t="n">
        <f aca="false">IF(ISNUMBER(F14),F14*CONFIG!$B$4,F14)</f>
        <v>753130.2</v>
      </c>
      <c r="J14" s="24" t="n">
        <f aca="false">IF(ISNUMBER(G14),G14*CONFIG!$B$4,G14)</f>
        <v>376565.1</v>
      </c>
      <c r="K14" s="26"/>
      <c r="L14" s="26" t="s">
        <v>711</v>
      </c>
      <c r="M14" s="26" t="s">
        <v>712</v>
      </c>
      <c r="N14" s="26" t="s">
        <v>713</v>
      </c>
      <c r="O14" s="26" t="s">
        <v>714</v>
      </c>
      <c r="P14" s="26" t="s">
        <v>715</v>
      </c>
      <c r="Q14" s="26" t="s">
        <v>716</v>
      </c>
    </row>
    <row r="15" customFormat="false" ht="60" hidden="false" customHeight="true" outlineLevel="0" collapsed="false">
      <c r="A15" s="9" t="s">
        <v>717</v>
      </c>
      <c r="B15" s="26" t="s">
        <v>718</v>
      </c>
      <c r="C15" s="9" t="s">
        <v>719</v>
      </c>
      <c r="D15" s="9" t="s">
        <v>627</v>
      </c>
      <c r="E15" s="9" t="n">
        <v>2410</v>
      </c>
      <c r="F15" s="9" t="n">
        <v>4815</v>
      </c>
      <c r="G15" s="9" t="n">
        <v>3210</v>
      </c>
      <c r="H15" s="24" t="n">
        <f aca="false">IF(ISNUMBER(E15),E15*CONFIG!$B$4,E15)</f>
        <v>282717.1</v>
      </c>
      <c r="I15" s="24" t="n">
        <f aca="false">IF(ISNUMBER(F15),F15*CONFIG!$B$4,F15)</f>
        <v>564847.65</v>
      </c>
      <c r="J15" s="24" t="n">
        <f aca="false">IF(ISNUMBER(G15),G15*CONFIG!$B$4,G15)</f>
        <v>376565.1</v>
      </c>
      <c r="K15" s="26"/>
      <c r="L15" s="26" t="s">
        <v>720</v>
      </c>
      <c r="M15" s="26" t="s">
        <v>721</v>
      </c>
      <c r="N15" s="26" t="s">
        <v>722</v>
      </c>
      <c r="O15" s="26" t="s">
        <v>723</v>
      </c>
      <c r="P15" s="26" t="s">
        <v>724</v>
      </c>
      <c r="Q15" s="26" t="s">
        <v>725</v>
      </c>
    </row>
    <row r="16" customFormat="false" ht="60" hidden="false" customHeight="true" outlineLevel="0" collapsed="false">
      <c r="A16" s="9" t="s">
        <v>726</v>
      </c>
      <c r="B16" s="26" t="s">
        <v>727</v>
      </c>
      <c r="C16" s="9" t="s">
        <v>728</v>
      </c>
      <c r="D16" s="9" t="s">
        <v>627</v>
      </c>
      <c r="E16" s="9" t="s">
        <v>656</v>
      </c>
      <c r="F16" s="9" t="n">
        <v>3210</v>
      </c>
      <c r="G16" s="9" t="s">
        <v>637</v>
      </c>
      <c r="H16" s="24" t="str">
        <f aca="false">IF(ISNUMBER(E16),E16*CONFIG!$B$4,E16)</f>
        <v>Siempre</v>
      </c>
      <c r="I16" s="24" t="n">
        <f aca="false">IF(ISNUMBER(F16),F16*CONFIG!$B$4,F16)</f>
        <v>376565.1</v>
      </c>
      <c r="J16" s="24" t="str">
        <f aca="false">IF(ISNUMBER(G16),G16*CONFIG!$B$4,G16)</f>
        <v>No aplica</v>
      </c>
      <c r="K16" s="26" t="s">
        <v>729</v>
      </c>
      <c r="L16" s="26" t="s">
        <v>730</v>
      </c>
      <c r="M16" s="26" t="s">
        <v>731</v>
      </c>
      <c r="N16" s="26" t="s">
        <v>732</v>
      </c>
      <c r="O16" s="26" t="s">
        <v>733</v>
      </c>
      <c r="P16" s="26" t="s">
        <v>734</v>
      </c>
      <c r="Q16" s="26" t="s">
        <v>735</v>
      </c>
    </row>
    <row r="17" customFormat="false" ht="60" hidden="false" customHeight="true" outlineLevel="0" collapsed="false">
      <c r="A17" s="9" t="s">
        <v>736</v>
      </c>
      <c r="B17" s="26" t="s">
        <v>737</v>
      </c>
      <c r="C17" s="9" t="s">
        <v>738</v>
      </c>
      <c r="D17" s="9" t="s">
        <v>646</v>
      </c>
      <c r="E17" s="9" t="s">
        <v>656</v>
      </c>
      <c r="F17" s="9" t="s">
        <v>637</v>
      </c>
      <c r="G17" s="9" t="s">
        <v>637</v>
      </c>
      <c r="H17" s="24" t="str">
        <f aca="false">IF(ISNUMBER(E17),E17*CONFIG!$B$4,E17)</f>
        <v>Siempre</v>
      </c>
      <c r="I17" s="24" t="str">
        <f aca="false">IF(ISNUMBER(F17),F17*CONFIG!$B$4,F17)</f>
        <v>No aplica</v>
      </c>
      <c r="J17" s="24" t="str">
        <f aca="false">IF(ISNUMBER(G17),G17*CONFIG!$B$4,G17)</f>
        <v>No aplica</v>
      </c>
      <c r="K17" s="26" t="s">
        <v>739</v>
      </c>
      <c r="L17" s="26" t="s">
        <v>740</v>
      </c>
      <c r="M17" s="26" t="s">
        <v>741</v>
      </c>
      <c r="N17" s="26" t="s">
        <v>742</v>
      </c>
      <c r="O17" s="26" t="s">
        <v>743</v>
      </c>
      <c r="P17" s="26" t="s">
        <v>744</v>
      </c>
      <c r="Q17" s="26" t="s">
        <v>745</v>
      </c>
    </row>
    <row r="18" customFormat="false" ht="60" hidden="false" customHeight="true" outlineLevel="0" collapsed="false">
      <c r="A18" s="9" t="s">
        <v>736</v>
      </c>
      <c r="B18" s="26" t="s">
        <v>737</v>
      </c>
      <c r="C18" s="9" t="s">
        <v>746</v>
      </c>
      <c r="D18" s="9" t="s">
        <v>646</v>
      </c>
      <c r="E18" s="9" t="s">
        <v>656</v>
      </c>
      <c r="F18" s="9" t="s">
        <v>656</v>
      </c>
      <c r="G18" s="9" t="s">
        <v>637</v>
      </c>
      <c r="H18" s="24" t="str">
        <f aca="false">IF(ISNUMBER(E18),E18*CONFIG!$B$4,E18)</f>
        <v>Siempre</v>
      </c>
      <c r="I18" s="24" t="str">
        <f aca="false">IF(ISNUMBER(F18),F18*CONFIG!$B$4,F18)</f>
        <v>Siempre</v>
      </c>
      <c r="J18" s="24" t="str">
        <f aca="false">IF(ISNUMBER(G18),G18*CONFIG!$B$4,G18)</f>
        <v>No aplica</v>
      </c>
      <c r="K18" s="26" t="s">
        <v>747</v>
      </c>
      <c r="L18" s="26" t="s">
        <v>740</v>
      </c>
      <c r="M18" s="26" t="s">
        <v>741</v>
      </c>
      <c r="N18" s="26" t="s">
        <v>742</v>
      </c>
      <c r="O18" s="26" t="s">
        <v>743</v>
      </c>
      <c r="P18" s="26" t="s">
        <v>744</v>
      </c>
      <c r="Q18" s="26" t="s">
        <v>745</v>
      </c>
    </row>
    <row r="19" customFormat="false" ht="60" hidden="false" customHeight="true" outlineLevel="0" collapsed="false">
      <c r="A19" s="9" t="s">
        <v>748</v>
      </c>
      <c r="B19" s="26" t="s">
        <v>749</v>
      </c>
      <c r="C19" s="9" t="s">
        <v>750</v>
      </c>
      <c r="D19" s="9" t="s">
        <v>627</v>
      </c>
      <c r="E19" s="9" t="s">
        <v>656</v>
      </c>
      <c r="F19" s="9" t="n">
        <v>8000</v>
      </c>
      <c r="G19" s="9" t="n">
        <v>8025</v>
      </c>
      <c r="H19" s="24" t="str">
        <f aca="false">IF(ISNUMBER(E19),E19*CONFIG!$B$4,E19)</f>
        <v>Siempre</v>
      </c>
      <c r="I19" s="24" t="n">
        <f aca="false">IF(ISNUMBER(F19),F19*CONFIG!$B$4,F19)</f>
        <v>938480</v>
      </c>
      <c r="J19" s="24" t="n">
        <f aca="false">IF(ISNUMBER(G19),G19*CONFIG!$B$4,G19)</f>
        <v>941412.75</v>
      </c>
      <c r="K19" s="26" t="s">
        <v>751</v>
      </c>
      <c r="L19" s="26" t="s">
        <v>752</v>
      </c>
      <c r="M19" s="26" t="s">
        <v>753</v>
      </c>
      <c r="N19" s="26" t="s">
        <v>754</v>
      </c>
      <c r="O19" s="26" t="s">
        <v>755</v>
      </c>
      <c r="P19" s="26" t="s">
        <v>756</v>
      </c>
      <c r="Q19" s="26" t="s">
        <v>757</v>
      </c>
    </row>
    <row r="20" customFormat="false" ht="60" hidden="false" customHeight="true" outlineLevel="0" collapsed="false">
      <c r="A20" s="9" t="s">
        <v>748</v>
      </c>
      <c r="B20" s="26" t="s">
        <v>758</v>
      </c>
      <c r="C20" s="9" t="s">
        <v>759</v>
      </c>
      <c r="D20" s="9" t="s">
        <v>646</v>
      </c>
      <c r="E20" s="9" t="s">
        <v>656</v>
      </c>
      <c r="F20" s="9" t="s">
        <v>656</v>
      </c>
      <c r="G20" s="9" t="s">
        <v>637</v>
      </c>
      <c r="H20" s="24" t="str">
        <f aca="false">IF(ISNUMBER(E20),E20*CONFIG!$B$4,E20)</f>
        <v>Siempre</v>
      </c>
      <c r="I20" s="24" t="str">
        <f aca="false">IF(ISNUMBER(F20),F20*CONFIG!$B$4,F20)</f>
        <v>Siempre</v>
      </c>
      <c r="J20" s="24" t="str">
        <f aca="false">IF(ISNUMBER(G20),G20*CONFIG!$B$4,G20)</f>
        <v>No aplica</v>
      </c>
      <c r="K20" s="26"/>
      <c r="L20" s="26" t="s">
        <v>760</v>
      </c>
      <c r="M20" s="26" t="s">
        <v>761</v>
      </c>
      <c r="N20" s="26" t="s">
        <v>762</v>
      </c>
      <c r="O20" s="26" t="s">
        <v>763</v>
      </c>
      <c r="P20" s="26" t="s">
        <v>764</v>
      </c>
      <c r="Q20" s="26" t="s">
        <v>765</v>
      </c>
    </row>
    <row r="21" customFormat="false" ht="60" hidden="false" customHeight="true" outlineLevel="0" collapsed="false">
      <c r="A21" s="9" t="s">
        <v>748</v>
      </c>
      <c r="B21" s="26" t="s">
        <v>766</v>
      </c>
      <c r="C21" s="9" t="s">
        <v>767</v>
      </c>
      <c r="D21" s="9" t="s">
        <v>627</v>
      </c>
      <c r="E21" s="9" t="s">
        <v>656</v>
      </c>
      <c r="F21" s="9" t="s">
        <v>656</v>
      </c>
      <c r="G21" s="9" t="n">
        <v>3210</v>
      </c>
      <c r="H21" s="24" t="str">
        <f aca="false">IF(ISNUMBER(E21),E21*CONFIG!$B$4,E21)</f>
        <v>Siempre</v>
      </c>
      <c r="I21" s="24" t="str">
        <f aca="false">IF(ISNUMBER(F21),F21*CONFIG!$B$4,F21)</f>
        <v>Siempre</v>
      </c>
      <c r="J21" s="24" t="n">
        <f aca="false">IF(ISNUMBER(G21),G21*CONFIG!$B$4,G21)</f>
        <v>376565.1</v>
      </c>
      <c r="K21" s="26" t="s">
        <v>768</v>
      </c>
      <c r="L21" s="26" t="s">
        <v>769</v>
      </c>
      <c r="M21" s="26" t="s">
        <v>770</v>
      </c>
      <c r="N21" s="26" t="s">
        <v>771</v>
      </c>
      <c r="O21" s="26" t="s">
        <v>772</v>
      </c>
      <c r="P21" s="26" t="s">
        <v>773</v>
      </c>
      <c r="Q21" s="26" t="s">
        <v>774</v>
      </c>
    </row>
    <row r="22" customFormat="false" ht="60" hidden="false" customHeight="true" outlineLevel="0" collapsed="false">
      <c r="A22" s="9" t="s">
        <v>748</v>
      </c>
      <c r="B22" s="26" t="s">
        <v>775</v>
      </c>
      <c r="C22" s="9" t="s">
        <v>776</v>
      </c>
      <c r="D22" s="9" t="s">
        <v>627</v>
      </c>
      <c r="E22" s="9" t="s">
        <v>656</v>
      </c>
      <c r="F22" s="9" t="n">
        <v>4000</v>
      </c>
      <c r="G22" s="9" t="s">
        <v>637</v>
      </c>
      <c r="H22" s="24" t="str">
        <f aca="false">IF(ISNUMBER(E22),E22*CONFIG!$B$4,E22)</f>
        <v>Siempre</v>
      </c>
      <c r="I22" s="24" t="n">
        <f aca="false">IF(ISNUMBER(F22),F22*CONFIG!$B$4,F22)</f>
        <v>469240</v>
      </c>
      <c r="J22" s="24" t="str">
        <f aca="false">IF(ISNUMBER(G22),G22*CONFIG!$B$4,G22)</f>
        <v>No aplica</v>
      </c>
      <c r="K22" s="26" t="s">
        <v>777</v>
      </c>
      <c r="L22" s="26" t="s">
        <v>778</v>
      </c>
      <c r="M22" s="26" t="s">
        <v>779</v>
      </c>
      <c r="N22" s="26" t="s">
        <v>780</v>
      </c>
      <c r="O22" s="26" t="s">
        <v>781</v>
      </c>
      <c r="P22" s="26" t="s">
        <v>782</v>
      </c>
      <c r="Q22" s="26" t="s">
        <v>783</v>
      </c>
    </row>
    <row r="23" customFormat="false" ht="60" hidden="false" customHeight="true" outlineLevel="0" collapsed="false">
      <c r="A23" s="9" t="s">
        <v>748</v>
      </c>
      <c r="B23" s="26" t="s">
        <v>784</v>
      </c>
      <c r="C23" s="9" t="s">
        <v>785</v>
      </c>
      <c r="D23" s="9" t="s">
        <v>646</v>
      </c>
      <c r="E23" s="9" t="s">
        <v>656</v>
      </c>
      <c r="F23" s="9" t="s">
        <v>656</v>
      </c>
      <c r="G23" s="9" t="s">
        <v>637</v>
      </c>
      <c r="H23" s="24" t="str">
        <f aca="false">IF(ISNUMBER(E23),E23*CONFIG!$B$4,E23)</f>
        <v>Siempre</v>
      </c>
      <c r="I23" s="24" t="str">
        <f aca="false">IF(ISNUMBER(F23),F23*CONFIG!$B$4,F23)</f>
        <v>Siempre</v>
      </c>
      <c r="J23" s="24" t="str">
        <f aca="false">IF(ISNUMBER(G23),G23*CONFIG!$B$4,G23)</f>
        <v>No aplica</v>
      </c>
      <c r="K23" s="26"/>
      <c r="L23" s="26" t="s">
        <v>786</v>
      </c>
      <c r="M23" s="26" t="s">
        <v>787</v>
      </c>
      <c r="N23" s="26" t="s">
        <v>788</v>
      </c>
      <c r="O23" s="26" t="s">
        <v>789</v>
      </c>
      <c r="P23" s="26" t="s">
        <v>790</v>
      </c>
      <c r="Q23" s="26" t="s">
        <v>791</v>
      </c>
    </row>
    <row r="24" customFormat="false" ht="60" hidden="false" customHeight="true" outlineLevel="0" collapsed="false">
      <c r="A24" s="9" t="s">
        <v>748</v>
      </c>
      <c r="B24" s="26" t="s">
        <v>792</v>
      </c>
      <c r="C24" s="9" t="s">
        <v>793</v>
      </c>
      <c r="D24" s="9" t="s">
        <v>646</v>
      </c>
      <c r="E24" s="9" t="n">
        <v>8025</v>
      </c>
      <c r="F24" s="9" t="n">
        <v>8025</v>
      </c>
      <c r="G24" s="9" t="s">
        <v>637</v>
      </c>
      <c r="H24" s="24" t="n">
        <f aca="false">IF(ISNUMBER(E24),E24*CONFIG!$B$4,E24)</f>
        <v>941412.75</v>
      </c>
      <c r="I24" s="24" t="n">
        <f aca="false">IF(ISNUMBER(F24),F24*CONFIG!$B$4,F24)</f>
        <v>941412.75</v>
      </c>
      <c r="J24" s="24" t="str">
        <f aca="false">IF(ISNUMBER(G24),G24*CONFIG!$B$4,G24)</f>
        <v>No aplica</v>
      </c>
      <c r="K24" s="26" t="s">
        <v>794</v>
      </c>
      <c r="L24" s="26" t="s">
        <v>795</v>
      </c>
      <c r="M24" s="26" t="s">
        <v>796</v>
      </c>
      <c r="N24" s="26" t="s">
        <v>797</v>
      </c>
      <c r="O24" s="26" t="s">
        <v>798</v>
      </c>
      <c r="P24" s="26" t="s">
        <v>799</v>
      </c>
      <c r="Q24" s="26" t="s">
        <v>800</v>
      </c>
    </row>
    <row r="25" customFormat="false" ht="60" hidden="false" customHeight="true" outlineLevel="0" collapsed="false">
      <c r="A25" s="9" t="s">
        <v>748</v>
      </c>
      <c r="B25" s="26" t="s">
        <v>801</v>
      </c>
      <c r="C25" s="9" t="s">
        <v>802</v>
      </c>
      <c r="D25" s="9" t="s">
        <v>646</v>
      </c>
      <c r="E25" s="9" t="s">
        <v>656</v>
      </c>
      <c r="F25" s="9" t="s">
        <v>656</v>
      </c>
      <c r="G25" s="9" t="s">
        <v>637</v>
      </c>
      <c r="H25" s="24" t="str">
        <f aca="false">IF(ISNUMBER(E25),E25*CONFIG!$B$4,E25)</f>
        <v>Siempre</v>
      </c>
      <c r="I25" s="24" t="str">
        <f aca="false">IF(ISNUMBER(F25),F25*CONFIG!$B$4,F25)</f>
        <v>Siempre</v>
      </c>
      <c r="J25" s="24" t="str">
        <f aca="false">IF(ISNUMBER(G25),G25*CONFIG!$B$4,G25)</f>
        <v>No aplica</v>
      </c>
      <c r="K25" s="26"/>
      <c r="L25" s="26" t="s">
        <v>803</v>
      </c>
      <c r="M25" s="26" t="s">
        <v>804</v>
      </c>
      <c r="N25" s="26" t="s">
        <v>805</v>
      </c>
      <c r="O25" s="26" t="s">
        <v>806</v>
      </c>
      <c r="P25" s="26" t="s">
        <v>807</v>
      </c>
      <c r="Q25" s="26" t="s">
        <v>808</v>
      </c>
    </row>
    <row r="26" customFormat="false" ht="60" hidden="false" customHeight="true" outlineLevel="0" collapsed="false">
      <c r="A26" s="9" t="s">
        <v>748</v>
      </c>
      <c r="B26" s="26" t="s">
        <v>809</v>
      </c>
      <c r="C26" s="9" t="s">
        <v>810</v>
      </c>
      <c r="D26" s="9" t="s">
        <v>646</v>
      </c>
      <c r="E26" s="9" t="s">
        <v>656</v>
      </c>
      <c r="F26" s="9" t="s">
        <v>656</v>
      </c>
      <c r="G26" s="9" t="s">
        <v>637</v>
      </c>
      <c r="H26" s="24" t="str">
        <f aca="false">IF(ISNUMBER(E26),E26*CONFIG!$B$4,E26)</f>
        <v>Siempre</v>
      </c>
      <c r="I26" s="24" t="str">
        <f aca="false">IF(ISNUMBER(F26),F26*CONFIG!$B$4,F26)</f>
        <v>Siempre</v>
      </c>
      <c r="J26" s="24" t="str">
        <f aca="false">IF(ISNUMBER(G26),G26*CONFIG!$B$4,G26)</f>
        <v>No aplica</v>
      </c>
      <c r="K26" s="26"/>
      <c r="L26" s="26" t="s">
        <v>811</v>
      </c>
      <c r="M26" s="26" t="s">
        <v>812</v>
      </c>
      <c r="N26" s="26" t="s">
        <v>813</v>
      </c>
      <c r="O26" s="26" t="s">
        <v>814</v>
      </c>
      <c r="P26" s="26" t="s">
        <v>815</v>
      </c>
      <c r="Q26" s="26" t="s">
        <v>816</v>
      </c>
    </row>
    <row r="27" customFormat="false" ht="60" hidden="false" customHeight="true" outlineLevel="0" collapsed="false">
      <c r="A27" s="9" t="s">
        <v>748</v>
      </c>
      <c r="B27" s="26" t="s">
        <v>817</v>
      </c>
      <c r="C27" s="9" t="s">
        <v>818</v>
      </c>
      <c r="D27" s="9" t="s">
        <v>646</v>
      </c>
      <c r="E27" s="9" t="s">
        <v>656</v>
      </c>
      <c r="F27" s="9" t="s">
        <v>656</v>
      </c>
      <c r="G27" s="9" t="s">
        <v>637</v>
      </c>
      <c r="H27" s="24" t="str">
        <f aca="false">IF(ISNUMBER(E27),E27*CONFIG!$B$4,E27)</f>
        <v>Siempre</v>
      </c>
      <c r="I27" s="24" t="str">
        <f aca="false">IF(ISNUMBER(F27),F27*CONFIG!$B$4,F27)</f>
        <v>Siempre</v>
      </c>
      <c r="J27" s="24" t="str">
        <f aca="false">IF(ISNUMBER(G27),G27*CONFIG!$B$4,G27)</f>
        <v>No aplica</v>
      </c>
      <c r="K27" s="26"/>
      <c r="L27" s="26" t="s">
        <v>819</v>
      </c>
      <c r="M27" s="26" t="s">
        <v>820</v>
      </c>
      <c r="N27" s="26" t="s">
        <v>821</v>
      </c>
      <c r="O27" s="26" t="s">
        <v>822</v>
      </c>
      <c r="P27" s="26" t="s">
        <v>823</v>
      </c>
      <c r="Q27" s="26" t="s">
        <v>824</v>
      </c>
    </row>
    <row r="28" customFormat="false" ht="60" hidden="false" customHeight="true" outlineLevel="0" collapsed="false">
      <c r="A28" s="9" t="s">
        <v>748</v>
      </c>
      <c r="B28" s="26" t="s">
        <v>825</v>
      </c>
      <c r="C28" s="9" t="s">
        <v>826</v>
      </c>
      <c r="D28" s="9" t="s">
        <v>627</v>
      </c>
      <c r="E28" s="9" t="s">
        <v>656</v>
      </c>
      <c r="F28" s="9" t="n">
        <v>8000</v>
      </c>
      <c r="G28" s="9" t="n">
        <v>8025</v>
      </c>
      <c r="H28" s="24" t="str">
        <f aca="false">IF(ISNUMBER(E28),E28*CONFIG!$B$4,E28)</f>
        <v>Siempre</v>
      </c>
      <c r="I28" s="24" t="n">
        <f aca="false">IF(ISNUMBER(F28),F28*CONFIG!$B$4,F28)</f>
        <v>938480</v>
      </c>
      <c r="J28" s="24" t="n">
        <f aca="false">IF(ISNUMBER(G28),G28*CONFIG!$B$4,G28)</f>
        <v>941412.75</v>
      </c>
      <c r="K28" s="26" t="s">
        <v>827</v>
      </c>
      <c r="L28" s="26" t="s">
        <v>828</v>
      </c>
      <c r="M28" s="26" t="s">
        <v>829</v>
      </c>
      <c r="N28" s="26" t="s">
        <v>830</v>
      </c>
      <c r="O28" s="26" t="s">
        <v>831</v>
      </c>
      <c r="P28" s="26" t="s">
        <v>832</v>
      </c>
      <c r="Q28" s="26" t="s">
        <v>833</v>
      </c>
    </row>
    <row r="29" customFormat="false" ht="60" hidden="false" customHeight="true" outlineLevel="0" collapsed="false">
      <c r="A29" s="9" t="s">
        <v>748</v>
      </c>
      <c r="B29" s="26" t="s">
        <v>834</v>
      </c>
      <c r="C29" s="9" t="s">
        <v>835</v>
      </c>
      <c r="D29" s="9" t="s">
        <v>627</v>
      </c>
      <c r="E29" s="9" t="s">
        <v>656</v>
      </c>
      <c r="F29" s="9" t="s">
        <v>656</v>
      </c>
      <c r="G29" s="9" t="s">
        <v>637</v>
      </c>
      <c r="H29" s="24" t="str">
        <f aca="false">IF(ISNUMBER(E29),E29*CONFIG!$B$4,E29)</f>
        <v>Siempre</v>
      </c>
      <c r="I29" s="24" t="str">
        <f aca="false">IF(ISNUMBER(F29),F29*CONFIG!$B$4,F29)</f>
        <v>Siempre</v>
      </c>
      <c r="J29" s="24" t="str">
        <f aca="false">IF(ISNUMBER(G29),G29*CONFIG!$B$4,G29)</f>
        <v>No aplica</v>
      </c>
      <c r="K29" s="26" t="s">
        <v>836</v>
      </c>
      <c r="L29" s="26" t="s">
        <v>760</v>
      </c>
      <c r="M29" s="26" t="s">
        <v>761</v>
      </c>
      <c r="N29" s="26" t="s">
        <v>762</v>
      </c>
      <c r="O29" s="26" t="s">
        <v>763</v>
      </c>
      <c r="P29" s="26" t="s">
        <v>764</v>
      </c>
      <c r="Q29" s="26" t="s">
        <v>765</v>
      </c>
    </row>
    <row r="30" customFormat="false" ht="60" hidden="false" customHeight="true" outlineLevel="0" collapsed="false">
      <c r="A30" s="9" t="s">
        <v>748</v>
      </c>
      <c r="B30" s="26" t="s">
        <v>834</v>
      </c>
      <c r="C30" s="9" t="s">
        <v>837</v>
      </c>
      <c r="D30" s="9" t="s">
        <v>627</v>
      </c>
      <c r="E30" s="9" t="s">
        <v>656</v>
      </c>
      <c r="F30" s="9" t="s">
        <v>656</v>
      </c>
      <c r="G30" s="9" t="n">
        <v>3210</v>
      </c>
      <c r="H30" s="24" t="str">
        <f aca="false">IF(ISNUMBER(E30),E30*CONFIG!$B$4,E30)</f>
        <v>Siempre</v>
      </c>
      <c r="I30" s="24" t="str">
        <f aca="false">IF(ISNUMBER(F30),F30*CONFIG!$B$4,F30)</f>
        <v>Siempre</v>
      </c>
      <c r="J30" s="24" t="n">
        <f aca="false">IF(ISNUMBER(G30),G30*CONFIG!$B$4,G30)</f>
        <v>376565.1</v>
      </c>
      <c r="K30" s="26" t="s">
        <v>836</v>
      </c>
      <c r="L30" s="26" t="s">
        <v>769</v>
      </c>
      <c r="M30" s="26" t="s">
        <v>770</v>
      </c>
      <c r="N30" s="26" t="s">
        <v>771</v>
      </c>
      <c r="O30" s="26" t="s">
        <v>772</v>
      </c>
      <c r="P30" s="26" t="s">
        <v>773</v>
      </c>
      <c r="Q30" s="26" t="s">
        <v>774</v>
      </c>
    </row>
    <row r="31" customFormat="false" ht="60" hidden="false" customHeight="true" outlineLevel="0" collapsed="false">
      <c r="A31" s="9" t="s">
        <v>748</v>
      </c>
      <c r="B31" s="26" t="s">
        <v>834</v>
      </c>
      <c r="C31" s="9" t="s">
        <v>838</v>
      </c>
      <c r="D31" s="9" t="s">
        <v>627</v>
      </c>
      <c r="E31" s="9" t="s">
        <v>656</v>
      </c>
      <c r="F31" s="9" t="n">
        <v>4000</v>
      </c>
      <c r="G31" s="9" t="s">
        <v>637</v>
      </c>
      <c r="H31" s="24" t="str">
        <f aca="false">IF(ISNUMBER(E31),E31*CONFIG!$B$4,E31)</f>
        <v>Siempre</v>
      </c>
      <c r="I31" s="24" t="n">
        <f aca="false">IF(ISNUMBER(F31),F31*CONFIG!$B$4,F31)</f>
        <v>469240</v>
      </c>
      <c r="J31" s="24" t="str">
        <f aca="false">IF(ISNUMBER(G31),G31*CONFIG!$B$4,G31)</f>
        <v>No aplica</v>
      </c>
      <c r="K31" s="26" t="s">
        <v>836</v>
      </c>
      <c r="L31" s="26" t="s">
        <v>778</v>
      </c>
      <c r="M31" s="26" t="s">
        <v>779</v>
      </c>
      <c r="N31" s="26" t="s">
        <v>780</v>
      </c>
      <c r="O31" s="26" t="s">
        <v>781</v>
      </c>
      <c r="P31" s="26" t="s">
        <v>782</v>
      </c>
      <c r="Q31" s="26" t="s">
        <v>783</v>
      </c>
    </row>
    <row r="32" customFormat="false" ht="60" hidden="false" customHeight="true" outlineLevel="0" collapsed="false">
      <c r="A32" s="9" t="s">
        <v>748</v>
      </c>
      <c r="B32" s="26" t="s">
        <v>834</v>
      </c>
      <c r="C32" s="9" t="s">
        <v>839</v>
      </c>
      <c r="D32" s="9" t="s">
        <v>627</v>
      </c>
      <c r="E32" s="9" t="s">
        <v>656</v>
      </c>
      <c r="F32" s="9" t="s">
        <v>656</v>
      </c>
      <c r="G32" s="9" t="s">
        <v>637</v>
      </c>
      <c r="H32" s="24" t="str">
        <f aca="false">IF(ISNUMBER(E32),E32*CONFIG!$B$4,E32)</f>
        <v>Siempre</v>
      </c>
      <c r="I32" s="24" t="str">
        <f aca="false">IF(ISNUMBER(F32),F32*CONFIG!$B$4,F32)</f>
        <v>Siempre</v>
      </c>
      <c r="J32" s="24" t="str">
        <f aca="false">IF(ISNUMBER(G32),G32*CONFIG!$B$4,G32)</f>
        <v>No aplica</v>
      </c>
      <c r="K32" s="26" t="s">
        <v>836</v>
      </c>
      <c r="L32" s="26" t="s">
        <v>786</v>
      </c>
      <c r="M32" s="26" t="s">
        <v>787</v>
      </c>
      <c r="N32" s="26" t="s">
        <v>788</v>
      </c>
      <c r="O32" s="26" t="s">
        <v>789</v>
      </c>
      <c r="P32" s="26" t="s">
        <v>790</v>
      </c>
      <c r="Q32" s="26" t="s">
        <v>791</v>
      </c>
    </row>
    <row r="33" customFormat="false" ht="60" hidden="false" customHeight="true" outlineLevel="0" collapsed="false">
      <c r="A33" s="9" t="s">
        <v>840</v>
      </c>
      <c r="B33" s="26" t="s">
        <v>841</v>
      </c>
      <c r="C33" s="9" t="s">
        <v>842</v>
      </c>
      <c r="D33" s="9" t="s">
        <v>627</v>
      </c>
      <c r="E33" s="9" t="n">
        <v>1605</v>
      </c>
      <c r="F33" s="9" t="n">
        <v>3210</v>
      </c>
      <c r="G33" s="9" t="s">
        <v>637</v>
      </c>
      <c r="H33" s="24" t="n">
        <f aca="false">IF(ISNUMBER(E33),E33*CONFIG!$B$4,E33)</f>
        <v>188282.55</v>
      </c>
      <c r="I33" s="24" t="n">
        <f aca="false">IF(ISNUMBER(F33),F33*CONFIG!$B$4,F33)</f>
        <v>376565.1</v>
      </c>
      <c r="J33" s="24" t="str">
        <f aca="false">IF(ISNUMBER(G33),G33*CONFIG!$B$4,G33)</f>
        <v>No aplica</v>
      </c>
      <c r="K33" s="26"/>
      <c r="L33" s="26" t="s">
        <v>843</v>
      </c>
      <c r="M33" s="26" t="s">
        <v>844</v>
      </c>
      <c r="N33" s="26" t="s">
        <v>845</v>
      </c>
      <c r="O33" s="26" t="s">
        <v>846</v>
      </c>
      <c r="P33" s="26" t="s">
        <v>847</v>
      </c>
      <c r="Q33" s="26" t="s">
        <v>848</v>
      </c>
    </row>
    <row r="34" customFormat="false" ht="60" hidden="false" customHeight="true" outlineLevel="0" collapsed="false">
      <c r="A34" s="9" t="s">
        <v>849</v>
      </c>
      <c r="B34" s="26" t="s">
        <v>850</v>
      </c>
      <c r="C34" s="9" t="s">
        <v>851</v>
      </c>
      <c r="D34" s="9" t="s">
        <v>646</v>
      </c>
      <c r="E34" s="9" t="n">
        <v>485</v>
      </c>
      <c r="F34" s="9" t="n">
        <v>485</v>
      </c>
      <c r="G34" s="9" t="s">
        <v>637</v>
      </c>
      <c r="H34" s="24" t="n">
        <f aca="false">IF(ISNUMBER(E34),E34*CONFIG!$B$4,E34)</f>
        <v>56895.35</v>
      </c>
      <c r="I34" s="24" t="n">
        <f aca="false">IF(ISNUMBER(F34),F34*CONFIG!$B$4,F34)</f>
        <v>56895.35</v>
      </c>
      <c r="J34" s="24" t="str">
        <f aca="false">IF(ISNUMBER(G34),G34*CONFIG!$B$4,G34)</f>
        <v>No aplica</v>
      </c>
      <c r="K34" s="26" t="s">
        <v>852</v>
      </c>
      <c r="L34" s="26" t="s">
        <v>853</v>
      </c>
      <c r="M34" s="26" t="s">
        <v>854</v>
      </c>
      <c r="N34" s="26" t="s">
        <v>855</v>
      </c>
      <c r="O34" s="26" t="s">
        <v>856</v>
      </c>
      <c r="P34" s="26" t="s">
        <v>857</v>
      </c>
      <c r="Q34" s="26" t="s">
        <v>858</v>
      </c>
    </row>
    <row r="35" customFormat="false" ht="60" hidden="false" customHeight="true" outlineLevel="0" collapsed="false">
      <c r="A35" s="9" t="s">
        <v>849</v>
      </c>
      <c r="B35" s="26" t="s">
        <v>859</v>
      </c>
      <c r="C35" s="9" t="s">
        <v>860</v>
      </c>
      <c r="D35" s="9" t="s">
        <v>646</v>
      </c>
      <c r="E35" s="9" t="n">
        <v>4815</v>
      </c>
      <c r="F35" s="9" t="n">
        <v>4815</v>
      </c>
      <c r="G35" s="9" t="s">
        <v>637</v>
      </c>
      <c r="H35" s="24" t="n">
        <f aca="false">IF(ISNUMBER(E35),E35*CONFIG!$B$4,E35)</f>
        <v>564847.65</v>
      </c>
      <c r="I35" s="24" t="n">
        <f aca="false">IF(ISNUMBER(F35),F35*CONFIG!$B$4,F35)</f>
        <v>564847.65</v>
      </c>
      <c r="J35" s="24" t="str">
        <f aca="false">IF(ISNUMBER(G35),G35*CONFIG!$B$4,G35)</f>
        <v>No aplica</v>
      </c>
      <c r="K35" s="26" t="s">
        <v>852</v>
      </c>
      <c r="L35" s="26" t="s">
        <v>861</v>
      </c>
      <c r="M35" s="26" t="s">
        <v>862</v>
      </c>
      <c r="N35" s="26" t="s">
        <v>863</v>
      </c>
      <c r="O35" s="26" t="s">
        <v>864</v>
      </c>
      <c r="P35" s="26" t="s">
        <v>865</v>
      </c>
      <c r="Q35" s="26" t="s">
        <v>866</v>
      </c>
    </row>
    <row r="36" customFormat="false" ht="60" hidden="false" customHeight="true" outlineLevel="0" collapsed="false">
      <c r="A36" s="9" t="s">
        <v>849</v>
      </c>
      <c r="B36" s="26" t="s">
        <v>867</v>
      </c>
      <c r="C36" s="9" t="s">
        <v>868</v>
      </c>
      <c r="D36" s="9" t="s">
        <v>646</v>
      </c>
      <c r="E36" s="9" t="s">
        <v>656</v>
      </c>
      <c r="F36" s="9" t="s">
        <v>656</v>
      </c>
      <c r="G36" s="9" t="s">
        <v>637</v>
      </c>
      <c r="H36" s="24" t="str">
        <f aca="false">IF(ISNUMBER(E36),E36*CONFIG!$B$4,E36)</f>
        <v>Siempre</v>
      </c>
      <c r="I36" s="24" t="str">
        <f aca="false">IF(ISNUMBER(F36),F36*CONFIG!$B$4,F36)</f>
        <v>Siempre</v>
      </c>
      <c r="J36" s="24" t="str">
        <f aca="false">IF(ISNUMBER(G36),G36*CONFIG!$B$4,G36)</f>
        <v>No aplica</v>
      </c>
      <c r="K36" s="26" t="s">
        <v>869</v>
      </c>
      <c r="L36" s="26" t="s">
        <v>870</v>
      </c>
      <c r="M36" s="26" t="s">
        <v>871</v>
      </c>
      <c r="N36" s="26" t="s">
        <v>872</v>
      </c>
      <c r="O36" s="26" t="s">
        <v>873</v>
      </c>
      <c r="P36" s="26" t="s">
        <v>874</v>
      </c>
      <c r="Q36" s="26" t="s">
        <v>858</v>
      </c>
    </row>
    <row r="37" customFormat="false" ht="60" hidden="false" customHeight="true" outlineLevel="0" collapsed="false">
      <c r="A37" s="9" t="s">
        <v>875</v>
      </c>
      <c r="B37" s="26" t="s">
        <v>876</v>
      </c>
      <c r="C37" s="9" t="s">
        <v>877</v>
      </c>
      <c r="D37" s="9" t="s">
        <v>627</v>
      </c>
      <c r="E37" s="9" t="n">
        <v>1605</v>
      </c>
      <c r="F37" s="9" t="n">
        <v>3210</v>
      </c>
      <c r="G37" s="9" t="n">
        <v>3210</v>
      </c>
      <c r="H37" s="24" t="n">
        <f aca="false">IF(ISNUMBER(E37),E37*CONFIG!$B$4,E37)</f>
        <v>188282.55</v>
      </c>
      <c r="I37" s="24" t="n">
        <f aca="false">IF(ISNUMBER(F37),F37*CONFIG!$B$4,F37)</f>
        <v>376565.1</v>
      </c>
      <c r="J37" s="24" t="n">
        <f aca="false">IF(ISNUMBER(G37),G37*CONFIG!$B$4,G37)</f>
        <v>376565.1</v>
      </c>
      <c r="K37" s="26"/>
      <c r="L37" s="26" t="s">
        <v>878</v>
      </c>
      <c r="M37" s="26" t="s">
        <v>879</v>
      </c>
      <c r="N37" s="26" t="s">
        <v>880</v>
      </c>
      <c r="O37" s="26" t="s">
        <v>881</v>
      </c>
      <c r="P37" s="26" t="s">
        <v>882</v>
      </c>
      <c r="Q37" s="26" t="s">
        <v>883</v>
      </c>
    </row>
    <row r="38" customFormat="false" ht="60" hidden="false" customHeight="true" outlineLevel="0" collapsed="false">
      <c r="A38" s="9" t="s">
        <v>884</v>
      </c>
      <c r="B38" s="26" t="s">
        <v>885</v>
      </c>
      <c r="C38" s="9" t="s">
        <v>886</v>
      </c>
      <c r="D38" s="9" t="s">
        <v>627</v>
      </c>
      <c r="E38" s="9" t="s">
        <v>656</v>
      </c>
      <c r="F38" s="9" t="n">
        <v>210</v>
      </c>
      <c r="G38" s="9" t="s">
        <v>637</v>
      </c>
      <c r="H38" s="24" t="str">
        <f aca="false">IF(ISNUMBER(E38),E38*CONFIG!$B$4,E38)</f>
        <v>Siempre</v>
      </c>
      <c r="I38" s="24" t="n">
        <f aca="false">IF(ISNUMBER(F38),F38*CONFIG!$B$4,F38)</f>
        <v>24635.1</v>
      </c>
      <c r="J38" s="24" t="str">
        <f aca="false">IF(ISNUMBER(G38),G38*CONFIG!$B$4,G38)</f>
        <v>No aplica</v>
      </c>
      <c r="K38" s="26" t="s">
        <v>887</v>
      </c>
      <c r="L38" s="26" t="s">
        <v>888</v>
      </c>
      <c r="M38" s="26" t="s">
        <v>889</v>
      </c>
      <c r="N38" s="26" t="s">
        <v>890</v>
      </c>
      <c r="O38" s="26" t="s">
        <v>891</v>
      </c>
      <c r="P38" s="26" t="s">
        <v>892</v>
      </c>
      <c r="Q38" s="26" t="s">
        <v>893</v>
      </c>
    </row>
    <row r="39" customFormat="false" ht="60" hidden="false" customHeight="true" outlineLevel="0" collapsed="false">
      <c r="A39" s="9" t="s">
        <v>884</v>
      </c>
      <c r="B39" s="26" t="s">
        <v>894</v>
      </c>
      <c r="C39" s="9" t="s">
        <v>895</v>
      </c>
      <c r="D39" s="9" t="s">
        <v>646</v>
      </c>
      <c r="E39" s="9" t="s">
        <v>656</v>
      </c>
      <c r="F39" s="9" t="n">
        <v>4</v>
      </c>
      <c r="G39" s="9" t="s">
        <v>637</v>
      </c>
      <c r="H39" s="24" t="str">
        <f aca="false">IF(ISNUMBER(E39),E39*CONFIG!$B$4,E39)</f>
        <v>Siempre</v>
      </c>
      <c r="I39" s="24" t="n">
        <f aca="false">IF(ISNUMBER(F39),F39*CONFIG!$B$4,F39)</f>
        <v>469.24</v>
      </c>
      <c r="J39" s="24" t="str">
        <f aca="false">IF(ISNUMBER(G39),G39*CONFIG!$B$4,G39)</f>
        <v>No aplica</v>
      </c>
      <c r="K39" s="26" t="s">
        <v>896</v>
      </c>
      <c r="L39" s="26" t="s">
        <v>897</v>
      </c>
      <c r="M39" s="26" t="s">
        <v>898</v>
      </c>
      <c r="N39" s="26" t="s">
        <v>899</v>
      </c>
      <c r="O39" s="26" t="s">
        <v>900</v>
      </c>
      <c r="P39" s="26" t="s">
        <v>901</v>
      </c>
      <c r="Q39" s="26" t="s">
        <v>902</v>
      </c>
    </row>
  </sheetData>
  <autoFilter ref="A4:Q39"/>
  <mergeCells count="2">
    <mergeCell ref="A1:Q1"/>
    <mergeCell ref="A2:Q2"/>
  </mergeCells>
  <conditionalFormatting sqref="D5:D39">
    <cfRule type="cellIs" priority="2" operator="equal" aboveAverage="0" equalAverage="0" bottom="0" percent="0" rank="0" text="" dxfId="12">
      <formula>"ACUMULA"</formula>
    </cfRule>
    <cfRule type="cellIs" priority="3" operator="equal" aboveAverage="0" equalAverage="0" bottom="0" percent="0" rank="0" text="" dxfId="15">
      <formula>"NO ACUMULA"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D4D4D"/>
    <pageSetUpPr fitToPage="tru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4"/>
    <col collapsed="false" customWidth="true" hidden="false" outlineLevel="0" max="5" min="4" style="0" width="30"/>
    <col collapsed="false" customWidth="true" hidden="false" outlineLevel="0" max="6" min="6" style="0" width="10"/>
    <col collapsed="false" customWidth="true" hidden="false" outlineLevel="0" max="7" min="7" style="0" width="3"/>
    <col collapsed="false" customWidth="true" hidden="false" outlineLevel="0" max="8" min="8" style="0" width="10"/>
    <col collapsed="false" customWidth="true" hidden="false" outlineLevel="0" max="9" min="9" style="0" width="14"/>
  </cols>
  <sheetData>
    <row r="1" customFormat="false" ht="27.75" hidden="false" customHeight="true" outlineLevel="0" collapsed="false">
      <c r="A1" s="5" t="s">
        <v>903</v>
      </c>
      <c r="B1" s="5"/>
      <c r="C1" s="5"/>
      <c r="D1" s="5"/>
      <c r="E1" s="5"/>
      <c r="F1" s="5"/>
    </row>
    <row r="2" customFormat="false" ht="42" hidden="false" customHeight="true" outlineLevel="0" collapsed="false">
      <c r="A2" s="6" t="s">
        <v>904</v>
      </c>
      <c r="B2" s="6"/>
      <c r="C2" s="6"/>
      <c r="D2" s="6"/>
      <c r="E2" s="6"/>
      <c r="F2" s="6"/>
    </row>
    <row r="3" customFormat="false" ht="15" hidden="false" customHeight="false" outlineLevel="0" collapsed="false">
      <c r="A3" s="40" t="s">
        <v>905</v>
      </c>
      <c r="D3" s="40" t="s">
        <v>906</v>
      </c>
      <c r="H3" s="40" t="s">
        <v>907</v>
      </c>
    </row>
    <row r="4" customFormat="false" ht="15" hidden="false" customHeight="false" outlineLevel="0" collapsed="false">
      <c r="A4" s="35" t="s">
        <v>908</v>
      </c>
      <c r="B4" s="41" t="n">
        <f aca="false">IFERROR(INDEX($I$5:$I$14,MATCH(IF(MONTH(B6)=1,YEAR(B6)-1,YEAR(B6)),$H$5:$H$14,0)),0)</f>
        <v>117.31</v>
      </c>
      <c r="D4" s="17" t="s">
        <v>909</v>
      </c>
      <c r="E4" s="17" t="s">
        <v>910</v>
      </c>
      <c r="F4" s="17" t="s">
        <v>911</v>
      </c>
      <c r="H4" s="17" t="s">
        <v>912</v>
      </c>
      <c r="I4" s="17" t="s">
        <v>913</v>
      </c>
    </row>
    <row r="5" customFormat="false" ht="15" hidden="false" customHeight="false" outlineLevel="0" collapsed="false">
      <c r="A5" s="35" t="s">
        <v>914</v>
      </c>
      <c r="B5" s="20"/>
      <c r="D5" s="9" t="s">
        <v>141</v>
      </c>
      <c r="E5" s="9" t="s">
        <v>915</v>
      </c>
      <c r="F5" s="42" t="n">
        <v>1</v>
      </c>
      <c r="H5" s="43" t="n">
        <v>2021</v>
      </c>
      <c r="I5" s="44" t="n">
        <v>89.62</v>
      </c>
    </row>
    <row r="6" customFormat="false" ht="15" hidden="false" customHeight="false" outlineLevel="0" collapsed="false">
      <c r="A6" s="35" t="s">
        <v>916</v>
      </c>
      <c r="B6" s="45" t="n">
        <f aca="true">IF(ISNUMBER(B5),B5,TODAY())</f>
        <v>46286</v>
      </c>
      <c r="D6" s="9" t="s">
        <v>141</v>
      </c>
      <c r="E6" s="9" t="s">
        <v>172</v>
      </c>
      <c r="F6" s="42" t="n">
        <v>2</v>
      </c>
      <c r="H6" s="43" t="n">
        <v>2022</v>
      </c>
      <c r="I6" s="44" t="n">
        <v>96.22</v>
      </c>
    </row>
    <row r="7" customFormat="false" ht="15" hidden="false" customHeight="false" outlineLevel="0" collapsed="false">
      <c r="A7" s="35" t="s">
        <v>917</v>
      </c>
      <c r="B7" s="21"/>
      <c r="D7" s="9" t="s">
        <v>141</v>
      </c>
      <c r="E7" s="9" t="s">
        <v>918</v>
      </c>
      <c r="F7" s="42" t="n">
        <v>3</v>
      </c>
      <c r="H7" s="43" t="n">
        <v>2023</v>
      </c>
      <c r="I7" s="44" t="n">
        <v>103.74</v>
      </c>
    </row>
    <row r="8" customFormat="false" ht="15" hidden="false" customHeight="false" outlineLevel="0" collapsed="false">
      <c r="A8" s="35" t="s">
        <v>142</v>
      </c>
      <c r="B8" s="21"/>
      <c r="D8" s="9" t="s">
        <v>143</v>
      </c>
      <c r="E8" s="9" t="s">
        <v>174</v>
      </c>
      <c r="F8" s="42" t="n">
        <v>0</v>
      </c>
      <c r="H8" s="43" t="n">
        <v>2024</v>
      </c>
      <c r="I8" s="44" t="n">
        <v>108.57</v>
      </c>
    </row>
    <row r="9" customFormat="false" ht="15" hidden="false" customHeight="false" outlineLevel="0" collapsed="false">
      <c r="A9" s="35" t="s">
        <v>919</v>
      </c>
      <c r="B9" s="21"/>
      <c r="D9" s="9" t="s">
        <v>143</v>
      </c>
      <c r="E9" s="9" t="s">
        <v>920</v>
      </c>
      <c r="F9" s="42" t="n">
        <v>2</v>
      </c>
      <c r="H9" s="43" t="n">
        <v>2025</v>
      </c>
      <c r="I9" s="44" t="n">
        <v>113.14</v>
      </c>
    </row>
    <row r="10" customFormat="false" ht="15" hidden="false" customHeight="false" outlineLevel="0" collapsed="false">
      <c r="A10" s="35" t="s">
        <v>921</v>
      </c>
      <c r="B10" s="42" t="n">
        <v>2026</v>
      </c>
      <c r="D10" s="9" t="s">
        <v>144</v>
      </c>
      <c r="E10" s="9" t="s">
        <v>175</v>
      </c>
      <c r="F10" s="42" t="n">
        <v>0</v>
      </c>
      <c r="H10" s="43" t="n">
        <v>2026</v>
      </c>
      <c r="I10" s="44" t="n">
        <v>117.31</v>
      </c>
    </row>
    <row r="11" customFormat="false" ht="15" hidden="false" customHeight="false" outlineLevel="0" collapsed="false">
      <c r="A11" s="35" t="s">
        <v>922</v>
      </c>
      <c r="B11" s="20"/>
      <c r="D11" s="9" t="s">
        <v>144</v>
      </c>
      <c r="E11" s="9" t="s">
        <v>923</v>
      </c>
      <c r="F11" s="42" t="n">
        <v>1</v>
      </c>
      <c r="H11" s="43" t="n">
        <v>2027</v>
      </c>
      <c r="I11" s="44"/>
    </row>
    <row r="12" customFormat="false" ht="15" hidden="false" customHeight="false" outlineLevel="0" collapsed="false">
      <c r="A12" s="40" t="s">
        <v>924</v>
      </c>
      <c r="D12" s="9" t="s">
        <v>925</v>
      </c>
      <c r="E12" s="9" t="s">
        <v>137</v>
      </c>
      <c r="F12" s="42" t="n">
        <v>0</v>
      </c>
      <c r="H12" s="43" t="n">
        <v>2028</v>
      </c>
      <c r="I12" s="44"/>
    </row>
    <row r="13" customFormat="false" ht="15" hidden="false" customHeight="false" outlineLevel="0" collapsed="false">
      <c r="A13" s="35" t="s">
        <v>926</v>
      </c>
      <c r="B13" s="42" t="n">
        <v>3</v>
      </c>
      <c r="D13" s="9" t="s">
        <v>925</v>
      </c>
      <c r="E13" s="9" t="s">
        <v>177</v>
      </c>
      <c r="F13" s="42" t="n">
        <v>3</v>
      </c>
      <c r="H13" s="43" t="n">
        <v>2029</v>
      </c>
      <c r="I13" s="44"/>
    </row>
    <row r="14" customFormat="false" ht="15" hidden="false" customHeight="false" outlineLevel="0" collapsed="false">
      <c r="A14" s="35" t="s">
        <v>927</v>
      </c>
      <c r="B14" s="42" t="n">
        <v>7</v>
      </c>
      <c r="D14" s="9" t="s">
        <v>146</v>
      </c>
      <c r="E14" s="9" t="s">
        <v>137</v>
      </c>
      <c r="F14" s="42" t="n">
        <v>0</v>
      </c>
      <c r="H14" s="43" t="n">
        <v>2030</v>
      </c>
      <c r="I14" s="44"/>
    </row>
    <row r="15" customFormat="false" ht="15" hidden="false" customHeight="true" outlineLevel="0" collapsed="false">
      <c r="D15" s="9" t="s">
        <v>146</v>
      </c>
      <c r="E15" s="9" t="s">
        <v>928</v>
      </c>
      <c r="F15" s="42" t="n">
        <v>3</v>
      </c>
      <c r="H15" s="34" t="s">
        <v>929</v>
      </c>
      <c r="I15" s="34"/>
    </row>
    <row r="16" customFormat="false" ht="15" hidden="false" customHeight="false" outlineLevel="0" collapsed="false">
      <c r="A16" s="35" t="s">
        <v>930</v>
      </c>
      <c r="B16" s="42" t="n">
        <v>6</v>
      </c>
      <c r="D16" s="9" t="s">
        <v>146</v>
      </c>
      <c r="E16" s="9" t="s">
        <v>923</v>
      </c>
      <c r="F16" s="42" t="n">
        <v>5</v>
      </c>
      <c r="H16" s="34"/>
      <c r="I16" s="34"/>
    </row>
    <row r="17" customFormat="false" ht="15" hidden="false" customHeight="false" outlineLevel="0" collapsed="false">
      <c r="A17" s="35" t="s">
        <v>931</v>
      </c>
      <c r="B17" s="42" t="n">
        <v>6</v>
      </c>
      <c r="D17" s="9" t="s">
        <v>932</v>
      </c>
      <c r="E17" s="9" t="s">
        <v>137</v>
      </c>
      <c r="F17" s="42" t="n">
        <v>0</v>
      </c>
      <c r="H17" s="34"/>
      <c r="I17" s="34"/>
    </row>
    <row r="18" customFormat="false" ht="15" hidden="false" customHeight="false" outlineLevel="0" collapsed="false">
      <c r="A18" s="35" t="s">
        <v>933</v>
      </c>
      <c r="B18" s="42" t="n">
        <v>3</v>
      </c>
      <c r="D18" s="9" t="s">
        <v>932</v>
      </c>
      <c r="E18" s="9" t="s">
        <v>177</v>
      </c>
      <c r="F18" s="42" t="n">
        <v>10</v>
      </c>
      <c r="H18" s="34"/>
      <c r="I18" s="34"/>
    </row>
    <row r="19" customFormat="false" ht="15" hidden="false" customHeight="false" outlineLevel="0" collapsed="false">
      <c r="D19" s="9" t="s">
        <v>148</v>
      </c>
      <c r="E19" s="9" t="s">
        <v>81</v>
      </c>
      <c r="F19" s="42" t="n">
        <v>0</v>
      </c>
      <c r="H19" s="34"/>
      <c r="I19" s="34"/>
    </row>
    <row r="20" customFormat="false" ht="15" hidden="false" customHeight="false" outlineLevel="0" collapsed="false">
      <c r="A20" s="35" t="s">
        <v>934</v>
      </c>
      <c r="B20" s="42" t="n">
        <v>3</v>
      </c>
      <c r="D20" s="9" t="s">
        <v>148</v>
      </c>
      <c r="E20" s="9" t="s">
        <v>82</v>
      </c>
      <c r="F20" s="42" t="n">
        <v>2</v>
      </c>
    </row>
    <row r="21" customFormat="false" ht="15" hidden="false" customHeight="false" outlineLevel="0" collapsed="false">
      <c r="A21" s="35" t="s">
        <v>935</v>
      </c>
      <c r="B21" s="42" t="n">
        <v>1</v>
      </c>
      <c r="D21" s="9" t="s">
        <v>148</v>
      </c>
      <c r="E21" s="9" t="s">
        <v>83</v>
      </c>
      <c r="F21" s="42" t="n">
        <v>4</v>
      </c>
    </row>
    <row r="22" customFormat="false" ht="15" hidden="false" customHeight="false" outlineLevel="0" collapsed="false">
      <c r="A22" s="35" t="s">
        <v>936</v>
      </c>
      <c r="B22" s="42" t="n">
        <v>2</v>
      </c>
      <c r="D22" s="9" t="s">
        <v>149</v>
      </c>
      <c r="E22" s="9" t="s">
        <v>176</v>
      </c>
      <c r="F22" s="42" t="n">
        <v>0</v>
      </c>
    </row>
    <row r="23" customFormat="false" ht="15" hidden="false" customHeight="false" outlineLevel="0" collapsed="false">
      <c r="A23" s="35" t="s">
        <v>937</v>
      </c>
      <c r="B23" s="42" t="n">
        <v>2</v>
      </c>
      <c r="D23" s="9" t="s">
        <v>149</v>
      </c>
      <c r="E23" s="9" t="s">
        <v>938</v>
      </c>
      <c r="F23" s="42" t="n">
        <v>1</v>
      </c>
    </row>
    <row r="24" customFormat="false" ht="15" hidden="false" customHeight="false" outlineLevel="0" collapsed="false">
      <c r="D24" s="9" t="s">
        <v>150</v>
      </c>
      <c r="E24" s="9" t="s">
        <v>177</v>
      </c>
      <c r="F24" s="42" t="n">
        <v>0</v>
      </c>
    </row>
    <row r="25" customFormat="false" ht="15" hidden="false" customHeight="false" outlineLevel="0" collapsed="false">
      <c r="D25" s="9" t="s">
        <v>150</v>
      </c>
      <c r="E25" s="9" t="s">
        <v>939</v>
      </c>
      <c r="F25" s="42" t="n">
        <v>2</v>
      </c>
    </row>
    <row r="26" customFormat="false" ht="15" hidden="false" customHeight="false" outlineLevel="0" collapsed="false">
      <c r="D26" s="9" t="s">
        <v>150</v>
      </c>
      <c r="E26" s="9" t="s">
        <v>137</v>
      </c>
      <c r="F26" s="42" t="n">
        <v>4</v>
      </c>
    </row>
    <row r="28" customFormat="false" ht="39.75" hidden="false" customHeight="true" outlineLevel="0" collapsed="false">
      <c r="D28" s="34" t="s">
        <v>940</v>
      </c>
      <c r="E28" s="34"/>
      <c r="F28" s="34"/>
    </row>
  </sheetData>
  <mergeCells count="4">
    <mergeCell ref="A1:F1"/>
    <mergeCell ref="A2:F2"/>
    <mergeCell ref="H15:I19"/>
    <mergeCell ref="D28:F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2026-09-21T19:47:38Z</dcterms:created>
  <dc:creator>openpyxl</dc:creator>
  <dc:description/>
  <dc:language>en-US</dc:language>
  <cp:lastModifiedBy/>
  <dcterms:modified xsi:type="dcterms:W3CDTF">2026-09-21T19:47:43Z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