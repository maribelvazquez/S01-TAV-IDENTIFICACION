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ÉEME" sheetId="1" state="visible" r:id="rId3"/>
    <sheet name="Umbrales y calculadora" sheetId="2" state="visible" r:id="rId4"/>
    <sheet name="Fecha del acto" sheetId="3" state="visible" r:id="rId5"/>
    <sheet name="Fundamento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<sst xmlns="http://schemas.openxmlformats.org/spreadsheetml/2006/main" count="274" uniqueCount="243">
  <si>
    <t xml:space="preserve">Efectivo, umbrales y avisos</t>
  </si>
  <si>
    <t xml:space="preserve">Anexo de la sesión 4 · Taller Antilavado 360 · 8 de septiembre de 2026 · GMC360 / 360Educa. No es una de las nueve plantillas del kit: es material de apoyo.</t>
  </si>
  <si>
    <t xml:space="preserve">Las tres bases de cálculo, que es de lo que trata este archivo</t>
  </si>
  <si>
    <t xml:space="preserve">El mismo acto u operación se mide de tres maneras distintas, y todas salen del artículo 6 del Reglamento. Confundirlas es el error más caro y más silencioso del régimen.</t>
  </si>
  <si>
    <t xml:space="preserve">1. Para saber si IDENTIFICA o si AVISA (artículo 17 de la Ley): el monto va SIN contribuciones ni accesorios.</t>
  </si>
  <si>
    <t xml:space="preserve">2. Para LLENAR el Aviso: se reportan los montos totales de los pagos recibidos, INCLUIDAS las contribuciones, sin desglosarlas.</t>
  </si>
  <si>
    <t xml:space="preserve">3. Para saber si está PROHIBIDO EL EFECTIVO (artículo 32 de la Ley): el monto va CON contribuciones y accesorios.</t>
  </si>
  <si>
    <t xml:space="preserve">Consecuencia: un mismo acto puede quedar por debajo del umbral de aviso y por encima del tope de efectivo. La hoja «Umbrales y calculadora» lo demuestra con sus propios números.</t>
  </si>
  <si>
    <t xml:space="preserve">Para comercio exterior hay una base propia: el artículo 6, párrafo segundo, del Reglamento manda considerar el valor en aduana de las mercancías.</t>
  </si>
  <si>
    <t xml:space="preserve">Lo que hay que saber del artículo 32</t>
  </si>
  <si>
    <t xml:space="preserve">Es el único artículo de esta Ley que no pregunta si usted es sujeto obligado. Prohíbe pagar y también ACEPTAR el pago. Le aplica a usted y le aplica a su cliente.</t>
  </si>
  <si>
    <t xml:space="preserve">La prohibición se observa cuando el acto individual se paga en una o en varias exhibiciones, y también cuando un conjunto de actos lo paga una sola persona: artículo 42, fracciones I y II, del Reglamento. Fraccionar no sirve.</t>
  </si>
  <si>
    <t xml:space="preserve">Si la operación se cancela y hay que devolver, la devolución va en la misma forma de pago y en la misma moneda: artículo 43 del Reglamento.</t>
  </si>
  <si>
    <t xml:space="preserve">La sanción es la más alta del catálogo: L 53 fr. VII con L 54 fr. III, de 10,000 a 65,000 veces la UMA, o del 10 al 100 % del valor del acto cuando sea cuantificable, la que resulte mayor.</t>
  </si>
  <si>
    <t xml:space="preserve">Y desde el 1 de junio de 2027, vigilar el uso de efectivo y metales preciosos es una de las seis funciones que debe cumplir el mecanismo automatizado: RCG 41 fr. VI. Dejó de ser una regla de mostrador.</t>
  </si>
  <si>
    <t xml:space="preserve">Una advertencia sobre esta herramienta</t>
  </si>
  <si>
    <t xml:space="preserve">Los umbrales de la hoja de referencia se transcribieron del artículo 17 de la Ley (última reforma DOF 16-07-2025) y de su artículo 32. Antes de usarla para decidir una operación concreta, coteje la fracción que le toca contra el texto vigente. Una herramienta de apoyo no sustituye la lectura de la norma.</t>
  </si>
  <si>
    <t xml:space="preserve">El valor diario de la UMA es una celda que usted actualiza. El archivo se entrega con el valor de 2026: $117.31, vigente desde el 1 de febrero de 2026.</t>
  </si>
  <si>
    <t xml:space="preserve">Umbrales por fracción y la prueba de las tres bases</t>
  </si>
  <si>
    <t xml:space="preserve">Elija su fracción, escriba el monto sin impuestos y las contribuciones. El archivo contesta las tres preguntas.</t>
  </si>
  <si>
    <t xml:space="preserve">Las celdas con fondo amarillo son las que usted llena. Las demás son referencia o se calculan solas.</t>
  </si>
  <si>
    <t xml:space="preserve">Valor diario de la UMA</t>
  </si>
  <si>
    <t xml:space="preserve">UMA 2026, vigente desde el 1 de febrero de 2026. Actualícela cada año.</t>
  </si>
  <si>
    <t xml:space="preserve">Dato que usted escribe</t>
  </si>
  <si>
    <t xml:space="preserve">Valor</t>
  </si>
  <si>
    <t xml:space="preserve">Resultado</t>
  </si>
  <si>
    <t xml:space="preserve">Respuesta</t>
  </si>
  <si>
    <t xml:space="preserve">Fracción del artículo 17 que realiza</t>
  </si>
  <si>
    <t xml:space="preserve">17-VIII · Vehículos aéreos, marítimos o terrestres, nuevos o usados</t>
  </si>
  <si>
    <t xml:space="preserve">Monto del acto u operación SIN contribuciones ni accesorios</t>
  </si>
  <si>
    <t xml:space="preserve">Contribuciones y accesorios de ese acto (IVA, ISAI, derechos)</t>
  </si>
  <si>
    <t xml:space="preserve">Base 1 · Monto que se mide para identificar y para avisar</t>
  </si>
  <si>
    <t xml:space="preserve">Sin contribuciones. R 6, primer párrafo.</t>
  </si>
  <si>
    <t xml:space="preserve">Umbral de IDENTIFICACIÓN de su fracción</t>
  </si>
  <si>
    <t xml:space="preserve">En pesos, con la UMA de arriba.</t>
  </si>
  <si>
    <t xml:space="preserve">¿Tiene que IDENTIFICAR?</t>
  </si>
  <si>
    <t xml:space="preserve">R 7, tercer párrafo: sin umbral de identificación, se acumula todo.</t>
  </si>
  <si>
    <t xml:space="preserve">Umbral de AVISO de su fracción</t>
  </si>
  <si>
    <t xml:space="preserve">En pesos.</t>
  </si>
  <si>
    <t xml:space="preserve">¿Tiene que AVISAR?</t>
  </si>
  <si>
    <t xml:space="preserve">L 23: el Aviso va a más tardar el día 17 del mes siguiente.</t>
  </si>
  <si>
    <t xml:space="preserve">Base 2 · Monto que se REPORTA al llenar el Aviso</t>
  </si>
  <si>
    <t xml:space="preserve">Con contribuciones, sin desglosar. R 6, primer párrafo, segunda parte.</t>
  </si>
  <si>
    <t xml:space="preserve">Base 3 · Monto que se mide para el tope de efectivo</t>
  </si>
  <si>
    <t xml:space="preserve">Con contribuciones y accesorios. R 6, tercer párrafo.</t>
  </si>
  <si>
    <t xml:space="preserve">Tope de efectivo aplicable (artículo 32)</t>
  </si>
  <si>
    <t xml:space="preserve">¿Está PROHIBIDO pagarlo en efectivo?</t>
  </si>
  <si>
    <t xml:space="preserve">L 32. Sanción del L 53 fr. VII con L 54 fr. III.</t>
  </si>
  <si>
    <t xml:space="preserve">El archivo se entrega con un ejemplo cargado: un vehículo de $340,000 más $54,400 de IVA. Está por DEBAJO del umbral de identificación de su fracción y por ENCIMA del tope de efectivo. El mismo coche, el mismo día, el mismo cliente, y la diferencia entre las dos respuestas es un impuesto.</t>
  </si>
  <si>
    <t xml:space="preserve">Fracción del artículo 17</t>
  </si>
  <si>
    <t xml:space="preserve">Actividad</t>
  </si>
  <si>
    <t xml:space="preserve">Umbral de identificación (UMA)</t>
  </si>
  <si>
    <t xml:space="preserve">Umbral de aviso (UMA)</t>
  </si>
  <si>
    <t xml:space="preserve">Tope de efectivo del art. 32 (UMA)</t>
  </si>
  <si>
    <t xml:space="preserve">Fracción del art. 32</t>
  </si>
  <si>
    <t xml:space="preserve">Nota</t>
  </si>
  <si>
    <t xml:space="preserve">17-I · Juegos con apuesta, concursos y sorteos</t>
  </si>
  <si>
    <t xml:space="preserve">Venta de boletos, pago de premios y operaciones financieras vinculadas</t>
  </si>
  <si>
    <t xml:space="preserve">IV</t>
  </si>
  <si>
    <t xml:space="preserve">R 21 Bis: se suman las operaciones vinculadas en apariencia con el mismo cliente en 24 horas, desde 325 UMA</t>
  </si>
  <si>
    <t xml:space="preserve">17-II a) · Tarjetas de servicios o de crédito</t>
  </si>
  <si>
    <t xml:space="preserve">Emisión o comercialización, distinta a la de Entidades Financieras</t>
  </si>
  <si>
    <t xml:space="preserve">El acto u operación es el gasto mensual acumulado de la cuenta: RCG 24 Bis 1</t>
  </si>
  <si>
    <t xml:space="preserve">17-II b) · Tarjetas prepagadas</t>
  </si>
  <si>
    <t xml:space="preserve">Comercialización o abono de recursos, por operación</t>
  </si>
  <si>
    <t xml:space="preserve">El umbral de identificación y el de aviso coinciden</t>
  </si>
  <si>
    <t xml:space="preserve">17-II c) · Instrumentos de almacenamiento de valor monetario</t>
  </si>
  <si>
    <t xml:space="preserve">Emisión, comercialización o abono, por operación</t>
  </si>
  <si>
    <t xml:space="preserve">R 22 amplía el concepto a vales, cupones y monederos electrónicos</t>
  </si>
  <si>
    <t xml:space="preserve">17-III · Cheques de viajero</t>
  </si>
  <si>
    <t xml:space="preserve">Emisión y comercialización habitual o profesional</t>
  </si>
  <si>
    <t xml:space="preserve">Sin umbral de identificación: se identifica siempre</t>
  </si>
  <si>
    <t xml:space="preserve">17-IV · Mutuo, garantía, préstamos o créditos</t>
  </si>
  <si>
    <t xml:space="preserve">Ofrecimiento habitual o profesional por sujetos distintos a Entidades Financieras</t>
  </si>
  <si>
    <t xml:space="preserve">RCG 27 Bis fr. I y II: hay supuestos que no son objeto de Aviso</t>
  </si>
  <si>
    <t xml:space="preserve">17-V · Construcción, desarrollo o intermediación inmobiliaria</t>
  </si>
  <si>
    <t xml:space="preserve">Con operaciones de compra o venta de los propios bienes</t>
  </si>
  <si>
    <t xml:space="preserve">I</t>
  </si>
  <si>
    <t xml:space="preserve">RCG 27 Bis fr. III: la primera venta con recursos de banca de desarrollo pagada por el sistema financiero no es objeto de Aviso</t>
  </si>
  <si>
    <t xml:space="preserve">17-V Bis · Recepción de recursos para un Desarrollo Inmobiliario</t>
  </si>
  <si>
    <t xml:space="preserve">Cuya finalidad sea su venta o renta</t>
  </si>
  <si>
    <t xml:space="preserve">RCG 24 Bis fr. IV: la fecha es la de la última aportación del mes calendario</t>
  </si>
  <si>
    <t xml:space="preserve">17-VI · Metales y piedras preciosas, joyas y relojes</t>
  </si>
  <si>
    <t xml:space="preserve">Comercialización o intermediación habitual o profesional</t>
  </si>
  <si>
    <t xml:space="preserve">III</t>
  </si>
  <si>
    <t xml:space="preserve">Excepto cuando intervenga el Banco de México</t>
  </si>
  <si>
    <t xml:space="preserve">17-VII · Obras de arte</t>
  </si>
  <si>
    <t xml:space="preserve">Subasta o comercialización habitual o profesional</t>
  </si>
  <si>
    <t xml:space="preserve">Comercialización o distribución habitual o profesional</t>
  </si>
  <si>
    <t xml:space="preserve">II</t>
  </si>
  <si>
    <t xml:space="preserve">RCG 27 Bis fr. IV: la venta de la armadora a su distribuidor pagada por el sistema financiero no es objeto de Aviso</t>
  </si>
  <si>
    <t xml:space="preserve">17-IX · Blindaje de vehículos terrestres o de inmuebles</t>
  </si>
  <si>
    <t xml:space="preserve">Prestación habitual o profesional</t>
  </si>
  <si>
    <t xml:space="preserve">V</t>
  </si>
  <si>
    <t xml:space="preserve">17-X · Traslado o custodia de dinero o valores</t>
  </si>
  <si>
    <t xml:space="preserve">Si no es posible determinar el monto, se avisa en todos los casos. R 28 define qué son valores</t>
  </si>
  <si>
    <t xml:space="preserve">17-XI · Servicios profesionales</t>
  </si>
  <si>
    <t xml:space="preserve">Las cinco operaciones del catálogo, preparadas o realizadas para el cliente</t>
  </si>
  <si>
    <t xml:space="preserve">Se avisa cuando el prestador realice una operación financiera en nombre del cliente. R 27 define qué es operación financiera</t>
  </si>
  <si>
    <t xml:space="preserve">17-XII A a) · Notario · inmuebles</t>
  </si>
  <si>
    <t xml:space="preserve">Transmisión o constitución de derechos reales sobre inmuebles</t>
  </si>
  <si>
    <t xml:space="preserve">Ocho mil, no ocho mil veinticinco. Se toma el más alto entre precio pactado, valor catastral, valor comercial o monto garantizado</t>
  </si>
  <si>
    <t xml:space="preserve">17-XII A b) · Notario · poderes irrevocables</t>
  </si>
  <si>
    <t xml:space="preserve">Poderes para actos de administración o dominio, irrevocables</t>
  </si>
  <si>
    <t xml:space="preserve">Siempre son objeto de Aviso</t>
  </si>
  <si>
    <t xml:space="preserve">17-XII A c) · Notario · sociedades y acciones</t>
  </si>
  <si>
    <t xml:space="preserve">Constitución, aumento o disminución de capital, fusión, escisión y compraventa de acciones o partes sociales</t>
  </si>
  <si>
    <t xml:space="preserve">VI</t>
  </si>
  <si>
    <t xml:space="preserve">17-XII A d) · Notario · fideicomisos traslativos</t>
  </si>
  <si>
    <t xml:space="preserve">De dominio o de garantía</t>
  </si>
  <si>
    <t xml:space="preserve">Salvo los que garantizan crédito del sistema financiero u organismos de vivienda</t>
  </si>
  <si>
    <t xml:space="preserve">17-XII A e) · Notario · mutuo o crédito</t>
  </si>
  <si>
    <t xml:space="preserve">Cuando el acreedor no forme parte del sistema financiero</t>
  </si>
  <si>
    <t xml:space="preserve">17-XII B a) · Corredor · avalúos</t>
  </si>
  <si>
    <t xml:space="preserve">Sobre bienes</t>
  </si>
  <si>
    <t xml:space="preserve">Ocho mil veinticinco, a diferencia del inciso a) del apartado A</t>
  </si>
  <si>
    <t xml:space="preserve">17-XII B b) · Corredor · sociedades y acciones</t>
  </si>
  <si>
    <t xml:space="preserve">Constitución, modificación patrimonial, fusión, escisión y compraventa de acciones</t>
  </si>
  <si>
    <t xml:space="preserve">El apartado B no fija monto para este inciso</t>
  </si>
  <si>
    <t xml:space="preserve">17-XII B c) · Corredor · fideicomisos</t>
  </si>
  <si>
    <t xml:space="preserve">Constitución, modificación o cesión de derechos</t>
  </si>
  <si>
    <t xml:space="preserve">17-XII B d) · Corredor · mutuo o crédito mercantil</t>
  </si>
  <si>
    <t xml:space="preserve">17-XIII · Donativos</t>
  </si>
  <si>
    <t xml:space="preserve">Recepción por asociaciones y sociedades sin fines de lucro</t>
  </si>
  <si>
    <t xml:space="preserve">RCG 38 Bis 2: monitoreo específico de donantes y países de alto Riesgo</t>
  </si>
  <si>
    <t xml:space="preserve">17-XIV · Comercio exterior</t>
  </si>
  <si>
    <t xml:space="preserve">Despacho de las mercancías del catálogo</t>
  </si>
  <si>
    <t xml:space="preserve">Siempre son objeto de Aviso. Joyas, relojes, piedras y metales con valor individual desde 485 UMA; obras de arte desde 4,815 UMA. R 6: se usa el valor en aduana</t>
  </si>
  <si>
    <t xml:space="preserve">17-XV · Arrendamiento de inmuebles (valor mensual)</t>
  </si>
  <si>
    <t xml:space="preserve">Constitución de derechos personales de uso o goce</t>
  </si>
  <si>
    <t xml:space="preserve">VII</t>
  </si>
  <si>
    <t xml:space="preserve">El texto dice «superior a» 1,605, no «igual o superior». RCG 24 Bis 6: en copropiedad se toma la renta mensual total</t>
  </si>
  <si>
    <t xml:space="preserve">17-XVI a) · Activos virtuales · monto de la operación</t>
  </si>
  <si>
    <t xml:space="preserve">Intercambio, custodia o transferencia por sujetos distintos a Entidades Financieras</t>
  </si>
  <si>
    <t xml:space="preserve">Sin umbral de identificación: se identifica desde la primera operación</t>
  </si>
  <si>
    <t xml:space="preserve">17-XVI b) · Activos virtuales · contraprestación</t>
  </si>
  <si>
    <t xml:space="preserve">Comisión, tarifa o cargo cobrado por el servicio</t>
  </si>
  <si>
    <t xml:space="preserve">RCG 24 Bis 5: la contraprestación se determina por operación y no se acumula</t>
  </si>
  <si>
    <t xml:space="preserve">Celda vacía en «umbral de identificación» significa que la fracción no fija umbral: se identifica desde la primera operación y se acumula todo (R 7, tercer párrafo). Celda vacía en «umbral de aviso» significa que la fracción avisa siempre; lea la nota de su renglón. Celda vacía en «tope de efectivo» significa que el artículo 32 no prevé un supuesto para esa actividad, lo que NO impide que la operación caiga en otra de sus ocho fracciones por el tipo de bien.</t>
  </si>
  <si>
    <t xml:space="preserve">Cuándo arranca su plazo · la fecha del acto u operación por fracción</t>
  </si>
  <si>
    <t xml:space="preserve">RCG 24 Bis. El plazo del día 17 no corre desde la firma: corre desde la fecha que esta tabla señala. En casi todas las fracciones se pide que además se haya alcanzado el umbral.</t>
  </si>
  <si>
    <t xml:space="preserve">La fecha del acto u operación es</t>
  </si>
  <si>
    <t xml:space="preserve">Fundamento</t>
  </si>
  <si>
    <t xml:space="preserve">I · Juegos con apuesta</t>
  </si>
  <si>
    <t xml:space="preserve">Aquélla en que se tenga por liquidada la venta del boleto, ficha o comprobante, o se entregó el premio, y se alcanzó el umbral de Aviso</t>
  </si>
  <si>
    <t xml:space="preserve">RCG 24 Bis fr. I</t>
  </si>
  <si>
    <t xml:space="preserve">II a) · Tarjetas de servicios o de crédito</t>
  </si>
  <si>
    <t xml:space="preserve">El último día del mes que corresponda al consumo mensual</t>
  </si>
  <si>
    <t xml:space="preserve">RCG 24 Bis fr. II, i</t>
  </si>
  <si>
    <t xml:space="preserve">El acto es el gasto mensual acumulado</t>
  </si>
  <si>
    <t xml:space="preserve">II b) y c) · Prepagadas e instrumentos de valor</t>
  </si>
  <si>
    <t xml:space="preserve">Aquélla en que se tenga por liquidada la emisión, comercialización o abono, y se alcanzó el umbral</t>
  </si>
  <si>
    <t xml:space="preserve">RCG 24 Bis fr. II, ii</t>
  </si>
  <si>
    <t xml:space="preserve">III, V, VI, VII y VIII</t>
  </si>
  <si>
    <t xml:space="preserve">Aquélla en que se tenga por liquidado el acto u operación y se alcanzó el umbral</t>
  </si>
  <si>
    <t xml:space="preserve">RCG 24 Bis fr. III</t>
  </si>
  <si>
    <t xml:space="preserve">Cheques de viajero, inmuebles, metales y joyas, arte y vehículos</t>
  </si>
  <si>
    <t xml:space="preserve">V Bis · Desarrollo inmobiliario</t>
  </si>
  <si>
    <t xml:space="preserve">Aquélla en que se recibió y destinó la última aportación del mes calendario</t>
  </si>
  <si>
    <t xml:space="preserve">RCG 24 Bis fr. IV</t>
  </si>
  <si>
    <t xml:space="preserve">Se puede enviar un solo Aviso por mes si todo va al mismo desarrollo: RCG 24 Bis 1</t>
  </si>
  <si>
    <t xml:space="preserve">IX · Blindaje</t>
  </si>
  <si>
    <t xml:space="preserve">Aquélla en que se tenga por liquidado el pago del servicio y se alcanzó el umbral</t>
  </si>
  <si>
    <t xml:space="preserve">RCG 24 Bis fr. V</t>
  </si>
  <si>
    <t xml:space="preserve">X · Traslado o custodia</t>
  </si>
  <si>
    <t xml:space="preserve">Aquélla en que se tenga por concluido el servicio y se alcanzó el umbral</t>
  </si>
  <si>
    <t xml:space="preserve">RCG 24 Bis fr. VI</t>
  </si>
  <si>
    <t xml:space="preserve">XI · Servicios profesionales</t>
  </si>
  <si>
    <t xml:space="preserve">Aquélla en que el prestador realice la operación financiera en representación o por instrucción del cliente</t>
  </si>
  <si>
    <t xml:space="preserve">RCG 24 Bis fr. VII</t>
  </si>
  <si>
    <t xml:space="preserve">No es la fecha del contrato</t>
  </si>
  <si>
    <t xml:space="preserve">XII A y B · Fe pública</t>
  </si>
  <si>
    <t xml:space="preserve">La fecha en que se otorgó el instrumento público o se realizó la protocolización</t>
  </si>
  <si>
    <t xml:space="preserve">R 5, segundo párrafo</t>
  </si>
  <si>
    <t xml:space="preserve">XIII · Donativos</t>
  </si>
  <si>
    <t xml:space="preserve">Aquélla en la que se recibió el donativo y se alcanzó el umbral</t>
  </si>
  <si>
    <t xml:space="preserve">RCG 24 Bis fr. VIII</t>
  </si>
  <si>
    <t xml:space="preserve">XIV · Comercio exterior</t>
  </si>
  <si>
    <t xml:space="preserve">La que se establezca conforme a la legislación aduanera</t>
  </si>
  <si>
    <t xml:space="preserve">R 5, tercer párrafo</t>
  </si>
  <si>
    <t xml:space="preserve">El Aviso se presenta por el sistema del pedimento: R 16</t>
  </si>
  <si>
    <t xml:space="preserve">XV · Arrendamiento</t>
  </si>
  <si>
    <t xml:space="preserve">La fecha de recepción de los recursos destinados al pago de la mensualidad</t>
  </si>
  <si>
    <t xml:space="preserve">R 5, cuarto párrafo</t>
  </si>
  <si>
    <t xml:space="preserve">XVI · Activos virtuales</t>
  </si>
  <si>
    <t xml:space="preserve">Aquélla en que se tenga por concluido el acto u operación y se alcanzó el umbral</t>
  </si>
  <si>
    <t xml:space="preserve">RCG 24 Bis fr. IX</t>
  </si>
  <si>
    <t xml:space="preserve">Tres reglas que se olvidan</t>
  </si>
  <si>
    <t xml:space="preserve">Un Aviso por CADA acto u operación, individual o acumulado (RCG 24 Bis 1). Las dos excepciones son la tarjeta de servicios y el desarrollo inmobiliario.</t>
  </si>
  <si>
    <t xml:space="preserve">El mes SIN operaciones objeto de Aviso también se reporta: es el informe en cero del RCG 25, y una vez enviado no se puede modificar ni eliminar.</t>
  </si>
  <si>
    <t xml:space="preserve">La persona moral, el fideicomiso y la Entidad Colegiada firman con la e.firma asociada a SU PROPIO RFC, no con la del representante legal (RCG 24, segundo párrafo).</t>
  </si>
  <si>
    <t xml:space="preserve">Los formatos de Aviso NO están en las Reglas. Los Anexos 1 a 10 de las Reglas son de identificación; los formatos viven en la Resolución publicada en el Diario Oficial.</t>
  </si>
  <si>
    <t xml:space="preserve">Fundamentos citados en este archivo</t>
  </si>
  <si>
    <t xml:space="preserve">Cita: L = Ley · R = Reglamento · RCG = Reglas de Carácter General (ACUERDO 115/2026). Ante discrepancia entre el texto compilado y el Diario Oficial, manda el Diario Oficial.</t>
  </si>
  <si>
    <t xml:space="preserve">Precepto</t>
  </si>
  <si>
    <t xml:space="preserve">Qué dice, en corto</t>
  </si>
  <si>
    <t xml:space="preserve">Dónde se usa</t>
  </si>
  <si>
    <t xml:space="preserve">L 17</t>
  </si>
  <si>
    <t xml:space="preserve">Las Actividades Vulnerables, con su umbral de identificación y su umbral de Aviso.</t>
  </si>
  <si>
    <t xml:space="preserve">Umbrales y calculadora</t>
  </si>
  <si>
    <t xml:space="preserve">L 17, penúltimo párrafo</t>
  </si>
  <si>
    <t xml:space="preserve">Los actos por montos inferiores no dan lugar a obligación, pero la suma acumulada en seis meses sí puede hacerlo.</t>
  </si>
  <si>
    <t xml:space="preserve">L 23</t>
  </si>
  <si>
    <t xml:space="preserve">Los Avisos se presentan a más tardar el día 17 del mes inmediato siguiente.</t>
  </si>
  <si>
    <t xml:space="preserve">Fecha del acto</t>
  </si>
  <si>
    <t xml:space="preserve">L 24</t>
  </si>
  <si>
    <t xml:space="preserve">Qué contiene el Aviso y por qué medios se presenta.</t>
  </si>
  <si>
    <t xml:space="preserve">L 32</t>
  </si>
  <si>
    <t xml:space="preserve">Las ocho prohibiciones de uso de efectivo y metales preciosos.</t>
  </si>
  <si>
    <t xml:space="preserve">L 33</t>
  </si>
  <si>
    <t xml:space="preserve">El fedatario identifica la forma de pago en operaciones de 8,025 UMA o más; abajo de eso basta la declaración bajo protesta.</t>
  </si>
  <si>
    <t xml:space="preserve">LÉEME</t>
  </si>
  <si>
    <t xml:space="preserve">L 53 fr. VII y L 54 fr. III</t>
  </si>
  <si>
    <t xml:space="preserve">Sanción por participar en los actos prohibidos por el artículo 32: de 10,000 a 65,000 UMA, o del 10 al 100 % del valor, la que resulte mayor.</t>
  </si>
  <si>
    <t xml:space="preserve">R 5</t>
  </si>
  <si>
    <t xml:space="preserve">La fecha del acto u operación para fe pública, comercio exterior y arrendamiento.</t>
  </si>
  <si>
    <t xml:space="preserve">R 6</t>
  </si>
  <si>
    <t xml:space="preserve">Las tres bases de cálculo, y el valor en aduana para comercio exterior.</t>
  </si>
  <si>
    <t xml:space="preserve">Todo el archivo</t>
  </si>
  <si>
    <t xml:space="preserve">R 7</t>
  </si>
  <si>
    <t xml:space="preserve">Acumulación por tipo de acto en periodos de hasta seis meses; sin umbral de identificación se acumula todo.</t>
  </si>
  <si>
    <t xml:space="preserve">R 21 Bis</t>
  </si>
  <si>
    <t xml:space="preserve">Serie de transacciones vinculadas en apariencia en juegos con apuesta: 325 UMA en 24 horas.</t>
  </si>
  <si>
    <t xml:space="preserve">R 22</t>
  </si>
  <si>
    <t xml:space="preserve">Qué más se considera instrumento de almacenamiento de valor monetario.</t>
  </si>
  <si>
    <t xml:space="preserve">R 27 y R 28</t>
  </si>
  <si>
    <t xml:space="preserve">Qué es una operación financiera y qué son valores.</t>
  </si>
  <si>
    <t xml:space="preserve">R 42, 43, 44 y 45</t>
  </si>
  <si>
    <t xml:space="preserve">Cómo se observan las prohibiciones de efectivo, la devolución en la misma forma de pago, los instrumentos alternativos y el deber del fedatario.</t>
  </si>
  <si>
    <t xml:space="preserve">RCG 24</t>
  </si>
  <si>
    <t xml:space="preserve">Medio, firma y formato oficial de los Avisos.</t>
  </si>
  <si>
    <t xml:space="preserve">RCG 24 Bis</t>
  </si>
  <si>
    <t xml:space="preserve">La fecha del acto u operación por fracción, con la que arranca el plazo.</t>
  </si>
  <si>
    <t xml:space="preserve">RCG 24 Bis 1</t>
  </si>
  <si>
    <t xml:space="preserve">Un Aviso por cada acto u operación, con dos excepciones.</t>
  </si>
  <si>
    <t xml:space="preserve">RCG 24 Bis 5 y 24 Bis 6</t>
  </si>
  <si>
    <t xml:space="preserve">Contraprestación en activos virtuales y renta mensual total en copropiedad.</t>
  </si>
  <si>
    <t xml:space="preserve">RCG 25 y 25 Bis</t>
  </si>
  <si>
    <t xml:space="preserve">El informe en cero y el informe cuando sólo hubo operaciones del artículo 27 Bis.</t>
  </si>
  <si>
    <t xml:space="preserve">RCG 27 Bis</t>
  </si>
  <si>
    <t xml:space="preserve">Los cinco supuestos que no son objeto de Aviso.</t>
  </si>
  <si>
    <t xml:space="preserve">RCG 41 fr. VI</t>
  </si>
  <si>
    <t xml:space="preserve">El monitoreo del uso de efectivo y metales preciosos es función del mecanismo automatizado.</t>
  </si>
</sst>
</file>

<file path=xl/styles.xml><?xml version="1.0" encoding="utf-8"?>
<styleSheet xmlns="http://schemas.openxmlformats.org/spreadsheetml/2006/main">
  <numFmts count="3">
    <numFmt numFmtId="164" formatCode="General"/>
    <numFmt numFmtId="165" formatCode="\$#,##0.00"/>
    <numFmt numFmtId="166" formatCode="#,##0"/>
  </numFmts>
  <fonts count="11">
    <font>
      <sz val="11"/>
      <color theme="1"/>
      <name val="Calibri"/>
      <family val="2"/>
      <charset val="1"/>
    </font>
    <font>
      <sz val="10"/>
      <name val="Arial"/>
      <family val="0"/>
    </font>
    <font>
      <sz val="10"/>
      <name val="Arial"/>
      <family val="0"/>
    </font>
    <font>
      <sz val="10"/>
      <name val="Arial"/>
      <family val="0"/>
    </font>
    <font>
      <b val="true"/>
      <sz val="14"/>
      <color rgb="FF1B1B1E"/>
      <name val="Arial"/>
      <family val="0"/>
      <charset val="1"/>
    </font>
    <font>
      <i val="true"/>
      <sz val="9"/>
      <color rgb="FF4D4D4D"/>
      <name val="Arial"/>
      <family val="0"/>
      <charset val="1"/>
    </font>
    <font>
      <sz val="10"/>
      <color rgb="FF1B1B1E"/>
      <name val="Arial"/>
      <family val="0"/>
      <charset val="1"/>
    </font>
    <font>
      <b val="true"/>
      <sz val="11"/>
      <color rgb="FF1B1B1E"/>
      <name val="Arial"/>
      <family val="0"/>
      <charset val="1"/>
    </font>
    <font>
      <b val="true"/>
      <sz val="9"/>
      <color rgb="FF4D4D4D"/>
      <name val="Arial"/>
      <family val="0"/>
      <charset val="1"/>
    </font>
    <font>
      <b val="true"/>
      <sz val="10"/>
      <color rgb="FF1B1B1E"/>
      <name val="Arial"/>
      <family val="0"/>
      <charset val="1"/>
    </font>
    <font>
      <sz val="10"/>
      <color rgb="FF0000FF"/>
      <name val="Arial"/>
      <family val="0"/>
      <charset val="1"/>
    </font>
  </fonts>
  <fills count="5">
    <fill>
      <patternFill patternType="none"/>
    </fill>
    <fill>
      <patternFill patternType="gray125"/>
    </fill>
    <fill>
      <patternFill patternType="solid">
        <fgColor rgb="FFFFF2CC"/>
        <bgColor rgb="FFFFFFFF"/>
      </patternFill>
    </fill>
    <fill>
      <patternFill patternType="solid">
        <fgColor rgb="FF64C27B"/>
        <bgColor rgb="FF87D895"/>
      </patternFill>
    </fill>
    <fill>
      <patternFill patternType="solid">
        <fgColor rgb="FF87D895"/>
        <bgColor rgb="FF64C27B"/>
      </patternFill>
    </fill>
  </fills>
  <borders count="3">
    <border diagonalUp="false" diagonalDown="false">
      <left/>
      <right/>
      <top/>
      <bottom/>
      <diagonal/>
    </border>
    <border diagonalUp="false" diagonalDown="false">
      <left/>
      <right/>
      <top/>
      <bottom style="hair">
        <color rgb="FFD9D9D9"/>
      </bottom>
      <diagonal/>
    </border>
    <border diagonalUp="false" diagonalDown="false">
      <left/>
      <right/>
      <top/>
      <bottom style="thin">
        <color rgb="FF4D4D4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10"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3" borderId="2"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5" fontId="6" fillId="2"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5" fontId="6" fillId="4"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6" fontId="6"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87D895"/>
      <rgbColor rgb="FFFF99CC"/>
      <rgbColor rgb="FFCC99FF"/>
      <rgbColor rgb="FFFFCC99"/>
      <rgbColor rgb="FF3366FF"/>
      <rgbColor rgb="FF64C27B"/>
      <rgbColor rgb="FF99CC00"/>
      <rgbColor rgb="FFFFCC00"/>
      <rgbColor rgb="FFFF9900"/>
      <rgbColor rgb="FFFF6600"/>
      <rgbColor rgb="FF4D4D4D"/>
      <rgbColor rgb="FF969696"/>
      <rgbColor rgb="FF003366"/>
      <rgbColor rgb="FF339966"/>
      <rgbColor rgb="FF003300"/>
      <rgbColor rgb="FF333300"/>
      <rgbColor rgb="FF993300"/>
      <rgbColor rgb="FF993366"/>
      <rgbColor rgb="FF333399"/>
      <rgbColor rgb="FF1B1B1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4" min="2" style="0" width="22"/>
    <col collapsed="false" customWidth="true" hidden="false" outlineLevel="0" max="5" min="5" style="0" width="16"/>
    <col collapsed="false" customWidth="true" hidden="false" outlineLevel="0" max="8" min="6" style="0" width="12"/>
  </cols>
  <sheetData>
    <row r="1" customFormat="false" ht="17.35" hidden="false" customHeight="false" outlineLevel="0" collapsed="false">
      <c r="A1" s="1" t="s">
        <v>0</v>
      </c>
      <c r="B1" s="1"/>
      <c r="C1" s="1"/>
      <c r="D1" s="1"/>
      <c r="E1" s="1"/>
      <c r="F1" s="1"/>
      <c r="G1" s="1"/>
      <c r="H1" s="1"/>
    </row>
    <row r="2" customFormat="false" ht="15" hidden="false" customHeight="false" outlineLevel="0" collapsed="false">
      <c r="A2" s="2" t="s">
        <v>1</v>
      </c>
      <c r="B2" s="2"/>
      <c r="C2" s="2"/>
      <c r="D2" s="2"/>
      <c r="E2" s="2"/>
      <c r="F2" s="2"/>
      <c r="G2" s="2"/>
      <c r="H2" s="2"/>
    </row>
    <row r="4" customFormat="false" ht="15" hidden="false" customHeight="false" outlineLevel="0" collapsed="false">
      <c r="A4" s="3"/>
      <c r="B4" s="3"/>
      <c r="C4" s="3"/>
      <c r="D4" s="3"/>
      <c r="E4" s="3"/>
      <c r="F4" s="3"/>
      <c r="G4" s="3"/>
      <c r="H4" s="3"/>
    </row>
    <row r="5" customFormat="false" ht="15" hidden="false" customHeight="true" outlineLevel="0" collapsed="false">
      <c r="A5" s="4" t="s">
        <v>2</v>
      </c>
      <c r="B5" s="4"/>
      <c r="C5" s="4"/>
      <c r="D5" s="4"/>
      <c r="E5" s="4"/>
      <c r="F5" s="4"/>
      <c r="G5" s="4"/>
      <c r="H5" s="4"/>
    </row>
    <row r="6" customFormat="false" ht="15" hidden="false" customHeight="true" outlineLevel="0" collapsed="false">
      <c r="A6" s="3" t="s">
        <v>3</v>
      </c>
      <c r="B6" s="3"/>
      <c r="C6" s="3"/>
      <c r="D6" s="3"/>
      <c r="E6" s="3"/>
      <c r="F6" s="3"/>
      <c r="G6" s="3"/>
      <c r="H6" s="3"/>
    </row>
    <row r="7" customFormat="false" ht="15" hidden="false" customHeight="false" outlineLevel="0" collapsed="false">
      <c r="A7" s="3"/>
      <c r="B7" s="3"/>
      <c r="C7" s="3"/>
      <c r="D7" s="3"/>
      <c r="E7" s="3"/>
      <c r="F7" s="3"/>
      <c r="G7" s="3"/>
      <c r="H7" s="3"/>
    </row>
    <row r="8" customFormat="false" ht="15" hidden="false" customHeight="true" outlineLevel="0" collapsed="false">
      <c r="A8" s="3" t="s">
        <v>4</v>
      </c>
      <c r="B8" s="3"/>
      <c r="C8" s="3"/>
      <c r="D8" s="3"/>
      <c r="E8" s="3"/>
      <c r="F8" s="3"/>
      <c r="G8" s="3"/>
      <c r="H8" s="3"/>
    </row>
    <row r="9" customFormat="false" ht="15" hidden="false" customHeight="true" outlineLevel="0" collapsed="false">
      <c r="A9" s="3" t="s">
        <v>5</v>
      </c>
      <c r="B9" s="3"/>
      <c r="C9" s="3"/>
      <c r="D9" s="3"/>
      <c r="E9" s="3"/>
      <c r="F9" s="3"/>
      <c r="G9" s="3"/>
      <c r="H9" s="3"/>
    </row>
    <row r="10" customFormat="false" ht="15" hidden="false" customHeight="true" outlineLevel="0" collapsed="false">
      <c r="A10" s="3" t="s">
        <v>6</v>
      </c>
      <c r="B10" s="3"/>
      <c r="C10" s="3"/>
      <c r="D10" s="3"/>
      <c r="E10" s="3"/>
      <c r="F10" s="3"/>
      <c r="G10" s="3"/>
      <c r="H10" s="3"/>
    </row>
    <row r="11" customFormat="false" ht="15" hidden="false" customHeight="false" outlineLevel="0" collapsed="false">
      <c r="A11" s="3"/>
      <c r="B11" s="3"/>
      <c r="C11" s="3"/>
      <c r="D11" s="3"/>
      <c r="E11" s="3"/>
      <c r="F11" s="3"/>
      <c r="G11" s="3"/>
      <c r="H11" s="3"/>
    </row>
    <row r="12" customFormat="false" ht="23.85" hidden="false" customHeight="true" outlineLevel="0" collapsed="false">
      <c r="A12" s="3" t="s">
        <v>7</v>
      </c>
      <c r="B12" s="3"/>
      <c r="C12" s="3"/>
      <c r="D12" s="3"/>
      <c r="E12" s="3"/>
      <c r="F12" s="3"/>
      <c r="G12" s="3"/>
      <c r="H12" s="3"/>
    </row>
    <row r="13" customFormat="false" ht="15" hidden="false" customHeight="false" outlineLevel="0" collapsed="false">
      <c r="A13" s="3"/>
      <c r="B13" s="3"/>
      <c r="C13" s="3"/>
      <c r="D13" s="3"/>
      <c r="E13" s="3"/>
      <c r="F13" s="3"/>
      <c r="G13" s="3"/>
      <c r="H13" s="3"/>
    </row>
    <row r="14" customFormat="false" ht="15" hidden="false" customHeight="true" outlineLevel="0" collapsed="false">
      <c r="A14" s="3" t="s">
        <v>8</v>
      </c>
      <c r="B14" s="3"/>
      <c r="C14" s="3"/>
      <c r="D14" s="3"/>
      <c r="E14" s="3"/>
      <c r="F14" s="3"/>
      <c r="G14" s="3"/>
      <c r="H14" s="3"/>
    </row>
    <row r="15" customFormat="false" ht="15" hidden="false" customHeight="false" outlineLevel="0" collapsed="false">
      <c r="A15" s="3"/>
      <c r="B15" s="3"/>
      <c r="C15" s="3"/>
      <c r="D15" s="3"/>
      <c r="E15" s="3"/>
      <c r="F15" s="3"/>
      <c r="G15" s="3"/>
      <c r="H15" s="3"/>
    </row>
    <row r="16" customFormat="false" ht="15" hidden="false" customHeight="true" outlineLevel="0" collapsed="false">
      <c r="A16" s="4" t="s">
        <v>9</v>
      </c>
      <c r="B16" s="4"/>
      <c r="C16" s="4"/>
      <c r="D16" s="4"/>
      <c r="E16" s="4"/>
      <c r="F16" s="4"/>
      <c r="G16" s="4"/>
      <c r="H16" s="4"/>
    </row>
    <row r="17" customFormat="false" ht="15" hidden="false" customHeight="true" outlineLevel="0" collapsed="false">
      <c r="A17" s="3" t="s">
        <v>10</v>
      </c>
      <c r="B17" s="3"/>
      <c r="C17" s="3"/>
      <c r="D17" s="3"/>
      <c r="E17" s="3"/>
      <c r="F17" s="3"/>
      <c r="G17" s="3"/>
      <c r="H17" s="3"/>
    </row>
    <row r="18" customFormat="false" ht="23.85" hidden="false" customHeight="true" outlineLevel="0" collapsed="false">
      <c r="A18" s="3" t="s">
        <v>11</v>
      </c>
      <c r="B18" s="3"/>
      <c r="C18" s="3"/>
      <c r="D18" s="3"/>
      <c r="E18" s="3"/>
      <c r="F18" s="3"/>
      <c r="G18" s="3"/>
      <c r="H18" s="3"/>
    </row>
    <row r="19" customFormat="false" ht="15" hidden="false" customHeight="true" outlineLevel="0" collapsed="false">
      <c r="A19" s="3" t="s">
        <v>12</v>
      </c>
      <c r="B19" s="3"/>
      <c r="C19" s="3"/>
      <c r="D19" s="3"/>
      <c r="E19" s="3"/>
      <c r="F19" s="3"/>
      <c r="G19" s="3"/>
      <c r="H19" s="3"/>
    </row>
    <row r="20" customFormat="false" ht="23.85" hidden="false" customHeight="true" outlineLevel="0" collapsed="false">
      <c r="A20" s="3" t="s">
        <v>13</v>
      </c>
      <c r="B20" s="3"/>
      <c r="C20" s="3"/>
      <c r="D20" s="3"/>
      <c r="E20" s="3"/>
      <c r="F20" s="3"/>
      <c r="G20" s="3"/>
      <c r="H20" s="3"/>
    </row>
    <row r="21" customFormat="false" ht="23.85" hidden="false" customHeight="true" outlineLevel="0" collapsed="false">
      <c r="A21" s="3" t="s">
        <v>14</v>
      </c>
      <c r="B21" s="3"/>
      <c r="C21" s="3"/>
      <c r="D21" s="3"/>
      <c r="E21" s="3"/>
      <c r="F21" s="3"/>
      <c r="G21" s="3"/>
      <c r="H21" s="3"/>
    </row>
    <row r="22" customFormat="false" ht="15" hidden="false" customHeight="false" outlineLevel="0" collapsed="false">
      <c r="A22" s="3"/>
      <c r="B22" s="3"/>
      <c r="C22" s="3"/>
      <c r="D22" s="3"/>
      <c r="E22" s="3"/>
      <c r="F22" s="3"/>
      <c r="G22" s="3"/>
      <c r="H22" s="3"/>
    </row>
    <row r="23" customFormat="false" ht="15" hidden="false" customHeight="true" outlineLevel="0" collapsed="false">
      <c r="A23" s="4" t="s">
        <v>15</v>
      </c>
      <c r="B23" s="4"/>
      <c r="C23" s="4"/>
      <c r="D23" s="4"/>
      <c r="E23" s="4"/>
      <c r="F23" s="4"/>
      <c r="G23" s="4"/>
      <c r="H23" s="4"/>
    </row>
    <row r="24" customFormat="false" ht="23.85" hidden="false" customHeight="true" outlineLevel="0" collapsed="false">
      <c r="A24" s="3" t="s">
        <v>16</v>
      </c>
      <c r="B24" s="3"/>
      <c r="C24" s="3"/>
      <c r="D24" s="3"/>
      <c r="E24" s="3"/>
      <c r="F24" s="3"/>
      <c r="G24" s="3"/>
      <c r="H24" s="3"/>
    </row>
    <row r="25" customFormat="false" ht="15" hidden="false" customHeight="true" outlineLevel="0" collapsed="false">
      <c r="A25" s="3" t="s">
        <v>17</v>
      </c>
      <c r="B25" s="3"/>
      <c r="C25" s="3"/>
      <c r="D25" s="3"/>
      <c r="E25" s="3"/>
      <c r="F25" s="3"/>
      <c r="G25" s="3"/>
      <c r="H25" s="3"/>
    </row>
  </sheetData>
  <mergeCells count="24">
    <mergeCell ref="A1:H1"/>
    <mergeCell ref="A2:H2"/>
    <mergeCell ref="A4:H4"/>
    <mergeCell ref="A5:H5"/>
    <mergeCell ref="A6:H6"/>
    <mergeCell ref="A7:H7"/>
    <mergeCell ref="A8:H8"/>
    <mergeCell ref="A9:H9"/>
    <mergeCell ref="A10:H10"/>
    <mergeCell ref="A11:H11"/>
    <mergeCell ref="A12:H12"/>
    <mergeCell ref="A13:H13"/>
    <mergeCell ref="A14:H14"/>
    <mergeCell ref="A15:H15"/>
    <mergeCell ref="A16:H16"/>
    <mergeCell ref="A17:H17"/>
    <mergeCell ref="A18:H18"/>
    <mergeCell ref="A19:H19"/>
    <mergeCell ref="A20:H20"/>
    <mergeCell ref="A21:H21"/>
    <mergeCell ref="A22:H22"/>
    <mergeCell ref="A23:H23"/>
    <mergeCell ref="A24:H24"/>
    <mergeCell ref="A25:H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50"/>
    <col collapsed="false" customWidth="true" hidden="false" outlineLevel="0" max="3" min="3" style="0" width="20"/>
    <col collapsed="false" customWidth="true" hidden="false" outlineLevel="0" max="4" min="4" style="0" width="18"/>
    <col collapsed="false" customWidth="true" hidden="false" outlineLevel="0" max="5" min="5" style="0" width="22"/>
    <col collapsed="false" customWidth="true" hidden="false" outlineLevel="0" max="6" min="6" style="0" width="16"/>
    <col collapsed="false" customWidth="true" hidden="false" outlineLevel="0" max="7" min="7" style="0" width="60"/>
  </cols>
  <sheetData>
    <row r="1" customFormat="false" ht="17.35" hidden="false" customHeight="false" outlineLevel="0" collapsed="false">
      <c r="A1" s="1" t="s">
        <v>18</v>
      </c>
      <c r="B1" s="1"/>
      <c r="C1" s="1"/>
      <c r="D1" s="1"/>
      <c r="E1" s="1"/>
      <c r="F1" s="1"/>
      <c r="G1" s="1"/>
    </row>
    <row r="2" customFormat="false" ht="15" hidden="false" customHeight="false" outlineLevel="0" collapsed="false">
      <c r="A2" s="2" t="s">
        <v>19</v>
      </c>
      <c r="B2" s="2"/>
      <c r="C2" s="2"/>
      <c r="D2" s="2"/>
      <c r="E2" s="2"/>
      <c r="F2" s="2"/>
      <c r="G2" s="2"/>
    </row>
    <row r="4" customFormat="false" ht="15" hidden="false" customHeight="false" outlineLevel="0" collapsed="false">
      <c r="A4" s="5" t="s">
        <v>20</v>
      </c>
    </row>
    <row r="6" customFormat="false" ht="15" hidden="false" customHeight="false" outlineLevel="0" collapsed="false">
      <c r="A6" s="6" t="s">
        <v>21</v>
      </c>
      <c r="B6" s="7" t="n">
        <v>117.31</v>
      </c>
      <c r="C6" s="8" t="s">
        <v>22</v>
      </c>
    </row>
    <row r="8" customFormat="false" ht="31.5" hidden="false" customHeight="true" outlineLevel="0" collapsed="false">
      <c r="A8" s="9" t="s">
        <v>23</v>
      </c>
      <c r="B8" s="9" t="s">
        <v>24</v>
      </c>
      <c r="C8" s="9" t="s">
        <v>25</v>
      </c>
      <c r="D8" s="9" t="s">
        <v>26</v>
      </c>
      <c r="E8" s="9"/>
      <c r="F8" s="9"/>
      <c r="G8" s="9"/>
    </row>
    <row r="9" customFormat="false" ht="23.85" hidden="false" customHeight="false" outlineLevel="0" collapsed="false">
      <c r="A9" s="3" t="s">
        <v>27</v>
      </c>
      <c r="B9" s="10" t="s">
        <v>28</v>
      </c>
      <c r="C9" s="3"/>
    </row>
    <row r="10" customFormat="false" ht="15" hidden="false" customHeight="false" outlineLevel="0" collapsed="false">
      <c r="A10" s="3" t="s">
        <v>29</v>
      </c>
      <c r="B10" s="11" t="n">
        <v>340000</v>
      </c>
      <c r="C10" s="3"/>
    </row>
    <row r="11" customFormat="false" ht="15" hidden="false" customHeight="false" outlineLevel="0" collapsed="false">
      <c r="A11" s="3" t="s">
        <v>30</v>
      </c>
      <c r="B11" s="11" t="n">
        <v>54400</v>
      </c>
      <c r="C11" s="3"/>
    </row>
    <row r="12" customFormat="false" ht="23.85" hidden="false" customHeight="false" outlineLevel="0" collapsed="false">
      <c r="A12" s="3" t="s">
        <v>31</v>
      </c>
      <c r="B12" s="12" t="n">
        <f aca="false">B10</f>
        <v>340000</v>
      </c>
      <c r="C12" s="3" t="s">
        <v>32</v>
      </c>
    </row>
    <row r="13" customFormat="false" ht="23.85" hidden="false" customHeight="false" outlineLevel="0" collapsed="false">
      <c r="A13" s="3" t="s">
        <v>33</v>
      </c>
      <c r="B13" s="12" t="n">
        <f aca="false">IFERROR(IF(INDEX($C$24:$C$51,MATCH($B$9,$A$24:$A$51,0))="","",INDEX($C$24:$C$51,MATCH($B$9,$A$24:$A$51,0))*$B$6),"")</f>
        <v>376565.1</v>
      </c>
      <c r="C13" s="3" t="s">
        <v>34</v>
      </c>
    </row>
    <row r="14" customFormat="false" ht="46.25" hidden="false" customHeight="false" outlineLevel="0" collapsed="false">
      <c r="A14" s="3" t="s">
        <v>35</v>
      </c>
      <c r="B14" s="13" t="str">
        <f aca="false">IFERROR(IF(INDEX($C$24:$C$51,MATCH($B$9,$A$24:$A$51,0))="","SÍ — esta fracción no tiene umbral de identificación: se identifica desde la primera operación",IF($B$10&gt;=B13,"SÍ","NO por esta operación en lo individual — revise la acumulación de seis meses")),"Elija una fracción")</f>
        <v>NO por esta operación en lo individual — revise la acumulación de seis meses</v>
      </c>
      <c r="C14" s="3" t="s">
        <v>36</v>
      </c>
    </row>
    <row r="15" customFormat="false" ht="15" hidden="false" customHeight="false" outlineLevel="0" collapsed="false">
      <c r="A15" s="3" t="s">
        <v>37</v>
      </c>
      <c r="B15" s="12" t="n">
        <f aca="false">IFERROR(IF(INDEX($D$24:$D$51,MATCH($B$9,$A$24:$A$51,0))="","",INDEX($D$24:$D$51,MATCH($B$9,$A$24:$A$51,0))*$B$6),"")</f>
        <v>753130.2</v>
      </c>
      <c r="C15" s="3" t="s">
        <v>38</v>
      </c>
    </row>
    <row r="16" customFormat="false" ht="35.05" hidden="false" customHeight="false" outlineLevel="0" collapsed="false">
      <c r="A16" s="3" t="s">
        <v>39</v>
      </c>
      <c r="B16" s="14" t="str">
        <f aca="false">IFERROR(IF(INDEX($D$24:$D$51,MATCH($B$9,$A$24:$A$51,0))="","SÍ — esta fracción avisa siempre; vea la nota de su renglón",IF($B$10&gt;=B15,"SÍ","NO por esta operación en lo individual — revise la acumulación de seis meses")),"Elija una fracción")</f>
        <v>NO por esta operación en lo individual — revise la acumulación de seis meses</v>
      </c>
      <c r="C16" s="3" t="s">
        <v>40</v>
      </c>
    </row>
    <row r="17" customFormat="false" ht="35.05" hidden="false" customHeight="false" outlineLevel="0" collapsed="false">
      <c r="A17" s="3" t="s">
        <v>41</v>
      </c>
      <c r="B17" s="12" t="n">
        <f aca="false">B10+B11</f>
        <v>394400</v>
      </c>
      <c r="C17" s="3" t="s">
        <v>42</v>
      </c>
    </row>
    <row r="18" customFormat="false" ht="35.05" hidden="false" customHeight="false" outlineLevel="0" collapsed="false">
      <c r="A18" s="3" t="s">
        <v>43</v>
      </c>
      <c r="B18" s="12" t="n">
        <f aca="false">B10+B11</f>
        <v>394400</v>
      </c>
      <c r="C18" s="3" t="s">
        <v>44</v>
      </c>
    </row>
    <row r="19" customFormat="false" ht="15" hidden="false" customHeight="false" outlineLevel="0" collapsed="false">
      <c r="A19" s="3" t="s">
        <v>45</v>
      </c>
      <c r="B19" s="12" t="n">
        <f aca="false">IFERROR(IF(INDEX($E$24:$E$51,MATCH($B$9,$A$24:$A$51,0))="","",INDEX($E$24:$E$51,MATCH($B$9,$A$24:$A$51,0))*$B$6),"")</f>
        <v>376565.1</v>
      </c>
      <c r="C19" s="3" t="s">
        <v>38</v>
      </c>
    </row>
    <row r="20" customFormat="false" ht="23.85" hidden="false" customHeight="false" outlineLevel="0" collapsed="false">
      <c r="A20" s="3" t="s">
        <v>46</v>
      </c>
      <c r="B20" s="13" t="str">
        <f aca="false">IFERROR(IF(INDEX($E$24:$E$51,MATCH($B$9,$A$24:$A$51,0))="","El artículo 32 no prevé un supuesto para esta fracción",IF(B18&gt;=B19,"SÍ — prohibido pagar y aceptar el pago en efectivo, moneda nacional o divisas, y en metales preciosos","NO por esta operación")),"Elija una fracción")</f>
        <v>SÍ — prohibido pagar y aceptar el pago en efectivo, moneda nacional o divisas, y en metales preciosos</v>
      </c>
      <c r="C20" s="3" t="s">
        <v>47</v>
      </c>
    </row>
    <row r="21" customFormat="false" ht="15" hidden="false" customHeight="true" outlineLevel="0" collapsed="false">
      <c r="A21" s="15" t="s">
        <v>48</v>
      </c>
      <c r="B21" s="15"/>
      <c r="C21" s="15"/>
      <c r="D21" s="15"/>
      <c r="E21" s="15"/>
      <c r="F21" s="15"/>
      <c r="G21" s="15"/>
    </row>
    <row r="23" customFormat="false" ht="31.5" hidden="false" customHeight="true" outlineLevel="0" collapsed="false">
      <c r="A23" s="9" t="s">
        <v>49</v>
      </c>
      <c r="B23" s="9" t="s">
        <v>50</v>
      </c>
      <c r="C23" s="9" t="s">
        <v>51</v>
      </c>
      <c r="D23" s="9" t="s">
        <v>52</v>
      </c>
      <c r="E23" s="9" t="s">
        <v>53</v>
      </c>
      <c r="F23" s="9" t="s">
        <v>54</v>
      </c>
      <c r="G23" s="9" t="s">
        <v>55</v>
      </c>
    </row>
    <row r="24" customFormat="false" ht="23.85" hidden="false" customHeight="false" outlineLevel="0" collapsed="false">
      <c r="A24" s="3" t="s">
        <v>56</v>
      </c>
      <c r="B24" s="3" t="s">
        <v>57</v>
      </c>
      <c r="C24" s="16" t="n">
        <v>325</v>
      </c>
      <c r="D24" s="16" t="n">
        <v>645</v>
      </c>
      <c r="E24" s="16" t="n">
        <v>3210</v>
      </c>
      <c r="F24" s="3" t="s">
        <v>58</v>
      </c>
      <c r="G24" s="3" t="s">
        <v>59</v>
      </c>
    </row>
    <row r="25" customFormat="false" ht="23.85" hidden="false" customHeight="false" outlineLevel="0" collapsed="false">
      <c r="A25" s="3" t="s">
        <v>60</v>
      </c>
      <c r="B25" s="3" t="s">
        <v>61</v>
      </c>
      <c r="C25" s="16" t="n">
        <v>805</v>
      </c>
      <c r="D25" s="16" t="n">
        <v>1285</v>
      </c>
      <c r="E25" s="16"/>
      <c r="F25" s="3"/>
      <c r="G25" s="3" t="s">
        <v>62</v>
      </c>
    </row>
    <row r="26" customFormat="false" ht="15" hidden="false" customHeight="false" outlineLevel="0" collapsed="false">
      <c r="A26" s="3" t="s">
        <v>63</v>
      </c>
      <c r="B26" s="3" t="s">
        <v>64</v>
      </c>
      <c r="C26" s="16" t="n">
        <v>645</v>
      </c>
      <c r="D26" s="16" t="n">
        <v>645</v>
      </c>
      <c r="E26" s="16"/>
      <c r="F26" s="3"/>
      <c r="G26" s="3" t="s">
        <v>65</v>
      </c>
    </row>
    <row r="27" customFormat="false" ht="15" hidden="false" customHeight="false" outlineLevel="0" collapsed="false">
      <c r="A27" s="3" t="s">
        <v>66</v>
      </c>
      <c r="B27" s="3" t="s">
        <v>67</v>
      </c>
      <c r="C27" s="16" t="n">
        <v>645</v>
      </c>
      <c r="D27" s="16" t="n">
        <v>645</v>
      </c>
      <c r="E27" s="16"/>
      <c r="F27" s="3"/>
      <c r="G27" s="3" t="s">
        <v>68</v>
      </c>
    </row>
    <row r="28" customFormat="false" ht="15" hidden="false" customHeight="false" outlineLevel="0" collapsed="false">
      <c r="A28" s="3" t="s">
        <v>69</v>
      </c>
      <c r="B28" s="3" t="s">
        <v>70</v>
      </c>
      <c r="C28" s="16"/>
      <c r="D28" s="16" t="n">
        <v>645</v>
      </c>
      <c r="E28" s="16"/>
      <c r="F28" s="3"/>
      <c r="G28" s="3" t="s">
        <v>71</v>
      </c>
    </row>
    <row r="29" customFormat="false" ht="23.85" hidden="false" customHeight="false" outlineLevel="0" collapsed="false">
      <c r="A29" s="3" t="s">
        <v>72</v>
      </c>
      <c r="B29" s="3" t="s">
        <v>73</v>
      </c>
      <c r="C29" s="16"/>
      <c r="D29" s="16" t="n">
        <v>1605</v>
      </c>
      <c r="E29" s="16"/>
      <c r="F29" s="3"/>
      <c r="G29" s="3" t="s">
        <v>74</v>
      </c>
    </row>
    <row r="30" customFormat="false" ht="23.85" hidden="false" customHeight="false" outlineLevel="0" collapsed="false">
      <c r="A30" s="3" t="s">
        <v>75</v>
      </c>
      <c r="B30" s="3" t="s">
        <v>76</v>
      </c>
      <c r="C30" s="16"/>
      <c r="D30" s="16" t="n">
        <v>8025</v>
      </c>
      <c r="E30" s="16" t="n">
        <v>8025</v>
      </c>
      <c r="F30" s="3" t="s">
        <v>77</v>
      </c>
      <c r="G30" s="3" t="s">
        <v>78</v>
      </c>
    </row>
    <row r="31" customFormat="false" ht="23.85" hidden="false" customHeight="false" outlineLevel="0" collapsed="false">
      <c r="A31" s="3" t="s">
        <v>79</v>
      </c>
      <c r="B31" s="3" t="s">
        <v>80</v>
      </c>
      <c r="C31" s="16"/>
      <c r="D31" s="16" t="n">
        <v>8025</v>
      </c>
      <c r="E31" s="16" t="n">
        <v>8025</v>
      </c>
      <c r="F31" s="3" t="s">
        <v>77</v>
      </c>
      <c r="G31" s="3" t="s">
        <v>81</v>
      </c>
    </row>
    <row r="32" customFormat="false" ht="15" hidden="false" customHeight="false" outlineLevel="0" collapsed="false">
      <c r="A32" s="3" t="s">
        <v>82</v>
      </c>
      <c r="B32" s="3" t="s">
        <v>83</v>
      </c>
      <c r="C32" s="16" t="n">
        <v>805</v>
      </c>
      <c r="D32" s="16" t="n">
        <v>1605</v>
      </c>
      <c r="E32" s="16" t="n">
        <v>3210</v>
      </c>
      <c r="F32" s="3" t="s">
        <v>84</v>
      </c>
      <c r="G32" s="3" t="s">
        <v>85</v>
      </c>
    </row>
    <row r="33" customFormat="false" ht="15" hidden="false" customHeight="false" outlineLevel="0" collapsed="false">
      <c r="A33" s="3" t="s">
        <v>86</v>
      </c>
      <c r="B33" s="3" t="s">
        <v>87</v>
      </c>
      <c r="C33" s="16" t="n">
        <v>2410</v>
      </c>
      <c r="D33" s="16" t="n">
        <v>4815</v>
      </c>
      <c r="E33" s="16" t="n">
        <v>3210</v>
      </c>
      <c r="F33" s="3" t="s">
        <v>84</v>
      </c>
      <c r="G33" s="3"/>
    </row>
    <row r="34" customFormat="false" ht="23.85" hidden="false" customHeight="false" outlineLevel="0" collapsed="false">
      <c r="A34" s="3" t="s">
        <v>28</v>
      </c>
      <c r="B34" s="3" t="s">
        <v>88</v>
      </c>
      <c r="C34" s="16" t="n">
        <v>3210</v>
      </c>
      <c r="D34" s="16" t="n">
        <v>6420</v>
      </c>
      <c r="E34" s="16" t="n">
        <v>3210</v>
      </c>
      <c r="F34" s="3" t="s">
        <v>89</v>
      </c>
      <c r="G34" s="3" t="s">
        <v>90</v>
      </c>
    </row>
    <row r="35" customFormat="false" ht="15" hidden="false" customHeight="false" outlineLevel="0" collapsed="false">
      <c r="A35" s="3" t="s">
        <v>91</v>
      </c>
      <c r="B35" s="3" t="s">
        <v>92</v>
      </c>
      <c r="C35" s="16" t="n">
        <v>2410</v>
      </c>
      <c r="D35" s="16" t="n">
        <v>4815</v>
      </c>
      <c r="E35" s="16" t="n">
        <v>3210</v>
      </c>
      <c r="F35" s="3" t="s">
        <v>93</v>
      </c>
      <c r="G35" s="3"/>
    </row>
    <row r="36" customFormat="false" ht="23.85" hidden="false" customHeight="false" outlineLevel="0" collapsed="false">
      <c r="A36" s="3" t="s">
        <v>94</v>
      </c>
      <c r="B36" s="3" t="s">
        <v>92</v>
      </c>
      <c r="C36" s="16"/>
      <c r="D36" s="16" t="n">
        <v>3210</v>
      </c>
      <c r="E36" s="16"/>
      <c r="F36" s="3"/>
      <c r="G36" s="3" t="s">
        <v>95</v>
      </c>
    </row>
    <row r="37" customFormat="false" ht="23.85" hidden="false" customHeight="false" outlineLevel="0" collapsed="false">
      <c r="A37" s="3" t="s">
        <v>96</v>
      </c>
      <c r="B37" s="3" t="s">
        <v>97</v>
      </c>
      <c r="C37" s="16"/>
      <c r="D37" s="16"/>
      <c r="E37" s="16"/>
      <c r="F37" s="3"/>
      <c r="G37" s="3" t="s">
        <v>98</v>
      </c>
    </row>
    <row r="38" customFormat="false" ht="23.85" hidden="false" customHeight="false" outlineLevel="0" collapsed="false">
      <c r="A38" s="3" t="s">
        <v>99</v>
      </c>
      <c r="B38" s="3" t="s">
        <v>100</v>
      </c>
      <c r="C38" s="16"/>
      <c r="D38" s="16" t="n">
        <v>8000</v>
      </c>
      <c r="E38" s="16" t="n">
        <v>8025</v>
      </c>
      <c r="F38" s="3" t="s">
        <v>77</v>
      </c>
      <c r="G38" s="3" t="s">
        <v>101</v>
      </c>
    </row>
    <row r="39" customFormat="false" ht="15" hidden="false" customHeight="false" outlineLevel="0" collapsed="false">
      <c r="A39" s="3" t="s">
        <v>102</v>
      </c>
      <c r="B39" s="3" t="s">
        <v>103</v>
      </c>
      <c r="C39" s="16"/>
      <c r="D39" s="16"/>
      <c r="E39" s="16"/>
      <c r="F39" s="3"/>
      <c r="G39" s="3" t="s">
        <v>104</v>
      </c>
    </row>
    <row r="40" customFormat="false" ht="23.85" hidden="false" customHeight="false" outlineLevel="0" collapsed="false">
      <c r="A40" s="3" t="s">
        <v>105</v>
      </c>
      <c r="B40" s="3" t="s">
        <v>106</v>
      </c>
      <c r="C40" s="16"/>
      <c r="D40" s="16"/>
      <c r="E40" s="16" t="n">
        <v>3210</v>
      </c>
      <c r="F40" s="3" t="s">
        <v>107</v>
      </c>
      <c r="G40" s="3" t="s">
        <v>104</v>
      </c>
    </row>
    <row r="41" customFormat="false" ht="23.85" hidden="false" customHeight="false" outlineLevel="0" collapsed="false">
      <c r="A41" s="3" t="s">
        <v>108</v>
      </c>
      <c r="B41" s="3" t="s">
        <v>109</v>
      </c>
      <c r="C41" s="16"/>
      <c r="D41" s="16" t="n">
        <v>4000</v>
      </c>
      <c r="E41" s="16"/>
      <c r="F41" s="3"/>
      <c r="G41" s="3" t="s">
        <v>110</v>
      </c>
    </row>
    <row r="42" customFormat="false" ht="15" hidden="false" customHeight="false" outlineLevel="0" collapsed="false">
      <c r="A42" s="3" t="s">
        <v>111</v>
      </c>
      <c r="B42" s="3" t="s">
        <v>112</v>
      </c>
      <c r="C42" s="16"/>
      <c r="D42" s="16"/>
      <c r="E42" s="16"/>
      <c r="F42" s="3"/>
      <c r="G42" s="3" t="s">
        <v>104</v>
      </c>
    </row>
    <row r="43" customFormat="false" ht="15" hidden="false" customHeight="false" outlineLevel="0" collapsed="false">
      <c r="A43" s="3" t="s">
        <v>113</v>
      </c>
      <c r="B43" s="3" t="s">
        <v>114</v>
      </c>
      <c r="C43" s="16"/>
      <c r="D43" s="16" t="n">
        <v>8025</v>
      </c>
      <c r="E43" s="16"/>
      <c r="F43" s="3"/>
      <c r="G43" s="3" t="s">
        <v>115</v>
      </c>
    </row>
    <row r="44" customFormat="false" ht="23.85" hidden="false" customHeight="false" outlineLevel="0" collapsed="false">
      <c r="A44" s="3" t="s">
        <v>116</v>
      </c>
      <c r="B44" s="3" t="s">
        <v>117</v>
      </c>
      <c r="C44" s="16"/>
      <c r="D44" s="16"/>
      <c r="E44" s="16" t="n">
        <v>3210</v>
      </c>
      <c r="F44" s="3" t="s">
        <v>107</v>
      </c>
      <c r="G44" s="3" t="s">
        <v>118</v>
      </c>
    </row>
    <row r="45" customFormat="false" ht="15" hidden="false" customHeight="false" outlineLevel="0" collapsed="false">
      <c r="A45" s="3" t="s">
        <v>119</v>
      </c>
      <c r="B45" s="3" t="s">
        <v>120</v>
      </c>
      <c r="C45" s="16"/>
      <c r="D45" s="16"/>
      <c r="E45" s="16"/>
      <c r="F45" s="3"/>
      <c r="G45" s="3" t="s">
        <v>118</v>
      </c>
    </row>
    <row r="46" customFormat="false" ht="15" hidden="false" customHeight="false" outlineLevel="0" collapsed="false">
      <c r="A46" s="3" t="s">
        <v>121</v>
      </c>
      <c r="B46" s="3" t="s">
        <v>112</v>
      </c>
      <c r="C46" s="16"/>
      <c r="D46" s="16"/>
      <c r="E46" s="16"/>
      <c r="F46" s="3"/>
      <c r="G46" s="3" t="s">
        <v>118</v>
      </c>
    </row>
    <row r="47" customFormat="false" ht="15" hidden="false" customHeight="false" outlineLevel="0" collapsed="false">
      <c r="A47" s="3" t="s">
        <v>122</v>
      </c>
      <c r="B47" s="3" t="s">
        <v>123</v>
      </c>
      <c r="C47" s="16" t="n">
        <v>1605</v>
      </c>
      <c r="D47" s="16" t="n">
        <v>3210</v>
      </c>
      <c r="E47" s="16"/>
      <c r="F47" s="3"/>
      <c r="G47" s="3" t="s">
        <v>124</v>
      </c>
    </row>
    <row r="48" customFormat="false" ht="35.05" hidden="false" customHeight="false" outlineLevel="0" collapsed="false">
      <c r="A48" s="3" t="s">
        <v>125</v>
      </c>
      <c r="B48" s="3" t="s">
        <v>126</v>
      </c>
      <c r="C48" s="16"/>
      <c r="D48" s="16"/>
      <c r="E48" s="16"/>
      <c r="F48" s="3"/>
      <c r="G48" s="3" t="s">
        <v>127</v>
      </c>
    </row>
    <row r="49" customFormat="false" ht="23.85" hidden="false" customHeight="false" outlineLevel="0" collapsed="false">
      <c r="A49" s="3" t="s">
        <v>128</v>
      </c>
      <c r="B49" s="3" t="s">
        <v>129</v>
      </c>
      <c r="C49" s="16" t="n">
        <v>1605</v>
      </c>
      <c r="D49" s="16" t="n">
        <v>3210</v>
      </c>
      <c r="E49" s="16" t="n">
        <v>3210</v>
      </c>
      <c r="F49" s="3" t="s">
        <v>130</v>
      </c>
      <c r="G49" s="3" t="s">
        <v>131</v>
      </c>
    </row>
    <row r="50" customFormat="false" ht="23.85" hidden="false" customHeight="false" outlineLevel="0" collapsed="false">
      <c r="A50" s="3" t="s">
        <v>132</v>
      </c>
      <c r="B50" s="3" t="s">
        <v>133</v>
      </c>
      <c r="C50" s="16"/>
      <c r="D50" s="16" t="n">
        <v>210</v>
      </c>
      <c r="E50" s="16"/>
      <c r="F50" s="3"/>
      <c r="G50" s="3" t="s">
        <v>134</v>
      </c>
    </row>
    <row r="51" customFormat="false" ht="23.85" hidden="false" customHeight="false" outlineLevel="0" collapsed="false">
      <c r="A51" s="3" t="s">
        <v>135</v>
      </c>
      <c r="B51" s="3" t="s">
        <v>136</v>
      </c>
      <c r="C51" s="16"/>
      <c r="D51" s="16" t="n">
        <v>4</v>
      </c>
      <c r="E51" s="16"/>
      <c r="F51" s="3"/>
      <c r="G51" s="3" t="s">
        <v>137</v>
      </c>
    </row>
    <row r="53" customFormat="false" ht="22.35" hidden="false" customHeight="true" outlineLevel="0" collapsed="false">
      <c r="A53" s="15" t="s">
        <v>138</v>
      </c>
      <c r="B53" s="15"/>
      <c r="C53" s="15"/>
      <c r="D53" s="15"/>
      <c r="E53" s="15"/>
      <c r="F53" s="15"/>
      <c r="G53" s="15"/>
    </row>
  </sheetData>
  <mergeCells count="4">
    <mergeCell ref="A1:G1"/>
    <mergeCell ref="A2:G2"/>
    <mergeCell ref="A21:G21"/>
    <mergeCell ref="A53:G53"/>
  </mergeCells>
  <dataValidations count="1">
    <dataValidation allowBlank="true" errorStyle="stop" operator="between" showDropDown="false" showErrorMessage="false" showInputMessage="false" sqref="B9" type="list">
      <formula1>$A$24:$A$51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72"/>
    <col collapsed="false" customWidth="true" hidden="false" outlineLevel="0" max="3" min="3" style="0" width="24"/>
    <col collapsed="false" customWidth="true" hidden="false" outlineLevel="0" max="4" min="4" style="0" width="52"/>
  </cols>
  <sheetData>
    <row r="1" customFormat="false" ht="17.35" hidden="false" customHeight="false" outlineLevel="0" collapsed="false">
      <c r="A1" s="1" t="s">
        <v>139</v>
      </c>
      <c r="B1" s="1"/>
      <c r="C1" s="1"/>
      <c r="D1" s="1"/>
    </row>
    <row r="2" customFormat="false" ht="15" hidden="false" customHeight="false" outlineLevel="0" collapsed="false">
      <c r="A2" s="2" t="s">
        <v>140</v>
      </c>
      <c r="B2" s="2"/>
      <c r="C2" s="2"/>
      <c r="D2" s="2"/>
    </row>
    <row r="5" customFormat="false" ht="31.5" hidden="false" customHeight="true" outlineLevel="0" collapsed="false">
      <c r="A5" s="9" t="s">
        <v>49</v>
      </c>
      <c r="B5" s="9" t="s">
        <v>141</v>
      </c>
      <c r="C5" s="9" t="s">
        <v>142</v>
      </c>
      <c r="D5" s="9" t="s">
        <v>55</v>
      </c>
    </row>
    <row r="6" customFormat="false" ht="23.85" hidden="false" customHeight="false" outlineLevel="0" collapsed="false">
      <c r="A6" s="3" t="s">
        <v>143</v>
      </c>
      <c r="B6" s="3" t="s">
        <v>144</v>
      </c>
      <c r="C6" s="3" t="s">
        <v>145</v>
      </c>
      <c r="D6" s="3"/>
    </row>
    <row r="7" customFormat="false" ht="15" hidden="false" customHeight="false" outlineLevel="0" collapsed="false">
      <c r="A7" s="3" t="s">
        <v>146</v>
      </c>
      <c r="B7" s="3" t="s">
        <v>147</v>
      </c>
      <c r="C7" s="3" t="s">
        <v>148</v>
      </c>
      <c r="D7" s="3" t="s">
        <v>149</v>
      </c>
    </row>
    <row r="8" customFormat="false" ht="23.85" hidden="false" customHeight="false" outlineLevel="0" collapsed="false">
      <c r="A8" s="3" t="s">
        <v>150</v>
      </c>
      <c r="B8" s="3" t="s">
        <v>151</v>
      </c>
      <c r="C8" s="3" t="s">
        <v>152</v>
      </c>
      <c r="D8" s="3"/>
    </row>
    <row r="9" customFormat="false" ht="23.85" hidden="false" customHeight="false" outlineLevel="0" collapsed="false">
      <c r="A9" s="3" t="s">
        <v>153</v>
      </c>
      <c r="B9" s="3" t="s">
        <v>154</v>
      </c>
      <c r="C9" s="3" t="s">
        <v>155</v>
      </c>
      <c r="D9" s="3" t="s">
        <v>156</v>
      </c>
    </row>
    <row r="10" customFormat="false" ht="23.85" hidden="false" customHeight="false" outlineLevel="0" collapsed="false">
      <c r="A10" s="3" t="s">
        <v>157</v>
      </c>
      <c r="B10" s="3" t="s">
        <v>158</v>
      </c>
      <c r="C10" s="3" t="s">
        <v>159</v>
      </c>
      <c r="D10" s="3" t="s">
        <v>160</v>
      </c>
    </row>
    <row r="11" customFormat="false" ht="15" hidden="false" customHeight="false" outlineLevel="0" collapsed="false">
      <c r="A11" s="3" t="s">
        <v>161</v>
      </c>
      <c r="B11" s="3" t="s">
        <v>162</v>
      </c>
      <c r="C11" s="3" t="s">
        <v>163</v>
      </c>
      <c r="D11" s="3"/>
    </row>
    <row r="12" customFormat="false" ht="15" hidden="false" customHeight="false" outlineLevel="0" collapsed="false">
      <c r="A12" s="3" t="s">
        <v>164</v>
      </c>
      <c r="B12" s="3" t="s">
        <v>165</v>
      </c>
      <c r="C12" s="3" t="s">
        <v>166</v>
      </c>
      <c r="D12" s="3"/>
    </row>
    <row r="13" customFormat="false" ht="23.85" hidden="false" customHeight="false" outlineLevel="0" collapsed="false">
      <c r="A13" s="3" t="s">
        <v>167</v>
      </c>
      <c r="B13" s="3" t="s">
        <v>168</v>
      </c>
      <c r="C13" s="3" t="s">
        <v>169</v>
      </c>
      <c r="D13" s="3" t="s">
        <v>170</v>
      </c>
    </row>
    <row r="14" customFormat="false" ht="15" hidden="false" customHeight="false" outlineLevel="0" collapsed="false">
      <c r="A14" s="3" t="s">
        <v>171</v>
      </c>
      <c r="B14" s="3" t="s">
        <v>172</v>
      </c>
      <c r="C14" s="3" t="s">
        <v>173</v>
      </c>
      <c r="D14" s="3"/>
    </row>
    <row r="15" customFormat="false" ht="15" hidden="false" customHeight="false" outlineLevel="0" collapsed="false">
      <c r="A15" s="3" t="s">
        <v>174</v>
      </c>
      <c r="B15" s="3" t="s">
        <v>175</v>
      </c>
      <c r="C15" s="3" t="s">
        <v>176</v>
      </c>
      <c r="D15" s="3"/>
    </row>
    <row r="16" customFormat="false" ht="15" hidden="false" customHeight="false" outlineLevel="0" collapsed="false">
      <c r="A16" s="3" t="s">
        <v>177</v>
      </c>
      <c r="B16" s="3" t="s">
        <v>178</v>
      </c>
      <c r="C16" s="3" t="s">
        <v>179</v>
      </c>
      <c r="D16" s="3" t="s">
        <v>180</v>
      </c>
    </row>
    <row r="17" customFormat="false" ht="15" hidden="false" customHeight="false" outlineLevel="0" collapsed="false">
      <c r="A17" s="3" t="s">
        <v>181</v>
      </c>
      <c r="B17" s="3" t="s">
        <v>182</v>
      </c>
      <c r="C17" s="3" t="s">
        <v>183</v>
      </c>
      <c r="D17" s="3"/>
    </row>
    <row r="18" customFormat="false" ht="15" hidden="false" customHeight="false" outlineLevel="0" collapsed="false">
      <c r="A18" s="3" t="s">
        <v>184</v>
      </c>
      <c r="B18" s="3" t="s">
        <v>185</v>
      </c>
      <c r="C18" s="3" t="s">
        <v>186</v>
      </c>
      <c r="D18" s="3"/>
    </row>
    <row r="21" customFormat="false" ht="15" hidden="false" customHeight="false" outlineLevel="0" collapsed="false">
      <c r="A21" s="17" t="s">
        <v>187</v>
      </c>
    </row>
    <row r="22" customFormat="false" ht="15" hidden="false" customHeight="true" outlineLevel="0" collapsed="false">
      <c r="A22" s="3" t="s">
        <v>188</v>
      </c>
      <c r="B22" s="3"/>
      <c r="C22" s="3"/>
      <c r="D22" s="3"/>
    </row>
    <row r="23" customFormat="false" ht="15" hidden="false" customHeight="true" outlineLevel="0" collapsed="false">
      <c r="A23" s="3" t="s">
        <v>189</v>
      </c>
      <c r="B23" s="3"/>
      <c r="C23" s="3"/>
      <c r="D23" s="3"/>
    </row>
    <row r="24" customFormat="false" ht="15" hidden="false" customHeight="true" outlineLevel="0" collapsed="false">
      <c r="A24" s="3" t="s">
        <v>190</v>
      </c>
      <c r="B24" s="3"/>
      <c r="C24" s="3"/>
      <c r="D24" s="3"/>
    </row>
    <row r="25" customFormat="false" ht="15" hidden="false" customHeight="true" outlineLevel="0" collapsed="false">
      <c r="A25" s="3" t="s">
        <v>191</v>
      </c>
      <c r="B25" s="3"/>
      <c r="C25" s="3"/>
      <c r="D25" s="3"/>
    </row>
  </sheetData>
  <mergeCells count="6">
    <mergeCell ref="A1:D1"/>
    <mergeCell ref="A2:D2"/>
    <mergeCell ref="A22:D22"/>
    <mergeCell ref="A23:D23"/>
    <mergeCell ref="A24:D24"/>
    <mergeCell ref="A25:D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78"/>
    <col collapsed="false" customWidth="true" hidden="false" outlineLevel="0" max="3" min="3" style="0" width="28"/>
  </cols>
  <sheetData>
    <row r="1" customFormat="false" ht="17.35" hidden="false" customHeight="false" outlineLevel="0" collapsed="false">
      <c r="A1" s="1" t="s">
        <v>192</v>
      </c>
      <c r="B1" s="1"/>
      <c r="C1" s="1"/>
    </row>
    <row r="2" customFormat="false" ht="15" hidden="false" customHeight="false" outlineLevel="0" collapsed="false">
      <c r="A2" s="2" t="s">
        <v>193</v>
      </c>
      <c r="B2" s="2"/>
      <c r="C2" s="2"/>
    </row>
    <row r="5" customFormat="false" ht="31.5" hidden="false" customHeight="true" outlineLevel="0" collapsed="false">
      <c r="A5" s="9" t="s">
        <v>194</v>
      </c>
      <c r="B5" s="9" t="s">
        <v>195</v>
      </c>
      <c r="C5" s="9" t="s">
        <v>196</v>
      </c>
    </row>
    <row r="6" customFormat="false" ht="15" hidden="false" customHeight="false" outlineLevel="0" collapsed="false">
      <c r="A6" s="3" t="s">
        <v>197</v>
      </c>
      <c r="B6" s="3" t="s">
        <v>198</v>
      </c>
      <c r="C6" s="3" t="s">
        <v>199</v>
      </c>
    </row>
    <row r="7" customFormat="false" ht="23.85" hidden="false" customHeight="false" outlineLevel="0" collapsed="false">
      <c r="A7" s="3" t="s">
        <v>200</v>
      </c>
      <c r="B7" s="3" t="s">
        <v>201</v>
      </c>
      <c r="C7" s="3" t="s">
        <v>199</v>
      </c>
    </row>
    <row r="8" customFormat="false" ht="15" hidden="false" customHeight="false" outlineLevel="0" collapsed="false">
      <c r="A8" s="3" t="s">
        <v>202</v>
      </c>
      <c r="B8" s="3" t="s">
        <v>203</v>
      </c>
      <c r="C8" s="3" t="s">
        <v>204</v>
      </c>
    </row>
    <row r="9" customFormat="false" ht="15" hidden="false" customHeight="false" outlineLevel="0" collapsed="false">
      <c r="A9" s="3" t="s">
        <v>205</v>
      </c>
      <c r="B9" s="3" t="s">
        <v>206</v>
      </c>
      <c r="C9" s="3" t="s">
        <v>204</v>
      </c>
    </row>
    <row r="10" customFormat="false" ht="15" hidden="false" customHeight="false" outlineLevel="0" collapsed="false">
      <c r="A10" s="3" t="s">
        <v>207</v>
      </c>
      <c r="B10" s="3" t="s">
        <v>208</v>
      </c>
      <c r="C10" s="3" t="s">
        <v>199</v>
      </c>
    </row>
    <row r="11" customFormat="false" ht="23.85" hidden="false" customHeight="false" outlineLevel="0" collapsed="false">
      <c r="A11" s="3" t="s">
        <v>209</v>
      </c>
      <c r="B11" s="3" t="s">
        <v>210</v>
      </c>
      <c r="C11" s="3" t="s">
        <v>211</v>
      </c>
    </row>
    <row r="12" customFormat="false" ht="23.85" hidden="false" customHeight="false" outlineLevel="0" collapsed="false">
      <c r="A12" s="3" t="s">
        <v>212</v>
      </c>
      <c r="B12" s="3" t="s">
        <v>213</v>
      </c>
      <c r="C12" s="3" t="s">
        <v>211</v>
      </c>
    </row>
    <row r="13" customFormat="false" ht="15" hidden="false" customHeight="false" outlineLevel="0" collapsed="false">
      <c r="A13" s="3" t="s">
        <v>214</v>
      </c>
      <c r="B13" s="3" t="s">
        <v>215</v>
      </c>
      <c r="C13" s="3" t="s">
        <v>204</v>
      </c>
    </row>
    <row r="14" customFormat="false" ht="15" hidden="false" customHeight="false" outlineLevel="0" collapsed="false">
      <c r="A14" s="3" t="s">
        <v>216</v>
      </c>
      <c r="B14" s="3" t="s">
        <v>217</v>
      </c>
      <c r="C14" s="3" t="s">
        <v>218</v>
      </c>
    </row>
    <row r="15" customFormat="false" ht="23.85" hidden="false" customHeight="false" outlineLevel="0" collapsed="false">
      <c r="A15" s="3" t="s">
        <v>219</v>
      </c>
      <c r="B15" s="3" t="s">
        <v>220</v>
      </c>
      <c r="C15" s="3" t="s">
        <v>199</v>
      </c>
    </row>
    <row r="16" customFormat="false" ht="15" hidden="false" customHeight="false" outlineLevel="0" collapsed="false">
      <c r="A16" s="3" t="s">
        <v>221</v>
      </c>
      <c r="B16" s="3" t="s">
        <v>222</v>
      </c>
      <c r="C16" s="3" t="s">
        <v>199</v>
      </c>
    </row>
    <row r="17" customFormat="false" ht="15" hidden="false" customHeight="false" outlineLevel="0" collapsed="false">
      <c r="A17" s="3" t="s">
        <v>223</v>
      </c>
      <c r="B17" s="3" t="s">
        <v>224</v>
      </c>
      <c r="C17" s="3" t="s">
        <v>199</v>
      </c>
    </row>
    <row r="18" customFormat="false" ht="15" hidden="false" customHeight="false" outlineLevel="0" collapsed="false">
      <c r="A18" s="3" t="s">
        <v>225</v>
      </c>
      <c r="B18" s="3" t="s">
        <v>226</v>
      </c>
      <c r="C18" s="3" t="s">
        <v>199</v>
      </c>
    </row>
    <row r="19" customFormat="false" ht="23.85" hidden="false" customHeight="false" outlineLevel="0" collapsed="false">
      <c r="A19" s="3" t="s">
        <v>227</v>
      </c>
      <c r="B19" s="3" t="s">
        <v>228</v>
      </c>
      <c r="C19" s="3" t="s">
        <v>211</v>
      </c>
    </row>
    <row r="20" customFormat="false" ht="15" hidden="false" customHeight="false" outlineLevel="0" collapsed="false">
      <c r="A20" s="3" t="s">
        <v>229</v>
      </c>
      <c r="B20" s="3" t="s">
        <v>230</v>
      </c>
      <c r="C20" s="3" t="s">
        <v>204</v>
      </c>
    </row>
    <row r="21" customFormat="false" ht="15" hidden="false" customHeight="false" outlineLevel="0" collapsed="false">
      <c r="A21" s="3" t="s">
        <v>231</v>
      </c>
      <c r="B21" s="3" t="s">
        <v>232</v>
      </c>
      <c r="C21" s="3" t="s">
        <v>204</v>
      </c>
    </row>
    <row r="22" customFormat="false" ht="15" hidden="false" customHeight="false" outlineLevel="0" collapsed="false">
      <c r="A22" s="3" t="s">
        <v>233</v>
      </c>
      <c r="B22" s="3" t="s">
        <v>234</v>
      </c>
      <c r="C22" s="3" t="s">
        <v>204</v>
      </c>
    </row>
    <row r="23" customFormat="false" ht="15" hidden="false" customHeight="false" outlineLevel="0" collapsed="false">
      <c r="A23" s="3" t="s">
        <v>235</v>
      </c>
      <c r="B23" s="3" t="s">
        <v>236</v>
      </c>
      <c r="C23" s="3" t="s">
        <v>199</v>
      </c>
    </row>
    <row r="24" customFormat="false" ht="15" hidden="false" customHeight="false" outlineLevel="0" collapsed="false">
      <c r="A24" s="3" t="s">
        <v>237</v>
      </c>
      <c r="B24" s="3" t="s">
        <v>238</v>
      </c>
      <c r="C24" s="3" t="s">
        <v>204</v>
      </c>
    </row>
    <row r="25" customFormat="false" ht="15" hidden="false" customHeight="false" outlineLevel="0" collapsed="false">
      <c r="A25" s="3" t="s">
        <v>239</v>
      </c>
      <c r="B25" s="3" t="s">
        <v>240</v>
      </c>
      <c r="C25" s="3" t="s">
        <v>199</v>
      </c>
    </row>
    <row r="26" customFormat="false" ht="15" hidden="false" customHeight="false" outlineLevel="0" collapsed="false">
      <c r="A26" s="3" t="s">
        <v>241</v>
      </c>
      <c r="B26" s="3" t="s">
        <v>242</v>
      </c>
      <c r="C26" s="3" t="s">
        <v>211</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2026-09-07T21:19:08Z</dcterms:created>
  <dc:creator>openpyxl</dc:creator>
  <dc:description/>
  <dc:language>en-US</dc:language>
  <cp:lastModifiedBy/>
  <dcterms:modified xsi:type="dcterms:W3CDTF">2026-09-07T21:19:08Z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