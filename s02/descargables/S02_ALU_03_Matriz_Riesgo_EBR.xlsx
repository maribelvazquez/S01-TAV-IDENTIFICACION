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A1 EXPOSICION" sheetId="2" state="visible" r:id="rId4"/>
    <sheet name="A2 CONSECUENCIAS" sheetId="3" state="visible" r:id="rId5"/>
    <sheet name="A3 INHERENTE" sheetId="4" state="visible" r:id="rId6"/>
    <sheet name="A4 CONTROLES MINIMOS" sheetId="5" state="visible" r:id="rId7"/>
    <sheet name="A4 BIS ADICIONALES" sheetId="6" state="visible" r:id="rId8"/>
    <sheet name="A5 RESIDUAL" sheetId="7" state="visible" r:id="rId9"/>
    <sheet name="A6 TABLERO" sheetId="8" state="visible" r:id="rId10"/>
    <sheet name="A7 NUEVOS PRODUCTOS" sheetId="9" state="visible" r:id="rId11"/>
    <sheet name="A8 TOLERANCIA" sheetId="10" state="visible" r:id="rId12"/>
    <sheet name="A9 CONSTANCIA Y FUENTES" sheetId="11" state="visible" r:id="rId13"/>
    <sheet name="PRODUCTOS" sheetId="12" state="visible" r:id="rId14"/>
    <sheet name="VARIABLES" sheetId="13" state="visible" r:id="rId15"/>
    <sheet name="B CLIENTE" sheetId="14" state="visible" r:id="rId16"/>
    <sheet name="PARAMETROS" sheetId="15" state="visible" r:id="rId17"/>
    <sheet name="CATALOGO" sheetId="16" state="visible" r:id="rId18"/>
    <sheet name="BASE" sheetId="17" state="visible" r:id="rId19"/>
  </sheets>
  <definedNames>
    <definedName function="false" hidden="false" name="V_F01" vbProcedure="false">VARIABLES!$E$8:$E$13</definedName>
    <definedName function="false" hidden="false" name="V_F02" vbProcedure="false">VARIABLES!$E$14:$E$20</definedName>
    <definedName function="false" hidden="false" name="V_F03" vbProcedure="false">VARIABLES!$E$21:$E$28</definedName>
    <definedName function="false" hidden="false" name="V_F04" vbProcedure="false">VARIABLES!$E$29:$E$32</definedName>
    <definedName function="false" hidden="false" name="V_F05" vbProcedure="false">VARIABLES!$E$33:$E$37</definedName>
    <definedName function="false" hidden="false" name="V_F06" vbProcedure="false">VARIABLES!$E$38:$E$43</definedName>
    <definedName function="false" hidden="false" name="V_F07" vbProcedure="false">VARIABLES!$E$44:$E$47</definedName>
    <definedName function="false" hidden="false" name="V_F08" vbProcedure="false">VARIABLES!$E$48:$E$52</definedName>
    <definedName function="false" hidden="false" name="V_F09" vbProcedure="false">VARIABLES!$E$53:$E$56</definedName>
    <definedName function="false" hidden="false" name="V_F10" vbProcedure="false">VARIABLES!$E$57:$E$60</definedName>
    <definedName function="false" hidden="false" name="V_F11" vbProcedure="false">PRODUCTOS!$C$8:$C$13</definedName>
    <definedName function="false" hidden="false" name="V_F12" vbProcedure="false">VARIABLES!$E$61:$E$65</definedName>
    <definedName function="false" hidden="false" name="V_F13" vbProcedure="false">VARIABLES!$E$66:$E$70</definedName>
    <definedName function="false" hidden="false" name="V_F14" vbProcedure="false">VARIABLES!$E$71:$E$74</definedName>
    <definedName function="false" hidden="false" name="V_F15" vbProcedure="false">VARIABLES!$E$75:$E$80</definedName>
    <definedName function="false" hidden="false" name="V_F16" vbProcedure="false">VARIABLES!$E$81:$E$84</definedName>
    <definedName function="false" hidden="false" name="V_F17" vbProcedure="false">VARIABLES!$E$85:$E$89</definedName>
    <definedName function="false" hidden="false" name="V_F18" vbProcedure="false">VARIABLES!$E$90:$E$93</definedName>
    <definedName function="false" hidden="false" name="V_F19" vbProcedure="false">VARIABLES!$E$94:$E$98</definedName>
    <definedName function="false" hidden="false" name="V_F20" vbProcedure="false">VARIABLES!$E$99:$E$101</definedName>
    <definedName function="false" hidden="false" name="V_F21" vbProcedure="false">VARIABLES!$E$102:$E$104</definedName>
    <definedName function="false" hidden="false" name="V_F22" vbProcedure="false">VARIABLES!$E$105:$E$107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<sst xmlns="http://schemas.openxmlformats.org/spreadsheetml/2006/main" count="6389" uniqueCount="2083">
  <si>
    <t xml:space="preserve">v9.0 · 1 de septiembre de 2026 · modelo de cliente de 22 factores</t>
  </si>
  <si>
    <t xml:space="preserve">HERRAMIENTA DE EVALUACIÓN DE RIESGO EBR · ACTIVIDADES VULNERABLES (LFPIORPI)</t>
  </si>
  <si>
    <t xml:space="preserve">Determina tu riesgo inherente y residual conforme a las Reglas (Cap. II Quáter y III Bis/III Ter), la Guía CNBV y GAFILAT.</t>
  </si>
  <si>
    <t xml:space="preserve">NOTA: trae un EJEMPLO completo precargado (una inmobiliaria, fracción V). Todo lo que está en texto azul es del ejemplo: sustitúyelo por lo tuyo.</t>
  </si>
  <si>
    <t xml:space="preserve">Paso 1 de 10  ·  Configura antes en PARÁMETROS  ·  Sigue: A9 secciones 1 y 2 (ENR y conciliación), y luego A1</t>
  </si>
  <si>
    <t xml:space="preserve">CÓMO USAR</t>
  </si>
  <si>
    <t xml:space="preserve">1. Abre primero PARÁMETROS: actualiza el valor de la UMA y declara tu nivel de tolerancia al riesgo. Se hace una vez al año.</t>
  </si>
  <si>
    <t xml:space="preserve">2. Aquí en INICIO elige tu Actividad Vulnerable —se precargan tus umbrales— y captura los datos de tu entidad y las tres cifras de doce meses (Art. 10 Septies 2, fr. II).</t>
  </si>
  <si>
    <t xml:space="preserve">3. Ve a «A9» secciones 1 y 2 ANTES de capturar nada: la Evaluación Nacional de Riesgos que tomaste en cuenta, y la conciliación de tus tres cifras contra tu mecanismo automatizado.</t>
  </si>
  <si>
    <t xml:space="preserve">4. En «A1 EXPOSICION» reparte 100% entre Alto/Medio/Bajo en cada indicador y asigna los dos pesos —el del indicador y el del elemento— con su justificación escrita. En «A2» describe qué pasaría si el riesgo se materializa.</t>
  </si>
  <si>
    <t xml:space="preserve">5. Revisa el inherente en «A3». En «A4 CONTROLES MINIMOS» califica las 14 obligaciones del Manual (Art. 37 Bis) y anota numeral y evidencia: sin los dos, la obligación cuenta cero. Los controles extra van en «A4 BIS».</t>
  </si>
  <si>
    <t xml:space="preserve">6. Lee el residual en «A5» y el resumen en «A6». Cierra en «A8» (tolerancia, fecha de revisión y plan de acción) y en «A9» secciones 3 a 7 (aprobación, plazos y conservación).</t>
  </si>
  <si>
    <t xml:space="preserve">7. APARTE, para clasificar clientes: «PRODUCTOS» con lo que ofreces, «VARIABLES» como catálogo, y «B CLIENTE» uno por uno. Es otra obligación (Art. 23 Bis). Y antes de cada lanzamiento, una ficha en «A7».</t>
  </si>
  <si>
    <t xml:space="preserve">LEYENDA</t>
  </si>
  <si>
    <t xml:space="preserve">Amarillo = tú capturas</t>
  </si>
  <si>
    <t xml:space="preserve">Verde = viene de otra hoja</t>
  </si>
  <si>
    <t xml:space="preserve">Negro = se calcula solo</t>
  </si>
  <si>
    <t xml:space="preserve">Texto azul = dato de ejemplo: sustitúyelo</t>
  </si>
  <si>
    <t xml:space="preserve">Gris = referencia fija: no se edita</t>
  </si>
  <si>
    <t xml:space="preserve">Texto rojo = aviso · Relleno azul = resultado clave</t>
  </si>
  <si>
    <t xml:space="preserve">PASO 1 · SELECCIONA TU ACTIVIDAD VULNERABLE</t>
  </si>
  <si>
    <t xml:space="preserve">Actividad Vulnerable:</t>
  </si>
  <si>
    <t xml:space="preserve">V - Construcción/comercialización inmuebles</t>
  </si>
  <si>
    <t xml:space="preserve">Fracción Art. 17:</t>
  </si>
  <si>
    <t xml:space="preserve">Umbral de identificación (UMA):</t>
  </si>
  <si>
    <t xml:space="preserve">Umbral de aviso (UMA):</t>
  </si>
  <si>
    <t xml:space="preserve">Umbral de identificación (MXN):</t>
  </si>
  <si>
    <t xml:space="preserve">Umbral de aviso (MXN):</t>
  </si>
  <si>
    <t xml:space="preserve">PASO 2 · DATOS DE LA ENTIDAD</t>
  </si>
  <si>
    <t xml:space="preserve">Denominación o razón social:</t>
  </si>
  <si>
    <t xml:space="preserve">Inmobiliaria Ejemplo, S.A. de C.V.</t>
  </si>
  <si>
    <t xml:space="preserve">Nombre corto o comercial:</t>
  </si>
  <si>
    <t xml:space="preserve">Inmobiliaria Ejemplo</t>
  </si>
  <si>
    <t xml:space="preserve">Representante / Encargado de Cumplimiento:</t>
  </si>
  <si>
    <t xml:space="preserve">María Ejemplo Ruiz — Representante Encargada de Cumplimiento</t>
  </si>
  <si>
    <t xml:space="preserve">Fecha de la evaluación:</t>
  </si>
  <si>
    <t xml:space="preserve">Periodo analizado (inicio):</t>
  </si>
  <si>
    <t xml:space="preserve">Periodo analizado (fin, mín. 12 meses):</t>
  </si>
  <si>
    <t xml:space="preserve">PASO 3 · DATOS DE 12 MESES (base de la evaluación, Art. 10 Septies 2)</t>
  </si>
  <si>
    <t xml:space="preserve">Número total de Clientes/Usuarias:</t>
  </si>
  <si>
    <t xml:space="preserve">Número total de actos u operaciones:</t>
  </si>
  <si>
    <t xml:space="preserve">Monto total operado (MXN):</t>
  </si>
  <si>
    <t xml:space="preserve">Revisa y actualiza al menos cada 12 meses o al actualizarse la ENR. Conserva la documentación 10 años.</t>
  </si>
  <si>
    <t xml:space="preserve">ESTADO DE AVANCE — REVÍSALO ANTES DE IMPRIMIR, FIRMAR O ENTREGAR</t>
  </si>
  <si>
    <t xml:space="preserve">Verificación</t>
  </si>
  <si>
    <t xml:space="preserve">Dato</t>
  </si>
  <si>
    <t xml:space="preserve">Estatus</t>
  </si>
  <si>
    <t xml:space="preserve">Indicadores cuyo reparto Alto/Medio/Bajo no suma 100%</t>
  </si>
  <si>
    <t xml:space="preserve">Suma de los pesos de los cuatro elementos (debe ser 100%)</t>
  </si>
  <si>
    <t xml:space="preserve">Indicadores excluidos sin justificación escrita</t>
  </si>
  <si>
    <t xml:space="preserve">Obligaciones del catálogo sin calificar</t>
  </si>
  <si>
    <t xml:space="preserve">Obligaciones del catálogo en «No cumple»</t>
  </si>
  <si>
    <t xml:space="preserve">Exclusiones del catálogo sin constancia en el Manual</t>
  </si>
  <si>
    <t xml:space="preserve">Datos obligatorios pendientes en la constancia A9</t>
  </si>
  <si>
    <t xml:space="preserve">A1 · EXPOSICIÓN — Captura tu concentración de negocio (12 meses)</t>
  </si>
  <si>
    <t xml:space="preserve">Por cada indicador reparte el 100% entre Alto/Medio/Bajo. Calificación = qué tan riesgoso; Concentración = qué tan expuesto; Riesgo = Calif × Conc. Un indicador en «No» sale del numerador y del denominador.</t>
  </si>
  <si>
    <t xml:space="preserve">Paso 3 de 10  ·  Viene de: A9 §1 y §2  ·  Sigue: A2 CONSECUENCIAS</t>
  </si>
  <si>
    <t xml:space="preserve">OJO · La unidad del reparto cambia según el indicador: en unos el 100 % se reparte sobre el NÚMERO DE CLIENTES o de operaciones, y en otros sobre los MONTOS OPERADOS (por ejemplo tipo de moneda, monto frente a umbrales o instrumento monetario). Lee la columna «Guía» de cada renglón antes de capturar, y anota en «Justificación» sobre qué lo repartiste.</t>
  </si>
  <si>
    <t xml:space="preserve">GRIS = obligatorio (139 Quáter / 400 Bis): no admite «No». AMARILLO = tú decides si aplica.</t>
  </si>
  <si>
    <t xml:space="preserve">Elem.</t>
  </si>
  <si>
    <t xml:space="preserve">#</t>
  </si>
  <si>
    <t xml:space="preserve">Indicador</t>
  </si>
  <si>
    <t xml:space="preserve">Atiende</t>
  </si>
  <si>
    <t xml:space="preserve">Fuente</t>
  </si>
  <si>
    <t xml:space="preserve">Aplica</t>
  </si>
  <si>
    <t xml:space="preserve">Guía ALTO</t>
  </si>
  <si>
    <t xml:space="preserve">Guía MEDIO</t>
  </si>
  <si>
    <t xml:space="preserve">Guía BAJO</t>
  </si>
  <si>
    <t xml:space="preserve">% Alto</t>
  </si>
  <si>
    <t xml:space="preserve">% Medio</t>
  </si>
  <si>
    <t xml:space="preserve">% Bajo</t>
  </si>
  <si>
    <t xml:space="preserve">Suma</t>
  </si>
  <si>
    <t xml:space="preserve">Peso (relativo dentro del elemento)</t>
  </si>
  <si>
    <t xml:space="preserve">Calif.</t>
  </si>
  <si>
    <t xml:space="preserve">Conc.</t>
  </si>
  <si>
    <t xml:space="preserve">Riesgo</t>
  </si>
  <si>
    <t xml:space="preserve">Justificación (del No aplica o del peso)</t>
  </si>
  <si>
    <t xml:space="preserve">Valor unitario de la operación</t>
  </si>
  <si>
    <t xml:space="preserve">B</t>
  </si>
  <si>
    <t xml:space="preserve">Sí</t>
  </si>
  <si>
    <t xml:space="preserve">Es el elemento de mayor exposicion del giro: el ticket promedio del periodo supera por si solo el umbral de aviso, de modo que casi toda la operacion nace ya dentro del regimen.</t>
  </si>
  <si>
    <t xml:space="preserve">Liquidez: facilidad de convertir en dinero</t>
  </si>
  <si>
    <t xml:space="preserve">El inmueble es el activo menos liquido del catalogo del Art. 17; la conversion exige escritura publica y registro, lo que reduce su atractivo para colocacion rapida.</t>
  </si>
  <si>
    <t xml:space="preserve">Anonimato: si el beneficiario queda a la vista</t>
  </si>
  <si>
    <t xml:space="preserve">Peso alto: la interposicion de terceros y la compra a traves de personas morales de reciente constitucion es la tipologia inmobiliaria dominante en la ENR.</t>
  </si>
  <si>
    <t xml:space="preserve">Ocultamiento de valor en el precio</t>
  </si>
  <si>
    <t xml:space="preserve">400 Bis</t>
  </si>
  <si>
    <t xml:space="preserve">Peso alto por mandato del ultimo parrafo del Art. 10 Septies 1: es el indicador de 400 Bis del elemento, y la transferencia de valor via inmueble es el mecanismo tipico de integracion.</t>
  </si>
  <si>
    <t xml:space="preserve">Exposición a personas señaladas por terrorismo</t>
  </si>
  <si>
    <t xml:space="preserve">139 Quáter</t>
  </si>
  <si>
    <t xml:space="preserve">Se mantiene por obligacion normativa como indicador de 139 Quater del elemento, con peso bajo: no se detectaron contrapartes ni destinos vinculados a financiamiento al terrorismo en el periodo.</t>
  </si>
  <si>
    <t xml:space="preserve">Tipo de persona</t>
  </si>
  <si>
    <t xml:space="preserve">A</t>
  </si>
  <si>
    <t xml:space="preserve">La estructura del cliente es el primer discriminante del giro: persona moral con socios no identificables concentra la mayor parte de las alertas del periodo.</t>
  </si>
  <si>
    <t xml:space="preserve">Antigüedad del Cliente</t>
  </si>
  <si>
    <t xml:space="preserve">Peso bajo: la antiguedad por si sola discrimina poco, pero se conserva porque la sociedad constituida en el mismo ejercicio de la compra es senal de alerta reconocida.</t>
  </si>
  <si>
    <t xml:space="preserve">Giro o actividad declarada</t>
  </si>
  <si>
    <t xml:space="preserve">El giro del cliente explica la congruencia entre el precio del inmueble y su capacidad economica declarada; es la pregunta que abre cualquier revision.</t>
  </si>
  <si>
    <t xml:space="preserve">Nacionalidad</t>
  </si>
  <si>
    <t xml:space="preserve">Peso bajo: la nacionalidad aisladamente no explica riesgo. Su efecto real se mide en el indicador de residencia y en el elemento 3.</t>
  </si>
  <si>
    <t xml:space="preserve">País y entidad de residencia</t>
  </si>
  <si>
    <t xml:space="preserve">Peso medio bajo: la residencia fuera de la plaza donde esta el inmueble es senal util, pero se pondera junto con el indicador 17 para no contar dos veces lo mismo.</t>
  </si>
  <si>
    <t xml:space="preserve">Condición de Persona Políticamente Expuesta</t>
  </si>
  <si>
    <t xml:space="preserve">D</t>
  </si>
  <si>
    <t xml:space="preserve">Indicador de 400 Bis del elemento. Peso relevante: la condicion PEP dispara seguimiento reforzado por el Art. 23 Bis 3, y la PEP extranjera fuerza grado alto por el Art. 23 Bis 4.</t>
  </si>
  <si>
    <t xml:space="preserve">Resultado de la búsqueda en listas</t>
  </si>
  <si>
    <t xml:space="preserve">Indicador de 139 Quater del elemento. Peso contenido porque la validacion contra listas esta automatizada y se ejecuta al 100% de las operaciones.</t>
  </si>
  <si>
    <t xml:space="preserve">Profundidad de la cadena de control</t>
  </si>
  <si>
    <t xml:space="preserve">Peso alto: desde el 30 de noviembre de 2026 desaparece la constancia declarativa en persona moral y fideicomiso, y hay que identificar al Beneficiario Controlador. La complejidad de la cadena es riesgo medible.</t>
  </si>
  <si>
    <t xml:space="preserve">País donde se realiza la operación</t>
  </si>
  <si>
    <t xml:space="preserve">C+D</t>
  </si>
  <si>
    <t xml:space="preserve">Indicador de 400 Bis del elemento y el de mayor peso: la jurisdiccion donde se ubica el inmueble determina el marco registral y la trazabilidad real de la operacion.</t>
  </si>
  <si>
    <t xml:space="preserve">Entidad o municipio de la operación</t>
  </si>
  <si>
    <t xml:space="preserve">Peso equivalente al anterior: la plaza nacional concentra la exposicion. Dos de los desarrollos del periodo estan en municipios senalados en la ENR.</t>
  </si>
  <si>
    <t xml:space="preserve">Vínculo con jurisdicción sancionada o de acción requerida</t>
  </si>
  <si>
    <t xml:space="preserve">Indicador de 139 Quater del elemento, con peso bajo: la operacion del periodo fue integramente nacional, sin contrapartes en jurisdicciones sancionadas.</t>
  </si>
  <si>
    <t xml:space="preserve">Coincidencia entre domicilio y lugar de la operación</t>
  </si>
  <si>
    <t xml:space="preserve">A+C</t>
  </si>
  <si>
    <t xml:space="preserve">Peso alto: la incongruencia entre el domicilio del cliente y la ubicacion del inmueble es la alerta que mas veces se activo en el periodo evaluado.</t>
  </si>
  <si>
    <t xml:space="preserve">Instrumento con que se paga</t>
  </si>
  <si>
    <t xml:space="preserve">C</t>
  </si>
  <si>
    <t xml:space="preserve">El peso mas alto del elemento: el efectivo es el mecanismo de colocacion por excelencia y la mitad de las operaciones del periodo tuvo algun componente en efectivo.</t>
  </si>
  <si>
    <t xml:space="preserve">Moneda de la operación</t>
  </si>
  <si>
    <t xml:space="preserve">Peso minimo: el 100% de las operaciones del periodo se pacto y liquido en pesos mexicanos.</t>
  </si>
  <si>
    <t xml:space="preserve">Monto frente al umbral de tu fracción</t>
  </si>
  <si>
    <t xml:space="preserve">Peso medio: el monto frente al umbral define si la operacion entra al regimen, pero en este giro practicamente todas lo superan, de modo que discrimina poco entre clientes.</t>
  </si>
  <si>
    <t xml:space="preserve">Número y ritmo de operaciones en el periodo</t>
  </si>
  <si>
    <t xml:space="preserve">Peso relevante: el pago en parcialidades es la practica normal del giro, lo que hace dificil distinguir la amortizacion legitima del fraccionamiento deliberado.</t>
  </si>
  <si>
    <t xml:space="preserve">Canal: certeza de identificación del Cliente</t>
  </si>
  <si>
    <t xml:space="preserve">B+C</t>
  </si>
  <si>
    <t xml:space="preserve">Indicador de 400 Bis del elemento. Peso contenido: la operacion es presencial y ante fedatario, lo que limita el riesgo de canal.</t>
  </si>
  <si>
    <t xml:space="preserve">Acreditación del origen de los recursos</t>
  </si>
  <si>
    <t xml:space="preserve">Peso alto: el origen de los recursos es el dato que sostiene o derrumba toda la operacion, y es la primera pregunta de cualquier requerimiento.</t>
  </si>
  <si>
    <t xml:space="preserve">Acreditación del destino de los recursos o del bien</t>
  </si>
  <si>
    <t xml:space="preserve">Peso menor que el origen: en compraventa de inmueble el destino es el propio bien, que queda registrado; el riesgo se concentra en la entrada de los recursos.</t>
  </si>
  <si>
    <t xml:space="preserve">Combinación de canal e instrumento idónea para el financiamiento al terrorismo</t>
  </si>
  <si>
    <t xml:space="preserve">Indicador de 139 Quater del elemento. Peso bajo: no se identificaron canales ni instrumentos de los descritos en la ENR para financiamiento al terrorismo.</t>
  </si>
  <si>
    <t xml:space="preserve">RESUMEN POR ELEMENTO</t>
  </si>
  <si>
    <t xml:space="preserve">Elemento</t>
  </si>
  <si>
    <t xml:space="preserve">Peso</t>
  </si>
  <si>
    <t xml:space="preserve">Nivel</t>
  </si>
  <si>
    <t xml:space="preserve">N/A</t>
  </si>
  <si>
    <t xml:space="preserve">Aviso</t>
  </si>
  <si>
    <t xml:space="preserve">Justificación del peso asignado (Art. 10 Septies 1, fr. II)</t>
  </si>
  <si>
    <t xml:space="preserve">1. Actos u operaciones</t>
  </si>
  <si>
    <t xml:space="preserve">La entidad realiza un solo tipo de acto —compraventa de inmueble destinado a casa habitación y local comercial— de alto valor unitario y baja liquidez. Se le asigna 20% porque el acto en sí está bien acotado y registrado ante fedatario: la exposición no está en qué se vende, sino en con quién y cómo se paga.</t>
  </si>
  <si>
    <t xml:space="preserve">2. Clientes / Usuarios</t>
  </si>
  <si>
    <t xml:space="preserve">Es donde se concentra la exposición real. De los 86 Clientes del periodo, 31 son personas morales y 9 de ellas se constituyeron en los doce meses previos a la operación. La interposición de terceros y la opacidad de la cadena de propiedad son la tipología inmobiliaria dominante en la Evaluación Nacional de Riesgos. Se le asigna 30%.</t>
  </si>
  <si>
    <t xml:space="preserve">3. Países y áreas geográficas</t>
  </si>
  <si>
    <t xml:space="preserve">La operación es local: los cuatro desarrollos están en el área metropolitana y no hubo contrapartes ni recursos de jurisdicciones extranjeras en el periodo. Se le asigna 15%, el peso más bajo, y no cero: dos de los desarrollos están en municipios señalados en la ENR, y eso se mide en el indicador 15.</t>
  </si>
  <si>
    <t xml:space="preserve">4. Transacciones y canales</t>
  </si>
  <si>
    <t xml:space="preserve">El mayor peso, 35%. Es donde se materializa el riesgo: 56 de las 112 operaciones tuvieron algún componente en efectivo, 41 se liquidaron en parcialidades y en 7 casos el pago provino de un tercero distinto del comprador. Los tres hechos están documentados en el reporte de acumulación del sistema.</t>
  </si>
  <si>
    <t xml:space="preserve">RIESGO DE LA ENTIDAD</t>
  </si>
  <si>
    <t xml:space="preserve">El peso de cada indicador (columna Peso) es relativo dentro de su elemento: el promedio se normaliza solo. El peso de los cuatro elementos sí debe sumar 100%.</t>
  </si>
  <si>
    <t xml:space="preserve">Trazabilidad (Art. 10 Septies 1, fr. I y último párrafo): indicadores evaluados y excluidos</t>
  </si>
  <si>
    <t xml:space="preserve">Indicadores evaluados:</t>
  </si>
  <si>
    <t xml:space="preserve">Indicadores excluidos (No aplica):</t>
  </si>
  <si>
    <t xml:space="preserve">Exclusiones sin justificación escrita:</t>
  </si>
  <si>
    <t xml:space="preserve">Los indicadores de 139 Quáter y de 400 Bis con celda gris no admiten «No aplica»: excluirlos incumpliría el último párrafo del Art. 10 Septies 1.</t>
  </si>
  <si>
    <t xml:space="preserve">A2 · CONSECUENCIAS SI EL RIESGO SE MATERIALIZA (análisis cualitativo)</t>
  </si>
  <si>
    <t xml:space="preserve">Esta hoja NO alimenta el cálculo y no cambia ningún número. En una sola descripción, explica qué pasaría si el riesgo LD/FT se materializa en tu entidad. Sirve para justificar el nivel de tolerancia declarado y para sustentar la evaluación ante un requerimiento.</t>
  </si>
  <si>
    <t xml:space="preserve">Paso 4 de 10  ·  Viene de: A1  ·  Sigue: A3 INHERENTE (solo lectura)</t>
  </si>
  <si>
    <t xml:space="preserve">¿Qué pasaría si el riesgo LD/FT se materializa en tu entidad?</t>
  </si>
  <si>
    <t xml:space="preserve">Severidad (ref.)</t>
  </si>
  <si>
    <t xml:space="preserve">Si una operación con recursos de procedencia ilícita se materializara en la entidad, el impacto sería simultáneo en cuatro planos. LEGAL: la multa por Aviso omitido es de 10,000 a 65,000 UMA, o del 10 al 100 % del valor del acto cuando sea cuantificable, la que resulte mayor (Art. 53 fr. VI con Art. 54 fr. III de la Ley) —entre $1,173,100 y $7,625,150 al valor vigente de la UMA, y en una operación de este tamaño manda el porcentaje— y la conducta puede escalar a responsabilidad penal por el Art. 400 Bis del Código Penal Federal para quien intervino a sabiendas. REPUTACIONAL: el negocio depende de la recomendación entre compradores y de la relación con tres desarrolladoras; una nota pública o un requerimiento conocido bastaría para frenar la preventa del desarrollo en curso. DE CONTAGIO: las instituciones financieras con las que se dispersan los recursos aplican sus propias medidas del Art. 115 de la LIC y pueden restringir o cancelar las cuentas de la entidad, lo que detendría la operación aunque no hubiera sanción. OPERATIVO: atender un requerimiento con expedientes incompletos consumiría a la Encargada de Cumplimiento y al área jurídica durante semanas, con el costo de oportunidad correspondiente.</t>
  </si>
  <si>
    <t xml:space="preserve">Grave</t>
  </si>
  <si>
    <t xml:space="preserve">Guía: cubre en la misma redacción las cuatro caras del impacto — legal (multas y sanciones), reputacional (imagen y pérdida de clientes), de contagio (relación con terceros ilícitos) y operativa (interrupción y costos). No hace falta separarlas por elemento de riesgo.</t>
  </si>
  <si>
    <t xml:space="preserve">A3 · RIESGO INHERENTE = Calificación × Concentración (antes de controles)</t>
  </si>
  <si>
    <t xml:space="preserve">Resultado en tres niveles: por elemento, por indicador y de la entidad.</t>
  </si>
  <si>
    <t xml:space="preserve">Paso 5 de 10  ·  Se calcula solo  ·  Sigue: A4 CONTROLES MINIMOS</t>
  </si>
  <si>
    <t xml:space="preserve">RIESGO INHERENTE POR ELEMENTO</t>
  </si>
  <si>
    <t xml:space="preserve">RIESGO INHERENTE DE LA ENTIDAD</t>
  </si>
  <si>
    <t xml:space="preserve">RIESGO INHERENTE POR INDICADOR</t>
  </si>
  <si>
    <t xml:space="preserve">Un indicador marcado «No aplica» en A1 se muestra aquí como «No aplica», no como riesgo cero: no se evaluó, no es que haya salido bajo. Sale del numerador y del denominador del elemento.</t>
  </si>
  <si>
    <t xml:space="preserve">MAPA DE CALOR — Calificación (col) × Concentración (fila)</t>
  </si>
  <si>
    <t xml:space="preserve">Conc\Calif</t>
  </si>
  <si>
    <t xml:space="preserve">Tu entidad (nivel inherente):</t>
  </si>
  <si>
    <t xml:space="preserve">A4 · CATÁLOGO DE CONTROLES MÍNIMOS — las 14 obligaciones del Manual (Art. 37 Bis)</t>
  </si>
  <si>
    <t xml:space="preserve">Éste es el denominador de la mitigación. La efectividad NO se promedia sobre los controles que registres: se mide contra las 14 obligaciones del catálogo. Una obligación no registrada computa 0%; solo sale del cálculo si es «No aplica» conforme al Art. 37 Bis 2 y así consta en tu Manual.</t>
  </si>
  <si>
    <t xml:space="preserve">Paso 6 de 10  ·  Viene de: A3 INHERENTE  ·  Sigue: A5 RESIDUAL  ·  Controles por encima del mínimo: A4 BIS</t>
  </si>
  <si>
    <t xml:space="preserve">Fr.</t>
  </si>
  <si>
    <t xml:space="preserve">Contenido mínimo del Manual (Art. 37 Bis)</t>
  </si>
  <si>
    <t xml:space="preserve">Fundamento verificado</t>
  </si>
  <si>
    <t xml:space="preserve">Qué se espera (referencia)</t>
  </si>
  <si>
    <t xml:space="preserve">¿Admite
«No aplica»?</t>
  </si>
  <si>
    <t xml:space="preserve">Resultado (Art. 48)</t>
  </si>
  <si>
    <t xml:space="preserve">%</t>
  </si>
  <si>
    <t xml:space="preserve">Numeral del Manual que lo prevé</t>
  </si>
  <si>
    <t xml:space="preserve">Evidencia de aplicación efectiva y dónde se resguarda</t>
  </si>
  <si>
    <t xml:space="preserve">Justificación del «No aplica» (numeral del Manual, Art. 37 Bis 2)</t>
  </si>
  <si>
    <t xml:space="preserve">I</t>
  </si>
  <si>
    <t xml:space="preserve">Criterios para la identificación y conocimiento de Clientes o Usuarias</t>
  </si>
  <si>
    <t xml:space="preserve">Arts. 12, 17 y 17 Bis; Cap. III Ter</t>
  </si>
  <si>
    <t xml:space="preserve">Procedimiento escrito para integrar el expediente según el Grado de Riesgo, con los datos y documentos de los Anexos aplicables a tu fracción, verificación de identidad y cuestionario de conocimiento del Cliente.</t>
  </si>
  <si>
    <t xml:space="preserve">No</t>
  </si>
  <si>
    <t xml:space="preserve">Cumple</t>
  </si>
  <si>
    <t xml:space="preserve">Manual, numeral 4.1</t>
  </si>
  <si>
    <t xml:space="preserve">Expedientes íntegros con acuse de verificación de identificación oficial; muestreo trimestral firmado.</t>
  </si>
  <si>
    <t xml:space="preserve">II</t>
  </si>
  <si>
    <t xml:space="preserve">Mecanismos de clasificación de Riesgo</t>
  </si>
  <si>
    <t xml:space="preserve">Art. 23 Bis</t>
  </si>
  <si>
    <t xml:space="preserve">Modelo escrito que califique a cada Cliente en al menos tres grados, congruente con esta metodología, con reevaluación al menos cada seis meses (hoja B CLIENTE).</t>
  </si>
  <si>
    <t xml:space="preserve">Cumple mayoritariamente</t>
  </si>
  <si>
    <t xml:space="preserve">Manual, numeral 4.3</t>
  </si>
  <si>
    <t xml:space="preserve">Cédulas de calificación de los 86 Clientes; falta evidenciar la reevaluación semestral de dos de ellos.</t>
  </si>
  <si>
    <t xml:space="preserve">III</t>
  </si>
  <si>
    <t xml:space="preserve">Medidas de debida diligencia aplicables conforme al Grado de Riesgo</t>
  </si>
  <si>
    <t xml:space="preserve">Arts. 17 y 17 Bis; Arts. 23 Ter 1 a 5</t>
  </si>
  <si>
    <t xml:space="preserve">Regla explícita de qué expediente corresponde a cada grado: simplificado, completo del Art. 12, o reforzado con cuestionario y Firma Electrónica.</t>
  </si>
  <si>
    <t xml:space="preserve">Manual, numeral 4.4</t>
  </si>
  <si>
    <t xml:space="preserve">Matriz de correspondencia grado–expediente aplicada; dos expedientes reforzados sin acuse de Firma Electrónica.</t>
  </si>
  <si>
    <t xml:space="preserve">IV</t>
  </si>
  <si>
    <t xml:space="preserve">Identificación y seguimiento reforzado de Personas Políticamente Expuestas</t>
  </si>
  <si>
    <t xml:space="preserve">Arts. 23 Bis 3 y 23 Bis 4</t>
  </si>
  <si>
    <t xml:space="preserve">Procedimiento de detección de PEP nacionales y extranjeras y de sus allegados, factores de Riesgo adicionales, y aprobación de un directivo para PEP extranjera de riesgo alto.</t>
  </si>
  <si>
    <t xml:space="preserve">Cumple parcialmente</t>
  </si>
  <si>
    <t xml:space="preserve">Manual, numeral 4.6</t>
  </si>
  <si>
    <t xml:space="preserve">Se declara la búsqueda de PEP pero no se conserva la constancia por operación.</t>
  </si>
  <si>
    <t xml:space="preserve">V</t>
  </si>
  <si>
    <t xml:space="preserve">Detección de actos u operaciones que se apartan del Perfil transaccional</t>
  </si>
  <si>
    <t xml:space="preserve">Art. 41 fr. II</t>
  </si>
  <si>
    <t xml:space="preserve">Perfil transaccional documentado por Cliente y alertas por desviación, con bitácora de la alerta, su análisis y su conclusión.</t>
  </si>
  <si>
    <t xml:space="preserve">Condicionado</t>
  </si>
  <si>
    <t xml:space="preserve">Manual, numeral 6.4</t>
  </si>
  <si>
    <t xml:space="preserve">Perfil transaccional documentado; las alertas se revisan sin bitácora de conclusión.</t>
  </si>
  <si>
    <t xml:space="preserve">VI</t>
  </si>
  <si>
    <t xml:space="preserve">Procedimientos para la presentación de Avisos e Informes</t>
  </si>
  <si>
    <t xml:space="preserve">Cap. V de las Reglas; Art. 23 de la Ley</t>
  </si>
  <si>
    <t xml:space="preserve">Flujo interno con responsable y plazos: Aviso ordinario a más tardar el día 17 del mes inmediato siguiente, y protocolo de 24 horas.</t>
  </si>
  <si>
    <t xml:space="preserve">Manual, numeral 5.2</t>
  </si>
  <si>
    <t xml:space="preserve">Acuses del portal por los 14 Avisos del periodo, conciliados con el registro de operaciones.</t>
  </si>
  <si>
    <t xml:space="preserve">VII</t>
  </si>
  <si>
    <t xml:space="preserve">Mecanismos de conservación de información y documentación</t>
  </si>
  <si>
    <t xml:space="preserve">Art. 10 Septies 3, 3er párr.; Art. 41 fr. I y IV</t>
  </si>
  <si>
    <t xml:space="preserve">Política de resguardo por diez años, lugar y medio de conservación, y medidas de seguridad contra pérdida, alteración u ocultamiento.</t>
  </si>
  <si>
    <t xml:space="preserve">Manual, numeral 8.1</t>
  </si>
  <si>
    <t xml:space="preserve">Política de resguardo firmada, respaldo cifrado y control de acceso al repositorio.</t>
  </si>
  <si>
    <t xml:space="preserve">VIII</t>
  </si>
  <si>
    <t xml:space="preserve">Seguimiento y acumulación de actos u operaciones frente a los umbrales</t>
  </si>
  <si>
    <t xml:space="preserve">Art. 17, penúltimo párr. de la Ley; Art. 41 fr. II</t>
  </si>
  <si>
    <t xml:space="preserve">Mecanismo que agrupe las operaciones del mismo Cliente y dispare el Aviso cuando la suma acumulada alcance el umbral de tu fracción.</t>
  </si>
  <si>
    <t xml:space="preserve">Manual, numeral 5.4</t>
  </si>
  <si>
    <t xml:space="preserve">Reporte de acumulación del sistema; falta prueba de recorrido de un caso completo.</t>
  </si>
  <si>
    <t xml:space="preserve">IX</t>
  </si>
  <si>
    <t xml:space="preserve">Identificación de personas publicadas en listas de autoridades nacionales u organismos internacionales</t>
  </si>
  <si>
    <t xml:space="preserve">Arts. 38 y 41 fr. V</t>
  </si>
  <si>
    <t xml:space="preserve">Búsqueda documentada del Cliente, su Beneficiario Controlador y sus apoderados contra las listas aplicables, con constancia por operación y protocolo ante coincidencia.</t>
  </si>
  <si>
    <t xml:space="preserve">Manual, numeral 6.2</t>
  </si>
  <si>
    <t xml:space="preserve">Bitácora de validación contra listas con acuse por operación en el expediente electrónico.</t>
  </si>
  <si>
    <t xml:space="preserve">X</t>
  </si>
  <si>
    <t xml:space="preserve">Funciones y responsabilidades de la persona Representante Encargada de Cumplimiento</t>
  </si>
  <si>
    <t xml:space="preserve">Art. 20 de la Ley</t>
  </si>
  <si>
    <t xml:space="preserve">Designación vigente y acreditada ante el SAT, con funciones, nivel de autoridad y suplencia definidos por escrito.</t>
  </si>
  <si>
    <t xml:space="preserve">Manual, numeral 3.1</t>
  </si>
  <si>
    <t xml:space="preserve">Constancia de alta de la Representante Encargada de Cumplimiento y descripción de funciones firmada.</t>
  </si>
  <si>
    <t xml:space="preserve">XI</t>
  </si>
  <si>
    <t xml:space="preserve">Programas de capacitación</t>
  </si>
  <si>
    <t xml:space="preserve">Cap. XII, Art. 39 Bis</t>
  </si>
  <si>
    <t xml:space="preserve">Programa anual con contenido, destinatarios (órgano de administración, directivos, personal de atención, de envío de Avisos y de auditoría) y constancias de acreditación.</t>
  </si>
  <si>
    <t xml:space="preserve">Manual, numeral 9.1</t>
  </si>
  <si>
    <t xml:space="preserve">Constancias de capacitación 2026 del 82% del personal objetivo.</t>
  </si>
  <si>
    <t xml:space="preserve">XII</t>
  </si>
  <si>
    <t xml:space="preserve">Mecanismos de control interno, supervisión y auditoría</t>
  </si>
  <si>
    <t xml:space="preserve">Cap. XIV, Arts. 42 a 51</t>
  </si>
  <si>
    <t xml:space="preserve">Programa de revisión anual y designación de quien emite el dictamen: puede ser el área interna si tu riesgo es bajo o medio (Art. 44); auditor externo certificado por la UIF si es alto, o si así lo eliges (Art. 45). Ver A6.</t>
  </si>
  <si>
    <t xml:space="preserve">Manual, numeral 10.1</t>
  </si>
  <si>
    <t xml:space="preserve">Programa de auditoría aprobado; primer dictamen aún no exigible (primer periodo: 2028).</t>
  </si>
  <si>
    <t xml:space="preserve">XIII</t>
  </si>
  <si>
    <t xml:space="preserve">Medidas para garantizar la confidencialidad de la información</t>
  </si>
  <si>
    <t xml:space="preserve">Cap. VI, Art. 31; Art. 38 de la Ley</t>
  </si>
  <si>
    <t xml:space="preserve">Compromiso escrito de confidencialidad del personal y prohibición expresa de alertar al Cliente sobre la presentación de Avisos.</t>
  </si>
  <si>
    <t xml:space="preserve">Manual, numeral 3.5</t>
  </si>
  <si>
    <t xml:space="preserve">Cartas de confidencialidad firmadas por todo el personal con acceso a la información.</t>
  </si>
  <si>
    <t xml:space="preserve">XIV</t>
  </si>
  <si>
    <t xml:space="preserve">Procedimientos para la actualización del propio Manual de Políticas Internas</t>
  </si>
  <si>
    <t xml:space="preserve">Art. 37 Bis 3</t>
  </si>
  <si>
    <t xml:space="preserve">Procedimiento y periodicidad de actualización, responsable, control de versiones y atención a los ajustes que señale el SAT.</t>
  </si>
  <si>
    <t xml:space="preserve">Manual, numeral 12.1</t>
  </si>
  <si>
    <t xml:space="preserve">Control de versiones del Manual; falta fijar la periodicidad mínima de revisión.</t>
  </si>
  <si>
    <t xml:space="preserve">RESULTADO DEL CATÁLOGO — ESTA ES LA MITIGACIÓN DE TODA LA MATRIZ</t>
  </si>
  <si>
    <t xml:space="preserve">Obligaciones del catálogo (Art. 37 Bis):</t>
  </si>
  <si>
    <t xml:space="preserve">Excluidas por «No aplica» (Art. 37 Bis 2):</t>
  </si>
  <si>
    <t xml:space="preserve">Obligaciones exigibles — denominador:</t>
  </si>
  <si>
    <t xml:space="preserve">Suma de los porcentajes obtenidos:</t>
  </si>
  <si>
    <t xml:space="preserve">EFECTIVIDAD DE LOS MITIGANTES:</t>
  </si>
  <si>
    <t xml:space="preserve">Tope máximo de reducción (PARÁMETROS C30):</t>
  </si>
  <si>
    <t xml:space="preserve">REDUCCIÓN QUE SE APLICARÁ AL RIESGO INHERENTE:</t>
  </si>
  <si>
    <t xml:space="preserve">ALERTAS DEL CATÁLOGO</t>
  </si>
  <si>
    <t xml:space="preserve">Obligaciones en «No cumple»:</t>
  </si>
  <si>
    <t xml:space="preserve">Exclusiones sin constancia en el Manual:</t>
  </si>
  <si>
    <t xml:space="preserve">Obligaciones sin numeral del Manual o sin evidencia:</t>
  </si>
  <si>
    <t xml:space="preserve">Obligaciones sin calificar:</t>
  </si>
  <si>
    <t xml:space="preserve">Cómo se calcula: Efectividad = suma de los porcentajes ÷ obligaciones exigibles. El denominador es fijo (14) y solo baja cuando una obligación es «No aplica». Por eso registrar menos controles ya NO mejora el resultado: lo empeora.</t>
  </si>
  <si>
    <t xml:space="preserve">El Art. 37 Bis 2 no enlista fracciones: exenta cualquier contenido del Manual referido a actos u operaciones que se determine no realizar, con constancia en el propio Manual. Que en esta matriz sólo se habilite «No aplica» en las fracciones V, VIII y X es criterio de la herramienta, y de forma condicionada: V para quien opera exclusivamente con Clientes ocasionales sin Relación de Negocios; VIII para las fracciones cuyo umbral no admite acumulación; X para la persona física que realiza la Actividad Vulnerable sin estructura, porque el Art. 20 de la Ley ata la designación a las personas morales. Las otras once no admiten exclusión.</t>
  </si>
  <si>
    <t xml:space="preserve">El Art. 48 fr. V exige que el auditor verifique que la exclusión no actualice un incumplimiento y que sea consistente con el análisis de Riesgos. Por eso la justificación pide el numeral del Manual donde consta la exención, no un texto libre.</t>
  </si>
  <si>
    <t xml:space="preserve">Una obligación cubierta en el papel pero sin evidencia de aplicación efectiva computa 0%: el Art. 10 Septies 1, fr. III habla de los mitigantes «así como su efectiva aplicación». Control diseñado, control implementado y control operando son tres estados distintos y se prueban distinto.</t>
  </si>
  <si>
    <t xml:space="preserve">Pendiente declarado: la columna «Qué se espera» es todavía guía común a las 30 fracciones. El anexo sectorial —qué se espera en cada obligación según tu Actividad Vulnerable— es el siguiente entregable y no altera el denominador ni el cálculo.</t>
  </si>
  <si>
    <t xml:space="preserve">A4 BIS · CONTROLES ADICIONALES (por encima del mínimo) — INFORMATIVO</t>
  </si>
  <si>
    <t xml:space="preserve">Registra aquí los controles que tienes por encima de las 14 obligaciones del catálogo. Esta hoja NO cambia el resultado: la mitigación se calcula en A4 CONTROLES MINIMOS. Sirve para documentar tu programa completo ante un requerimiento sin alterar el número.</t>
  </si>
  <si>
    <t xml:space="preserve">Complemento del paso 6  ·  No entra en el cálculo  ·  Sigue: A5 RESIDUAL</t>
  </si>
  <si>
    <t xml:space="preserve">Descripción del control</t>
  </si>
  <si>
    <t xml:space="preserve">Elemento que mitiga (informativo)</t>
  </si>
  <si>
    <t xml:space="preserve">Naturaleza</t>
  </si>
  <si>
    <t xml:space="preserve">Automatización</t>
  </si>
  <si>
    <t xml:space="preserve">Frecuencia</t>
  </si>
  <si>
    <t xml:space="preserve">Efectividad</t>
  </si>
  <si>
    <t xml:space="preserve">Efectividad %</t>
  </si>
  <si>
    <t xml:space="preserve">El sistema valida a cada Cliente, a su Beneficiario Controlador y a los apoderados contra la lista de personas bloqueadas del Art. 38 y las listas internacionales, en cada operación y no sólo al alta.</t>
  </si>
  <si>
    <t xml:space="preserve">2</t>
  </si>
  <si>
    <t xml:space="preserve">Preventivo</t>
  </si>
  <si>
    <t xml:space="preserve">Automático</t>
  </si>
  <si>
    <t xml:space="preserve">Permanente</t>
  </si>
  <si>
    <t xml:space="preserve">Bitácora de validación con acuse por operación; 112 corridas conciliadas contra el número de operaciones del periodo.</t>
  </si>
  <si>
    <t xml:space="preserve">Política de aceptación de efectivo con umbral interno de 150,000 pesos por operación, por debajo del umbral de aviso, con validación del origen y autorización escrita de la Encargada de Cumplimiento por encima de ese monto.</t>
  </si>
  <si>
    <t xml:space="preserve">4</t>
  </si>
  <si>
    <t xml:space="preserve">Semiautomático</t>
  </si>
  <si>
    <t xml:space="preserve">Manual, numeral 7.1</t>
  </si>
  <si>
    <t xml:space="preserve">Reporte mensual de excepciones firmado; faltan las autorizaciones de dos operaciones de mayo de 2026.</t>
  </si>
  <si>
    <t xml:space="preserve">Verificación de la constitución y del objeto social de toda persona moral compradora en el registro electrónico de la Secretaría de Economía, antes de la firma.</t>
  </si>
  <si>
    <t xml:space="preserve">Manual</t>
  </si>
  <si>
    <t xml:space="preserve">Manual, numeral 4.2</t>
  </si>
  <si>
    <t xml:space="preserve">Impresión del folio electrónico mercantil integrada a los 31 expedientes de persona moral del periodo.</t>
  </si>
  <si>
    <t xml:space="preserve">Regla de cuatro ojos: ninguna operación que supere el umbral de aviso se firma sin visto bueno documentado de la Encargada de Cumplimiento, además del ejecutivo de venta.</t>
  </si>
  <si>
    <t xml:space="preserve">1</t>
  </si>
  <si>
    <t xml:space="preserve">Manual, numeral 5.1</t>
  </si>
  <si>
    <t xml:space="preserve">Cédula de doble firma en las 47 operaciones del periodo que superaron el umbral.</t>
  </si>
  <si>
    <t xml:space="preserve">Alerta automática cuando el pago proviene de un tercero distinto del comprador o de una cuenta no declarada en el expediente.</t>
  </si>
  <si>
    <t xml:space="preserve">Detectivo</t>
  </si>
  <si>
    <t xml:space="preserve">Se dispararon 7 alertas en el periodo; 5 tienen dictamen documentado y 2 siguen en análisis.</t>
  </si>
  <si>
    <t xml:space="preserve">Capacitación específica de fuerza de ventas sobre señales de alerta en preventa, adicional al programa anual obligatorio.</t>
  </si>
  <si>
    <t xml:space="preserve">Periódico</t>
  </si>
  <si>
    <t xml:space="preserve">Manual, numeral 9.2</t>
  </si>
  <si>
    <t xml:space="preserve">Lista de asistencia de la sesión de marzo de 2026; cubrió a 9 de los 11 ejecutivos.</t>
  </si>
  <si>
    <t xml:space="preserve">ESTOS CONTROLES NO ENTRAN EN EL CÁLCULO</t>
  </si>
  <si>
    <t xml:space="preserve">La mitigación se mide contra el catálogo de contenidos mínimos del Manual (Art. 37 Bis), en la hoja A4 CONTROLES MINIMOS. Un control adicional excelente no sube el resultado, y uno adicional deficiente tampoco lo baja: lo que califica es la cobertura de las obligaciones. Documentarlos aquí sí fortalece el expediente.</t>
  </si>
  <si>
    <t xml:space="preserve">Controles adicionales registrados:</t>
  </si>
  <si>
    <t xml:space="preserve">Adicionales sin numeral del Manual o sin evidencia:</t>
  </si>
  <si>
    <t xml:space="preserve">Aunque no cuenten para el número, un control que declaras sin numeral ni evidencia es un flanco: el auditor puede preguntar por él. Regístralo completo o no lo registres.</t>
  </si>
  <si>
    <t xml:space="preserve">A5 · RIESGO RESIDUAL = Riesgo inherente × (1 − Reducción aplicada)</t>
  </si>
  <si>
    <t xml:space="preserve">La mitigación se mide una sola vez, a nivel de la entidad, y se aplica igual a los tres niveles: indicador, elemento y entidad. Si el residual supera tu tolerancia, exige plan de acción (hoja A8).</t>
  </si>
  <si>
    <t xml:space="preserve">Paso 7 de 10  ·  Se calcula solo  ·  Sigue: A6 TABLERO</t>
  </si>
  <si>
    <t xml:space="preserve">MITIGACIÓN APLICADA — SE CALCULA UNA SOLA VEZ, A NIVEL ENTIDAD</t>
  </si>
  <si>
    <t xml:space="preserve">Efectividad de los mitigantes contra el catálogo de 14 obligaciones (hoja A4 CONTROLES MINIMOS):</t>
  </si>
  <si>
    <t xml:space="preserve">Tope máximo de reducción (PARÁMETROS, celda C30):</t>
  </si>
  <si>
    <t xml:space="preserve">Reducción aplicada = Efectividad × Tope:</t>
  </si>
  <si>
    <t xml:space="preserve">La efectividad se mide contra un denominador fijo: las 14 obligaciones del Art. 37 Bis, menos las excluidas por «No aplica». Una obligación sin registrar computa 0%, y una registrada sin numeral del Manual o sin evidencia de aplicación efectiva también (Art. 10 Septies 1, fr. III). Registrar menos no mejora el resultado.</t>
  </si>
  <si>
    <t xml:space="preserve">1 · RIESGO RESIDUAL DE LA ENTIDAD</t>
  </si>
  <si>
    <t xml:space="preserve">Ámbito evaluado</t>
  </si>
  <si>
    <t xml:space="preserve">Riesgo inh.</t>
  </si>
  <si>
    <t xml:space="preserve">Reducción</t>
  </si>
  <si>
    <t xml:space="preserve">Riesgo resid.</t>
  </si>
  <si>
    <t xml:space="preserve">Tratamiento</t>
  </si>
  <si>
    <t xml:space="preserve">ENTIDAD · resultado ponderado de los 4 elementos</t>
  </si>
  <si>
    <t xml:space="preserve">2 · RIESGO RESIDUAL POR ELEMENTO (Art. 10 Septies 1, fr. I)</t>
  </si>
  <si>
    <t xml:space="preserve">3 · RIESGO RESIDUAL POR INDICADOR (Art. 10 Septies 1, fr. II)</t>
  </si>
  <si>
    <t xml:space="preserve">Orden</t>
  </si>
  <si>
    <t xml:space="preserve">La columna «Orden» solo sirve para ordenar el top 5 del tablero sin empates. No es un dato de la metodología.</t>
  </si>
  <si>
    <t xml:space="preserve">Los tres niveles usan la misma reducción porque los mitigantes se evaluaron a nivel de la entidad. Si en el futuro se documenta la efectividad por elemento o por indicador, basta sustituir la referencia de la columna «Reducción» en el bloque correspondiente.</t>
  </si>
  <si>
    <t xml:space="preserve">A6 · TABLERO — Resumen ejecutivo</t>
  </si>
  <si>
    <t xml:space="preserve">Paso 8 de 10  ·  Se calcula solo  ·  Sigue: A8 TOLERANCIA</t>
  </si>
  <si>
    <t xml:space="preserve">Entidad:</t>
  </si>
  <si>
    <t xml:space="preserve">Fecha de evaluación:</t>
  </si>
  <si>
    <t xml:space="preserve">RIESGO RESIDUAL DE LA ENTIDAD</t>
  </si>
  <si>
    <t xml:space="preserve">DETALLE POR ELEMENTO</t>
  </si>
  <si>
    <t xml:space="preserve">Inherente</t>
  </si>
  <si>
    <t xml:space="preserve">Residual</t>
  </si>
  <si>
    <t xml:space="preserve">Vigencia: revisar y actualizar al menos cada 12 meses o al actualizarse la ENR (Art. 10 Septies 3). Conservar 10 años.</t>
  </si>
  <si>
    <t xml:space="preserve">CONSECUENCIAS DEL RESULTADO</t>
  </si>
  <si>
    <t xml:space="preserve">Régimen de auditoría (Cap. XIV RCG)</t>
  </si>
  <si>
    <t xml:space="preserve">Medidas simplificadas (Art. 15 del Reglamento + Art. 17 de las Reglas)</t>
  </si>
  <si>
    <t xml:space="preserve">Tolerancia (PARÁMETROS, celda C25)</t>
  </si>
  <si>
    <t xml:space="preserve">Vigencia (Art. 10 Septies 2 y 10 Septies 3)</t>
  </si>
  <si>
    <t xml:space="preserve">LOS 5 INDICADORES CON MAYOR RIESGO RESIDUAL</t>
  </si>
  <si>
    <t xml:space="preserve">Estos son los indicadores por los que empieza el plan de acción de la hoja A8: son los que más aportan al resultado y los primeros que la autoridad va a preguntar.</t>
  </si>
  <si>
    <t xml:space="preserve">COBERTURA DEL CATÁLOGO DE CONTROLES MÍNIMOS (Art. 37 Bis)</t>
  </si>
  <si>
    <t xml:space="preserve">Efectividad de los mitigantes (obligaciones cubiertas):</t>
  </si>
  <si>
    <t xml:space="preserve">Reducción aplicada al riesgo inherente:</t>
  </si>
  <si>
    <t xml:space="preserve">A7 · EVALUACIÓN PREVIA DE NUEVOS PRODUCTOS, SERVICIOS Y CANALES</t>
  </si>
  <si>
    <t xml:space="preserve">Art. 10 Septies, tercer párrafo: antes de lanzar un nuevo medio, canal, modalidad, producto, servicio o tipo de Cliente, evalúa el riesgo. Una ficha por lanzamiento. Esta hoja no altera el resultado de A1; es evidencia y decisión previa.</t>
  </si>
  <si>
    <t xml:space="preserve">Fuera de secuencia: se llena ANTES de cada lanzamiento (Art. 10 Septies, 3er párrafo)</t>
  </si>
  <si>
    <t xml:space="preserve">Nuevo producto, servicio, canal o tipo de Cliente</t>
  </si>
  <si>
    <t xml:space="preserve">Fecha prevista de lanzamiento</t>
  </si>
  <si>
    <t xml:space="preserve">Riesgo elem. 1</t>
  </si>
  <si>
    <t xml:space="preserve">Riesgo elem. 2</t>
  </si>
  <si>
    <t xml:space="preserve">Riesgo elem. 3</t>
  </si>
  <si>
    <t xml:space="preserve">Riesgo elem. 4</t>
  </si>
  <si>
    <t xml:space="preserve">Riesgo previo</t>
  </si>
  <si>
    <t xml:space="preserve">Controles previos comprometidos</t>
  </si>
  <si>
    <t xml:space="preserve">Decisión</t>
  </si>
  <si>
    <t xml:space="preserve">Cobro con transferencia SPEI desde cuenta de tercero no declarado en el expediente, solicitado por dos desarrolladoras para agilizar el enganche.</t>
  </si>
  <si>
    <t xml:space="preserve">Medio</t>
  </si>
  <si>
    <t xml:space="preserve">Alto</t>
  </si>
  <si>
    <t xml:space="preserve">Bajo</t>
  </si>
  <si>
    <t xml:space="preserve">Prohibir el pago de tercero salvo parentesco acreditado; alta obligatoria de la cuenta ordenante en el expediente antes de recibir el recurso; alerta automática por cuenta no declarada.</t>
  </si>
  <si>
    <t xml:space="preserve">Se lanza con controles adicionales</t>
  </si>
  <si>
    <t xml:space="preserve">Esquema de preventa con apartado de 50,000 pesos reembolsable, dirigido a compradores que aún no acreditan la fuente de los recursos.</t>
  </si>
  <si>
    <t xml:space="preserve">Identificación completa desde el apartado y no hasta la escrituración; el reembolso se paga sólo a la misma cuenta de origen; acumulación del apartado al precio para efectos del umbral.</t>
  </si>
  <si>
    <t xml:space="preserve">Recepción de criptoactivos como parte del pago, propuesta por un intermediario externo.</t>
  </si>
  <si>
    <t xml:space="preserve">No se identificó forma de acreditar el origen de los recursos ni de cumplir la fracción XVI del Art. 17 sin registrarse como sujeto obligado por esa actividad.</t>
  </si>
  <si>
    <t xml:space="preserve">No se lanza</t>
  </si>
  <si>
    <t xml:space="preserve">La ficha debe llenarse ANTES del lanzamiento y conservarse 10 años. Si la decisión es «Se lanza» o «Se lanza con controles adicionales», el producto o canal debe incorporarse a la siguiente actualización de A1 y a la matriz de controles A4.</t>
  </si>
  <si>
    <t xml:space="preserve">A8 · TOLERANCIA AL RIESGO, VIGENCIA Y PLAN DE ACCIÓN</t>
  </si>
  <si>
    <t xml:space="preserve">Art. 10 Septies 2 y 10 Septies 3: periodo evaluado de al menos 12 meses, tolerancia declarada, modificación en un plazo no mayor a 12 meses indicando al menos el año y el mes, y revisión anual por escrito.</t>
  </si>
  <si>
    <t xml:space="preserve">Paso 9 de 10  ·  Viene de: A6  ·  Sigue: A9 CONSTANCIA Y FUENTES</t>
  </si>
  <si>
    <t xml:space="preserve">DECLARACIÓN DE TOLERANCIA Y PERIODO EVALUADO</t>
  </si>
  <si>
    <t xml:space="preserve">Nivel de tolerancia declarado (PARÁMETROS C25):</t>
  </si>
  <si>
    <t xml:space="preserve">Periodo evaluado — inicio (INICIO C28):</t>
  </si>
  <si>
    <t xml:space="preserve">Periodo evaluado — fin (INICIO C29):</t>
  </si>
  <si>
    <t xml:space="preserve">Meses del periodo (ambos extremos incluidos):</t>
  </si>
  <si>
    <t xml:space="preserve">¿Cumple el mínimo de 12 meses (Art. 10 Septies 2)?</t>
  </si>
  <si>
    <t xml:space="preserve">Fecha de la evaluación (INICIO C27):</t>
  </si>
  <si>
    <t xml:space="preserve">Fecha límite de la próxima revisión:</t>
  </si>
  <si>
    <t xml:space="preserve">VEREDICTO: ¿EL RESULTADO ESTÁ DENTRO DE LA TOLERANCIA?</t>
  </si>
  <si>
    <t xml:space="preserve">Riesgo residual de la entidad:</t>
  </si>
  <si>
    <t xml:space="preserve">Tolerancia declarada:</t>
  </si>
  <si>
    <t xml:space="preserve">Veredicto:</t>
  </si>
  <si>
    <t xml:space="preserve">Consecuencia:</t>
  </si>
  <si>
    <t xml:space="preserve">PLAN DE ACCIÓN (obligatorio si el resultado queda fuera de tolerancia)</t>
  </si>
  <si>
    <t xml:space="preserve">Hallazgo / riesgo fuera de tolerancia</t>
  </si>
  <si>
    <t xml:space="preserve">Acción comprometida</t>
  </si>
  <si>
    <t xml:space="preserve">Responsable</t>
  </si>
  <si>
    <t xml:space="preserve">Año y mes comprometidos</t>
  </si>
  <si>
    <t xml:space="preserve">Evidencia</t>
  </si>
  <si>
    <t xml:space="preserve">El indicador 18, instrumento monetario, es el de mayor riesgo residual de toda la matriz (9.74, MEDIO): 56 de 112 operaciones del periodo tuvieron algún componente en efectivo.</t>
  </si>
  <si>
    <t xml:space="preserve">Bajar el umbral interno de aceptación de efectivo de 150,000 a 80,000 pesos por operación y desplazar el cobro a transferencia mediante acuerdo con las tres desarrolladoras.</t>
  </si>
  <si>
    <t xml:space="preserve">Representante Encargada de Cumplimiento</t>
  </si>
  <si>
    <t xml:space="preserve">marzo de 2027</t>
  </si>
  <si>
    <t xml:space="preserve">En proceso</t>
  </si>
  <si>
    <t xml:space="preserve">Adenda al Manual numeral 7.1 y convenios firmados con las desarrolladoras.</t>
  </si>
  <si>
    <t xml:space="preserve">La fracción IV del catálogo quedó en «Cumple parcialmente»: se declara la búsqueda de Personas Políticamente Expuestas pero no se conserva constancia de la consulta.</t>
  </si>
  <si>
    <t xml:space="preserve">Incorporar la impresión fechada de la consulta PEP al expediente de cada Cliente y correr la consulta retroactiva de los 86 Clientes del periodo.</t>
  </si>
  <si>
    <t xml:space="preserve">Área de expedientes</t>
  </si>
  <si>
    <t xml:space="preserve">enero de 2027</t>
  </si>
  <si>
    <t xml:space="preserve">Constancia de consulta en expediente y reporte de la corrida retroactiva.</t>
  </si>
  <si>
    <t xml:space="preserve">La fracción V quedó en «Cumple parcialmente»: las alertas del perfil transaccional se revisan pero sin bitácora de atención. Dos de las siete alertas del periodo siguen sin dictamen.</t>
  </si>
  <si>
    <t xml:space="preserve">Implantar bitácora de atención de alertas con responsable, fecha, dictamen y evidencia, y cerrar las dos alertas pendientes.</t>
  </si>
  <si>
    <t xml:space="preserve">noviembre de 2026</t>
  </si>
  <si>
    <t xml:space="preserve">Bitácora del sistema con dictamen firmado por alerta.</t>
  </si>
  <si>
    <t xml:space="preserve">La fracción XII quedó en «Cumple parcialmente»: hay programa de auditoría aprobado pero falta designar y preparar al área que emitirá el dictamen.</t>
  </si>
  <si>
    <t xml:space="preserve">Preparar el área de auditoría y designar a quien emitirá el dictamen. Con riesgo bajo o medio puede practicarla el área de auditoría interna (Art. 44); con riesgo alto, o si así se elige, va persona auditora externa independiente (Art. 45). El primer periodo de revisión corre del 1 de enero al 31 de diciembre de 2028 (Transitorio Octavo) y el dictamen se entrega a más tardar el último día hábil de marzo de 2029 (Art. 50).</t>
  </si>
  <si>
    <t xml:space="preserve">Órgano de administración</t>
  </si>
  <si>
    <t xml:space="preserve">diciembre de 2026</t>
  </si>
  <si>
    <t xml:space="preserve">No iniciada</t>
  </si>
  <si>
    <t xml:space="preserve">Programa anual de auditoría y acta de designación de quien emitirá el dictamen; el dictamen del ejercicio 2028 se entrega en marzo de 2029.</t>
  </si>
  <si>
    <t xml:space="preserve">El indicador 13, Beneficiario Controlador, pesa 0.18 dentro del elemento 2 y el régimen cambia: a partir del 30 de noviembre de 2026 desaparece la constancia declarativa en persona moral y fideicomiso, y hay que identificarlo.</t>
  </si>
  <si>
    <t xml:space="preserve">Sustituir la constancia declarativa por identificación efectiva en los 31 expedientes de persona moral y adecuar el formato del expediente antes de la fecha de entrada en vigor.</t>
  </si>
  <si>
    <t xml:space="preserve">Expedientes con Beneficiario Controlador identificado y formato nuevo liberado.</t>
  </si>
  <si>
    <t xml:space="preserve">El Art. 10 Septies 2, último párrafo, pide indicar al menos el año y mes EN QUE SE OBTUVIERON LOS RESULTADOS de la implementación: ése ancla el plazo de doce meses. La fecha comprometida de la acción es buena práctica de esta matriz. Un plan sin fecha no acredita mitigación: acredita intención.</t>
  </si>
  <si>
    <t xml:space="preserve">A9 · CONSTANCIA DE LA EVALUACIÓN, FUENTES Y CONSERVACIÓN</t>
  </si>
  <si>
    <t xml:space="preserve">Aquí se documenta lo que la matriz no calcula pero la autoridad sí exige: la ENR tomada en cuenta, la conciliación con tus mecanismos automatizados, los datos proyectados, la aprobación y las versiones.</t>
  </si>
  <si>
    <t xml:space="preserve">Pasos 2 y 10  ·  Secciones 1 y 2 se llenan ANTES de A1  ·  Secciones 3 a 7 al cierre</t>
  </si>
  <si>
    <t xml:space="preserve">ESTADO DE LLENADO DE LA CONSTANCIA</t>
  </si>
  <si>
    <t xml:space="preserve">Datos obligatorios que faltan:</t>
  </si>
  <si>
    <t xml:space="preserve">1 · EVALUACIÓN NACIONAL DE RIESGOS (Art. 10 Septies, segundo párrafo)</t>
  </si>
  <si>
    <t xml:space="preserve">Versión o año de la ENR tomada en cuenta:</t>
  </si>
  <si>
    <t xml:space="preserve">ENR 2023 (versión pública)</t>
  </si>
  <si>
    <t xml:space="preserve">Fecha en que se consultó:</t>
  </si>
  <si>
    <t xml:space="preserve">Amenazas, sectores y tipologías de la ENR que aplican a esta actividad:</t>
  </si>
  <si>
    <t xml:space="preserve">De la ENR aplican a esta actividad: el uso del sector inmobiliario para colocar efectivo de procedencia ilícita; la interposición de personas morales de reciente constitución y de terceros para ocultar al comprador real; el pago fraccionado por debajo de umbrales; y la subvaluación o sobrevaluación del inmueble respecto del valor de mercado.</t>
  </si>
  <si>
    <t xml:space="preserve">Cómo se reflejó la ENR en esta evaluación:</t>
  </si>
  <si>
    <t xml:space="preserve">Cada amenaza se ancló a un indicador. La colocación de efectivo elevó el perfil Alto del indicador 18 a 50% y sostiene su peso de 0.22. La interposición de personas morales sostiene el peso de 0.18 de los indicadores 6 y 13, y el 45% de perfil Alto del indicador 3. El fraccionamiento sostiene el 30% de perfil Alto del indicador 21. La subvaluación se atiende en el indicador 20 y en el control adicional de doble firma. Las cuatro quedaron además en el plan de acción de A8.</t>
  </si>
  <si>
    <t xml:space="preserve">¿La ENR se actualizó después de esta evaluación?</t>
  </si>
  <si>
    <t xml:space="preserve">2 · DATOS DE DOCE MESES Y CONCILIACIÓN CON EL MECANISMO AUTOMATIZADO (Art. 10 Septies 2, fr. I y II)</t>
  </si>
  <si>
    <t xml:space="preserve">Dato mínimo de doce meses</t>
  </si>
  <si>
    <t xml:space="preserve">Usado en esta evaluación</t>
  </si>
  <si>
    <t xml:space="preserve">Según el mecanismo automatizado</t>
  </si>
  <si>
    <t xml:space="preserve">Diferencia</t>
  </si>
  <si>
    <t xml:space="preserve">Número de Clientes o Usuarios</t>
  </si>
  <si>
    <t xml:space="preserve">Número de operaciones (actos u operaciones)</t>
  </si>
  <si>
    <t xml:space="preserve">Monto operado en el periodo</t>
  </si>
  <si>
    <t xml:space="preserve">Sistema o mecanismo automatizado del que se obtuvieron las cifras:</t>
  </si>
  <si>
    <t xml:space="preserve">Sistema de registro de operaciones y generación de Avisos «Ejemplo ERP Inmobiliario», módulo de cumplimiento y reportes, versión 4.2.</t>
  </si>
  <si>
    <t xml:space="preserve">Fecha de la conciliación:</t>
  </si>
  <si>
    <t xml:space="preserve">Explicación de las diferencias (si las hay):</t>
  </si>
  <si>
    <t xml:space="preserve">Sin diferencias: las tres cifras de la evaluación coinciden con las del mecanismo automatizado al corte del 30 de junio de 2026. Se verificó además que las 14 operaciones que generaron Aviso en el periodo estén conciliadas contra los acuses del portal.</t>
  </si>
  <si>
    <t xml:space="preserve">3 · DATOS PROYECTADOS (Art. 10 Septies 2, párrafo siguiente a la fr. II)</t>
  </si>
  <si>
    <t xml:space="preserve">¿La entidad operó durante todo el periodo evaluado?</t>
  </si>
  <si>
    <t xml:space="preserve">Si no operó todo el periodo: base y metodología de la proyección</t>
  </si>
  <si>
    <t xml:space="preserve">No aplica: la entidad operó los doce meses completos del periodo evaluado, del 1 de julio de 2025 al 30 de junio de 2026, y la evaluación se hizo íntegramente con datos reales. No se utilizaron datos proyectados.</t>
  </si>
  <si>
    <t xml:space="preserve">Fecha en que deben sustituirse los proyectados por datos reales:</t>
  </si>
  <si>
    <t xml:space="preserve">4 · APROBACIÓN, CONSTANCIA Y CONSERVACIÓN (Art. 10 Septies 3, tercer párrafo)</t>
  </si>
  <si>
    <t xml:space="preserve">Elaboró la evaluación (nombre y cargo):</t>
  </si>
  <si>
    <t xml:space="preserve">Fecha de elaboración:</t>
  </si>
  <si>
    <t xml:space="preserve">Aprobó la evaluación (nombre y cargo):</t>
  </si>
  <si>
    <t xml:space="preserve">Jorge Ejemplo Lara — Administrador Único</t>
  </si>
  <si>
    <t xml:space="preserve">Fecha de aprobación:</t>
  </si>
  <si>
    <t xml:space="preserve">Medio en que consta la aprobación:</t>
  </si>
  <si>
    <t xml:space="preserve">Acta de sesión del órgano de administración</t>
  </si>
  <si>
    <t xml:space="preserve">Lugar de resguardo del expediente de la evaluación:</t>
  </si>
  <si>
    <t xml:space="preserve">Repositorio de cumplimiento en servidor propio con respaldo cifrado y control de accesos, más carpeta física en el domicilio fiscal. Responsable del resguardo: la Representante Encargada de Cumplimiento.</t>
  </si>
  <si>
    <t xml:space="preserve">Conservar al menos hasta:</t>
  </si>
  <si>
    <t xml:space="preserve">5 · LOS DOS PLAZOS DE DOCE MESES — NO SON EL MISMO</t>
  </si>
  <si>
    <t xml:space="preserve">Obligación</t>
  </si>
  <si>
    <t xml:space="preserve">Fundamento</t>
  </si>
  <si>
    <t xml:space="preserve">Vence</t>
  </si>
  <si>
    <t xml:space="preserve">Compromiso registrado (año y mes)</t>
  </si>
  <si>
    <t xml:space="preserve">Revisar y actualizar esta evaluación</t>
  </si>
  <si>
    <t xml:space="preserve">Art. 10 Septies 3, primer párrafo</t>
  </si>
  <si>
    <t xml:space="preserve">No aplica: el plazo lo fija la propia norma</t>
  </si>
  <si>
    <t xml:space="preserve">Modificar las políticas conforme a los resultados</t>
  </si>
  <si>
    <t xml:space="preserve">Art. 10 Septies 2, último párrafo</t>
  </si>
  <si>
    <t xml:space="preserve">julio de 2027</t>
  </si>
  <si>
    <t xml:space="preserve">6 · CONTROL DE VERSIONES DE LA EVALUACIÓN</t>
  </si>
  <si>
    <t xml:space="preserve">Versión</t>
  </si>
  <si>
    <t xml:space="preserve">Fecha</t>
  </si>
  <si>
    <t xml:space="preserve">Cambios principales</t>
  </si>
  <si>
    <t xml:space="preserve">v.1</t>
  </si>
  <si>
    <t xml:space="preserve">Primera evaluación bajo el Cap. II Quáter de las Reglas de Carácter General.</t>
  </si>
  <si>
    <t xml:space="preserve">Encargado de Cumplimiento</t>
  </si>
  <si>
    <t xml:space="preserve">7 · METODOLOGÍA INCORPORADA AL MANUAL (Art. 37, último párrafo)</t>
  </si>
  <si>
    <t xml:space="preserve">¿El Manual incluye el diseño de esta metodología?</t>
  </si>
  <si>
    <t xml:space="preserve">¿Incluye los criterios de apertura, limitación o terminación congruentes con ella?</t>
  </si>
  <si>
    <t xml:space="preserve">Numeral del Manual donde consta:</t>
  </si>
  <si>
    <t xml:space="preserve">Manual, numeral 2.3</t>
  </si>
  <si>
    <t xml:space="preserve">Esta hoja es la constancia por escrito que exige el Art. 10 Septies 3: impresa y firmada, junto con A1 a A8, acredita que la evaluación existió, quién la aprobó y con qué fuentes se hizo. Conservarla diez años.</t>
  </si>
  <si>
    <t xml:space="preserve">PRODUCTOS Y SERVICIOS · nivel de riesgo de lo que ofreces</t>
  </si>
  <si>
    <t xml:space="preserve">Un renglón por producto, servicio u operación que ofreces. Cada indicador se califica por columna y el nivel del producto es el promedio de sus indicadores.</t>
  </si>
  <si>
    <t xml:space="preserve">Alimenta el factor «Producto o servicio contratado» de la hoja B CLIENTE. Los seis indicadores son los del elemento 1 de la hoja A1: así el riesgo del producto se mide igual en los dos modelos.</t>
  </si>
  <si>
    <t xml:space="preserve">CATÁLOGO DE PRODUCTOS  ·  califica cada indicador en Alto, Medio o Bajo</t>
  </si>
  <si>
    <t xml:space="preserve">Clave</t>
  </si>
  <si>
    <t xml:space="preserve">Producto, servicio u operación</t>
  </si>
  <si>
    <t xml:space="preserve">Valor del producto o servicio</t>
  </si>
  <si>
    <t xml:space="preserve">Liquidez o convertibilidad</t>
  </si>
  <si>
    <t xml:space="preserve">Anonimato que permite</t>
  </si>
  <si>
    <t xml:space="preserve">Facilidad de transferir u ocultar valor</t>
  </si>
  <si>
    <t xml:space="preserve">Exposición al financiamiento al terrorismo</t>
  </si>
  <si>
    <t xml:space="preserve">Uso de efectivo asociado</t>
  </si>
  <si>
    <t xml:space="preserve">P-01</t>
  </si>
  <si>
    <t xml:space="preserve">Compraventa de casa habitación de interés medio</t>
  </si>
  <si>
    <t xml:space="preserve">P-02</t>
  </si>
  <si>
    <t xml:space="preserve">Compraventa de casa habitación residencial</t>
  </si>
  <si>
    <t xml:space="preserve">P-03</t>
  </si>
  <si>
    <t xml:space="preserve">Compraventa de local comercial</t>
  </si>
  <si>
    <t xml:space="preserve">P-04</t>
  </si>
  <si>
    <t xml:space="preserve">Preventa con apartado reembolsable</t>
  </si>
  <si>
    <t xml:space="preserve">P-05</t>
  </si>
  <si>
    <t xml:space="preserve">Renta con opción a compra</t>
  </si>
  <si>
    <t xml:space="preserve">P-06</t>
  </si>
  <si>
    <t xml:space="preserve">Desarrollo por encargo (obra a la medida)</t>
  </si>
  <si>
    <t xml:space="preserve">Los seis indicadores corresponden al elemento 1 de la hoja A1 —actos u operaciones— y a los delitos de los artículos 139 Quáter y 400 Bis del Código Penal Federal. El anonimato no es un atributo del Cliente sino del producto: por eso se mide aquí y no en la hoja B CLIENTE.</t>
  </si>
  <si>
    <t xml:space="preserve">Fundamento de cada indicador</t>
  </si>
  <si>
    <t xml:space="preserve">RCG 10 Septies 1 fr. I a)</t>
  </si>
  <si>
    <t xml:space="preserve">CPF 400 Bis</t>
  </si>
  <si>
    <t xml:space="preserve">CPF 139 Quáter</t>
  </si>
  <si>
    <t xml:space="preserve">L 32</t>
  </si>
  <si>
    <t xml:space="preserve">VARIABLES POR FACTOR · el catálogo del modelo de Cliente</t>
  </si>
  <si>
    <t xml:space="preserve">Una fila por variable. Es la política escrita del modelo: qué cuenta como riesgo alto, medio o bajo en cada factor. Va en el Manual (Art. 23 Bis).</t>
  </si>
  <si>
    <t xml:space="preserve">REGLA DEL CATÁLOGO · Un factor, un atributo. Cada variable de un factor mide lo mismo que las demás de ese factor, y nada de lo que mide otro factor. Si un atributo aparece en dos factores, se cuenta dos veces con peso. Todos los niveles son 1, 3 o 5.</t>
  </si>
  <si>
    <t xml:space="preserve">CATÁLOGO DE VARIABLES</t>
  </si>
  <si>
    <t xml:space="preserve">Familia</t>
  </si>
  <si>
    <t xml:space="preserve">Factor</t>
  </si>
  <si>
    <t xml:space="preserve">Variable</t>
  </si>
  <si>
    <t xml:space="preserve">Fuente del dato</t>
  </si>
  <si>
    <t xml:space="preserve">Llave</t>
  </si>
  <si>
    <t xml:space="preserve">F01</t>
  </si>
  <si>
    <t xml:space="preserve">Persona física</t>
  </si>
  <si>
    <t xml:space="preserve">Anexo aplicable: 3 física · 4 moral · 8 fideicomiso</t>
  </si>
  <si>
    <t xml:space="preserve">Persona moral con fines de lucro (sociedad mercantil)</t>
  </si>
  <si>
    <t xml:space="preserve">Persona moral sin fines de lucro (asociación o sociedad civil)</t>
  </si>
  <si>
    <t xml:space="preserve">Fideicomiso</t>
  </si>
  <si>
    <t xml:space="preserve">Otra figura o vehículo sin personalidad jurídica propia</t>
  </si>
  <si>
    <t xml:space="preserve">No determinado</t>
  </si>
  <si>
    <t xml:space="preserve">F02</t>
  </si>
  <si>
    <t xml:space="preserve">Fecha de nacimiento o de constitución</t>
  </si>
  <si>
    <t xml:space="preserve">Persona física de 23 a 59 años</t>
  </si>
  <si>
    <t xml:space="preserve">A3 a) ii) · A4 a) ii)</t>
  </si>
  <si>
    <t xml:space="preserve">Persona física mayor de 60 años</t>
  </si>
  <si>
    <t xml:space="preserve">Persona física menor de 23 años</t>
  </si>
  <si>
    <t xml:space="preserve">Persona moral constituida hace más de 5 años</t>
  </si>
  <si>
    <t xml:space="preserve">Persona moral constituida hace 2 a 5 años</t>
  </si>
  <si>
    <t xml:space="preserve">Persona moral constituida hace menos de 2 años</t>
  </si>
  <si>
    <t xml:space="preserve">F03</t>
  </si>
  <si>
    <t xml:space="preserve">Actividad, ocupación, profesión o giro</t>
  </si>
  <si>
    <t xml:space="preserve">Empleo asalariado o pensionado</t>
  </si>
  <si>
    <t xml:space="preserve">A3 a) v) · A4 a) iv)</t>
  </si>
  <si>
    <t xml:space="preserve">Comercio al menudeo formal</t>
  </si>
  <si>
    <t xml:space="preserve">Servicios profesionales</t>
  </si>
  <si>
    <t xml:space="preserve">Construcción o desarrollo inmobiliario</t>
  </si>
  <si>
    <t xml:space="preserve">Otra Actividad Vulnerable del artículo 17</t>
  </si>
  <si>
    <t xml:space="preserve">Comercio de metales, joyería o arte</t>
  </si>
  <si>
    <t xml:space="preserve">Fedatario público, abogado o contador</t>
  </si>
  <si>
    <t xml:space="preserve">Actividad no acreditada o no determinada</t>
  </si>
  <si>
    <t xml:space="preserve">F04</t>
  </si>
  <si>
    <t xml:space="preserve">País de nacionalidad</t>
  </si>
  <si>
    <t xml:space="preserve">Mexicana</t>
  </si>
  <si>
    <t xml:space="preserve">A3 a) iv) · A4 a) iii)</t>
  </si>
  <si>
    <t xml:space="preserve">Extranjera de país sin señalamiento</t>
  </si>
  <si>
    <t xml:space="preserve">Extranjera de país o jurisdicción señalada por la UIF</t>
  </si>
  <si>
    <t xml:space="preserve">No determinada</t>
  </si>
  <si>
    <t xml:space="preserve">F05</t>
  </si>
  <si>
    <t xml:space="preserve">Domicilio: país y estado de residencia</t>
  </si>
  <si>
    <t xml:space="preserve">Residente en México, entidad federativa sin señalamiento</t>
  </si>
  <si>
    <t xml:space="preserve">A3 a) vi) · A4 a) v)</t>
  </si>
  <si>
    <t xml:space="preserve">Residente en México, entidad federativa señalada en la ENR</t>
  </si>
  <si>
    <t xml:space="preserve">Residente en el extranjero, país sin señalamiento</t>
  </si>
  <si>
    <t xml:space="preserve">Residente en el extranjero, jurisdicción de régimen fiscal preferente o deficiente</t>
  </si>
  <si>
    <t xml:space="preserve">F06</t>
  </si>
  <si>
    <t xml:space="preserve">No es Persona Políticamente Expuesta</t>
  </si>
  <si>
    <t xml:space="preserve">Declaración del Cliente y consulta en Consulta PEP 2.0 · RCG 23 Quáter 1 · RCG 23 Bis 3 y 23 Bis 4</t>
  </si>
  <si>
    <t xml:space="preserve">PEP nacional, comportamiento congruente con ingresos y funciones</t>
  </si>
  <si>
    <t xml:space="preserve">PEP nacional, comportamiento no congruente o no verificado</t>
  </si>
  <si>
    <t xml:space="preserve">PEP extranjera</t>
  </si>
  <si>
    <t xml:space="preserve">Familiar o allegado de PEP</t>
  </si>
  <si>
    <t xml:space="preserve">F07</t>
  </si>
  <si>
    <t xml:space="preserve">Coincidencia en listas de personas bloqueadas</t>
  </si>
  <si>
    <t xml:space="preserve">Sin coincidencia, búsqueda documentada en la operación</t>
  </si>
  <si>
    <t xml:space="preserve">RCG 38 · RCG 41 fr. V</t>
  </si>
  <si>
    <t xml:space="preserve">Coincidencia descartada con constancia (homonimia acreditada)</t>
  </si>
  <si>
    <t xml:space="preserve">Coincidencia positiva en lista de personas bloqueadas o de sanciones</t>
  </si>
  <si>
    <t xml:space="preserve">Búsqueda no realizada o sin constancia</t>
  </si>
  <si>
    <t xml:space="preserve">F08</t>
  </si>
  <si>
    <t xml:space="preserve">Beneficiario Controlador</t>
  </si>
  <si>
    <t xml:space="preserve">Sin cadena de control: el Cliente es su propio Beneficiario Controlador</t>
  </si>
  <si>
    <t xml:space="preserve">A3 b) iv) · A4 b) v) · A8 b) iv)</t>
  </si>
  <si>
    <t xml:space="preserve">Beneficiario Controlador identificado, cadena de un nivel</t>
  </si>
  <si>
    <t xml:space="preserve">Beneficiario Controlador identificado, cadena de dos o más niveles</t>
  </si>
  <si>
    <t xml:space="preserve">Se declara no tener conocimiento de Beneficiario Controlador</t>
  </si>
  <si>
    <t xml:space="preserve">Beneficiario Controlador no identificado o cadena no acreditable</t>
  </si>
  <si>
    <t xml:space="preserve">F09</t>
  </si>
  <si>
    <t xml:space="preserve">Fuente de los ingresos</t>
  </si>
  <si>
    <t xml:space="preserve">Sueldos o actividad empresarial acreditada documentalmente</t>
  </si>
  <si>
    <t xml:space="preserve">A3 a) v) · declarada por el Cliente</t>
  </si>
  <si>
    <t xml:space="preserve">Ingresos acreditados parcialmente</t>
  </si>
  <si>
    <t xml:space="preserve">Ingresos declarados sin soporte documental</t>
  </si>
  <si>
    <t xml:space="preserve">Fuente de ingresos no manifestada</t>
  </si>
  <si>
    <t xml:space="preserve">F10</t>
  </si>
  <si>
    <t xml:space="preserve">Naturaleza y propósito de la relación</t>
  </si>
  <si>
    <t xml:space="preserve">Relación de Negocios de largo plazo, propósito claro y documentado</t>
  </si>
  <si>
    <t xml:space="preserve">Perfil transaccional · RCG 23 Ter 1</t>
  </si>
  <si>
    <t xml:space="preserve">Cliente ocasional, un solo acto u operación</t>
  </si>
  <si>
    <t xml:space="preserve">Propósito declarado que no corresponde con el perfil del Cliente</t>
  </si>
  <si>
    <t xml:space="preserve">Propósito no manifestado</t>
  </si>
  <si>
    <t xml:space="preserve">F12</t>
  </si>
  <si>
    <t xml:space="preserve">Transaccional</t>
  </si>
  <si>
    <t xml:space="preserve">Monto frente al Perfil transaccional y umbrales</t>
  </si>
  <si>
    <t xml:space="preserve">Por debajo del umbral de identificación</t>
  </si>
  <si>
    <t xml:space="preserve">RCG 23 Ter 1 · L 17</t>
  </si>
  <si>
    <t xml:space="preserve">Entre el umbral de identificación y el de aviso</t>
  </si>
  <si>
    <t xml:space="preserve">Igual o superior al umbral de aviso</t>
  </si>
  <si>
    <t xml:space="preserve">Por debajo del umbral pero con acumulación que lo alcanza</t>
  </si>
  <si>
    <t xml:space="preserve">Más del doble del umbral de aviso</t>
  </si>
  <si>
    <t xml:space="preserve">F13</t>
  </si>
  <si>
    <t xml:space="preserve">Número y frecuencia de las operaciones</t>
  </si>
  <si>
    <t xml:space="preserve">Una sola operación en el periodo</t>
  </si>
  <si>
    <t xml:space="preserve">Mecanismo automatizado · criterio propio: el 23 Bis 2 fr. II es lista abierta</t>
  </si>
  <si>
    <t xml:space="preserve">De dos a cuatro operaciones al año</t>
  </si>
  <si>
    <t xml:space="preserve">Cinco o más operaciones al año</t>
  </si>
  <si>
    <t xml:space="preserve">Operaciones en intervalos cortos y regulares</t>
  </si>
  <si>
    <t xml:space="preserve">F14</t>
  </si>
  <si>
    <t xml:space="preserve">Número de contrapartes</t>
  </si>
  <si>
    <t xml:space="preserve">Una contraparte, el propio Cliente</t>
  </si>
  <si>
    <t xml:space="preserve">Registro de operaciones</t>
  </si>
  <si>
    <t xml:space="preserve">De dos a tres contrapartes</t>
  </si>
  <si>
    <t xml:space="preserve">Más de tres contrapartes</t>
  </si>
  <si>
    <t xml:space="preserve">Contrapartes no identificadas</t>
  </si>
  <si>
    <t xml:space="preserve">F15</t>
  </si>
  <si>
    <t xml:space="preserve">Instrumento monetario</t>
  </si>
  <si>
    <t xml:space="preserve">Transferencia electrónica desde cuenta a nombre del Cliente</t>
  </si>
  <si>
    <t xml:space="preserve">Registro de la operación · Aviso</t>
  </si>
  <si>
    <t xml:space="preserve">Cheque nominativo del Cliente</t>
  </si>
  <si>
    <t xml:space="preserve">Pago mixto con componente en efectivo</t>
  </si>
  <si>
    <t xml:space="preserve">Efectivo por encima del umbral interno</t>
  </si>
  <si>
    <t xml:space="preserve">Instrumento al portador (cheque al portador u orden de pago)</t>
  </si>
  <si>
    <t xml:space="preserve">Pago en especie o con bienes entregados como contraprestación</t>
  </si>
  <si>
    <t xml:space="preserve">F16</t>
  </si>
  <si>
    <t xml:space="preserve">Tipo de moneda</t>
  </si>
  <si>
    <t xml:space="preserve">Peso mexicano</t>
  </si>
  <si>
    <t xml:space="preserve">Dólar estadounidense o euro</t>
  </si>
  <si>
    <t xml:space="preserve">Otra divisa</t>
  </si>
  <si>
    <t xml:space="preserve">Activo virtual</t>
  </si>
  <si>
    <t xml:space="preserve">F17</t>
  </si>
  <si>
    <t xml:space="preserve">Origen de los recursos</t>
  </si>
  <si>
    <t xml:space="preserve">Origen acreditado con documentación verificable</t>
  </si>
  <si>
    <t xml:space="preserve">RCG 23 Ter 3 · declarado por el Cliente</t>
  </si>
  <si>
    <t xml:space="preserve">Origen declarado con soporte parcial</t>
  </si>
  <si>
    <t xml:space="preserve">Origen declarado sin soporte</t>
  </si>
  <si>
    <t xml:space="preserve">Recursos provenientes de un tercero</t>
  </si>
  <si>
    <t xml:space="preserve">Origen no manifestado</t>
  </si>
  <si>
    <t xml:space="preserve">F18</t>
  </si>
  <si>
    <t xml:space="preserve">Destino de los recursos</t>
  </si>
  <si>
    <t xml:space="preserve">Destino es el propio bien u operación, registrado</t>
  </si>
  <si>
    <t xml:space="preserve">Destino declarado y verificable</t>
  </si>
  <si>
    <t xml:space="preserve">Destino a un tercero no relacionado</t>
  </si>
  <si>
    <t xml:space="preserve">Destino no manifestado</t>
  </si>
  <si>
    <t xml:space="preserve">F19</t>
  </si>
  <si>
    <t xml:space="preserve">Canal: certeza de identificación</t>
  </si>
  <si>
    <t xml:space="preserve">Comparecencia directa del Cliente, o identificación remota con biometría y prueba de vida</t>
  </si>
  <si>
    <t xml:space="preserve">Registro de la operación · cómo se identificó al Cliente</t>
  </si>
  <si>
    <t xml:space="preserve">Remota con verificación documental, sin prueba de vida</t>
  </si>
  <si>
    <t xml:space="preserve">A través de promotor, comisionista o agente propio, con contrato y responsable identificado</t>
  </si>
  <si>
    <t xml:space="preserve">A través de plataforma o intermediario de un tercero que no controlas</t>
  </si>
  <si>
    <t xml:space="preserve">A través de gestor o intermediario no acreditado, o sin poder determinarlo</t>
  </si>
  <si>
    <t xml:space="preserve">F20</t>
  </si>
  <si>
    <t xml:space="preserve">País o jurisdicción de la operación</t>
  </si>
  <si>
    <t xml:space="preserve">México</t>
  </si>
  <si>
    <t xml:space="preserve">Registro de la operación</t>
  </si>
  <si>
    <t xml:space="preserve">Extranjero, país sin señalamiento</t>
  </si>
  <si>
    <t xml:space="preserve">Jurisdicción de régimen fiscal preferente o señalada por deficiencias</t>
  </si>
  <si>
    <t xml:space="preserve">F21</t>
  </si>
  <si>
    <t xml:space="preserve">Área geográfica nacional de la operación</t>
  </si>
  <si>
    <t xml:space="preserve">Entidad federativa sin señalamiento en la ENR</t>
  </si>
  <si>
    <t xml:space="preserve">Entidad federativa con señalamiento en la ENR</t>
  </si>
  <si>
    <t xml:space="preserve">Municipio o zona identificada de alto riesgo</t>
  </si>
  <si>
    <t xml:space="preserve">F22</t>
  </si>
  <si>
    <t xml:space="preserve">Congruencia entre domicilio y lugar de operación</t>
  </si>
  <si>
    <t xml:space="preserve">Domicilio y lugar de la operación coinciden</t>
  </si>
  <si>
    <t xml:space="preserve">Derivado: A3 a) vi) / A4 a) v) contra el registro</t>
  </si>
  <si>
    <t xml:space="preserve">Distinta entidad federativa, con explicación documentada</t>
  </si>
  <si>
    <t xml:space="preserve">Distinta entidad federativa sin explicación</t>
  </si>
  <si>
    <t xml:space="preserve">B · GRADO DE RIESGO DEL CLIENTE O USUARIA</t>
  </si>
  <si>
    <t xml:space="preserve">Modelo de clasificación por Grado de Riesgo individual (Art. 23 Bis). Los factores se agrupan en características inherentes y transaccionales, como los nombra el Art. 23 Bis 2.</t>
  </si>
  <si>
    <t xml:space="preserve">Elige la variable de cada factor en el desplegable. El nivel lo trae solo de la hoja VARIABLES; el del producto, de la hoja PRODUCTOS.</t>
  </si>
  <si>
    <t xml:space="preserve">IDENTIFICACIÓN DEL CLIENTE</t>
  </si>
  <si>
    <t xml:space="preserve">Nombre o identificador del Cliente:</t>
  </si>
  <si>
    <t xml:space="preserve">Comercializadora Ejemplo del Norte, S.A. de C.V.</t>
  </si>
  <si>
    <t xml:space="preserve">Anexo de identificación aplicable:</t>
  </si>
  <si>
    <t xml:space="preserve">Anexo 4 · persona moral mexicana</t>
  </si>
  <si>
    <t xml:space="preserve">Fecha de la clasificación:</t>
  </si>
  <si>
    <t xml:space="preserve">2026-07-01</t>
  </si>
  <si>
    <t xml:space="preserve">¿Reside en territorio mexicano?:</t>
  </si>
  <si>
    <t xml:space="preserve">¿Vínculo o efectos con jurisdicción de régimen fiscal preferente o deficiente en PLD?:</t>
  </si>
  <si>
    <t xml:space="preserve">Amarillo = tú capturas. También los pesos: los de la columna «Peso» y los de familia (45 % / 55 %) los defines tú «en función de su importancia» (Art. 10 Septies 1, fr. II) y los justificas por escrito. Dentro de cada familia deben sumar 100 %.</t>
  </si>
  <si>
    <t xml:space="preserve">FACTORES DE RIESGO  ·  elige la variable; el nivel se calcula solo</t>
  </si>
  <si>
    <t xml:space="preserve">Variable seleccionada</t>
  </si>
  <si>
    <t xml:space="preserve">Aporte</t>
  </si>
  <si>
    <t xml:space="preserve">F11</t>
  </si>
  <si>
    <t xml:space="preserve">Producto o servicio contratado</t>
  </si>
  <si>
    <t xml:space="preserve">Hoja PRODUCTOS · registro de la operación</t>
  </si>
  <si>
    <t xml:space="preserve">F11 es el único factor cuyo nivel no sale de VARIABLES sino de la hoja PRODUCTOS: el riesgo del producto se calcula ahí con sus seis indicadores. Excel puede marcar esa celda como «fórmula inconsistente»; es correcta.</t>
  </si>
  <si>
    <t xml:space="preserve">RESULTADO POR FAMILIA  ·  Art. 23 Bis 2 fracciones I y II</t>
  </si>
  <si>
    <t xml:space="preserve">Familia de factores</t>
  </si>
  <si>
    <t xml:space="preserve">Características inherentes</t>
  </si>
  <si>
    <t xml:space="preserve">Características transaccionales</t>
  </si>
  <si>
    <t xml:space="preserve">Suma de los pesos de familia (debe ser 100 %)</t>
  </si>
  <si>
    <t xml:space="preserve">Factores todavía sin elegir:</t>
  </si>
  <si>
    <t xml:space="preserve">GRADO DE RIESGO DEL CLIENTE</t>
  </si>
  <si>
    <t xml:space="preserve">Calificación ponderada del Cliente (escala 1 a 5):</t>
  </si>
  <si>
    <t xml:space="preserve">Grado base:</t>
  </si>
  <si>
    <t xml:space="preserve">Regla obligatoria de riesgo alto (Art. 23 Bis 4):</t>
  </si>
  <si>
    <t xml:space="preserve">GRADO DE RIESGO FINAL</t>
  </si>
  <si>
    <t xml:space="preserve">CÓMO SE LEE  ·  Alto = 5 · Medio = 3 · Bajo = 1, la misma escala de calificación de la hoja A1</t>
  </si>
  <si>
    <t xml:space="preserve">BAJO</t>
  </si>
  <si>
    <t xml:space="preserve">1.00 a 2.33</t>
  </si>
  <si>
    <t xml:space="preserve">Expediente conforme al Art. 12. Medidas simplificadas sólo si se cumplen LAS DOS condiciones: Cliente de bajo Riesgo (Art. 17 de las Reglas) y entidad de bajo riesgo (Art. 15 del Reglamento).</t>
  </si>
  <si>
    <t xml:space="preserve">MEDIO</t>
  </si>
  <si>
    <t xml:space="preserve">2.34 a 3.66</t>
  </si>
  <si>
    <t xml:space="preserve">Expediente completo del Art. 12 de las Reglas (Art. 17 Bis).</t>
  </si>
  <si>
    <t xml:space="preserve">ALTO</t>
  </si>
  <si>
    <t xml:space="preserve">3.67 a 5.00</t>
  </si>
  <si>
    <t xml:space="preserve">Expediente reforzado: Arts. 23 Ter 3, 23 Ter 4 y, si además es PEP, 23 Ter 5.</t>
  </si>
  <si>
    <t xml:space="preserve">SI EL GRADO ES ALTO — Debida Diligencia Reforzada</t>
  </si>
  <si>
    <t xml:space="preserve">•  Art. 23 Ter 3 — Requerir mayor información sobre la actividad preponderante y aplicar revisión y monitoreo más estricto del comportamiento transaccional.</t>
  </si>
  <si>
    <t xml:space="preserve">•  Art. 23 Ter 3 — Aplicar cuestionario de identificación sobre origen y destino de los recursos. Puede ser remoto, con Firma Electrónica de quien lo suscribe.</t>
  </si>
  <si>
    <t xml:space="preserve">•  Art. 23 Ter 4 fr. I — Persona física: medidas reforzadas sobre origen y destino, y datos del cónyuge, dependientes económicos y vínculos patrimoniales.</t>
  </si>
  <si>
    <t xml:space="preserve">•  Art. 23 Ter 4 fr. II — Persona moral: mayor información de accionistas o socios, verificando los datos en los registros electrónicos de la Secretaría de Economía.</t>
  </si>
  <si>
    <t xml:space="preserve">•  Art. 23 Ter 5 — PEP con grado alto: aprobación previa de un directivo o equivalente. Si quien realiza la Actividad Vulnerable es persona física, se subsana con constancia motivada.</t>
  </si>
  <si>
    <t xml:space="preserve">•  Art. 23 Bis 1 — Reevaluar el grado al menos cada seis meses, con mayor frecuencia mientras mayor sea el grado.</t>
  </si>
  <si>
    <t xml:space="preserve">RÉGIMEN DE EXPEDIENTE  ·  dos ejes distintos y ambos deben cumplirse: Art. 17 de las Reglas para el Cliente, Art. 15 del Reglamento para la entidad</t>
  </si>
  <si>
    <t xml:space="preserve">Grado de riesgo final del CLIENTE:</t>
  </si>
  <si>
    <t xml:space="preserve">Riesgo residual de la ENTIDAD (hoja A5):</t>
  </si>
  <si>
    <t xml:space="preserve">Expediente que debe integrarse:</t>
  </si>
  <si>
    <t xml:space="preserve">Coherencia con la metodología (Art. 23 Bis): este modelo usa la misma escala de calificación de la hoja A1 —Alto 5 · Medio 3 · Bajo 1— y el mismo criterio de ponderación del Art. 10 Septies 1 fr. II, pero se agrupa como lo nombra el Art. 23 Bis 2: características inherentes y transaccionales. Los cuatro elementos del Art. 10 Septies 1 fr. I son de la evaluación de la ENTIDAD, no del Cliente. Lo que no aplica al Cliente es la concentración, porque un Cliente no se reparte en porcentajes de operación: por eso el resultado corre de 1 a 5 y no de 1 a 25. · MEDIDAS SIMPLIFICADAS, CRITERIO DEL TALLER. Son dos condiciones en dos ordenamientos distintos y ninguno repite la del otro: el Art. 15 del Reglamento pide que la ENTIDAD sea de bajo riesgo, y el Art. 17 de las Reglas pide que el CLIENTE esté clasificado de bajo Riesgo conforme al Capítulo III Bis. Se leen como acumulativas por jerarquía: una regla de carácter general no puede dispensar una condición del Reglamento, y el propio Art. 15 la manda desarrollar, no sustituir. Consecuencia en los dos sentidos: una entidad de bajo riesgo no puede simplificar con un Cliente de Riesgo alto, y un Cliente de bajo Riesgo no accede al expediente simplificado si la entidad no es de bajo riesgo. · QUÉ RIESGO DE LA ENTIDAD. Este modelo usa el RESIDUAL de la hoja A5. Es criterio: ni el Art. 15 del Reglamento ni los Arts. 44 y 45 dicen si el riesgo es inherente o residual, y en las Reglas la palabra residual no aparece ni una vez. Se toma el residual porque el Art. 10 Septies 1 fr. III obliga a establecer el efecto de los Mitigantes sobre los elementos de Riesgo, y el Art. 10 Septies 2 a mantenerlos en un nivel de tolerancia aceptable. · Y un dato para el aula: la condición del bajo riesgo de la entidad NO es nueva. Está en el Art. 15 del Reglamento desde su publicación en el DOF del 16 de agosto de 2013. Lo que la reforma del 27 de marzo de 2026 agregó fue el anclaje a la evaluación del Art. 18 fr. VII de la Ley, fracción adicionada el 16 de julio de 2025. La reforma no creó la condición: la hizo operativa.</t>
  </si>
  <si>
    <t xml:space="preserve">EVENTOS QUE OBLIGAN A REVISAR EL GRADO  ·  no suman puntos: disparan revisión</t>
  </si>
  <si>
    <t xml:space="preserve">Estos hechos NO entran al promedio ponderado. Si entraran, una desviación grave movería la calificación unas décimas y el Cliente se quedaría igual. Operan como el supuesto obligatorio del Art. 23 Bis 4: se saltan el puntaje. Al marcar cualquiera en «Sí», procede revisar el Grado y, en su caso, modificarlo (Art. 23 Ter frs. IV y V) y actualizar el expediente. El sistema de alertas del Art. 23 Ter 2 es el que debe detectarlos.</t>
  </si>
  <si>
    <t xml:space="preserve">Evento</t>
  </si>
  <si>
    <t xml:space="preserve">¿Ocurrió?</t>
  </si>
  <si>
    <t xml:space="preserve">Alerta de desviación respecto del Perfil transaccional declarado</t>
  </si>
  <si>
    <t xml:space="preserve">RCG 23 Ter 1 y 23 Ter 2</t>
  </si>
  <si>
    <t xml:space="preserve">Cambio en el Beneficiario Controlador o en la cadena de control</t>
  </si>
  <si>
    <t xml:space="preserve">RCG 22 · Anexos 3, 4 y 8</t>
  </si>
  <si>
    <t xml:space="preserve">Coincidencia nueva en listas de personas bloqueadas o de sanciones</t>
  </si>
  <si>
    <t xml:space="preserve">Cambio en la condición de Persona Políticamente Expuesta</t>
  </si>
  <si>
    <t xml:space="preserve">RCG 23 Quáter · 23 Quáter 1 (Consulta PEP 2.0)</t>
  </si>
  <si>
    <t xml:space="preserve">Cambio significativo en la actividad, el giro o la fuente de los ingresos</t>
  </si>
  <si>
    <t xml:space="preserve">RCG 23 Ter fr. IV</t>
  </si>
  <si>
    <t xml:space="preserve">Operación que se aparta del patrón habitual del Cliente</t>
  </si>
  <si>
    <t xml:space="preserve">RCG 23 Ter 2</t>
  </si>
  <si>
    <t xml:space="preserve">¿Procede revisar el Grado de Riesgo?</t>
  </si>
  <si>
    <t xml:space="preserve">PARÁMETROS Y ESCALAS DE LA METODOLOGÍA</t>
  </si>
  <si>
    <t xml:space="preserve">Base técnica reglas / CNBV / GAFILAT. Solo edita el valor de la UMA y el Nivel de Tolerancia.</t>
  </si>
  <si>
    <t xml:space="preserve">Paso 0 de 10  ·  Se configura una vez  ·  Sigue: INICIO</t>
  </si>
  <si>
    <t xml:space="preserve">ESCALA DE CALIFICACIÓN (qué tan riesgoso)</t>
  </si>
  <si>
    <t xml:space="preserve">ESCALA DE CONCENTRACIÓN (qué tan expuesto)</t>
  </si>
  <si>
    <t xml:space="preserve">Muy bajo</t>
  </si>
  <si>
    <t xml:space="preserve">Perfil de bajo riesgo</t>
  </si>
  <si>
    <t xml:space="preserve">Mínima</t>
  </si>
  <si>
    <t xml:space="preserve">Casi nada del negocio expuesto</t>
  </si>
  <si>
    <t xml:space="preserve">Riesgo limitado</t>
  </si>
  <si>
    <t xml:space="preserve">Baja</t>
  </si>
  <si>
    <t xml:space="preserve">Parte menor expuesta</t>
  </si>
  <si>
    <t xml:space="preserve">Riesgo moderado</t>
  </si>
  <si>
    <t xml:space="preserve">Media</t>
  </si>
  <si>
    <t xml:space="preserve">Parte relevante expuesta</t>
  </si>
  <si>
    <t xml:space="preserve">Riesgo elevado</t>
  </si>
  <si>
    <t xml:space="preserve">Alta</t>
  </si>
  <si>
    <t xml:space="preserve">Buena parte expuesta</t>
  </si>
  <si>
    <t xml:space="preserve">Muy alto</t>
  </si>
  <si>
    <t xml:space="preserve">Riesgo crítico</t>
  </si>
  <si>
    <t xml:space="preserve">Muy alta</t>
  </si>
  <si>
    <t xml:space="preserve">La mayoría del negocio expuesto</t>
  </si>
  <si>
    <t xml:space="preserve">Esta escala de cinco es para el riesgo de la ENTIDAD (hojas A1 a A9). Con tres niveles el resultado queda muy compacto y casi todo sale «medio».</t>
  </si>
  <si>
    <t xml:space="preserve">NIVELES DE RIESGO (Calificación × Concentración)</t>
  </si>
  <si>
    <t xml:space="preserve">ESCALA DE EVALUACIÓN DE OBLIGACIONES (Art. 48 de las Reglas)</t>
  </si>
  <si>
    <t xml:space="preserve">Límite inf.</t>
  </si>
  <si>
    <t xml:space="preserve">De</t>
  </si>
  <si>
    <t xml:space="preserve">Color</t>
  </si>
  <si>
    <t xml:space="preserve">Resultado</t>
  </si>
  <si>
    <t xml:space="preserve">Equivale a</t>
  </si>
  <si>
    <t xml:space="preserve">Cuándo se usa (Art. 48)</t>
  </si>
  <si>
    <t xml:space="preserve">La eficacia del cumplimiento se demuestra y el auditor no recomienda mejoras.</t>
  </si>
  <si>
    <t xml:space="preserve">MEDIO BAJO</t>
  </si>
  <si>
    <t xml:space="preserve">La eficacia no se demuestra por completo; hay al menos una recomendación de mejora.</t>
  </si>
  <si>
    <t xml:space="preserve">La eficacia no se demuestra por no contar con evidencia objetiva; hay al menos un hallazgo.</t>
  </si>
  <si>
    <t xml:space="preserve">MEDIO ALTO</t>
  </si>
  <si>
    <t xml:space="preserve">No cumple</t>
  </si>
  <si>
    <t xml:space="preserve">No cubre los elementos necesarios o actualiza una sanción. No mitiga: computa 0%.</t>
  </si>
  <si>
    <t xml:space="preserve">No aplica</t>
  </si>
  <si>
    <t xml:space="preserve">—</t>
  </si>
  <si>
    <t xml:space="preserve">La obligación no es exigible (Art. 37 Bis 2). Sale del numerador y del denominador.</t>
  </si>
  <si>
    <t xml:space="preserve">OJO · Estos cinco niveles son de la ENTIDAD. El GRADO DE RIESGO DEL CLIENTE (hoja B CLIENTE) va en TRES: bajo, medio y alto — es el mínimo del Art. 23 Bis. No se mezclan.</t>
  </si>
  <si>
    <t xml:space="preserve">Editable (celdas amarillas): es el porcentaje que reconoces a cada resultado del Art. 48. «No cumple» vale 0% porque puede actualizar una sanción: no puede mitigar. «No aplica» no tiene porcentaje: la obligación sale del numerador y del denominador conforme al Art. 37 Bis 2.</t>
  </si>
  <si>
    <t xml:space="preserve">VALOR DIARIO DE LA UMA (MXN) — actualízalo cada año:</t>
  </si>
  <si>
    <t xml:space="preserve">Vigente desde 1-feb-2026 (INEGI). Recalcula los umbrales MXN del catálogo.</t>
  </si>
  <si>
    <t xml:space="preserve">NIVEL DE TOLERANCIA AL RIESGO (editable)</t>
  </si>
  <si>
    <t xml:space="preserve">Riesgo máximo aceptable:</t>
  </si>
  <si>
    <t xml:space="preserve">MITIGACIÓN: TOPE MÁXIMO DE REDUCCIÓN (editable)</t>
  </si>
  <si>
    <t xml:space="preserve">La efectividad promedio de tus mitigantes no se traslada íntegra al resultado: se multiplica por este tope. Con 50%, aunque todos tus controles fueran Óptimos, el riesgo inherente se reduce a la mitad y nunca a cero. El control mitiga, no elimina.</t>
  </si>
  <si>
    <t xml:space="preserve">Tope de reducción:</t>
  </si>
  <si>
    <t xml:space="preserve">Reducción aplicada = Efectividad del catálogo de controles mínimos (hoja A4 CONTROLES MINIMOS) × Tope de reducción.</t>
  </si>
  <si>
    <t xml:space="preserve">Riesgo residual = Riesgo inherente × (1 − Reducción aplicada). La misma reducción se aplica al indicador, al elemento y a la entidad.</t>
  </si>
  <si>
    <t xml:space="preserve">Si subes el tope, súbelo con criterio escrito: en Actividades Vulnerables el nivel de riesgo tiene consecuencias automáticas (régimen de auditoría del Cap. XIV y medidas simplificadas del Art. 15 del Reglamento). Un tope generoso no es un ahorro: es una exposición.</t>
  </si>
  <si>
    <t xml:space="preserve">CRITERIOS DE CALIBRACIÓN DOCUMENTADOS (por qué el número es el que es)</t>
  </si>
  <si>
    <t xml:space="preserve">Regla</t>
  </si>
  <si>
    <t xml:space="preserve">Fórmula</t>
  </si>
  <si>
    <t xml:space="preserve">Criterio y por qué</t>
  </si>
  <si>
    <t xml:space="preserve">Calificación</t>
  </si>
  <si>
    <t xml:space="preserve">5×%Alto + 3×%Medio + 1×%Bajo, redondeado</t>
  </si>
  <si>
    <t xml:space="preserve">Escala de 1 a 5 ponderada por la proporción real del negocio en cada perfil. No es un promedio de opiniones: es la mezcla declarada en A1.</t>
  </si>
  <si>
    <t xml:space="preserve">Concentración</t>
  </si>
  <si>
    <t xml:space="preserve">1 + 4×(%Alto + %Medio), redondeado</t>
  </si>
  <si>
    <t xml:space="preserve">Criterio conservador y deliberado: el perfil MEDIO se cuenta como plenamente expuesto, y solo la porción clasificada en BAJO reduce la concentración. Si tu metodología prefiere ponderar el medio al 50%, cámbialo aquí y documenta el cambio: lo defendible es que el criterio esté escrito.</t>
  </si>
  <si>
    <t xml:space="preserve">Riesgo inherente</t>
  </si>
  <si>
    <t xml:space="preserve">Calificación × Concentración</t>
  </si>
  <si>
    <t xml:space="preserve">Rango de 1 a 25. Los cortes entre BAJO, MEDIO BAJO, MEDIO, MEDIO ALTO y ALTO son los de la tabla de niveles de esta misma hoja y pueden editarse.</t>
  </si>
  <si>
    <t xml:space="preserve">Riesgo residual</t>
  </si>
  <si>
    <t xml:space="preserve">Riesgo inherente × (1 − Reducción aplicada)</t>
  </si>
  <si>
    <t xml:space="preserve">La reducción es un porcentaje, no una división: Reducción = Efectividad × Tope. La efectividad se mide contra un denominador fijo: las 14 obligaciones del catálogo de contenidos mínimos del Manual (Art. 37 Bis), menos las excluidas por «No aplica» conforme al Art. 37 Bis 2. Una obligación no registrada no se excluye: computa 0%. Los mitigantes se miden una sola vez, a nivel de la entidad, y esa misma reducción se aplica al indicador, al elemento y a la entidad.</t>
  </si>
  <si>
    <t xml:space="preserve">Peso de los indicadores</t>
  </si>
  <si>
    <t xml:space="preserve">Relativo dentro de cada elemento (A1, columna Peso)</t>
  </si>
  <si>
    <t xml:space="preserve">El cálculo es un promedio ponderado, así que los pesos se normalizan solos: no tienen que sumar 1. Lo que importa es la proporción entre ellos.</t>
  </si>
  <si>
    <t xml:space="preserve">Peso de los elementos</t>
  </si>
  <si>
    <t xml:space="preserve">Debe sumar 100% (A1, celdas D35:D38)</t>
  </si>
  <si>
    <t xml:space="preserve">Se captura y se justifica por escrito en la propia hoja A1 (Art. 10 Septies 1, fr. II: el valor se asigna en función de la importancia del elemento). Un reparto plano de 25/25/25/25 sin justificación se lee como que no se ponderó.</t>
  </si>
  <si>
    <t xml:space="preserve">Estos criterios forman parte de la metodología que debe describirse en el Manual (Art. 10 Septies, segundo párrafo). Si cambias un criterio, cámbialo también ahí.</t>
  </si>
  <si>
    <t xml:space="preserve">CATÁLOGO DE ACTIVIDADES VULNERABLES (Art. 17 LFPIORPI)</t>
  </si>
  <si>
    <t xml:space="preserve">La actividad elegida en INICIO precarga umbrales, características y evento típico.</t>
  </si>
  <si>
    <t xml:space="preserve">Referencia: no se edita. La actividad se elige en INICIO.</t>
  </si>
  <si>
    <t xml:space="preserve">Fracción</t>
  </si>
  <si>
    <t xml:space="preserve">Actividad Vulnerable</t>
  </si>
  <si>
    <t xml:space="preserve">Actividad (elegir en INICIO)</t>
  </si>
  <si>
    <t xml:space="preserve">Umbral identificación (UMA)</t>
  </si>
  <si>
    <t xml:space="preserve">Umbral aviso (UMA)</t>
  </si>
  <si>
    <t xml:space="preserve">Umbral identificación (MXN)</t>
  </si>
  <si>
    <t xml:space="preserve">Umbral aviso (MXN)</t>
  </si>
  <si>
    <t xml:space="preserve">Características ALTO</t>
  </si>
  <si>
    <t xml:space="preserve">Características MEDIO</t>
  </si>
  <si>
    <t xml:space="preserve">Características BAJO</t>
  </si>
  <si>
    <t xml:space="preserve">Evento típico</t>
  </si>
  <si>
    <t xml:space="preserve">Causa</t>
  </si>
  <si>
    <t xml:space="preserve">Consecuencia</t>
  </si>
  <si>
    <t xml:space="preserve">Juegos con apuesta</t>
  </si>
  <si>
    <t xml:space="preserve">I - Juegos con apuesta</t>
  </si>
  <si>
    <t xml:space="preserve">Apuestas en efectivo de alto monto, clientes no frecuentes o extranjeros, apuestas en línea sin trazabilidad clara.</t>
  </si>
  <si>
    <t xml:space="preserve">Apuestas mixtas (efectivo y transferencia), montos moderados, clientes recurrentes.</t>
  </si>
  <si>
    <t xml:space="preserve">Apuestas con tarjeta bancaria o monederos electrónicos, montos bajos y clientes identificables.</t>
  </si>
  <si>
    <t xml:space="preserve">Introducción de efectivo ilícito en casinos o plataformas.</t>
  </si>
  <si>
    <t xml:space="preserve">Uso intensivo de efectivo, dispersión de apuestas.</t>
  </si>
  <si>
    <t xml:space="preserve">Integración de dinero ilícito, sanciones a la entidad, pérdida de licencia.</t>
  </si>
  <si>
    <t xml:space="preserve">Tarjetas de crédito o servicios</t>
  </si>
  <si>
    <t xml:space="preserve">II - Tarjetas de crédito o servicios</t>
  </si>
  <si>
    <t xml:space="preserve">Uso de tarjetas emitidas en el extranjero o con líneas de crédito inusualmente altas.</t>
  </si>
  <si>
    <t xml:space="preserve">Tarjetas nacionales con uso mixto (efectivo/transferencias) y movimientos atípicos.</t>
  </si>
  <si>
    <t xml:space="preserve">Tarjetas nacionales de clientes con historial crediticio claro y montos habituales.</t>
  </si>
  <si>
    <t xml:space="preserve">Uso de tarjetas para dispersar fondos ilícitos o triangular pagos.</t>
  </si>
  <si>
    <t xml:space="preserve">Montos elevados sin justificación económica.</t>
  </si>
  <si>
    <t xml:space="preserve">Detección por UIF, congelamiento de cuentas, sanciones.</t>
  </si>
  <si>
    <t xml:space="preserve">Tarjetas prepagadas y monederos electrónicos</t>
  </si>
  <si>
    <t xml:space="preserve">II - Tarjetas prepagadas y monederos electrónicos</t>
  </si>
  <si>
    <t xml:space="preserve">Tarjetas recargables en efectivo de alto monto, adquiridas de forma masiva.</t>
  </si>
  <si>
    <t xml:space="preserve">Tarjetas con recargas mixtas (efectivo y transferencia), uso en varios comercios.</t>
  </si>
  <si>
    <t xml:space="preserve">Tarjetas con recarga en cuenta bancaria, límites bajos y trazables.</t>
  </si>
  <si>
    <t xml:space="preserve">Uso de monederos para dispersión y anonimato en transacciones.</t>
  </si>
  <si>
    <t xml:space="preserve">Bajo nivel de identificación en productos masivos.</t>
  </si>
  <si>
    <t xml:space="preserve">Riesgo de operaciones estructuradas y financiamiento ilícito.</t>
  </si>
  <si>
    <t xml:space="preserve">Cheques de viajero</t>
  </si>
  <si>
    <t xml:space="preserve">III - Cheques de viajero</t>
  </si>
  <si>
    <t xml:space="preserve">Siempre</t>
  </si>
  <si>
    <t xml:space="preserve">Emisión o adquisición en efectivo, altos montos, operaciones internacionales.</t>
  </si>
  <si>
    <t xml:space="preserve">Cheques adquiridos con mezcla de efectivo y transferencias, uso ocasional.</t>
  </si>
  <si>
    <t xml:space="preserve">Cheques adquiridos con transferencias desde cuentas bancarias de clientes identificados.</t>
  </si>
  <si>
    <t xml:space="preserve">Introducción de recursos ilícitos vía instrumentos internacionales.</t>
  </si>
  <si>
    <t xml:space="preserve">Facilidad de portabilidad y canje en múltiples países.</t>
  </si>
  <si>
    <t xml:space="preserve">Riesgo transfronterizo, sanciones regulatorias, congelamiento de fondos.</t>
  </si>
  <si>
    <t xml:space="preserve">Préstamos o créditos</t>
  </si>
  <si>
    <t xml:space="preserve">IV - Préstamos o créditos</t>
  </si>
  <si>
    <t xml:space="preserve">Créditos en efectivo, sin garantía real, de monto elevado o a corto plazo, susceptibles de ser liquidados anticipadamente.</t>
  </si>
  <si>
    <t xml:space="preserve">Créditos personales o comerciales de mediano plazo, con garantía parcial o con pagos mixtos (efectivo y transferencia).</t>
  </si>
  <si>
    <t xml:space="preserve">Créditos hipotecarios, automotrices o empresariales con garantías reales, pagos periódicos y trazables vía sistema financiero.</t>
  </si>
  <si>
    <t xml:space="preserve">Uso del crédito para inyectar recursos ilícitos y justificar flujos financieros.</t>
  </si>
  <si>
    <t xml:space="preserve">Flexibilidad de los productos de crédito, posibilidad de pagos en efectivo.</t>
  </si>
  <si>
    <t xml:space="preserve">Riesgo de introducir fondos ilícitos disfrazados de financiamiento.</t>
  </si>
  <si>
    <t xml:space="preserve">Construcción/comercialización inmuebles</t>
  </si>
  <si>
    <t xml:space="preserve">Venta de inmuebles de lujo o múltiples operaciones en preventa con pagos en efectivo.</t>
  </si>
  <si>
    <t xml:space="preserve">Venta de inmuebles de valor medio con esquema de pagos mixtos (efectivo + transferencias).</t>
  </si>
  <si>
    <t xml:space="preserve">Venta de inmuebles de interés social o vivienda regulada con créditos hipotecarios bancarios.</t>
  </si>
  <si>
    <t xml:space="preserve">Uso de operaciones inmobiliarias para introducir o estratificar fondos ilícitos.</t>
  </si>
  <si>
    <t xml:space="preserve">Altos montos y posibilidad de pagos fragmentados.</t>
  </si>
  <si>
    <t xml:space="preserve">Riesgo de sobrevaluación, lavado de activos y sanciones.</t>
  </si>
  <si>
    <t xml:space="preserve">V Bis</t>
  </si>
  <si>
    <t xml:space="preserve">Recepción recursos desarrollo inmobiliario</t>
  </si>
  <si>
    <t xml:space="preserve">V Bis - Recepción recursos desarrollo inmobiliario</t>
  </si>
  <si>
    <t xml:space="preserve">Recepción de aportaciones en efectivo o de múltiples inversionistas no identificados.</t>
  </si>
  <si>
    <t xml:space="preserve">Recursos mixtos (transferencias + efectivo) en proyectos medianos.</t>
  </si>
  <si>
    <t xml:space="preserve">Recursos canalizados vía instituciones financieras con trazabilidad plena y contratos formalizados.</t>
  </si>
  <si>
    <t xml:space="preserve">Canalización de recursos ilícitos a proyectos inmobiliarios.</t>
  </si>
  <si>
    <t xml:space="preserve">Participación de múltiples inversionistas, dificultad en verificar origen de fondos.</t>
  </si>
  <si>
    <t xml:space="preserve">Riesgo de cooptación de proyectos para blanqueo de capitales.</t>
  </si>
  <si>
    <t xml:space="preserve">Piedras y metales preciosos, joyas</t>
  </si>
  <si>
    <t xml:space="preserve">VI - Piedras y metales preciosos, joyas</t>
  </si>
  <si>
    <t xml:space="preserve">Operaciones en efectivo, piezas de alto valor unitario, transacciones frecuentes en mercados informales.</t>
  </si>
  <si>
    <t xml:space="preserve">Operaciones con combinación de pagos (efectivo + transferencia), piezas de valor medio, ventas a consignación.</t>
  </si>
  <si>
    <t xml:space="preserve">Ventas con factura a través de establecimientos formales, pagos vía sistema bancario.</t>
  </si>
  <si>
    <t xml:space="preserve">Uso de joyas, metales y piedras para mover y ocultar valor ilícito.</t>
  </si>
  <si>
    <t xml:space="preserve">Portabilidad, alta liquidez y difícil trazabilidad de estos bienes.</t>
  </si>
  <si>
    <t xml:space="preserve">Riesgo de blanqueo transfronterizo y sanciones.</t>
  </si>
  <si>
    <t xml:space="preserve">Subasta/comercialización obras de arte</t>
  </si>
  <si>
    <t xml:space="preserve">VII - Subasta/comercialización obras de arte</t>
  </si>
  <si>
    <t xml:space="preserve">Obras de alto valor, subastas internacionales, piezas sin trazabilidad de propiedad.</t>
  </si>
  <si>
    <t xml:space="preserve">Obras de valor intermedio, galerías locales, pagos mixtos.</t>
  </si>
  <si>
    <t xml:space="preserve">Venta de arte contemporáneo o decorativo de bajo valor con facturación completa.</t>
  </si>
  <si>
    <t xml:space="preserve">Uso del arte para justificar incrementos patrimoniales o transferencias internacionales.</t>
  </si>
  <si>
    <t xml:space="preserve">Valor subjetivo y dificultad en tasación de obras.</t>
  </si>
  <si>
    <t xml:space="preserve">Riesgo de sobrevaluación, subdeclaración y financiamiento ilícito.</t>
  </si>
  <si>
    <t xml:space="preserve">Distribución/comercialización vehículos</t>
  </si>
  <si>
    <t xml:space="preserve">VIII - Distribución/comercialización vehículos</t>
  </si>
  <si>
    <t xml:space="preserve">Venta de vehículos de lujo o coleccionables, pagos en efectivo, operaciones múltiples en corto plazo.</t>
  </si>
  <si>
    <t xml:space="preserve">Venta de vehículos de gama media con esquemas de financiamiento parcial.</t>
  </si>
  <si>
    <t xml:space="preserve">Venta de vehículos económicos a través de agencias con pagos bancarios y crédito formal.</t>
  </si>
  <si>
    <t xml:space="preserve">Adquisición de vehículos para ocultar origen ilícito de fondos.</t>
  </si>
  <si>
    <t xml:space="preserve">Alto valor de los bienes y posibilidad de liquidación en efectivo.</t>
  </si>
  <si>
    <t xml:space="preserve">Riesgo de acumulación patrimonial ilícita y decomiso.</t>
  </si>
  <si>
    <t xml:space="preserve">Servicios de blindaje</t>
  </si>
  <si>
    <t xml:space="preserve">IX - Servicios de blindaje</t>
  </si>
  <si>
    <t xml:space="preserve">Blindaje de vehículos de lujo y bienes inmuebles con pagos en efectivo.</t>
  </si>
  <si>
    <t xml:space="preserve">Blindaje de vehículos medianos con pagos mixtos.</t>
  </si>
  <si>
    <t xml:space="preserve">Blindaje contratado por empresas reguladas con pagos vía sistema financiero.</t>
  </si>
  <si>
    <t xml:space="preserve">Blindaje usado para protección de recursos ilícitos.</t>
  </si>
  <si>
    <t xml:space="preserve">Alta demanda de efectivo y bienes de alto valor.</t>
  </si>
  <si>
    <t xml:space="preserve">Riesgo de vínculo con delincuencia organizada.</t>
  </si>
  <si>
    <t xml:space="preserve">Transporte y custodia de valores</t>
  </si>
  <si>
    <t xml:space="preserve">X - Transporte y custodia de valores</t>
  </si>
  <si>
    <t xml:space="preserve">Custodia o traslado de valores en efectivo de alto volumen o bienes de alto valor</t>
  </si>
  <si>
    <t xml:space="preserve">Custodia de valores mixtos (efectivo y documentos)</t>
  </si>
  <si>
    <t xml:space="preserve">Custodia de valores financieros documentados (títulos, cheques, transferencias)</t>
  </si>
  <si>
    <t xml:space="preserve">Movilización de efectivo ilícito.</t>
  </si>
  <si>
    <t xml:space="preserve">Dificultad de control en traslado físico.</t>
  </si>
  <si>
    <t xml:space="preserve">Riesgo de decomiso y sanciones.</t>
  </si>
  <si>
    <t xml:space="preserve">Servicios Profesionales</t>
  </si>
  <si>
    <t xml:space="preserve">XI - Servicios Profesionales</t>
  </si>
  <si>
    <t xml:space="preserve">Servicios que implican estructuración patrimonial o fiscal compleja</t>
  </si>
  <si>
    <t xml:space="preserve">Servicios especializados de valor intermedio (contratos mercantiles, trámites específicos)</t>
  </si>
  <si>
    <t xml:space="preserve">Servicios rutinarios o administrativos (contabilidad básica, asesoría legal común)</t>
  </si>
  <si>
    <t xml:space="preserve">Profesionales usados para dar apariencia de legalidad.</t>
  </si>
  <si>
    <t xml:space="preserve">Posibilidad de diseñar esquemas opacos.</t>
  </si>
  <si>
    <t xml:space="preserve">Corresponsabilidad legal.</t>
  </si>
  <si>
    <t xml:space="preserve">NOTARIOS: Transmisión de inmuebles</t>
  </si>
  <si>
    <t xml:space="preserve">XII - NOTARIOS: Transmisión de inmuebles</t>
  </si>
  <si>
    <t xml:space="preserve">Transmisión de inmuebles de alto valor</t>
  </si>
  <si>
    <t xml:space="preserve">Transmisiones de inmuebles de valor intermedio</t>
  </si>
  <si>
    <t xml:space="preserve">Transmisiones de inmuebles de bajo valor o vivienda social</t>
  </si>
  <si>
    <t xml:space="preserve">Uso de escrituras para legitimar recursos ilícitos.</t>
  </si>
  <si>
    <t xml:space="preserve">Alto valor de operaciones notariales.</t>
  </si>
  <si>
    <t xml:space="preserve">Riesgo de nulidad de actos y sanciones.</t>
  </si>
  <si>
    <t xml:space="preserve">NOTARIOS: Poderes irrevocables</t>
  </si>
  <si>
    <t xml:space="preserve">XII - NOTARIOS: Poderes irrevocables</t>
  </si>
  <si>
    <t xml:space="preserve">Poderes generales con facultades amplias y sin limitación temporal</t>
  </si>
  <si>
    <t xml:space="preserve">Poderes especiales de gestión con vigencia determinada</t>
  </si>
  <si>
    <t xml:space="preserve">Poderes notariales limitados a actos concretos y de valor reducido</t>
  </si>
  <si>
    <t xml:space="preserve">Uso de poderes para ocultar beneficiario final.</t>
  </si>
  <si>
    <t xml:space="preserve">Amplio acceso a actos jurídicos sin límite económico.</t>
  </si>
  <si>
    <t xml:space="preserve">Riesgo de facilitar control ilícito de activos.</t>
  </si>
  <si>
    <t xml:space="preserve">NOTARIOS: Const. o modif. patrimonial</t>
  </si>
  <si>
    <t xml:space="preserve">XII - NOTARIOS: Const. o modif. patrimonial</t>
  </si>
  <si>
    <t xml:space="preserve">Constitución de sociedades patrimoniales con aportaciones significativas</t>
  </si>
  <si>
    <t xml:space="preserve">Modificación parcial de sociedades con capital intermedio</t>
  </si>
  <si>
    <t xml:space="preserve">Ajustes patrimoniales menores y documentados</t>
  </si>
  <si>
    <t xml:space="preserve">Uso de sociedades para canalizar fondos ilícitos.</t>
  </si>
  <si>
    <t xml:space="preserve">Flexibilidad de estructuras societarias.</t>
  </si>
  <si>
    <t xml:space="preserve">Riesgo de sobrevaluación y evasión.</t>
  </si>
  <si>
    <t xml:space="preserve">NOTARIOS: Const. o modif. fideicomisos</t>
  </si>
  <si>
    <t xml:space="preserve">XII - NOTARIOS: Const. o modif. fideicomisos</t>
  </si>
  <si>
    <t xml:space="preserve">Fideicomisos de inversión de gran valor</t>
  </si>
  <si>
    <t xml:space="preserve">Fideicomisos de inversión o administración con montos intermedios</t>
  </si>
  <si>
    <t xml:space="preserve">Fideicomisos patrimoniales familiares con montos bajos</t>
  </si>
  <si>
    <t xml:space="preserve">Uso de fideicomisos para ocultar recursos ilícitos.</t>
  </si>
  <si>
    <t xml:space="preserve">Complejidad de instrumentos fiduciarios.</t>
  </si>
  <si>
    <t xml:space="preserve">Riesgo de ocultar beneficiarios finales.</t>
  </si>
  <si>
    <t xml:space="preserve">NOTARIOS: Mutuo con no financiero</t>
  </si>
  <si>
    <t xml:space="preserve">XII - NOTARIOS: Mutuo con no financiero</t>
  </si>
  <si>
    <t xml:space="preserve">Mutuos de gran monto entre particulares</t>
  </si>
  <si>
    <t xml:space="preserve">Mutuos de valor intermedio</t>
  </si>
  <si>
    <t xml:space="preserve">Mutuos de bajo monto, formalizados y documentados</t>
  </si>
  <si>
    <t xml:space="preserve">Préstamos usados para circular recursos ilícitos.</t>
  </si>
  <si>
    <t xml:space="preserve">Flexibilidad del contrato civil.</t>
  </si>
  <si>
    <t xml:space="preserve">Riesgo de simulación de operaciones.</t>
  </si>
  <si>
    <t xml:space="preserve">CORREDORES: Avalúos</t>
  </si>
  <si>
    <t xml:space="preserve">XII - CORREDORES: Avalúos</t>
  </si>
  <si>
    <t xml:space="preserve">Avalúos de bienes de alto valor</t>
  </si>
  <si>
    <t xml:space="preserve">Avalúos de bienes de valor intermedio</t>
  </si>
  <si>
    <t xml:space="preserve">Avalúos de bienes de bajo valor o de vivienda social</t>
  </si>
  <si>
    <t xml:space="preserve">Uso de avalúos para inflar patrimonio.</t>
  </si>
  <si>
    <t xml:space="preserve">Valoración subjetiva de bienes.</t>
  </si>
  <si>
    <t xml:space="preserve">Riesgo de justificación ilícita de activos.</t>
  </si>
  <si>
    <t xml:space="preserve">CORREDORES: Const. o modif. patrimonial</t>
  </si>
  <si>
    <t xml:space="preserve">XII - CORREDORES: Const. o modif. patrimonial</t>
  </si>
  <si>
    <t xml:space="preserve">Constitución de sociedades patrimoniales de alto valor</t>
  </si>
  <si>
    <t xml:space="preserve">Modificaciones societarias de valor intermedio</t>
  </si>
  <si>
    <t xml:space="preserve">Ajustes menores en sociedades pequeñas</t>
  </si>
  <si>
    <t xml:space="preserve">Uso de sociedades mercantiles para blanquear recursos.</t>
  </si>
  <si>
    <t xml:space="preserve">Flexibilidad del marco mercantil.</t>
  </si>
  <si>
    <t xml:space="preserve">Riesgo de opacidad en beneficiarios.</t>
  </si>
  <si>
    <t xml:space="preserve">CORREDORES: Modif. o cesión fideicomiso</t>
  </si>
  <si>
    <t xml:space="preserve">XII - CORREDORES: Modif. o cesión fideicomiso</t>
  </si>
  <si>
    <t xml:space="preserve">Cesión de derechos fiduciarios de alto valor</t>
  </si>
  <si>
    <t xml:space="preserve">Cesiones parciales de derechos de valor intermedio</t>
  </si>
  <si>
    <t xml:space="preserve">Cesiones de bajo valor o entre familiares</t>
  </si>
  <si>
    <t xml:space="preserve">Cesión usada para ocultar transferencia ilícita.</t>
  </si>
  <si>
    <t xml:space="preserve">Complejidad fiduciaria.</t>
  </si>
  <si>
    <t xml:space="preserve">Riesgo de lavado mediante cesiones.</t>
  </si>
  <si>
    <t xml:space="preserve">CORREDORES: Mutuo mercantil</t>
  </si>
  <si>
    <t xml:space="preserve">XII - CORREDORES: Mutuo mercantil</t>
  </si>
  <si>
    <t xml:space="preserve">Mutuos mercantiles de alto valor</t>
  </si>
  <si>
    <t xml:space="preserve">Mutuos mercantiles de valor intermedio</t>
  </si>
  <si>
    <t xml:space="preserve">Mutuos mercantiles de bajo valor, documentados</t>
  </si>
  <si>
    <t xml:space="preserve">Simulación de préstamos para circular fondos ilícitos.</t>
  </si>
  <si>
    <t xml:space="preserve">Flexibilidad contractual.</t>
  </si>
  <si>
    <t xml:space="preserve">Riesgo de simulación patrimonial.</t>
  </si>
  <si>
    <t xml:space="preserve">FACILITADORES: Solución de controversias</t>
  </si>
  <si>
    <t xml:space="preserve">XII - FACILITADORES: Solución de controversias</t>
  </si>
  <si>
    <t xml:space="preserve">Soluciones de controversias internacionales de alto valor económico</t>
  </si>
  <si>
    <t xml:space="preserve">Controversias nacionales de valor intermedio</t>
  </si>
  <si>
    <t xml:space="preserve">Controversias de bajo valor económico</t>
  </si>
  <si>
    <t xml:space="preserve">Uso de servicios legales para legitimar flujos.</t>
  </si>
  <si>
    <t xml:space="preserve">Pago de honorarios difícil de trazar.</t>
  </si>
  <si>
    <t xml:space="preserve">Riesgo de corresponsabilidad.</t>
  </si>
  <si>
    <t xml:space="preserve">Recepción de donativos</t>
  </si>
  <si>
    <t xml:space="preserve">XIII - Recepción de donativos</t>
  </si>
  <si>
    <t xml:space="preserve">Donativos de gran valor económico</t>
  </si>
  <si>
    <t xml:space="preserve">Donativos de valor intermedio</t>
  </si>
  <si>
    <t xml:space="preserve">Donativos de bajo valor, frecuentes en asociaciones pequeñas</t>
  </si>
  <si>
    <t xml:space="preserve">Uso de asociaciones para canalizar fondos ilícitos.</t>
  </si>
  <si>
    <t xml:space="preserve">Flexibilidad en recepción de recursos.</t>
  </si>
  <si>
    <t xml:space="preserve">Riesgo de infiltración criminal.</t>
  </si>
  <si>
    <t xml:space="preserve">CEXT: Joyas, metales, piedras preciosas</t>
  </si>
  <si>
    <t xml:space="preserve">XIV - CEXT: Joyas, metales, piedras preciosas</t>
  </si>
  <si>
    <t xml:space="preserve">Transacciones internacionales de alto valor</t>
  </si>
  <si>
    <t xml:space="preserve">Operaciones nacionales de valor intermedio</t>
  </si>
  <si>
    <t xml:space="preserve">Operaciones nacionales de bajo valor con documentación</t>
  </si>
  <si>
    <t xml:space="preserve">Uso de comercio exterior para mover valor ilícito.</t>
  </si>
  <si>
    <t xml:space="preserve">Portabilidad y liquidez.</t>
  </si>
  <si>
    <t xml:space="preserve">Riesgo de contrabando y sanciones.</t>
  </si>
  <si>
    <t xml:space="preserve">CEXT: Obras de arte</t>
  </si>
  <si>
    <t xml:space="preserve">XIV - CEXT: Obras de arte</t>
  </si>
  <si>
    <t xml:space="preserve">Subastas internacionales de alto valor</t>
  </si>
  <si>
    <t xml:space="preserve">Ventas nacionales de valor intermedio</t>
  </si>
  <si>
    <t xml:space="preserve">Obras de bajo valor con factura</t>
  </si>
  <si>
    <t xml:space="preserve">Uso de arte en comercio exterior para justificar flujos ilícitos.</t>
  </si>
  <si>
    <t xml:space="preserve">Valor subjetivo y mercado opaco.</t>
  </si>
  <si>
    <t xml:space="preserve">Riesgo de sobre/subvaluación.</t>
  </si>
  <si>
    <t xml:space="preserve">CEXT: Vehículos, máquinas, blindaje, etc.</t>
  </si>
  <si>
    <t xml:space="preserve">XIV - CEXT: Vehículos, máquinas, blindaje, etc.</t>
  </si>
  <si>
    <t xml:space="preserve">Importación/exportación de bienes de lujo</t>
  </si>
  <si>
    <t xml:space="preserve">Comercialización de bienes de valor intermedio</t>
  </si>
  <si>
    <t xml:space="preserve">Bienes de uso común con documentación completa</t>
  </si>
  <si>
    <t xml:space="preserve">Comercio exterior usado para estratificación.</t>
  </si>
  <si>
    <t xml:space="preserve">Alto valor de mercancías.</t>
  </si>
  <si>
    <t xml:space="preserve">Riesgo de contrabando.</t>
  </si>
  <si>
    <t xml:space="preserve">XV</t>
  </si>
  <si>
    <t xml:space="preserve">Arrendamiento de bienes inmuebles (uso o goce)</t>
  </si>
  <si>
    <t xml:space="preserve">XV - Arrendamiento de bienes inmuebles (uso o goce)</t>
  </si>
  <si>
    <t xml:space="preserve">Arrendamiento de inmuebles de alto valor mensual, pagos en efectivo, arrendatarios de dificil identificacion o giro sensible.</t>
  </si>
  <si>
    <t xml:space="preserve">Arrendamiento de valor intermedio con pagos mixtos (efectivo y transferencia).</t>
  </si>
  <si>
    <t xml:space="preserve">Arrendamiento de bajo valor mensual, contrato formal y pagos trazables.</t>
  </si>
  <si>
    <t xml:space="preserve">Uso del arrendamiento como fachada o para introducir recursos ilicitos.</t>
  </si>
  <si>
    <t xml:space="preserve">Falta de verificacion del giro real del arrendatario y del origen de los pagos.</t>
  </si>
  <si>
    <t xml:space="preserve">Riesgo legal y reputacional; local usado para actividades ilicitas.</t>
  </si>
  <si>
    <t xml:space="preserve">XVI</t>
  </si>
  <si>
    <t xml:space="preserve">Activos virtuales (PSAV): operación de intercambio/transferencia</t>
  </si>
  <si>
    <t xml:space="preserve">XVI - Activos virtuales (PSAV): operación de intercambio/transferencia</t>
  </si>
  <si>
    <t xml:space="preserve">Intercambio/transferencia de activos virtuales con clientes no identificados, operaciones transfronterizas, montos elevados o anonimato on-chain.</t>
  </si>
  <si>
    <t xml:space="preserve">Operaciones con identificacion parcial y montos moderados.</t>
  </si>
  <si>
    <t xml:space="preserve">Operaciones con KYC completo, trazabilidad on-chain y montos bajos en MXN.</t>
  </si>
  <si>
    <t xml:space="preserve">Uso de activos virtuales para estratificar u ocultar el origen de recursos.</t>
  </si>
  <si>
    <t xml:space="preserve">Anonimato y dificultad de trazabilidad; operacion transfronteriza.</t>
  </si>
  <si>
    <t xml:space="preserve">Riesgo de LD/FT, sanciones y bloqueo de cuentas; deteccion por UIF.</t>
  </si>
  <si>
    <t xml:space="preserve">Activos virtuales (PSAV): cobro de contraprestación (comisión) por el servicio</t>
  </si>
  <si>
    <t xml:space="preserve">XVI - Activos virtuales (PSAV): cobro de contraprestación (comisión) por el servicio</t>
  </si>
  <si>
    <t xml:space="preserve">Cobro de comisiones a clientes de alto riesgo o en efectivo, sin trazabilidad del pago.</t>
  </si>
  <si>
    <t xml:space="preserve">Comisiones con pagos mixtos e identificacion parcial.</t>
  </si>
  <si>
    <t xml:space="preserve">Comisiones cobradas por medios trazables con cliente identificado.</t>
  </si>
  <si>
    <t xml:space="preserve">Uso del cobro de comisiones para justificar flujos o fragmentar operaciones.</t>
  </si>
  <si>
    <t xml:space="preserve">Falta de trazabilidad en el cobro y bajo umbral de deteccion (4 UMA).</t>
  </si>
  <si>
    <t xml:space="preserve">Riesgo de simulacion y de omitir operaciones sujetas a aviso.</t>
  </si>
  <si>
    <t xml:space="preserve">BASE · 30 actividades × 25 indicadores = 750 perfiles</t>
  </si>
  <si>
    <t xml:space="preserve">Referencia: 30 Actividades Vulnerables × 25 indicadores. No se edita.</t>
  </si>
  <si>
    <t xml:space="preserve">Actividad</t>
  </si>
  <si>
    <t xml:space="preserve">Núm.</t>
  </si>
  <si>
    <t xml:space="preserve">Perfil ALTO</t>
  </si>
  <si>
    <t xml:space="preserve">Perfil MEDIO</t>
  </si>
  <si>
    <t xml:space="preserve">Perfil BAJO</t>
  </si>
  <si>
    <t xml:space="preserve">De dónde sale</t>
  </si>
  <si>
    <t xml:space="preserve">La ficha o el saldo de juego tiene un valor unitario muy por encima del ticket promedio de tu operación de doce meses.</t>
  </si>
  <si>
    <t xml:space="preserve">La ficha o el saldo de juego tiene un valor unitario dentro del rango habitual de tu operación.</t>
  </si>
  <si>
    <t xml:space="preserve">La ficha o el saldo de juego tiene un valor unitario por debajo de tu ticket promedio.</t>
  </si>
  <si>
    <t xml:space="preserve">calculado</t>
  </si>
  <si>
    <t xml:space="preserve">La ficha o el saldo de juego puede revenderse o cederse de inmediato y prácticamente a su valor íntegro.</t>
  </si>
  <si>
    <t xml:space="preserve">La ficha o el saldo de juego puede revenderse, pero con trámite, plazo o pérdida de valor apreciable.</t>
  </si>
  <si>
    <t xml:space="preserve">La ficha o el saldo de juego es difícil de revender: exige formalidades o registro, o pierde valor de forma significativa.</t>
  </si>
  <si>
    <t xml:space="preserve">bandera</t>
  </si>
  <si>
    <t xml:space="preserve">La compra o el cobro de fichas admite que quien aparece no sea quien recibe el beneficio, sin que quede registro de quién es el beneficiario final.</t>
  </si>
  <si>
    <t xml:space="preserve">Se identifica a el jugador, pero el beneficiario final se declara sin documento que lo respalde.</t>
  </si>
  <si>
    <t xml:space="preserve">El jugador y el beneficiario final coinciden, y ambos constan en el expediente.</t>
  </si>
  <si>
    <t xml:space="preserve">La compra o el cobro de fichas admite sobrevaluar, subvaluar o fraccionar el precio sin que la contabilidad lo refleje.</t>
  </si>
  <si>
    <t xml:space="preserve">El precio se aparta del valor de referencia, pero existe explicación documentada de la diferencia.</t>
  </si>
  <si>
    <t xml:space="preserve">El precio corresponde al valor de referencia y queda registrado en la contabilidad.</t>
  </si>
  <si>
    <t xml:space="preserve">El jugador, su beneficiario o su contraparte aparece en listas de sanciones o de organizaciones terroristas.</t>
  </si>
  <si>
    <t xml:space="preserve">Existe un vínculo indirecto —contraparte, domicilio o ruta de los fondos— con una jurisdicción en conflicto o de acción requerida.</t>
  </si>
  <si>
    <t xml:space="preserve">Sin coincidencias ni vínculos con esas listas ni con jurisdicciones en conflicto, con búsqueda documentada.</t>
  </si>
  <si>
    <t xml:space="preserve">campo</t>
  </si>
  <si>
    <t xml:space="preserve">El jugador es un fideicomiso u otro vehículo sin personalidad jurídica propia. No hay un titular único: la figura permite que quien apuesta y quien cobra el premio sean personas distintas y que ninguna aparezca en el contrato.</t>
  </si>
  <si>
    <t xml:space="preserve">El jugador es persona moral. La voluntad se forma en órganos y la propiedad está en socios, así que hay que llegar al Beneficiario Controlador para saber quién está realmente detrás.</t>
  </si>
  <si>
    <t xml:space="preserve">El jugador es persona física. Coincide quien apuesta y quien cobra el premio, y la identificación es directa contra un solo expediente.</t>
  </si>
  <si>
    <t xml:space="preserve">Persona moral constituida hace menos de dos años, o persona física menor de veintitrés años.</t>
  </si>
  <si>
    <t xml:space="preserve">Persona moral constituida hace entre dos y cinco años.</t>
  </si>
  <si>
    <t xml:space="preserve">Persona moral con más de cinco años de constituida, o persona física de veintitrés años en adelante.</t>
  </si>
  <si>
    <t xml:space="preserve">El giro que declara el jugador es a su vez una Actividad Vulnerable del artículo 17, o no se acredita con documento alguno.</t>
  </si>
  <si>
    <t xml:space="preserve">El giro se declara y se acredita sólo de forma parcial.</t>
  </si>
  <si>
    <t xml:space="preserve">El giro se acredita con documento: constancia de situación fiscal, acta constitutiva o comprobante de empleo.</t>
  </si>
  <si>
    <t xml:space="preserve">Nacionalidad de país o jurisdicción señalada por la UIF, o no determinada.</t>
  </si>
  <si>
    <t xml:space="preserve">Nacionalidad extranjera de país sin señalamiento.</t>
  </si>
  <si>
    <t xml:space="preserve">Nacionalidad mexicana.</t>
  </si>
  <si>
    <t xml:space="preserve">Residencia en jurisdicción de régimen fiscal preferente o señalada por deficiencias, o domicilio no verificable.</t>
  </si>
  <si>
    <t xml:space="preserve">Residencia en el extranjero sin señalamiento, o en entidad federativa señalada en la ENR.</t>
  </si>
  <si>
    <t xml:space="preserve">Residencia en México, en entidad federativa sin señalamiento en la ENR.</t>
  </si>
  <si>
    <t xml:space="preserve">Persona Políticamente Expuesta extranjera, o nacional cuyo comportamiento transaccional no corresponde con sus ingresos y funciones.</t>
  </si>
  <si>
    <t xml:space="preserve">Persona Políticamente Expuesta nacional con comportamiento congruente, o familiar o allegado de una.</t>
  </si>
  <si>
    <t xml:space="preserve">Sin condición de Persona Políticamente Expuesta, con búsqueda documentada.</t>
  </si>
  <si>
    <t xml:space="preserve">Coincidencia positiva en listas de personas bloqueadas o de sanciones, o búsqueda no realizada o sin constancia.</t>
  </si>
  <si>
    <t xml:space="preserve">Coincidencia descartada por homonimia acreditada, con constancia.</t>
  </si>
  <si>
    <t xml:space="preserve">Sin coincidencia, con constancia de la búsqueda y su fecha.</t>
  </si>
  <si>
    <t xml:space="preserve">No se logra identificar al Beneficiario Controlador de el jugador, o la cadena no es acreditable.</t>
  </si>
  <si>
    <t xml:space="preserve">El Beneficiario Controlador se identifica atravesando dos o más niveles societarios o fiduciarios.</t>
  </si>
  <si>
    <t xml:space="preserve">El Beneficiario Controlador se identifica en un solo nivel, o el jugador es su propio beneficiario.</t>
  </si>
  <si>
    <t xml:space="preserve">La compra o el cobro de fichas se pacta con o desde una jurisdicción de alto riesgo o no cooperante.</t>
  </si>
  <si>
    <t xml:space="preserve">La compra o el cobro de fichas se pacta con una jurisdicción extranjera sin señalamiento.</t>
  </si>
  <si>
    <t xml:space="preserve">La compra o el cobro de fichas se realiza íntegramente en México.</t>
  </si>
  <si>
    <t xml:space="preserve">La compra o el cobro de fichas ocurre en un municipio o zona identificada de alto riesgo.</t>
  </si>
  <si>
    <t xml:space="preserve">La compra o el cobro de fichas ocurre en una entidad federativa con señalamiento en la ENR.</t>
  </si>
  <si>
    <t xml:space="preserve">La compra o el cobro de fichas ocurre en una entidad federativa sin señalamiento en la ENR.</t>
  </si>
  <si>
    <t xml:space="preserve">Hay exposición directa a una jurisdicción sancionada, en conflicto armado o de acción requerida del GAFI.</t>
  </si>
  <si>
    <t xml:space="preserve">La exposición es indirecta: una contraparte o la ruta de los fondos toca esa jurisdicción.</t>
  </si>
  <si>
    <t xml:space="preserve">Sin exposición a jurisdicciones sancionadas, en conflicto ni de acción requerida.</t>
  </si>
  <si>
    <t xml:space="preserve">El domicilio de el jugador y el lugar de la compra o el cobro de fichas no coinciden, y no hay explicación documentada.</t>
  </si>
  <si>
    <t xml:space="preserve">No coinciden, pero consta por escrito la razón de operar en ese lugar.</t>
  </si>
  <si>
    <t xml:space="preserve">El domicilio de el jugador y el lugar de la compra o el cobro de fichas coinciden.</t>
  </si>
  <si>
    <t xml:space="preserve">Efectivo por encima de tu umbral interno, instrumento al portador, o pago en especie.</t>
  </si>
  <si>
    <t xml:space="preserve">Pago mixto, con un componente en efectivo por debajo de tu umbral interno.</t>
  </si>
  <si>
    <t xml:space="preserve">Transferencia electrónica o cheque nominativo desde una cuenta a nombre de el jugador.</t>
  </si>
  <si>
    <t xml:space="preserve">Divisa distinta del dólar estadounidense y del euro, o activo virtual.</t>
  </si>
  <si>
    <t xml:space="preserve">Dólar estadounidense o euro, con soporte documental.</t>
  </si>
  <si>
    <t xml:space="preserve">Peso mexicano.</t>
  </si>
  <si>
    <t xml:space="preserve">La compra o el cobro de fichas iguala o supera el umbral de Aviso de tu fracción del artículo 17.</t>
  </si>
  <si>
    <t xml:space="preserve">La compra o el cobro de fichas se sitúa entre el umbral de identificación y el de Aviso.</t>
  </si>
  <si>
    <t xml:space="preserve">La compra o el cobro de fichas queda por debajo del umbral de identificación.</t>
  </si>
  <si>
    <t xml:space="preserve">El jugador realiza cinco o más operaciones al año, o varias en intervalos cortos y regulares.</t>
  </si>
  <si>
    <t xml:space="preserve">El jugador realiza entre dos y cuatro operaciones al año.</t>
  </si>
  <si>
    <t xml:space="preserve">El jugador realiza una sola operación en el periodo.</t>
  </si>
  <si>
    <t xml:space="preserve">La operación llega por un gestor, plataforma o intermediario no acreditado: nadie responde por la identificación de el jugador, y quien opera puede no ser quien dice ser.</t>
  </si>
  <si>
    <t xml:space="preserve">Se identifica a el jugador de forma remota con verificación documental, o a través de un promotor o representante propio con contrato y responsable señalado.</t>
  </si>
  <si>
    <t xml:space="preserve">El jugador comparece de forma directa, o se le identifica en remoto con biometría y prueba de vida.</t>
  </si>
  <si>
    <t xml:space="preserve">El origen de los recursos se declara sin soporte documental, o no se manifiesta.</t>
  </si>
  <si>
    <t xml:space="preserve">El origen se declara y se acredita sólo de forma parcial.</t>
  </si>
  <si>
    <t xml:space="preserve">El origen se acredita con documentación verificable.</t>
  </si>
  <si>
    <t xml:space="preserve">El destino no se manifiesta, o los recursos o la ficha o el saldo de juego pasan a un tercero no relacionado con el jugador.</t>
  </si>
  <si>
    <t xml:space="preserve">El destino se declara y es verificable.</t>
  </si>
  <si>
    <t xml:space="preserve">El destino es la ficha o el saldo de juego mismo, y queda registrado en la operación.</t>
  </si>
  <si>
    <t xml:space="preserve">La compra o el cobro de fichas combina contratación a distancia sin verificación reforzada con pagos en efectivo o instrumentos al portador.</t>
  </si>
  <si>
    <t xml:space="preserve">Concurre uno solo de los dos: o la contratación remota sin verificación reforzada, o el pago en instrumento no bancarizado.</t>
  </si>
  <si>
    <t xml:space="preserve">Ni la forma de contratar ni la de pagar permiten mover valor de forma anónima.</t>
  </si>
  <si>
    <t xml:space="preserve">La línea o el servicio contratado tiene un valor unitario muy por encima del ticket promedio de tu operación de doce meses.</t>
  </si>
  <si>
    <t xml:space="preserve">La línea o el servicio contratado tiene un valor unitario dentro del rango habitual de tu operación.</t>
  </si>
  <si>
    <t xml:space="preserve">La línea o el servicio contratado tiene un valor unitario por debajo de tu ticket promedio.</t>
  </si>
  <si>
    <t xml:space="preserve">La línea o el servicio contratado puede revenderse o cederse de inmediato y prácticamente a su valor íntegro.</t>
  </si>
  <si>
    <t xml:space="preserve">La línea o el servicio contratado puede revenderse, pero con trámite, plazo o pérdida de valor apreciable.</t>
  </si>
  <si>
    <t xml:space="preserve">La línea o el servicio contratado es difícil de revender: exige formalidades o registro, o pierde valor de forma significativa.</t>
  </si>
  <si>
    <t xml:space="preserve">La disposición de la línea admite que quien aparece no sea quien recibe el beneficio, sin que quede registro de quién es el beneficiario final.</t>
  </si>
  <si>
    <t xml:space="preserve">Se identifica a el titular, pero el beneficiario final se declara sin documento que lo respalde.</t>
  </si>
  <si>
    <t xml:space="preserve">El titular y el beneficiario final coinciden, y ambos constan en el expediente.</t>
  </si>
  <si>
    <t xml:space="preserve">La disposición de la línea admite sobrevaluar, subvaluar o fraccionar el precio sin que la contabilidad lo refleje.</t>
  </si>
  <si>
    <t xml:space="preserve">El titular, su beneficiario o su contraparte aparece en listas de sanciones o de organizaciones terroristas.</t>
  </si>
  <si>
    <t xml:space="preserve">El titular de la tarjeta es un fideicomiso u otro vehículo sin personalidad jurídica propia. No hay un titular único: la figura permite que quien dispone de la línea sean personas distintas y que ninguna aparezca en el contrato.</t>
  </si>
  <si>
    <t xml:space="preserve">El titular de la tarjeta es persona moral. La voluntad se forma en órganos y la propiedad está en socios, así que hay que llegar al Beneficiario Controlador para saber quién está realmente detrás.</t>
  </si>
  <si>
    <t xml:space="preserve">El titular de la tarjeta es persona física. Coincide quien dispone de la línea, y la identificación es directa contra un solo expediente.</t>
  </si>
  <si>
    <t xml:space="preserve">El giro que declara el titular es a su vez una Actividad Vulnerable del artículo 17, o no se acredita con documento alguno.</t>
  </si>
  <si>
    <t xml:space="preserve">No se logra identificar al Beneficiario Controlador de el titular, o la cadena no es acreditable.</t>
  </si>
  <si>
    <t xml:space="preserve">El Beneficiario Controlador se identifica en un solo nivel, o el titular es su propio beneficiario.</t>
  </si>
  <si>
    <t xml:space="preserve">La disposición de la línea se pacta con o desde una jurisdicción de alto riesgo o no cooperante.</t>
  </si>
  <si>
    <t xml:space="preserve">La disposición de la línea se pacta con una jurisdicción extranjera sin señalamiento.</t>
  </si>
  <si>
    <t xml:space="preserve">La disposición de la línea se realiza íntegramente en México.</t>
  </si>
  <si>
    <t xml:space="preserve">La disposición de la línea ocurre en un municipio o zona identificada de alto riesgo.</t>
  </si>
  <si>
    <t xml:space="preserve">La disposición de la línea ocurre en una entidad federativa con señalamiento en la ENR.</t>
  </si>
  <si>
    <t xml:space="preserve">La disposición de la línea ocurre en una entidad federativa sin señalamiento en la ENR.</t>
  </si>
  <si>
    <t xml:space="preserve">El domicilio de el titular y el lugar de la disposición de la línea no coinciden, y no hay explicación documentada.</t>
  </si>
  <si>
    <t xml:space="preserve">El domicilio de el titular y el lugar de la disposición de la línea coinciden.</t>
  </si>
  <si>
    <t xml:space="preserve">Transferencia electrónica o cheque nominativo desde una cuenta a nombre de el titular.</t>
  </si>
  <si>
    <t xml:space="preserve">La disposición de la línea iguala o supera el umbral de Aviso de tu fracción del artículo 17.</t>
  </si>
  <si>
    <t xml:space="preserve">La disposición de la línea se sitúa entre el umbral de identificación y el de Aviso.</t>
  </si>
  <si>
    <t xml:space="preserve">La disposición de la línea queda por debajo del umbral de identificación.</t>
  </si>
  <si>
    <t xml:space="preserve">El titular realiza cinco o más operaciones al año, o varias en intervalos cortos y regulares.</t>
  </si>
  <si>
    <t xml:space="preserve">El titular realiza entre dos y cuatro operaciones al año.</t>
  </si>
  <si>
    <t xml:space="preserve">El titular realiza una sola operación en el periodo.</t>
  </si>
  <si>
    <t xml:space="preserve">La operación llega por un gestor, plataforma o intermediario no acreditado: nadie responde por la identificación de el titular, y quien opera puede no ser quien dice ser.</t>
  </si>
  <si>
    <t xml:space="preserve">Se identifica a el titular de forma remota con verificación documental, o a través de un promotor o representante propio con contrato y responsable señalado.</t>
  </si>
  <si>
    <t xml:space="preserve">El titular comparece de forma directa, o se le identifica en remoto con biometría y prueba de vida.</t>
  </si>
  <si>
    <t xml:space="preserve">El destino no se manifiesta, o los recursos o la línea o el servicio contratado pasan a un tercero no relacionado con el titular.</t>
  </si>
  <si>
    <t xml:space="preserve">El destino es la línea o el servicio contratado mismo, y queda registrado en la operación.</t>
  </si>
  <si>
    <t xml:space="preserve">La disposición de la línea combina contratación a distancia sin verificación reforzada con pagos en efectivo o instrumentos al portador.</t>
  </si>
  <si>
    <t xml:space="preserve">El instrumento prepagado tiene un valor unitario muy por encima del ticket promedio de tu operación de doce meses.</t>
  </si>
  <si>
    <t xml:space="preserve">El instrumento prepagado tiene un valor unitario dentro del rango habitual de tu operación.</t>
  </si>
  <si>
    <t xml:space="preserve">El instrumento prepagado tiene un valor unitario por debajo de tu ticket promedio.</t>
  </si>
  <si>
    <t xml:space="preserve">El instrumento prepagado puede revenderse o cederse de inmediato y prácticamente a su valor íntegro.</t>
  </si>
  <si>
    <t xml:space="preserve">El instrumento prepagado puede revenderse, pero con trámite, plazo o pérdida de valor apreciable.</t>
  </si>
  <si>
    <t xml:space="preserve">El instrumento prepagado es difícil de revender: exige formalidades o registro, o pierde valor de forma significativa.</t>
  </si>
  <si>
    <t xml:space="preserve">La emisión o el fondeo del instrumento admite que quien aparece no sea quien recibe el beneficio, sin que quede registro de quién es el beneficiario final.</t>
  </si>
  <si>
    <t xml:space="preserve">Se identifica a el adquirente, pero el beneficiario final se declara sin documento que lo respalde.</t>
  </si>
  <si>
    <t xml:space="preserve">El adquirente y el beneficiario final coinciden, y ambos constan en el expediente.</t>
  </si>
  <si>
    <t xml:space="preserve">La emisión o el fondeo del instrumento admite sobrevaluar, subvaluar o fraccionar el precio sin que la contabilidad lo refleje.</t>
  </si>
  <si>
    <t xml:space="preserve">El adquirente, su beneficiario o su contraparte aparece en listas de sanciones o de organizaciones terroristas.</t>
  </si>
  <si>
    <t xml:space="preserve">El adquirente del instrumento es un fideicomiso u otro vehículo sin personalidad jurídica propia. No hay un titular único: la figura permite que quien lo fondea y quien lo usa sean personas distintas y que ninguna aparezca en el contrato.</t>
  </si>
  <si>
    <t xml:space="preserve">El adquirente del instrumento es persona moral. La voluntad se forma en órganos y la propiedad está en socios, así que hay que llegar al Beneficiario Controlador para saber quién está realmente detrás.</t>
  </si>
  <si>
    <t xml:space="preserve">El adquirente del instrumento es persona física. Coincide quien lo fondea y quien lo usa, y la identificación es directa contra un solo expediente.</t>
  </si>
  <si>
    <t xml:space="preserve">El giro que declara el adquirente es a su vez una Actividad Vulnerable del artículo 17, o no se acredita con documento alguno.</t>
  </si>
  <si>
    <t xml:space="preserve">No se logra identificar al Beneficiario Controlador de el adquirente, o la cadena no es acreditable.</t>
  </si>
  <si>
    <t xml:space="preserve">El Beneficiario Controlador se identifica en un solo nivel, o el adquirente es su propio beneficiario.</t>
  </si>
  <si>
    <t xml:space="preserve">La emisión o el fondeo del instrumento se pacta con o desde una jurisdicción de alto riesgo o no cooperante.</t>
  </si>
  <si>
    <t xml:space="preserve">La emisión o el fondeo del instrumento se pacta con una jurisdicción extranjera sin señalamiento.</t>
  </si>
  <si>
    <t xml:space="preserve">La emisión o el fondeo del instrumento se realiza íntegramente en México.</t>
  </si>
  <si>
    <t xml:space="preserve">La emisión o el fondeo del instrumento ocurre en un municipio o zona identificada de alto riesgo.</t>
  </si>
  <si>
    <t xml:space="preserve">La emisión o el fondeo del instrumento ocurre en una entidad federativa con señalamiento en la ENR.</t>
  </si>
  <si>
    <t xml:space="preserve">La emisión o el fondeo del instrumento ocurre en una entidad federativa sin señalamiento en la ENR.</t>
  </si>
  <si>
    <t xml:space="preserve">El domicilio de el adquirente y el lugar de la emisión o el fondeo del instrumento no coinciden, y no hay explicación documentada.</t>
  </si>
  <si>
    <t xml:space="preserve">El domicilio de el adquirente y el lugar de la emisión o el fondeo del instrumento coinciden.</t>
  </si>
  <si>
    <t xml:space="preserve">Transferencia electrónica o cheque nominativo desde una cuenta a nombre de el adquirente.</t>
  </si>
  <si>
    <t xml:space="preserve">La emisión o el fondeo del instrumento iguala o supera el umbral de Aviso de tu fracción del artículo 17.</t>
  </si>
  <si>
    <t xml:space="preserve">La emisión o el fondeo del instrumento se sitúa entre el umbral de identificación y el de Aviso.</t>
  </si>
  <si>
    <t xml:space="preserve">La emisión o el fondeo del instrumento queda por debajo del umbral de identificación.</t>
  </si>
  <si>
    <t xml:space="preserve">El adquirente realiza cinco o más operaciones al año, o varias en intervalos cortos y regulares.</t>
  </si>
  <si>
    <t xml:space="preserve">El adquirente realiza entre dos y cuatro operaciones al año.</t>
  </si>
  <si>
    <t xml:space="preserve">El adquirente realiza una sola operación en el periodo.</t>
  </si>
  <si>
    <t xml:space="preserve">La operación llega por un gestor, plataforma o intermediario no acreditado: nadie responde por la identificación de el adquirente, y quien opera puede no ser quien dice ser.</t>
  </si>
  <si>
    <t xml:space="preserve">Se identifica a el adquirente de forma remota con verificación documental, o a través de un promotor o representante propio con contrato y responsable señalado.</t>
  </si>
  <si>
    <t xml:space="preserve">El adquirente comparece de forma directa, o se le identifica en remoto con biometría y prueba de vida.</t>
  </si>
  <si>
    <t xml:space="preserve">El destino no se manifiesta, o los recursos o el instrumento prepagado pasan a un tercero no relacionado con el adquirente.</t>
  </si>
  <si>
    <t xml:space="preserve">El destino es el instrumento prepagado mismo, y queda registrado en la operación.</t>
  </si>
  <si>
    <t xml:space="preserve">La emisión o el fondeo del instrumento combina contratación a distancia sin verificación reforzada con pagos en efectivo o instrumentos al portador.</t>
  </si>
  <si>
    <t xml:space="preserve">El cheque de viajero tiene un valor unitario muy por encima del ticket promedio de tu operación de doce meses.</t>
  </si>
  <si>
    <t xml:space="preserve">El cheque de viajero tiene un valor unitario dentro del rango habitual de tu operación.</t>
  </si>
  <si>
    <t xml:space="preserve">El cheque de viajero tiene un valor unitario por debajo de tu ticket promedio.</t>
  </si>
  <si>
    <t xml:space="preserve">El cheque de viajero puede revenderse o cederse de inmediato y prácticamente a su valor íntegro.</t>
  </si>
  <si>
    <t xml:space="preserve">El cheque de viajero puede revenderse, pero con trámite, plazo o pérdida de valor apreciable.</t>
  </si>
  <si>
    <t xml:space="preserve">El cheque de viajero es difícil de revender: exige formalidades o registro, o pierde valor de forma significativa.</t>
  </si>
  <si>
    <t xml:space="preserve">La emisión o el cobro del documento admite que quien aparece no sea quien recibe el beneficio, sin que quede registro de quién es el beneficiario final.</t>
  </si>
  <si>
    <t xml:space="preserve">La emisión o el cobro del documento admite sobrevaluar, subvaluar o fraccionar el precio sin que la contabilidad lo refleje.</t>
  </si>
  <si>
    <t xml:space="preserve">El adquirente de los cheques es un fideicomiso u otro vehículo sin personalidad jurídica propia. No hay un titular único: la figura permite que quien los compra y quien los cobra sean personas distintas y que ninguna aparezca en el contrato.</t>
  </si>
  <si>
    <t xml:space="preserve">El adquirente de los cheques es persona moral. La voluntad se forma en órganos y la propiedad está en socios, así que hay que llegar al Beneficiario Controlador para saber quién está realmente detrás.</t>
  </si>
  <si>
    <t xml:space="preserve">El adquirente de los cheques es persona física. Coincide quien los compra y quien los cobra, y la identificación es directa contra un solo expediente.</t>
  </si>
  <si>
    <t xml:space="preserve">La emisión o el cobro del documento se pacta con o desde una jurisdicción de alto riesgo o no cooperante.</t>
  </si>
  <si>
    <t xml:space="preserve">La emisión o el cobro del documento se pacta con una jurisdicción extranjera sin señalamiento.</t>
  </si>
  <si>
    <t xml:space="preserve">La emisión o el cobro del documento se realiza íntegramente en México.</t>
  </si>
  <si>
    <t xml:space="preserve">La emisión o el cobro del documento ocurre en un municipio o zona identificada de alto riesgo.</t>
  </si>
  <si>
    <t xml:space="preserve">La emisión o el cobro del documento ocurre en una entidad federativa con señalamiento en la ENR.</t>
  </si>
  <si>
    <t xml:space="preserve">La emisión o el cobro del documento ocurre en una entidad federativa sin señalamiento en la ENR.</t>
  </si>
  <si>
    <t xml:space="preserve">El domicilio de el adquirente y el lugar de la emisión o el cobro del documento no coinciden, y no hay explicación documentada.</t>
  </si>
  <si>
    <t xml:space="preserve">El domicilio de el adquirente y el lugar de la emisión o el cobro del documento coinciden.</t>
  </si>
  <si>
    <t xml:space="preserve">La emisión o el cobro del documento iguala o supera el umbral de Aviso de tu fracción del artículo 17.</t>
  </si>
  <si>
    <t xml:space="preserve">La emisión o el cobro del documento se sitúa entre el umbral de identificación y el de Aviso.</t>
  </si>
  <si>
    <t xml:space="preserve">La emisión o el cobro del documento queda por debajo del umbral de identificación.</t>
  </si>
  <si>
    <t xml:space="preserve">El destino no se manifiesta, o los recursos o el cheque de viajero pasan a un tercero no relacionado con el adquirente.</t>
  </si>
  <si>
    <t xml:space="preserve">El destino es el cheque de viajero mismo, y queda registrado en la operación.</t>
  </si>
  <si>
    <t xml:space="preserve">La emisión o el cobro del documento combina contratación a distancia sin verificación reforzada con pagos en efectivo o instrumentos al portador.</t>
  </si>
  <si>
    <t xml:space="preserve">El crédito otorgado tiene un valor unitario muy por encima del ticket promedio de tu operación de doce meses.</t>
  </si>
  <si>
    <t xml:space="preserve">El crédito otorgado tiene un valor unitario dentro del rango habitual de tu operación.</t>
  </si>
  <si>
    <t xml:space="preserve">El crédito otorgado tiene un valor unitario por debajo de tu ticket promedio.</t>
  </si>
  <si>
    <t xml:space="preserve">El crédito otorgado puede revenderse o cederse de inmediato y prácticamente a su valor íntegro.</t>
  </si>
  <si>
    <t xml:space="preserve">El crédito otorgado puede revenderse, pero con trámite, plazo o pérdida de valor apreciable.</t>
  </si>
  <si>
    <t xml:space="preserve">El crédito otorgado es difícil de revender: exige formalidades o registro, o pierde valor de forma significativa.</t>
  </si>
  <si>
    <t xml:space="preserve">El otorgamiento o el pago del crédito admite que quien aparece no sea quien recibe el beneficio, sin que quede registro de quién es el beneficiario final.</t>
  </si>
  <si>
    <t xml:space="preserve">Se identifica a el acreditado, pero el beneficiario final se declara sin documento que lo respalde.</t>
  </si>
  <si>
    <t xml:space="preserve">El acreditado y el beneficiario final coinciden, y ambos constan en el expediente.</t>
  </si>
  <si>
    <t xml:space="preserve">El otorgamiento o el pago del crédito admite sobrevaluar, subvaluar o fraccionar el precio sin que la contabilidad lo refleje.</t>
  </si>
  <si>
    <t xml:space="preserve">El acreditado, su beneficiario o su contraparte aparece en listas de sanciones o de organizaciones terroristas.</t>
  </si>
  <si>
    <t xml:space="preserve">El acreditado es un fideicomiso u otro vehículo sin personalidad jurídica propia. No hay un titular único: la figura permite que quien recibe el crédito y quien lo paga sean personas distintas y que ninguna aparezca en el contrato.</t>
  </si>
  <si>
    <t xml:space="preserve">El acreditado es persona moral. La voluntad se forma en órganos y la propiedad está en socios, así que hay que llegar al Beneficiario Controlador para saber quién está realmente detrás.</t>
  </si>
  <si>
    <t xml:space="preserve">El acreditado es persona física. Coincide quien recibe el crédito y quien lo paga, y la identificación es directa contra un solo expediente.</t>
  </si>
  <si>
    <t xml:space="preserve">El giro que declara el acreditado es a su vez una Actividad Vulnerable del artículo 17, o no se acredita con documento alguno.</t>
  </si>
  <si>
    <t xml:space="preserve">No se logra identificar al Beneficiario Controlador de el acreditado, o la cadena no es acreditable.</t>
  </si>
  <si>
    <t xml:space="preserve">El Beneficiario Controlador se identifica en un solo nivel, o el acreditado es su propio beneficiario.</t>
  </si>
  <si>
    <t xml:space="preserve">El otorgamiento o el pago del crédito se pacta con o desde una jurisdicción de alto riesgo o no cooperante.</t>
  </si>
  <si>
    <t xml:space="preserve">El otorgamiento o el pago del crédito se pacta con una jurisdicción extranjera sin señalamiento.</t>
  </si>
  <si>
    <t xml:space="preserve">El otorgamiento o el pago del crédito se realiza íntegramente en México.</t>
  </si>
  <si>
    <t xml:space="preserve">El otorgamiento o el pago del crédito ocurre en un municipio o zona identificada de alto riesgo.</t>
  </si>
  <si>
    <t xml:space="preserve">El otorgamiento o el pago del crédito ocurre en una entidad federativa con señalamiento en la ENR.</t>
  </si>
  <si>
    <t xml:space="preserve">El otorgamiento o el pago del crédito ocurre en una entidad federativa sin señalamiento en la ENR.</t>
  </si>
  <si>
    <t xml:space="preserve">El domicilio de el acreditado y el lugar de el otorgamiento o el pago del crédito no coinciden, y no hay explicación documentada.</t>
  </si>
  <si>
    <t xml:space="preserve">El domicilio de el acreditado y el lugar de el otorgamiento o el pago del crédito coinciden.</t>
  </si>
  <si>
    <t xml:space="preserve">Transferencia electrónica o cheque nominativo desde una cuenta a nombre de el acreditado.</t>
  </si>
  <si>
    <t xml:space="preserve">El otorgamiento o el pago del crédito iguala o supera el umbral de Aviso de tu fracción del artículo 17.</t>
  </si>
  <si>
    <t xml:space="preserve">El otorgamiento o el pago del crédito se sitúa entre el umbral de identificación y el de Aviso.</t>
  </si>
  <si>
    <t xml:space="preserve">El otorgamiento o el pago del crédito queda por debajo del umbral de identificación.</t>
  </si>
  <si>
    <t xml:space="preserve">El acreditado realiza cinco o más operaciones al año, o varias en intervalos cortos y regulares.</t>
  </si>
  <si>
    <t xml:space="preserve">El acreditado realiza entre dos y cuatro operaciones al año.</t>
  </si>
  <si>
    <t xml:space="preserve">El acreditado realiza una sola operación en el periodo.</t>
  </si>
  <si>
    <t xml:space="preserve">La operación llega por un gestor, plataforma o intermediario no acreditado: nadie responde por la identificación de el acreditado, y quien opera puede no ser quien dice ser.</t>
  </si>
  <si>
    <t xml:space="preserve">Se identifica a el acreditado de forma remota con verificación documental, o a través de un promotor o representante propio con contrato y responsable señalado.</t>
  </si>
  <si>
    <t xml:space="preserve">El acreditado comparece de forma directa, o se le identifica en remoto con biometría y prueba de vida.</t>
  </si>
  <si>
    <t xml:space="preserve">El destino no se manifiesta, o los recursos o el crédito otorgado pasan a un tercero no relacionado con el acreditado.</t>
  </si>
  <si>
    <t xml:space="preserve">El destino es el crédito otorgado mismo, y queda registrado en la operación.</t>
  </si>
  <si>
    <t xml:space="preserve">El otorgamiento o el pago del crédito combina contratación a distancia sin verificación reforzada con pagos en efectivo o instrumentos al portador.</t>
  </si>
  <si>
    <t xml:space="preserve">El inmueble tiene un valor unitario muy por encima del ticket promedio de tu operación de doce meses.</t>
  </si>
  <si>
    <t xml:space="preserve">El inmueble tiene un valor unitario dentro del rango habitual de tu operación.</t>
  </si>
  <si>
    <t xml:space="preserve">El inmueble tiene un valor unitario por debajo de tu ticket promedio.</t>
  </si>
  <si>
    <t xml:space="preserve">El inmueble puede revenderse o cederse de inmediato y prácticamente a su valor íntegro.</t>
  </si>
  <si>
    <t xml:space="preserve">El inmueble puede revenderse, pero con trámite, plazo o pérdida de valor apreciable.</t>
  </si>
  <si>
    <t xml:space="preserve">El inmueble es difícil de revender: exige formalidades o registro, o pierde valor de forma significativa.</t>
  </si>
  <si>
    <t xml:space="preserve">La compraventa del inmueble admite que quien aparece no sea quien recibe el beneficio, sin que quede registro de quién es el beneficiario final.</t>
  </si>
  <si>
    <t xml:space="preserve">Se identifica a el comprador, pero el beneficiario final se declara sin documento que lo respalde.</t>
  </si>
  <si>
    <t xml:space="preserve">El comprador y el beneficiario final coinciden, y ambos constan en el expediente.</t>
  </si>
  <si>
    <t xml:space="preserve">La compraventa del inmueble admite sobrevaluar, subvaluar o fraccionar el precio sin que la contabilidad lo refleje.</t>
  </si>
  <si>
    <t xml:space="preserve">El comprador, su beneficiario o su contraparte aparece en listas de sanciones o de organizaciones terroristas.</t>
  </si>
  <si>
    <t xml:space="preserve">El adquirente del inmueble es un fideicomiso u otro vehículo sin personalidad jurídica propia. No hay un titular único: la figura permite que quien compra y quien queda como dueño sean personas distintas y que ninguna aparezca en el contrato.</t>
  </si>
  <si>
    <t xml:space="preserve">El adquirente del inmueble es persona moral. La voluntad se forma en órganos y la propiedad está en socios, así que hay que llegar al Beneficiario Controlador para saber quién está realmente detrás.</t>
  </si>
  <si>
    <t xml:space="preserve">El adquirente del inmueble es persona física. Coincide quien compra y quien queda como dueño, y la identificación es directa contra un solo expediente.</t>
  </si>
  <si>
    <t xml:space="preserve">El giro que declara el comprador es a su vez una Actividad Vulnerable del artículo 17, o no se acredita con documento alguno.</t>
  </si>
  <si>
    <t xml:space="preserve">No se logra identificar al Beneficiario Controlador de el comprador, o la cadena no es acreditable.</t>
  </si>
  <si>
    <t xml:space="preserve">El Beneficiario Controlador se identifica en un solo nivel, o el comprador es su propio beneficiario.</t>
  </si>
  <si>
    <t xml:space="preserve">La compraventa del inmueble se pacta con o desde una jurisdicción de alto riesgo o no cooperante.</t>
  </si>
  <si>
    <t xml:space="preserve">La compraventa del inmueble se pacta con una jurisdicción extranjera sin señalamiento.</t>
  </si>
  <si>
    <t xml:space="preserve">La compraventa del inmueble se realiza íntegramente en México.</t>
  </si>
  <si>
    <t xml:space="preserve">La compraventa del inmueble ocurre en un municipio o zona identificada de alto riesgo.</t>
  </si>
  <si>
    <t xml:space="preserve">La compraventa del inmueble ocurre en una entidad federativa con señalamiento en la ENR.</t>
  </si>
  <si>
    <t xml:space="preserve">La compraventa del inmueble ocurre en una entidad federativa sin señalamiento en la ENR.</t>
  </si>
  <si>
    <t xml:space="preserve">El domicilio de el comprador y el lugar de la compraventa del inmueble no coinciden, y no hay explicación documentada.</t>
  </si>
  <si>
    <t xml:space="preserve">El domicilio de el comprador y el lugar de la compraventa del inmueble coinciden.</t>
  </si>
  <si>
    <t xml:space="preserve">Transferencia electrónica o cheque nominativo desde una cuenta a nombre de el comprador.</t>
  </si>
  <si>
    <t xml:space="preserve">La compraventa del inmueble iguala o supera el umbral de Aviso de tu fracción del artículo 17.</t>
  </si>
  <si>
    <t xml:space="preserve">La compraventa del inmueble se sitúa entre el umbral de identificación y el de Aviso.</t>
  </si>
  <si>
    <t xml:space="preserve">La compraventa del inmueble queda por debajo del umbral de identificación.</t>
  </si>
  <si>
    <t xml:space="preserve">El comprador realiza cinco o más operaciones al año, o varias en intervalos cortos y regulares.</t>
  </si>
  <si>
    <t xml:space="preserve">El comprador realiza entre dos y cuatro operaciones al año.</t>
  </si>
  <si>
    <t xml:space="preserve">El comprador realiza una sola operación en el periodo.</t>
  </si>
  <si>
    <t xml:space="preserve">La operación llega por un gestor, plataforma o intermediario no acreditado: nadie responde por la identificación de el comprador, y quien opera puede no ser quien dice ser.</t>
  </si>
  <si>
    <t xml:space="preserve">Se identifica a el comprador de forma remota con verificación documental, o a través de un promotor o representante propio con contrato y responsable señalado.</t>
  </si>
  <si>
    <t xml:space="preserve">El comprador comparece de forma directa, o se le identifica en remoto con biometría y prueba de vida.</t>
  </si>
  <si>
    <t xml:space="preserve">El destino no se manifiesta, o los recursos o el inmueble pasan a un tercero no relacionado con el comprador.</t>
  </si>
  <si>
    <t xml:space="preserve">El destino es el inmueble mismo, y queda registrado en la operación.</t>
  </si>
  <si>
    <t xml:space="preserve">La compraventa del inmueble combina contratación a distancia sin verificación reforzada con pagos en efectivo o instrumentos al portador.</t>
  </si>
  <si>
    <t xml:space="preserve">La unidad en desarrollo tiene un valor unitario muy por encima del ticket promedio de tu operación de doce meses.</t>
  </si>
  <si>
    <t xml:space="preserve">La unidad en desarrollo tiene un valor unitario dentro del rango habitual de tu operación.</t>
  </si>
  <si>
    <t xml:space="preserve">La unidad en desarrollo tiene un valor unitario por debajo de tu ticket promedio.</t>
  </si>
  <si>
    <t xml:space="preserve">La unidad en desarrollo puede revenderse o cederse de inmediato y prácticamente a su valor íntegro.</t>
  </si>
  <si>
    <t xml:space="preserve">La unidad en desarrollo puede revenderse, pero con trámite, plazo o pérdida de valor apreciable.</t>
  </si>
  <si>
    <t xml:space="preserve">La unidad en desarrollo es difícil de revender: exige formalidades o registro, o pierde valor de forma significativa.</t>
  </si>
  <si>
    <t xml:space="preserve">La aportación al desarrollo admite que quien aparece no sea quien recibe el beneficio, sin que quede registro de quién es el beneficiario final.</t>
  </si>
  <si>
    <t xml:space="preserve">Se identifica a quien aporta los recursos, pero el beneficiario final se declara sin documento que lo respalde.</t>
  </si>
  <si>
    <t xml:space="preserve">Quien aporta los recursos y el beneficiario final coinciden, y ambos constan en el expediente.</t>
  </si>
  <si>
    <t xml:space="preserve">La aportación al desarrollo admite sobrevaluar, subvaluar o fraccionar el precio sin que la contabilidad lo refleje.</t>
  </si>
  <si>
    <t xml:space="preserve">Quien aporta los recursos, su beneficiario o su contraparte aparece en listas de sanciones o de organizaciones terroristas.</t>
  </si>
  <si>
    <t xml:space="preserve">Quien aporta los recursos es un fideicomiso u otro vehículo sin personalidad jurídica propia. No hay un titular único: la figura permite que quien financia y quien recibe la unidad sean personas distintas y que ninguna aparezca en el contrato.</t>
  </si>
  <si>
    <t xml:space="preserve">Quien aporta los recursos es persona moral. La voluntad se forma en órganos y la propiedad está en socios, así que hay que llegar al Beneficiario Controlador para saber quién está realmente detrás.</t>
  </si>
  <si>
    <t xml:space="preserve">Quien aporta los recursos es persona física. Coincide quien financia y quien recibe la unidad, y la identificación es directa contra un solo expediente.</t>
  </si>
  <si>
    <t xml:space="preserve">El giro que declara quien aporta los recursos es a su vez una Actividad Vulnerable del artículo 17, o no se acredita con documento alguno.</t>
  </si>
  <si>
    <t xml:space="preserve">No se logra identificar al Beneficiario Controlador de quien aporta los recursos, o la cadena no es acreditable.</t>
  </si>
  <si>
    <t xml:space="preserve">El Beneficiario Controlador se identifica en un solo nivel, o quien aporta los recursos es su propio beneficiario.</t>
  </si>
  <si>
    <t xml:space="preserve">La aportación al desarrollo se pacta con o desde una jurisdicción de alto riesgo o no cooperante.</t>
  </si>
  <si>
    <t xml:space="preserve">La aportación al desarrollo se pacta con una jurisdicción extranjera sin señalamiento.</t>
  </si>
  <si>
    <t xml:space="preserve">La aportación al desarrollo se realiza íntegramente en México.</t>
  </si>
  <si>
    <t xml:space="preserve">La aportación al desarrollo ocurre en un municipio o zona identificada de alto riesgo.</t>
  </si>
  <si>
    <t xml:space="preserve">La aportación al desarrollo ocurre en una entidad federativa con señalamiento en la ENR.</t>
  </si>
  <si>
    <t xml:space="preserve">La aportación al desarrollo ocurre en una entidad federativa sin señalamiento en la ENR.</t>
  </si>
  <si>
    <t xml:space="preserve">El domicilio de quien aporta los recursos y el lugar de la aportación al desarrollo no coinciden, y no hay explicación documentada.</t>
  </si>
  <si>
    <t xml:space="preserve">El domicilio de quien aporta los recursos y el lugar de la aportación al desarrollo coinciden.</t>
  </si>
  <si>
    <t xml:space="preserve">Transferencia electrónica o cheque nominativo desde una cuenta a nombre de quien aporta los recursos.</t>
  </si>
  <si>
    <t xml:space="preserve">La aportación al desarrollo iguala o supera el umbral de Aviso de tu fracción del artículo 17.</t>
  </si>
  <si>
    <t xml:space="preserve">La aportación al desarrollo se sitúa entre el umbral de identificación y el de Aviso.</t>
  </si>
  <si>
    <t xml:space="preserve">La aportación al desarrollo queda por debajo del umbral de identificación.</t>
  </si>
  <si>
    <t xml:space="preserve">Quien aporta los recursos realiza cinco o más operaciones al año, o varias en intervalos cortos y regulares.</t>
  </si>
  <si>
    <t xml:space="preserve">Quien aporta los recursos realiza entre dos y cuatro operaciones al año.</t>
  </si>
  <si>
    <t xml:space="preserve">Quien aporta los recursos realiza una sola operación en el periodo.</t>
  </si>
  <si>
    <t xml:space="preserve">La operación llega por un gestor, plataforma o intermediario no acreditado: nadie responde por la identificación de quien aporta los recursos, y quien opera puede no ser quien dice ser.</t>
  </si>
  <si>
    <t xml:space="preserve">Se identifica a quien aporta los recursos de forma remota con verificación documental, o a través de un promotor o representante propio con contrato y responsable señalado.</t>
  </si>
  <si>
    <t xml:space="preserve">Quien aporta los recursos comparece de forma directa, o se le identifica en remoto con biometría y prueba de vida.</t>
  </si>
  <si>
    <t xml:space="preserve">El destino no se manifiesta, o los recursos o la unidad en desarrollo pasan a un tercero no relacionado con quien aporta los recursos.</t>
  </si>
  <si>
    <t xml:space="preserve">El destino es la unidad en desarrollo mismo, y queda registrado en la operación.</t>
  </si>
  <si>
    <t xml:space="preserve">La aportación al desarrollo combina contratación a distancia sin verificación reforzada con pagos en efectivo o instrumentos al portador.</t>
  </si>
  <si>
    <t xml:space="preserve">La pieza tiene un valor unitario muy por encima del ticket promedio de tu operación de doce meses.</t>
  </si>
  <si>
    <t xml:space="preserve">La pieza tiene un valor unitario dentro del rango habitual de tu operación.</t>
  </si>
  <si>
    <t xml:space="preserve">La pieza tiene un valor unitario por debajo de tu ticket promedio.</t>
  </si>
  <si>
    <t xml:space="preserve">La pieza puede revenderse o cederse de inmediato y prácticamente a su valor íntegro.</t>
  </si>
  <si>
    <t xml:space="preserve">La pieza puede revenderse, pero con trámite, plazo o pérdida de valor apreciable.</t>
  </si>
  <si>
    <t xml:space="preserve">La pieza es difícil de revender: exige formalidades o registro, o pierde valor de forma significativa.</t>
  </si>
  <si>
    <t xml:space="preserve">La compraventa de la pieza admite que quien aparece no sea quien recibe el beneficio, sin que quede registro de quién es el beneficiario final.</t>
  </si>
  <si>
    <t xml:space="preserve">La compraventa de la pieza admite sobrevaluar, subvaluar o fraccionar el precio sin que la contabilidad lo refleje.</t>
  </si>
  <si>
    <t xml:space="preserve">El comprador de la pieza es un fideicomiso u otro vehículo sin personalidad jurídica propia. No hay un titular único: la figura permite que quien paga y quien se lleva el bien sean personas distintas y que ninguna aparezca en el contrato.</t>
  </si>
  <si>
    <t xml:space="preserve">El comprador de la pieza es persona moral. La voluntad se forma en órganos y la propiedad está en socios, así que hay que llegar al Beneficiario Controlador para saber quién está realmente detrás.</t>
  </si>
  <si>
    <t xml:space="preserve">El comprador de la pieza es persona física. Coincide quien paga y quien se lleva el bien, y la identificación es directa contra un solo expediente.</t>
  </si>
  <si>
    <t xml:space="preserve">La compraventa de la pieza se pacta con o desde una jurisdicción de alto riesgo o no cooperante.</t>
  </si>
  <si>
    <t xml:space="preserve">La compraventa de la pieza se pacta con una jurisdicción extranjera sin señalamiento.</t>
  </si>
  <si>
    <t xml:space="preserve">La compraventa de la pieza se realiza íntegramente en México.</t>
  </si>
  <si>
    <t xml:space="preserve">La compraventa de la pieza ocurre en un municipio o zona identificada de alto riesgo.</t>
  </si>
  <si>
    <t xml:space="preserve">La compraventa de la pieza ocurre en una entidad federativa con señalamiento en la ENR.</t>
  </si>
  <si>
    <t xml:space="preserve">La compraventa de la pieza ocurre en una entidad federativa sin señalamiento en la ENR.</t>
  </si>
  <si>
    <t xml:space="preserve">El domicilio de el comprador y el lugar de la compraventa de la pieza no coinciden, y no hay explicación documentada.</t>
  </si>
  <si>
    <t xml:space="preserve">El domicilio de el comprador y el lugar de la compraventa de la pieza coinciden.</t>
  </si>
  <si>
    <t xml:space="preserve">La compraventa de la pieza iguala o supera el umbral de Aviso de tu fracción del artículo 17.</t>
  </si>
  <si>
    <t xml:space="preserve">La compraventa de la pieza se sitúa entre el umbral de identificación y el de Aviso.</t>
  </si>
  <si>
    <t xml:space="preserve">La compraventa de la pieza queda por debajo del umbral de identificación.</t>
  </si>
  <si>
    <t xml:space="preserve">El destino no se manifiesta, o los recursos o la pieza pasan a un tercero no relacionado con el comprador.</t>
  </si>
  <si>
    <t xml:space="preserve">El destino es la pieza mismo, y queda registrado en la operación.</t>
  </si>
  <si>
    <t xml:space="preserve">La compraventa de la pieza combina contratación a distancia sin verificación reforzada con pagos en efectivo o instrumentos al portador.</t>
  </si>
  <si>
    <t xml:space="preserve">La obra tiene un valor unitario muy por encima del ticket promedio de tu operación de doce meses.</t>
  </si>
  <si>
    <t xml:space="preserve">La obra tiene un valor unitario dentro del rango habitual de tu operación.</t>
  </si>
  <si>
    <t xml:space="preserve">La obra tiene un valor unitario por debajo de tu ticket promedio.</t>
  </si>
  <si>
    <t xml:space="preserve">La obra puede revenderse o cederse de inmediato y prácticamente a su valor íntegro.</t>
  </si>
  <si>
    <t xml:space="preserve">La obra puede revenderse, pero con trámite, plazo o pérdida de valor apreciable.</t>
  </si>
  <si>
    <t xml:space="preserve">La obra es difícil de revender: exige formalidades o registro, o pierde valor de forma significativa.</t>
  </si>
  <si>
    <t xml:space="preserve">La subasta o venta de la obra admite que quien aparece no sea quien recibe el beneficio, sin que quede registro de quién es el beneficiario final.</t>
  </si>
  <si>
    <t xml:space="preserve">Se identifica a el postor o comprador, pero el beneficiario final se declara sin documento que lo respalde.</t>
  </si>
  <si>
    <t xml:space="preserve">El postor o comprador y el beneficiario final coinciden, y ambos constan en el expediente.</t>
  </si>
  <si>
    <t xml:space="preserve">La subasta o venta de la obra admite sobrevaluar, subvaluar o fraccionar el precio sin que la contabilidad lo refleje.</t>
  </si>
  <si>
    <t xml:space="preserve">El postor o comprador, su beneficiario o su contraparte aparece en listas de sanciones o de organizaciones terroristas.</t>
  </si>
  <si>
    <t xml:space="preserve">El postor o comprador de la obra es un fideicomiso u otro vehículo sin personalidad jurídica propia. No hay un titular único: la figura permite que quien puja y quien se queda la pieza sean personas distintas y que ninguna aparezca en el contrato.</t>
  </si>
  <si>
    <t xml:space="preserve">El postor o comprador de la obra es persona moral. La voluntad se forma en órganos y la propiedad está en socios, así que hay que llegar al Beneficiario Controlador para saber quién está realmente detrás.</t>
  </si>
  <si>
    <t xml:space="preserve">El postor o comprador de la obra es persona física. Coincide quien puja y quien se queda la pieza, y la identificación es directa contra un solo expediente.</t>
  </si>
  <si>
    <t xml:space="preserve">El giro que declara el postor o comprador es a su vez una Actividad Vulnerable del artículo 17, o no se acredita con documento alguno.</t>
  </si>
  <si>
    <t xml:space="preserve">No se logra identificar al Beneficiario Controlador de el postor o comprador, o la cadena no es acreditable.</t>
  </si>
  <si>
    <t xml:space="preserve">El Beneficiario Controlador se identifica en un solo nivel, o el postor o comprador es su propio beneficiario.</t>
  </si>
  <si>
    <t xml:space="preserve">La subasta o venta de la obra se pacta con o desde una jurisdicción de alto riesgo o no cooperante.</t>
  </si>
  <si>
    <t xml:space="preserve">La subasta o venta de la obra se pacta con una jurisdicción extranjera sin señalamiento.</t>
  </si>
  <si>
    <t xml:space="preserve">La subasta o venta de la obra se realiza íntegramente en México.</t>
  </si>
  <si>
    <t xml:space="preserve">La subasta o venta de la obra ocurre en un municipio o zona identificada de alto riesgo.</t>
  </si>
  <si>
    <t xml:space="preserve">La subasta o venta de la obra ocurre en una entidad federativa con señalamiento en la ENR.</t>
  </si>
  <si>
    <t xml:space="preserve">La subasta o venta de la obra ocurre en una entidad federativa sin señalamiento en la ENR.</t>
  </si>
  <si>
    <t xml:space="preserve">El domicilio de el postor o comprador y el lugar de la subasta o venta de la obra no coinciden, y no hay explicación documentada.</t>
  </si>
  <si>
    <t xml:space="preserve">El domicilio de el postor o comprador y el lugar de la subasta o venta de la obra coinciden.</t>
  </si>
  <si>
    <t xml:space="preserve">Transferencia electrónica o cheque nominativo desde una cuenta a nombre de el postor o comprador.</t>
  </si>
  <si>
    <t xml:space="preserve">La subasta o venta de la obra iguala o supera el umbral de Aviso de tu fracción del artículo 17.</t>
  </si>
  <si>
    <t xml:space="preserve">La subasta o venta de la obra se sitúa entre el umbral de identificación y el de Aviso.</t>
  </si>
  <si>
    <t xml:space="preserve">La subasta o venta de la obra queda por debajo del umbral de identificación.</t>
  </si>
  <si>
    <t xml:space="preserve">El postor o comprador realiza cinco o más operaciones al año, o varias en intervalos cortos y regulares.</t>
  </si>
  <si>
    <t xml:space="preserve">El postor o comprador realiza entre dos y cuatro operaciones al año.</t>
  </si>
  <si>
    <t xml:space="preserve">El postor o comprador realiza una sola operación en el periodo.</t>
  </si>
  <si>
    <t xml:space="preserve">La operación llega por un gestor, plataforma o intermediario no acreditado: nadie responde por la identificación de el postor, y quien opera puede no ser quien dice ser.</t>
  </si>
  <si>
    <t xml:space="preserve">Se identifica a el postor de forma remota con verificación documental, o a través de un promotor o representante propio con contrato y responsable señalado.</t>
  </si>
  <si>
    <t xml:space="preserve">El postor comparece de forma directa, o se le identifica en remoto con biometría y prueba de vida.</t>
  </si>
  <si>
    <t xml:space="preserve">El destino no se manifiesta, o los recursos o la obra pasan a un tercero no relacionado con el postor o comprador.</t>
  </si>
  <si>
    <t xml:space="preserve">El destino es la obra mismo, y queda registrado en la operación.</t>
  </si>
  <si>
    <t xml:space="preserve">La subasta o venta de la obra combina contratación a distancia sin verificación reforzada con pagos en efectivo o instrumentos al portador.</t>
  </si>
  <si>
    <t xml:space="preserve">El vehículo tiene un valor unitario muy por encima del ticket promedio de tu operación de doce meses.</t>
  </si>
  <si>
    <t xml:space="preserve">El vehículo tiene un valor unitario dentro del rango habitual de tu operación.</t>
  </si>
  <si>
    <t xml:space="preserve">El vehículo tiene un valor unitario por debajo de tu ticket promedio.</t>
  </si>
  <si>
    <t xml:space="preserve">El vehículo puede revenderse o cederse de inmediato y prácticamente a su valor íntegro.</t>
  </si>
  <si>
    <t xml:space="preserve">El vehículo puede revenderse, pero con trámite, plazo o pérdida de valor apreciable.</t>
  </si>
  <si>
    <t xml:space="preserve">El vehículo es difícil de revender: exige formalidades o registro, o pierde valor de forma significativa.</t>
  </si>
  <si>
    <t xml:space="preserve">La compraventa del vehículo admite que quien aparece no sea quien recibe el beneficio, sin que quede registro de quién es el beneficiario final.</t>
  </si>
  <si>
    <t xml:space="preserve">La compraventa del vehículo admite sobrevaluar, subvaluar o fraccionar el precio sin que la contabilidad lo refleje.</t>
  </si>
  <si>
    <t xml:space="preserve">El adquirente del vehículo es un fideicomiso u otro vehículo sin personalidad jurídica propia. No hay un titular único: la figura permite que quien paga y quien queda como propietario sean personas distintas y que ninguna aparezca en el contrato.</t>
  </si>
  <si>
    <t xml:space="preserve">El adquirente del vehículo es persona moral. La voluntad se forma en órganos y la propiedad está en socios, así que hay que llegar al Beneficiario Controlador para saber quién está realmente detrás.</t>
  </si>
  <si>
    <t xml:space="preserve">El adquirente del vehículo es persona física. Coincide quien paga y quien queda como propietario, y la identificación es directa contra un solo expediente.</t>
  </si>
  <si>
    <t xml:space="preserve">La compraventa del vehículo se pacta con o desde una jurisdicción de alto riesgo o no cooperante.</t>
  </si>
  <si>
    <t xml:space="preserve">La compraventa del vehículo se pacta con una jurisdicción extranjera sin señalamiento.</t>
  </si>
  <si>
    <t xml:space="preserve">La compraventa del vehículo se realiza íntegramente en México.</t>
  </si>
  <si>
    <t xml:space="preserve">La compraventa del vehículo ocurre en un municipio o zona identificada de alto riesgo.</t>
  </si>
  <si>
    <t xml:space="preserve">La compraventa del vehículo ocurre en una entidad federativa con señalamiento en la ENR.</t>
  </si>
  <si>
    <t xml:space="preserve">La compraventa del vehículo ocurre en una entidad federativa sin señalamiento en la ENR.</t>
  </si>
  <si>
    <t xml:space="preserve">El domicilio de el adquirente y el lugar de la compraventa del vehículo no coinciden, y no hay explicación documentada.</t>
  </si>
  <si>
    <t xml:space="preserve">El domicilio de el adquirente y el lugar de la compraventa del vehículo coinciden.</t>
  </si>
  <si>
    <t xml:space="preserve">La compraventa del vehículo iguala o supera el umbral de Aviso de tu fracción del artículo 17.</t>
  </si>
  <si>
    <t xml:space="preserve">La compraventa del vehículo se sitúa entre el umbral de identificación y el de Aviso.</t>
  </si>
  <si>
    <t xml:space="preserve">La compraventa del vehículo queda por debajo del umbral de identificación.</t>
  </si>
  <si>
    <t xml:space="preserve">El destino no se manifiesta, o los recursos o el vehículo pasan a un tercero no relacionado con el adquirente.</t>
  </si>
  <si>
    <t xml:space="preserve">El destino es el vehículo mismo, y queda registrado en la operación.</t>
  </si>
  <si>
    <t xml:space="preserve">La compraventa del vehículo combina contratación a distancia sin verificación reforzada con pagos en efectivo o instrumentos al portador.</t>
  </si>
  <si>
    <t xml:space="preserve">El servicio de blindaje tiene un valor unitario muy por encima del ticket promedio de tu operación de doce meses.</t>
  </si>
  <si>
    <t xml:space="preserve">El servicio de blindaje tiene un valor unitario dentro del rango habitual de tu operación.</t>
  </si>
  <si>
    <t xml:space="preserve">El servicio de blindaje tiene un valor unitario por debajo de tu ticket promedio.</t>
  </si>
  <si>
    <t xml:space="preserve">El servicio de blindaje puede revenderse o cederse de inmediato y prácticamente a su valor íntegro.</t>
  </si>
  <si>
    <t xml:space="preserve">El servicio de blindaje puede revenderse, pero con trámite, plazo o pérdida de valor apreciable.</t>
  </si>
  <si>
    <t xml:space="preserve">El servicio de blindaje es difícil de revender: exige formalidades o registro, o pierde valor de forma significativa.</t>
  </si>
  <si>
    <t xml:space="preserve">La contratación del blindaje admite que quien aparece no sea quien recibe el beneficio, sin que quede registro de quién es el beneficiario final.</t>
  </si>
  <si>
    <t xml:space="preserve">Se identifica a quien contrata el blindaje, pero el beneficiario final se declara sin documento que lo respalde.</t>
  </si>
  <si>
    <t xml:space="preserve">Quien contrata el blindaje y el beneficiario final coinciden, y ambos constan en el expediente.</t>
  </si>
  <si>
    <t xml:space="preserve">La contratación del blindaje admite sobrevaluar, subvaluar o fraccionar el precio sin que la contabilidad lo refleje.</t>
  </si>
  <si>
    <t xml:space="preserve">Quien contrata el blindaje, su beneficiario o su contraparte aparece en listas de sanciones o de organizaciones terroristas.</t>
  </si>
  <si>
    <t xml:space="preserve">Quien contrata el blindaje es un fideicomiso u otro vehículo sin personalidad jurídica propia. No hay un titular único: la figura permite que quien paga y quien usa el vehículo blindado sean personas distintas y que ninguna aparezca en el contrato.</t>
  </si>
  <si>
    <t xml:space="preserve">Quien contrata el blindaje es persona moral. La voluntad se forma en órganos y la propiedad está en socios, así que hay que llegar al Beneficiario Controlador para saber quién está realmente detrás.</t>
  </si>
  <si>
    <t xml:space="preserve">Quien contrata el blindaje es persona física. Coincide quien paga y quien usa el vehículo blindado, y la identificación es directa contra un solo expediente.</t>
  </si>
  <si>
    <t xml:space="preserve">El giro que declara quien contrata el blindaje es a su vez una Actividad Vulnerable del artículo 17, o no se acredita con documento alguno.</t>
  </si>
  <si>
    <t xml:space="preserve">No se logra identificar al Beneficiario Controlador de quien contrata el blindaje, o la cadena no es acreditable.</t>
  </si>
  <si>
    <t xml:space="preserve">El Beneficiario Controlador se identifica en un solo nivel, o quien contrata el blindaje es su propio beneficiario.</t>
  </si>
  <si>
    <t xml:space="preserve">La contratación del blindaje se pacta con o desde una jurisdicción de alto riesgo o no cooperante.</t>
  </si>
  <si>
    <t xml:space="preserve">La contratación del blindaje se pacta con una jurisdicción extranjera sin señalamiento.</t>
  </si>
  <si>
    <t xml:space="preserve">La contratación del blindaje se realiza íntegramente en México.</t>
  </si>
  <si>
    <t xml:space="preserve">La contratación del blindaje ocurre en un municipio o zona identificada de alto riesgo.</t>
  </si>
  <si>
    <t xml:space="preserve">La contratación del blindaje ocurre en una entidad federativa con señalamiento en la ENR.</t>
  </si>
  <si>
    <t xml:space="preserve">La contratación del blindaje ocurre en una entidad federativa sin señalamiento en la ENR.</t>
  </si>
  <si>
    <t xml:space="preserve">El domicilio de quien contrata el blindaje y el lugar de la contratación del blindaje no coinciden, y no hay explicación documentada.</t>
  </si>
  <si>
    <t xml:space="preserve">El domicilio de quien contrata el blindaje y el lugar de la contratación del blindaje coinciden.</t>
  </si>
  <si>
    <t xml:space="preserve">Transferencia electrónica o cheque nominativo desde una cuenta a nombre de quien contrata el blindaje.</t>
  </si>
  <si>
    <t xml:space="preserve">La contratación del blindaje iguala o supera el umbral de Aviso de tu fracción del artículo 17.</t>
  </si>
  <si>
    <t xml:space="preserve">La contratación del blindaje se sitúa entre el umbral de identificación y el de Aviso.</t>
  </si>
  <si>
    <t xml:space="preserve">La contratación del blindaje queda por debajo del umbral de identificación.</t>
  </si>
  <si>
    <t xml:space="preserve">Quien contrata el blindaje realiza cinco o más operaciones al año, o varias en intervalos cortos y regulares.</t>
  </si>
  <si>
    <t xml:space="preserve">Quien contrata el blindaje realiza entre dos y cuatro operaciones al año.</t>
  </si>
  <si>
    <t xml:space="preserve">Quien contrata el blindaje realiza una sola operación en el periodo.</t>
  </si>
  <si>
    <t xml:space="preserve">La operación llega por un gestor, plataforma o intermediario no acreditado: nadie responde por la identificación de quien contrata el blindaje, y quien opera puede no ser quien dice ser.</t>
  </si>
  <si>
    <t xml:space="preserve">Se identifica a quien contrata el blindaje de forma remota con verificación documental, o a través de un promotor o representante propio con contrato y responsable señalado.</t>
  </si>
  <si>
    <t xml:space="preserve">Quien contrata el blindaje comparece de forma directa, o se le identifica en remoto con biometría y prueba de vida.</t>
  </si>
  <si>
    <t xml:space="preserve">El destino no se manifiesta, o los recursos o el servicio de blindaje pasan a un tercero no relacionado con quien contrata el blindaje.</t>
  </si>
  <si>
    <t xml:space="preserve">El destino es el servicio de blindaje mismo, y queda registrado en la operación.</t>
  </si>
  <si>
    <t xml:space="preserve">La contratación del blindaje combina contratación a distancia sin verificación reforzada con pagos en efectivo o instrumentos al portador.</t>
  </si>
  <si>
    <t xml:space="preserve">Los valores trasladados tiene un valor unitario muy por encima del ticket promedio de tu operación de doce meses.</t>
  </si>
  <si>
    <t xml:space="preserve">Los valores trasladados tiene un valor unitario dentro del rango habitual de tu operación.</t>
  </si>
  <si>
    <t xml:space="preserve">Los valores trasladados tiene un valor unitario por debajo de tu ticket promedio.</t>
  </si>
  <si>
    <t xml:space="preserve">Los valores trasladados puede revenderse o cederse de inmediato y prácticamente a su valor íntegro.</t>
  </si>
  <si>
    <t xml:space="preserve">Los valores trasladados puede revenderse, pero con trámite, plazo o pérdida de valor apreciable.</t>
  </si>
  <si>
    <t xml:space="preserve">Los valores trasladados es difícil de revender: exige formalidades o registro, o pierde valor de forma significativa.</t>
  </si>
  <si>
    <t xml:space="preserve">El traslado o la custodia de valores admite que quien aparece no sea quien recibe el beneficio, sin que quede registro de quién es el beneficiario final.</t>
  </si>
  <si>
    <t xml:space="preserve">Se identifica a el usuario del servicio, pero el beneficiario final se declara sin documento que lo respalde.</t>
  </si>
  <si>
    <t xml:space="preserve">El usuario del servicio y el beneficiario final coinciden, y ambos constan en el expediente.</t>
  </si>
  <si>
    <t xml:space="preserve">El traslado o la custodia de valores admite sobrevaluar, subvaluar o fraccionar el precio sin que la contabilidad lo refleje.</t>
  </si>
  <si>
    <t xml:space="preserve">El usuario del servicio, su beneficiario o su contraparte aparece en listas de sanciones o de organizaciones terroristas.</t>
  </si>
  <si>
    <t xml:space="preserve">El usuario del servicio es un fideicomiso u otro vehículo sin personalidad jurídica propia. No hay un titular único: la figura permite que quien entrega los valores y quien los recibe sean personas distintas y que ninguna aparezca en el contrato.</t>
  </si>
  <si>
    <t xml:space="preserve">El usuario del servicio es persona moral. La voluntad se forma en órganos y la propiedad está en socios, así que hay que llegar al Beneficiario Controlador para saber quién está realmente detrás.</t>
  </si>
  <si>
    <t xml:space="preserve">El usuario del servicio es persona física. Coincide quien entrega los valores y quien los recibe, y la identificación es directa contra un solo expediente.</t>
  </si>
  <si>
    <t xml:space="preserve">El giro que declara el usuario del servicio es a su vez una Actividad Vulnerable del artículo 17, o no se acredita con documento alguno.</t>
  </si>
  <si>
    <t xml:space="preserve">No se logra identificar al Beneficiario Controlador de el usuario del servicio, o la cadena no es acreditable.</t>
  </si>
  <si>
    <t xml:space="preserve">El Beneficiario Controlador se identifica en un solo nivel, o el usuario del servicio es su propio beneficiario.</t>
  </si>
  <si>
    <t xml:space="preserve">El traslado o la custodia de valores se pacta con o desde una jurisdicción de alto riesgo o no cooperante.</t>
  </si>
  <si>
    <t xml:space="preserve">El traslado o la custodia de valores se pacta con una jurisdicción extranjera sin señalamiento.</t>
  </si>
  <si>
    <t xml:space="preserve">El traslado o la custodia de valores se realiza íntegramente en México.</t>
  </si>
  <si>
    <t xml:space="preserve">El traslado o la custodia de valores ocurre en un municipio o zona identificada de alto riesgo.</t>
  </si>
  <si>
    <t xml:space="preserve">El traslado o la custodia de valores ocurre en una entidad federativa con señalamiento en la ENR.</t>
  </si>
  <si>
    <t xml:space="preserve">El traslado o la custodia de valores ocurre en una entidad federativa sin señalamiento en la ENR.</t>
  </si>
  <si>
    <t xml:space="preserve">El domicilio de el usuario del servicio y el lugar de el traslado o la custodia de valores no coinciden, y no hay explicación documentada.</t>
  </si>
  <si>
    <t xml:space="preserve">El domicilio de el usuario del servicio y el lugar de el traslado o la custodia de valores coinciden.</t>
  </si>
  <si>
    <t xml:space="preserve">Transferencia electrónica o cheque nominativo desde una cuenta a nombre de el usuario del servicio.</t>
  </si>
  <si>
    <t xml:space="preserve">El traslado o la custodia de valores iguala o supera el umbral de Aviso de tu fracción del artículo 17.</t>
  </si>
  <si>
    <t xml:space="preserve">El traslado o la custodia de valores se sitúa entre el umbral de identificación y el de Aviso.</t>
  </si>
  <si>
    <t xml:space="preserve">El traslado o la custodia de valores queda por debajo del umbral de identificación.</t>
  </si>
  <si>
    <t xml:space="preserve">El usuario del servicio realiza cinco o más operaciones al año, o varias en intervalos cortos y regulares.</t>
  </si>
  <si>
    <t xml:space="preserve">El usuario del servicio realiza entre dos y cuatro operaciones al año.</t>
  </si>
  <si>
    <t xml:space="preserve">El usuario del servicio realiza una sola operación en el periodo.</t>
  </si>
  <si>
    <t xml:space="preserve">La operación llega por un gestor, plataforma o intermediario no acreditado: nadie responde por la identificación de el usuario, y quien opera puede no ser quien dice ser.</t>
  </si>
  <si>
    <t xml:space="preserve">Se identifica a el usuario de forma remota con verificación documental, o a través de un promotor o representante propio con contrato y responsable señalado.</t>
  </si>
  <si>
    <t xml:space="preserve">El usuario comparece de forma directa, o se le identifica en remoto con biometría y prueba de vida.</t>
  </si>
  <si>
    <t xml:space="preserve">El destino no se manifiesta, o los recursos o los valores trasladados pasan a un tercero no relacionado con el usuario del servicio.</t>
  </si>
  <si>
    <t xml:space="preserve">El destino es los valores trasladados mismo, y queda registrado en la operación.</t>
  </si>
  <si>
    <t xml:space="preserve">El traslado o la custodia de valores combina contratación a distancia sin verificación reforzada con pagos en efectivo o instrumentos al portador.</t>
  </si>
  <si>
    <t xml:space="preserve">El encargo profesional tiene un valor unitario muy por encima del ticket promedio de tu operación de doce meses.</t>
  </si>
  <si>
    <t xml:space="preserve">El encargo profesional tiene un valor unitario dentro del rango habitual de tu operación.</t>
  </si>
  <si>
    <t xml:space="preserve">El encargo profesional tiene un valor unitario por debajo de tu ticket promedio.</t>
  </si>
  <si>
    <t xml:space="preserve">El encargo profesional puede revenderse o cederse de inmediato y prácticamente a su valor íntegro.</t>
  </si>
  <si>
    <t xml:space="preserve">El encargo profesional puede revenderse, pero con trámite, plazo o pérdida de valor apreciable.</t>
  </si>
  <si>
    <t xml:space="preserve">El encargo profesional es difícil de revender: exige formalidades o registro, o pierde valor de forma significativa.</t>
  </si>
  <si>
    <t xml:space="preserve">La prestación del servicio admite que quien aparece no sea quien recibe el beneficio, sin que quede registro de quién es el beneficiario final.</t>
  </si>
  <si>
    <t xml:space="preserve">Se identifica a el cliente, pero el beneficiario final se declara sin documento que lo respalde.</t>
  </si>
  <si>
    <t xml:space="preserve">El cliente y el beneficiario final coinciden, y ambos constan en el expediente.</t>
  </si>
  <si>
    <t xml:space="preserve">La prestación del servicio admite sobrevaluar, subvaluar o fraccionar el precio sin que la contabilidad lo refleje.</t>
  </si>
  <si>
    <t xml:space="preserve">El cliente, su beneficiario o su contraparte aparece en listas de sanciones o de organizaciones terroristas.</t>
  </si>
  <si>
    <t xml:space="preserve">El cliente del despacho es un fideicomiso u otro vehículo sin personalidad jurídica propia. No hay un titular único: la figura permite que quien instruye y quien se beneficia del encargo sean personas distintas y que ninguna aparezca en el contrato.</t>
  </si>
  <si>
    <t xml:space="preserve">El cliente del despacho es persona moral. La voluntad se forma en órganos y la propiedad está en socios, así que hay que llegar al Beneficiario Controlador para saber quién está realmente detrás.</t>
  </si>
  <si>
    <t xml:space="preserve">El cliente del despacho es persona física. Coincide quien instruye y quien se beneficia del encargo, y la identificación es directa contra un solo expediente.</t>
  </si>
  <si>
    <t xml:space="preserve">El giro que declara el cliente es a su vez una Actividad Vulnerable del artículo 17, o no se acredita con documento alguno.</t>
  </si>
  <si>
    <t xml:space="preserve">No se logra identificar al Beneficiario Controlador de el cliente, o la cadena no es acreditable.</t>
  </si>
  <si>
    <t xml:space="preserve">El Beneficiario Controlador se identifica en un solo nivel, o el cliente es su propio beneficiario.</t>
  </si>
  <si>
    <t xml:space="preserve">La prestación del servicio se pacta con o desde una jurisdicción de alto riesgo o no cooperante.</t>
  </si>
  <si>
    <t xml:space="preserve">La prestación del servicio se pacta con una jurisdicción extranjera sin señalamiento.</t>
  </si>
  <si>
    <t xml:space="preserve">La prestación del servicio se realiza íntegramente en México.</t>
  </si>
  <si>
    <t xml:space="preserve">La prestación del servicio ocurre en un municipio o zona identificada de alto riesgo.</t>
  </si>
  <si>
    <t xml:space="preserve">La prestación del servicio ocurre en una entidad federativa con señalamiento en la ENR.</t>
  </si>
  <si>
    <t xml:space="preserve">La prestación del servicio ocurre en una entidad federativa sin señalamiento en la ENR.</t>
  </si>
  <si>
    <t xml:space="preserve">El domicilio de el cliente y el lugar de la prestación del servicio no coinciden, y no hay explicación documentada.</t>
  </si>
  <si>
    <t xml:space="preserve">El domicilio de el cliente y el lugar de la prestación del servicio coinciden.</t>
  </si>
  <si>
    <t xml:space="preserve">Transferencia electrónica o cheque nominativo desde una cuenta a nombre de el cliente.</t>
  </si>
  <si>
    <t xml:space="preserve">La prestación del servicio iguala o supera el umbral de Aviso de tu fracción del artículo 17.</t>
  </si>
  <si>
    <t xml:space="preserve">La prestación del servicio se sitúa entre el umbral de identificación y el de Aviso.</t>
  </si>
  <si>
    <t xml:space="preserve">La prestación del servicio queda por debajo del umbral de identificación.</t>
  </si>
  <si>
    <t xml:space="preserve">El cliente realiza cinco o más operaciones al año, o varias en intervalos cortos y regulares.</t>
  </si>
  <si>
    <t xml:space="preserve">El cliente realiza entre dos y cuatro operaciones al año.</t>
  </si>
  <si>
    <t xml:space="preserve">El cliente realiza una sola operación en el periodo.</t>
  </si>
  <si>
    <t xml:space="preserve">La operación llega por un gestor, plataforma o intermediario no acreditado: nadie responde por la identificación de el cliente, y quien opera puede no ser quien dice ser.</t>
  </si>
  <si>
    <t xml:space="preserve">Se identifica a el cliente de forma remota con verificación documental, o a través de un promotor o representante propio con contrato y responsable señalado.</t>
  </si>
  <si>
    <t xml:space="preserve">El cliente comparece de forma directa, o se le identifica en remoto con biometría y prueba de vida.</t>
  </si>
  <si>
    <t xml:space="preserve">El destino no se manifiesta, o los recursos o el encargo profesional pasan a un tercero no relacionado con el cliente.</t>
  </si>
  <si>
    <t xml:space="preserve">El destino es el encargo profesional mismo, y queda registrado en la operación.</t>
  </si>
  <si>
    <t xml:space="preserve">La prestación del servicio combina contratación a distancia sin verificación reforzada con pagos en efectivo o instrumentos al portador.</t>
  </si>
  <si>
    <t xml:space="preserve">La escrituración de la transmisión admite que quien aparece no sea quien recibe el beneficio, sin que quede registro de quién es el beneficiario final.</t>
  </si>
  <si>
    <t xml:space="preserve">Se identifica a las partes, pero el beneficiario final se declara sin documento que lo respalde.</t>
  </si>
  <si>
    <t xml:space="preserve">Las partes y el beneficiario final coinciden, y ambos constan en el expediente.</t>
  </si>
  <si>
    <t xml:space="preserve">La escrituración de la transmisión admite sobrevaluar, subvaluar o fraccionar el precio sin que la contabilidad lo refleje.</t>
  </si>
  <si>
    <t xml:space="preserve">Las partes, su beneficiario o su contraparte aparece en listas de sanciones o de organizaciones terroristas.</t>
  </si>
  <si>
    <t xml:space="preserve">El otorgante o adquirente es un fideicomiso u otro vehículo sin personalidad jurídica propia. No hay un titular único: la figura permite que quien transmite y quien adquiere el inmueble sean personas distintas y que ninguna aparezca en el contrato.</t>
  </si>
  <si>
    <t xml:space="preserve">El otorgante o adquirente es persona moral. La voluntad se forma en órganos y la propiedad está en socios, así que hay que llegar al Beneficiario Controlador para saber quién está realmente detrás.</t>
  </si>
  <si>
    <t xml:space="preserve">El otorgante o adquirente es persona física. Coincide quien transmite y quien adquiere el inmueble, y la identificación es directa contra un solo expediente.</t>
  </si>
  <si>
    <t xml:space="preserve">El giro que declara las partes es a su vez una Actividad Vulnerable del artículo 17, o no se acredita con documento alguno.</t>
  </si>
  <si>
    <t xml:space="preserve">No se logra identificar al Beneficiario Controlador de las partes, o la cadena no es acreditable.</t>
  </si>
  <si>
    <t xml:space="preserve">El Beneficiario Controlador se identifica en un solo nivel, o las partes es su propio beneficiario.</t>
  </si>
  <si>
    <t xml:space="preserve">La escrituración de la transmisión se pacta con o desde una jurisdicción de alto riesgo o no cooperante.</t>
  </si>
  <si>
    <t xml:space="preserve">La escrituración de la transmisión se pacta con una jurisdicción extranjera sin señalamiento.</t>
  </si>
  <si>
    <t xml:space="preserve">La escrituración de la transmisión se realiza íntegramente en México.</t>
  </si>
  <si>
    <t xml:space="preserve">La escrituración de la transmisión ocurre en un municipio o zona identificada de alto riesgo.</t>
  </si>
  <si>
    <t xml:space="preserve">La escrituración de la transmisión ocurre en una entidad federativa con señalamiento en la ENR.</t>
  </si>
  <si>
    <t xml:space="preserve">La escrituración de la transmisión ocurre en una entidad federativa sin señalamiento en la ENR.</t>
  </si>
  <si>
    <t xml:space="preserve">El domicilio de las partes y el lugar de la escrituración de la transmisión no coinciden, y no hay explicación documentada.</t>
  </si>
  <si>
    <t xml:space="preserve">El domicilio de las partes y el lugar de la escrituración de la transmisión coinciden.</t>
  </si>
  <si>
    <t xml:space="preserve">Transferencia electrónica o cheque nominativo desde una cuenta a nombre de las partes.</t>
  </si>
  <si>
    <t xml:space="preserve">La escrituración de la transmisión iguala o supera el umbral de Aviso de tu fracción del artículo 17.</t>
  </si>
  <si>
    <t xml:space="preserve">La escrituración de la transmisión se sitúa entre el umbral de identificación y el de Aviso.</t>
  </si>
  <si>
    <t xml:space="preserve">La escrituración de la transmisión queda por debajo del umbral de identificación.</t>
  </si>
  <si>
    <t xml:space="preserve">Las partes realiza cinco o más operaciones al año, o varias en intervalos cortos y regulares.</t>
  </si>
  <si>
    <t xml:space="preserve">Las partes realiza entre dos y cuatro operaciones al año.</t>
  </si>
  <si>
    <t xml:space="preserve">Las partes realiza una sola operación en el periodo.</t>
  </si>
  <si>
    <t xml:space="preserve">La operación llega por un gestor, plataforma o intermediario no acreditado: nadie responde por la identificación de las partes, y quien opera puede no ser quien dice ser.</t>
  </si>
  <si>
    <t xml:space="preserve">Se identifica a las partes de forma remota con verificación documental, o a través de un promotor o representante propio con contrato y responsable señalado.</t>
  </si>
  <si>
    <t xml:space="preserve">Las partes comparece de forma directa, o se le identifica en remoto con biometría y prueba de vida.</t>
  </si>
  <si>
    <t xml:space="preserve">El destino no se manifiesta, o los recursos o el inmueble pasan a un tercero no relacionado con las partes.</t>
  </si>
  <si>
    <t xml:space="preserve">La escrituración de la transmisión combina contratación a distancia sin verificación reforzada con pagos en efectivo o instrumentos al portador.</t>
  </si>
  <si>
    <t xml:space="preserve">El poder otorgado tiene un valor unitario muy por encima del ticket promedio de tu operación de doce meses.</t>
  </si>
  <si>
    <t xml:space="preserve">El poder otorgado tiene un valor unitario dentro del rango habitual de tu operación.</t>
  </si>
  <si>
    <t xml:space="preserve">El poder otorgado tiene un valor unitario por debajo de tu ticket promedio.</t>
  </si>
  <si>
    <t xml:space="preserve">El poder otorgado puede revenderse o cederse de inmediato y prácticamente a su valor íntegro.</t>
  </si>
  <si>
    <t xml:space="preserve">El poder otorgado puede revenderse, pero con trámite, plazo o pérdida de valor apreciable.</t>
  </si>
  <si>
    <t xml:space="preserve">El poder otorgado es difícil de revender: exige formalidades o registro, o pierde valor de forma significativa.</t>
  </si>
  <si>
    <t xml:space="preserve">El otorgamiento del poder admite que quien aparece no sea quien recibe el beneficio, sin que quede registro de quién es el beneficiario final.</t>
  </si>
  <si>
    <t xml:space="preserve">Se identifica a el poderdante, pero el beneficiario final se declara sin documento que lo respalde.</t>
  </si>
  <si>
    <t xml:space="preserve">El poderdante y el beneficiario final coinciden, y ambos constan en el expediente.</t>
  </si>
  <si>
    <t xml:space="preserve">El otorgamiento del poder admite sobrevaluar, subvaluar o fraccionar el precio sin que la contabilidad lo refleje.</t>
  </si>
  <si>
    <t xml:space="preserve">El poderdante, su beneficiario o su contraparte aparece en listas de sanciones o de organizaciones terroristas.</t>
  </si>
  <si>
    <t xml:space="preserve">El poderdante es un fideicomiso u otro vehículo sin personalidad jurídica propia. No hay un titular único: la figura permite que quien otorga el poder y quien lo ejerce sean personas distintas y que ninguna aparezca en el contrato.</t>
  </si>
  <si>
    <t xml:space="preserve">El poderdante es persona moral. La voluntad se forma en órganos y la propiedad está en socios, así que hay que llegar al Beneficiario Controlador para saber quién está realmente detrás.</t>
  </si>
  <si>
    <t xml:space="preserve">El poderdante es persona física. Coincide quien otorga el poder y quien lo ejerce, y la identificación es directa contra un solo expediente.</t>
  </si>
  <si>
    <t xml:space="preserve">El giro que declara el poderdante es a su vez una Actividad Vulnerable del artículo 17, o no se acredita con documento alguno.</t>
  </si>
  <si>
    <t xml:space="preserve">No se logra identificar al Beneficiario Controlador de el poderdante, o la cadena no es acreditable.</t>
  </si>
  <si>
    <t xml:space="preserve">El Beneficiario Controlador se identifica en un solo nivel, o el poderdante es su propio beneficiario.</t>
  </si>
  <si>
    <t xml:space="preserve">El otorgamiento del poder se pacta con o desde una jurisdicción de alto riesgo o no cooperante.</t>
  </si>
  <si>
    <t xml:space="preserve">El otorgamiento del poder se pacta con una jurisdicción extranjera sin señalamiento.</t>
  </si>
  <si>
    <t xml:space="preserve">El otorgamiento del poder se realiza íntegramente en México.</t>
  </si>
  <si>
    <t xml:space="preserve">El otorgamiento del poder ocurre en un municipio o zona identificada de alto riesgo.</t>
  </si>
  <si>
    <t xml:space="preserve">El otorgamiento del poder ocurre en una entidad federativa con señalamiento en la ENR.</t>
  </si>
  <si>
    <t xml:space="preserve">El otorgamiento del poder ocurre en una entidad federativa sin señalamiento en la ENR.</t>
  </si>
  <si>
    <t xml:space="preserve">El domicilio de el poderdante y el lugar de el otorgamiento del poder no coinciden, y no hay explicación documentada.</t>
  </si>
  <si>
    <t xml:space="preserve">El domicilio de el poderdante y el lugar de el otorgamiento del poder coinciden.</t>
  </si>
  <si>
    <t xml:space="preserve">Transferencia electrónica o cheque nominativo desde una cuenta a nombre de el poderdante.</t>
  </si>
  <si>
    <t xml:space="preserve">El otorgamiento del poder iguala o supera el umbral de Aviso de tu fracción del artículo 17.</t>
  </si>
  <si>
    <t xml:space="preserve">El otorgamiento del poder se sitúa entre el umbral de identificación y el de Aviso.</t>
  </si>
  <si>
    <t xml:space="preserve">El otorgamiento del poder queda por debajo del umbral de identificación.</t>
  </si>
  <si>
    <t xml:space="preserve">El poderdante realiza cinco o más operaciones al año, o varias en intervalos cortos y regulares.</t>
  </si>
  <si>
    <t xml:space="preserve">El poderdante realiza entre dos y cuatro operaciones al año.</t>
  </si>
  <si>
    <t xml:space="preserve">El poderdante realiza una sola operación en el periodo.</t>
  </si>
  <si>
    <t xml:space="preserve">La operación llega por un gestor, plataforma o intermediario no acreditado: nadie responde por la identificación de el poderdante, y quien opera puede no ser quien dice ser.</t>
  </si>
  <si>
    <t xml:space="preserve">Se identifica a el poderdante de forma remota con verificación documental, o a través de un promotor o representante propio con contrato y responsable señalado.</t>
  </si>
  <si>
    <t xml:space="preserve">El poderdante comparece de forma directa, o se le identifica en remoto con biometría y prueba de vida.</t>
  </si>
  <si>
    <t xml:space="preserve">El destino no se manifiesta, o los recursos o el poder otorgado pasan a un tercero no relacionado con el poderdante.</t>
  </si>
  <si>
    <t xml:space="preserve">El destino es el poder otorgado mismo, y queda registrado en la operación.</t>
  </si>
  <si>
    <t xml:space="preserve">El otorgamiento del poder combina contratación a distancia sin verificación reforzada con pagos en efectivo o instrumentos al portador.</t>
  </si>
  <si>
    <t xml:space="preserve">El capital social tiene un valor unitario muy por encima del ticket promedio de tu operación de doce meses.</t>
  </si>
  <si>
    <t xml:space="preserve">El capital social tiene un valor unitario dentro del rango habitual de tu operación.</t>
  </si>
  <si>
    <t xml:space="preserve">El capital social tiene un valor unitario por debajo de tu ticket promedio.</t>
  </si>
  <si>
    <t xml:space="preserve">El capital social puede revenderse o cederse de inmediato y prácticamente a su valor íntegro.</t>
  </si>
  <si>
    <t xml:space="preserve">El capital social puede revenderse, pero con trámite, plazo o pérdida de valor apreciable.</t>
  </si>
  <si>
    <t xml:space="preserve">El capital social es difícil de revender: exige formalidades o registro, o pierde valor de forma significativa.</t>
  </si>
  <si>
    <t xml:space="preserve">La constitución o modificación patrimonial admite que quien aparece no sea quien recibe el beneficio, sin que quede registro de quién es el beneficiario final.</t>
  </si>
  <si>
    <t xml:space="preserve">Se identifica a el socio o accionista, pero el beneficiario final se declara sin documento que lo respalde.</t>
  </si>
  <si>
    <t xml:space="preserve">El socio o accionista y el beneficiario final coinciden, y ambos constan en el expediente.</t>
  </si>
  <si>
    <t xml:space="preserve">La constitución o modificación patrimonial admite sobrevaluar, subvaluar o fraccionar el precio sin que la contabilidad lo refleje.</t>
  </si>
  <si>
    <t xml:space="preserve">El socio o accionista, su beneficiario o su contraparte aparece en listas de sanciones o de organizaciones terroristas.</t>
  </si>
  <si>
    <t xml:space="preserve">El socio o accionista es un fideicomiso u otro vehículo sin personalidad jurídica propia. No hay un titular único: la figura permite que quien aporta el capital y quien controla la sociedad sean personas distintas y que ninguna aparezca en el contrato.</t>
  </si>
  <si>
    <t xml:space="preserve">El socio o accionista es persona moral. La voluntad se forma en órganos y la propiedad está en socios, así que hay que llegar al Beneficiario Controlador para saber quién está realmente detrás.</t>
  </si>
  <si>
    <t xml:space="preserve">El socio o accionista es persona física. Coincide quien aporta el capital y quien controla la sociedad, y la identificación es directa contra un solo expediente.</t>
  </si>
  <si>
    <t xml:space="preserve">El giro que declara el socio o accionista es a su vez una Actividad Vulnerable del artículo 17, o no se acredita con documento alguno.</t>
  </si>
  <si>
    <t xml:space="preserve">No se logra identificar al Beneficiario Controlador de el socio o accionista, o la cadena no es acreditable.</t>
  </si>
  <si>
    <t xml:space="preserve">El Beneficiario Controlador se identifica en un solo nivel, o el socio o accionista es su propio beneficiario.</t>
  </si>
  <si>
    <t xml:space="preserve">La constitución o modificación patrimonial se pacta con o desde una jurisdicción de alto riesgo o no cooperante.</t>
  </si>
  <si>
    <t xml:space="preserve">La constitución o modificación patrimonial se pacta con una jurisdicción extranjera sin señalamiento.</t>
  </si>
  <si>
    <t xml:space="preserve">La constitución o modificación patrimonial se realiza íntegramente en México.</t>
  </si>
  <si>
    <t xml:space="preserve">La constitución o modificación patrimonial ocurre en un municipio o zona identificada de alto riesgo.</t>
  </si>
  <si>
    <t xml:space="preserve">La constitución o modificación patrimonial ocurre en una entidad federativa con señalamiento en la ENR.</t>
  </si>
  <si>
    <t xml:space="preserve">La constitución o modificación patrimonial ocurre en una entidad federativa sin señalamiento en la ENR.</t>
  </si>
  <si>
    <t xml:space="preserve">El domicilio de el socio o accionista y el lugar de la constitución o modificación patrimonial no coinciden, y no hay explicación documentada.</t>
  </si>
  <si>
    <t xml:space="preserve">El domicilio de el socio o accionista y el lugar de la constitución o modificación patrimonial coinciden.</t>
  </si>
  <si>
    <t xml:space="preserve">Transferencia electrónica o cheque nominativo desde una cuenta a nombre de el socio o accionista.</t>
  </si>
  <si>
    <t xml:space="preserve">La constitución o modificación patrimonial iguala o supera el umbral de Aviso de tu fracción del artículo 17.</t>
  </si>
  <si>
    <t xml:space="preserve">La constitución o modificación patrimonial se sitúa entre el umbral de identificación y el de Aviso.</t>
  </si>
  <si>
    <t xml:space="preserve">La constitución o modificación patrimonial queda por debajo del umbral de identificación.</t>
  </si>
  <si>
    <t xml:space="preserve">El socio o accionista realiza cinco o más operaciones al año, o varias en intervalos cortos y regulares.</t>
  </si>
  <si>
    <t xml:space="preserve">El socio o accionista realiza entre dos y cuatro operaciones al año.</t>
  </si>
  <si>
    <t xml:space="preserve">El socio o accionista realiza una sola operación en el periodo.</t>
  </si>
  <si>
    <t xml:space="preserve">La operación llega por un gestor, plataforma o intermediario no acreditado: nadie responde por la identificación de el socio o accionista, y quien opera puede no ser quien dice ser.</t>
  </si>
  <si>
    <t xml:space="preserve">Se identifica a el socio o accionista de forma remota con verificación documental, o a través de un promotor o representante propio con contrato y responsable señalado.</t>
  </si>
  <si>
    <t xml:space="preserve">El socio o accionista comparece de forma directa, o se le identifica en remoto con biometría y prueba de vida.</t>
  </si>
  <si>
    <t xml:space="preserve">El destino no se manifiesta, o los recursos o el capital social pasan a un tercero no relacionado con el socio o accionista.</t>
  </si>
  <si>
    <t xml:space="preserve">El destino es el capital social mismo, y queda registrado en la operación.</t>
  </si>
  <si>
    <t xml:space="preserve">La constitución o modificación patrimonial combina contratación a distancia sin verificación reforzada con pagos en efectivo o instrumentos al portador.</t>
  </si>
  <si>
    <t xml:space="preserve">El patrimonio fideicomitido tiene un valor unitario muy por encima del ticket promedio de tu operación de doce meses.</t>
  </si>
  <si>
    <t xml:space="preserve">El patrimonio fideicomitido tiene un valor unitario dentro del rango habitual de tu operación.</t>
  </si>
  <si>
    <t xml:space="preserve">El patrimonio fideicomitido tiene un valor unitario por debajo de tu ticket promedio.</t>
  </si>
  <si>
    <t xml:space="preserve">El patrimonio fideicomitido puede revenderse o cederse de inmediato y prácticamente a su valor íntegro.</t>
  </si>
  <si>
    <t xml:space="preserve">El patrimonio fideicomitido puede revenderse, pero con trámite, plazo o pérdida de valor apreciable.</t>
  </si>
  <si>
    <t xml:space="preserve">El patrimonio fideicomitido es difícil de revender: exige formalidades o registro, o pierde valor de forma significativa.</t>
  </si>
  <si>
    <t xml:space="preserve">La constitución o modificación del fideicomiso admite que quien aparece no sea quien recibe el beneficio, sin que quede registro de quién es el beneficiario final.</t>
  </si>
  <si>
    <t xml:space="preserve">Se identifica a el fideicomitente, pero el beneficiario final se declara sin documento que lo respalde.</t>
  </si>
  <si>
    <t xml:space="preserve">El fideicomitente y el beneficiario final coinciden, y ambos constan en el expediente.</t>
  </si>
  <si>
    <t xml:space="preserve">La constitución o modificación del fideicomiso admite sobrevaluar, subvaluar o fraccionar el precio sin que la contabilidad lo refleje.</t>
  </si>
  <si>
    <t xml:space="preserve">El fideicomitente, su beneficiario o su contraparte aparece en listas de sanciones o de organizaciones terroristas.</t>
  </si>
  <si>
    <t xml:space="preserve">El fideicomitente es un fideicomiso u otro vehículo sin personalidad jurídica propia. No hay un titular único: la figura permite que quien aporta el patrimonio y quien lo recibe sean personas distintas y que ninguna aparezca en el contrato.</t>
  </si>
  <si>
    <t xml:space="preserve">El fideicomitente es persona moral. La voluntad se forma en órganos y la propiedad está en socios, así que hay que llegar al Beneficiario Controlador para saber quién está realmente detrás.</t>
  </si>
  <si>
    <t xml:space="preserve">El fideicomitente es persona física. Coincide quien aporta el patrimonio y quien lo recibe, y la identificación es directa contra un solo expediente.</t>
  </si>
  <si>
    <t xml:space="preserve">El giro que declara el fideicomitente es a su vez una Actividad Vulnerable del artículo 17, o no se acredita con documento alguno.</t>
  </si>
  <si>
    <t xml:space="preserve">No se logra identificar al Beneficiario Controlador de el fideicomitente, o la cadena no es acreditable.</t>
  </si>
  <si>
    <t xml:space="preserve">El Beneficiario Controlador se identifica en un solo nivel, o el fideicomitente es su propio beneficiario.</t>
  </si>
  <si>
    <t xml:space="preserve">La constitución o modificación del fideicomiso se pacta con o desde una jurisdicción de alto riesgo o no cooperante.</t>
  </si>
  <si>
    <t xml:space="preserve">La constitución o modificación del fideicomiso se pacta con una jurisdicción extranjera sin señalamiento.</t>
  </si>
  <si>
    <t xml:space="preserve">La constitución o modificación del fideicomiso se realiza íntegramente en México.</t>
  </si>
  <si>
    <t xml:space="preserve">La constitución o modificación del fideicomiso ocurre en un municipio o zona identificada de alto riesgo.</t>
  </si>
  <si>
    <t xml:space="preserve">La constitución o modificación del fideicomiso ocurre en una entidad federativa con señalamiento en la ENR.</t>
  </si>
  <si>
    <t xml:space="preserve">La constitución o modificación del fideicomiso ocurre en una entidad federativa sin señalamiento en la ENR.</t>
  </si>
  <si>
    <t xml:space="preserve">El domicilio de el fideicomitente y el lugar de la constitución o modificación del fideicomiso no coinciden, y no hay explicación documentada.</t>
  </si>
  <si>
    <t xml:space="preserve">El domicilio de el fideicomitente y el lugar de la constitución o modificación del fideicomiso coinciden.</t>
  </si>
  <si>
    <t xml:space="preserve">Transferencia electrónica o cheque nominativo desde una cuenta a nombre de el fideicomitente.</t>
  </si>
  <si>
    <t xml:space="preserve">La constitución o modificación del fideicomiso iguala o supera el umbral de Aviso de tu fracción del artículo 17.</t>
  </si>
  <si>
    <t xml:space="preserve">La constitución o modificación del fideicomiso se sitúa entre el umbral de identificación y el de Aviso.</t>
  </si>
  <si>
    <t xml:space="preserve">La constitución o modificación del fideicomiso queda por debajo del umbral de identificación.</t>
  </si>
  <si>
    <t xml:space="preserve">El fideicomitente realiza cinco o más operaciones al año, o varias en intervalos cortos y regulares.</t>
  </si>
  <si>
    <t xml:space="preserve">El fideicomitente realiza entre dos y cuatro operaciones al año.</t>
  </si>
  <si>
    <t xml:space="preserve">El fideicomitente realiza una sola operación en el periodo.</t>
  </si>
  <si>
    <t xml:space="preserve">La operación llega por un gestor, plataforma o intermediario no acreditado: nadie responde por la identificación de el fideicomitente, y quien opera puede no ser quien dice ser.</t>
  </si>
  <si>
    <t xml:space="preserve">Se identifica a el fideicomitente de forma remota con verificación documental, o a través de un promotor o representante propio con contrato y responsable señalado.</t>
  </si>
  <si>
    <t xml:space="preserve">El fideicomitente comparece de forma directa, o se le identifica en remoto con biometría y prueba de vida.</t>
  </si>
  <si>
    <t xml:space="preserve">El destino no se manifiesta, o los recursos o el patrimonio fideicomitido pasan a un tercero no relacionado con el fideicomitente.</t>
  </si>
  <si>
    <t xml:space="preserve">El destino es el patrimonio fideicomitido mismo, y queda registrado en la operación.</t>
  </si>
  <si>
    <t xml:space="preserve">La constitución o modificación del fideicomiso combina contratación a distancia sin verificación reforzada con pagos en efectivo o instrumentos al portador.</t>
  </si>
  <si>
    <t xml:space="preserve">El préstamo tiene un valor unitario muy por encima del ticket promedio de tu operación de doce meses.</t>
  </si>
  <si>
    <t xml:space="preserve">El préstamo tiene un valor unitario dentro del rango habitual de tu operación.</t>
  </si>
  <si>
    <t xml:space="preserve">El préstamo tiene un valor unitario por debajo de tu ticket promedio.</t>
  </si>
  <si>
    <t xml:space="preserve">El préstamo puede revenderse o cederse de inmediato y prácticamente a su valor íntegro.</t>
  </si>
  <si>
    <t xml:space="preserve">El préstamo puede revenderse, pero con trámite, plazo o pérdida de valor apreciable.</t>
  </si>
  <si>
    <t xml:space="preserve">El préstamo es difícil de revender: exige formalidades o registro, o pierde valor de forma significativa.</t>
  </si>
  <si>
    <t xml:space="preserve">La formalización del mutuo admite que quien aparece no sea quien recibe el beneficio, sin que quede registro de quién es el beneficiario final.</t>
  </si>
  <si>
    <t xml:space="preserve">Se identifica a las partes del mutuo, pero el beneficiario final se declara sin documento que lo respalde.</t>
  </si>
  <si>
    <t xml:space="preserve">Las partes del mutuo y el beneficiario final coinciden, y ambos constan en el expediente.</t>
  </si>
  <si>
    <t xml:space="preserve">La formalización del mutuo admite sobrevaluar, subvaluar o fraccionar el precio sin que la contabilidad lo refleje.</t>
  </si>
  <si>
    <t xml:space="preserve">Las partes del mutuo, su beneficiario o su contraparte aparece en listas de sanciones o de organizaciones terroristas.</t>
  </si>
  <si>
    <t xml:space="preserve">El mutuante o mutuatario es un fideicomiso u otro vehículo sin personalidad jurídica propia. No hay un titular único: la figura permite que quien presta y quien recibe el dinero sean personas distintas y que ninguna aparezca en el contrato.</t>
  </si>
  <si>
    <t xml:space="preserve">El mutuante o mutuatario es persona moral. La voluntad se forma en órganos y la propiedad está en socios, así que hay que llegar al Beneficiario Controlador para saber quién está realmente detrás.</t>
  </si>
  <si>
    <t xml:space="preserve">El mutuante o mutuatario es persona física. Coincide quien presta y quien recibe el dinero, y la identificación es directa contra un solo expediente.</t>
  </si>
  <si>
    <t xml:space="preserve">El giro que declara las partes del mutuo es a su vez una Actividad Vulnerable del artículo 17, o no se acredita con documento alguno.</t>
  </si>
  <si>
    <t xml:space="preserve">No se logra identificar al Beneficiario Controlador de las partes del mutuo, o la cadena no es acreditable.</t>
  </si>
  <si>
    <t xml:space="preserve">El Beneficiario Controlador se identifica en un solo nivel, o las partes del mutuo es su propio beneficiario.</t>
  </si>
  <si>
    <t xml:space="preserve">La formalización del mutuo se pacta con o desde una jurisdicción de alto riesgo o no cooperante.</t>
  </si>
  <si>
    <t xml:space="preserve">La formalización del mutuo se pacta con una jurisdicción extranjera sin señalamiento.</t>
  </si>
  <si>
    <t xml:space="preserve">La formalización del mutuo se realiza íntegramente en México.</t>
  </si>
  <si>
    <t xml:space="preserve">La formalización del mutuo ocurre en un municipio o zona identificada de alto riesgo.</t>
  </si>
  <si>
    <t xml:space="preserve">La formalización del mutuo ocurre en una entidad federativa con señalamiento en la ENR.</t>
  </si>
  <si>
    <t xml:space="preserve">La formalización del mutuo ocurre en una entidad federativa sin señalamiento en la ENR.</t>
  </si>
  <si>
    <t xml:space="preserve">El domicilio de las partes del mutuo y el lugar de la formalización del mutuo no coinciden, y no hay explicación documentada.</t>
  </si>
  <si>
    <t xml:space="preserve">El domicilio de las partes del mutuo y el lugar de la formalización del mutuo coinciden.</t>
  </si>
  <si>
    <t xml:space="preserve">Transferencia electrónica o cheque nominativo desde una cuenta a nombre de las partes del mutuo.</t>
  </si>
  <si>
    <t xml:space="preserve">La formalización del mutuo iguala o supera el umbral de Aviso de tu fracción del artículo 17.</t>
  </si>
  <si>
    <t xml:space="preserve">La formalización del mutuo se sitúa entre el umbral de identificación y el de Aviso.</t>
  </si>
  <si>
    <t xml:space="preserve">La formalización del mutuo queda por debajo del umbral de identificación.</t>
  </si>
  <si>
    <t xml:space="preserve">Las partes del mutuo realiza cinco o más operaciones al año, o varias en intervalos cortos y regulares.</t>
  </si>
  <si>
    <t xml:space="preserve">Las partes del mutuo realiza entre dos y cuatro operaciones al año.</t>
  </si>
  <si>
    <t xml:space="preserve">Las partes del mutuo realiza una sola operación en el periodo.</t>
  </si>
  <si>
    <t xml:space="preserve">El destino no se manifiesta, o los recursos o el préstamo pasan a un tercero no relacionado con las partes del mutuo.</t>
  </si>
  <si>
    <t xml:space="preserve">El destino es el préstamo mismo, y queda registrado en la operación.</t>
  </si>
  <si>
    <t xml:space="preserve">La formalización del mutuo combina contratación a distancia sin verificación reforzada con pagos en efectivo o instrumentos al portador.</t>
  </si>
  <si>
    <t xml:space="preserve">El bien valuado tiene un valor unitario muy por encima del ticket promedio de tu operación de doce meses.</t>
  </si>
  <si>
    <t xml:space="preserve">El bien valuado tiene un valor unitario dentro del rango habitual de tu operación.</t>
  </si>
  <si>
    <t xml:space="preserve">El bien valuado tiene un valor unitario por debajo de tu ticket promedio.</t>
  </si>
  <si>
    <t xml:space="preserve">El bien valuado puede revenderse o cederse de inmediato y prácticamente a su valor íntegro.</t>
  </si>
  <si>
    <t xml:space="preserve">El bien valuado puede revenderse, pero con trámite, plazo o pérdida de valor apreciable.</t>
  </si>
  <si>
    <t xml:space="preserve">El bien valuado es difícil de revender: exige formalidades o registro, o pierde valor de forma significativa.</t>
  </si>
  <si>
    <t xml:space="preserve">La emisión del avalúo admite que quien aparece no sea quien recibe el beneficio, sin que quede registro de quién es el beneficiario final.</t>
  </si>
  <si>
    <t xml:space="preserve">Se identifica a quien solicita el avalúo, pero el beneficiario final se declara sin documento que lo respalde.</t>
  </si>
  <si>
    <t xml:space="preserve">Quien solicita el avalúo y el beneficiario final coinciden, y ambos constan en el expediente.</t>
  </si>
  <si>
    <t xml:space="preserve">La emisión del avalúo admite sobrevaluar, subvaluar o fraccionar el precio sin que la contabilidad lo refleje.</t>
  </si>
  <si>
    <t xml:space="preserve">Quien solicita el avalúo, su beneficiario o su contraparte aparece en listas de sanciones o de organizaciones terroristas.</t>
  </si>
  <si>
    <t xml:space="preserve">Quien solicita el avalúo es un fideicomiso u otro vehículo sin personalidad jurídica propia. No hay un titular único: la figura permite que quien lo pide y quien lo aprovecha sean personas distintas y que ninguna aparezca en el contrato.</t>
  </si>
  <si>
    <t xml:space="preserve">Quien solicita el avalúo es persona moral. La voluntad se forma en órganos y la propiedad está en socios, así que hay que llegar al Beneficiario Controlador para saber quién está realmente detrás.</t>
  </si>
  <si>
    <t xml:space="preserve">Quien solicita el avalúo es persona física. Coincide quien lo pide y quien lo aprovecha, y la identificación es directa contra un solo expediente.</t>
  </si>
  <si>
    <t xml:space="preserve">El giro que declara quien solicita el avalúo es a su vez una Actividad Vulnerable del artículo 17, o no se acredita con documento alguno.</t>
  </si>
  <si>
    <t xml:space="preserve">No se logra identificar al Beneficiario Controlador de quien solicita el avalúo, o la cadena no es acreditable.</t>
  </si>
  <si>
    <t xml:space="preserve">El Beneficiario Controlador se identifica en un solo nivel, o quien solicita el avalúo es su propio beneficiario.</t>
  </si>
  <si>
    <t xml:space="preserve">La emisión del avalúo se pacta con o desde una jurisdicción de alto riesgo o no cooperante.</t>
  </si>
  <si>
    <t xml:space="preserve">La emisión del avalúo se pacta con una jurisdicción extranjera sin señalamiento.</t>
  </si>
  <si>
    <t xml:space="preserve">La emisión del avalúo se realiza íntegramente en México.</t>
  </si>
  <si>
    <t xml:space="preserve">La emisión del avalúo ocurre en un municipio o zona identificada de alto riesgo.</t>
  </si>
  <si>
    <t xml:space="preserve">La emisión del avalúo ocurre en una entidad federativa con señalamiento en la ENR.</t>
  </si>
  <si>
    <t xml:space="preserve">La emisión del avalúo ocurre en una entidad federativa sin señalamiento en la ENR.</t>
  </si>
  <si>
    <t xml:space="preserve">El domicilio de quien solicita el avalúo y el lugar de la emisión del avalúo no coinciden, y no hay explicación documentada.</t>
  </si>
  <si>
    <t xml:space="preserve">El domicilio de quien solicita el avalúo y el lugar de la emisión del avalúo coinciden.</t>
  </si>
  <si>
    <t xml:space="preserve">Transferencia electrónica o cheque nominativo desde una cuenta a nombre de quien solicita el avalúo.</t>
  </si>
  <si>
    <t xml:space="preserve">La emisión del avalúo iguala o supera el umbral de Aviso de tu fracción del artículo 17.</t>
  </si>
  <si>
    <t xml:space="preserve">La emisión del avalúo se sitúa entre el umbral de identificación y el de Aviso.</t>
  </si>
  <si>
    <t xml:space="preserve">La emisión del avalúo queda por debajo del umbral de identificación.</t>
  </si>
  <si>
    <t xml:space="preserve">Quien solicita el avalúo realiza cinco o más operaciones al año, o varias en intervalos cortos y regulares.</t>
  </si>
  <si>
    <t xml:space="preserve">Quien solicita el avalúo realiza entre dos y cuatro operaciones al año.</t>
  </si>
  <si>
    <t xml:space="preserve">Quien solicita el avalúo realiza una sola operación en el periodo.</t>
  </si>
  <si>
    <t xml:space="preserve">La operación llega por un gestor, plataforma o intermediario no acreditado: nadie responde por la identificación de quien solicita el avalúo, y quien opera puede no ser quien dice ser.</t>
  </si>
  <si>
    <t xml:space="preserve">Se identifica a quien solicita el avalúo de forma remota con verificación documental, o a través de un promotor o representante propio con contrato y responsable señalado.</t>
  </si>
  <si>
    <t xml:space="preserve">Quien solicita el avalúo comparece de forma directa, o se le identifica en remoto con biometría y prueba de vida.</t>
  </si>
  <si>
    <t xml:space="preserve">El destino no se manifiesta, o los recursos o el bien valuado pasan a un tercero no relacionado con quien solicita el avalúo.</t>
  </si>
  <si>
    <t xml:space="preserve">El destino es el bien valuado mismo, y queda registrado en la operación.</t>
  </si>
  <si>
    <t xml:space="preserve">La emisión del avalúo combina contratación a distancia sin verificación reforzada con pagos en efectivo o instrumentos al portador.</t>
  </si>
  <si>
    <t xml:space="preserve">Los derechos fideicomisarios tiene un valor unitario muy por encima del ticket promedio de tu operación de doce meses.</t>
  </si>
  <si>
    <t xml:space="preserve">Los derechos fideicomisarios tiene un valor unitario dentro del rango habitual de tu operación.</t>
  </si>
  <si>
    <t xml:space="preserve">Los derechos fideicomisarios tiene un valor unitario por debajo de tu ticket promedio.</t>
  </si>
  <si>
    <t xml:space="preserve">Los derechos fideicomisarios puede revenderse o cederse de inmediato y prácticamente a su valor íntegro.</t>
  </si>
  <si>
    <t xml:space="preserve">Los derechos fideicomisarios puede revenderse, pero con trámite, plazo o pérdida de valor apreciable.</t>
  </si>
  <si>
    <t xml:space="preserve">Los derechos fideicomisarios es difícil de revender: exige formalidades o registro, o pierde valor de forma significativa.</t>
  </si>
  <si>
    <t xml:space="preserve">La modificación o cesión del fideicomiso admite que quien aparece no sea quien recibe el beneficio, sin que quede registro de quién es el beneficiario final.</t>
  </si>
  <si>
    <t xml:space="preserve">Se identifica a el fideicomitente o cesionario, pero el beneficiario final se declara sin documento que lo respalde.</t>
  </si>
  <si>
    <t xml:space="preserve">El fideicomitente o cesionario y el beneficiario final coinciden, y ambos constan en el expediente.</t>
  </si>
  <si>
    <t xml:space="preserve">La modificación o cesión del fideicomiso admite sobrevaluar, subvaluar o fraccionar el precio sin que la contabilidad lo refleje.</t>
  </si>
  <si>
    <t xml:space="preserve">El fideicomitente o cesionario, su beneficiario o su contraparte aparece en listas de sanciones o de organizaciones terroristas.</t>
  </si>
  <si>
    <t xml:space="preserve">El fideicomitente o cesionario es un fideicomiso u otro vehículo sin personalidad jurídica propia. No hay un titular único: la figura permite que quien aporta y quien adquiere los derechos sean personas distintas y que ninguna aparezca en el contrato.</t>
  </si>
  <si>
    <t xml:space="preserve">El fideicomitente o cesionario es persona moral. La voluntad se forma en órganos y la propiedad está en socios, así que hay que llegar al Beneficiario Controlador para saber quién está realmente detrás.</t>
  </si>
  <si>
    <t xml:space="preserve">El fideicomitente o cesionario es persona física. Coincide quien aporta y quien adquiere los derechos, y la identificación es directa contra un solo expediente.</t>
  </si>
  <si>
    <t xml:space="preserve">El giro que declara el fideicomitente o cesionario es a su vez una Actividad Vulnerable del artículo 17, o no se acredita con documento alguno.</t>
  </si>
  <si>
    <t xml:space="preserve">No se logra identificar al Beneficiario Controlador de el fideicomitente o cesionario, o la cadena no es acreditable.</t>
  </si>
  <si>
    <t xml:space="preserve">El Beneficiario Controlador se identifica en un solo nivel, o el fideicomitente o cesionario es su propio beneficiario.</t>
  </si>
  <si>
    <t xml:space="preserve">La modificación o cesión del fideicomiso se pacta con o desde una jurisdicción de alto riesgo o no cooperante.</t>
  </si>
  <si>
    <t xml:space="preserve">La modificación o cesión del fideicomiso se pacta con una jurisdicción extranjera sin señalamiento.</t>
  </si>
  <si>
    <t xml:space="preserve">La modificación o cesión del fideicomiso se realiza íntegramente en México.</t>
  </si>
  <si>
    <t xml:space="preserve">La modificación o cesión del fideicomiso ocurre en un municipio o zona identificada de alto riesgo.</t>
  </si>
  <si>
    <t xml:space="preserve">La modificación o cesión del fideicomiso ocurre en una entidad federativa con señalamiento en la ENR.</t>
  </si>
  <si>
    <t xml:space="preserve">La modificación o cesión del fideicomiso ocurre en una entidad federativa sin señalamiento en la ENR.</t>
  </si>
  <si>
    <t xml:space="preserve">El domicilio de el fideicomitente o cesionario y el lugar de la modificación o cesión del fideicomiso no coinciden, y no hay explicación documentada.</t>
  </si>
  <si>
    <t xml:space="preserve">El domicilio de el fideicomitente o cesionario y el lugar de la modificación o cesión del fideicomiso coinciden.</t>
  </si>
  <si>
    <t xml:space="preserve">Transferencia electrónica o cheque nominativo desde una cuenta a nombre de el fideicomitente o cesionario.</t>
  </si>
  <si>
    <t xml:space="preserve">La modificación o cesión del fideicomiso iguala o supera el umbral de Aviso de tu fracción del artículo 17.</t>
  </si>
  <si>
    <t xml:space="preserve">La modificación o cesión del fideicomiso se sitúa entre el umbral de identificación y el de Aviso.</t>
  </si>
  <si>
    <t xml:space="preserve">La modificación o cesión del fideicomiso queda por debajo del umbral de identificación.</t>
  </si>
  <si>
    <t xml:space="preserve">El fideicomitente o cesionario realiza cinco o más operaciones al año, o varias en intervalos cortos y regulares.</t>
  </si>
  <si>
    <t xml:space="preserve">El fideicomitente o cesionario realiza entre dos y cuatro operaciones al año.</t>
  </si>
  <si>
    <t xml:space="preserve">El fideicomitente o cesionario realiza una sola operación en el periodo.</t>
  </si>
  <si>
    <t xml:space="preserve">La operación llega por un gestor, plataforma o intermediario no acreditado: nadie responde por la identificación de el fideicomitente o cesionario, y quien opera puede no ser quien dice ser.</t>
  </si>
  <si>
    <t xml:space="preserve">Se identifica a el fideicomitente o cesionario de forma remota con verificación documental, o a través de un promotor o representante propio con contrato y responsable señalado.</t>
  </si>
  <si>
    <t xml:space="preserve">El fideicomitente o cesionario comparece de forma directa, o se le identifica en remoto con biometría y prueba de vida.</t>
  </si>
  <si>
    <t xml:space="preserve">El destino no se manifiesta, o los recursos o los derechos fideicomisarios pasan a un tercero no relacionado con el fideicomitente o cesionario.</t>
  </si>
  <si>
    <t xml:space="preserve">El destino es los derechos fideicomisarios mismo, y queda registrado en la operación.</t>
  </si>
  <si>
    <t xml:space="preserve">La modificación o cesión del fideicomiso combina contratación a distancia sin verificación reforzada con pagos en efectivo o instrumentos al portador.</t>
  </si>
  <si>
    <t xml:space="preserve">El préstamo mercantil tiene un valor unitario muy por encima del ticket promedio de tu operación de doce meses.</t>
  </si>
  <si>
    <t xml:space="preserve">El préstamo mercantil tiene un valor unitario dentro del rango habitual de tu operación.</t>
  </si>
  <si>
    <t xml:space="preserve">El préstamo mercantil tiene un valor unitario por debajo de tu ticket promedio.</t>
  </si>
  <si>
    <t xml:space="preserve">El préstamo mercantil puede revenderse o cederse de inmediato y prácticamente a su valor íntegro.</t>
  </si>
  <si>
    <t xml:space="preserve">El préstamo mercantil puede revenderse, pero con trámite, plazo o pérdida de valor apreciable.</t>
  </si>
  <si>
    <t xml:space="preserve">El préstamo mercantil es difícil de revender: exige formalidades o registro, o pierde valor de forma significativa.</t>
  </si>
  <si>
    <t xml:space="preserve">El destino no se manifiesta, o los recursos o el préstamo mercantil pasan a un tercero no relacionado con las partes del mutuo.</t>
  </si>
  <si>
    <t xml:space="preserve">El destino es el préstamo mercantil mismo, y queda registrado en la operación.</t>
  </si>
  <si>
    <t xml:space="preserve">El acuerdo alcanzado tiene un valor unitario muy por encima del ticket promedio de tu operación de doce meses.</t>
  </si>
  <si>
    <t xml:space="preserve">El acuerdo alcanzado tiene un valor unitario dentro del rango habitual de tu operación.</t>
  </si>
  <si>
    <t xml:space="preserve">El acuerdo alcanzado tiene un valor unitario por debajo de tu ticket promedio.</t>
  </si>
  <si>
    <t xml:space="preserve">El acuerdo alcanzado puede revenderse o cederse de inmediato y prácticamente a su valor íntegro.</t>
  </si>
  <si>
    <t xml:space="preserve">El acuerdo alcanzado puede revenderse, pero con trámite, plazo o pérdida de valor apreciable.</t>
  </si>
  <si>
    <t xml:space="preserve">El acuerdo alcanzado es difícil de revender: exige formalidades o registro, o pierde valor de forma significativa.</t>
  </si>
  <si>
    <t xml:space="preserve">La gestión de la controversia admite que quien aparece no sea quien recibe el beneficio, sin que quede registro de quién es el beneficiario final.</t>
  </si>
  <si>
    <t xml:space="preserve">Se identifica a la parte que contrata, pero el beneficiario final se declara sin documento que lo respalde.</t>
  </si>
  <si>
    <t xml:space="preserve">La parte que contrata y el beneficiario final coinciden, y ambos constan en el expediente.</t>
  </si>
  <si>
    <t xml:space="preserve">La gestión de la controversia admite sobrevaluar, subvaluar o fraccionar el precio sin que la contabilidad lo refleje.</t>
  </si>
  <si>
    <t xml:space="preserve">La parte que contrata, su beneficiario o su contraparte aparece en listas de sanciones o de organizaciones terroristas.</t>
  </si>
  <si>
    <t xml:space="preserve">La parte que contrata es un fideicomiso u otro vehículo sin personalidad jurídica propia. No hay un titular único: la figura permite que quien encarga la gestión y quien se beneficia del arreglo sean personas distintas y que ninguna aparezca en el contrato.</t>
  </si>
  <si>
    <t xml:space="preserve">La parte que contrata es persona moral. La voluntad se forma en órganos y la propiedad está en socios, así que hay que llegar al Beneficiario Controlador para saber quién está realmente detrás.</t>
  </si>
  <si>
    <t xml:space="preserve">La parte que contrata es persona física. Coincide quien encarga la gestión y quien se beneficia del arreglo, y la identificación es directa contra un solo expediente.</t>
  </si>
  <si>
    <t xml:space="preserve">El giro que declara la parte que contrata es a su vez una Actividad Vulnerable del artículo 17, o no se acredita con documento alguno.</t>
  </si>
  <si>
    <t xml:space="preserve">No se logra identificar al Beneficiario Controlador de la parte que contrata, o la cadena no es acreditable.</t>
  </si>
  <si>
    <t xml:space="preserve">El Beneficiario Controlador se identifica en un solo nivel, o la parte que contrata es su propio beneficiario.</t>
  </si>
  <si>
    <t xml:space="preserve">La gestión de la controversia se pacta con o desde una jurisdicción de alto riesgo o no cooperante.</t>
  </si>
  <si>
    <t xml:space="preserve">La gestión de la controversia se pacta con una jurisdicción extranjera sin señalamiento.</t>
  </si>
  <si>
    <t xml:space="preserve">La gestión de la controversia se realiza íntegramente en México.</t>
  </si>
  <si>
    <t xml:space="preserve">La gestión de la controversia ocurre en un municipio o zona identificada de alto riesgo.</t>
  </si>
  <si>
    <t xml:space="preserve">La gestión de la controversia ocurre en una entidad federativa con señalamiento en la ENR.</t>
  </si>
  <si>
    <t xml:space="preserve">La gestión de la controversia ocurre en una entidad federativa sin señalamiento en la ENR.</t>
  </si>
  <si>
    <t xml:space="preserve">El domicilio de la parte que contrata y el lugar de la gestión de la controversia no coinciden, y no hay explicación documentada.</t>
  </si>
  <si>
    <t xml:space="preserve">El domicilio de la parte que contrata y el lugar de la gestión de la controversia coinciden.</t>
  </si>
  <si>
    <t xml:space="preserve">Transferencia electrónica o cheque nominativo desde una cuenta a nombre de la parte que contrata.</t>
  </si>
  <si>
    <t xml:space="preserve">La gestión de la controversia iguala o supera el umbral de Aviso de tu fracción del artículo 17.</t>
  </si>
  <si>
    <t xml:space="preserve">La gestión de la controversia se sitúa entre el umbral de identificación y el de Aviso.</t>
  </si>
  <si>
    <t xml:space="preserve">La gestión de la controversia queda por debajo del umbral de identificación.</t>
  </si>
  <si>
    <t xml:space="preserve">La parte que contrata realiza cinco o más operaciones al año, o varias en intervalos cortos y regulares.</t>
  </si>
  <si>
    <t xml:space="preserve">La parte que contrata realiza entre dos y cuatro operaciones al año.</t>
  </si>
  <si>
    <t xml:space="preserve">La parte que contrata realiza una sola operación en el periodo.</t>
  </si>
  <si>
    <t xml:space="preserve">La operación llega por un gestor, plataforma o intermediario no acreditado: nadie responde por la identificación de la parte que contrata, y quien opera puede no ser quien dice ser.</t>
  </si>
  <si>
    <t xml:space="preserve">Se identifica a la parte que contrata de forma remota con verificación documental, o a través de un promotor o representante propio con contrato y responsable señalado.</t>
  </si>
  <si>
    <t xml:space="preserve">La parte que contrata comparece de forma directa, o se le identifica en remoto con biometría y prueba de vida.</t>
  </si>
  <si>
    <t xml:space="preserve">El destino no se manifiesta, o los recursos o el acuerdo alcanzado pasan a un tercero no relacionado con la parte que contrata.</t>
  </si>
  <si>
    <t xml:space="preserve">El destino es el acuerdo alcanzado mismo, y queda registrado en la operación.</t>
  </si>
  <si>
    <t xml:space="preserve">La gestión de la controversia combina contratación a distancia sin verificación reforzada con pagos en efectivo o instrumentos al portador.</t>
  </si>
  <si>
    <t xml:space="preserve">El donativo tiene un valor unitario muy por encima del ticket promedio de tu operación de doce meses.</t>
  </si>
  <si>
    <t xml:space="preserve">El donativo tiene un valor unitario dentro del rango habitual de tu operación.</t>
  </si>
  <si>
    <t xml:space="preserve">El donativo tiene un valor unitario por debajo de tu ticket promedio.</t>
  </si>
  <si>
    <t xml:space="preserve">El donativo puede revenderse o cederse de inmediato y prácticamente a su valor íntegro.</t>
  </si>
  <si>
    <t xml:space="preserve">El donativo puede revenderse, pero con trámite, plazo o pérdida de valor apreciable.</t>
  </si>
  <si>
    <t xml:space="preserve">El donativo es difícil de revender: exige formalidades o registro, o pierde valor de forma significativa.</t>
  </si>
  <si>
    <t xml:space="preserve">La recepción del donativo admite que quien aparece no sea quien recibe el beneficio, sin que quede registro de quién es el beneficiario final.</t>
  </si>
  <si>
    <t xml:space="preserve">Se identifica a el donante, pero el beneficiario final se declara sin documento que lo respalde.</t>
  </si>
  <si>
    <t xml:space="preserve">El donante y el beneficiario final coinciden, y ambos constan en el expediente.</t>
  </si>
  <si>
    <t xml:space="preserve">La recepción del donativo admite sobrevaluar, subvaluar o fraccionar el precio sin que la contabilidad lo refleje.</t>
  </si>
  <si>
    <t xml:space="preserve">El donante, su beneficiario o su contraparte aparece en listas de sanciones o de organizaciones terroristas.</t>
  </si>
  <si>
    <t xml:space="preserve">El donante es un fideicomiso u otro vehículo sin personalidad jurídica propia. No hay un titular único: la figura permite que quien aporta el donativo y de dónde salió sean personas distintas y que ninguna aparezca en el contrato.</t>
  </si>
  <si>
    <t xml:space="preserve">El donante es persona moral. La voluntad se forma en órganos y la propiedad está en socios, así que hay que llegar al Beneficiario Controlador para saber quién está realmente detrás.</t>
  </si>
  <si>
    <t xml:space="preserve">El donante es persona física. Coincide quien aporta el donativo y de dónde salió, y la identificación es directa contra un solo expediente.</t>
  </si>
  <si>
    <t xml:space="preserve">El giro que declara el donante es a su vez una Actividad Vulnerable del artículo 17, o no se acredita con documento alguno.</t>
  </si>
  <si>
    <t xml:space="preserve">No se logra identificar al Beneficiario Controlador de el donante, o la cadena no es acreditable.</t>
  </si>
  <si>
    <t xml:space="preserve">El Beneficiario Controlador se identifica en un solo nivel, o el donante es su propio beneficiario.</t>
  </si>
  <si>
    <t xml:space="preserve">La recepción del donativo se pacta con o desde una jurisdicción de alto riesgo o no cooperante.</t>
  </si>
  <si>
    <t xml:space="preserve">La recepción del donativo se pacta con una jurisdicción extranjera sin señalamiento.</t>
  </si>
  <si>
    <t xml:space="preserve">La recepción del donativo se realiza íntegramente en México.</t>
  </si>
  <si>
    <t xml:space="preserve">La recepción del donativo ocurre en un municipio o zona identificada de alto riesgo.</t>
  </si>
  <si>
    <t xml:space="preserve">La recepción del donativo ocurre en una entidad federativa con señalamiento en la ENR.</t>
  </si>
  <si>
    <t xml:space="preserve">La recepción del donativo ocurre en una entidad federativa sin señalamiento en la ENR.</t>
  </si>
  <si>
    <t xml:space="preserve">El domicilio de el donante y el lugar de la recepción del donativo no coinciden, y no hay explicación documentada.</t>
  </si>
  <si>
    <t xml:space="preserve">El domicilio de el donante y el lugar de la recepción del donativo coinciden.</t>
  </si>
  <si>
    <t xml:space="preserve">Transferencia electrónica o cheque nominativo desde una cuenta a nombre de el donante.</t>
  </si>
  <si>
    <t xml:space="preserve">La recepción del donativo iguala o supera el umbral de Aviso de tu fracción del artículo 17.</t>
  </si>
  <si>
    <t xml:space="preserve">La recepción del donativo se sitúa entre el umbral de identificación y el de Aviso.</t>
  </si>
  <si>
    <t xml:space="preserve">La recepción del donativo queda por debajo del umbral de identificación.</t>
  </si>
  <si>
    <t xml:space="preserve">El donante realiza cinco o más operaciones al año, o varias en intervalos cortos y regulares.</t>
  </si>
  <si>
    <t xml:space="preserve">El donante realiza entre dos y cuatro operaciones al año.</t>
  </si>
  <si>
    <t xml:space="preserve">El donante realiza una sola operación en el periodo.</t>
  </si>
  <si>
    <t xml:space="preserve">La operación llega por un gestor, plataforma o intermediario no acreditado: nadie responde por la identificación de el donante, y quien opera puede no ser quien dice ser.</t>
  </si>
  <si>
    <t xml:space="preserve">Se identifica a el donante de forma remota con verificación documental, o a través de un promotor o representante propio con contrato y responsable señalado.</t>
  </si>
  <si>
    <t xml:space="preserve">El donante comparece de forma directa, o se le identifica en remoto con biometría y prueba de vida.</t>
  </si>
  <si>
    <t xml:space="preserve">El destino no se manifiesta, o los recursos o el donativo pasan a un tercero no relacionado con el donante.</t>
  </si>
  <si>
    <t xml:space="preserve">El destino es el donativo mismo, y queda registrado en la operación.</t>
  </si>
  <si>
    <t xml:space="preserve">La recepción del donativo combina contratación a distancia sin verificación reforzada con pagos en efectivo o instrumentos al portador.</t>
  </si>
  <si>
    <t xml:space="preserve">La operación de comercio exterior admite que quien aparece no sea quien recibe el beneficio, sin que quede registro de quién es el beneficiario final.</t>
  </si>
  <si>
    <t xml:space="preserve">La operación de comercio exterior admite sobrevaluar, subvaluar o fraccionar el precio sin que la contabilidad lo refleje.</t>
  </si>
  <si>
    <t xml:space="preserve">La operación de comercio exterior se pacta con o desde una jurisdicción de alto riesgo o no cooperante.</t>
  </si>
  <si>
    <t xml:space="preserve">La operación de comercio exterior se pacta con una jurisdicción extranjera sin señalamiento.</t>
  </si>
  <si>
    <t xml:space="preserve">La operación de comercio exterior se realiza íntegramente en México.</t>
  </si>
  <si>
    <t xml:space="preserve">La operación de comercio exterior ocurre en un municipio o zona identificada de alto riesgo.</t>
  </si>
  <si>
    <t xml:space="preserve">La operación de comercio exterior ocurre en una entidad federativa con señalamiento en la ENR.</t>
  </si>
  <si>
    <t xml:space="preserve">La operación de comercio exterior ocurre en una entidad federativa sin señalamiento en la ENR.</t>
  </si>
  <si>
    <t xml:space="preserve">El domicilio de el comprador y el lugar de la operación de comercio exterior no coinciden, y no hay explicación documentada.</t>
  </si>
  <si>
    <t xml:space="preserve">El domicilio de el comprador y el lugar de la operación de comercio exterior coinciden.</t>
  </si>
  <si>
    <t xml:space="preserve">La operación de comercio exterior iguala o supera el umbral de Aviso de tu fracción del artículo 17.</t>
  </si>
  <si>
    <t xml:space="preserve">La operación de comercio exterior se sitúa entre el umbral de identificación y el de Aviso.</t>
  </si>
  <si>
    <t xml:space="preserve">La operación de comercio exterior queda por debajo del umbral de identificación.</t>
  </si>
  <si>
    <t xml:space="preserve">La operación de comercio exterior combina contratación a distancia sin verificación reforzada con pagos en efectivo o instrumentos al portador.</t>
  </si>
  <si>
    <t xml:space="preserve">El comprador de la obra es un fideicomiso u otro vehículo sin personalidad jurídica propia. No hay un titular único: la figura permite que quien paga y quien se queda la pieza sean personas distintas y que ninguna aparezca en el contrato.</t>
  </si>
  <si>
    <t xml:space="preserve">El comprador de la obra es persona moral. La voluntad se forma en órganos y la propiedad está en socios, así que hay que llegar al Beneficiario Controlador para saber quién está realmente detrás.</t>
  </si>
  <si>
    <t xml:space="preserve">El comprador de la obra es persona física. Coincide quien paga y quien se queda la pieza, y la identificación es directa contra un solo expediente.</t>
  </si>
  <si>
    <t xml:space="preserve">El destino no se manifiesta, o los recursos o la obra pasan a un tercero no relacionado con el comprador.</t>
  </si>
  <si>
    <t xml:space="preserve">El bien importado o exportado tiene un valor unitario muy por encima del ticket promedio de tu operación de doce meses.</t>
  </si>
  <si>
    <t xml:space="preserve">El bien importado o exportado tiene un valor unitario dentro del rango habitual de tu operación.</t>
  </si>
  <si>
    <t xml:space="preserve">El bien importado o exportado tiene un valor unitario por debajo de tu ticket promedio.</t>
  </si>
  <si>
    <t xml:space="preserve">El bien importado o exportado puede revenderse o cederse de inmediato y prácticamente a su valor íntegro.</t>
  </si>
  <si>
    <t xml:space="preserve">El bien importado o exportado puede revenderse, pero con trámite, plazo o pérdida de valor apreciable.</t>
  </si>
  <si>
    <t xml:space="preserve">El bien importado o exportado es difícil de revender: exige formalidades o registro, o pierde valor de forma significativa.</t>
  </si>
  <si>
    <t xml:space="preserve">El adquirente del bien es un fideicomiso u otro vehículo sin personalidad jurídica propia. No hay un titular único: la figura permite que quien paga y quien queda como propietario sean personas distintas y que ninguna aparezca en el contrato.</t>
  </si>
  <si>
    <t xml:space="preserve">El adquirente del bien es persona moral. La voluntad se forma en órganos y la propiedad está en socios, así que hay que llegar al Beneficiario Controlador para saber quién está realmente detrás.</t>
  </si>
  <si>
    <t xml:space="preserve">El adquirente del bien es persona física. Coincide quien paga y quien queda como propietario, y la identificación es directa contra un solo expediente.</t>
  </si>
  <si>
    <t xml:space="preserve">El domicilio de el adquirente y el lugar de la operación de comercio exterior no coinciden, y no hay explicación documentada.</t>
  </si>
  <si>
    <t xml:space="preserve">El domicilio de el adquirente y el lugar de la operación de comercio exterior coinciden.</t>
  </si>
  <si>
    <t xml:space="preserve">El destino no se manifiesta, o los recursos o el bien importado o exportado pasan a un tercero no relacionado con el adquirente.</t>
  </si>
  <si>
    <t xml:space="preserve">El destino es el bien importado o exportado mismo, y queda registrado en la operación.</t>
  </si>
  <si>
    <t xml:space="preserve">El inmueble arrendado tiene un valor unitario muy por encima del ticket promedio de tu operación de doce meses.</t>
  </si>
  <si>
    <t xml:space="preserve">El inmueble arrendado tiene un valor unitario dentro del rango habitual de tu operación.</t>
  </si>
  <si>
    <t xml:space="preserve">El inmueble arrendado tiene un valor unitario por debajo de tu ticket promedio.</t>
  </si>
  <si>
    <t xml:space="preserve">El inmueble arrendado puede revenderse o cederse de inmediato y prácticamente a su valor íntegro.</t>
  </si>
  <si>
    <t xml:space="preserve">El inmueble arrendado puede revenderse, pero con trámite, plazo o pérdida de valor apreciable.</t>
  </si>
  <si>
    <t xml:space="preserve">El inmueble arrendado es difícil de revender: exige formalidades o registro, o pierde valor de forma significativa.</t>
  </si>
  <si>
    <t xml:space="preserve">El arrendamiento admite que quien aparece no sea quien recibe el beneficio, sin que quede registro de quién es el beneficiario final.</t>
  </si>
  <si>
    <t xml:space="preserve">Se identifica a el arrendatario, pero el beneficiario final se declara sin documento que lo respalde.</t>
  </si>
  <si>
    <t xml:space="preserve">El arrendatario y el beneficiario final coinciden, y ambos constan en el expediente.</t>
  </si>
  <si>
    <t xml:space="preserve">El arrendamiento admite sobrevaluar, subvaluar o fraccionar el precio sin que la contabilidad lo refleje.</t>
  </si>
  <si>
    <t xml:space="preserve">El arrendatario, su beneficiario o su contraparte aparece en listas de sanciones o de organizaciones terroristas.</t>
  </si>
  <si>
    <t xml:space="preserve">El arrendatario es un fideicomiso u otro vehículo sin personalidad jurídica propia. No hay un titular único: la figura permite que quien firma el contrato y quien ocupa el inmueble sean personas distintas y que ninguna aparezca en el contrato.</t>
  </si>
  <si>
    <t xml:space="preserve">El arrendatario es persona moral. La voluntad se forma en órganos y la propiedad está en socios, así que hay que llegar al Beneficiario Controlador para saber quién está realmente detrás.</t>
  </si>
  <si>
    <t xml:space="preserve">El arrendatario es persona física. Coincide quien firma el contrato y quien ocupa el inmueble, y la identificación es directa contra un solo expediente.</t>
  </si>
  <si>
    <t xml:space="preserve">El giro que declara el arrendatario es a su vez una Actividad Vulnerable del artículo 17, o no se acredita con documento alguno.</t>
  </si>
  <si>
    <t xml:space="preserve">No se logra identificar al Beneficiario Controlador de el arrendatario, o la cadena no es acreditable.</t>
  </si>
  <si>
    <t xml:space="preserve">El Beneficiario Controlador se identifica en un solo nivel, o el arrendatario es su propio beneficiario.</t>
  </si>
  <si>
    <t xml:space="preserve">El arrendamiento se pacta con o desde una jurisdicción de alto riesgo o no cooperante.</t>
  </si>
  <si>
    <t xml:space="preserve">El arrendamiento se pacta con una jurisdicción extranjera sin señalamiento.</t>
  </si>
  <si>
    <t xml:space="preserve">El arrendamiento se realiza íntegramente en México.</t>
  </si>
  <si>
    <t xml:space="preserve">El arrendamiento ocurre en un municipio o zona identificada de alto riesgo.</t>
  </si>
  <si>
    <t xml:space="preserve">El arrendamiento ocurre en una entidad federativa con señalamiento en la ENR.</t>
  </si>
  <si>
    <t xml:space="preserve">El arrendamiento ocurre en una entidad federativa sin señalamiento en la ENR.</t>
  </si>
  <si>
    <t xml:space="preserve">El domicilio de el arrendatario y el lugar de el arrendamiento no coinciden, y no hay explicación documentada.</t>
  </si>
  <si>
    <t xml:space="preserve">El domicilio de el arrendatario y el lugar de el arrendamiento coinciden.</t>
  </si>
  <si>
    <t xml:space="preserve">Transferencia electrónica o cheque nominativo desde una cuenta a nombre de el arrendatario.</t>
  </si>
  <si>
    <t xml:space="preserve">El arrendamiento iguala o supera el umbral de Aviso de tu fracción del artículo 17.</t>
  </si>
  <si>
    <t xml:space="preserve">El arrendamiento se sitúa entre el umbral de identificación y el de Aviso.</t>
  </si>
  <si>
    <t xml:space="preserve">El arrendamiento queda por debajo del umbral de identificación.</t>
  </si>
  <si>
    <t xml:space="preserve">El arrendatario realiza cinco o más operaciones al año, o varias en intervalos cortos y regulares.</t>
  </si>
  <si>
    <t xml:space="preserve">El arrendatario realiza entre dos y cuatro operaciones al año.</t>
  </si>
  <si>
    <t xml:space="preserve">El arrendatario realiza una sola operación en el periodo.</t>
  </si>
  <si>
    <t xml:space="preserve">La operación llega por un gestor, plataforma o intermediario no acreditado: nadie responde por la identificación de el arrendatario, y quien opera puede no ser quien dice ser.</t>
  </si>
  <si>
    <t xml:space="preserve">Se identifica a el arrendatario de forma remota con verificación documental, o a través de un promotor o representante propio con contrato y responsable señalado.</t>
  </si>
  <si>
    <t xml:space="preserve">El arrendatario comparece de forma directa, o se le identifica en remoto con biometría y prueba de vida.</t>
  </si>
  <si>
    <t xml:space="preserve">El destino no se manifiesta, o los recursos o el inmueble arrendado pasan a un tercero no relacionado con el arrendatario.</t>
  </si>
  <si>
    <t xml:space="preserve">El destino es el inmueble arrendado mismo, y queda registrado en la operación.</t>
  </si>
  <si>
    <t xml:space="preserve">El arrendamiento combina contratación a distancia sin verificación reforzada con pagos en efectivo o instrumentos al portador.</t>
  </si>
  <si>
    <t xml:space="preserve">El activo virtual tiene un valor unitario muy por encima del ticket promedio de tu operación de doce meses.</t>
  </si>
  <si>
    <t xml:space="preserve">El activo virtual tiene un valor unitario dentro del rango habitual de tu operación.</t>
  </si>
  <si>
    <t xml:space="preserve">El activo virtual tiene un valor unitario por debajo de tu ticket promedio.</t>
  </si>
  <si>
    <t xml:space="preserve">El activo virtual puede revenderse o cederse de inmediato y prácticamente a su valor íntegro.</t>
  </si>
  <si>
    <t xml:space="preserve">El activo virtual puede revenderse, pero con trámite, plazo o pérdida de valor apreciable.</t>
  </si>
  <si>
    <t xml:space="preserve">El activo virtual es difícil de revender: exige formalidades o registro, o pierde valor de forma significativa.</t>
  </si>
  <si>
    <t xml:space="preserve">La operación de intercambio o transferencia admite que quien aparece no sea quien recibe el beneficio, sin que quede registro de quién es el beneficiario final.</t>
  </si>
  <si>
    <t xml:space="preserve">Se identifica a el usuario, pero el beneficiario final se declara sin documento que lo respalde.</t>
  </si>
  <si>
    <t xml:space="preserve">El usuario y el beneficiario final coinciden, y ambos constan en el expediente.</t>
  </si>
  <si>
    <t xml:space="preserve">La operación de intercambio o transferencia admite sobrevaluar, subvaluar o fraccionar el precio sin que la contabilidad lo refleje.</t>
  </si>
  <si>
    <t xml:space="preserve">El usuario, su beneficiario o su contraparte aparece en listas de sanciones o de organizaciones terroristas.</t>
  </si>
  <si>
    <t xml:space="preserve">El usuario del servicio es un fideicomiso u otro vehículo sin personalidad jurídica propia. No hay un titular único: la figura permite que quien ordena la operación y quien recibe los activos sean personas distintas y que ninguna aparezca en el contrato.</t>
  </si>
  <si>
    <t xml:space="preserve">El usuario del servicio es persona física. Coincide quien ordena la operación y quien recibe los activos, y la identificación es directa contra un solo expediente.</t>
  </si>
  <si>
    <t xml:space="preserve">El giro que declara el usuario es a su vez una Actividad Vulnerable del artículo 17, o no se acredita con documento alguno.</t>
  </si>
  <si>
    <t xml:space="preserve">No se logra identificar al Beneficiario Controlador de el usuario, o la cadena no es acreditable.</t>
  </si>
  <si>
    <t xml:space="preserve">El Beneficiario Controlador se identifica en un solo nivel, o el usuario es su propio beneficiario.</t>
  </si>
  <si>
    <t xml:space="preserve">La operación de intercambio o transferencia se pacta con o desde una jurisdicción de alto riesgo o no cooperante.</t>
  </si>
  <si>
    <t xml:space="preserve">La operación de intercambio o transferencia se pacta con una jurisdicción extranjera sin señalamiento.</t>
  </si>
  <si>
    <t xml:space="preserve">La operación de intercambio o transferencia se realiza íntegramente en México.</t>
  </si>
  <si>
    <t xml:space="preserve">La operación de intercambio o transferencia ocurre en un municipio o zona identificada de alto riesgo.</t>
  </si>
  <si>
    <t xml:space="preserve">La operación de intercambio o transferencia ocurre en una entidad federativa con señalamiento en la ENR.</t>
  </si>
  <si>
    <t xml:space="preserve">La operación de intercambio o transferencia ocurre en una entidad federativa sin señalamiento en la ENR.</t>
  </si>
  <si>
    <t xml:space="preserve">El domicilio de el usuario y el lugar de la operación de intercambio o transferencia no coinciden, y no hay explicación documentada.</t>
  </si>
  <si>
    <t xml:space="preserve">El domicilio de el usuario y el lugar de la operación de intercambio o transferencia coinciden.</t>
  </si>
  <si>
    <t xml:space="preserve">Transferencia electrónica o cheque nominativo desde una cuenta a nombre de el usuario.</t>
  </si>
  <si>
    <t xml:space="preserve">La operación de intercambio o transferencia iguala o supera el umbral de Aviso de tu fracción del artículo 17.</t>
  </si>
  <si>
    <t xml:space="preserve">La operación de intercambio o transferencia se sitúa entre el umbral de identificación y el de Aviso.</t>
  </si>
  <si>
    <t xml:space="preserve">La operación de intercambio o transferencia queda por debajo del umbral de identificación.</t>
  </si>
  <si>
    <t xml:space="preserve">El usuario realiza cinco o más operaciones al año, o varias en intervalos cortos y regulares.</t>
  </si>
  <si>
    <t xml:space="preserve">El usuario realiza entre dos y cuatro operaciones al año.</t>
  </si>
  <si>
    <t xml:space="preserve">El usuario realiza una sola operación en el periodo.</t>
  </si>
  <si>
    <t xml:space="preserve">El destino no se manifiesta, o los recursos o el activo virtual pasan a un tercero no relacionado con el usuario.</t>
  </si>
  <si>
    <t xml:space="preserve">El destino es el activo virtual mismo, y queda registrado en la operación.</t>
  </si>
  <si>
    <t xml:space="preserve">La operación de intercambio o transferencia combina contratación a distancia sin verificación reforzada con pagos en efectivo o instrumentos al portador.</t>
  </si>
  <si>
    <t xml:space="preserve">El servicio prestado tiene un valor unitario muy por encima del ticket promedio de tu operación de doce meses.</t>
  </si>
  <si>
    <t xml:space="preserve">El servicio prestado tiene un valor unitario dentro del rango habitual de tu operación.</t>
  </si>
  <si>
    <t xml:space="preserve">El servicio prestado tiene un valor unitario por debajo de tu ticket promedio.</t>
  </si>
  <si>
    <t xml:space="preserve">El servicio prestado puede revenderse o cederse de inmediato y prácticamente a su valor íntegro.</t>
  </si>
  <si>
    <t xml:space="preserve">El servicio prestado puede revenderse, pero con trámite, plazo o pérdida de valor apreciable.</t>
  </si>
  <si>
    <t xml:space="preserve">El servicio prestado es difícil de revender: exige formalidades o registro, o pierde valor de forma significativa.</t>
  </si>
  <si>
    <t xml:space="preserve">El cobro de la contraprestación admite que quien aparece no sea quien recibe el beneficio, sin que quede registro de quién es el beneficiario final.</t>
  </si>
  <si>
    <t xml:space="preserve">El cobro de la contraprestación admite sobrevaluar, subvaluar o fraccionar el precio sin que la contabilidad lo refleje.</t>
  </si>
  <si>
    <t xml:space="preserve">El usuario del servicio es un fideicomiso u otro vehículo sin personalidad jurídica propia. No hay un titular único: la figura permite que quien paga la comisión y quien recibe el servicio sean personas distintas y que ninguna aparezca en el contrato.</t>
  </si>
  <si>
    <t xml:space="preserve">El usuario del servicio es persona física. Coincide quien paga la comisión y quien recibe el servicio, y la identificación es directa contra un solo expediente.</t>
  </si>
  <si>
    <t xml:space="preserve">El cobro de la contraprestación se pacta con o desde una jurisdicción de alto riesgo o no cooperante.</t>
  </si>
  <si>
    <t xml:space="preserve">El cobro de la contraprestación se pacta con una jurisdicción extranjera sin señalamiento.</t>
  </si>
  <si>
    <t xml:space="preserve">El cobro de la contraprestación se realiza íntegramente en México.</t>
  </si>
  <si>
    <t xml:space="preserve">El cobro de la contraprestación ocurre en un municipio o zona identificada de alto riesgo.</t>
  </si>
  <si>
    <t xml:space="preserve">El cobro de la contraprestación ocurre en una entidad federativa con señalamiento en la ENR.</t>
  </si>
  <si>
    <t xml:space="preserve">El cobro de la contraprestación ocurre en una entidad federativa sin señalamiento en la ENR.</t>
  </si>
  <si>
    <t xml:space="preserve">El domicilio de el usuario y el lugar de el cobro de la contraprestación no coinciden, y no hay explicación documentada.</t>
  </si>
  <si>
    <t xml:space="preserve">El domicilio de el usuario y el lugar de el cobro de la contraprestación coinciden.</t>
  </si>
  <si>
    <t xml:space="preserve">El cobro de la contraprestación iguala o supera el umbral de Aviso de tu fracción del artículo 17.</t>
  </si>
  <si>
    <t xml:space="preserve">El cobro de la contraprestación se sitúa entre el umbral de identificación y el de Aviso.</t>
  </si>
  <si>
    <t xml:space="preserve">El cobro de la contraprestación queda por debajo del umbral de identificación.</t>
  </si>
  <si>
    <t xml:space="preserve">El destino no se manifiesta, o los recursos o el servicio prestado pasan a un tercero no relacionado con el usuario.</t>
  </si>
  <si>
    <t xml:space="preserve">El destino es el servicio prestado mismo, y queda registrado en la operación.</t>
  </si>
  <si>
    <t xml:space="preserve">El cobro de la contraprestación combina contratación a distancia sin verificación reforzada con pagos en efectivo o instrumentos al portador.</t>
  </si>
</sst>
</file>

<file path=xl/styles.xml><?xml version="1.0" encoding="utf-8"?>
<styleSheet xmlns="http://schemas.openxmlformats.org/spreadsheetml/2006/main">
  <numFmts count="16">
    <numFmt numFmtId="164" formatCode="General"/>
    <numFmt numFmtId="165" formatCode="#,##0"/>
    <numFmt numFmtId="166" formatCode="#,##0.00"/>
    <numFmt numFmtId="167" formatCode="dd/mm/yyyy"/>
    <numFmt numFmtId="168" formatCode="\$#,##0"/>
    <numFmt numFmtId="169" formatCode="0"/>
    <numFmt numFmtId="170" formatCode="0%"/>
    <numFmt numFmtId="171" formatCode="General"/>
    <numFmt numFmtId="172" formatCode="0.00"/>
    <numFmt numFmtId="173" formatCode="0.0%"/>
    <numFmt numFmtId="174" formatCode="0.0"/>
    <numFmt numFmtId="175" formatCode="0.00000"/>
    <numFmt numFmtId="176" formatCode="yyyy\-mm\-dd"/>
    <numFmt numFmtId="177" formatCode="yyyy\-mm\-dd\ h:mm:ss"/>
    <numFmt numFmtId="178" formatCode="0.000"/>
    <numFmt numFmtId="179" formatCode="0\ %"/>
  </numFmts>
  <fonts count="60">
    <font>
      <sz val="11"/>
      <color theme="1"/>
      <name val="Calibri"/>
      <family val="2"/>
      <charset val="1"/>
    </font>
    <font>
      <sz val="10"/>
      <name val="Arial"/>
      <family val="0"/>
    </font>
    <font>
      <sz val="10"/>
      <name val="Arial"/>
      <family val="0"/>
    </font>
    <font>
      <sz val="10"/>
      <name val="Arial"/>
      <family val="0"/>
    </font>
    <font>
      <i val="true"/>
      <sz val="9"/>
      <color rgb="FF595959"/>
      <name val="Calibri"/>
      <family val="0"/>
      <charset val="1"/>
    </font>
    <font>
      <b val="true"/>
      <sz val="15"/>
      <color rgb="FF1F4E78"/>
      <name val="Arial"/>
      <family val="0"/>
      <charset val="1"/>
    </font>
    <font>
      <i val="true"/>
      <sz val="9"/>
      <color rgb="FF555555"/>
      <name val="Arial"/>
      <family val="0"/>
      <charset val="1"/>
    </font>
    <font>
      <b val="true"/>
      <sz val="10"/>
      <color rgb="FFC00000"/>
      <name val="Arial"/>
      <family val="0"/>
      <charset val="1"/>
    </font>
    <font>
      <i val="true"/>
      <sz val="9"/>
      <color rgb="FF1F4E79"/>
      <name val="Arial"/>
      <family val="0"/>
      <charset val="1"/>
    </font>
    <font>
      <b val="true"/>
      <sz val="10"/>
      <color rgb="FFFFFFFF"/>
      <name val="Arial"/>
      <family val="0"/>
      <charset val="1"/>
    </font>
    <font>
      <sz val="9"/>
      <name val="Arial"/>
      <family val="0"/>
      <charset val="1"/>
    </font>
    <font>
      <sz val="10"/>
      <color rgb="FF0000FF"/>
      <name val="Arial"/>
      <family val="0"/>
      <charset val="1"/>
    </font>
    <font>
      <sz val="10"/>
      <color rgb="FF006100"/>
      <name val="Arial"/>
      <family val="0"/>
      <charset val="1"/>
    </font>
    <font>
      <sz val="10"/>
      <color rgb="FF000000"/>
      <name val="Arial"/>
      <family val="0"/>
      <charset val="1"/>
    </font>
    <font>
      <sz val="9"/>
      <color rgb="FF0000FF"/>
      <name val="Arial"/>
      <family val="0"/>
      <charset val="1"/>
    </font>
    <font>
      <sz val="9"/>
      <color rgb="FFC00000"/>
      <name val="Arial"/>
      <family val="0"/>
      <charset val="1"/>
    </font>
    <font>
      <b val="true"/>
      <sz val="10"/>
      <color rgb="FF000000"/>
      <name val="Arial"/>
      <family val="0"/>
      <charset val="1"/>
    </font>
    <font>
      <b val="true"/>
      <sz val="10"/>
      <name val="Arial"/>
      <family val="0"/>
      <charset val="1"/>
    </font>
    <font>
      <b val="true"/>
      <sz val="9"/>
      <color rgb="FFFFFFFF"/>
      <name val="Arial"/>
      <family val="0"/>
      <charset val="1"/>
    </font>
    <font>
      <sz val="10"/>
      <name val="Arial"/>
      <family val="0"/>
      <charset val="1"/>
    </font>
    <font>
      <b val="true"/>
      <sz val="9"/>
      <color rgb="FFC00000"/>
      <name val="Arial"/>
      <family val="0"/>
      <charset val="1"/>
    </font>
    <font>
      <sz val="9"/>
      <color rgb="FF555555"/>
      <name val="Arial"/>
      <family val="0"/>
      <charset val="1"/>
    </font>
    <font>
      <sz val="9"/>
      <color rgb="FFC00000"/>
      <name val="Calibri"/>
      <family val="0"/>
      <charset val="1"/>
    </font>
    <font>
      <b val="true"/>
      <sz val="9"/>
      <color rgb="FF1F4E78"/>
      <name val="Calibri"/>
      <family val="0"/>
      <charset val="1"/>
    </font>
    <font>
      <b val="true"/>
      <sz val="9"/>
      <name val="Arial"/>
      <family val="0"/>
      <charset val="1"/>
    </font>
    <font>
      <b val="true"/>
      <sz val="8"/>
      <name val="Arial"/>
      <family val="0"/>
      <charset val="1"/>
    </font>
    <font>
      <sz val="8"/>
      <name val="Arial"/>
      <family val="0"/>
      <charset val="1"/>
    </font>
    <font>
      <b val="true"/>
      <sz val="9"/>
      <color rgb="FF0000FF"/>
      <name val="Arial"/>
      <family val="0"/>
      <charset val="1"/>
    </font>
    <font>
      <sz val="8"/>
      <color rgb="FF0000FF"/>
      <name val="Arial"/>
      <family val="0"/>
      <charset val="1"/>
    </font>
    <font>
      <b val="true"/>
      <sz val="11"/>
      <color rgb="FFFFFFFF"/>
      <name val="Arial"/>
      <family val="0"/>
      <charset val="1"/>
    </font>
    <font>
      <b val="true"/>
      <sz val="10"/>
      <color rgb="FF1F4E78"/>
      <name val="Arial"/>
      <family val="0"/>
      <charset val="1"/>
    </font>
    <font>
      <i val="true"/>
      <sz val="8"/>
      <color rgb="FF595959"/>
      <name val="Arial"/>
      <family val="0"/>
      <charset val="1"/>
    </font>
    <font>
      <b val="true"/>
      <sz val="14"/>
      <color rgb="FF1F4E79"/>
      <name val="Arial"/>
      <family val="0"/>
      <charset val="1"/>
    </font>
    <font>
      <i val="true"/>
      <sz val="9"/>
      <color rgb="FF595959"/>
      <name val="Arial"/>
      <family val="0"/>
      <charset val="1"/>
    </font>
    <font>
      <sz val="9"/>
      <color rgb="FF000000"/>
      <name val="Arial"/>
      <family val="0"/>
      <charset val="1"/>
    </font>
    <font>
      <b val="true"/>
      <sz val="11"/>
      <color rgb="FF1F4E78"/>
      <name val="Arial"/>
      <family val="0"/>
      <charset val="1"/>
    </font>
    <font>
      <sz val="7"/>
      <color rgb="FFBFBFBF"/>
      <name val="Arial"/>
      <family val="0"/>
      <charset val="1"/>
    </font>
    <font>
      <b val="true"/>
      <sz val="20"/>
      <color rgb="FF000000"/>
      <name val="Arial"/>
      <family val="0"/>
      <charset val="1"/>
    </font>
    <font>
      <b val="true"/>
      <sz val="12"/>
      <name val="Arial"/>
      <family val="0"/>
      <charset val="1"/>
    </font>
    <font>
      <sz val="8"/>
      <color rgb="FF555555"/>
      <name val="Arial"/>
      <family val="0"/>
      <charset val="1"/>
    </font>
    <font>
      <b val="true"/>
      <sz val="14"/>
      <color rgb="FF1F4E78"/>
      <name val="Georgia"/>
      <family val="0"/>
      <charset val="1"/>
    </font>
    <font>
      <sz val="9"/>
      <color rgb="FF595959"/>
      <name val="Arial"/>
      <family val="0"/>
      <charset val="1"/>
    </font>
    <font>
      <i val="true"/>
      <sz val="9"/>
      <color rgb="FF808080"/>
      <name val="Arial"/>
      <family val="0"/>
      <charset val="1"/>
    </font>
    <font>
      <b val="true"/>
      <sz val="9"/>
      <color rgb="FF1F4E78"/>
      <name val="Arial"/>
      <family val="0"/>
      <charset val="1"/>
    </font>
    <font>
      <b val="true"/>
      <sz val="9"/>
      <color rgb="FF000000"/>
      <name val="Arial"/>
      <family val="0"/>
      <charset val="1"/>
    </font>
    <font>
      <sz val="8"/>
      <color rgb="FF808080"/>
      <name val="Arial"/>
      <family val="0"/>
      <charset val="1"/>
    </font>
    <font>
      <i val="true"/>
      <sz val="9"/>
      <color rgb="FF1F4E78"/>
      <name val="Calibri"/>
      <family val="0"/>
      <charset val="1"/>
    </font>
    <font>
      <b val="true"/>
      <sz val="8"/>
      <color rgb="FF1F4E78"/>
      <name val="Arial"/>
      <family val="0"/>
      <charset val="1"/>
    </font>
    <font>
      <sz val="8"/>
      <color rgb="FF000000"/>
      <name val="Arial"/>
      <family val="0"/>
      <charset val="1"/>
    </font>
    <font>
      <b val="true"/>
      <sz val="15"/>
      <color rgb="FF1F4E78"/>
      <name val="Georgia"/>
      <family val="0"/>
      <charset val="1"/>
    </font>
    <font>
      <i val="true"/>
      <sz val="8"/>
      <color rgb="FF1F4E78"/>
      <name val="Arial"/>
      <family val="0"/>
      <charset val="1"/>
    </font>
    <font>
      <sz val="8"/>
      <color rgb="FF1F4E78"/>
      <name val="Arial"/>
      <family val="0"/>
      <charset val="1"/>
    </font>
    <font>
      <sz val="8"/>
      <color rgb="FF2E75B6"/>
      <name val="Arial"/>
      <family val="0"/>
      <charset val="1"/>
    </font>
    <font>
      <i val="true"/>
      <sz val="8"/>
      <color rgb="FF808080"/>
      <name val="Arial"/>
      <family val="0"/>
      <charset val="1"/>
    </font>
    <font>
      <sz val="8"/>
      <color rgb="FFC00000"/>
      <name val="Arial"/>
      <family val="0"/>
      <charset val="1"/>
    </font>
    <font>
      <b val="true"/>
      <sz val="12"/>
      <color rgb="FF1F4E78"/>
      <name val="Arial"/>
      <family val="0"/>
      <charset val="1"/>
    </font>
    <font>
      <b val="true"/>
      <sz val="12"/>
      <color rgb="FFFFFFFF"/>
      <name val="Georgia"/>
      <family val="0"/>
      <charset val="1"/>
    </font>
    <font>
      <b val="true"/>
      <sz val="22"/>
      <color rgb="FF1F4E78"/>
      <name val="Georgia"/>
      <family val="0"/>
      <charset val="1"/>
    </font>
    <font>
      <sz val="10"/>
      <color rgb="FF008000"/>
      <name val="Arial"/>
      <family val="0"/>
      <charset val="1"/>
    </font>
    <font>
      <b val="true"/>
      <sz val="11"/>
      <color rgb="FFC00000"/>
      <name val="Arial"/>
      <family val="0"/>
      <charset val="1"/>
    </font>
  </fonts>
  <fills count="17">
    <fill>
      <patternFill patternType="none"/>
    </fill>
    <fill>
      <patternFill patternType="gray125"/>
    </fill>
    <fill>
      <patternFill patternType="solid">
        <fgColor rgb="FF1F4E78"/>
        <bgColor rgb="FF1F4E79"/>
      </patternFill>
    </fill>
    <fill>
      <patternFill patternType="solid">
        <fgColor rgb="FFFFF2CC"/>
        <bgColor rgb="FFFDF2F2"/>
      </patternFill>
    </fill>
    <fill>
      <patternFill patternType="solid">
        <fgColor rgb="FF1F4E79"/>
        <bgColor rgb="FF1F4E78"/>
      </patternFill>
    </fill>
    <fill>
      <patternFill patternType="solid">
        <fgColor rgb="FFBDD7EE"/>
        <bgColor rgb="FFC6EFCE"/>
      </patternFill>
    </fill>
    <fill>
      <patternFill patternType="solid">
        <fgColor rgb="FFFFFFFF"/>
        <bgColor rgb="FFF2F5F9"/>
      </patternFill>
    </fill>
    <fill>
      <patternFill patternType="solid">
        <fgColor rgb="FFF2F2F2"/>
        <bgColor rgb="FFF2F5F9"/>
      </patternFill>
    </fill>
    <fill>
      <patternFill patternType="solid">
        <fgColor rgb="FF63BE7B"/>
        <bgColor rgb="FF339966"/>
      </patternFill>
    </fill>
    <fill>
      <patternFill patternType="solid">
        <fgColor rgb="FFFFD966"/>
        <bgColor rgb="FFFFE699"/>
      </patternFill>
    </fill>
    <fill>
      <patternFill patternType="solid">
        <fgColor rgb="FFF4B183"/>
        <bgColor rgb="FFF2A541"/>
      </patternFill>
    </fill>
    <fill>
      <patternFill patternType="solid">
        <fgColor rgb="FFFF7C80"/>
        <bgColor rgb="FFF2A541"/>
      </patternFill>
    </fill>
    <fill>
      <patternFill patternType="solid">
        <fgColor rgb="FFA9D08E"/>
        <bgColor rgb="FFBFBFBF"/>
      </patternFill>
    </fill>
    <fill>
      <patternFill patternType="solid">
        <fgColor rgb="FF2E75B6"/>
        <bgColor rgb="FF0066CC"/>
      </patternFill>
    </fill>
    <fill>
      <patternFill patternType="solid">
        <fgColor rgb="FFDDEBF7"/>
        <bgColor rgb="FFF2F2F2"/>
      </patternFill>
    </fill>
    <fill>
      <patternFill patternType="solid">
        <fgColor rgb="FFF2F5F9"/>
        <bgColor rgb="FFF2F2F2"/>
      </patternFill>
    </fill>
    <fill>
      <patternFill patternType="solid">
        <fgColor rgb="FFFDF2F2"/>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1" shrinkToFit="false"/>
      <protection locked="true" hidden="false"/>
    </xf>
    <xf numFmtId="164" fontId="10" fillId="0" borderId="0" xfId="0" applyFont="true" applyBorder="false" applyAlignment="true" applyProtection="false">
      <alignment horizontal="general" vertical="center" textRotation="0" wrapText="false" indent="1"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left" vertical="center" textRotation="0" wrapText="false" indent="0" shrinkToFit="false"/>
      <protection locked="true" hidden="false"/>
    </xf>
    <xf numFmtId="165" fontId="11" fillId="3" borderId="1" xfId="0" applyFont="true" applyBorder="true" applyAlignment="true" applyProtection="false">
      <alignment horizontal="center" vertical="center" textRotation="0" wrapText="true" indent="0" shrinkToFit="false"/>
      <protection locked="true" hidden="false"/>
    </xf>
    <xf numFmtId="168" fontId="11"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4" borderId="1"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9"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70" fontId="17"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24" fillId="5" borderId="1" xfId="0" applyFont="true" applyBorder="true" applyAlignment="true" applyProtection="false">
      <alignment horizontal="center" vertical="top" textRotation="0" wrapText="false" indent="0" shrinkToFit="false"/>
      <protection locked="true" hidden="false"/>
    </xf>
    <xf numFmtId="164" fontId="25"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center" vertical="top" textRotation="0" wrapText="false" indent="0" shrinkToFit="false"/>
      <protection locked="true" hidden="false"/>
    </xf>
    <xf numFmtId="164" fontId="27" fillId="3" borderId="1" xfId="0" applyFont="true" applyBorder="true" applyAlignment="true" applyProtection="false">
      <alignment horizontal="center" vertical="top"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70" fontId="11" fillId="3" borderId="1" xfId="0" applyFont="true" applyBorder="true" applyAlignment="true" applyProtection="false">
      <alignment horizontal="center" vertical="top" textRotation="0" wrapText="false" indent="0" shrinkToFit="false"/>
      <protection locked="true" hidden="false"/>
    </xf>
    <xf numFmtId="170" fontId="10" fillId="0" borderId="1" xfId="0" applyFont="true" applyBorder="true" applyAlignment="true" applyProtection="false">
      <alignment horizontal="center" vertical="top" textRotation="0" wrapText="false" indent="0" shrinkToFit="false"/>
      <protection locked="true" hidden="false"/>
    </xf>
    <xf numFmtId="171" fontId="10" fillId="0" borderId="1" xfId="0" applyFont="true" applyBorder="true" applyAlignment="true" applyProtection="false">
      <alignment horizontal="center" vertical="top" textRotation="0" wrapText="false" indent="0" shrinkToFit="false"/>
      <protection locked="true" hidden="false"/>
    </xf>
    <xf numFmtId="164" fontId="28" fillId="6" borderId="1" xfId="0" applyFont="true" applyBorder="true" applyAlignment="true" applyProtection="false">
      <alignment horizontal="general" vertical="top" textRotation="0" wrapText="true" indent="0" shrinkToFit="false"/>
      <protection locked="true" hidden="false"/>
    </xf>
    <xf numFmtId="164" fontId="25" fillId="7" borderId="1" xfId="0" applyFont="true" applyBorder="true" applyAlignment="true" applyProtection="false">
      <alignment horizontal="center" vertical="top" textRotation="0" wrapText="false" indent="0" shrinkToFit="false"/>
      <protection locked="true" hidden="false"/>
    </xf>
    <xf numFmtId="164" fontId="27" fillId="7" borderId="1" xfId="0" applyFont="true" applyBorder="true" applyAlignment="true" applyProtection="false">
      <alignment horizontal="center" vertical="top" textRotation="0" wrapText="false" indent="0" shrinkToFit="false"/>
      <protection locked="true" hidden="false"/>
    </xf>
    <xf numFmtId="164" fontId="25" fillId="3" borderId="1" xfId="0" applyFont="true" applyBorder="true" applyAlignment="true" applyProtection="false">
      <alignment horizontal="center" vertical="top" textRotation="0" wrapText="false" indent="0" shrinkToFit="false"/>
      <protection locked="true" hidden="false"/>
    </xf>
    <xf numFmtId="164" fontId="29" fillId="2" borderId="0" xfId="0" applyFont="true" applyBorder="true" applyAlignment="true" applyProtection="false">
      <alignment horizontal="left" vertical="center" textRotation="0" wrapText="false" indent="0" shrinkToFit="false"/>
      <protection locked="true" hidden="false"/>
    </xf>
    <xf numFmtId="164" fontId="24" fillId="0" borderId="1" xfId="0" applyFont="true" applyBorder="true" applyAlignment="true" applyProtection="false">
      <alignment horizontal="left" vertical="center" textRotation="0" wrapText="false" indent="0" shrinkToFit="false"/>
      <protection locked="true" hidden="false"/>
    </xf>
    <xf numFmtId="170" fontId="11" fillId="3" borderId="1" xfId="0" applyFont="true" applyBorder="true" applyAlignment="true" applyProtection="false">
      <alignment horizontal="center" vertical="center" textRotation="0" wrapText="false" indent="0" shrinkToFit="false"/>
      <protection locked="true" hidden="false"/>
    </xf>
    <xf numFmtId="172"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8" fillId="3" borderId="1" xfId="0" applyFont="true" applyBorder="true" applyAlignment="true" applyProtection="false">
      <alignment horizontal="general" vertical="top" textRotation="0" wrapText="true" indent="0" shrinkToFit="false"/>
      <protection locked="true" hidden="false"/>
    </xf>
    <xf numFmtId="164" fontId="30" fillId="5" borderId="1" xfId="0" applyFont="true" applyBorder="true" applyAlignment="true" applyProtection="false">
      <alignment horizontal="left" vertical="center" textRotation="0" wrapText="false" indent="0" shrinkToFit="false"/>
      <protection locked="true" hidden="false"/>
    </xf>
    <xf numFmtId="170" fontId="24" fillId="5" borderId="1" xfId="0" applyFont="true" applyBorder="true" applyAlignment="true" applyProtection="false">
      <alignment horizontal="center" vertical="center" textRotation="0" wrapText="false" indent="0" shrinkToFit="false"/>
      <protection locked="true" hidden="false"/>
    </xf>
    <xf numFmtId="172" fontId="24" fillId="5"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center" vertical="center" textRotation="0" wrapText="false" indent="0" shrinkToFit="false"/>
      <protection locked="true" hidden="false"/>
    </xf>
    <xf numFmtId="171" fontId="24" fillId="5"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72" fontId="24" fillId="0"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left" vertical="center"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10" fillId="8" borderId="1" xfId="0" applyFont="true" applyBorder="true" applyAlignment="true" applyProtection="false">
      <alignment horizontal="center" vertical="bottom" textRotation="0" wrapText="false" indent="0" shrinkToFit="false"/>
      <protection locked="true" hidden="false"/>
    </xf>
    <xf numFmtId="164" fontId="10" fillId="9" borderId="1" xfId="0" applyFont="true" applyBorder="true" applyAlignment="true" applyProtection="false">
      <alignment horizontal="center" vertical="bottom" textRotation="0" wrapText="false" indent="0" shrinkToFit="false"/>
      <protection locked="true" hidden="false"/>
    </xf>
    <xf numFmtId="164" fontId="10" fillId="10" borderId="1" xfId="0" applyFont="true" applyBorder="true" applyAlignment="true" applyProtection="false">
      <alignment horizontal="center" vertical="bottom" textRotation="0" wrapText="false" indent="0" shrinkToFit="false"/>
      <protection locked="true" hidden="false"/>
    </xf>
    <xf numFmtId="164" fontId="10" fillId="11" borderId="1" xfId="0" applyFont="true" applyBorder="true" applyAlignment="true" applyProtection="false">
      <alignment horizontal="center" vertical="bottom" textRotation="0" wrapText="false" indent="0" shrinkToFit="false"/>
      <protection locked="true" hidden="false"/>
    </xf>
    <xf numFmtId="164" fontId="10" fillId="12" borderId="1"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70" fontId="17"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9" fontId="17" fillId="5" borderId="1" xfId="0" applyFont="true" applyBorder="true" applyAlignment="true" applyProtection="false">
      <alignment horizontal="center" vertical="center" textRotation="0" wrapText="true" indent="0" shrinkToFit="false"/>
      <protection locked="true" hidden="false"/>
    </xf>
    <xf numFmtId="172" fontId="17" fillId="5" borderId="1" xfId="0" applyFont="true" applyBorder="true" applyAlignment="true" applyProtection="false">
      <alignment horizontal="center" vertical="center" textRotation="0" wrapText="true" indent="0" shrinkToFit="false"/>
      <protection locked="true" hidden="false"/>
    </xf>
    <xf numFmtId="173" fontId="17" fillId="5" borderId="1" xfId="0" applyFont="true" applyBorder="true" applyAlignment="true" applyProtection="false">
      <alignment horizontal="center" vertical="center" textRotation="0" wrapText="true" indent="0" shrinkToFit="false"/>
      <protection locked="true" hidden="false"/>
    </xf>
    <xf numFmtId="170" fontId="17" fillId="5" borderId="1" xfId="0" applyFont="true" applyBorder="true" applyAlignment="true" applyProtection="false">
      <alignment horizontal="center" vertical="center" textRotation="0" wrapText="true" indent="0" shrinkToFit="false"/>
      <protection locked="true" hidden="false"/>
    </xf>
    <xf numFmtId="169" fontId="17" fillId="3" borderId="1"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34" fillId="0" borderId="1" xfId="0" applyFont="true" applyBorder="true" applyAlignment="true" applyProtection="false">
      <alignment horizontal="center" vertical="center" textRotation="0" wrapText="true" indent="0" shrinkToFit="false"/>
      <protection locked="true" hidden="false"/>
    </xf>
    <xf numFmtId="170" fontId="24" fillId="0" borderId="1" xfId="0" applyFont="true" applyBorder="true" applyAlignment="true" applyProtection="false">
      <alignment horizontal="center" vertical="center" textRotation="0" wrapText="false" indent="0" shrinkToFit="false"/>
      <protection locked="true" hidden="false"/>
    </xf>
    <xf numFmtId="164" fontId="28"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7" fillId="2" borderId="0" xfId="0" applyFont="true" applyBorder="true" applyAlignment="true" applyProtection="false">
      <alignment horizontal="left" vertical="center" textRotation="0" wrapText="fals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true" applyAlignment="true" applyProtection="false">
      <alignment horizontal="general" vertical="center" textRotation="0" wrapText="false" indent="0" shrinkToFit="false"/>
      <protection locked="true" hidden="false"/>
    </xf>
    <xf numFmtId="170" fontId="35" fillId="5" borderId="1" xfId="0" applyFont="true" applyBorder="true" applyAlignment="true" applyProtection="false">
      <alignment horizontal="center" vertical="center" textRotation="0" wrapText="false" indent="0" shrinkToFit="false"/>
      <protection locked="true" hidden="false"/>
    </xf>
    <xf numFmtId="174" fontId="16"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73" fontId="24" fillId="0"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72" fontId="17" fillId="5" borderId="1" xfId="0" applyFont="true" applyBorder="true" applyAlignment="true" applyProtection="false">
      <alignment horizontal="center" vertical="center" textRotation="0" wrapText="false" indent="0" shrinkToFit="false"/>
      <protection locked="true" hidden="false"/>
    </xf>
    <xf numFmtId="170" fontId="17"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75" fontId="36"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7" fontId="12" fillId="0" borderId="1" xfId="0" applyFont="true" applyBorder="true" applyAlignment="true" applyProtection="false">
      <alignment horizontal="left" vertical="center" textRotation="0" wrapText="true" indent="0" shrinkToFit="false"/>
      <protection locked="true" hidden="false"/>
    </xf>
    <xf numFmtId="164" fontId="37" fillId="0"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73" fontId="17" fillId="5" borderId="1" xfId="0" applyFont="true" applyBorder="true" applyAlignment="true" applyProtection="false">
      <alignment horizontal="center" vertical="center" textRotation="0" wrapText="false" indent="0" shrinkToFit="false"/>
      <protection locked="true" hidden="false"/>
    </xf>
    <xf numFmtId="169" fontId="17" fillId="5"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76" fontId="10" fillId="3"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left" vertical="top" textRotation="0" wrapText="false" indent="0" shrinkToFit="false"/>
      <protection locked="true" hidden="false"/>
    </xf>
    <xf numFmtId="177" fontId="10" fillId="3"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7" fontId="24" fillId="0" borderId="1"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71" fontId="38"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7" fontId="14"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5" fontId="24" fillId="0" borderId="1" xfId="0" applyFont="true" applyBorder="true" applyAlignment="true" applyProtection="false">
      <alignment horizontal="center" vertical="center" textRotation="0" wrapText="false" indent="0" shrinkToFit="false"/>
      <protection locked="true" hidden="false"/>
    </xf>
    <xf numFmtId="165" fontId="14" fillId="3" borderId="1" xfId="0" applyFont="true" applyBorder="true" applyAlignment="true" applyProtection="false">
      <alignment horizontal="center" vertical="center" textRotation="0" wrapText="false" indent="0" shrinkToFit="false"/>
      <protection locked="true" hidden="false"/>
    </xf>
    <xf numFmtId="168" fontId="24" fillId="0" borderId="1" xfId="0" applyFont="true" applyBorder="true" applyAlignment="true" applyProtection="false">
      <alignment horizontal="center" vertical="center" textRotation="0" wrapText="false" indent="0" shrinkToFit="false"/>
      <protection locked="true" hidden="false"/>
    </xf>
    <xf numFmtId="168" fontId="14" fillId="3"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4" fontId="39" fillId="0"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center" vertical="center" textRotation="0" wrapText="false" indent="0" shrinkToFit="false"/>
      <protection locked="true" hidden="false"/>
    </xf>
    <xf numFmtId="164" fontId="19" fillId="3" borderId="1" xfId="0" applyFont="true" applyBorder="true" applyAlignment="true" applyProtection="false">
      <alignment horizontal="center" vertical="center" textRotation="0" wrapText="false" indent="0" shrinkToFit="false"/>
      <protection locked="true" hidden="false"/>
    </xf>
    <xf numFmtId="167" fontId="11" fillId="3" borderId="1" xfId="0" applyFont="true" applyBorder="true" applyAlignment="true" applyProtection="false">
      <alignment horizontal="center" vertical="center" textRotation="0" wrapText="false" indent="0" shrinkToFit="false"/>
      <protection locked="true" hidden="false"/>
    </xf>
    <xf numFmtId="164" fontId="20"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18" fillId="13" borderId="1" xfId="0" applyFont="true" applyBorder="true" applyAlignment="true" applyProtection="false">
      <alignment horizontal="center" vertical="center" textRotation="0" wrapText="false" indent="0" shrinkToFit="false"/>
      <protection locked="true" hidden="false"/>
    </xf>
    <xf numFmtId="164" fontId="43"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general" vertical="center" textRotation="0" wrapText="false" indent="1" shrinkToFit="false"/>
      <protection locked="true" hidden="false"/>
    </xf>
    <xf numFmtId="172" fontId="44" fillId="0" borderId="1" xfId="0" applyFont="true" applyBorder="true" applyAlignment="true" applyProtection="false">
      <alignment horizontal="center" vertical="center"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6" fillId="0" borderId="0" xfId="0" applyFont="true" applyBorder="true" applyAlignment="true" applyProtection="false">
      <alignment horizontal="left" vertical="center" textRotation="0" wrapText="false" indent="0" shrinkToFit="false"/>
      <protection locked="true" hidden="false"/>
    </xf>
    <xf numFmtId="164" fontId="47" fillId="0" borderId="1" xfId="0" applyFont="true" applyBorder="true" applyAlignment="true" applyProtection="false">
      <alignment horizontal="center" vertical="center" textRotation="0" wrapText="false" indent="0" shrinkToFit="false"/>
      <protection locked="true" hidden="false"/>
    </xf>
    <xf numFmtId="164" fontId="48" fillId="0" borderId="1" xfId="0" applyFont="true" applyBorder="true" applyAlignment="true" applyProtection="false">
      <alignment horizontal="center" vertical="center" textRotation="0" wrapText="false" indent="0" shrinkToFit="false"/>
      <protection locked="true" hidden="false"/>
    </xf>
    <xf numFmtId="164" fontId="48" fillId="0" borderId="1" xfId="0" applyFont="true" applyBorder="true" applyAlignment="true" applyProtection="false">
      <alignment horizontal="general" vertical="center" textRotation="0" wrapText="false" indent="1" shrinkToFit="false"/>
      <protection locked="true" hidden="false"/>
    </xf>
    <xf numFmtId="164" fontId="45" fillId="0" borderId="1" xfId="0" applyFont="true" applyBorder="true" applyAlignment="true" applyProtection="false">
      <alignment horizontal="general" vertical="center" textRotation="0" wrapText="false" indent="1"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false" indent="1" shrinkToFit="false"/>
      <protection locked="true" hidden="false"/>
    </xf>
    <xf numFmtId="164" fontId="11" fillId="3" borderId="1" xfId="0" applyFont="true" applyBorder="true" applyAlignment="true" applyProtection="false">
      <alignment horizontal="general" vertical="center" textRotation="0" wrapText="false" indent="1" shrinkToFit="false"/>
      <protection locked="true" hidden="false"/>
    </xf>
    <xf numFmtId="164" fontId="50" fillId="0" borderId="0" xfId="0" applyFont="true" applyBorder="true" applyAlignment="true" applyProtection="false">
      <alignment horizontal="general" vertical="center" textRotation="0" wrapText="false" indent="1" shrinkToFit="false"/>
      <protection locked="true" hidden="false"/>
    </xf>
    <xf numFmtId="164" fontId="51"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general" vertical="center" textRotation="0" wrapText="false" indent="1" shrinkToFit="false"/>
      <protection locked="true" hidden="false"/>
    </xf>
    <xf numFmtId="172" fontId="34" fillId="0" borderId="1" xfId="0" applyFont="true" applyBorder="true" applyAlignment="true" applyProtection="false">
      <alignment horizontal="center" vertical="center" textRotation="0" wrapText="false" indent="0" shrinkToFit="false"/>
      <protection locked="true" hidden="false"/>
    </xf>
    <xf numFmtId="178" fontId="34" fillId="3" borderId="1" xfId="0" applyFont="true" applyBorder="true" applyAlignment="true" applyProtection="false">
      <alignment horizontal="center" vertical="center" textRotation="0" wrapText="false" indent="0" shrinkToFit="false"/>
      <protection locked="true" hidden="false"/>
    </xf>
    <xf numFmtId="164" fontId="52" fillId="0" borderId="1" xfId="0" applyFont="true" applyBorder="true" applyAlignment="true" applyProtection="false">
      <alignment horizontal="center" vertical="center" textRotation="0" wrapText="false" indent="0" shrinkToFit="false"/>
      <protection locked="true" hidden="false"/>
    </xf>
    <xf numFmtId="164" fontId="53" fillId="0" borderId="0" xfId="0" applyFont="tru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true" applyProtection="false">
      <alignment horizontal="center" vertical="center" textRotation="0" wrapText="false" indent="0" shrinkToFit="false"/>
      <protection locked="true" hidden="false"/>
    </xf>
    <xf numFmtId="179" fontId="34" fillId="3" borderId="1" xfId="0" applyFont="true" applyBorder="true" applyAlignment="true" applyProtection="false">
      <alignment horizontal="center" vertical="center"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79" fontId="43" fillId="0" borderId="0" xfId="0" applyFont="true" applyBorder="false" applyAlignment="true" applyProtection="false">
      <alignment horizontal="center" vertical="center" textRotation="0" wrapText="false" indent="0" shrinkToFit="false"/>
      <protection locked="true" hidden="false"/>
    </xf>
    <xf numFmtId="164" fontId="44"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1" fontId="20" fillId="0" borderId="0" xfId="0" applyFont="true" applyBorder="false" applyAlignment="true" applyProtection="false">
      <alignment horizontal="center" vertical="center" textRotation="0" wrapText="false" indent="0" shrinkToFit="false"/>
      <protection locked="true" hidden="false"/>
    </xf>
    <xf numFmtId="164" fontId="54" fillId="0" borderId="0" xfId="0" applyFont="true" applyBorder="true" applyAlignment="false" applyProtection="false">
      <alignment horizontal="general" vertical="bottom" textRotation="0" wrapText="false" indent="0" shrinkToFit="false"/>
      <protection locked="true" hidden="false"/>
    </xf>
    <xf numFmtId="172" fontId="55" fillId="6"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false" indent="1" shrinkToFit="false"/>
      <protection locked="true" hidden="false"/>
    </xf>
    <xf numFmtId="164" fontId="56" fillId="2" borderId="0" xfId="0" applyFont="true" applyBorder="true" applyAlignment="true" applyProtection="false">
      <alignment horizontal="center" vertical="center" textRotation="0" wrapText="false" indent="0" shrinkToFit="false"/>
      <protection locked="true" hidden="false"/>
    </xf>
    <xf numFmtId="164" fontId="57" fillId="14" borderId="0" xfId="0" applyFont="true" applyBorder="true" applyAlignment="true" applyProtection="false">
      <alignment horizontal="center" vertical="center" textRotation="0" wrapText="false" indent="0" shrinkToFit="false"/>
      <protection locked="true" hidden="false"/>
    </xf>
    <xf numFmtId="164" fontId="41" fillId="0" borderId="0" xfId="0" applyFont="true" applyBorder="true" applyAlignment="true" applyProtection="false">
      <alignment horizontal="general" vertical="top" textRotation="0" wrapText="true" indent="0" shrinkToFit="false"/>
      <protection locked="true" hidden="false"/>
    </xf>
    <xf numFmtId="164" fontId="43" fillId="0" borderId="0" xfId="0" applyFont="true" applyBorder="true" applyAlignment="false" applyProtection="false">
      <alignment horizontal="general" vertical="bottom" textRotation="0" wrapText="false" indent="0" shrinkToFit="false"/>
      <protection locked="true" hidden="false"/>
    </xf>
    <xf numFmtId="164" fontId="43" fillId="0" borderId="1" xfId="0" applyFont="true" applyBorder="true" applyAlignment="true" applyProtection="false">
      <alignment horizontal="general" vertical="center" textRotation="0" wrapText="false" indent="1" shrinkToFit="false"/>
      <protection locked="true" hidden="false"/>
    </xf>
    <xf numFmtId="164" fontId="41" fillId="0" borderId="1" xfId="0" applyFont="true" applyBorder="true" applyAlignment="true" applyProtection="false">
      <alignment horizontal="general" vertical="center" textRotation="0" wrapText="false" indent="1" shrinkToFit="false"/>
      <protection locked="true" hidden="false"/>
    </xf>
    <xf numFmtId="164" fontId="34" fillId="0" borderId="0" xfId="0" applyFont="true" applyBorder="true" applyAlignment="true" applyProtection="false">
      <alignment horizontal="general" vertical="center" textRotation="0" wrapText="false" indent="1" shrinkToFit="false"/>
      <protection locked="true" hidden="false"/>
    </xf>
    <xf numFmtId="164" fontId="58" fillId="6" borderId="1" xfId="0" applyFont="true" applyBorder="true" applyAlignment="true" applyProtection="false">
      <alignment horizontal="general" vertical="center" textRotation="0" wrapText="false" indent="1" shrinkToFit="false"/>
      <protection locked="true" hidden="false"/>
    </xf>
    <xf numFmtId="164" fontId="34" fillId="15"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1" shrinkToFit="false"/>
      <protection locked="true" hidden="false"/>
    </xf>
    <xf numFmtId="164" fontId="59" fillId="16"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34" fillId="0" borderId="1" xfId="0" applyFont="true" applyBorder="true" applyAlignment="true" applyProtection="false">
      <alignment horizontal="left" vertical="center" textRotation="0" wrapText="true" indent="0" shrinkToFit="false"/>
      <protection locked="true" hidden="false"/>
    </xf>
    <xf numFmtId="164" fontId="46" fillId="0" borderId="0" xfId="0" applyFont="true" applyBorder="false" applyAlignment="true" applyProtection="false">
      <alignment horizontal="left"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70" fontId="19" fillId="3" borderId="1" xfId="0" applyFont="true" applyBorder="true" applyAlignment="true" applyProtection="false">
      <alignment horizontal="center" vertical="center" textRotation="0" wrapText="fals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6" fontId="11" fillId="3" borderId="1" xfId="0" applyFont="true" applyBorder="true" applyAlignment="true" applyProtection="false">
      <alignment horizontal="center" vertical="center" textRotation="0" wrapText="true" indent="0" shrinkToFit="false"/>
      <protection locked="true" hidden="false"/>
    </xf>
    <xf numFmtId="164" fontId="34" fillId="0" borderId="1" xfId="0" applyFont="true" applyBorder="true" applyAlignment="true" applyProtection="false">
      <alignment horizontal="left" vertical="top" textRotation="0" wrapText="true" indent="0" shrinkToFit="false"/>
      <protection locked="true" hidden="false"/>
    </xf>
    <xf numFmtId="165" fontId="34" fillId="0" borderId="1" xfId="0" applyFont="true" applyBorder="true" applyAlignment="true" applyProtection="false">
      <alignment horizontal="center" vertical="center" textRotation="0" wrapText="true" indent="0" shrinkToFit="false"/>
      <protection locked="true" hidden="false"/>
    </xf>
    <xf numFmtId="166" fontId="34"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8" fillId="13" borderId="0" xfId="0" applyFont="true" applyBorder="false" applyAlignment="true" applyProtection="false">
      <alignment horizontal="center" vertical="center" textRotation="0" wrapText="false" indent="0" shrinkToFit="false"/>
      <protection locked="true" hidden="false"/>
    </xf>
    <xf numFmtId="164" fontId="25" fillId="5" borderId="1" xfId="0" applyFont="true" applyBorder="tru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center" vertical="top" textRotation="0" wrapText="true" indent="0" shrinkToFit="false"/>
      <protection locked="true" hidden="false"/>
    </xf>
    <xf numFmtId="164" fontId="45"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FFC7CE"/>
        </patternFill>
      </fill>
    </dxf>
    <dxf>
      <fill>
        <patternFill>
          <bgColor rgb="FFC6EFCE"/>
        </patternFill>
      </fill>
    </dxf>
    <dxf>
      <fill>
        <patternFill>
          <bgColor rgb="FF63BE7B"/>
        </patternFill>
      </fill>
    </dxf>
    <dxf>
      <fill>
        <patternFill>
          <bgColor rgb="FFA9D08E"/>
        </patternFill>
      </fill>
    </dxf>
    <dxf>
      <fill>
        <patternFill>
          <bgColor rgb="FFFFD966"/>
        </patternFill>
      </fill>
    </dxf>
    <dxf>
      <fill>
        <patternFill>
          <bgColor rgb="FFF4B183"/>
        </patternFill>
      </fill>
    </dxf>
    <dxf>
      <fill>
        <patternFill>
          <bgColor rgb="FFFF7C80"/>
        </patternFill>
      </fill>
    </dxf>
    <dxf>
      <fill>
        <patternFill>
          <bgColor rgb="FFFFEB9C"/>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s>
  <colors>
    <indexedColors>
      <rgbColor rgb="FF000000"/>
      <rgbColor rgb="FFFFFFFF"/>
      <rgbColor rgb="FFC00000"/>
      <rgbColor rgb="FF00FF00"/>
      <rgbColor rgb="FF0000FF"/>
      <rgbColor rgb="FFFFD966"/>
      <rgbColor rgb="FFFF00FF"/>
      <rgbColor rgb="FF00FFFF"/>
      <rgbColor rgb="FF800000"/>
      <rgbColor rgb="FF008000"/>
      <rgbColor rgb="FF000080"/>
      <rgbColor rgb="FF548235"/>
      <rgbColor rgb="FF800080"/>
      <rgbColor rgb="FF008080"/>
      <rgbColor rgb="FFBFBFBF"/>
      <rgbColor rgb="FF808080"/>
      <rgbColor rgb="FFFDF2F2"/>
      <rgbColor rgb="FF993366"/>
      <rgbColor rgb="FFFFF2CC"/>
      <rgbColor rgb="FFDDEBF7"/>
      <rgbColor rgb="FF660066"/>
      <rgbColor rgb="FFFF7C80"/>
      <rgbColor rgb="FF0066CC"/>
      <rgbColor rgb="FFBDD7EE"/>
      <rgbColor rgb="FF000080"/>
      <rgbColor rgb="FFFF00FF"/>
      <rgbColor rgb="FFFFE699"/>
      <rgbColor rgb="FF00FFFF"/>
      <rgbColor rgb="FF800080"/>
      <rgbColor rgb="FF800000"/>
      <rgbColor rgb="FF008080"/>
      <rgbColor rgb="FF0000FF"/>
      <rgbColor rgb="FF00CCFF"/>
      <rgbColor rgb="FFF2F5F9"/>
      <rgbColor rgb="FFC6EFCE"/>
      <rgbColor rgb="FFFFEB9C"/>
      <rgbColor rgb="FFA9D08E"/>
      <rgbColor rgb="FFF4B183"/>
      <rgbColor rgb="FFF2F2F2"/>
      <rgbColor rgb="FFFFC7CE"/>
      <rgbColor rgb="FF2E75B6"/>
      <rgbColor rgb="FF63BE7B"/>
      <rgbColor rgb="FF99CC00"/>
      <rgbColor rgb="FFFFC000"/>
      <rgbColor rgb="FFF2A541"/>
      <rgbColor rgb="FFFF6600"/>
      <rgbColor rgb="FF595959"/>
      <rgbColor rgb="FF969696"/>
      <rgbColor rgb="FF1F4E78"/>
      <rgbColor rgb="FF339966"/>
      <rgbColor rgb="FF0061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ables/table1.xml><?xml version="1.0" encoding="utf-8"?>
<table xmlns="http://schemas.openxmlformats.org/spreadsheetml/2006/main" id="1" name="tblBASE" displayName="tblBASE" ref="A5:G755" headerRowCount="1" totalsRowCount="0" totalsRowShown="0">
  <autoFilter ref="A5:G755"/>
  <tableColumns count="7">
    <tableColumn id="1" name="Clave"/>
    <tableColumn id="2" name="Actividad"/>
    <tableColumn id="3" name="Núm."/>
    <tableColumn id="4" name="Indicador"/>
    <tableColumn id="5" name="Perfil ALTO"/>
    <tableColumn id="6" name="Perfil MEDIO"/>
    <tableColumn id="7" name="Perfil BAJ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7.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B1:F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44"/>
    <col collapsed="false" customWidth="true" hidden="false" outlineLevel="0" max="4" min="4" style="1" width="28"/>
    <col collapsed="false" customWidth="true" hidden="false" outlineLevel="0" max="5" min="5" style="1" width="20"/>
    <col collapsed="false" customWidth="true" hidden="false" outlineLevel="0" max="6" min="6" style="1" width="18"/>
  </cols>
  <sheetData>
    <row r="1" customFormat="false" ht="15" hidden="false" customHeight="false" outlineLevel="0" collapsed="false">
      <c r="B1" s="2" t="s">
        <v>0</v>
      </c>
    </row>
    <row r="2" customFormat="false" ht="21.75" hidden="false" customHeight="true" outlineLevel="0" collapsed="false">
      <c r="B2" s="3" t="s">
        <v>1</v>
      </c>
    </row>
    <row r="3" customFormat="false" ht="15" hidden="false" customHeight="true" outlineLevel="0" collapsed="false">
      <c r="B3" s="4" t="s">
        <v>2</v>
      </c>
    </row>
    <row r="4" customFormat="false" ht="15" hidden="false" customHeight="true" outlineLevel="0" collapsed="false">
      <c r="B4" s="5" t="s">
        <v>3</v>
      </c>
    </row>
    <row r="5" customFormat="false" ht="15" hidden="false" customHeight="true" outlineLevel="0" collapsed="false">
      <c r="B5" s="6" t="s">
        <v>4</v>
      </c>
    </row>
    <row r="6" customFormat="false" ht="15" hidden="false" customHeight="true" outlineLevel="0" collapsed="false">
      <c r="B6" s="7" t="s">
        <v>5</v>
      </c>
      <c r="C6" s="7"/>
      <c r="D6" s="7"/>
      <c r="E6" s="7"/>
      <c r="F6" s="7"/>
    </row>
    <row r="7" customFormat="false" ht="15" hidden="false" customHeight="true" outlineLevel="0" collapsed="false">
      <c r="B7" s="8" t="s">
        <v>6</v>
      </c>
      <c r="C7" s="8"/>
      <c r="D7" s="8"/>
      <c r="E7" s="8"/>
      <c r="F7" s="8"/>
    </row>
    <row r="8" customFormat="false" ht="15" hidden="false" customHeight="true" outlineLevel="0" collapsed="false">
      <c r="B8" s="8" t="s">
        <v>7</v>
      </c>
      <c r="C8" s="8"/>
      <c r="D8" s="8"/>
      <c r="E8" s="8"/>
      <c r="F8" s="8"/>
    </row>
    <row r="9" customFormat="false" ht="27.75" hidden="false" customHeight="true" outlineLevel="0" collapsed="false">
      <c r="B9" s="8" t="s">
        <v>8</v>
      </c>
      <c r="C9" s="8"/>
      <c r="D9" s="8"/>
      <c r="E9" s="8"/>
      <c r="F9" s="8"/>
    </row>
    <row r="10" customFormat="false" ht="15" hidden="false" customHeight="true" outlineLevel="0" collapsed="false">
      <c r="B10" s="8" t="s">
        <v>9</v>
      </c>
      <c r="C10" s="8"/>
      <c r="D10" s="8"/>
      <c r="E10" s="8"/>
      <c r="F10" s="8"/>
    </row>
    <row r="11" customFormat="false" ht="27.75" hidden="false" customHeight="true" outlineLevel="0" collapsed="false">
      <c r="B11" s="8" t="s">
        <v>10</v>
      </c>
      <c r="C11" s="8"/>
      <c r="D11" s="8"/>
      <c r="E11" s="8"/>
      <c r="F11" s="8"/>
    </row>
    <row r="12" customFormat="false" ht="27.75" hidden="false" customHeight="true" outlineLevel="0" collapsed="false">
      <c r="B12" s="8" t="s">
        <v>11</v>
      </c>
      <c r="C12" s="8"/>
      <c r="D12" s="8"/>
      <c r="E12" s="8"/>
      <c r="F12" s="8"/>
    </row>
    <row r="13" customFormat="false" ht="15" hidden="false" customHeight="false" outlineLevel="0" collapsed="false">
      <c r="B13" s="9" t="s">
        <v>12</v>
      </c>
    </row>
    <row r="14" customFormat="false" ht="15" hidden="false" customHeight="true" outlineLevel="0" collapsed="false">
      <c r="B14" s="7" t="s">
        <v>13</v>
      </c>
      <c r="C14" s="7"/>
      <c r="D14" s="7"/>
      <c r="E14" s="7"/>
      <c r="F14" s="7"/>
    </row>
    <row r="15" customFormat="false" ht="15" hidden="false" customHeight="true" outlineLevel="0" collapsed="false">
      <c r="B15" s="10" t="s">
        <v>14</v>
      </c>
      <c r="C15" s="11" t="s">
        <v>15</v>
      </c>
      <c r="D15" s="12" t="s">
        <v>16</v>
      </c>
      <c r="E15" s="12"/>
      <c r="F15" s="12"/>
    </row>
    <row r="16" customFormat="false" ht="15" hidden="false" customHeight="true" outlineLevel="0" collapsed="false">
      <c r="B16" s="13" t="s">
        <v>17</v>
      </c>
      <c r="C16" s="1" t="s">
        <v>18</v>
      </c>
      <c r="D16" s="14" t="s">
        <v>19</v>
      </c>
    </row>
    <row r="17" customFormat="false" ht="15" hidden="false" customHeight="true" outlineLevel="0" collapsed="false">
      <c r="B17" s="7" t="s">
        <v>20</v>
      </c>
      <c r="C17" s="7"/>
      <c r="D17" s="7"/>
      <c r="E17" s="7"/>
      <c r="F17" s="7"/>
    </row>
    <row r="18" customFormat="false" ht="15" hidden="false" customHeight="true" outlineLevel="0" collapsed="false">
      <c r="B18" s="15" t="s">
        <v>21</v>
      </c>
      <c r="C18" s="10" t="s">
        <v>22</v>
      </c>
      <c r="D18" s="10"/>
      <c r="E18" s="10"/>
      <c r="F18" s="10"/>
    </row>
    <row r="19" customFormat="false" ht="15" hidden="false" customHeight="true" outlineLevel="0" collapsed="false">
      <c r="B19" s="15" t="s">
        <v>23</v>
      </c>
      <c r="C19" s="16" t="str">
        <f aca="false">IFERROR(INDEX(CATALOGO!$C$6:$C$35,MATCH($C$18,CATALOGO!$E$6:$E$35,0)),"")</f>
        <v>V</v>
      </c>
    </row>
    <row r="20" customFormat="false" ht="15" hidden="false" customHeight="true" outlineLevel="0" collapsed="false">
      <c r="B20" s="15" t="s">
        <v>24</v>
      </c>
      <c r="C20" s="17" t="str">
        <f aca="false">IFERROR(INDEX(CATALOGO!$F$6:$F$35,MATCH($C$18,CATALOGO!$E$6:$E$35,0)),"")</f>
        <v>Siempre</v>
      </c>
      <c r="D20" s="15" t="s">
        <v>25</v>
      </c>
      <c r="E20" s="17" t="n">
        <f aca="false">IFERROR(INDEX(CATALOGO!$G$6:$G$35,MATCH($C$18,CATALOGO!$E$6:$E$35,0)),"")</f>
        <v>8025</v>
      </c>
    </row>
    <row r="21" customFormat="false" ht="15" hidden="false" customHeight="true" outlineLevel="0" collapsed="false">
      <c r="B21" s="15" t="s">
        <v>26</v>
      </c>
      <c r="C21" s="18" t="str">
        <f aca="false">IFERROR(INDEX(CATALOGO!$H$6:$H$35,MATCH($C$18,CATALOGO!$E$6:$E$35,0)),"")</f>
        <v>Siempre</v>
      </c>
      <c r="D21" s="15" t="s">
        <v>27</v>
      </c>
      <c r="E21" s="18" t="n">
        <f aca="false">IFERROR(INDEX(CATALOGO!$I$6:$I$35,MATCH($C$18,CATALOGO!$E$6:$E$35,0)),"")</f>
        <v>941412.75</v>
      </c>
    </row>
    <row r="23" customFormat="false" ht="15" hidden="false" customHeight="true" outlineLevel="0" collapsed="false">
      <c r="B23" s="7" t="s">
        <v>28</v>
      </c>
      <c r="C23" s="7"/>
      <c r="D23" s="7"/>
      <c r="E23" s="7"/>
      <c r="F23" s="7"/>
    </row>
    <row r="24" customFormat="false" ht="15" hidden="false" customHeight="true" outlineLevel="0" collapsed="false">
      <c r="B24" s="15" t="s">
        <v>29</v>
      </c>
      <c r="C24" s="10" t="s">
        <v>30</v>
      </c>
      <c r="D24" s="10"/>
      <c r="E24" s="10"/>
      <c r="F24" s="10"/>
    </row>
    <row r="25" customFormat="false" ht="15" hidden="false" customHeight="true" outlineLevel="0" collapsed="false">
      <c r="B25" s="15" t="s">
        <v>31</v>
      </c>
      <c r="C25" s="10" t="s">
        <v>32</v>
      </c>
      <c r="D25" s="10"/>
      <c r="E25" s="10"/>
      <c r="F25" s="10"/>
    </row>
    <row r="26" customFormat="false" ht="23.25" hidden="false" customHeight="true" outlineLevel="0" collapsed="false">
      <c r="B26" s="15" t="s">
        <v>33</v>
      </c>
      <c r="C26" s="10" t="s">
        <v>34</v>
      </c>
      <c r="D26" s="10"/>
      <c r="E26" s="10"/>
      <c r="F26" s="10"/>
    </row>
    <row r="27" customFormat="false" ht="15" hidden="false" customHeight="true" outlineLevel="0" collapsed="false">
      <c r="B27" s="15" t="s">
        <v>35</v>
      </c>
      <c r="C27" s="19" t="n">
        <v>46204</v>
      </c>
      <c r="D27" s="19"/>
      <c r="E27" s="19"/>
      <c r="F27" s="19"/>
    </row>
    <row r="28" customFormat="false" ht="15" hidden="false" customHeight="true" outlineLevel="0" collapsed="false">
      <c r="B28" s="15" t="s">
        <v>36</v>
      </c>
      <c r="C28" s="19" t="n">
        <v>45839</v>
      </c>
      <c r="D28" s="19"/>
      <c r="E28" s="19"/>
      <c r="F28" s="19"/>
    </row>
    <row r="29" customFormat="false" ht="23.25" hidden="false" customHeight="true" outlineLevel="0" collapsed="false">
      <c r="B29" s="15" t="s">
        <v>37</v>
      </c>
      <c r="C29" s="19" t="n">
        <v>46203</v>
      </c>
      <c r="D29" s="19"/>
      <c r="E29" s="19"/>
      <c r="F29" s="19"/>
    </row>
    <row r="31" customFormat="false" ht="15" hidden="false" customHeight="true" outlineLevel="0" collapsed="false">
      <c r="B31" s="7" t="s">
        <v>38</v>
      </c>
      <c r="C31" s="7"/>
      <c r="D31" s="7"/>
      <c r="E31" s="7"/>
      <c r="F31" s="7"/>
    </row>
    <row r="32" customFormat="false" ht="23.25" hidden="false" customHeight="true" outlineLevel="0" collapsed="false">
      <c r="B32" s="15" t="s">
        <v>39</v>
      </c>
      <c r="C32" s="20" t="n">
        <v>86</v>
      </c>
    </row>
    <row r="33" customFormat="false" ht="23.25" hidden="false" customHeight="true" outlineLevel="0" collapsed="false">
      <c r="B33" s="15" t="s">
        <v>40</v>
      </c>
      <c r="C33" s="20" t="n">
        <v>112</v>
      </c>
    </row>
    <row r="34" customFormat="false" ht="15" hidden="false" customHeight="true" outlineLevel="0" collapsed="false">
      <c r="B34" s="15" t="s">
        <v>41</v>
      </c>
      <c r="C34" s="21" t="n">
        <v>428600000</v>
      </c>
    </row>
    <row r="36" customFormat="false" ht="15" hidden="false" customHeight="true" outlineLevel="0" collapsed="false">
      <c r="B36" s="22" t="s">
        <v>42</v>
      </c>
      <c r="C36" s="22"/>
      <c r="D36" s="22"/>
      <c r="E36" s="22"/>
      <c r="F36" s="22"/>
    </row>
    <row r="38" customFormat="false" ht="15" hidden="false" customHeight="true" outlineLevel="0" collapsed="false">
      <c r="B38" s="23" t="s">
        <v>43</v>
      </c>
    </row>
    <row r="39" customFormat="false" ht="15" hidden="false" customHeight="true" outlineLevel="0" collapsed="false">
      <c r="B39" s="24" t="s">
        <v>44</v>
      </c>
      <c r="E39" s="24" t="s">
        <v>45</v>
      </c>
      <c r="F39" s="24" t="s">
        <v>46</v>
      </c>
    </row>
    <row r="40" customFormat="false" ht="15" hidden="false" customHeight="true" outlineLevel="0" collapsed="false">
      <c r="B40" s="25" t="s">
        <v>47</v>
      </c>
      <c r="E40" s="26" t="n">
        <f aca="false">SUMPRODUCT(--('A1 EXPOSICION'!$G$7:$G$31="Sí"),--(ABS('A1 EXPOSICION'!$N$7:$N$31-1)&gt;0.001))</f>
        <v>0</v>
      </c>
      <c r="F40" s="27" t="str">
        <f aca="false">IF(E40=0,"OK","Corregir")</f>
        <v>OK</v>
      </c>
    </row>
    <row r="41" customFormat="false" ht="15" hidden="false" customHeight="true" outlineLevel="0" collapsed="false">
      <c r="B41" s="25" t="s">
        <v>48</v>
      </c>
      <c r="E41" s="28" t="n">
        <f aca="false">'A1 EXPOSICION'!$D$40</f>
        <v>1</v>
      </c>
      <c r="F41" s="27" t="str">
        <f aca="false">IF(ABS(E41-1)&lt;=0.001,"OK","Corregir")</f>
        <v>OK</v>
      </c>
    </row>
    <row r="42" customFormat="false" ht="15" hidden="false" customHeight="true" outlineLevel="0" collapsed="false">
      <c r="B42" s="25" t="s">
        <v>49</v>
      </c>
      <c r="E42" s="26" t="n">
        <f aca="false">'A1 EXPOSICION'!$E$45</f>
        <v>0</v>
      </c>
      <c r="F42" s="27" t="str">
        <f aca="false">IF(E42=0,"OK","Corregir")</f>
        <v>OK</v>
      </c>
    </row>
    <row r="43" customFormat="false" ht="15" hidden="false" customHeight="true" outlineLevel="0" collapsed="false">
      <c r="B43" s="25" t="s">
        <v>50</v>
      </c>
      <c r="E43" s="26" t="n">
        <f aca="false">'A4 CONTROLES MINIMOS'!$F$36</f>
        <v>0</v>
      </c>
      <c r="F43" s="27" t="str">
        <f aca="false">IF(E43=0,"OK","Corregir")</f>
        <v>OK</v>
      </c>
    </row>
    <row r="44" customFormat="false" ht="15" hidden="false" customHeight="true" outlineLevel="0" collapsed="false">
      <c r="B44" s="25" t="s">
        <v>51</v>
      </c>
      <c r="E44" s="26" t="n">
        <f aca="false">'A4 CONTROLES MINIMOS'!$F$33</f>
        <v>0</v>
      </c>
      <c r="F44" s="27" t="str">
        <f aca="false">IF(E44=0,"OK","Corregir")</f>
        <v>OK</v>
      </c>
    </row>
    <row r="45" customFormat="false" ht="15" hidden="false" customHeight="true" outlineLevel="0" collapsed="false">
      <c r="B45" s="25" t="s">
        <v>52</v>
      </c>
      <c r="E45" s="26" t="n">
        <f aca="false">'A4 CONTROLES MINIMOS'!$F$34</f>
        <v>0</v>
      </c>
      <c r="F45" s="27" t="str">
        <f aca="false">IF(E45=0,"OK","Corregir")</f>
        <v>OK</v>
      </c>
    </row>
    <row r="46" customFormat="false" ht="15" hidden="false" customHeight="true" outlineLevel="0" collapsed="false">
      <c r="B46" s="25" t="s">
        <v>53</v>
      </c>
      <c r="E46" s="26" t="n">
        <f aca="false">'A9 CONSTANCIA Y FUENTES'!$D$6</f>
        <v>0</v>
      </c>
      <c r="F46" s="27" t="str">
        <f aca="false">IF(E46=0,"OK","Corregir")</f>
        <v>OK</v>
      </c>
    </row>
    <row r="48" customFormat="false" ht="32.25" hidden="false" customHeight="true" outlineLevel="0" collapsed="false">
      <c r="B48" s="29" t="str">
        <f aca="false">IF(AND(E40=0,ABS(E41-1)&lt;=0.001,E42=0,E43=0,E44=0,E45=0,E46=0),"Evaluación completa: puede imprimirse, aprobarse y conservarse diez años.","Hay verificaciones en «Corregir». La evaluación calcula, pero todavía no es defendible ante un requerimiento.")</f>
        <v>Evaluación completa: puede imprimirse, aprobarse y conservarse diez años.</v>
      </c>
    </row>
  </sheetData>
  <mergeCells count="20">
    <mergeCell ref="B6:F6"/>
    <mergeCell ref="B7:F7"/>
    <mergeCell ref="B8:F8"/>
    <mergeCell ref="B9:F9"/>
    <mergeCell ref="B10:F10"/>
    <mergeCell ref="B11:F11"/>
    <mergeCell ref="B12:F12"/>
    <mergeCell ref="B14:F14"/>
    <mergeCell ref="D15:F15"/>
    <mergeCell ref="B17:F17"/>
    <mergeCell ref="C18:F18"/>
    <mergeCell ref="B23:F23"/>
    <mergeCell ref="C24:F24"/>
    <mergeCell ref="C25:F25"/>
    <mergeCell ref="C26:F26"/>
    <mergeCell ref="C27:F27"/>
    <mergeCell ref="C28:F28"/>
    <mergeCell ref="C29:F29"/>
    <mergeCell ref="B31:F31"/>
    <mergeCell ref="B36:F36"/>
  </mergeCells>
  <dataValidations count="1">
    <dataValidation allowBlank="false" errorStyle="stop" operator="between" showDropDown="false" showErrorMessage="false" showInputMessage="false" sqref="C18" type="list">
      <formula1>CATALOGO!$E$6:$E$35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S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4"/>
    <col collapsed="false" customWidth="true" hidden="false" outlineLevel="0" max="4" min="4" style="1" width="30"/>
    <col collapsed="false" customWidth="true" hidden="false" outlineLevel="0" max="5" min="5" style="1" width="9"/>
    <col collapsed="false" customWidth="true" hidden="false" outlineLevel="0" max="7" min="6" style="1" width="7"/>
    <col collapsed="false" customWidth="true" hidden="false" outlineLevel="0" max="10" min="8" style="1" width="30"/>
    <col collapsed="false" customWidth="true" hidden="false" outlineLevel="0" max="17" min="11" style="1" width="7"/>
    <col collapsed="false" customWidth="true" hidden="false" outlineLevel="0" max="18" min="18" style="1" width="8"/>
    <col collapsed="false" customWidth="true" hidden="false" outlineLevel="0" max="19" min="19" style="1" width="34"/>
  </cols>
  <sheetData>
    <row r="2" customFormat="false" ht="21.75" hidden="false" customHeight="true" outlineLevel="0" collapsed="false">
      <c r="B2" s="30" t="s">
        <v>54</v>
      </c>
    </row>
    <row r="3" customFormat="false" ht="15" hidden="false" customHeight="true" outlineLevel="0" collapsed="false">
      <c r="B3" s="31" t="s">
        <v>55</v>
      </c>
    </row>
    <row r="4" customFormat="false" ht="15" hidden="false" customHeight="true" outlineLevel="0" collapsed="false">
      <c r="B4" s="6" t="s">
        <v>56</v>
      </c>
    </row>
    <row r="5" customFormat="false" ht="15" hidden="false" customHeight="false" outlineLevel="0" collapsed="false">
      <c r="B5" s="32" t="s">
        <v>57</v>
      </c>
      <c r="G5" s="33" t="s">
        <v>58</v>
      </c>
    </row>
    <row r="6" customFormat="false" ht="27.75" hidden="false" customHeight="true" outlineLevel="0" collapsed="false">
      <c r="B6" s="7" t="s">
        <v>59</v>
      </c>
      <c r="C6" s="7" t="s">
        <v>60</v>
      </c>
      <c r="D6" s="7" t="s">
        <v>61</v>
      </c>
      <c r="E6" s="7" t="s">
        <v>62</v>
      </c>
      <c r="F6" s="7" t="s">
        <v>63</v>
      </c>
      <c r="G6" s="7" t="s">
        <v>64</v>
      </c>
      <c r="H6" s="7" t="s">
        <v>65</v>
      </c>
      <c r="I6" s="7" t="s">
        <v>66</v>
      </c>
      <c r="J6" s="7" t="s">
        <v>67</v>
      </c>
      <c r="K6" s="7" t="s">
        <v>68</v>
      </c>
      <c r="L6" s="7" t="s">
        <v>69</v>
      </c>
      <c r="M6" s="7" t="s">
        <v>70</v>
      </c>
      <c r="N6" s="7" t="s">
        <v>71</v>
      </c>
      <c r="O6" s="7" t="s">
        <v>72</v>
      </c>
      <c r="P6" s="7" t="s">
        <v>73</v>
      </c>
      <c r="Q6" s="7" t="s">
        <v>74</v>
      </c>
      <c r="R6" s="7" t="s">
        <v>75</v>
      </c>
      <c r="S6" s="7" t="s">
        <v>76</v>
      </c>
    </row>
    <row r="7" customFormat="false" ht="45.75" hidden="false" customHeight="true" outlineLevel="0" collapsed="false">
      <c r="B7" s="34" t="n">
        <v>1</v>
      </c>
      <c r="C7" s="35" t="n">
        <v>1</v>
      </c>
      <c r="D7" s="36" t="s">
        <v>77</v>
      </c>
      <c r="E7" s="35"/>
      <c r="F7" s="37" t="s">
        <v>78</v>
      </c>
      <c r="G7" s="38" t="s">
        <v>79</v>
      </c>
      <c r="H7" s="39" t="str">
        <f aca="false">IFERROR(INDEX(BASE!$E:$E,MATCH(INICIO!$C$18&amp;"-"&amp;$C7,BASE!$A:$A,0)),"")</f>
        <v>El inmueble tiene un valor unitario muy por encima del ticket promedio de tu operación de doce meses.</v>
      </c>
      <c r="I7" s="39" t="str">
        <f aca="false">IFERROR(INDEX(BASE!$F:$F,MATCH(INICIO!$C$18&amp;"-"&amp;$C7,BASE!$A:$A,0)),"")</f>
        <v>El inmueble tiene un valor unitario dentro del rango habitual de tu operación.</v>
      </c>
      <c r="J7" s="39" t="str">
        <f aca="false">IFERROR(INDEX(BASE!$G:$G,MATCH(INICIO!$C$18&amp;"-"&amp;$C7,BASE!$A:$A,0)),"")</f>
        <v>El inmueble tiene un valor unitario por debajo de tu ticket promedio.</v>
      </c>
      <c r="K7" s="40" t="n">
        <v>0.2</v>
      </c>
      <c r="L7" s="40" t="n">
        <v>0.35</v>
      </c>
      <c r="M7" s="40" t="n">
        <v>0.45</v>
      </c>
      <c r="N7" s="41" t="n">
        <f aca="false">K7+L7+M7</f>
        <v>1</v>
      </c>
      <c r="O7" s="40" t="n">
        <v>0.3</v>
      </c>
      <c r="P7" s="42" t="n">
        <f aca="false">IF($G7="No",0,ROUND(5*K7+3*L7+1*M7,0))</f>
        <v>3</v>
      </c>
      <c r="Q7" s="42" t="n">
        <f aca="false">IF($G7="No",0,ROUND(1+4*(K7+L7),0))</f>
        <v>3</v>
      </c>
      <c r="R7" s="42" t="n">
        <f aca="false">P7*Q7</f>
        <v>9</v>
      </c>
      <c r="S7" s="43" t="s">
        <v>80</v>
      </c>
    </row>
    <row r="8" customFormat="false" ht="45.75" hidden="false" customHeight="true" outlineLevel="0" collapsed="false">
      <c r="B8" s="34" t="n">
        <v>1</v>
      </c>
      <c r="C8" s="35" t="n">
        <v>2</v>
      </c>
      <c r="D8" s="36" t="s">
        <v>81</v>
      </c>
      <c r="E8" s="35"/>
      <c r="F8" s="37" t="s">
        <v>78</v>
      </c>
      <c r="G8" s="38" t="s">
        <v>79</v>
      </c>
      <c r="H8" s="39" t="str">
        <f aca="false">IFERROR(INDEX(BASE!$E:$E,MATCH(INICIO!$C$18&amp;"-"&amp;$C8,BASE!$A:$A,0)),"")</f>
        <v>El inmueble puede revenderse o cederse de inmediato y prácticamente a su valor íntegro.</v>
      </c>
      <c r="I8" s="39" t="str">
        <f aca="false">IFERROR(INDEX(BASE!$F:$F,MATCH(INICIO!$C$18&amp;"-"&amp;$C8,BASE!$A:$A,0)),"")</f>
        <v>El inmueble puede revenderse, pero con trámite, plazo o pérdida de valor apreciable.</v>
      </c>
      <c r="J8" s="39" t="str">
        <f aca="false">IFERROR(INDEX(BASE!$G:$G,MATCH(INICIO!$C$18&amp;"-"&amp;$C8,BASE!$A:$A,0)),"")</f>
        <v>El inmueble es difícil de revender: exige formalidades o registro, o pierde valor de forma significativa.</v>
      </c>
      <c r="K8" s="40" t="n">
        <v>0.15</v>
      </c>
      <c r="L8" s="40" t="n">
        <v>0.3</v>
      </c>
      <c r="M8" s="40" t="n">
        <v>0.55</v>
      </c>
      <c r="N8" s="41" t="n">
        <f aca="false">K8+L8+M8</f>
        <v>1</v>
      </c>
      <c r="O8" s="40" t="n">
        <v>0.1</v>
      </c>
      <c r="P8" s="42" t="n">
        <f aca="false">IF($G8="No",0,ROUND(5*K8+3*L8+1*M8,0))</f>
        <v>2</v>
      </c>
      <c r="Q8" s="42" t="n">
        <f aca="false">IF($G8="No",0,ROUND(1+4*(K8+L8),0))</f>
        <v>3</v>
      </c>
      <c r="R8" s="42" t="n">
        <f aca="false">P8*Q8</f>
        <v>6</v>
      </c>
      <c r="S8" s="43" t="s">
        <v>82</v>
      </c>
    </row>
    <row r="9" customFormat="false" ht="45.75" hidden="false" customHeight="true" outlineLevel="0" collapsed="false">
      <c r="B9" s="34" t="n">
        <v>1</v>
      </c>
      <c r="C9" s="35" t="n">
        <v>3</v>
      </c>
      <c r="D9" s="36" t="s">
        <v>83</v>
      </c>
      <c r="E9" s="35"/>
      <c r="F9" s="37" t="s">
        <v>78</v>
      </c>
      <c r="G9" s="38" t="s">
        <v>79</v>
      </c>
      <c r="H9" s="39" t="str">
        <f aca="false">IFERROR(INDEX(BASE!$E:$E,MATCH(INICIO!$C$18&amp;"-"&amp;$C9,BASE!$A:$A,0)),"")</f>
        <v>La compraventa del inmueble admite que quien aparece no sea quien recibe el beneficio, sin que quede registro de quién es el beneficiario final.</v>
      </c>
      <c r="I9" s="39" t="str">
        <f aca="false">IFERROR(INDEX(BASE!$F:$F,MATCH(INICIO!$C$18&amp;"-"&amp;$C9,BASE!$A:$A,0)),"")</f>
        <v>Se identifica a el comprador, pero el beneficiario final se declara sin documento que lo respalde.</v>
      </c>
      <c r="J9" s="39" t="str">
        <f aca="false">IFERROR(INDEX(BASE!$G:$G,MATCH(INICIO!$C$18&amp;"-"&amp;$C9,BASE!$A:$A,0)),"")</f>
        <v>El comprador y el beneficiario final coinciden, y ambos constan en el expediente.</v>
      </c>
      <c r="K9" s="40" t="n">
        <v>0.45</v>
      </c>
      <c r="L9" s="40" t="n">
        <v>0.3</v>
      </c>
      <c r="M9" s="40" t="n">
        <v>0.25</v>
      </c>
      <c r="N9" s="41" t="n">
        <f aca="false">K9+L9+M9</f>
        <v>1</v>
      </c>
      <c r="O9" s="40" t="n">
        <v>0.25</v>
      </c>
      <c r="P9" s="42" t="n">
        <f aca="false">IF($G9="No",0,ROUND(5*K9+3*L9+1*M9,0))</f>
        <v>3</v>
      </c>
      <c r="Q9" s="42" t="n">
        <f aca="false">IF($G9="No",0,ROUND(1+4*(K9+L9),0))</f>
        <v>4</v>
      </c>
      <c r="R9" s="42" t="n">
        <f aca="false">P9*Q9</f>
        <v>12</v>
      </c>
      <c r="S9" s="43" t="s">
        <v>84</v>
      </c>
    </row>
    <row r="10" customFormat="false" ht="45.75" hidden="false" customHeight="true" outlineLevel="0" collapsed="false">
      <c r="B10" s="34" t="n">
        <v>1</v>
      </c>
      <c r="C10" s="35" t="n">
        <v>4</v>
      </c>
      <c r="D10" s="36" t="s">
        <v>85</v>
      </c>
      <c r="E10" s="44" t="s">
        <v>86</v>
      </c>
      <c r="F10" s="37" t="s">
        <v>78</v>
      </c>
      <c r="G10" s="45" t="s">
        <v>79</v>
      </c>
      <c r="H10" s="39" t="str">
        <f aca="false">IFERROR(INDEX(BASE!$E:$E,MATCH(INICIO!$C$18&amp;"-"&amp;$C10,BASE!$A:$A,0)),"")</f>
        <v>La compraventa del inmueble admite sobrevaluar, subvaluar o fraccionar el precio sin que la contabilidad lo refleje.</v>
      </c>
      <c r="I10" s="39" t="str">
        <f aca="false">IFERROR(INDEX(BASE!$F:$F,MATCH(INICIO!$C$18&amp;"-"&amp;$C10,BASE!$A:$A,0)),"")</f>
        <v>El precio se aparta del valor de referencia, pero existe explicación documentada de la diferencia.</v>
      </c>
      <c r="J10" s="39" t="str">
        <f aca="false">IFERROR(INDEX(BASE!$G:$G,MATCH(INICIO!$C$18&amp;"-"&amp;$C10,BASE!$A:$A,0)),"")</f>
        <v>El precio corresponde al valor de referencia y queda registrado en la contabilidad.</v>
      </c>
      <c r="K10" s="40" t="n">
        <v>0.35</v>
      </c>
      <c r="L10" s="40" t="n">
        <v>0.35</v>
      </c>
      <c r="M10" s="40" t="n">
        <v>0.3</v>
      </c>
      <c r="N10" s="41" t="n">
        <f aca="false">K10+L10+M10</f>
        <v>1</v>
      </c>
      <c r="O10" s="40" t="n">
        <v>0.25</v>
      </c>
      <c r="P10" s="42" t="n">
        <f aca="false">IF($G10="No",0,ROUND(5*K10+3*L10+1*M10,0))</f>
        <v>3</v>
      </c>
      <c r="Q10" s="42" t="n">
        <f aca="false">IF($G10="No",0,ROUND(1+4*(K10+L10),0))</f>
        <v>4</v>
      </c>
      <c r="R10" s="42" t="n">
        <f aca="false">P10*Q10</f>
        <v>12</v>
      </c>
      <c r="S10" s="43" t="s">
        <v>87</v>
      </c>
    </row>
    <row r="11" customFormat="false" ht="45.75" hidden="false" customHeight="true" outlineLevel="0" collapsed="false">
      <c r="B11" s="34" t="n">
        <v>1</v>
      </c>
      <c r="C11" s="35" t="n">
        <v>5</v>
      </c>
      <c r="D11" s="36" t="s">
        <v>88</v>
      </c>
      <c r="E11" s="46" t="s">
        <v>89</v>
      </c>
      <c r="F11" s="37" t="s">
        <v>78</v>
      </c>
      <c r="G11" s="45" t="s">
        <v>79</v>
      </c>
      <c r="H11" s="39" t="str">
        <f aca="false">IFERROR(INDEX(BASE!$E:$E,MATCH(INICIO!$C$18&amp;"-"&amp;$C11,BASE!$A:$A,0)),"")</f>
        <v>El comprador, su beneficiario o su contraparte aparece en listas de sanciones o de organizaciones terroristas.</v>
      </c>
      <c r="I11" s="39" t="str">
        <f aca="false">IFERROR(INDEX(BASE!$F:$F,MATCH(INICIO!$C$18&amp;"-"&amp;$C11,BASE!$A:$A,0)),"")</f>
        <v>Existe un vínculo indirecto —contraparte, domicilio o ruta de los fondos— con una jurisdicción en conflicto o de acción requerida.</v>
      </c>
      <c r="J11" s="39" t="str">
        <f aca="false">IFERROR(INDEX(BASE!$G:$G,MATCH(INICIO!$C$18&amp;"-"&amp;$C11,BASE!$A:$A,0)),"")</f>
        <v>Sin coincidencias ni vínculos con esas listas ni con jurisdicciones en conflicto, con búsqueda documentada.</v>
      </c>
      <c r="K11" s="40" t="n">
        <v>0.1</v>
      </c>
      <c r="L11" s="40" t="n">
        <v>0.2</v>
      </c>
      <c r="M11" s="40" t="n">
        <v>0.7</v>
      </c>
      <c r="N11" s="41" t="n">
        <f aca="false">K11+L11+M11</f>
        <v>1</v>
      </c>
      <c r="O11" s="40" t="n">
        <v>0.1</v>
      </c>
      <c r="P11" s="42" t="n">
        <f aca="false">IF($G11="No",0,ROUND(5*K11+3*L11+1*M11,0))</f>
        <v>2</v>
      </c>
      <c r="Q11" s="42" t="n">
        <f aca="false">IF($G11="No",0,ROUND(1+4*(K11+L11),0))</f>
        <v>2</v>
      </c>
      <c r="R11" s="42" t="n">
        <f aca="false">P11*Q11</f>
        <v>4</v>
      </c>
      <c r="S11" s="43" t="s">
        <v>90</v>
      </c>
    </row>
    <row r="12" customFormat="false" ht="45.75" hidden="false" customHeight="true" outlineLevel="0" collapsed="false">
      <c r="B12" s="34" t="n">
        <v>2</v>
      </c>
      <c r="C12" s="35" t="n">
        <v>6</v>
      </c>
      <c r="D12" s="36" t="s">
        <v>91</v>
      </c>
      <c r="E12" s="35"/>
      <c r="F12" s="37" t="s">
        <v>92</v>
      </c>
      <c r="G12" s="38" t="s">
        <v>79</v>
      </c>
      <c r="H12" s="39" t="str">
        <f aca="false">IFERROR(INDEX(BASE!$E:$E,MATCH(INICIO!$C$18&amp;"-"&amp;$C12,BASE!$A:$A,0)),"")</f>
        <v>El adquirente del inmueble es un fideicomiso u otro vehículo sin personalidad jurídica propia. No hay un titular único: la figura permite que quien compra y quien queda como dueño sean personas distintas y que ninguna aparezca en el contrato.</v>
      </c>
      <c r="I12" s="39" t="str">
        <f aca="false">IFERROR(INDEX(BASE!$F:$F,MATCH(INICIO!$C$18&amp;"-"&amp;$C12,BASE!$A:$A,0)),"")</f>
        <v>El adquirente del inmueble es persona moral. La voluntad se forma en órganos y la propiedad está en socios, así que hay que llegar al Beneficiario Controlador para saber quién está realmente detrás.</v>
      </c>
      <c r="J12" s="39" t="str">
        <f aca="false">IFERROR(INDEX(BASE!$G:$G,MATCH(INICIO!$C$18&amp;"-"&amp;$C12,BASE!$A:$A,0)),"")</f>
        <v>El adquirente del inmueble es persona física. Coincide quien compra y quien queda como dueño, y la identificación es directa contra un solo expediente.</v>
      </c>
      <c r="K12" s="40" t="n">
        <v>0.3</v>
      </c>
      <c r="L12" s="40" t="n">
        <v>0.35</v>
      </c>
      <c r="M12" s="40" t="n">
        <v>0.35</v>
      </c>
      <c r="N12" s="41" t="n">
        <f aca="false">K12+L12+M12</f>
        <v>1</v>
      </c>
      <c r="O12" s="40" t="n">
        <v>0.18</v>
      </c>
      <c r="P12" s="42" t="n">
        <f aca="false">IF($G12="No",0,ROUND(5*K12+3*L12+1*M12,0))</f>
        <v>3</v>
      </c>
      <c r="Q12" s="42" t="n">
        <f aca="false">IF($G12="No",0,ROUND(1+4*(K12+L12),0))</f>
        <v>4</v>
      </c>
      <c r="R12" s="42" t="n">
        <f aca="false">P12*Q12</f>
        <v>12</v>
      </c>
      <c r="S12" s="43" t="s">
        <v>93</v>
      </c>
    </row>
    <row r="13" customFormat="false" ht="45.75" hidden="false" customHeight="true" outlineLevel="0" collapsed="false">
      <c r="B13" s="34" t="n">
        <v>2</v>
      </c>
      <c r="C13" s="35" t="n">
        <v>7</v>
      </c>
      <c r="D13" s="36" t="s">
        <v>94</v>
      </c>
      <c r="E13" s="35"/>
      <c r="F13" s="37" t="s">
        <v>92</v>
      </c>
      <c r="G13" s="38" t="s">
        <v>79</v>
      </c>
      <c r="H13" s="39" t="str">
        <f aca="false">IFERROR(INDEX(BASE!$E:$E,MATCH(INICIO!$C$18&amp;"-"&amp;$C13,BASE!$A:$A,0)),"")</f>
        <v>Persona moral constituida hace menos de dos años, o persona física menor de veintitrés años.</v>
      </c>
      <c r="I13" s="39" t="str">
        <f aca="false">IFERROR(INDEX(BASE!$F:$F,MATCH(INICIO!$C$18&amp;"-"&amp;$C13,BASE!$A:$A,0)),"")</f>
        <v>Persona moral constituida hace entre dos y cinco años.</v>
      </c>
      <c r="J13" s="39" t="str">
        <f aca="false">IFERROR(INDEX(BASE!$G:$G,MATCH(INICIO!$C$18&amp;"-"&amp;$C13,BASE!$A:$A,0)),"")</f>
        <v>Persona moral con más de cinco años de constituida, o persona física de veintitrés años en adelante.</v>
      </c>
      <c r="K13" s="40" t="n">
        <v>0.15</v>
      </c>
      <c r="L13" s="40" t="n">
        <v>0.3</v>
      </c>
      <c r="M13" s="40" t="n">
        <v>0.55</v>
      </c>
      <c r="N13" s="41" t="n">
        <f aca="false">K13+L13+M13</f>
        <v>1</v>
      </c>
      <c r="O13" s="40" t="n">
        <v>0.08</v>
      </c>
      <c r="P13" s="42" t="n">
        <f aca="false">IF($G13="No",0,ROUND(5*K13+3*L13+1*M13,0))</f>
        <v>2</v>
      </c>
      <c r="Q13" s="42" t="n">
        <f aca="false">IF($G13="No",0,ROUND(1+4*(K13+L13),0))</f>
        <v>3</v>
      </c>
      <c r="R13" s="42" t="n">
        <f aca="false">P13*Q13</f>
        <v>6</v>
      </c>
      <c r="S13" s="43" t="s">
        <v>95</v>
      </c>
    </row>
    <row r="14" customFormat="false" ht="45.75" hidden="false" customHeight="true" outlineLevel="0" collapsed="false">
      <c r="B14" s="34" t="n">
        <v>2</v>
      </c>
      <c r="C14" s="35" t="n">
        <v>8</v>
      </c>
      <c r="D14" s="36" t="s">
        <v>96</v>
      </c>
      <c r="E14" s="35"/>
      <c r="F14" s="37" t="s">
        <v>92</v>
      </c>
      <c r="G14" s="38" t="s">
        <v>79</v>
      </c>
      <c r="H14" s="39" t="str">
        <f aca="false">IFERROR(INDEX(BASE!$E:$E,MATCH(INICIO!$C$18&amp;"-"&amp;$C14,BASE!$A:$A,0)),"")</f>
        <v>El giro que declara el comprador es a su vez una Actividad Vulnerable del artículo 17, o no se acredita con documento alguno.</v>
      </c>
      <c r="I14" s="39" t="str">
        <f aca="false">IFERROR(INDEX(BASE!$F:$F,MATCH(INICIO!$C$18&amp;"-"&amp;$C14,BASE!$A:$A,0)),"")</f>
        <v>El giro se declara y se acredita sólo de forma parcial.</v>
      </c>
      <c r="J14" s="39" t="str">
        <f aca="false">IFERROR(INDEX(BASE!$G:$G,MATCH(INICIO!$C$18&amp;"-"&amp;$C14,BASE!$A:$A,0)),"")</f>
        <v>El giro se acredita con documento: constancia de situación fiscal, acta constitutiva o comprobante de empleo.</v>
      </c>
      <c r="K14" s="40" t="n">
        <v>0.4</v>
      </c>
      <c r="L14" s="40" t="n">
        <v>0.3</v>
      </c>
      <c r="M14" s="40" t="n">
        <v>0.3</v>
      </c>
      <c r="N14" s="41" t="n">
        <f aca="false">K14+L14+M14</f>
        <v>1</v>
      </c>
      <c r="O14" s="40" t="n">
        <v>0.15</v>
      </c>
      <c r="P14" s="42" t="n">
        <f aca="false">IF($G14="No",0,ROUND(5*K14+3*L14+1*M14,0))</f>
        <v>3</v>
      </c>
      <c r="Q14" s="42" t="n">
        <f aca="false">IF($G14="No",0,ROUND(1+4*(K14+L14),0))</f>
        <v>4</v>
      </c>
      <c r="R14" s="42" t="n">
        <f aca="false">P14*Q14</f>
        <v>12</v>
      </c>
      <c r="S14" s="43" t="s">
        <v>97</v>
      </c>
    </row>
    <row r="15" customFormat="false" ht="45.75" hidden="false" customHeight="true" outlineLevel="0" collapsed="false">
      <c r="B15" s="34" t="n">
        <v>2</v>
      </c>
      <c r="C15" s="35" t="n">
        <v>9</v>
      </c>
      <c r="D15" s="36" t="s">
        <v>98</v>
      </c>
      <c r="E15" s="35"/>
      <c r="F15" s="37" t="s">
        <v>92</v>
      </c>
      <c r="G15" s="38" t="s">
        <v>79</v>
      </c>
      <c r="H15" s="39" t="str">
        <f aca="false">IFERROR(INDEX(BASE!$E:$E,MATCH(INICIO!$C$18&amp;"-"&amp;$C15,BASE!$A:$A,0)),"")</f>
        <v>Nacionalidad de país o jurisdicción señalada por la UIF, o no determinada.</v>
      </c>
      <c r="I15" s="39" t="str">
        <f aca="false">IFERROR(INDEX(BASE!$F:$F,MATCH(INICIO!$C$18&amp;"-"&amp;$C15,BASE!$A:$A,0)),"")</f>
        <v>Nacionalidad extranjera de país sin señalamiento.</v>
      </c>
      <c r="J15" s="39" t="str">
        <f aca="false">IFERROR(INDEX(BASE!$G:$G,MATCH(INICIO!$C$18&amp;"-"&amp;$C15,BASE!$A:$A,0)),"")</f>
        <v>Nacionalidad mexicana.</v>
      </c>
      <c r="K15" s="40" t="n">
        <v>0.1</v>
      </c>
      <c r="L15" s="40" t="n">
        <v>0.25</v>
      </c>
      <c r="M15" s="40" t="n">
        <v>0.65</v>
      </c>
      <c r="N15" s="41" t="n">
        <f aca="false">K15+L15+M15</f>
        <v>1</v>
      </c>
      <c r="O15" s="40" t="n">
        <v>0.07</v>
      </c>
      <c r="P15" s="42" t="n">
        <f aca="false">IF($G15="No",0,ROUND(5*K15+3*L15+1*M15,0))</f>
        <v>2</v>
      </c>
      <c r="Q15" s="42" t="n">
        <f aca="false">IF($G15="No",0,ROUND(1+4*(K15+L15),0))</f>
        <v>2</v>
      </c>
      <c r="R15" s="42" t="n">
        <f aca="false">P15*Q15</f>
        <v>4</v>
      </c>
      <c r="S15" s="43" t="s">
        <v>99</v>
      </c>
    </row>
    <row r="16" customFormat="false" ht="45.75" hidden="false" customHeight="true" outlineLevel="0" collapsed="false">
      <c r="B16" s="34" t="n">
        <v>2</v>
      </c>
      <c r="C16" s="35" t="n">
        <v>10</v>
      </c>
      <c r="D16" s="36" t="s">
        <v>100</v>
      </c>
      <c r="E16" s="35"/>
      <c r="F16" s="37" t="s">
        <v>92</v>
      </c>
      <c r="G16" s="38" t="s">
        <v>79</v>
      </c>
      <c r="H16" s="39" t="str">
        <f aca="false">IFERROR(INDEX(BASE!$E:$E,MATCH(INICIO!$C$18&amp;"-"&amp;$C16,BASE!$A:$A,0)),"")</f>
        <v>Residencia en jurisdicción de régimen fiscal preferente o señalada por deficiencias, o domicilio no verificable.</v>
      </c>
      <c r="I16" s="39" t="str">
        <f aca="false">IFERROR(INDEX(BASE!$F:$F,MATCH(INICIO!$C$18&amp;"-"&amp;$C16,BASE!$A:$A,0)),"")</f>
        <v>Residencia en el extranjero sin señalamiento, o en entidad federativa señalada en la ENR.</v>
      </c>
      <c r="J16" s="39" t="str">
        <f aca="false">IFERROR(INDEX(BASE!$G:$G,MATCH(INICIO!$C$18&amp;"-"&amp;$C16,BASE!$A:$A,0)),"")</f>
        <v>Residencia en México, en entidad federativa sin señalamiento en la ENR.</v>
      </c>
      <c r="K16" s="40" t="n">
        <v>0.15</v>
      </c>
      <c r="L16" s="40" t="n">
        <v>0.25</v>
      </c>
      <c r="M16" s="40" t="n">
        <v>0.6</v>
      </c>
      <c r="N16" s="41" t="n">
        <f aca="false">K16+L16+M16</f>
        <v>1</v>
      </c>
      <c r="O16" s="40" t="n">
        <v>0.1</v>
      </c>
      <c r="P16" s="42" t="n">
        <f aca="false">IF($G16="No",0,ROUND(5*K16+3*L16+1*M16,0))</f>
        <v>2</v>
      </c>
      <c r="Q16" s="42" t="n">
        <f aca="false">IF($G16="No",0,ROUND(1+4*(K16+L16),0))</f>
        <v>3</v>
      </c>
      <c r="R16" s="42" t="n">
        <f aca="false">P16*Q16</f>
        <v>6</v>
      </c>
      <c r="S16" s="43" t="s">
        <v>101</v>
      </c>
    </row>
    <row r="17" customFormat="false" ht="45.75" hidden="false" customHeight="true" outlineLevel="0" collapsed="false">
      <c r="B17" s="34" t="n">
        <v>2</v>
      </c>
      <c r="C17" s="35" t="n">
        <v>11</v>
      </c>
      <c r="D17" s="36" t="s">
        <v>102</v>
      </c>
      <c r="E17" s="44" t="s">
        <v>86</v>
      </c>
      <c r="F17" s="37" t="s">
        <v>103</v>
      </c>
      <c r="G17" s="45" t="s">
        <v>79</v>
      </c>
      <c r="H17" s="39" t="str">
        <f aca="false">IFERROR(INDEX(BASE!$E:$E,MATCH(INICIO!$C$18&amp;"-"&amp;$C17,BASE!$A:$A,0)),"")</f>
        <v>Persona Políticamente Expuesta extranjera, o nacional cuyo comportamiento transaccional no corresponde con sus ingresos y funciones.</v>
      </c>
      <c r="I17" s="39" t="str">
        <f aca="false">IFERROR(INDEX(BASE!$F:$F,MATCH(INICIO!$C$18&amp;"-"&amp;$C17,BASE!$A:$A,0)),"")</f>
        <v>Persona Políticamente Expuesta nacional con comportamiento congruente, o familiar o allegado de una.</v>
      </c>
      <c r="J17" s="39" t="str">
        <f aca="false">IFERROR(INDEX(BASE!$G:$G,MATCH(INICIO!$C$18&amp;"-"&amp;$C17,BASE!$A:$A,0)),"")</f>
        <v>Sin condición de Persona Políticamente Expuesta, con búsqueda documentada.</v>
      </c>
      <c r="K17" s="40" t="n">
        <v>0.2</v>
      </c>
      <c r="L17" s="40" t="n">
        <v>0.2</v>
      </c>
      <c r="M17" s="40" t="n">
        <v>0.6</v>
      </c>
      <c r="N17" s="41" t="n">
        <f aca="false">K17+L17+M17</f>
        <v>1</v>
      </c>
      <c r="O17" s="40" t="n">
        <v>0.14</v>
      </c>
      <c r="P17" s="42" t="n">
        <f aca="false">IF($G17="No",0,ROUND(5*K17+3*L17+1*M17,0))</f>
        <v>2</v>
      </c>
      <c r="Q17" s="42" t="n">
        <f aca="false">IF($G17="No",0,ROUND(1+4*(K17+L17),0))</f>
        <v>3</v>
      </c>
      <c r="R17" s="42" t="n">
        <f aca="false">P17*Q17</f>
        <v>6</v>
      </c>
      <c r="S17" s="43" t="s">
        <v>104</v>
      </c>
    </row>
    <row r="18" customFormat="false" ht="45.75" hidden="false" customHeight="true" outlineLevel="0" collapsed="false">
      <c r="B18" s="34" t="n">
        <v>2</v>
      </c>
      <c r="C18" s="35" t="n">
        <v>12</v>
      </c>
      <c r="D18" s="36" t="s">
        <v>105</v>
      </c>
      <c r="E18" s="46" t="s">
        <v>89</v>
      </c>
      <c r="F18" s="37" t="s">
        <v>103</v>
      </c>
      <c r="G18" s="45" t="s">
        <v>79</v>
      </c>
      <c r="H18" s="39" t="str">
        <f aca="false">IFERROR(INDEX(BASE!$E:$E,MATCH(INICIO!$C$18&amp;"-"&amp;$C18,BASE!$A:$A,0)),"")</f>
        <v>Coincidencia positiva en listas de personas bloqueadas o de sanciones, o búsqueda no realizada o sin constancia.</v>
      </c>
      <c r="I18" s="39" t="str">
        <f aca="false">IFERROR(INDEX(BASE!$F:$F,MATCH(INICIO!$C$18&amp;"-"&amp;$C18,BASE!$A:$A,0)),"")</f>
        <v>Coincidencia descartada por homonimia acreditada, con constancia.</v>
      </c>
      <c r="J18" s="39" t="str">
        <f aca="false">IFERROR(INDEX(BASE!$G:$G,MATCH(INICIO!$C$18&amp;"-"&amp;$C18,BASE!$A:$A,0)),"")</f>
        <v>Sin coincidencia, con constancia de la búsqueda y su fecha.</v>
      </c>
      <c r="K18" s="40" t="n">
        <v>0.05</v>
      </c>
      <c r="L18" s="40" t="n">
        <v>0.15</v>
      </c>
      <c r="M18" s="40" t="n">
        <v>0.8</v>
      </c>
      <c r="N18" s="41" t="n">
        <f aca="false">K18+L18+M18</f>
        <v>1</v>
      </c>
      <c r="O18" s="40" t="n">
        <v>0.1</v>
      </c>
      <c r="P18" s="42" t="n">
        <f aca="false">IF($G18="No",0,ROUND(5*K18+3*L18+1*M18,0))</f>
        <v>2</v>
      </c>
      <c r="Q18" s="42" t="n">
        <f aca="false">IF($G18="No",0,ROUND(1+4*(K18+L18),0))</f>
        <v>2</v>
      </c>
      <c r="R18" s="42" t="n">
        <f aca="false">P18*Q18</f>
        <v>4</v>
      </c>
      <c r="S18" s="43" t="s">
        <v>106</v>
      </c>
    </row>
    <row r="19" customFormat="false" ht="45.75" hidden="false" customHeight="true" outlineLevel="0" collapsed="false">
      <c r="B19" s="34" t="n">
        <v>2</v>
      </c>
      <c r="C19" s="35" t="n">
        <v>13</v>
      </c>
      <c r="D19" s="36" t="s">
        <v>107</v>
      </c>
      <c r="E19" s="44" t="s">
        <v>86</v>
      </c>
      <c r="F19" s="37" t="s">
        <v>92</v>
      </c>
      <c r="G19" s="45" t="s">
        <v>79</v>
      </c>
      <c r="H19" s="39" t="str">
        <f aca="false">IFERROR(INDEX(BASE!$E:$E,MATCH(INICIO!$C$18&amp;"-"&amp;$C19,BASE!$A:$A,0)),"")</f>
        <v>No se logra identificar al Beneficiario Controlador de el comprador, o la cadena no es acreditable.</v>
      </c>
      <c r="I19" s="39" t="str">
        <f aca="false">IFERROR(INDEX(BASE!$F:$F,MATCH(INICIO!$C$18&amp;"-"&amp;$C19,BASE!$A:$A,0)),"")</f>
        <v>El Beneficiario Controlador se identifica atravesando dos o más niveles societarios o fiduciarios.</v>
      </c>
      <c r="J19" s="39" t="str">
        <f aca="false">IFERROR(INDEX(BASE!$G:$G,MATCH(INICIO!$C$18&amp;"-"&amp;$C19,BASE!$A:$A,0)),"")</f>
        <v>El Beneficiario Controlador se identifica en un solo nivel, o el comprador es su propio beneficiario.</v>
      </c>
      <c r="K19" s="40" t="n">
        <v>0.35</v>
      </c>
      <c r="L19" s="40" t="n">
        <v>0.35</v>
      </c>
      <c r="M19" s="40" t="n">
        <v>0.3</v>
      </c>
      <c r="N19" s="41" t="n">
        <f aca="false">K19+L19+M19</f>
        <v>1</v>
      </c>
      <c r="O19" s="40" t="n">
        <v>0.18</v>
      </c>
      <c r="P19" s="42" t="n">
        <f aca="false">IF($G19="No",0,ROUND(5*K19+3*L19+1*M19,0))</f>
        <v>3</v>
      </c>
      <c r="Q19" s="42" t="n">
        <f aca="false">IF($G19="No",0,ROUND(1+4*(K19+L19),0))</f>
        <v>4</v>
      </c>
      <c r="R19" s="42" t="n">
        <f aca="false">P19*Q19</f>
        <v>12</v>
      </c>
      <c r="S19" s="43" t="s">
        <v>108</v>
      </c>
    </row>
    <row r="20" customFormat="false" ht="45.75" hidden="false" customHeight="true" outlineLevel="0" collapsed="false">
      <c r="B20" s="34" t="n">
        <v>3</v>
      </c>
      <c r="C20" s="35" t="n">
        <v>14</v>
      </c>
      <c r="D20" s="36" t="s">
        <v>109</v>
      </c>
      <c r="E20" s="44" t="s">
        <v>86</v>
      </c>
      <c r="F20" s="37" t="s">
        <v>110</v>
      </c>
      <c r="G20" s="45" t="s">
        <v>79</v>
      </c>
      <c r="H20" s="39" t="str">
        <f aca="false">IFERROR(INDEX(BASE!$E:$E,MATCH(INICIO!$C$18&amp;"-"&amp;$C20,BASE!$A:$A,0)),"")</f>
        <v>La compraventa del inmueble se pacta con o desde una jurisdicción de alto riesgo o no cooperante.</v>
      </c>
      <c r="I20" s="39" t="str">
        <f aca="false">IFERROR(INDEX(BASE!$F:$F,MATCH(INICIO!$C$18&amp;"-"&amp;$C20,BASE!$A:$A,0)),"")</f>
        <v>La compraventa del inmueble se pacta con una jurisdicción extranjera sin señalamiento.</v>
      </c>
      <c r="J20" s="39" t="str">
        <f aca="false">IFERROR(INDEX(BASE!$G:$G,MATCH(INICIO!$C$18&amp;"-"&amp;$C20,BASE!$A:$A,0)),"")</f>
        <v>La compraventa del inmueble se realiza íntegramente en México.</v>
      </c>
      <c r="K20" s="40" t="n">
        <v>0.15</v>
      </c>
      <c r="L20" s="40" t="n">
        <v>0.25</v>
      </c>
      <c r="M20" s="40" t="n">
        <v>0.6</v>
      </c>
      <c r="N20" s="41" t="n">
        <f aca="false">K20+L20+M20</f>
        <v>1</v>
      </c>
      <c r="O20" s="40" t="n">
        <v>0.3</v>
      </c>
      <c r="P20" s="42" t="n">
        <f aca="false">IF($G20="No",0,ROUND(5*K20+3*L20+1*M20,0))</f>
        <v>2</v>
      </c>
      <c r="Q20" s="42" t="n">
        <f aca="false">IF($G20="No",0,ROUND(1+4*(K20+L20),0))</f>
        <v>3</v>
      </c>
      <c r="R20" s="42" t="n">
        <f aca="false">P20*Q20</f>
        <v>6</v>
      </c>
      <c r="S20" s="43" t="s">
        <v>111</v>
      </c>
    </row>
    <row r="21" customFormat="false" ht="45.75" hidden="false" customHeight="true" outlineLevel="0" collapsed="false">
      <c r="B21" s="34" t="n">
        <v>3</v>
      </c>
      <c r="C21" s="35" t="n">
        <v>15</v>
      </c>
      <c r="D21" s="36" t="s">
        <v>112</v>
      </c>
      <c r="E21" s="35"/>
      <c r="F21" s="37" t="s">
        <v>110</v>
      </c>
      <c r="G21" s="38" t="s">
        <v>79</v>
      </c>
      <c r="H21" s="39" t="str">
        <f aca="false">IFERROR(INDEX(BASE!$E:$E,MATCH(INICIO!$C$18&amp;"-"&amp;$C21,BASE!$A:$A,0)),"")</f>
        <v>La compraventa del inmueble ocurre en un municipio o zona identificada de alto riesgo.</v>
      </c>
      <c r="I21" s="39" t="str">
        <f aca="false">IFERROR(INDEX(BASE!$F:$F,MATCH(INICIO!$C$18&amp;"-"&amp;$C21,BASE!$A:$A,0)),"")</f>
        <v>La compraventa del inmueble ocurre en una entidad federativa con señalamiento en la ENR.</v>
      </c>
      <c r="J21" s="39" t="str">
        <f aca="false">IFERROR(INDEX(BASE!$G:$G,MATCH(INICIO!$C$18&amp;"-"&amp;$C21,BASE!$A:$A,0)),"")</f>
        <v>La compraventa del inmueble ocurre en una entidad federativa sin señalamiento en la ENR.</v>
      </c>
      <c r="K21" s="40" t="n">
        <v>0.3</v>
      </c>
      <c r="L21" s="40" t="n">
        <v>0.35</v>
      </c>
      <c r="M21" s="40" t="n">
        <v>0.35</v>
      </c>
      <c r="N21" s="41" t="n">
        <f aca="false">K21+L21+M21</f>
        <v>1</v>
      </c>
      <c r="O21" s="40" t="n">
        <v>0.3</v>
      </c>
      <c r="P21" s="42" t="n">
        <f aca="false">IF($G21="No",0,ROUND(5*K21+3*L21+1*M21,0))</f>
        <v>3</v>
      </c>
      <c r="Q21" s="42" t="n">
        <f aca="false">IF($G21="No",0,ROUND(1+4*(K21+L21),0))</f>
        <v>4</v>
      </c>
      <c r="R21" s="42" t="n">
        <f aca="false">P21*Q21</f>
        <v>12</v>
      </c>
      <c r="S21" s="43" t="s">
        <v>113</v>
      </c>
    </row>
    <row r="22" customFormat="false" ht="45.75" hidden="false" customHeight="true" outlineLevel="0" collapsed="false">
      <c r="B22" s="34" t="n">
        <v>3</v>
      </c>
      <c r="C22" s="35" t="n">
        <v>16</v>
      </c>
      <c r="D22" s="36" t="s">
        <v>114</v>
      </c>
      <c r="E22" s="46" t="s">
        <v>89</v>
      </c>
      <c r="F22" s="37" t="s">
        <v>110</v>
      </c>
      <c r="G22" s="45" t="s">
        <v>79</v>
      </c>
      <c r="H22" s="39" t="str">
        <f aca="false">IFERROR(INDEX(BASE!$E:$E,MATCH(INICIO!$C$18&amp;"-"&amp;$C22,BASE!$A:$A,0)),"")</f>
        <v>Hay exposición directa a una jurisdicción sancionada, en conflicto armado o de acción requerida del GAFI.</v>
      </c>
      <c r="I22" s="39" t="str">
        <f aca="false">IFERROR(INDEX(BASE!$F:$F,MATCH(INICIO!$C$18&amp;"-"&amp;$C22,BASE!$A:$A,0)),"")</f>
        <v>La exposición es indirecta: una contraparte o la ruta de los fondos toca esa jurisdicción.</v>
      </c>
      <c r="J22" s="39" t="str">
        <f aca="false">IFERROR(INDEX(BASE!$G:$G,MATCH(INICIO!$C$18&amp;"-"&amp;$C22,BASE!$A:$A,0)),"")</f>
        <v>Sin exposición a jurisdicciones sancionadas, en conflicto ni de acción requerida.</v>
      </c>
      <c r="K22" s="40" t="n">
        <v>0.05</v>
      </c>
      <c r="L22" s="40" t="n">
        <v>0.15</v>
      </c>
      <c r="M22" s="40" t="n">
        <v>0.8</v>
      </c>
      <c r="N22" s="41" t="n">
        <f aca="false">K22+L22+M22</f>
        <v>1</v>
      </c>
      <c r="O22" s="40" t="n">
        <v>0.15</v>
      </c>
      <c r="P22" s="42" t="n">
        <f aca="false">IF($G22="No",0,ROUND(5*K22+3*L22+1*M22,0))</f>
        <v>2</v>
      </c>
      <c r="Q22" s="42" t="n">
        <f aca="false">IF($G22="No",0,ROUND(1+4*(K22+L22),0))</f>
        <v>2</v>
      </c>
      <c r="R22" s="42" t="n">
        <f aca="false">P22*Q22</f>
        <v>4</v>
      </c>
      <c r="S22" s="43" t="s">
        <v>115</v>
      </c>
    </row>
    <row r="23" customFormat="false" ht="45.75" hidden="false" customHeight="true" outlineLevel="0" collapsed="false">
      <c r="B23" s="34" t="n">
        <v>3</v>
      </c>
      <c r="C23" s="35" t="n">
        <v>17</v>
      </c>
      <c r="D23" s="36" t="s">
        <v>116</v>
      </c>
      <c r="E23" s="44" t="s">
        <v>86</v>
      </c>
      <c r="F23" s="37" t="s">
        <v>117</v>
      </c>
      <c r="G23" s="45" t="s">
        <v>79</v>
      </c>
      <c r="H23" s="39" t="str">
        <f aca="false">IFERROR(INDEX(BASE!$E:$E,MATCH(INICIO!$C$18&amp;"-"&amp;$C23,BASE!$A:$A,0)),"")</f>
        <v>El domicilio de el comprador y el lugar de la compraventa del inmueble no coinciden, y no hay explicación documentada.</v>
      </c>
      <c r="I23" s="39" t="str">
        <f aca="false">IFERROR(INDEX(BASE!$F:$F,MATCH(INICIO!$C$18&amp;"-"&amp;$C23,BASE!$A:$A,0)),"")</f>
        <v>No coinciden, pero consta por escrito la razón de operar en ese lugar.</v>
      </c>
      <c r="J23" s="39" t="str">
        <f aca="false">IFERROR(INDEX(BASE!$G:$G,MATCH(INICIO!$C$18&amp;"-"&amp;$C23,BASE!$A:$A,0)),"")</f>
        <v>El domicilio de el comprador y el lugar de la compraventa del inmueble coinciden.</v>
      </c>
      <c r="K23" s="40" t="n">
        <v>0.25</v>
      </c>
      <c r="L23" s="40" t="n">
        <v>0.3</v>
      </c>
      <c r="M23" s="40" t="n">
        <v>0.45</v>
      </c>
      <c r="N23" s="41" t="n">
        <f aca="false">K23+L23+M23</f>
        <v>1</v>
      </c>
      <c r="O23" s="40" t="n">
        <v>0.25</v>
      </c>
      <c r="P23" s="42" t="n">
        <f aca="false">IF($G23="No",0,ROUND(5*K23+3*L23+1*M23,0))</f>
        <v>3</v>
      </c>
      <c r="Q23" s="42" t="n">
        <f aca="false">IF($G23="No",0,ROUND(1+4*(K23+L23),0))</f>
        <v>3</v>
      </c>
      <c r="R23" s="42" t="n">
        <f aca="false">P23*Q23</f>
        <v>9</v>
      </c>
      <c r="S23" s="43" t="s">
        <v>118</v>
      </c>
    </row>
    <row r="24" customFormat="false" ht="45.75" hidden="false" customHeight="true" outlineLevel="0" collapsed="false">
      <c r="B24" s="34" t="n">
        <v>4</v>
      </c>
      <c r="C24" s="35" t="n">
        <v>18</v>
      </c>
      <c r="D24" s="36" t="s">
        <v>119</v>
      </c>
      <c r="E24" s="35"/>
      <c r="F24" s="37" t="s">
        <v>120</v>
      </c>
      <c r="G24" s="38" t="s">
        <v>79</v>
      </c>
      <c r="H24" s="39" t="str">
        <f aca="false">IFERROR(INDEX(BASE!$E:$E,MATCH(INICIO!$C$18&amp;"-"&amp;$C24,BASE!$A:$A,0)),"")</f>
        <v>Efectivo por encima de tu umbral interno, instrumento al portador, o pago en especie.</v>
      </c>
      <c r="I24" s="39" t="str">
        <f aca="false">IFERROR(INDEX(BASE!$F:$F,MATCH(INICIO!$C$18&amp;"-"&amp;$C24,BASE!$A:$A,0)),"")</f>
        <v>Pago mixto, con un componente en efectivo por debajo de tu umbral interno.</v>
      </c>
      <c r="J24" s="39" t="str">
        <f aca="false">IFERROR(INDEX(BASE!$G:$G,MATCH(INICIO!$C$18&amp;"-"&amp;$C24,BASE!$A:$A,0)),"")</f>
        <v>Transferencia electrónica o cheque nominativo desde una cuenta a nombre de el comprador.</v>
      </c>
      <c r="K24" s="40" t="n">
        <v>0.5</v>
      </c>
      <c r="L24" s="40" t="n">
        <v>0.25</v>
      </c>
      <c r="M24" s="40" t="n">
        <v>0.25</v>
      </c>
      <c r="N24" s="41" t="n">
        <f aca="false">K24+L24+M24</f>
        <v>1</v>
      </c>
      <c r="O24" s="40" t="n">
        <v>0.22</v>
      </c>
      <c r="P24" s="42" t="n">
        <f aca="false">IF($G24="No",0,ROUND(5*K24+3*L24+1*M24,0))</f>
        <v>4</v>
      </c>
      <c r="Q24" s="42" t="n">
        <f aca="false">IF($G24="No",0,ROUND(1+4*(K24+L24),0))</f>
        <v>4</v>
      </c>
      <c r="R24" s="42" t="n">
        <f aca="false">P24*Q24</f>
        <v>16</v>
      </c>
      <c r="S24" s="43" t="s">
        <v>121</v>
      </c>
    </row>
    <row r="25" customFormat="false" ht="45.75" hidden="false" customHeight="true" outlineLevel="0" collapsed="false">
      <c r="B25" s="34" t="n">
        <v>4</v>
      </c>
      <c r="C25" s="35" t="n">
        <v>19</v>
      </c>
      <c r="D25" s="36" t="s">
        <v>122</v>
      </c>
      <c r="E25" s="35"/>
      <c r="F25" s="37" t="s">
        <v>120</v>
      </c>
      <c r="G25" s="38" t="s">
        <v>79</v>
      </c>
      <c r="H25" s="39" t="str">
        <f aca="false">IFERROR(INDEX(BASE!$E:$E,MATCH(INICIO!$C$18&amp;"-"&amp;$C25,BASE!$A:$A,0)),"")</f>
        <v>Divisa distinta del dólar estadounidense y del euro, o activo virtual.</v>
      </c>
      <c r="I25" s="39" t="str">
        <f aca="false">IFERROR(INDEX(BASE!$F:$F,MATCH(INICIO!$C$18&amp;"-"&amp;$C25,BASE!$A:$A,0)),"")</f>
        <v>Dólar estadounidense o euro, con soporte documental.</v>
      </c>
      <c r="J25" s="39" t="str">
        <f aca="false">IFERROR(INDEX(BASE!$G:$G,MATCH(INICIO!$C$18&amp;"-"&amp;$C25,BASE!$A:$A,0)),"")</f>
        <v>Peso mexicano.</v>
      </c>
      <c r="K25" s="40" t="n">
        <v>0.1</v>
      </c>
      <c r="L25" s="40" t="n">
        <v>0.2</v>
      </c>
      <c r="M25" s="40" t="n">
        <v>0.7</v>
      </c>
      <c r="N25" s="41" t="n">
        <f aca="false">K25+L25+M25</f>
        <v>1</v>
      </c>
      <c r="O25" s="40" t="n">
        <v>0.05</v>
      </c>
      <c r="P25" s="42" t="n">
        <f aca="false">IF($G25="No",0,ROUND(5*K25+3*L25+1*M25,0))</f>
        <v>2</v>
      </c>
      <c r="Q25" s="42" t="n">
        <f aca="false">IF($G25="No",0,ROUND(1+4*(K25+L25),0))</f>
        <v>2</v>
      </c>
      <c r="R25" s="42" t="n">
        <f aca="false">P25*Q25</f>
        <v>4</v>
      </c>
      <c r="S25" s="43" t="s">
        <v>123</v>
      </c>
    </row>
    <row r="26" customFormat="false" ht="45.75" hidden="false" customHeight="true" outlineLevel="0" collapsed="false">
      <c r="B26" s="34" t="n">
        <v>4</v>
      </c>
      <c r="C26" s="35" t="n">
        <v>20</v>
      </c>
      <c r="D26" s="36" t="s">
        <v>124</v>
      </c>
      <c r="E26" s="35"/>
      <c r="F26" s="37" t="s">
        <v>120</v>
      </c>
      <c r="G26" s="38" t="s">
        <v>79</v>
      </c>
      <c r="H26" s="39" t="str">
        <f aca="false">IFERROR(INDEX(BASE!$E:$E,MATCH(INICIO!$C$18&amp;"-"&amp;$C26,BASE!$A:$A,0)),"")</f>
        <v>La compraventa del inmueble iguala o supera el umbral de Aviso de tu fracción del artículo 17.</v>
      </c>
      <c r="I26" s="39" t="str">
        <f aca="false">IFERROR(INDEX(BASE!$F:$F,MATCH(INICIO!$C$18&amp;"-"&amp;$C26,BASE!$A:$A,0)),"")</f>
        <v>La compraventa del inmueble se sitúa entre el umbral de identificación y el de Aviso.</v>
      </c>
      <c r="J26" s="39" t="str">
        <f aca="false">IFERROR(INDEX(BASE!$G:$G,MATCH(INICIO!$C$18&amp;"-"&amp;$C26,BASE!$A:$A,0)),"")</f>
        <v>La compraventa del inmueble queda por debajo del umbral de identificación.</v>
      </c>
      <c r="K26" s="40" t="n">
        <v>0.35</v>
      </c>
      <c r="L26" s="40" t="n">
        <v>0.3</v>
      </c>
      <c r="M26" s="40" t="n">
        <v>0.35</v>
      </c>
      <c r="N26" s="41" t="n">
        <f aca="false">K26+L26+M26</f>
        <v>1</v>
      </c>
      <c r="O26" s="40" t="n">
        <v>0.13</v>
      </c>
      <c r="P26" s="42" t="n">
        <f aca="false">IF($G26="No",0,ROUND(5*K26+3*L26+1*M26,0))</f>
        <v>3</v>
      </c>
      <c r="Q26" s="42" t="n">
        <f aca="false">IF($G26="No",0,ROUND(1+4*(K26+L26),0))</f>
        <v>4</v>
      </c>
      <c r="R26" s="42" t="n">
        <f aca="false">P26*Q26</f>
        <v>12</v>
      </c>
      <c r="S26" s="43" t="s">
        <v>125</v>
      </c>
    </row>
    <row r="27" customFormat="false" ht="45.75" hidden="false" customHeight="true" outlineLevel="0" collapsed="false">
      <c r="B27" s="34" t="n">
        <v>4</v>
      </c>
      <c r="C27" s="35" t="n">
        <v>21</v>
      </c>
      <c r="D27" s="36" t="s">
        <v>126</v>
      </c>
      <c r="E27" s="35"/>
      <c r="F27" s="37" t="s">
        <v>120</v>
      </c>
      <c r="G27" s="38" t="s">
        <v>79</v>
      </c>
      <c r="H27" s="39" t="str">
        <f aca="false">IFERROR(INDEX(BASE!$E:$E,MATCH(INICIO!$C$18&amp;"-"&amp;$C27,BASE!$A:$A,0)),"")</f>
        <v>El comprador realiza cinco o más operaciones al año, o varias en intervalos cortos y regulares.</v>
      </c>
      <c r="I27" s="39" t="str">
        <f aca="false">IFERROR(INDEX(BASE!$F:$F,MATCH(INICIO!$C$18&amp;"-"&amp;$C27,BASE!$A:$A,0)),"")</f>
        <v>El comprador realiza entre dos y cuatro operaciones al año.</v>
      </c>
      <c r="J27" s="39" t="str">
        <f aca="false">IFERROR(INDEX(BASE!$G:$G,MATCH(INICIO!$C$18&amp;"-"&amp;$C27,BASE!$A:$A,0)),"")</f>
        <v>El comprador realiza una sola operación en el periodo.</v>
      </c>
      <c r="K27" s="40" t="n">
        <v>0.3</v>
      </c>
      <c r="L27" s="40" t="n">
        <v>0.35</v>
      </c>
      <c r="M27" s="40" t="n">
        <v>0.35</v>
      </c>
      <c r="N27" s="41" t="n">
        <f aca="false">K27+L27+M27</f>
        <v>1</v>
      </c>
      <c r="O27" s="40" t="n">
        <v>0.15</v>
      </c>
      <c r="P27" s="42" t="n">
        <f aca="false">IF($G27="No",0,ROUND(5*K27+3*L27+1*M27,0))</f>
        <v>3</v>
      </c>
      <c r="Q27" s="42" t="n">
        <f aca="false">IF($G27="No",0,ROUND(1+4*(K27+L27),0))</f>
        <v>4</v>
      </c>
      <c r="R27" s="42" t="n">
        <f aca="false">P27*Q27</f>
        <v>12</v>
      </c>
      <c r="S27" s="43" t="s">
        <v>127</v>
      </c>
    </row>
    <row r="28" customFormat="false" ht="45.75" hidden="false" customHeight="true" outlineLevel="0" collapsed="false">
      <c r="B28" s="34" t="n">
        <v>4</v>
      </c>
      <c r="C28" s="35" t="n">
        <v>22</v>
      </c>
      <c r="D28" s="36" t="s">
        <v>128</v>
      </c>
      <c r="E28" s="44" t="s">
        <v>86</v>
      </c>
      <c r="F28" s="37" t="s">
        <v>129</v>
      </c>
      <c r="G28" s="45" t="s">
        <v>79</v>
      </c>
      <c r="H28" s="39" t="str">
        <f aca="false">IFERROR(INDEX(BASE!$E:$E,MATCH(INICIO!$C$18&amp;"-"&amp;$C28,BASE!$A:$A,0)),"")</f>
        <v>La operación llega por un gestor, plataforma o intermediario no acreditado: nadie responde por la identificación de el comprador, y quien opera puede no ser quien dice ser.</v>
      </c>
      <c r="I28" s="39" t="str">
        <f aca="false">IFERROR(INDEX(BASE!$F:$F,MATCH(INICIO!$C$18&amp;"-"&amp;$C28,BASE!$A:$A,0)),"")</f>
        <v>Se identifica a el comprador de forma remota con verificación documental, o a través de un promotor o representante propio con contrato y responsable señalado.</v>
      </c>
      <c r="J28" s="39" t="str">
        <f aca="false">IFERROR(INDEX(BASE!$G:$G,MATCH(INICIO!$C$18&amp;"-"&amp;$C28,BASE!$A:$A,0)),"")</f>
        <v>El comprador comparece de forma directa, o se le identifica en remoto con biometría y prueba de vida.</v>
      </c>
      <c r="K28" s="40" t="n">
        <v>0.25</v>
      </c>
      <c r="L28" s="40" t="n">
        <v>0.35</v>
      </c>
      <c r="M28" s="40" t="n">
        <v>0.4</v>
      </c>
      <c r="N28" s="41" t="n">
        <f aca="false">K28+L28+M28</f>
        <v>1</v>
      </c>
      <c r="O28" s="40" t="n">
        <v>0.1</v>
      </c>
      <c r="P28" s="42" t="n">
        <f aca="false">IF($G28="No",0,ROUND(5*K28+3*L28+1*M28,0))</f>
        <v>3</v>
      </c>
      <c r="Q28" s="42" t="n">
        <f aca="false">IF($G28="No",0,ROUND(1+4*(K28+L28),0))</f>
        <v>3</v>
      </c>
      <c r="R28" s="42" t="n">
        <f aca="false">P28*Q28</f>
        <v>9</v>
      </c>
      <c r="S28" s="43" t="s">
        <v>130</v>
      </c>
    </row>
    <row r="29" customFormat="false" ht="45.75" hidden="false" customHeight="true" outlineLevel="0" collapsed="false">
      <c r="B29" s="34" t="n">
        <v>4</v>
      </c>
      <c r="C29" s="35" t="n">
        <v>23</v>
      </c>
      <c r="D29" s="36" t="s">
        <v>131</v>
      </c>
      <c r="E29" s="35"/>
      <c r="F29" s="37" t="s">
        <v>110</v>
      </c>
      <c r="G29" s="38" t="s">
        <v>79</v>
      </c>
      <c r="H29" s="39" t="str">
        <f aca="false">IFERROR(INDEX(BASE!$E:$E,MATCH(INICIO!$C$18&amp;"-"&amp;$C29,BASE!$A:$A,0)),"")</f>
        <v>El origen de los recursos se declara sin soporte documental, o no se manifiesta.</v>
      </c>
      <c r="I29" s="39" t="str">
        <f aca="false">IFERROR(INDEX(BASE!$F:$F,MATCH(INICIO!$C$18&amp;"-"&amp;$C29,BASE!$A:$A,0)),"")</f>
        <v>El origen se declara y se acredita sólo de forma parcial.</v>
      </c>
      <c r="J29" s="39" t="str">
        <f aca="false">IFERROR(INDEX(BASE!$G:$G,MATCH(INICIO!$C$18&amp;"-"&amp;$C29,BASE!$A:$A,0)),"")</f>
        <v>El origen se acredita con documentación verificable.</v>
      </c>
      <c r="K29" s="40" t="n">
        <v>0.45</v>
      </c>
      <c r="L29" s="40" t="n">
        <v>0.3</v>
      </c>
      <c r="M29" s="40" t="n">
        <v>0.25</v>
      </c>
      <c r="N29" s="41" t="n">
        <f aca="false">K29+L29+M29</f>
        <v>1</v>
      </c>
      <c r="O29" s="40" t="n">
        <v>0.18</v>
      </c>
      <c r="P29" s="42" t="n">
        <f aca="false">IF($G29="No",0,ROUND(5*K29+3*L29+1*M29,0))</f>
        <v>3</v>
      </c>
      <c r="Q29" s="42" t="n">
        <f aca="false">IF($G29="No",0,ROUND(1+4*(K29+L29),0))</f>
        <v>4</v>
      </c>
      <c r="R29" s="42" t="n">
        <f aca="false">P29*Q29</f>
        <v>12</v>
      </c>
      <c r="S29" s="43" t="s">
        <v>132</v>
      </c>
    </row>
    <row r="30" customFormat="false" ht="45.75" hidden="false" customHeight="true" outlineLevel="0" collapsed="false">
      <c r="B30" s="34" t="n">
        <v>4</v>
      </c>
      <c r="C30" s="35" t="n">
        <v>24</v>
      </c>
      <c r="D30" s="36" t="s">
        <v>133</v>
      </c>
      <c r="E30" s="35"/>
      <c r="F30" s="37" t="s">
        <v>110</v>
      </c>
      <c r="G30" s="38" t="s">
        <v>79</v>
      </c>
      <c r="H30" s="39" t="str">
        <f aca="false">IFERROR(INDEX(BASE!$E:$E,MATCH(INICIO!$C$18&amp;"-"&amp;$C30,BASE!$A:$A,0)),"")</f>
        <v>El destino no se manifiesta, o los recursos o el inmueble pasan a un tercero no relacionado con el comprador.</v>
      </c>
      <c r="I30" s="39" t="str">
        <f aca="false">IFERROR(INDEX(BASE!$F:$F,MATCH(INICIO!$C$18&amp;"-"&amp;$C30,BASE!$A:$A,0)),"")</f>
        <v>El destino se declara y es verificable.</v>
      </c>
      <c r="J30" s="39" t="str">
        <f aca="false">IFERROR(INDEX(BASE!$G:$G,MATCH(INICIO!$C$18&amp;"-"&amp;$C30,BASE!$A:$A,0)),"")</f>
        <v>El destino es el inmueble mismo, y queda registrado en la operación.</v>
      </c>
      <c r="K30" s="40" t="n">
        <v>0.3</v>
      </c>
      <c r="L30" s="40" t="n">
        <v>0.3</v>
      </c>
      <c r="M30" s="40" t="n">
        <v>0.4</v>
      </c>
      <c r="N30" s="41" t="n">
        <f aca="false">K30+L30+M30</f>
        <v>1</v>
      </c>
      <c r="O30" s="40" t="n">
        <v>0.09</v>
      </c>
      <c r="P30" s="42" t="n">
        <f aca="false">IF($G30="No",0,ROUND(5*K30+3*L30+1*M30,0))</f>
        <v>3</v>
      </c>
      <c r="Q30" s="42" t="n">
        <f aca="false">IF($G30="No",0,ROUND(1+4*(K30+L30),0))</f>
        <v>3</v>
      </c>
      <c r="R30" s="42" t="n">
        <f aca="false">P30*Q30</f>
        <v>9</v>
      </c>
      <c r="S30" s="43" t="s">
        <v>134</v>
      </c>
    </row>
    <row r="31" customFormat="false" ht="45.75" hidden="false" customHeight="true" outlineLevel="0" collapsed="false">
      <c r="B31" s="34" t="n">
        <v>4</v>
      </c>
      <c r="C31" s="35" t="n">
        <v>25</v>
      </c>
      <c r="D31" s="36" t="s">
        <v>135</v>
      </c>
      <c r="E31" s="46" t="s">
        <v>89</v>
      </c>
      <c r="F31" s="37" t="s">
        <v>129</v>
      </c>
      <c r="G31" s="45" t="s">
        <v>79</v>
      </c>
      <c r="H31" s="39" t="str">
        <f aca="false">IFERROR(INDEX(BASE!$E:$E,MATCH(INICIO!$C$18&amp;"-"&amp;$C31,BASE!$A:$A,0)),"")</f>
        <v>La compraventa del inmueble combina contratación a distancia sin verificación reforzada con pagos en efectivo o instrumentos al portador.</v>
      </c>
      <c r="I31" s="39" t="str">
        <f aca="false">IFERROR(INDEX(BASE!$F:$F,MATCH(INICIO!$C$18&amp;"-"&amp;$C31,BASE!$A:$A,0)),"")</f>
        <v>Concurre uno solo de los dos: o la contratación remota sin verificación reforzada, o el pago en instrumento no bancarizado.</v>
      </c>
      <c r="J31" s="39" t="str">
        <f aca="false">IFERROR(INDEX(BASE!$G:$G,MATCH(INICIO!$C$18&amp;"-"&amp;$C31,BASE!$A:$A,0)),"")</f>
        <v>Ni la forma de contratar ni la de pagar permiten mover valor de forma anónima.</v>
      </c>
      <c r="K31" s="40" t="n">
        <v>0.2</v>
      </c>
      <c r="L31" s="40" t="n">
        <v>0.3</v>
      </c>
      <c r="M31" s="40" t="n">
        <v>0.5</v>
      </c>
      <c r="N31" s="41" t="n">
        <f aca="false">K31+L31+M31</f>
        <v>1</v>
      </c>
      <c r="O31" s="40" t="n">
        <v>0.08</v>
      </c>
      <c r="P31" s="42" t="n">
        <f aca="false">IF($G31="No",0,ROUND(5*K31+3*L31+1*M31,0))</f>
        <v>2</v>
      </c>
      <c r="Q31" s="42" t="n">
        <f aca="false">IF($G31="No",0,ROUND(1+4*(K31+L31),0))</f>
        <v>3</v>
      </c>
      <c r="R31" s="42" t="n">
        <f aca="false">P31*Q31</f>
        <v>6</v>
      </c>
      <c r="S31" s="43" t="s">
        <v>136</v>
      </c>
    </row>
    <row r="33" customFormat="false" ht="21" hidden="false" customHeight="true" outlineLevel="0" collapsed="false">
      <c r="B33" s="47" t="s">
        <v>137</v>
      </c>
      <c r="C33" s="47"/>
      <c r="D33" s="47"/>
      <c r="E33" s="47"/>
      <c r="F33" s="47"/>
      <c r="G33" s="47"/>
      <c r="H33" s="47"/>
      <c r="I33" s="47"/>
      <c r="J33" s="47"/>
      <c r="K33" s="47"/>
    </row>
    <row r="34" customFormat="false" ht="15" hidden="false" customHeight="true" outlineLevel="0" collapsed="false">
      <c r="B34" s="7" t="s">
        <v>138</v>
      </c>
      <c r="C34" s="7"/>
      <c r="D34" s="7" t="s">
        <v>139</v>
      </c>
      <c r="E34" s="7" t="s">
        <v>73</v>
      </c>
      <c r="F34" s="7" t="s">
        <v>74</v>
      </c>
      <c r="G34" s="7" t="s">
        <v>75</v>
      </c>
      <c r="H34" s="7" t="s">
        <v>140</v>
      </c>
      <c r="I34" s="7" t="s">
        <v>141</v>
      </c>
      <c r="J34" s="7" t="s">
        <v>142</v>
      </c>
      <c r="K34" s="7" t="s">
        <v>143</v>
      </c>
      <c r="L34" s="7"/>
      <c r="M34" s="7"/>
      <c r="N34" s="7"/>
      <c r="O34" s="7"/>
      <c r="P34" s="7"/>
      <c r="Q34" s="7"/>
      <c r="R34" s="7"/>
      <c r="S34" s="7"/>
    </row>
    <row r="35" customFormat="false" ht="30" hidden="false" customHeight="true" outlineLevel="0" collapsed="false">
      <c r="B35" s="48" t="s">
        <v>144</v>
      </c>
      <c r="C35" s="48"/>
      <c r="D35" s="49" t="n">
        <v>0.2</v>
      </c>
      <c r="E35" s="50" t="n">
        <f aca="false">IFERROR(SUMPRODUCT($P$7:$P$11,$O$7:$O$11,--($G$7:$G$11="Sí"))/SUMPRODUCT($O$7:$O$11,--($G$7:$G$11="Sí")),0)</f>
        <v>2.8</v>
      </c>
      <c r="F35" s="50" t="n">
        <f aca="false">IFERROR(SUMPRODUCT($Q$7:$Q$11,$O$7:$O$11,--($G$7:$G$11="Sí"))/SUMPRODUCT($O$7:$O$11,--($G$7:$G$11="Sí")),0)</f>
        <v>3.4</v>
      </c>
      <c r="G35" s="50" t="n">
        <f aca="false">E35*F35</f>
        <v>9.52</v>
      </c>
      <c r="H35" s="51" t="str">
        <f aca="false">IFERROR(INDEX(PARAMETROS!$E$15:$E$19,MATCH(G35,PARAMETROS!$B$15:$B$19,1)),"")</f>
        <v>MEDIO</v>
      </c>
      <c r="I35" s="52" t="n">
        <f aca="false">COUNTIF($G$7:$G$11,"No")</f>
        <v>0</v>
      </c>
      <c r="J35" s="53" t="str">
        <f aca="false">IF(I35&gt;5/3,"Revisar: más de un tercio del elemento está en No aplica","")</f>
        <v/>
      </c>
      <c r="K35" s="54" t="s">
        <v>145</v>
      </c>
      <c r="L35" s="54"/>
      <c r="M35" s="54"/>
      <c r="N35" s="54"/>
      <c r="O35" s="54"/>
      <c r="P35" s="54"/>
      <c r="Q35" s="54"/>
      <c r="R35" s="54"/>
      <c r="S35" s="54"/>
    </row>
    <row r="36" customFormat="false" ht="30" hidden="false" customHeight="true" outlineLevel="0" collapsed="false">
      <c r="B36" s="48" t="s">
        <v>146</v>
      </c>
      <c r="C36" s="48"/>
      <c r="D36" s="49" t="n">
        <v>0.3</v>
      </c>
      <c r="E36" s="50" t="n">
        <f aca="false">IFERROR(SUMPRODUCT($P$12:$P$19,$O$12:$O$19,--($G$12:$G$19="Sí"))/SUMPRODUCT($O$12:$O$19,--($G$12:$G$19="Sí")),0)</f>
        <v>2.51</v>
      </c>
      <c r="F36" s="50" t="n">
        <f aca="false">IFERROR(SUMPRODUCT($Q$12:$Q$19,$O$12:$O$19,--($G$12:$G$19="Sí"))/SUMPRODUCT($O$12:$O$19,--($G$12:$G$19="Sí")),0)</f>
        <v>3.34</v>
      </c>
      <c r="G36" s="50" t="n">
        <f aca="false">E36*F36</f>
        <v>8.3834</v>
      </c>
      <c r="H36" s="51" t="str">
        <f aca="false">IFERROR(INDEX(PARAMETROS!$E$15:$E$19,MATCH(G36,PARAMETROS!$B$15:$B$19,1)),"")</f>
        <v>MEDIO BAJO</v>
      </c>
      <c r="I36" s="52" t="n">
        <f aca="false">COUNTIF($G$12:$G$19,"No")</f>
        <v>0</v>
      </c>
      <c r="J36" s="53" t="str">
        <f aca="false">IF(I36&gt;8/3,"Revisar: más de un tercio del elemento está en No aplica","")</f>
        <v/>
      </c>
      <c r="K36" s="54" t="s">
        <v>147</v>
      </c>
      <c r="L36" s="54"/>
      <c r="M36" s="54"/>
      <c r="N36" s="54"/>
      <c r="O36" s="54"/>
      <c r="P36" s="54"/>
      <c r="Q36" s="54"/>
      <c r="R36" s="54"/>
      <c r="S36" s="54"/>
    </row>
    <row r="37" customFormat="false" ht="30" hidden="false" customHeight="true" outlineLevel="0" collapsed="false">
      <c r="B37" s="48" t="s">
        <v>148</v>
      </c>
      <c r="C37" s="48"/>
      <c r="D37" s="49" t="n">
        <v>0.15</v>
      </c>
      <c r="E37" s="50" t="n">
        <f aca="false">IFERROR(SUMPRODUCT($P$20:$P$23,$O$20:$O$23,--($G$20:$G$23="Sí"))/SUMPRODUCT($O$20:$O$23,--($G$20:$G$23="Sí")),0)</f>
        <v>2.55</v>
      </c>
      <c r="F37" s="50" t="n">
        <f aca="false">IFERROR(SUMPRODUCT($Q$20:$Q$23,$O$20:$O$23,--($G$20:$G$23="Sí"))/SUMPRODUCT($O$20:$O$23,--($G$20:$G$23="Sí")),0)</f>
        <v>3.15</v>
      </c>
      <c r="G37" s="50" t="n">
        <f aca="false">E37*F37</f>
        <v>8.0325</v>
      </c>
      <c r="H37" s="51" t="str">
        <f aca="false">IFERROR(INDEX(PARAMETROS!$E$15:$E$19,MATCH(G37,PARAMETROS!$B$15:$B$19,1)),"")</f>
        <v>MEDIO BAJO</v>
      </c>
      <c r="I37" s="52" t="n">
        <f aca="false">COUNTIF($G$20:$G$23,"No")</f>
        <v>0</v>
      </c>
      <c r="J37" s="53" t="str">
        <f aca="false">IF(I37&gt;4/3,"Revisar: más de un tercio del elemento está en No aplica","")</f>
        <v/>
      </c>
      <c r="K37" s="54" t="s">
        <v>149</v>
      </c>
      <c r="L37" s="54"/>
      <c r="M37" s="54"/>
      <c r="N37" s="54"/>
      <c r="O37" s="54"/>
      <c r="P37" s="54"/>
      <c r="Q37" s="54"/>
      <c r="R37" s="54"/>
      <c r="S37" s="54"/>
    </row>
    <row r="38" customFormat="false" ht="30" hidden="false" customHeight="true" outlineLevel="0" collapsed="false">
      <c r="B38" s="48" t="s">
        <v>150</v>
      </c>
      <c r="C38" s="48"/>
      <c r="D38" s="49" t="n">
        <v>0.35</v>
      </c>
      <c r="E38" s="50" t="n">
        <f aca="false">IFERROR(SUMPRODUCT($P$24:$P$31,$O$24:$O$31,--($G$24:$G$31="Sí"))/SUMPRODUCT($O$24:$O$31,--($G$24:$G$31="Sí")),0)</f>
        <v>3.09</v>
      </c>
      <c r="F38" s="50" t="n">
        <f aca="false">IFERROR(SUMPRODUCT($Q$24:$Q$31,$O$24:$O$31,--($G$24:$G$31="Sí"))/SUMPRODUCT($O$24:$O$31,--($G$24:$G$31="Sí")),0)</f>
        <v>3.63</v>
      </c>
      <c r="G38" s="50" t="n">
        <f aca="false">E38*F38</f>
        <v>11.2167</v>
      </c>
      <c r="H38" s="51" t="str">
        <f aca="false">IFERROR(INDEX(PARAMETROS!$E$15:$E$19,MATCH(G38,PARAMETROS!$B$15:$B$19,1)),"")</f>
        <v>MEDIO</v>
      </c>
      <c r="I38" s="52" t="n">
        <f aca="false">COUNTIF($G$24:$G$31,"No")</f>
        <v>0</v>
      </c>
      <c r="J38" s="53" t="str">
        <f aca="false">IF(I38&gt;8/3,"Revisar: más de un tercio del elemento está en No aplica","")</f>
        <v/>
      </c>
      <c r="K38" s="54" t="s">
        <v>151</v>
      </c>
      <c r="L38" s="54"/>
      <c r="M38" s="54"/>
      <c r="N38" s="54"/>
      <c r="O38" s="54"/>
      <c r="P38" s="54"/>
      <c r="Q38" s="54"/>
      <c r="R38" s="54"/>
      <c r="S38" s="54"/>
    </row>
    <row r="40" customFormat="false" ht="34.5" hidden="false" customHeight="true" outlineLevel="0" collapsed="false">
      <c r="B40" s="55" t="s">
        <v>152</v>
      </c>
      <c r="C40" s="55"/>
      <c r="D40" s="56" t="n">
        <f aca="false">SUM(D35:D38)</f>
        <v>1</v>
      </c>
      <c r="E40" s="57" t="n">
        <f aca="false">IFERROR(SUMPRODUCT(E35:E38,D35:D38)/SUM(D35:D38),0)</f>
        <v>2.777</v>
      </c>
      <c r="F40" s="57" t="n">
        <f aca="false">IFERROR(SUMPRODUCT(F35:F38,D35:D38)/SUM(D35:D38),0)</f>
        <v>3.425</v>
      </c>
      <c r="G40" s="57" t="n">
        <f aca="false">E40*F40</f>
        <v>9.511225</v>
      </c>
      <c r="H40" s="58" t="str">
        <f aca="false">IFERROR(INDEX(PARAMETROS!$E$15:$E$19,MATCH(G40,PARAMETROS!$B$15:$B$19,1)),"")</f>
        <v>MEDIO</v>
      </c>
      <c r="I40" s="59" t="n">
        <f aca="false">COUNTIF($G$7:$G$31,"No")</f>
        <v>0</v>
      </c>
      <c r="J40" s="60" t="str">
        <f aca="false">IF(SUMPRODUCT(--($G$7:$G$31="No"),--($S$7:$S$31=""))&gt;0,"Hay exclusiones sin justificación escrita: no son defendibles ante un requerimiento","")</f>
        <v/>
      </c>
      <c r="K40" s="61" t="str">
        <f aca="false">IF(ABS(SUM($D$35:$D$38)-1)&gt;0.001,"Los pesos de los cuatro elementos suman "&amp;TEXT(SUM($D$35:$D$38),"0%")&amp;" y deben sumar 100%. Corrige la columna Peso.","Los pesos de los elementos suman 100%.")</f>
        <v>Los pesos de los elementos suman 100%.</v>
      </c>
      <c r="L40" s="61"/>
      <c r="M40" s="61"/>
      <c r="N40" s="61"/>
      <c r="O40" s="61"/>
      <c r="P40" s="61"/>
      <c r="Q40" s="61"/>
      <c r="R40" s="61"/>
      <c r="S40" s="61"/>
    </row>
    <row r="41" customFormat="false" ht="15" hidden="false" customHeight="true" outlineLevel="0" collapsed="false">
      <c r="K41" s="62" t="s">
        <v>153</v>
      </c>
    </row>
    <row r="42" customFormat="false" ht="15" hidden="false" customHeight="true" outlineLevel="0" collapsed="false">
      <c r="B42" s="63" t="s">
        <v>154</v>
      </c>
    </row>
    <row r="43" customFormat="false" ht="15" hidden="false" customHeight="true" outlineLevel="0" collapsed="false">
      <c r="B43" s="64" t="s">
        <v>155</v>
      </c>
      <c r="E43" s="63" t="n">
        <f aca="false">COUNTIF($G$7:$G$31,"Sí")</f>
        <v>25</v>
      </c>
    </row>
    <row r="44" customFormat="false" ht="15" hidden="false" customHeight="true" outlineLevel="0" collapsed="false">
      <c r="B44" s="64" t="s">
        <v>156</v>
      </c>
      <c r="E44" s="63" t="n">
        <f aca="false">COUNTIF($G$7:$G$31,"No")</f>
        <v>0</v>
      </c>
    </row>
    <row r="45" customFormat="false" ht="15" hidden="false" customHeight="true" outlineLevel="0" collapsed="false">
      <c r="B45" s="64" t="s">
        <v>157</v>
      </c>
      <c r="E45" s="63" t="n">
        <f aca="false">SUMPRODUCT(--($G$7:$G$31="No"),--($S$7:$S$31=""))</f>
        <v>0</v>
      </c>
    </row>
    <row r="46" customFormat="false" ht="15" hidden="false" customHeight="true" outlineLevel="0" collapsed="false">
      <c r="B46" s="62" t="s">
        <v>158</v>
      </c>
    </row>
  </sheetData>
  <mergeCells count="13">
    <mergeCell ref="B33:K33"/>
    <mergeCell ref="B34:C34"/>
    <mergeCell ref="K34:S34"/>
    <mergeCell ref="B35:C35"/>
    <mergeCell ref="K35:S35"/>
    <mergeCell ref="B36:C36"/>
    <mergeCell ref="K36:S36"/>
    <mergeCell ref="B37:C37"/>
    <mergeCell ref="K37:S37"/>
    <mergeCell ref="B38:C38"/>
    <mergeCell ref="K38:S38"/>
    <mergeCell ref="B40:C40"/>
    <mergeCell ref="K40:S40"/>
  </mergeCells>
  <conditionalFormatting sqref="K40:S40">
    <cfRule type="expression" priority="2" aboveAverage="0" equalAverage="0" bottom="0" percent="0" rank="0" text="" dxfId="0">
      <formula>ABS(SUM($D$35:$D$38)-1)&gt;0.001</formula>
    </cfRule>
    <cfRule type="expression" priority="3" aboveAverage="0" equalAverage="0" bottom="0" percent="0" rank="0" text="" dxfId="1">
      <formula>ABS(SUM($D$35:$D$38)-1)&lt;=0.001</formula>
    </cfRule>
  </conditionalFormatting>
  <conditionalFormatting sqref="N7:N31">
    <cfRule type="expression" priority="4" aboveAverage="0" equalAverage="0" bottom="0" percent="0" rank="0" text="" dxfId="0">
      <formula>AND($G7="Sí",ABS(N7-1)&gt;0.001)</formula>
    </cfRule>
    <cfRule type="expression" priority="5" aboveAverage="0" equalAverage="0" bottom="0" percent="0" rank="0" text="" dxfId="1">
      <formula>AND($G7="Sí",ABS(N7-1)&lt;=0.001)</formula>
    </cfRule>
  </conditionalFormatting>
  <conditionalFormatting sqref="S7:S31">
    <cfRule type="expression" priority="6" aboveAverage="0" equalAverage="0" bottom="0" percent="0" rank="0" text="" dxfId="0">
      <formula>AND($G7="No",$S7="")</formula>
    </cfRule>
  </conditionalFormatting>
  <conditionalFormatting sqref="H35:H38">
    <cfRule type="expression" priority="7" aboveAverage="0" equalAverage="0" bottom="0" percent="0" rank="0" text="" dxfId="2">
      <formula>EXACT(H35,"BAJO")</formula>
    </cfRule>
    <cfRule type="expression" priority="8" aboveAverage="0" equalAverage="0" bottom="0" percent="0" rank="0" text="" dxfId="3">
      <formula>EXACT(H35,"MEDIO BAJO")</formula>
    </cfRule>
    <cfRule type="expression" priority="9" aboveAverage="0" equalAverage="0" bottom="0" percent="0" rank="0" text="" dxfId="4">
      <formula>EXACT(H35,"MEDIO")</formula>
    </cfRule>
    <cfRule type="expression" priority="10" aboveAverage="0" equalAverage="0" bottom="0" percent="0" rank="0" text="" dxfId="5">
      <formula>EXACT(H35,"MEDIO ALTO")</formula>
    </cfRule>
    <cfRule type="expression" priority="11" aboveAverage="0" equalAverage="0" bottom="0" percent="0" rank="0" text="" dxfId="6">
      <formula>EXACT(H35,"ALTO")</formula>
    </cfRule>
  </conditionalFormatting>
  <conditionalFormatting sqref="H40">
    <cfRule type="expression" priority="12" aboveAverage="0" equalAverage="0" bottom="0" percent="0" rank="0" text="" dxfId="2">
      <formula>EXACT(H40,"BAJO")</formula>
    </cfRule>
    <cfRule type="expression" priority="13" aboveAverage="0" equalAverage="0" bottom="0" percent="0" rank="0" text="" dxfId="3">
      <formula>EXACT(H40,"MEDIO BAJO")</formula>
    </cfRule>
    <cfRule type="expression" priority="14" aboveAverage="0" equalAverage="0" bottom="0" percent="0" rank="0" text="" dxfId="4">
      <formula>EXACT(H40,"MEDIO")</formula>
    </cfRule>
    <cfRule type="expression" priority="15" aboveAverage="0" equalAverage="0" bottom="0" percent="0" rank="0" text="" dxfId="5">
      <formula>EXACT(H40,"MEDIO ALTO")</formula>
    </cfRule>
    <cfRule type="expression" priority="16" aboveAverage="0" equalAverage="0" bottom="0" percent="0" rank="0" text="" dxfId="6">
      <formula>EXACT(H40,"ALTO")</formula>
    </cfRule>
  </conditionalFormatting>
  <dataValidations count="2">
    <dataValidation allowBlank="false" errorStyle="stop" operator="between" showDropDown="false" showErrorMessage="false" showInputMessage="false" sqref="G10:G11 G17:G20 G22:G23 G28 G31" type="list">
      <formula1>"Sí"</formula1>
      <formula2>0</formula2>
    </dataValidation>
    <dataValidation allowBlank="false" errorStyle="stop" operator="between" showDropDown="false" showErrorMessage="false" showInputMessage="false" sqref="G7:G9 G12:G16 G21 G24:G27 G29:G30"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6" min="3" style="1" width="30"/>
    <col collapsed="false" customWidth="true" hidden="false" outlineLevel="0" max="7" min="7" style="1" width="16"/>
  </cols>
  <sheetData>
    <row r="2" customFormat="false" ht="21.75" hidden="false" customHeight="true" outlineLevel="0" collapsed="false">
      <c r="B2" s="3" t="s">
        <v>159</v>
      </c>
    </row>
    <row r="3" customFormat="false" ht="15" hidden="false" customHeight="true" outlineLevel="0" collapsed="false">
      <c r="B3" s="31" t="s">
        <v>160</v>
      </c>
    </row>
    <row r="4" customFormat="false" ht="15" hidden="false" customHeight="true" outlineLevel="0" collapsed="false">
      <c r="B4" s="6" t="s">
        <v>161</v>
      </c>
    </row>
    <row r="6" customFormat="false" ht="15" hidden="false" customHeight="true" outlineLevel="0" collapsed="false">
      <c r="B6" s="7" t="s">
        <v>162</v>
      </c>
      <c r="C6" s="7"/>
      <c r="D6" s="7"/>
      <c r="E6" s="7"/>
      <c r="F6" s="7"/>
      <c r="G6" s="7" t="s">
        <v>163</v>
      </c>
    </row>
    <row r="7" customFormat="false" ht="78" hidden="false" customHeight="true" outlineLevel="0" collapsed="false">
      <c r="B7" s="65" t="s">
        <v>164</v>
      </c>
      <c r="C7" s="65"/>
      <c r="D7" s="65"/>
      <c r="E7" s="65"/>
      <c r="F7" s="65"/>
      <c r="G7" s="66" t="s">
        <v>165</v>
      </c>
    </row>
    <row r="8" customFormat="false" ht="15" hidden="false" customHeight="true" outlineLevel="0" collapsed="false">
      <c r="B8" s="67"/>
      <c r="C8" s="67"/>
      <c r="D8" s="67"/>
      <c r="E8" s="67"/>
      <c r="F8" s="67"/>
      <c r="G8" s="67"/>
    </row>
    <row r="9" customFormat="false" ht="30" hidden="false" customHeight="true" outlineLevel="0" collapsed="false">
      <c r="B9" s="68" t="s">
        <v>166</v>
      </c>
      <c r="C9" s="68"/>
      <c r="D9" s="68"/>
      <c r="E9" s="68"/>
      <c r="F9" s="68"/>
      <c r="G9" s="68"/>
    </row>
    <row r="10" customFormat="false" ht="15" hidden="false" customHeight="true" outlineLevel="0" collapsed="false">
      <c r="B10" s="67"/>
      <c r="C10" s="67"/>
      <c r="D10" s="67"/>
      <c r="E10" s="67"/>
      <c r="F10" s="67"/>
      <c r="G10" s="67"/>
    </row>
    <row r="11" customFormat="false" ht="15" hidden="false" customHeight="true" outlineLevel="0" collapsed="false">
      <c r="B11" s="67"/>
      <c r="C11" s="67"/>
      <c r="D11" s="67"/>
      <c r="E11" s="67"/>
      <c r="F11" s="67"/>
      <c r="G11" s="67"/>
    </row>
    <row r="12" customFormat="false" ht="15" hidden="false" customHeight="true" outlineLevel="0" collapsed="false">
      <c r="B12" s="67"/>
      <c r="C12" s="67"/>
      <c r="D12" s="67"/>
      <c r="E12" s="67"/>
      <c r="F12" s="67"/>
      <c r="G12" s="67"/>
    </row>
  </sheetData>
  <mergeCells count="3">
    <mergeCell ref="B6:F6"/>
    <mergeCell ref="B7:F7"/>
    <mergeCell ref="B9:G9"/>
  </mergeCells>
  <dataValidations count="1">
    <dataValidation allowBlank="true" errorStyle="stop" operator="between" showDropDown="false" showErrorMessage="false" showInputMessage="false" sqref="G7" type="list">
      <formula1>"Leve,Moderado,Grave,Catastrófico"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30"/>
    <col collapsed="false" customWidth="true" hidden="false" outlineLevel="0" max="6" min="4" style="1" width="10"/>
    <col collapsed="false" customWidth="true" hidden="false" outlineLevel="0" max="7" min="7" style="1" width="14"/>
    <col collapsed="false" customWidth="true" hidden="false" outlineLevel="0" max="8" min="8" style="1" width="10"/>
  </cols>
  <sheetData>
    <row r="2" customFormat="false" ht="21.75" hidden="false" customHeight="true" outlineLevel="0" collapsed="false">
      <c r="B2" s="30" t="s">
        <v>167</v>
      </c>
    </row>
    <row r="3" customFormat="false" ht="15" hidden="false" customHeight="true" outlineLevel="0" collapsed="false">
      <c r="B3" s="31" t="s">
        <v>168</v>
      </c>
    </row>
    <row r="4" customFormat="false" ht="15" hidden="false" customHeight="true" outlineLevel="0" collapsed="false">
      <c r="B4" s="6" t="s">
        <v>169</v>
      </c>
    </row>
    <row r="5" customFormat="false" ht="15" hidden="false" customHeight="true" outlineLevel="0" collapsed="false">
      <c r="B5" s="47" t="s">
        <v>170</v>
      </c>
      <c r="C5" s="47"/>
      <c r="D5" s="47"/>
      <c r="E5" s="47"/>
      <c r="F5" s="47"/>
      <c r="G5" s="47"/>
    </row>
    <row r="6" customFormat="false" ht="15" hidden="false" customHeight="true" outlineLevel="0" collapsed="false">
      <c r="B6" s="7" t="s">
        <v>138</v>
      </c>
      <c r="C6" s="7" t="s">
        <v>73</v>
      </c>
      <c r="D6" s="7" t="s">
        <v>74</v>
      </c>
      <c r="E6" s="7" t="s">
        <v>75</v>
      </c>
      <c r="F6" s="7" t="s">
        <v>140</v>
      </c>
    </row>
    <row r="7" customFormat="false" ht="15" hidden="false" customHeight="true" outlineLevel="0" collapsed="false">
      <c r="B7" s="69" t="s">
        <v>144</v>
      </c>
      <c r="C7" s="70" t="n">
        <f aca="false">'A1 EXPOSICION'!E35</f>
        <v>2.8</v>
      </c>
      <c r="D7" s="70" t="n">
        <f aca="false">'A1 EXPOSICION'!F35</f>
        <v>3.4</v>
      </c>
      <c r="E7" s="70" t="n">
        <f aca="false">'A1 EXPOSICION'!G35</f>
        <v>9.52</v>
      </c>
      <c r="F7" s="71" t="str">
        <f aca="false">IFERROR(INDEX(PARAMETROS!$E$15:$E$19,MATCH(E7,PARAMETROS!$B$15:$B$19,1)),"")</f>
        <v>MEDIO</v>
      </c>
    </row>
    <row r="8" customFormat="false" ht="15" hidden="false" customHeight="true" outlineLevel="0" collapsed="false">
      <c r="B8" s="69" t="s">
        <v>146</v>
      </c>
      <c r="C8" s="70" t="n">
        <f aca="false">'A1 EXPOSICION'!E36</f>
        <v>2.51</v>
      </c>
      <c r="D8" s="70" t="n">
        <f aca="false">'A1 EXPOSICION'!F36</f>
        <v>3.34</v>
      </c>
      <c r="E8" s="70" t="n">
        <f aca="false">'A1 EXPOSICION'!G36</f>
        <v>8.3834</v>
      </c>
      <c r="F8" s="71" t="str">
        <f aca="false">IFERROR(INDEX(PARAMETROS!$E$15:$E$19,MATCH(E8,PARAMETROS!$B$15:$B$19,1)),"")</f>
        <v>MEDIO BAJO</v>
      </c>
    </row>
    <row r="9" customFormat="false" ht="15" hidden="false" customHeight="true" outlineLevel="0" collapsed="false">
      <c r="B9" s="69" t="s">
        <v>148</v>
      </c>
      <c r="C9" s="70" t="n">
        <f aca="false">'A1 EXPOSICION'!E37</f>
        <v>2.55</v>
      </c>
      <c r="D9" s="70" t="n">
        <f aca="false">'A1 EXPOSICION'!F37</f>
        <v>3.15</v>
      </c>
      <c r="E9" s="70" t="n">
        <f aca="false">'A1 EXPOSICION'!G37</f>
        <v>8.0325</v>
      </c>
      <c r="F9" s="71" t="str">
        <f aca="false">IFERROR(INDEX(PARAMETROS!$E$15:$E$19,MATCH(E9,PARAMETROS!$B$15:$B$19,1)),"")</f>
        <v>MEDIO BAJO</v>
      </c>
    </row>
    <row r="10" customFormat="false" ht="15" hidden="false" customHeight="true" outlineLevel="0" collapsed="false">
      <c r="B10" s="69" t="s">
        <v>150</v>
      </c>
      <c r="C10" s="70" t="n">
        <f aca="false">'A1 EXPOSICION'!E38</f>
        <v>3.09</v>
      </c>
      <c r="D10" s="70" t="n">
        <f aca="false">'A1 EXPOSICION'!F38</f>
        <v>3.63</v>
      </c>
      <c r="E10" s="70" t="n">
        <f aca="false">'A1 EXPOSICION'!G38</f>
        <v>11.2167</v>
      </c>
      <c r="F10" s="71" t="str">
        <f aca="false">IFERROR(INDEX(PARAMETROS!$E$15:$E$19,MATCH(E10,PARAMETROS!$B$15:$B$19,1)),"")</f>
        <v>MEDIO</v>
      </c>
    </row>
    <row r="12" customFormat="false" ht="15" hidden="false" customHeight="true" outlineLevel="0" collapsed="false">
      <c r="B12" s="72" t="s">
        <v>171</v>
      </c>
      <c r="C12" s="57" t="n">
        <f aca="false">'A1 EXPOSICION'!E40</f>
        <v>2.777</v>
      </c>
      <c r="D12" s="57" t="n">
        <f aca="false">'A1 EXPOSICION'!F40</f>
        <v>3.425</v>
      </c>
      <c r="E12" s="57" t="n">
        <f aca="false">'A1 EXPOSICION'!G40</f>
        <v>9.511225</v>
      </c>
      <c r="F12" s="58" t="str">
        <f aca="false">IFERROR(INDEX(PARAMETROS!$E$15:$E$19,MATCH(E12,PARAMETROS!$B$15:$B$19,1)),"")</f>
        <v>MEDIO</v>
      </c>
    </row>
    <row r="14" customFormat="false" ht="15" hidden="false" customHeight="true" outlineLevel="0" collapsed="false">
      <c r="B14" s="47" t="s">
        <v>172</v>
      </c>
      <c r="C14" s="47"/>
      <c r="D14" s="47"/>
      <c r="E14" s="47"/>
      <c r="F14" s="47"/>
      <c r="G14" s="47"/>
    </row>
    <row r="15" customFormat="false" ht="15" hidden="false" customHeight="true" outlineLevel="0" collapsed="false">
      <c r="B15" s="7" t="s">
        <v>60</v>
      </c>
      <c r="C15" s="7" t="s">
        <v>61</v>
      </c>
      <c r="D15" s="7" t="s">
        <v>73</v>
      </c>
      <c r="E15" s="7" t="s">
        <v>74</v>
      </c>
      <c r="F15" s="7" t="s">
        <v>75</v>
      </c>
      <c r="G15" s="7" t="s">
        <v>140</v>
      </c>
    </row>
    <row r="16" customFormat="false" ht="15" hidden="false" customHeight="true" outlineLevel="0" collapsed="false">
      <c r="B16" s="52" t="n">
        <v>1</v>
      </c>
      <c r="C16" s="69" t="str">
        <f aca="false">'A1 EXPOSICION'!D7</f>
        <v>Valor unitario de la operación</v>
      </c>
      <c r="D16" s="52" t="n">
        <f aca="false">IF('A1 EXPOSICION'!$G7="No","N/A",'A1 EXPOSICION'!P7)</f>
        <v>3</v>
      </c>
      <c r="E16" s="52" t="n">
        <f aca="false">IF('A1 EXPOSICION'!$G7="No","N/A",'A1 EXPOSICION'!Q7)</f>
        <v>3</v>
      </c>
      <c r="F16" s="52" t="n">
        <f aca="false">IF('A1 EXPOSICION'!$G7="No","N/A",'A1 EXPOSICION'!R7)</f>
        <v>9</v>
      </c>
      <c r="G16" s="51" t="str">
        <f aca="false">IF('A1 EXPOSICION'!$G7="No","No aplica",IFERROR(INDEX(PARAMETROS!$E$15:$E$19,MATCH(F16,PARAMETROS!$B$15:$B$19,1)),""))</f>
        <v>MEDIO BAJO</v>
      </c>
    </row>
    <row r="17" customFormat="false" ht="15" hidden="false" customHeight="true" outlineLevel="0" collapsed="false">
      <c r="B17" s="52" t="n">
        <v>2</v>
      </c>
      <c r="C17" s="69" t="str">
        <f aca="false">'A1 EXPOSICION'!D8</f>
        <v>Liquidez: facilidad de convertir en dinero</v>
      </c>
      <c r="D17" s="52" t="n">
        <f aca="false">IF('A1 EXPOSICION'!$G8="No","N/A",'A1 EXPOSICION'!P8)</f>
        <v>2</v>
      </c>
      <c r="E17" s="52" t="n">
        <f aca="false">IF('A1 EXPOSICION'!$G8="No","N/A",'A1 EXPOSICION'!Q8)</f>
        <v>3</v>
      </c>
      <c r="F17" s="52" t="n">
        <f aca="false">IF('A1 EXPOSICION'!$G8="No","N/A",'A1 EXPOSICION'!R8)</f>
        <v>6</v>
      </c>
      <c r="G17" s="51" t="str">
        <f aca="false">IF('A1 EXPOSICION'!$G8="No","No aplica",IFERROR(INDEX(PARAMETROS!$E$15:$E$19,MATCH(F17,PARAMETROS!$B$15:$B$19,1)),""))</f>
        <v>MEDIO BAJO</v>
      </c>
    </row>
    <row r="18" customFormat="false" ht="15" hidden="false" customHeight="true" outlineLevel="0" collapsed="false">
      <c r="B18" s="52" t="n">
        <v>3</v>
      </c>
      <c r="C18" s="69" t="str">
        <f aca="false">'A1 EXPOSICION'!D9</f>
        <v>Anonimato: si el beneficiario queda a la vista</v>
      </c>
      <c r="D18" s="52" t="n">
        <f aca="false">IF('A1 EXPOSICION'!$G9="No","N/A",'A1 EXPOSICION'!P9)</f>
        <v>3</v>
      </c>
      <c r="E18" s="52" t="n">
        <f aca="false">IF('A1 EXPOSICION'!$G9="No","N/A",'A1 EXPOSICION'!Q9)</f>
        <v>4</v>
      </c>
      <c r="F18" s="52" t="n">
        <f aca="false">IF('A1 EXPOSICION'!$G9="No","N/A",'A1 EXPOSICION'!R9)</f>
        <v>12</v>
      </c>
      <c r="G18" s="51" t="str">
        <f aca="false">IF('A1 EXPOSICION'!$G9="No","No aplica",IFERROR(INDEX(PARAMETROS!$E$15:$E$19,MATCH(F18,PARAMETROS!$B$15:$B$19,1)),""))</f>
        <v>MEDIO</v>
      </c>
    </row>
    <row r="19" customFormat="false" ht="15" hidden="false" customHeight="true" outlineLevel="0" collapsed="false">
      <c r="B19" s="52" t="n">
        <v>4</v>
      </c>
      <c r="C19" s="69" t="str">
        <f aca="false">'A1 EXPOSICION'!D10</f>
        <v>Ocultamiento de valor en el precio</v>
      </c>
      <c r="D19" s="52" t="n">
        <f aca="false">IF('A1 EXPOSICION'!$G10="No","N/A",'A1 EXPOSICION'!P10)</f>
        <v>3</v>
      </c>
      <c r="E19" s="52" t="n">
        <f aca="false">IF('A1 EXPOSICION'!$G10="No","N/A",'A1 EXPOSICION'!Q10)</f>
        <v>4</v>
      </c>
      <c r="F19" s="52" t="n">
        <f aca="false">IF('A1 EXPOSICION'!$G10="No","N/A",'A1 EXPOSICION'!R10)</f>
        <v>12</v>
      </c>
      <c r="G19" s="51" t="str">
        <f aca="false">IF('A1 EXPOSICION'!$G10="No","No aplica",IFERROR(INDEX(PARAMETROS!$E$15:$E$19,MATCH(F19,PARAMETROS!$B$15:$B$19,1)),""))</f>
        <v>MEDIO</v>
      </c>
    </row>
    <row r="20" customFormat="false" ht="15" hidden="false" customHeight="true" outlineLevel="0" collapsed="false">
      <c r="B20" s="52" t="n">
        <v>5</v>
      </c>
      <c r="C20" s="69" t="str">
        <f aca="false">'A1 EXPOSICION'!D11</f>
        <v>Exposición a personas señaladas por terrorismo</v>
      </c>
      <c r="D20" s="52" t="n">
        <f aca="false">IF('A1 EXPOSICION'!$G11="No","N/A",'A1 EXPOSICION'!P11)</f>
        <v>2</v>
      </c>
      <c r="E20" s="52" t="n">
        <f aca="false">IF('A1 EXPOSICION'!$G11="No","N/A",'A1 EXPOSICION'!Q11)</f>
        <v>2</v>
      </c>
      <c r="F20" s="52" t="n">
        <f aca="false">IF('A1 EXPOSICION'!$G11="No","N/A",'A1 EXPOSICION'!R11)</f>
        <v>4</v>
      </c>
      <c r="G20" s="51" t="str">
        <f aca="false">IF('A1 EXPOSICION'!$G11="No","No aplica",IFERROR(INDEX(PARAMETROS!$E$15:$E$19,MATCH(F20,PARAMETROS!$B$15:$B$19,1)),""))</f>
        <v>BAJO</v>
      </c>
    </row>
    <row r="21" customFormat="false" ht="15" hidden="false" customHeight="true" outlineLevel="0" collapsed="false">
      <c r="B21" s="52" t="n">
        <v>6</v>
      </c>
      <c r="C21" s="69" t="str">
        <f aca="false">'A1 EXPOSICION'!D12</f>
        <v>Tipo de persona</v>
      </c>
      <c r="D21" s="52" t="n">
        <f aca="false">IF('A1 EXPOSICION'!$G12="No","N/A",'A1 EXPOSICION'!P12)</f>
        <v>3</v>
      </c>
      <c r="E21" s="52" t="n">
        <f aca="false">IF('A1 EXPOSICION'!$G12="No","N/A",'A1 EXPOSICION'!Q12)</f>
        <v>4</v>
      </c>
      <c r="F21" s="52" t="n">
        <f aca="false">IF('A1 EXPOSICION'!$G12="No","N/A",'A1 EXPOSICION'!R12)</f>
        <v>12</v>
      </c>
      <c r="G21" s="51" t="str">
        <f aca="false">IF('A1 EXPOSICION'!$G12="No","No aplica",IFERROR(INDEX(PARAMETROS!$E$15:$E$19,MATCH(F21,PARAMETROS!$B$15:$B$19,1)),""))</f>
        <v>MEDIO</v>
      </c>
    </row>
    <row r="22" customFormat="false" ht="15" hidden="false" customHeight="true" outlineLevel="0" collapsed="false">
      <c r="B22" s="52" t="n">
        <v>7</v>
      </c>
      <c r="C22" s="69" t="str">
        <f aca="false">'A1 EXPOSICION'!D13</f>
        <v>Antigüedad del Cliente</v>
      </c>
      <c r="D22" s="52" t="n">
        <f aca="false">IF('A1 EXPOSICION'!$G13="No","N/A",'A1 EXPOSICION'!P13)</f>
        <v>2</v>
      </c>
      <c r="E22" s="52" t="n">
        <f aca="false">IF('A1 EXPOSICION'!$G13="No","N/A",'A1 EXPOSICION'!Q13)</f>
        <v>3</v>
      </c>
      <c r="F22" s="52" t="n">
        <f aca="false">IF('A1 EXPOSICION'!$G13="No","N/A",'A1 EXPOSICION'!R13)</f>
        <v>6</v>
      </c>
      <c r="G22" s="51" t="str">
        <f aca="false">IF('A1 EXPOSICION'!$G13="No","No aplica",IFERROR(INDEX(PARAMETROS!$E$15:$E$19,MATCH(F22,PARAMETROS!$B$15:$B$19,1)),""))</f>
        <v>MEDIO BAJO</v>
      </c>
    </row>
    <row r="23" customFormat="false" ht="15" hidden="false" customHeight="true" outlineLevel="0" collapsed="false">
      <c r="B23" s="52" t="n">
        <v>8</v>
      </c>
      <c r="C23" s="69" t="str">
        <f aca="false">'A1 EXPOSICION'!D14</f>
        <v>Giro o actividad declarada</v>
      </c>
      <c r="D23" s="52" t="n">
        <f aca="false">IF('A1 EXPOSICION'!$G14="No","N/A",'A1 EXPOSICION'!P14)</f>
        <v>3</v>
      </c>
      <c r="E23" s="52" t="n">
        <f aca="false">IF('A1 EXPOSICION'!$G14="No","N/A",'A1 EXPOSICION'!Q14)</f>
        <v>4</v>
      </c>
      <c r="F23" s="52" t="n">
        <f aca="false">IF('A1 EXPOSICION'!$G14="No","N/A",'A1 EXPOSICION'!R14)</f>
        <v>12</v>
      </c>
      <c r="G23" s="51" t="str">
        <f aca="false">IF('A1 EXPOSICION'!$G14="No","No aplica",IFERROR(INDEX(PARAMETROS!$E$15:$E$19,MATCH(F23,PARAMETROS!$B$15:$B$19,1)),""))</f>
        <v>MEDIO</v>
      </c>
    </row>
    <row r="24" customFormat="false" ht="15" hidden="false" customHeight="true" outlineLevel="0" collapsed="false">
      <c r="B24" s="52" t="n">
        <v>9</v>
      </c>
      <c r="C24" s="69" t="str">
        <f aca="false">'A1 EXPOSICION'!D15</f>
        <v>Nacionalidad</v>
      </c>
      <c r="D24" s="52" t="n">
        <f aca="false">IF('A1 EXPOSICION'!$G15="No","N/A",'A1 EXPOSICION'!P15)</f>
        <v>2</v>
      </c>
      <c r="E24" s="52" t="n">
        <f aca="false">IF('A1 EXPOSICION'!$G15="No","N/A",'A1 EXPOSICION'!Q15)</f>
        <v>2</v>
      </c>
      <c r="F24" s="52" t="n">
        <f aca="false">IF('A1 EXPOSICION'!$G15="No","N/A",'A1 EXPOSICION'!R15)</f>
        <v>4</v>
      </c>
      <c r="G24" s="51" t="str">
        <f aca="false">IF('A1 EXPOSICION'!$G15="No","No aplica",IFERROR(INDEX(PARAMETROS!$E$15:$E$19,MATCH(F24,PARAMETROS!$B$15:$B$19,1)),""))</f>
        <v>BAJO</v>
      </c>
    </row>
    <row r="25" customFormat="false" ht="15" hidden="false" customHeight="true" outlineLevel="0" collapsed="false">
      <c r="B25" s="52" t="n">
        <v>10</v>
      </c>
      <c r="C25" s="69" t="str">
        <f aca="false">'A1 EXPOSICION'!D16</f>
        <v>País y entidad de residencia</v>
      </c>
      <c r="D25" s="52" t="n">
        <f aca="false">IF('A1 EXPOSICION'!$G16="No","N/A",'A1 EXPOSICION'!P16)</f>
        <v>2</v>
      </c>
      <c r="E25" s="52" t="n">
        <f aca="false">IF('A1 EXPOSICION'!$G16="No","N/A",'A1 EXPOSICION'!Q16)</f>
        <v>3</v>
      </c>
      <c r="F25" s="52" t="n">
        <f aca="false">IF('A1 EXPOSICION'!$G16="No","N/A",'A1 EXPOSICION'!R16)</f>
        <v>6</v>
      </c>
      <c r="G25" s="51" t="str">
        <f aca="false">IF('A1 EXPOSICION'!$G16="No","No aplica",IFERROR(INDEX(PARAMETROS!$E$15:$E$19,MATCH(F25,PARAMETROS!$B$15:$B$19,1)),""))</f>
        <v>MEDIO BAJO</v>
      </c>
    </row>
    <row r="26" customFormat="false" ht="15" hidden="false" customHeight="true" outlineLevel="0" collapsed="false">
      <c r="B26" s="52" t="n">
        <v>11</v>
      </c>
      <c r="C26" s="69" t="str">
        <f aca="false">'A1 EXPOSICION'!D17</f>
        <v>Condición de Persona Políticamente Expuesta</v>
      </c>
      <c r="D26" s="52" t="n">
        <f aca="false">IF('A1 EXPOSICION'!$G17="No","N/A",'A1 EXPOSICION'!P17)</f>
        <v>2</v>
      </c>
      <c r="E26" s="52" t="n">
        <f aca="false">IF('A1 EXPOSICION'!$G17="No","N/A",'A1 EXPOSICION'!Q17)</f>
        <v>3</v>
      </c>
      <c r="F26" s="52" t="n">
        <f aca="false">IF('A1 EXPOSICION'!$G17="No","N/A",'A1 EXPOSICION'!R17)</f>
        <v>6</v>
      </c>
      <c r="G26" s="51" t="str">
        <f aca="false">IF('A1 EXPOSICION'!$G17="No","No aplica",IFERROR(INDEX(PARAMETROS!$E$15:$E$19,MATCH(F26,PARAMETROS!$B$15:$B$19,1)),""))</f>
        <v>MEDIO BAJO</v>
      </c>
    </row>
    <row r="27" customFormat="false" ht="15" hidden="false" customHeight="true" outlineLevel="0" collapsed="false">
      <c r="B27" s="52" t="n">
        <v>12</v>
      </c>
      <c r="C27" s="69" t="str">
        <f aca="false">'A1 EXPOSICION'!D18</f>
        <v>Resultado de la búsqueda en listas</v>
      </c>
      <c r="D27" s="52" t="n">
        <f aca="false">IF('A1 EXPOSICION'!$G18="No","N/A",'A1 EXPOSICION'!P18)</f>
        <v>2</v>
      </c>
      <c r="E27" s="52" t="n">
        <f aca="false">IF('A1 EXPOSICION'!$G18="No","N/A",'A1 EXPOSICION'!Q18)</f>
        <v>2</v>
      </c>
      <c r="F27" s="52" t="n">
        <f aca="false">IF('A1 EXPOSICION'!$G18="No","N/A",'A1 EXPOSICION'!R18)</f>
        <v>4</v>
      </c>
      <c r="G27" s="51" t="str">
        <f aca="false">IF('A1 EXPOSICION'!$G18="No","No aplica",IFERROR(INDEX(PARAMETROS!$E$15:$E$19,MATCH(F27,PARAMETROS!$B$15:$B$19,1)),""))</f>
        <v>BAJO</v>
      </c>
    </row>
    <row r="28" customFormat="false" ht="15" hidden="false" customHeight="true" outlineLevel="0" collapsed="false">
      <c r="B28" s="52" t="n">
        <v>13</v>
      </c>
      <c r="C28" s="69" t="str">
        <f aca="false">'A1 EXPOSICION'!D19</f>
        <v>Profundidad de la cadena de control</v>
      </c>
      <c r="D28" s="52" t="n">
        <f aca="false">IF('A1 EXPOSICION'!$G19="No","N/A",'A1 EXPOSICION'!P19)</f>
        <v>3</v>
      </c>
      <c r="E28" s="52" t="n">
        <f aca="false">IF('A1 EXPOSICION'!$G19="No","N/A",'A1 EXPOSICION'!Q19)</f>
        <v>4</v>
      </c>
      <c r="F28" s="52" t="n">
        <f aca="false">IF('A1 EXPOSICION'!$G19="No","N/A",'A1 EXPOSICION'!R19)</f>
        <v>12</v>
      </c>
      <c r="G28" s="51" t="str">
        <f aca="false">IF('A1 EXPOSICION'!$G19="No","No aplica",IFERROR(INDEX(PARAMETROS!$E$15:$E$19,MATCH(F28,PARAMETROS!$B$15:$B$19,1)),""))</f>
        <v>MEDIO</v>
      </c>
    </row>
    <row r="29" customFormat="false" ht="15" hidden="false" customHeight="true" outlineLevel="0" collapsed="false">
      <c r="B29" s="52" t="n">
        <v>14</v>
      </c>
      <c r="C29" s="69" t="str">
        <f aca="false">'A1 EXPOSICION'!D20</f>
        <v>País donde se realiza la operación</v>
      </c>
      <c r="D29" s="52" t="n">
        <f aca="false">IF('A1 EXPOSICION'!$G20="No","N/A",'A1 EXPOSICION'!P20)</f>
        <v>2</v>
      </c>
      <c r="E29" s="52" t="n">
        <f aca="false">IF('A1 EXPOSICION'!$G20="No","N/A",'A1 EXPOSICION'!Q20)</f>
        <v>3</v>
      </c>
      <c r="F29" s="52" t="n">
        <f aca="false">IF('A1 EXPOSICION'!$G20="No","N/A",'A1 EXPOSICION'!R20)</f>
        <v>6</v>
      </c>
      <c r="G29" s="51" t="str">
        <f aca="false">IF('A1 EXPOSICION'!$G20="No","No aplica",IFERROR(INDEX(PARAMETROS!$E$15:$E$19,MATCH(F29,PARAMETROS!$B$15:$B$19,1)),""))</f>
        <v>MEDIO BAJO</v>
      </c>
    </row>
    <row r="30" customFormat="false" ht="15" hidden="false" customHeight="true" outlineLevel="0" collapsed="false">
      <c r="B30" s="52" t="n">
        <v>15</v>
      </c>
      <c r="C30" s="69" t="str">
        <f aca="false">'A1 EXPOSICION'!D21</f>
        <v>Entidad o municipio de la operación</v>
      </c>
      <c r="D30" s="52" t="n">
        <f aca="false">IF('A1 EXPOSICION'!$G21="No","N/A",'A1 EXPOSICION'!P21)</f>
        <v>3</v>
      </c>
      <c r="E30" s="52" t="n">
        <f aca="false">IF('A1 EXPOSICION'!$G21="No","N/A",'A1 EXPOSICION'!Q21)</f>
        <v>4</v>
      </c>
      <c r="F30" s="52" t="n">
        <f aca="false">IF('A1 EXPOSICION'!$G21="No","N/A",'A1 EXPOSICION'!R21)</f>
        <v>12</v>
      </c>
      <c r="G30" s="51" t="str">
        <f aca="false">IF('A1 EXPOSICION'!$G21="No","No aplica",IFERROR(INDEX(PARAMETROS!$E$15:$E$19,MATCH(F30,PARAMETROS!$B$15:$B$19,1)),""))</f>
        <v>MEDIO</v>
      </c>
    </row>
    <row r="31" customFormat="false" ht="15" hidden="false" customHeight="true" outlineLevel="0" collapsed="false">
      <c r="B31" s="52" t="n">
        <v>16</v>
      </c>
      <c r="C31" s="69" t="str">
        <f aca="false">'A1 EXPOSICION'!D22</f>
        <v>Vínculo con jurisdicción sancionada o de acción requerida</v>
      </c>
      <c r="D31" s="52" t="n">
        <f aca="false">IF('A1 EXPOSICION'!$G22="No","N/A",'A1 EXPOSICION'!P22)</f>
        <v>2</v>
      </c>
      <c r="E31" s="52" t="n">
        <f aca="false">IF('A1 EXPOSICION'!$G22="No","N/A",'A1 EXPOSICION'!Q22)</f>
        <v>2</v>
      </c>
      <c r="F31" s="52" t="n">
        <f aca="false">IF('A1 EXPOSICION'!$G22="No","N/A",'A1 EXPOSICION'!R22)</f>
        <v>4</v>
      </c>
      <c r="G31" s="51" t="str">
        <f aca="false">IF('A1 EXPOSICION'!$G22="No","No aplica",IFERROR(INDEX(PARAMETROS!$E$15:$E$19,MATCH(F31,PARAMETROS!$B$15:$B$19,1)),""))</f>
        <v>BAJO</v>
      </c>
    </row>
    <row r="32" customFormat="false" ht="15" hidden="false" customHeight="true" outlineLevel="0" collapsed="false">
      <c r="B32" s="52" t="n">
        <v>17</v>
      </c>
      <c r="C32" s="69" t="str">
        <f aca="false">'A1 EXPOSICION'!D23</f>
        <v>Coincidencia entre domicilio y lugar de la operación</v>
      </c>
      <c r="D32" s="52" t="n">
        <f aca="false">IF('A1 EXPOSICION'!$G23="No","N/A",'A1 EXPOSICION'!P23)</f>
        <v>3</v>
      </c>
      <c r="E32" s="52" t="n">
        <f aca="false">IF('A1 EXPOSICION'!$G23="No","N/A",'A1 EXPOSICION'!Q23)</f>
        <v>3</v>
      </c>
      <c r="F32" s="52" t="n">
        <f aca="false">IF('A1 EXPOSICION'!$G23="No","N/A",'A1 EXPOSICION'!R23)</f>
        <v>9</v>
      </c>
      <c r="G32" s="51" t="str">
        <f aca="false">IF('A1 EXPOSICION'!$G23="No","No aplica",IFERROR(INDEX(PARAMETROS!$E$15:$E$19,MATCH(F32,PARAMETROS!$B$15:$B$19,1)),""))</f>
        <v>MEDIO BAJO</v>
      </c>
    </row>
    <row r="33" customFormat="false" ht="15" hidden="false" customHeight="true" outlineLevel="0" collapsed="false">
      <c r="B33" s="52" t="n">
        <v>18</v>
      </c>
      <c r="C33" s="69" t="str">
        <f aca="false">'A1 EXPOSICION'!D24</f>
        <v>Instrumento con que se paga</v>
      </c>
      <c r="D33" s="52" t="n">
        <f aca="false">IF('A1 EXPOSICION'!$G24="No","N/A",'A1 EXPOSICION'!P24)</f>
        <v>4</v>
      </c>
      <c r="E33" s="52" t="n">
        <f aca="false">IF('A1 EXPOSICION'!$G24="No","N/A",'A1 EXPOSICION'!Q24)</f>
        <v>4</v>
      </c>
      <c r="F33" s="52" t="n">
        <f aca="false">IF('A1 EXPOSICION'!$G24="No","N/A",'A1 EXPOSICION'!R24)</f>
        <v>16</v>
      </c>
      <c r="G33" s="51" t="str">
        <f aca="false">IF('A1 EXPOSICION'!$G24="No","No aplica",IFERROR(INDEX(PARAMETROS!$E$15:$E$19,MATCH(F33,PARAMETROS!$B$15:$B$19,1)),""))</f>
        <v>MEDIO ALTO</v>
      </c>
    </row>
    <row r="34" customFormat="false" ht="15" hidden="false" customHeight="true" outlineLevel="0" collapsed="false">
      <c r="B34" s="52" t="n">
        <v>19</v>
      </c>
      <c r="C34" s="69" t="str">
        <f aca="false">'A1 EXPOSICION'!D25</f>
        <v>Moneda de la operación</v>
      </c>
      <c r="D34" s="52" t="n">
        <f aca="false">IF('A1 EXPOSICION'!$G25="No","N/A",'A1 EXPOSICION'!P25)</f>
        <v>2</v>
      </c>
      <c r="E34" s="52" t="n">
        <f aca="false">IF('A1 EXPOSICION'!$G25="No","N/A",'A1 EXPOSICION'!Q25)</f>
        <v>2</v>
      </c>
      <c r="F34" s="52" t="n">
        <f aca="false">IF('A1 EXPOSICION'!$G25="No","N/A",'A1 EXPOSICION'!R25)</f>
        <v>4</v>
      </c>
      <c r="G34" s="51" t="str">
        <f aca="false">IF('A1 EXPOSICION'!$G25="No","No aplica",IFERROR(INDEX(PARAMETROS!$E$15:$E$19,MATCH(F34,PARAMETROS!$B$15:$B$19,1)),""))</f>
        <v>BAJO</v>
      </c>
    </row>
    <row r="35" customFormat="false" ht="15" hidden="false" customHeight="true" outlineLevel="0" collapsed="false">
      <c r="B35" s="52" t="n">
        <v>20</v>
      </c>
      <c r="C35" s="69" t="str">
        <f aca="false">'A1 EXPOSICION'!D26</f>
        <v>Monto frente al umbral de tu fracción</v>
      </c>
      <c r="D35" s="52" t="n">
        <f aca="false">IF('A1 EXPOSICION'!$G26="No","N/A",'A1 EXPOSICION'!P26)</f>
        <v>3</v>
      </c>
      <c r="E35" s="52" t="n">
        <f aca="false">IF('A1 EXPOSICION'!$G26="No","N/A",'A1 EXPOSICION'!Q26)</f>
        <v>4</v>
      </c>
      <c r="F35" s="52" t="n">
        <f aca="false">IF('A1 EXPOSICION'!$G26="No","N/A",'A1 EXPOSICION'!R26)</f>
        <v>12</v>
      </c>
      <c r="G35" s="51" t="str">
        <f aca="false">IF('A1 EXPOSICION'!$G26="No","No aplica",IFERROR(INDEX(PARAMETROS!$E$15:$E$19,MATCH(F35,PARAMETROS!$B$15:$B$19,1)),""))</f>
        <v>MEDIO</v>
      </c>
    </row>
    <row r="36" customFormat="false" ht="15" hidden="false" customHeight="true" outlineLevel="0" collapsed="false">
      <c r="B36" s="52" t="n">
        <v>21</v>
      </c>
      <c r="C36" s="69" t="str">
        <f aca="false">'A1 EXPOSICION'!D27</f>
        <v>Número y ritmo de operaciones en el periodo</v>
      </c>
      <c r="D36" s="52" t="n">
        <f aca="false">IF('A1 EXPOSICION'!$G27="No","N/A",'A1 EXPOSICION'!P27)</f>
        <v>3</v>
      </c>
      <c r="E36" s="52" t="n">
        <f aca="false">IF('A1 EXPOSICION'!$G27="No","N/A",'A1 EXPOSICION'!Q27)</f>
        <v>4</v>
      </c>
      <c r="F36" s="52" t="n">
        <f aca="false">IF('A1 EXPOSICION'!$G27="No","N/A",'A1 EXPOSICION'!R27)</f>
        <v>12</v>
      </c>
      <c r="G36" s="51" t="str">
        <f aca="false">IF('A1 EXPOSICION'!$G27="No","No aplica",IFERROR(INDEX(PARAMETROS!$E$15:$E$19,MATCH(F36,PARAMETROS!$B$15:$B$19,1)),""))</f>
        <v>MEDIO</v>
      </c>
    </row>
    <row r="37" customFormat="false" ht="15" hidden="false" customHeight="true" outlineLevel="0" collapsed="false">
      <c r="B37" s="52" t="n">
        <v>22</v>
      </c>
      <c r="C37" s="69" t="str">
        <f aca="false">'A1 EXPOSICION'!D28</f>
        <v>Canal: certeza de identificación del Cliente</v>
      </c>
      <c r="D37" s="52" t="n">
        <f aca="false">IF('A1 EXPOSICION'!$G28="No","N/A",'A1 EXPOSICION'!P28)</f>
        <v>3</v>
      </c>
      <c r="E37" s="52" t="n">
        <f aca="false">IF('A1 EXPOSICION'!$G28="No","N/A",'A1 EXPOSICION'!Q28)</f>
        <v>3</v>
      </c>
      <c r="F37" s="52" t="n">
        <f aca="false">IF('A1 EXPOSICION'!$G28="No","N/A",'A1 EXPOSICION'!R28)</f>
        <v>9</v>
      </c>
      <c r="G37" s="51" t="str">
        <f aca="false">IF('A1 EXPOSICION'!$G28="No","No aplica",IFERROR(INDEX(PARAMETROS!$E$15:$E$19,MATCH(F37,PARAMETROS!$B$15:$B$19,1)),""))</f>
        <v>MEDIO BAJO</v>
      </c>
    </row>
    <row r="38" customFormat="false" ht="15" hidden="false" customHeight="true" outlineLevel="0" collapsed="false">
      <c r="B38" s="52" t="n">
        <v>23</v>
      </c>
      <c r="C38" s="69" t="str">
        <f aca="false">'A1 EXPOSICION'!D29</f>
        <v>Acreditación del origen de los recursos</v>
      </c>
      <c r="D38" s="52" t="n">
        <f aca="false">IF('A1 EXPOSICION'!$G29="No","N/A",'A1 EXPOSICION'!P29)</f>
        <v>3</v>
      </c>
      <c r="E38" s="52" t="n">
        <f aca="false">IF('A1 EXPOSICION'!$G29="No","N/A",'A1 EXPOSICION'!Q29)</f>
        <v>4</v>
      </c>
      <c r="F38" s="52" t="n">
        <f aca="false">IF('A1 EXPOSICION'!$G29="No","N/A",'A1 EXPOSICION'!R29)</f>
        <v>12</v>
      </c>
      <c r="G38" s="51" t="str">
        <f aca="false">IF('A1 EXPOSICION'!$G29="No","No aplica",IFERROR(INDEX(PARAMETROS!$E$15:$E$19,MATCH(F38,PARAMETROS!$B$15:$B$19,1)),""))</f>
        <v>MEDIO</v>
      </c>
    </row>
    <row r="39" customFormat="false" ht="15" hidden="false" customHeight="true" outlineLevel="0" collapsed="false">
      <c r="B39" s="52" t="n">
        <v>24</v>
      </c>
      <c r="C39" s="69" t="str">
        <f aca="false">'A1 EXPOSICION'!D30</f>
        <v>Acreditación del destino de los recursos o del bien</v>
      </c>
      <c r="D39" s="52" t="n">
        <f aca="false">IF('A1 EXPOSICION'!$G30="No","N/A",'A1 EXPOSICION'!P30)</f>
        <v>3</v>
      </c>
      <c r="E39" s="52" t="n">
        <f aca="false">IF('A1 EXPOSICION'!$G30="No","N/A",'A1 EXPOSICION'!Q30)</f>
        <v>3</v>
      </c>
      <c r="F39" s="52" t="n">
        <f aca="false">IF('A1 EXPOSICION'!$G30="No","N/A",'A1 EXPOSICION'!R30)</f>
        <v>9</v>
      </c>
      <c r="G39" s="51" t="str">
        <f aca="false">IF('A1 EXPOSICION'!$G30="No","No aplica",IFERROR(INDEX(PARAMETROS!$E$15:$E$19,MATCH(F39,PARAMETROS!$B$15:$B$19,1)),""))</f>
        <v>MEDIO BAJO</v>
      </c>
    </row>
    <row r="40" customFormat="false" ht="15" hidden="false" customHeight="true" outlineLevel="0" collapsed="false">
      <c r="B40" s="52" t="n">
        <v>25</v>
      </c>
      <c r="C40" s="69" t="str">
        <f aca="false">'A1 EXPOSICION'!D31</f>
        <v>Combinación de canal e instrumento idónea para el financiamiento al terrorismo</v>
      </c>
      <c r="D40" s="52" t="n">
        <f aca="false">IF('A1 EXPOSICION'!$G31="No","N/A",'A1 EXPOSICION'!P31)</f>
        <v>2</v>
      </c>
      <c r="E40" s="52" t="n">
        <f aca="false">IF('A1 EXPOSICION'!$G31="No","N/A",'A1 EXPOSICION'!Q31)</f>
        <v>3</v>
      </c>
      <c r="F40" s="52" t="n">
        <f aca="false">IF('A1 EXPOSICION'!$G31="No","N/A",'A1 EXPOSICION'!R31)</f>
        <v>6</v>
      </c>
      <c r="G40" s="51" t="str">
        <f aca="false">IF('A1 EXPOSICION'!$G31="No","No aplica",IFERROR(INDEX(PARAMETROS!$E$15:$E$19,MATCH(F40,PARAMETROS!$B$15:$B$19,1)),""))</f>
        <v>MEDIO BAJO</v>
      </c>
    </row>
    <row r="41" customFormat="false" ht="45.75" hidden="false" customHeight="true" outlineLevel="0" collapsed="false">
      <c r="B41" s="73" t="s">
        <v>173</v>
      </c>
    </row>
    <row r="43" customFormat="false" ht="15" hidden="false" customHeight="true" outlineLevel="0" collapsed="false">
      <c r="B43" s="47" t="s">
        <v>174</v>
      </c>
      <c r="C43" s="47"/>
      <c r="D43" s="47"/>
      <c r="E43" s="47"/>
      <c r="F43" s="47"/>
      <c r="G43" s="47"/>
    </row>
    <row r="44" customFormat="false" ht="15" hidden="false" customHeight="true" outlineLevel="0" collapsed="false">
      <c r="B44" s="74" t="s">
        <v>175</v>
      </c>
      <c r="C44" s="74" t="n">
        <v>1</v>
      </c>
      <c r="D44" s="74" t="n">
        <v>2</v>
      </c>
      <c r="E44" s="74" t="n">
        <v>3</v>
      </c>
      <c r="F44" s="74" t="n">
        <v>4</v>
      </c>
      <c r="G44" s="74" t="n">
        <v>5</v>
      </c>
    </row>
    <row r="45" customFormat="false" ht="15" hidden="false" customHeight="true" outlineLevel="0" collapsed="false">
      <c r="B45" s="63" t="n">
        <v>5</v>
      </c>
      <c r="C45" s="75" t="n">
        <v>5</v>
      </c>
      <c r="D45" s="76" t="n">
        <v>10</v>
      </c>
      <c r="E45" s="77" t="n">
        <v>15</v>
      </c>
      <c r="F45" s="78" t="n">
        <v>20</v>
      </c>
      <c r="G45" s="78" t="n">
        <v>25</v>
      </c>
    </row>
    <row r="46" customFormat="false" ht="15" hidden="false" customHeight="true" outlineLevel="0" collapsed="false">
      <c r="B46" s="63" t="n">
        <v>4</v>
      </c>
      <c r="C46" s="75" t="n">
        <v>4</v>
      </c>
      <c r="D46" s="79" t="n">
        <v>8</v>
      </c>
      <c r="E46" s="76" t="n">
        <v>12</v>
      </c>
      <c r="F46" s="77" t="n">
        <v>16</v>
      </c>
      <c r="G46" s="78" t="n">
        <v>20</v>
      </c>
    </row>
    <row r="47" customFormat="false" ht="15" hidden="false" customHeight="true" outlineLevel="0" collapsed="false">
      <c r="B47" s="63" t="n">
        <v>3</v>
      </c>
      <c r="C47" s="75" t="n">
        <v>3</v>
      </c>
      <c r="D47" s="79" t="n">
        <v>6</v>
      </c>
      <c r="E47" s="79" t="n">
        <v>9</v>
      </c>
      <c r="F47" s="76" t="n">
        <v>12</v>
      </c>
      <c r="G47" s="77" t="n">
        <v>15</v>
      </c>
    </row>
    <row r="48" customFormat="false" ht="15" hidden="false" customHeight="true" outlineLevel="0" collapsed="false">
      <c r="B48" s="63" t="n">
        <v>2</v>
      </c>
      <c r="C48" s="75" t="n">
        <v>2</v>
      </c>
      <c r="D48" s="75" t="n">
        <v>4</v>
      </c>
      <c r="E48" s="79" t="n">
        <v>6</v>
      </c>
      <c r="F48" s="79" t="n">
        <v>8</v>
      </c>
      <c r="G48" s="76" t="n">
        <v>10</v>
      </c>
    </row>
    <row r="49" customFormat="false" ht="15" hidden="false" customHeight="true" outlineLevel="0" collapsed="false">
      <c r="B49" s="63" t="n">
        <v>1</v>
      </c>
      <c r="C49" s="75" t="n">
        <v>1</v>
      </c>
      <c r="D49" s="75" t="n">
        <v>2</v>
      </c>
      <c r="E49" s="75" t="n">
        <v>3</v>
      </c>
      <c r="F49" s="75" t="n">
        <v>4</v>
      </c>
      <c r="G49" s="75" t="n">
        <v>5</v>
      </c>
    </row>
    <row r="51" customFormat="false" ht="15" hidden="false" customHeight="true" outlineLevel="0" collapsed="false">
      <c r="B51" s="80" t="s">
        <v>176</v>
      </c>
      <c r="C51" s="80"/>
      <c r="D51" s="81" t="str">
        <f aca="false">'A3 INHERENTE'!$F$12</f>
        <v>MEDIO</v>
      </c>
    </row>
  </sheetData>
  <mergeCells count="4">
    <mergeCell ref="B5:G5"/>
    <mergeCell ref="B14:G14"/>
    <mergeCell ref="B43:G43"/>
    <mergeCell ref="B51:C51"/>
  </mergeCells>
  <conditionalFormatting sqref="F7:F10">
    <cfRule type="expression" priority="2" aboveAverage="0" equalAverage="0" bottom="0" percent="0" rank="0" text="" dxfId="2">
      <formula>EXACT(F7,"BAJO")</formula>
    </cfRule>
    <cfRule type="expression" priority="3" aboveAverage="0" equalAverage="0" bottom="0" percent="0" rank="0" text="" dxfId="3">
      <formula>EXACT(F7,"MEDIO BAJO")</formula>
    </cfRule>
    <cfRule type="expression" priority="4" aboveAverage="0" equalAverage="0" bottom="0" percent="0" rank="0" text="" dxfId="4">
      <formula>EXACT(F7,"MEDIO")</formula>
    </cfRule>
    <cfRule type="expression" priority="5" aboveAverage="0" equalAverage="0" bottom="0" percent="0" rank="0" text="" dxfId="5">
      <formula>EXACT(F7,"MEDIO ALTO")</formula>
    </cfRule>
    <cfRule type="expression" priority="6" aboveAverage="0" equalAverage="0" bottom="0" percent="0" rank="0" text="" dxfId="6">
      <formula>EXACT(F7,"ALTO")</formula>
    </cfRule>
  </conditionalFormatting>
  <conditionalFormatting sqref="F12">
    <cfRule type="expression" priority="7" aboveAverage="0" equalAverage="0" bottom="0" percent="0" rank="0" text="" dxfId="2">
      <formula>EXACT(F12,"BAJO")</formula>
    </cfRule>
    <cfRule type="expression" priority="8" aboveAverage="0" equalAverage="0" bottom="0" percent="0" rank="0" text="" dxfId="3">
      <formula>EXACT(F12,"MEDIO BAJO")</formula>
    </cfRule>
    <cfRule type="expression" priority="9" aboveAverage="0" equalAverage="0" bottom="0" percent="0" rank="0" text="" dxfId="4">
      <formula>EXACT(F12,"MEDIO")</formula>
    </cfRule>
    <cfRule type="expression" priority="10" aboveAverage="0" equalAverage="0" bottom="0" percent="0" rank="0" text="" dxfId="5">
      <formula>EXACT(F12,"MEDIO ALTO")</formula>
    </cfRule>
    <cfRule type="expression" priority="11" aboveAverage="0" equalAverage="0" bottom="0" percent="0" rank="0" text="" dxfId="6">
      <formula>EXACT(F12,"ALTO")</formula>
    </cfRule>
  </conditionalFormatting>
  <conditionalFormatting sqref="G16:G40">
    <cfRule type="expression" priority="12" aboveAverage="0" equalAverage="0" bottom="0" percent="0" rank="0" text="" dxfId="2">
      <formula>EXACT(G16,"BAJO")</formula>
    </cfRule>
    <cfRule type="expression" priority="13" aboveAverage="0" equalAverage="0" bottom="0" percent="0" rank="0" text="" dxfId="3">
      <formula>EXACT(G16,"MEDIO BAJO")</formula>
    </cfRule>
    <cfRule type="expression" priority="14" aboveAverage="0" equalAverage="0" bottom="0" percent="0" rank="0" text="" dxfId="4">
      <formula>EXACT(G16,"MEDIO")</formula>
    </cfRule>
    <cfRule type="expression" priority="15" aboveAverage="0" equalAverage="0" bottom="0" percent="0" rank="0" text="" dxfId="5">
      <formula>EXACT(G16,"MEDIO ALTO")</formula>
    </cfRule>
    <cfRule type="expression" priority="16" aboveAverage="0" equalAverage="0" bottom="0" percent="0" rank="0" text="" dxfId="6">
      <formula>EXACT(G16,"ALTO")</formula>
    </cfRule>
  </conditionalFormatting>
  <conditionalFormatting sqref="D51">
    <cfRule type="expression" priority="17" aboveAverage="0" equalAverage="0" bottom="0" percent="0" rank="0" text="" dxfId="2">
      <formula>EXACT(D51,"BAJO")</formula>
    </cfRule>
    <cfRule type="expression" priority="18" aboveAverage="0" equalAverage="0" bottom="0" percent="0" rank="0" text="" dxfId="3">
      <formula>EXACT(D51,"MEDIO BAJO")</formula>
    </cfRule>
    <cfRule type="expression" priority="19" aboveAverage="0" equalAverage="0" bottom="0" percent="0" rank="0" text="" dxfId="4">
      <formula>EXACT(D51,"MEDIO")</formula>
    </cfRule>
    <cfRule type="expression" priority="20" aboveAverage="0" equalAverage="0" bottom="0" percent="0" rank="0" text="" dxfId="5">
      <formula>EXACT(D51,"MEDIO ALTO")</formula>
    </cfRule>
    <cfRule type="expression" priority="21" aboveAverage="0" equalAverage="0" bottom="0" percent="0" rank="0" text="" dxfId="6">
      <formula>EXACT(D51,"ALTO")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2" style="1" width="6"/>
    <col collapsed="false" customWidth="true" hidden="false" outlineLevel="0" max="3" min="3" style="1" width="42"/>
    <col collapsed="false" customWidth="true" hidden="false" outlineLevel="0" max="4" min="4" style="1" width="30"/>
    <col collapsed="false" customWidth="true" hidden="false" outlineLevel="0" max="5" min="5" style="1" width="48"/>
    <col collapsed="false" customWidth="true" hidden="false" outlineLevel="0" max="6" min="6" style="1" width="12"/>
    <col collapsed="false" customWidth="true" hidden="false" outlineLevel="0" max="7" min="7" style="1" width="22"/>
    <col collapsed="false" customWidth="true" hidden="false" outlineLevel="0" max="8" min="8" style="1" width="8"/>
    <col collapsed="false" customWidth="true" hidden="false" outlineLevel="0" max="9" min="9" style="1" width="22"/>
    <col collapsed="false" customWidth="true" hidden="false" outlineLevel="0" max="10" min="10" style="1" width="46"/>
    <col collapsed="false" customWidth="true" hidden="false" outlineLevel="0" max="11" min="11" style="1" width="34"/>
    <col collapsed="false" customWidth="true" hidden="false" outlineLevel="0" max="12" min="12" style="1" width="40"/>
  </cols>
  <sheetData>
    <row r="2" customFormat="false" ht="17.25" hidden="false" customHeight="true" outlineLevel="0" collapsed="false">
      <c r="B2" s="82" t="s">
        <v>177</v>
      </c>
    </row>
    <row r="3" customFormat="false" ht="501.75" hidden="false" customHeight="true" outlineLevel="0" collapsed="false">
      <c r="B3" s="83" t="s">
        <v>178</v>
      </c>
    </row>
    <row r="4" customFormat="false" ht="15" hidden="false" customHeight="true" outlineLevel="0" collapsed="false">
      <c r="B4" s="6" t="s">
        <v>179</v>
      </c>
    </row>
    <row r="6" customFormat="false" ht="33.75" hidden="false" customHeight="true" outlineLevel="0" collapsed="false">
      <c r="B6" s="84" t="s">
        <v>180</v>
      </c>
      <c r="C6" s="84" t="s">
        <v>181</v>
      </c>
      <c r="D6" s="84" t="s">
        <v>182</v>
      </c>
      <c r="E6" s="84" t="s">
        <v>183</v>
      </c>
      <c r="F6" s="84" t="s">
        <v>184</v>
      </c>
      <c r="G6" s="84" t="s">
        <v>185</v>
      </c>
      <c r="H6" s="84" t="s">
        <v>186</v>
      </c>
      <c r="I6" s="84" t="s">
        <v>187</v>
      </c>
      <c r="J6" s="84" t="s">
        <v>188</v>
      </c>
      <c r="K6" s="84" t="s">
        <v>189</v>
      </c>
      <c r="L6" s="84" t="s">
        <v>142</v>
      </c>
    </row>
    <row r="7" customFormat="false" ht="57.75" hidden="false" customHeight="true" outlineLevel="0" collapsed="false">
      <c r="B7" s="85" t="s">
        <v>190</v>
      </c>
      <c r="C7" s="86" t="s">
        <v>191</v>
      </c>
      <c r="D7" s="86" t="s">
        <v>192</v>
      </c>
      <c r="E7" s="86" t="s">
        <v>193</v>
      </c>
      <c r="F7" s="87" t="s">
        <v>194</v>
      </c>
      <c r="G7" s="88" t="s">
        <v>195</v>
      </c>
      <c r="H7" s="89" t="n">
        <f aca="false">IF($G7="","",IF($G7="No aplica","",IF(OR($I7="",$J7=""),0,IFERROR(INDEX(PARAMETROS!$I$15:$I$18,MATCH($G7,PARAMETROS!$H$15:$H$18,0)),0))))</f>
        <v>1</v>
      </c>
      <c r="I7" s="88" t="s">
        <v>196</v>
      </c>
      <c r="J7" s="88" t="s">
        <v>197</v>
      </c>
      <c r="K7" s="88"/>
      <c r="L7" s="90" t="str">
        <f aca="false">IF($G7="","Falta calificar esta obligación del Manual (Art. 37 Bis).",IF($G7="No aplica",IF($K7="","Exclusión sin constancia en el Manual: el Art. 37 Bis 2 exige hacerla constar por escrito.",""),IF($G7="No cumple","No cumple: puede actualizar una sanción (Art. 48 fr. IV). Llévalo al plan de acción de A8.",IF(OR($I7="",$J7=""),"Sin numeral del Manual o sin evidencia de aplicación efectiva: la obligación computa 0% (Art. 10 Septies 1, fr. III).",""))))</f>
        <v/>
      </c>
    </row>
    <row r="8" customFormat="false" ht="57.75" hidden="false" customHeight="true" outlineLevel="0" collapsed="false">
      <c r="B8" s="85" t="s">
        <v>198</v>
      </c>
      <c r="C8" s="86" t="s">
        <v>199</v>
      </c>
      <c r="D8" s="86" t="s">
        <v>200</v>
      </c>
      <c r="E8" s="86" t="s">
        <v>201</v>
      </c>
      <c r="F8" s="87" t="s">
        <v>194</v>
      </c>
      <c r="G8" s="88" t="s">
        <v>202</v>
      </c>
      <c r="H8" s="89" t="n">
        <f aca="false">IF($G8="","",IF($G8="No aplica","",IF(OR($I8="",$J8=""),0,IFERROR(INDEX(PARAMETROS!$I$15:$I$18,MATCH($G8,PARAMETROS!$H$15:$H$18,0)),0))))</f>
        <v>0.75</v>
      </c>
      <c r="I8" s="88" t="s">
        <v>203</v>
      </c>
      <c r="J8" s="88" t="s">
        <v>204</v>
      </c>
      <c r="K8" s="88"/>
      <c r="L8" s="90" t="str">
        <f aca="false">IF($G8="","Falta calificar esta obligación del Manual (Art. 37 Bis).",IF($G8="No aplica",IF($K8="","Exclusión sin constancia en el Manual: el Art. 37 Bis 2 exige hacerla constar por escrito.",""),IF($G8="No cumple","No cumple: puede actualizar una sanción (Art. 48 fr. IV). Llévalo al plan de acción de A8.",IF(OR($I8="",$J8=""),"Sin numeral del Manual o sin evidencia de aplicación efectiva: la obligación computa 0% (Art. 10 Septies 1, fr. III).",""))))</f>
        <v/>
      </c>
    </row>
    <row r="9" customFormat="false" ht="57.75" hidden="false" customHeight="true" outlineLevel="0" collapsed="false">
      <c r="B9" s="85" t="s">
        <v>205</v>
      </c>
      <c r="C9" s="86" t="s">
        <v>206</v>
      </c>
      <c r="D9" s="86" t="s">
        <v>207</v>
      </c>
      <c r="E9" s="86" t="s">
        <v>208</v>
      </c>
      <c r="F9" s="87" t="s">
        <v>194</v>
      </c>
      <c r="G9" s="88" t="s">
        <v>202</v>
      </c>
      <c r="H9" s="89" t="n">
        <f aca="false">IF($G9="","",IF($G9="No aplica","",IF(OR($I9="",$J9=""),0,IFERROR(INDEX(PARAMETROS!$I$15:$I$18,MATCH($G9,PARAMETROS!$H$15:$H$18,0)),0))))</f>
        <v>0.75</v>
      </c>
      <c r="I9" s="88" t="s">
        <v>209</v>
      </c>
      <c r="J9" s="88" t="s">
        <v>210</v>
      </c>
      <c r="K9" s="88"/>
      <c r="L9" s="90" t="str">
        <f aca="false">IF($G9="","Falta calificar esta obligación del Manual (Art. 37 Bis).",IF($G9="No aplica",IF($K9="","Exclusión sin constancia en el Manual: el Art. 37 Bis 2 exige hacerla constar por escrito.",""),IF($G9="No cumple","No cumple: puede actualizar una sanción (Art. 48 fr. IV). Llévalo al plan de acción de A8.",IF(OR($I9="",$J9=""),"Sin numeral del Manual o sin evidencia de aplicación efectiva: la obligación computa 0% (Art. 10 Septies 1, fr. III).",""))))</f>
        <v/>
      </c>
    </row>
    <row r="10" customFormat="false" ht="57.75" hidden="false" customHeight="true" outlineLevel="0" collapsed="false">
      <c r="B10" s="85" t="s">
        <v>211</v>
      </c>
      <c r="C10" s="86" t="s">
        <v>212</v>
      </c>
      <c r="D10" s="86" t="s">
        <v>213</v>
      </c>
      <c r="E10" s="86" t="s">
        <v>214</v>
      </c>
      <c r="F10" s="87" t="s">
        <v>194</v>
      </c>
      <c r="G10" s="88" t="s">
        <v>215</v>
      </c>
      <c r="H10" s="89" t="n">
        <f aca="false">IF($G10="","",IF($G10="No aplica","",IF(OR($I10="",$J10=""),0,IFERROR(INDEX(PARAMETROS!$I$15:$I$18,MATCH($G10,PARAMETROS!$H$15:$H$18,0)),0))))</f>
        <v>0.4</v>
      </c>
      <c r="I10" s="88" t="s">
        <v>216</v>
      </c>
      <c r="J10" s="88" t="s">
        <v>217</v>
      </c>
      <c r="K10" s="88"/>
      <c r="L10" s="90" t="str">
        <f aca="false">IF($G10="","Falta calificar esta obligación del Manual (Art. 37 Bis).",IF($G10="No aplica",IF($K10="","Exclusión sin constancia en el Manual: el Art. 37 Bis 2 exige hacerla constar por escrito.",""),IF($G10="No cumple","No cumple: puede actualizar una sanción (Art. 48 fr. IV). Llévalo al plan de acción de A8.",IF(OR($I10="",$J10=""),"Sin numeral del Manual o sin evidencia de aplicación efectiva: la obligación computa 0% (Art. 10 Septies 1, fr. III).",""))))</f>
        <v/>
      </c>
    </row>
    <row r="11" customFormat="false" ht="57.75" hidden="false" customHeight="true" outlineLevel="0" collapsed="false">
      <c r="B11" s="85" t="s">
        <v>218</v>
      </c>
      <c r="C11" s="86" t="s">
        <v>219</v>
      </c>
      <c r="D11" s="86" t="s">
        <v>220</v>
      </c>
      <c r="E11" s="86" t="s">
        <v>221</v>
      </c>
      <c r="F11" s="87" t="s">
        <v>222</v>
      </c>
      <c r="G11" s="88" t="s">
        <v>215</v>
      </c>
      <c r="H11" s="89" t="n">
        <f aca="false">IF($G11="","",IF($G11="No aplica","",IF(OR($I11="",$J11=""),0,IFERROR(INDEX(PARAMETROS!$I$15:$I$18,MATCH($G11,PARAMETROS!$H$15:$H$18,0)),0))))</f>
        <v>0.4</v>
      </c>
      <c r="I11" s="88" t="s">
        <v>223</v>
      </c>
      <c r="J11" s="88" t="s">
        <v>224</v>
      </c>
      <c r="K11" s="88"/>
      <c r="L11" s="90" t="str">
        <f aca="false">IF($G11="","Falta calificar esta obligación del Manual (Art. 37 Bis).",IF($G11="No aplica",IF($K11="","Exclusión sin constancia en el Manual: el Art. 37 Bis 2 exige hacerla constar por escrito.",""),IF($G11="No cumple","No cumple: puede actualizar una sanción (Art. 48 fr. IV). Llévalo al plan de acción de A8.",IF(OR($I11="",$J11=""),"Sin numeral del Manual o sin evidencia de aplicación efectiva: la obligación computa 0% (Art. 10 Septies 1, fr. III).",""))))</f>
        <v/>
      </c>
    </row>
    <row r="12" customFormat="false" ht="57.75" hidden="false" customHeight="true" outlineLevel="0" collapsed="false">
      <c r="B12" s="85" t="s">
        <v>225</v>
      </c>
      <c r="C12" s="86" t="s">
        <v>226</v>
      </c>
      <c r="D12" s="86" t="s">
        <v>227</v>
      </c>
      <c r="E12" s="86" t="s">
        <v>228</v>
      </c>
      <c r="F12" s="87" t="s">
        <v>194</v>
      </c>
      <c r="G12" s="88" t="s">
        <v>195</v>
      </c>
      <c r="H12" s="89" t="n">
        <f aca="false">IF($G12="","",IF($G12="No aplica","",IF(OR($I12="",$J12=""),0,IFERROR(INDEX(PARAMETROS!$I$15:$I$18,MATCH($G12,PARAMETROS!$H$15:$H$18,0)),0))))</f>
        <v>1</v>
      </c>
      <c r="I12" s="88" t="s">
        <v>229</v>
      </c>
      <c r="J12" s="88" t="s">
        <v>230</v>
      </c>
      <c r="K12" s="88"/>
      <c r="L12" s="90" t="str">
        <f aca="false">IF($G12="","Falta calificar esta obligación del Manual (Art. 37 Bis).",IF($G12="No aplica",IF($K12="","Exclusión sin constancia en el Manual: el Art. 37 Bis 2 exige hacerla constar por escrito.",""),IF($G12="No cumple","No cumple: puede actualizar una sanción (Art. 48 fr. IV). Llévalo al plan de acción de A8.",IF(OR($I12="",$J12=""),"Sin numeral del Manual o sin evidencia de aplicación efectiva: la obligación computa 0% (Art. 10 Septies 1, fr. III).",""))))</f>
        <v/>
      </c>
    </row>
    <row r="13" customFormat="false" ht="57.75" hidden="false" customHeight="true" outlineLevel="0" collapsed="false">
      <c r="B13" s="85" t="s">
        <v>231</v>
      </c>
      <c r="C13" s="86" t="s">
        <v>232</v>
      </c>
      <c r="D13" s="86" t="s">
        <v>233</v>
      </c>
      <c r="E13" s="86" t="s">
        <v>234</v>
      </c>
      <c r="F13" s="87" t="s">
        <v>194</v>
      </c>
      <c r="G13" s="88" t="s">
        <v>195</v>
      </c>
      <c r="H13" s="89" t="n">
        <f aca="false">IF($G13="","",IF($G13="No aplica","",IF(OR($I13="",$J13=""),0,IFERROR(INDEX(PARAMETROS!$I$15:$I$18,MATCH($G13,PARAMETROS!$H$15:$H$18,0)),0))))</f>
        <v>1</v>
      </c>
      <c r="I13" s="88" t="s">
        <v>235</v>
      </c>
      <c r="J13" s="88" t="s">
        <v>236</v>
      </c>
      <c r="K13" s="88"/>
      <c r="L13" s="90" t="str">
        <f aca="false">IF($G13="","Falta calificar esta obligación del Manual (Art. 37 Bis).",IF($G13="No aplica",IF($K13="","Exclusión sin constancia en el Manual: el Art. 37 Bis 2 exige hacerla constar por escrito.",""),IF($G13="No cumple","No cumple: puede actualizar una sanción (Art. 48 fr. IV). Llévalo al plan de acción de A8.",IF(OR($I13="",$J13=""),"Sin numeral del Manual o sin evidencia de aplicación efectiva: la obligación computa 0% (Art. 10 Septies 1, fr. III).",""))))</f>
        <v/>
      </c>
    </row>
    <row r="14" customFormat="false" ht="57.75" hidden="false" customHeight="true" outlineLevel="0" collapsed="false">
      <c r="B14" s="85" t="s">
        <v>237</v>
      </c>
      <c r="C14" s="86" t="s">
        <v>238</v>
      </c>
      <c r="D14" s="86" t="s">
        <v>239</v>
      </c>
      <c r="E14" s="86" t="s">
        <v>240</v>
      </c>
      <c r="F14" s="87" t="s">
        <v>222</v>
      </c>
      <c r="G14" s="88" t="s">
        <v>202</v>
      </c>
      <c r="H14" s="89" t="n">
        <f aca="false">IF($G14="","",IF($G14="No aplica","",IF(OR($I14="",$J14=""),0,IFERROR(INDEX(PARAMETROS!$I$15:$I$18,MATCH($G14,PARAMETROS!$H$15:$H$18,0)),0))))</f>
        <v>0.75</v>
      </c>
      <c r="I14" s="88" t="s">
        <v>241</v>
      </c>
      <c r="J14" s="88" t="s">
        <v>242</v>
      </c>
      <c r="K14" s="88"/>
      <c r="L14" s="90" t="str">
        <f aca="false">IF($G14="","Falta calificar esta obligación del Manual (Art. 37 Bis).",IF($G14="No aplica",IF($K14="","Exclusión sin constancia en el Manual: el Art. 37 Bis 2 exige hacerla constar por escrito.",""),IF($G14="No cumple","No cumple: puede actualizar una sanción (Art. 48 fr. IV). Llévalo al plan de acción de A8.",IF(OR($I14="",$J14=""),"Sin numeral del Manual o sin evidencia de aplicación efectiva: la obligación computa 0% (Art. 10 Septies 1, fr. III).",""))))</f>
        <v/>
      </c>
    </row>
    <row r="15" customFormat="false" ht="57.75" hidden="false" customHeight="true" outlineLevel="0" collapsed="false">
      <c r="B15" s="85" t="s">
        <v>243</v>
      </c>
      <c r="C15" s="86" t="s">
        <v>244</v>
      </c>
      <c r="D15" s="86" t="s">
        <v>245</v>
      </c>
      <c r="E15" s="86" t="s">
        <v>246</v>
      </c>
      <c r="F15" s="87" t="s">
        <v>194</v>
      </c>
      <c r="G15" s="88" t="s">
        <v>195</v>
      </c>
      <c r="H15" s="89" t="n">
        <f aca="false">IF($G15="","",IF($G15="No aplica","",IF(OR($I15="",$J15=""),0,IFERROR(INDEX(PARAMETROS!$I$15:$I$18,MATCH($G15,PARAMETROS!$H$15:$H$18,0)),0))))</f>
        <v>1</v>
      </c>
      <c r="I15" s="88" t="s">
        <v>247</v>
      </c>
      <c r="J15" s="88" t="s">
        <v>248</v>
      </c>
      <c r="K15" s="88"/>
      <c r="L15" s="90" t="str">
        <f aca="false">IF($G15="","Falta calificar esta obligación del Manual (Art. 37 Bis).",IF($G15="No aplica",IF($K15="","Exclusión sin constancia en el Manual: el Art. 37 Bis 2 exige hacerla constar por escrito.",""),IF($G15="No cumple","No cumple: puede actualizar una sanción (Art. 48 fr. IV). Llévalo al plan de acción de A8.",IF(OR($I15="",$J15=""),"Sin numeral del Manual o sin evidencia de aplicación efectiva: la obligación computa 0% (Art. 10 Septies 1, fr. III).",""))))</f>
        <v/>
      </c>
    </row>
    <row r="16" customFormat="false" ht="57.75" hidden="false" customHeight="true" outlineLevel="0" collapsed="false">
      <c r="B16" s="85" t="s">
        <v>249</v>
      </c>
      <c r="C16" s="86" t="s">
        <v>250</v>
      </c>
      <c r="D16" s="86" t="s">
        <v>251</v>
      </c>
      <c r="E16" s="86" t="s">
        <v>252</v>
      </c>
      <c r="F16" s="87" t="s">
        <v>222</v>
      </c>
      <c r="G16" s="88" t="s">
        <v>195</v>
      </c>
      <c r="H16" s="89" t="n">
        <f aca="false">IF($G16="","",IF($G16="No aplica","",IF(OR($I16="",$J16=""),0,IFERROR(INDEX(PARAMETROS!$I$15:$I$18,MATCH($G16,PARAMETROS!$H$15:$H$18,0)),0))))</f>
        <v>1</v>
      </c>
      <c r="I16" s="88" t="s">
        <v>253</v>
      </c>
      <c r="J16" s="88" t="s">
        <v>254</v>
      </c>
      <c r="K16" s="88"/>
      <c r="L16" s="90" t="str">
        <f aca="false">IF($G16="","Falta calificar esta obligación del Manual (Art. 37 Bis).",IF($G16="No aplica",IF($K16="","Exclusión sin constancia en el Manual: el Art. 37 Bis 2 exige hacerla constar por escrito.",""),IF($G16="No cumple","No cumple: puede actualizar una sanción (Art. 48 fr. IV). Llévalo al plan de acción de A8.",IF(OR($I16="",$J16=""),"Sin numeral del Manual o sin evidencia de aplicación efectiva: la obligación computa 0% (Art. 10 Septies 1, fr. III).",""))))</f>
        <v/>
      </c>
    </row>
    <row r="17" customFormat="false" ht="57.75" hidden="false" customHeight="true" outlineLevel="0" collapsed="false">
      <c r="B17" s="85" t="s">
        <v>255</v>
      </c>
      <c r="C17" s="86" t="s">
        <v>256</v>
      </c>
      <c r="D17" s="86" t="s">
        <v>257</v>
      </c>
      <c r="E17" s="86" t="s">
        <v>258</v>
      </c>
      <c r="F17" s="87" t="s">
        <v>194</v>
      </c>
      <c r="G17" s="88" t="s">
        <v>202</v>
      </c>
      <c r="H17" s="89" t="n">
        <f aca="false">IF($G17="","",IF($G17="No aplica","",IF(OR($I17="",$J17=""),0,IFERROR(INDEX(PARAMETROS!$I$15:$I$18,MATCH($G17,PARAMETROS!$H$15:$H$18,0)),0))))</f>
        <v>0.75</v>
      </c>
      <c r="I17" s="88" t="s">
        <v>259</v>
      </c>
      <c r="J17" s="88" t="s">
        <v>260</v>
      </c>
      <c r="K17" s="88"/>
      <c r="L17" s="90" t="str">
        <f aca="false">IF($G17="","Falta calificar esta obligación del Manual (Art. 37 Bis).",IF($G17="No aplica",IF($K17="","Exclusión sin constancia en el Manual: el Art. 37 Bis 2 exige hacerla constar por escrito.",""),IF($G17="No cumple","No cumple: puede actualizar una sanción (Art. 48 fr. IV). Llévalo al plan de acción de A8.",IF(OR($I17="",$J17=""),"Sin numeral del Manual o sin evidencia de aplicación efectiva: la obligación computa 0% (Art. 10 Septies 1, fr. III).",""))))</f>
        <v/>
      </c>
    </row>
    <row r="18" customFormat="false" ht="57.75" hidden="false" customHeight="true" outlineLevel="0" collapsed="false">
      <c r="B18" s="85" t="s">
        <v>261</v>
      </c>
      <c r="C18" s="86" t="s">
        <v>262</v>
      </c>
      <c r="D18" s="86" t="s">
        <v>263</v>
      </c>
      <c r="E18" s="86" t="s">
        <v>264</v>
      </c>
      <c r="F18" s="87" t="s">
        <v>194</v>
      </c>
      <c r="G18" s="88" t="s">
        <v>215</v>
      </c>
      <c r="H18" s="89" t="n">
        <f aca="false">IF($G18="","",IF($G18="No aplica","",IF(OR($I18="",$J18=""),0,IFERROR(INDEX(PARAMETROS!$I$15:$I$18,MATCH($G18,PARAMETROS!$H$15:$H$18,0)),0))))</f>
        <v>0.4</v>
      </c>
      <c r="I18" s="88" t="s">
        <v>265</v>
      </c>
      <c r="J18" s="88" t="s">
        <v>266</v>
      </c>
      <c r="K18" s="88"/>
      <c r="L18" s="90" t="str">
        <f aca="false">IF($G18="","Falta calificar esta obligación del Manual (Art. 37 Bis).",IF($G18="No aplica",IF($K18="","Exclusión sin constancia en el Manual: el Art. 37 Bis 2 exige hacerla constar por escrito.",""),IF($G18="No cumple","No cumple: puede actualizar una sanción (Art. 48 fr. IV). Llévalo al plan de acción de A8.",IF(OR($I18="",$J18=""),"Sin numeral del Manual o sin evidencia de aplicación efectiva: la obligación computa 0% (Art. 10 Septies 1, fr. III).",""))))</f>
        <v/>
      </c>
    </row>
    <row r="19" customFormat="false" ht="57.75" hidden="false" customHeight="true" outlineLevel="0" collapsed="false">
      <c r="B19" s="85" t="s">
        <v>267</v>
      </c>
      <c r="C19" s="86" t="s">
        <v>268</v>
      </c>
      <c r="D19" s="86" t="s">
        <v>269</v>
      </c>
      <c r="E19" s="86" t="s">
        <v>270</v>
      </c>
      <c r="F19" s="87" t="s">
        <v>194</v>
      </c>
      <c r="G19" s="88" t="s">
        <v>195</v>
      </c>
      <c r="H19" s="89" t="n">
        <f aca="false">IF($G19="","",IF($G19="No aplica","",IF(OR($I19="",$J19=""),0,IFERROR(INDEX(PARAMETROS!$I$15:$I$18,MATCH($G19,PARAMETROS!$H$15:$H$18,0)),0))))</f>
        <v>1</v>
      </c>
      <c r="I19" s="88" t="s">
        <v>271</v>
      </c>
      <c r="J19" s="88" t="s">
        <v>272</v>
      </c>
      <c r="K19" s="88"/>
      <c r="L19" s="90" t="str">
        <f aca="false">IF($G19="","Falta calificar esta obligación del Manual (Art. 37 Bis).",IF($G19="No aplica",IF($K19="","Exclusión sin constancia en el Manual: el Art. 37 Bis 2 exige hacerla constar por escrito.",""),IF($G19="No cumple","No cumple: puede actualizar una sanción (Art. 48 fr. IV). Llévalo al plan de acción de A8.",IF(OR($I19="",$J19=""),"Sin numeral del Manual o sin evidencia de aplicación efectiva: la obligación computa 0% (Art. 10 Septies 1, fr. III).",""))))</f>
        <v/>
      </c>
    </row>
    <row r="20" customFormat="false" ht="57.75" hidden="false" customHeight="true" outlineLevel="0" collapsed="false">
      <c r="B20" s="85" t="s">
        <v>273</v>
      </c>
      <c r="C20" s="86" t="s">
        <v>274</v>
      </c>
      <c r="D20" s="86" t="s">
        <v>275</v>
      </c>
      <c r="E20" s="86" t="s">
        <v>276</v>
      </c>
      <c r="F20" s="87" t="s">
        <v>194</v>
      </c>
      <c r="G20" s="88" t="s">
        <v>202</v>
      </c>
      <c r="H20" s="89" t="n">
        <f aca="false">IF($G20="","",IF($G20="No aplica","",IF(OR($I20="",$J20=""),0,IFERROR(INDEX(PARAMETROS!$I$15:$I$18,MATCH($G20,PARAMETROS!$H$15:$H$18,0)),0))))</f>
        <v>0.75</v>
      </c>
      <c r="I20" s="88" t="s">
        <v>277</v>
      </c>
      <c r="J20" s="88" t="s">
        <v>278</v>
      </c>
      <c r="K20" s="88"/>
      <c r="L20" s="90" t="str">
        <f aca="false">IF($G20="","Falta calificar esta obligación del Manual (Art. 37 Bis).",IF($G20="No aplica",IF($K20="","Exclusión sin constancia en el Manual: el Art. 37 Bis 2 exige hacerla constar por escrito.",""),IF($G20="No cumple","No cumple: puede actualizar una sanción (Art. 48 fr. IV). Llévalo al plan de acción de A8.",IF(OR($I20="",$J20=""),"Sin numeral del Manual o sin evidencia de aplicación efectiva: la obligación computa 0% (Art. 10 Septies 1, fr. III).",""))))</f>
        <v/>
      </c>
    </row>
    <row r="23" customFormat="false" ht="15" hidden="false" customHeight="true" outlineLevel="0" collapsed="false">
      <c r="B23" s="23" t="s">
        <v>279</v>
      </c>
    </row>
    <row r="24" customFormat="false" ht="15" hidden="false" customHeight="true" outlineLevel="0" collapsed="false">
      <c r="B24" s="25" t="s">
        <v>280</v>
      </c>
      <c r="F24" s="91" t="n">
        <f aca="false">COUNTA($B$7:$B$20)</f>
        <v>14</v>
      </c>
    </row>
    <row r="25" customFormat="false" ht="15" hidden="false" customHeight="true" outlineLevel="0" collapsed="false">
      <c r="B25" s="25" t="s">
        <v>281</v>
      </c>
      <c r="F25" s="91" t="n">
        <f aca="false">COUNTIF($G$7:$G$20,"No aplica")</f>
        <v>0</v>
      </c>
    </row>
    <row r="26" customFormat="false" ht="15" hidden="false" customHeight="true" outlineLevel="0" collapsed="false">
      <c r="B26" s="25" t="s">
        <v>282</v>
      </c>
      <c r="F26" s="91" t="n">
        <f aca="false">$F$24-$F$25</f>
        <v>14</v>
      </c>
    </row>
    <row r="27" customFormat="false" ht="15" hidden="false" customHeight="true" outlineLevel="0" collapsed="false">
      <c r="B27" s="25" t="s">
        <v>283</v>
      </c>
      <c r="F27" s="92" t="n">
        <f aca="false">SUM($H$7:$H$20)</f>
        <v>10.95</v>
      </c>
    </row>
    <row r="28" customFormat="false" ht="15" hidden="false" customHeight="true" outlineLevel="0" collapsed="false">
      <c r="B28" s="23" t="s">
        <v>284</v>
      </c>
      <c r="F28" s="93" t="n">
        <f aca="false">IFERROR($F$27/$F$26,0)</f>
        <v>0.782142857142857</v>
      </c>
    </row>
    <row r="29" customFormat="false" ht="15" hidden="false" customHeight="true" outlineLevel="0" collapsed="false">
      <c r="B29" s="25" t="s">
        <v>285</v>
      </c>
      <c r="F29" s="94" t="n">
        <f aca="false">PARAMETROS!$C$30</f>
        <v>0.5</v>
      </c>
    </row>
    <row r="30" customFormat="false" ht="15" hidden="false" customHeight="true" outlineLevel="0" collapsed="false">
      <c r="B30" s="23" t="s">
        <v>286</v>
      </c>
      <c r="F30" s="93" t="n">
        <f aca="false">$F$28*$F$29</f>
        <v>0.391071428571429</v>
      </c>
    </row>
    <row r="32" customFormat="false" ht="15" hidden="false" customHeight="true" outlineLevel="0" collapsed="false">
      <c r="B32" s="23" t="s">
        <v>287</v>
      </c>
    </row>
    <row r="33" customFormat="false" ht="15" hidden="false" customHeight="true" outlineLevel="0" collapsed="false">
      <c r="B33" s="25" t="s">
        <v>288</v>
      </c>
      <c r="F33" s="95" t="n">
        <f aca="false">COUNTIF($G$7:$G$20,"No cumple")</f>
        <v>0</v>
      </c>
    </row>
    <row r="34" customFormat="false" ht="15" hidden="false" customHeight="true" outlineLevel="0" collapsed="false">
      <c r="B34" s="25" t="s">
        <v>289</v>
      </c>
      <c r="F34" s="95" t="n">
        <f aca="false">SUMPRODUCT(--($G$7:$G$20="No aplica"),--($K$7:$K$20=""))</f>
        <v>0</v>
      </c>
    </row>
    <row r="35" customFormat="false" ht="15" hidden="false" customHeight="true" outlineLevel="0" collapsed="false">
      <c r="B35" s="25" t="s">
        <v>290</v>
      </c>
      <c r="F35" s="95" t="n">
        <f aca="false">SUMPRODUCT(--($G$7:$G$20&lt;&gt;""),--($G$7:$G$20&lt;&gt;"No aplica"),--((($I$7:$I$20="")+($J$7:$J$20=""))&gt;0))</f>
        <v>0</v>
      </c>
    </row>
    <row r="36" customFormat="false" ht="15" hidden="false" customHeight="true" outlineLevel="0" collapsed="false">
      <c r="B36" s="25" t="s">
        <v>291</v>
      </c>
      <c r="F36" s="95" t="n">
        <f aca="false">COUNTBLANK($G$7:$G$20)</f>
        <v>0</v>
      </c>
    </row>
    <row r="38" customFormat="false" ht="168" hidden="false" customHeight="true" outlineLevel="0" collapsed="false">
      <c r="B38" s="29" t="str">
        <f aca="false">IF($F$33&gt;0,"Hay "&amp;$F$33&amp;" obligación(es) en «No cumple». El Art. 48 fr. IV las define como incumplimiento que puede actualizar una sanción: no basta con que bajen el promedio, deben ir al plan de acción de A8.",IF($F$36&gt;0,"Faltan "&amp;$F$36&amp;" obligación(es) por calificar. Mientras no las califiques computan 0% y tu residual sale más alto de lo real.","Catálogo completo: las 14 obligaciones están calificadas y ninguna está en «No cumple»."))</f>
        <v>Catálogo completo: las 14 obligaciones están calificadas y ninguna está en «No cumple».</v>
      </c>
    </row>
    <row r="40" customFormat="false" ht="324" hidden="false" customHeight="true" outlineLevel="0" collapsed="false">
      <c r="B40" s="73" t="s">
        <v>292</v>
      </c>
    </row>
    <row r="41" customFormat="false" ht="548.25" hidden="false" customHeight="true" outlineLevel="0" collapsed="false">
      <c r="B41" s="73" t="s">
        <v>293</v>
      </c>
    </row>
    <row r="42" customFormat="false" ht="324" hidden="false" customHeight="true" outlineLevel="0" collapsed="false">
      <c r="B42" s="73" t="s">
        <v>294</v>
      </c>
    </row>
    <row r="43" customFormat="false" ht="387" hidden="false" customHeight="true" outlineLevel="0" collapsed="false">
      <c r="B43" s="73" t="s">
        <v>295</v>
      </c>
    </row>
    <row r="44" customFormat="false" ht="351" hidden="false" customHeight="true" outlineLevel="0" collapsed="false">
      <c r="B44" s="73" t="s">
        <v>296</v>
      </c>
    </row>
  </sheetData>
  <conditionalFormatting sqref="G7:G20">
    <cfRule type="expression" priority="2" aboveAverage="0" equalAverage="0" bottom="0" percent="0" rank="0" text="" dxfId="0">
      <formula>$G7="No cumple"</formula>
    </cfRule>
    <cfRule type="expression" priority="3" aboveAverage="0" equalAverage="0" bottom="0" percent="0" rank="0" text="" dxfId="7">
      <formula>$G7=""</formula>
    </cfRule>
  </conditionalFormatting>
  <dataValidations count="2">
    <dataValidation allowBlank="true" errorStyle="stop" operator="between" showDropDown="false" showErrorMessage="false" showInputMessage="false" sqref="G7:G10 G12:G13 G15 G17:G20" type="list">
      <formula1>"Cumple,Cumple mayoritariamente,Cumple parcialmente,No cumple"</formula1>
      <formula2>0</formula2>
    </dataValidation>
    <dataValidation allowBlank="true" errorStyle="stop" operator="between" showDropDown="false" showErrorMessage="false" showInputMessage="false" sqref="G11 G14 G16" type="list">
      <formula1>"Cumple,Cumple mayoritariamente,Cumple parcialmente,No cumple,No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B2: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34"/>
    <col collapsed="false" customWidth="true" hidden="false" outlineLevel="0" max="4" min="4" style="1" width="18"/>
    <col collapsed="false" customWidth="true" hidden="false" outlineLevel="0" max="5" min="5" style="1" width="13"/>
    <col collapsed="false" customWidth="true" hidden="false" outlineLevel="0" max="6" min="6" style="1" width="14"/>
    <col collapsed="false" customWidth="true" hidden="false" outlineLevel="0" max="7" min="7" style="1" width="13"/>
    <col collapsed="false" customWidth="true" hidden="false" outlineLevel="0" max="8" min="8" style="1" width="18"/>
    <col collapsed="false" customWidth="true" hidden="false" outlineLevel="0" max="9" min="9" style="1" width="12"/>
    <col collapsed="false" customWidth="true" hidden="false" outlineLevel="0" max="10" min="10" style="1" width="22"/>
    <col collapsed="false" customWidth="true" hidden="false" outlineLevel="0" max="11" min="11" style="1" width="40"/>
    <col collapsed="false" customWidth="true" hidden="false" outlineLevel="0" max="12" min="12" style="1" width="34"/>
  </cols>
  <sheetData>
    <row r="2" customFormat="false" ht="21.75" hidden="false" customHeight="true" outlineLevel="0" collapsed="false">
      <c r="B2" s="96" t="s">
        <v>297</v>
      </c>
    </row>
    <row r="3" customFormat="false" ht="15" hidden="false" customHeight="true" outlineLevel="0" collapsed="false">
      <c r="B3" s="97" t="s">
        <v>298</v>
      </c>
    </row>
    <row r="4" customFormat="false" ht="15" hidden="false" customHeight="true" outlineLevel="0" collapsed="false">
      <c r="B4" s="6" t="s">
        <v>299</v>
      </c>
    </row>
    <row r="6" customFormat="false" ht="31.5" hidden="false" customHeight="true" outlineLevel="0" collapsed="false">
      <c r="B6" s="7" t="s">
        <v>60</v>
      </c>
      <c r="C6" s="7" t="s">
        <v>300</v>
      </c>
      <c r="D6" s="7" t="s">
        <v>301</v>
      </c>
      <c r="E6" s="7" t="s">
        <v>302</v>
      </c>
      <c r="F6" s="7" t="s">
        <v>303</v>
      </c>
      <c r="G6" s="7" t="s">
        <v>304</v>
      </c>
      <c r="H6" s="7" t="s">
        <v>305</v>
      </c>
      <c r="I6" s="7" t="s">
        <v>306</v>
      </c>
      <c r="J6" s="7" t="s">
        <v>187</v>
      </c>
      <c r="K6" s="7" t="s">
        <v>188</v>
      </c>
      <c r="L6" s="7" t="s">
        <v>142</v>
      </c>
    </row>
    <row r="7" customFormat="false" ht="42" hidden="false" customHeight="true" outlineLevel="0" collapsed="false">
      <c r="B7" s="98" t="n">
        <v>1</v>
      </c>
      <c r="C7" s="65" t="s">
        <v>307</v>
      </c>
      <c r="D7" s="66" t="s">
        <v>308</v>
      </c>
      <c r="E7" s="66" t="s">
        <v>309</v>
      </c>
      <c r="F7" s="66" t="s">
        <v>310</v>
      </c>
      <c r="G7" s="66" t="s">
        <v>311</v>
      </c>
      <c r="H7" s="66" t="s">
        <v>195</v>
      </c>
      <c r="I7" s="99" t="n">
        <f aca="false">IF($H7="","",IF(OR($J7="",$K7=""),0,IFERROR(INDEX(PARAMETROS!$I$15:$I$18,MATCH($H7,PARAMETROS!$H$15:$H$18,0)),0)))</f>
        <v>1</v>
      </c>
      <c r="J7" s="100" t="s">
        <v>247</v>
      </c>
      <c r="K7" s="54" t="s">
        <v>312</v>
      </c>
      <c r="L7" s="39" t="str">
        <f aca="false">IF($H7="","",IF(OR($J7="",$K7=""),"Sin numeral del Manual o sin evidencia: el mitigante no acredita aplicación efectiva (Art. 10 Septies 1, fr. III).",""))</f>
        <v/>
      </c>
    </row>
    <row r="8" customFormat="false" ht="42" hidden="false" customHeight="true" outlineLevel="0" collapsed="false">
      <c r="B8" s="98" t="n">
        <v>2</v>
      </c>
      <c r="C8" s="65" t="s">
        <v>313</v>
      </c>
      <c r="D8" s="66" t="s">
        <v>314</v>
      </c>
      <c r="E8" s="66" t="s">
        <v>309</v>
      </c>
      <c r="F8" s="66" t="s">
        <v>315</v>
      </c>
      <c r="G8" s="66" t="s">
        <v>311</v>
      </c>
      <c r="H8" s="66" t="s">
        <v>202</v>
      </c>
      <c r="I8" s="99" t="n">
        <f aca="false">IF($H8="","",IF(OR($J8="",$K8=""),0,IFERROR(INDEX(PARAMETROS!$I$15:$I$18,MATCH($H8,PARAMETROS!$H$15:$H$18,0)),0)))</f>
        <v>0.75</v>
      </c>
      <c r="J8" s="100" t="s">
        <v>316</v>
      </c>
      <c r="K8" s="54" t="s">
        <v>317</v>
      </c>
      <c r="L8" s="39" t="str">
        <f aca="false">IF($H8="","",IF(OR($J8="",$K8=""),"Sin numeral del Manual o sin evidencia: el mitigante no acredita aplicación efectiva (Art. 10 Septies 1, fr. III).",""))</f>
        <v/>
      </c>
    </row>
    <row r="9" customFormat="false" ht="21.75" hidden="false" customHeight="true" outlineLevel="0" collapsed="false">
      <c r="B9" s="98" t="n">
        <v>3</v>
      </c>
      <c r="C9" s="65" t="s">
        <v>318</v>
      </c>
      <c r="D9" s="66" t="s">
        <v>308</v>
      </c>
      <c r="E9" s="66" t="s">
        <v>309</v>
      </c>
      <c r="F9" s="66" t="s">
        <v>319</v>
      </c>
      <c r="G9" s="66" t="s">
        <v>311</v>
      </c>
      <c r="H9" s="66" t="s">
        <v>195</v>
      </c>
      <c r="I9" s="99" t="n">
        <f aca="false">IF($H9="","",IF(OR($J9="",$K9=""),0,IFERROR(INDEX(PARAMETROS!$I$15:$I$18,MATCH($H9,PARAMETROS!$H$15:$H$18,0)),0)))</f>
        <v>1</v>
      </c>
      <c r="J9" s="100" t="s">
        <v>320</v>
      </c>
      <c r="K9" s="54" t="s">
        <v>321</v>
      </c>
      <c r="L9" s="39" t="str">
        <f aca="false">IF($H9="","",IF(OR($J9="",$K9=""),"Sin numeral del Manual o sin evidencia: el mitigante no acredita aplicación efectiva (Art. 10 Septies 1, fr. III).",""))</f>
        <v/>
      </c>
    </row>
    <row r="10" customFormat="false" ht="21.75" hidden="false" customHeight="true" outlineLevel="0" collapsed="false">
      <c r="B10" s="98" t="n">
        <v>4</v>
      </c>
      <c r="C10" s="65" t="s">
        <v>322</v>
      </c>
      <c r="D10" s="66" t="s">
        <v>323</v>
      </c>
      <c r="E10" s="66" t="s">
        <v>309</v>
      </c>
      <c r="F10" s="66" t="s">
        <v>319</v>
      </c>
      <c r="G10" s="66" t="s">
        <v>311</v>
      </c>
      <c r="H10" s="66" t="s">
        <v>195</v>
      </c>
      <c r="I10" s="99" t="n">
        <f aca="false">IF($H10="","",IF(OR($J10="",$K10=""),0,IFERROR(INDEX(PARAMETROS!$I$15:$I$18,MATCH($H10,PARAMETROS!$H$15:$H$18,0)),0)))</f>
        <v>1</v>
      </c>
      <c r="J10" s="100" t="s">
        <v>324</v>
      </c>
      <c r="K10" s="54" t="s">
        <v>325</v>
      </c>
      <c r="L10" s="39" t="str">
        <f aca="false">IF($H10="","",IF(OR($J10="",$K10=""),"Sin numeral del Manual o sin evidencia: el mitigante no acredita aplicación efectiva (Art. 10 Septies 1, fr. III).",""))</f>
        <v/>
      </c>
    </row>
    <row r="11" customFormat="false" ht="21.75" hidden="false" customHeight="true" outlineLevel="0" collapsed="false">
      <c r="B11" s="98" t="n">
        <v>5</v>
      </c>
      <c r="C11" s="65" t="s">
        <v>326</v>
      </c>
      <c r="D11" s="66" t="s">
        <v>314</v>
      </c>
      <c r="E11" s="66" t="s">
        <v>327</v>
      </c>
      <c r="F11" s="66" t="s">
        <v>310</v>
      </c>
      <c r="G11" s="66" t="s">
        <v>311</v>
      </c>
      <c r="H11" s="66" t="s">
        <v>202</v>
      </c>
      <c r="I11" s="99" t="n">
        <f aca="false">IF($H11="","",IF(OR($J11="",$K11=""),0,IFERROR(INDEX(PARAMETROS!$I$15:$I$18,MATCH($H11,PARAMETROS!$H$15:$H$18,0)),0)))</f>
        <v>0.75</v>
      </c>
      <c r="J11" s="100" t="s">
        <v>223</v>
      </c>
      <c r="K11" s="54" t="s">
        <v>328</v>
      </c>
      <c r="L11" s="39" t="str">
        <f aca="false">IF($H11="","",IF(OR($J11="",$K11=""),"Sin numeral del Manual o sin evidencia: el mitigante no acredita aplicación efectiva (Art. 10 Septies 1, fr. III).",""))</f>
        <v/>
      </c>
    </row>
    <row r="12" customFormat="false" ht="21.75" hidden="false" customHeight="true" outlineLevel="0" collapsed="false">
      <c r="B12" s="98" t="n">
        <v>6</v>
      </c>
      <c r="C12" s="65" t="s">
        <v>329</v>
      </c>
      <c r="D12" s="66" t="s">
        <v>308</v>
      </c>
      <c r="E12" s="66" t="s">
        <v>309</v>
      </c>
      <c r="F12" s="66" t="s">
        <v>319</v>
      </c>
      <c r="G12" s="66" t="s">
        <v>330</v>
      </c>
      <c r="H12" s="66" t="s">
        <v>202</v>
      </c>
      <c r="I12" s="99" t="n">
        <f aca="false">IF($H12="","",IF(OR($J12="",$K12=""),0,IFERROR(INDEX(PARAMETROS!$I$15:$I$18,MATCH($H12,PARAMETROS!$H$15:$H$18,0)),0)))</f>
        <v>0.75</v>
      </c>
      <c r="J12" s="100" t="s">
        <v>331</v>
      </c>
      <c r="K12" s="54" t="s">
        <v>332</v>
      </c>
      <c r="L12" s="39" t="str">
        <f aca="false">IF($H12="","",IF(OR($J12="",$K12=""),"Sin numeral del Manual o sin evidencia: el mitigante no acredita aplicación efectiva (Art. 10 Septies 1, fr. III).",""))</f>
        <v/>
      </c>
    </row>
    <row r="13" customFormat="false" ht="21.75" hidden="false" customHeight="true" outlineLevel="0" collapsed="false">
      <c r="B13" s="98" t="n">
        <v>7</v>
      </c>
      <c r="C13" s="101"/>
      <c r="D13" s="66"/>
      <c r="E13" s="66"/>
      <c r="F13" s="66"/>
      <c r="G13" s="66"/>
      <c r="H13" s="66"/>
      <c r="I13" s="99" t="str">
        <f aca="false">IF($H13="","",IF(OR($J13="",$K13=""),0,IFERROR(INDEX(PARAMETROS!$I$15:$I$18,MATCH($H13,PARAMETROS!$H$15:$H$18,0)),0)))</f>
        <v/>
      </c>
      <c r="J13" s="100"/>
      <c r="K13" s="100"/>
      <c r="L13" s="39" t="str">
        <f aca="false">IF($H13="","",IF(OR($J13="",$K13=""),"Sin numeral del Manual o sin evidencia: el mitigante no acredita aplicación efectiva (Art. 10 Septies 1, fr. III).",""))</f>
        <v/>
      </c>
    </row>
    <row r="14" customFormat="false" ht="21.75" hidden="false" customHeight="true" outlineLevel="0" collapsed="false">
      <c r="B14" s="98" t="n">
        <v>8</v>
      </c>
      <c r="C14" s="101"/>
      <c r="D14" s="66"/>
      <c r="E14" s="66"/>
      <c r="F14" s="66"/>
      <c r="G14" s="66"/>
      <c r="H14" s="66"/>
      <c r="I14" s="99" t="str">
        <f aca="false">IF($H14="","",IF(OR($J14="",$K14=""),0,IFERROR(INDEX(PARAMETROS!$I$15:$I$18,MATCH($H14,PARAMETROS!$H$15:$H$18,0)),0)))</f>
        <v/>
      </c>
      <c r="J14" s="100"/>
      <c r="K14" s="100"/>
      <c r="L14" s="39" t="str">
        <f aca="false">IF($H14="","",IF(OR($J14="",$K14=""),"Sin numeral del Manual o sin evidencia: el mitigante no acredita aplicación efectiva (Art. 10 Septies 1, fr. III).",""))</f>
        <v/>
      </c>
    </row>
    <row r="15" customFormat="false" ht="21.75" hidden="false" customHeight="true" outlineLevel="0" collapsed="false">
      <c r="B15" s="98" t="n">
        <v>9</v>
      </c>
      <c r="C15" s="101"/>
      <c r="D15" s="66"/>
      <c r="E15" s="66"/>
      <c r="F15" s="66"/>
      <c r="G15" s="66"/>
      <c r="H15" s="66"/>
      <c r="I15" s="99" t="str">
        <f aca="false">IF($H15="","",IF(OR($J15="",$K15=""),0,IFERROR(INDEX(PARAMETROS!$I$15:$I$18,MATCH($H15,PARAMETROS!$H$15:$H$18,0)),0)))</f>
        <v/>
      </c>
      <c r="J15" s="100"/>
      <c r="K15" s="100"/>
      <c r="L15" s="39" t="str">
        <f aca="false">IF($H15="","",IF(OR($J15="",$K15=""),"Sin numeral del Manual o sin evidencia: el mitigante no acredita aplicación efectiva (Art. 10 Septies 1, fr. III).",""))</f>
        <v/>
      </c>
    </row>
    <row r="16" customFormat="false" ht="21.75" hidden="false" customHeight="true" outlineLevel="0" collapsed="false">
      <c r="B16" s="98" t="n">
        <v>10</v>
      </c>
      <c r="C16" s="101"/>
      <c r="D16" s="66"/>
      <c r="E16" s="66"/>
      <c r="F16" s="66"/>
      <c r="G16" s="66"/>
      <c r="H16" s="66"/>
      <c r="I16" s="99" t="str">
        <f aca="false">IF($H16="","",IF(OR($J16="",$K16=""),0,IFERROR(INDEX(PARAMETROS!$I$15:$I$18,MATCH($H16,PARAMETROS!$H$15:$H$18,0)),0)))</f>
        <v/>
      </c>
      <c r="J16" s="100"/>
      <c r="K16" s="100"/>
      <c r="L16" s="39" t="str">
        <f aca="false">IF($H16="","",IF(OR($J16="",$K16=""),"Sin numeral del Manual o sin evidencia: el mitigante no acredita aplicación efectiva (Art. 10 Septies 1, fr. III).",""))</f>
        <v/>
      </c>
    </row>
    <row r="17" customFormat="false" ht="21.75" hidden="false" customHeight="true" outlineLevel="0" collapsed="false">
      <c r="B17" s="98" t="n">
        <v>11</v>
      </c>
      <c r="C17" s="101"/>
      <c r="D17" s="66"/>
      <c r="E17" s="66"/>
      <c r="F17" s="66"/>
      <c r="G17" s="66"/>
      <c r="H17" s="66"/>
      <c r="I17" s="99" t="str">
        <f aca="false">IF($H17="","",IF(OR($J17="",$K17=""),0,IFERROR(INDEX(PARAMETROS!$I$15:$I$18,MATCH($H17,PARAMETROS!$H$15:$H$18,0)),0)))</f>
        <v/>
      </c>
      <c r="J17" s="100"/>
      <c r="K17" s="100"/>
      <c r="L17" s="39" t="str">
        <f aca="false">IF($H17="","",IF(OR($J17="",$K17=""),"Sin numeral del Manual o sin evidencia: el mitigante no acredita aplicación efectiva (Art. 10 Septies 1, fr. III).",""))</f>
        <v/>
      </c>
    </row>
    <row r="18" customFormat="false" ht="21.75" hidden="false" customHeight="true" outlineLevel="0" collapsed="false">
      <c r="B18" s="98" t="n">
        <v>12</v>
      </c>
      <c r="C18" s="101"/>
      <c r="D18" s="66"/>
      <c r="E18" s="66"/>
      <c r="F18" s="66"/>
      <c r="G18" s="66"/>
      <c r="H18" s="66"/>
      <c r="I18" s="99" t="str">
        <f aca="false">IF($H18="","",IF(OR($J18="",$K18=""),0,IFERROR(INDEX(PARAMETROS!$I$15:$I$18,MATCH($H18,PARAMETROS!$H$15:$H$18,0)),0)))</f>
        <v/>
      </c>
      <c r="J18" s="100"/>
      <c r="K18" s="100"/>
      <c r="L18" s="39" t="str">
        <f aca="false">IF($H18="","",IF(OR($J18="",$K18=""),"Sin numeral del Manual o sin evidencia: el mitigante no acredita aplicación efectiva (Art. 10 Septies 1, fr. III).",""))</f>
        <v/>
      </c>
    </row>
    <row r="19" customFormat="false" ht="21.75" hidden="false" customHeight="true" outlineLevel="0" collapsed="false">
      <c r="B19" s="98" t="n">
        <v>13</v>
      </c>
      <c r="C19" s="101"/>
      <c r="D19" s="66"/>
      <c r="E19" s="66"/>
      <c r="F19" s="66"/>
      <c r="G19" s="66"/>
      <c r="H19" s="66"/>
      <c r="I19" s="99" t="str">
        <f aca="false">IF($H19="","",IF(OR($J19="",$K19=""),0,IFERROR(INDEX(PARAMETROS!$I$15:$I$18,MATCH($H19,PARAMETROS!$H$15:$H$18,0)),0)))</f>
        <v/>
      </c>
      <c r="J19" s="100"/>
      <c r="K19" s="100"/>
      <c r="L19" s="39" t="str">
        <f aca="false">IF($H19="","",IF(OR($J19="",$K19=""),"Sin numeral del Manual o sin evidencia: el mitigante no acredita aplicación efectiva (Art. 10 Septies 1, fr. III).",""))</f>
        <v/>
      </c>
    </row>
    <row r="20" customFormat="false" ht="21.75" hidden="false" customHeight="true" outlineLevel="0" collapsed="false">
      <c r="B20" s="98" t="n">
        <v>14</v>
      </c>
      <c r="C20" s="101"/>
      <c r="D20" s="66"/>
      <c r="E20" s="66"/>
      <c r="F20" s="66"/>
      <c r="G20" s="66"/>
      <c r="H20" s="66"/>
      <c r="I20" s="99" t="str">
        <f aca="false">IF($H20="","",IF(OR($J20="",$K20=""),0,IFERROR(INDEX(PARAMETROS!$I$15:$I$18,MATCH($H20,PARAMETROS!$H$15:$H$18,0)),0)))</f>
        <v/>
      </c>
      <c r="J20" s="100"/>
      <c r="K20" s="100"/>
      <c r="L20" s="39" t="str">
        <f aca="false">IF($H20="","",IF(OR($J20="",$K20=""),"Sin numeral del Manual o sin evidencia: el mitigante no acredita aplicación efectiva (Art. 10 Septies 1, fr. III).",""))</f>
        <v/>
      </c>
    </row>
    <row r="21" customFormat="false" ht="21.75" hidden="false" customHeight="true" outlineLevel="0" collapsed="false">
      <c r="B21" s="98" t="n">
        <v>15</v>
      </c>
      <c r="C21" s="101"/>
      <c r="D21" s="66"/>
      <c r="E21" s="66"/>
      <c r="F21" s="66"/>
      <c r="G21" s="66"/>
      <c r="H21" s="66"/>
      <c r="I21" s="99" t="str">
        <f aca="false">IF($H21="","",IF(OR($J21="",$K21=""),0,IFERROR(INDEX(PARAMETROS!$I$15:$I$18,MATCH($H21,PARAMETROS!$H$15:$H$18,0)),0)))</f>
        <v/>
      </c>
      <c r="J21" s="100"/>
      <c r="K21" s="100"/>
      <c r="L21" s="39" t="str">
        <f aca="false">IF($H21="","",IF(OR($J21="",$K21=""),"Sin numeral del Manual o sin evidencia: el mitigante no acredita aplicación efectiva (Art. 10 Septies 1, fr. III).",""))</f>
        <v/>
      </c>
    </row>
    <row r="23" customFormat="false" ht="21" hidden="false" customHeight="true" outlineLevel="0" collapsed="false">
      <c r="B23" s="102" t="s">
        <v>333</v>
      </c>
      <c r="C23" s="102"/>
      <c r="D23" s="102"/>
      <c r="E23" s="102"/>
      <c r="F23" s="102"/>
      <c r="G23" s="102"/>
    </row>
    <row r="24" customFormat="false" ht="15" hidden="false" customHeight="true" outlineLevel="0" collapsed="false">
      <c r="B24" s="103" t="s">
        <v>334</v>
      </c>
      <c r="C24" s="103"/>
      <c r="D24" s="99"/>
    </row>
    <row r="25" customFormat="false" ht="15" hidden="false" customHeight="true" outlineLevel="0" collapsed="false">
      <c r="B25" s="104"/>
      <c r="C25" s="104"/>
      <c r="D25" s="99"/>
    </row>
    <row r="26" customFormat="false" ht="15" hidden="false" customHeight="true" outlineLevel="0" collapsed="false">
      <c r="B26" s="105"/>
      <c r="C26" s="105"/>
      <c r="D26" s="106"/>
    </row>
    <row r="27" customFormat="false" ht="15" hidden="false" customHeight="true" outlineLevel="0" collapsed="false">
      <c r="B27" s="31"/>
      <c r="D27" s="107"/>
    </row>
    <row r="28" customFormat="false" ht="15" hidden="false" customHeight="true" outlineLevel="0" collapsed="false">
      <c r="B28" s="31"/>
      <c r="D28" s="107"/>
    </row>
    <row r="30" customFormat="false" ht="15" hidden="false" customHeight="true" outlineLevel="0" collapsed="false">
      <c r="B30" s="64" t="s">
        <v>335</v>
      </c>
      <c r="D30" s="63" t="n">
        <f aca="false">COUNTA($C$7:$C$21)</f>
        <v>6</v>
      </c>
    </row>
    <row r="31" customFormat="false" ht="15" hidden="false" customHeight="true" outlineLevel="0" collapsed="false">
      <c r="B31" s="64" t="s">
        <v>336</v>
      </c>
      <c r="D31" s="63" t="n">
        <f aca="false">SUMPRODUCT(--($H$7:$H$21&lt;&gt;""),--((($J$7:$J$21="")+($K$7:$K$21=""))&gt;0))</f>
        <v>0</v>
      </c>
    </row>
    <row r="32" customFormat="false" ht="15" hidden="false" customHeight="true" outlineLevel="0" collapsed="false">
      <c r="B32" s="73" t="s">
        <v>337</v>
      </c>
    </row>
  </sheetData>
  <mergeCells count="4">
    <mergeCell ref="B23:G23"/>
    <mergeCell ref="B24:C24"/>
    <mergeCell ref="B25:C25"/>
    <mergeCell ref="B26:C26"/>
  </mergeCells>
  <conditionalFormatting sqref="J7:K21">
    <cfRule type="expression" priority="2" aboveAverage="0" equalAverage="0" bottom="0" percent="0" rank="0" text="" dxfId="0">
      <formula>AND($H7&lt;&gt;"",J7="")</formula>
    </cfRule>
  </conditionalFormatting>
  <dataValidations count="5">
    <dataValidation allowBlank="true" errorStyle="stop" operator="between" showDropDown="false" showErrorMessage="false" showInputMessage="false" sqref="D7:D21" type="list">
      <formula1>"Todos,1,2,3,4"</formula1>
      <formula2>0</formula2>
    </dataValidation>
    <dataValidation allowBlank="true" errorStyle="stop" operator="between" showDropDown="false" showErrorMessage="false" showInputMessage="false" sqref="E7:E21" type="list">
      <formula1>"Preventivo,Correctivo,Detectivo"</formula1>
      <formula2>0</formula2>
    </dataValidation>
    <dataValidation allowBlank="true" errorStyle="stop" operator="between" showDropDown="false" showErrorMessage="false" showInputMessage="false" sqref="F7:F21" type="list">
      <formula1>"Automático,Semiautomático,Manual"</formula1>
      <formula2>0</formula2>
    </dataValidation>
    <dataValidation allowBlank="true" errorStyle="stop" operator="between" showDropDown="false" showErrorMessage="false" showInputMessage="false" sqref="G7:G21" type="list">
      <formula1>"Permanente,Periódico,Ocasional"</formula1>
      <formula2>0</formula2>
    </dataValidation>
    <dataValidation allowBlank="true" errorStyle="stop" operator="between" showDropDown="false" showErrorMessage="false" showInputMessage="false" sqref="H7:H21" type="list">
      <formula1>"Cumple,Cumple mayoritariamente,Cumple parcialmente,No cumple"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3" topLeftCell="B24" activePane="bottomRight" state="frozen"/>
      <selection pane="topLeft" activeCell="A1" activeCellId="0" sqref="A1"/>
      <selection pane="topRight" activeCell="B1" activeCellId="0" sqref="B1"/>
      <selection pane="bottomLeft" activeCell="A24" activeCellId="0" sqref="A2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48"/>
    <col collapsed="false" customWidth="true" hidden="false" outlineLevel="0" max="6" min="4" style="1" width="13"/>
    <col collapsed="false" customWidth="true" hidden="false" outlineLevel="0" max="7" min="7" style="1" width="14"/>
    <col collapsed="false" customWidth="true" hidden="false" outlineLevel="0" max="8" min="8" style="1" width="34"/>
    <col collapsed="false" customWidth="true" hidden="false" outlineLevel="0" max="9" min="9" style="1" width="11"/>
  </cols>
  <sheetData>
    <row r="2" customFormat="false" ht="21.75" hidden="false" customHeight="true" outlineLevel="0" collapsed="false">
      <c r="B2" s="30" t="s">
        <v>338</v>
      </c>
    </row>
    <row r="3" customFormat="false" ht="15" hidden="false" customHeight="true" outlineLevel="0" collapsed="false">
      <c r="B3" s="31" t="s">
        <v>339</v>
      </c>
    </row>
    <row r="4" customFormat="false" ht="15" hidden="false" customHeight="true" outlineLevel="0" collapsed="false">
      <c r="B4" s="6" t="s">
        <v>340</v>
      </c>
    </row>
    <row r="5" customFormat="false" ht="21" hidden="false" customHeight="true" outlineLevel="0" collapsed="false">
      <c r="B5" s="47" t="s">
        <v>341</v>
      </c>
      <c r="C5" s="47"/>
      <c r="D5" s="47"/>
      <c r="E5" s="47"/>
      <c r="F5" s="47"/>
      <c r="G5" s="47"/>
      <c r="H5" s="47"/>
    </row>
    <row r="6" customFormat="false" ht="15" hidden="false" customHeight="true" outlineLevel="0" collapsed="false">
      <c r="B6" s="108" t="s">
        <v>342</v>
      </c>
      <c r="C6" s="108"/>
      <c r="D6" s="108"/>
      <c r="E6" s="108"/>
      <c r="F6" s="109" t="n">
        <f aca="false">'A4 CONTROLES MINIMOS'!$F$28</f>
        <v>0.782142857142857</v>
      </c>
    </row>
    <row r="7" customFormat="false" ht="15" hidden="false" customHeight="true" outlineLevel="0" collapsed="false">
      <c r="B7" s="108" t="s">
        <v>343</v>
      </c>
      <c r="C7" s="108"/>
      <c r="D7" s="108"/>
      <c r="E7" s="108"/>
      <c r="F7" s="99" t="n">
        <f aca="false">PARAMETROS!$C$30</f>
        <v>0.5</v>
      </c>
    </row>
    <row r="8" customFormat="false" ht="15" hidden="false" customHeight="true" outlineLevel="0" collapsed="false">
      <c r="B8" s="110" t="s">
        <v>344</v>
      </c>
      <c r="C8" s="110"/>
      <c r="D8" s="110"/>
      <c r="E8" s="110"/>
      <c r="F8" s="106" t="n">
        <f aca="false">$F$6*$F$7</f>
        <v>0.391071428571429</v>
      </c>
    </row>
    <row r="9" customFormat="false" ht="15" hidden="false" customHeight="true" outlineLevel="0" collapsed="false">
      <c r="B9" s="73" t="s">
        <v>345</v>
      </c>
    </row>
    <row r="11" customFormat="false" ht="21" hidden="false" customHeight="true" outlineLevel="0" collapsed="false">
      <c r="B11" s="47" t="s">
        <v>346</v>
      </c>
      <c r="C11" s="47"/>
      <c r="D11" s="47"/>
      <c r="E11" s="47"/>
      <c r="F11" s="47"/>
      <c r="G11" s="47"/>
      <c r="H11" s="47"/>
    </row>
    <row r="12" customFormat="false" ht="27.75" hidden="false" customHeight="true" outlineLevel="0" collapsed="false">
      <c r="B12" s="7" t="s">
        <v>60</v>
      </c>
      <c r="C12" s="7" t="s">
        <v>347</v>
      </c>
      <c r="D12" s="7" t="s">
        <v>348</v>
      </c>
      <c r="E12" s="7" t="s">
        <v>349</v>
      </c>
      <c r="F12" s="7" t="s">
        <v>350</v>
      </c>
      <c r="G12" s="7" t="s">
        <v>140</v>
      </c>
      <c r="H12" s="7" t="s">
        <v>351</v>
      </c>
    </row>
    <row r="13" customFormat="false" ht="15" hidden="false" customHeight="true" outlineLevel="0" collapsed="false">
      <c r="B13" s="111"/>
      <c r="C13" s="55" t="s">
        <v>352</v>
      </c>
      <c r="D13" s="112" t="n">
        <f aca="false">'A3 INHERENTE'!E12</f>
        <v>9.511225</v>
      </c>
      <c r="E13" s="113" t="n">
        <f aca="false">$F$8</f>
        <v>0.391071428571429</v>
      </c>
      <c r="F13" s="112" t="n">
        <f aca="false">D13*(1-E13)</f>
        <v>5.79165665178571</v>
      </c>
      <c r="G13" s="111" t="str">
        <f aca="false">IF(D13=0,"SIN EVALUAR",IFERROR(INDEX(PARAMETROS!$E$15:$E$19,MATCH(F13,PARAMETROS!$B$15:$B$19,1)),""))</f>
        <v>MEDIO BAJO</v>
      </c>
      <c r="H13" s="114" t="str">
        <f aca="false">IF(G13="","",IFERROR(IF(MATCH(G13,PARAMETROS!$E$15:$E$19,0)&gt;MATCH(PARAMETROS!$C$25,PARAMETROS!$E$15:$E$19,0),"Plan de acción / mitigar","Aceptable / monitorear"),"Declara el nivel de tolerancia en PARÁMETROS C25"))</f>
        <v>Aceptable / monitorear</v>
      </c>
    </row>
    <row r="15" customFormat="false" ht="21" hidden="false" customHeight="true" outlineLevel="0" collapsed="false">
      <c r="B15" s="47" t="s">
        <v>353</v>
      </c>
      <c r="C15" s="47"/>
      <c r="D15" s="47"/>
      <c r="E15" s="47"/>
      <c r="F15" s="47"/>
      <c r="G15" s="47"/>
      <c r="H15" s="47"/>
    </row>
    <row r="16" customFormat="false" ht="27.75" hidden="false" customHeight="true" outlineLevel="0" collapsed="false">
      <c r="B16" s="7" t="s">
        <v>60</v>
      </c>
      <c r="C16" s="7" t="s">
        <v>347</v>
      </c>
      <c r="D16" s="7" t="s">
        <v>348</v>
      </c>
      <c r="E16" s="7" t="s">
        <v>349</v>
      </c>
      <c r="F16" s="7" t="s">
        <v>350</v>
      </c>
      <c r="G16" s="7" t="s">
        <v>140</v>
      </c>
      <c r="H16" s="7" t="s">
        <v>351</v>
      </c>
    </row>
    <row r="17" customFormat="false" ht="15" hidden="false" customHeight="true" outlineLevel="0" collapsed="false">
      <c r="B17" s="71" t="n">
        <v>1</v>
      </c>
      <c r="C17" s="69" t="s">
        <v>144</v>
      </c>
      <c r="D17" s="70" t="n">
        <f aca="false">'A3 INHERENTE'!E7</f>
        <v>9.52</v>
      </c>
      <c r="E17" s="99" t="n">
        <f aca="false">$F$8</f>
        <v>0.391071428571429</v>
      </c>
      <c r="F17" s="70" t="n">
        <f aca="false">D17*(1-E17)</f>
        <v>5.797</v>
      </c>
      <c r="G17" s="71" t="str">
        <f aca="false">IF(D17=0,"SIN EVALUAR",IFERROR(INDEX(PARAMETROS!$E$15:$E$19,MATCH(F17,PARAMETROS!$B$15:$B$19,1)),""))</f>
        <v>MEDIO BAJO</v>
      </c>
      <c r="H17" s="69" t="str">
        <f aca="false">IF(G17="","",IFERROR(IF(MATCH(G17,PARAMETROS!$E$15:$E$19,0)&gt;MATCH(PARAMETROS!$C$25,PARAMETROS!$E$15:$E$19,0),"Plan de acción / mitigar","Aceptable / monitorear"),"Declara el nivel de tolerancia en PARÁMETROS C25"))</f>
        <v>Aceptable / monitorear</v>
      </c>
    </row>
    <row r="18" customFormat="false" ht="15" hidden="false" customHeight="true" outlineLevel="0" collapsed="false">
      <c r="B18" s="71" t="n">
        <v>2</v>
      </c>
      <c r="C18" s="69" t="s">
        <v>146</v>
      </c>
      <c r="D18" s="70" t="n">
        <f aca="false">'A3 INHERENTE'!E8</f>
        <v>8.3834</v>
      </c>
      <c r="E18" s="99" t="n">
        <f aca="false">$F$8</f>
        <v>0.391071428571429</v>
      </c>
      <c r="F18" s="70" t="n">
        <f aca="false">D18*(1-E18)</f>
        <v>5.10489178571429</v>
      </c>
      <c r="G18" s="71" t="str">
        <f aca="false">IF(D18=0,"SIN EVALUAR",IFERROR(INDEX(PARAMETROS!$E$15:$E$19,MATCH(F18,PARAMETROS!$B$15:$B$19,1)),""))</f>
        <v>MEDIO BAJO</v>
      </c>
      <c r="H18" s="69" t="str">
        <f aca="false">IF(G18="","",IFERROR(IF(MATCH(G18,PARAMETROS!$E$15:$E$19,0)&gt;MATCH(PARAMETROS!$C$25,PARAMETROS!$E$15:$E$19,0),"Plan de acción / mitigar","Aceptable / monitorear"),"Declara el nivel de tolerancia en PARÁMETROS C25"))</f>
        <v>Aceptable / monitorear</v>
      </c>
    </row>
    <row r="19" customFormat="false" ht="15" hidden="false" customHeight="true" outlineLevel="0" collapsed="false">
      <c r="B19" s="71" t="n">
        <v>3</v>
      </c>
      <c r="C19" s="69" t="s">
        <v>148</v>
      </c>
      <c r="D19" s="70" t="n">
        <f aca="false">'A3 INHERENTE'!E9</f>
        <v>8.0325</v>
      </c>
      <c r="E19" s="99" t="n">
        <f aca="false">$F$8</f>
        <v>0.391071428571429</v>
      </c>
      <c r="F19" s="70" t="n">
        <f aca="false">D19*(1-E19)</f>
        <v>4.89121875</v>
      </c>
      <c r="G19" s="71" t="str">
        <f aca="false">IF(D19=0,"SIN EVALUAR",IFERROR(INDEX(PARAMETROS!$E$15:$E$19,MATCH(F19,PARAMETROS!$B$15:$B$19,1)),""))</f>
        <v>BAJO</v>
      </c>
      <c r="H19" s="69" t="str">
        <f aca="false">IF(G19="","",IFERROR(IF(MATCH(G19,PARAMETROS!$E$15:$E$19,0)&gt;MATCH(PARAMETROS!$C$25,PARAMETROS!$E$15:$E$19,0),"Plan de acción / mitigar","Aceptable / monitorear"),"Declara el nivel de tolerancia en PARÁMETROS C25"))</f>
        <v>Aceptable / monitorear</v>
      </c>
    </row>
    <row r="20" customFormat="false" ht="15" hidden="false" customHeight="true" outlineLevel="0" collapsed="false">
      <c r="B20" s="71" t="n">
        <v>4</v>
      </c>
      <c r="C20" s="69" t="s">
        <v>150</v>
      </c>
      <c r="D20" s="70" t="n">
        <f aca="false">'A3 INHERENTE'!E10</f>
        <v>11.2167</v>
      </c>
      <c r="E20" s="99" t="n">
        <f aca="false">$F$8</f>
        <v>0.391071428571429</v>
      </c>
      <c r="F20" s="70" t="n">
        <f aca="false">D20*(1-E20)</f>
        <v>6.83016910714286</v>
      </c>
      <c r="G20" s="71" t="str">
        <f aca="false">IF(D20=0,"SIN EVALUAR",IFERROR(INDEX(PARAMETROS!$E$15:$E$19,MATCH(F20,PARAMETROS!$B$15:$B$19,1)),""))</f>
        <v>MEDIO BAJO</v>
      </c>
      <c r="H20" s="69" t="str">
        <f aca="false">IF(G20="","",IFERROR(IF(MATCH(G20,PARAMETROS!$E$15:$E$19,0)&gt;MATCH(PARAMETROS!$C$25,PARAMETROS!$E$15:$E$19,0),"Plan de acción / mitigar","Aceptable / monitorear"),"Declara el nivel de tolerancia en PARÁMETROS C25"))</f>
        <v>Aceptable / monitorear</v>
      </c>
    </row>
    <row r="22" customFormat="false" ht="21" hidden="false" customHeight="true" outlineLevel="0" collapsed="false">
      <c r="B22" s="47" t="s">
        <v>354</v>
      </c>
      <c r="C22" s="47"/>
      <c r="D22" s="47"/>
      <c r="E22" s="47"/>
      <c r="F22" s="47"/>
      <c r="G22" s="47"/>
      <c r="H22" s="47"/>
    </row>
    <row r="23" customFormat="false" ht="27.75" hidden="false" customHeight="true" outlineLevel="0" collapsed="false">
      <c r="B23" s="7" t="s">
        <v>60</v>
      </c>
      <c r="C23" s="7" t="s">
        <v>347</v>
      </c>
      <c r="D23" s="7" t="s">
        <v>348</v>
      </c>
      <c r="E23" s="7" t="s">
        <v>349</v>
      </c>
      <c r="F23" s="7" t="s">
        <v>350</v>
      </c>
      <c r="G23" s="7" t="s">
        <v>140</v>
      </c>
      <c r="H23" s="7" t="s">
        <v>351</v>
      </c>
      <c r="I23" s="7" t="s">
        <v>355</v>
      </c>
    </row>
    <row r="24" customFormat="false" ht="25.5" hidden="false" customHeight="true" outlineLevel="0" collapsed="false">
      <c r="B24" s="71" t="n">
        <f aca="false">'A3 INHERENTE'!B16</f>
        <v>1</v>
      </c>
      <c r="C24" s="53" t="str">
        <f aca="false">'A3 INHERENTE'!C16</f>
        <v>Valor unitario de la operación</v>
      </c>
      <c r="D24" s="70" t="n">
        <f aca="false">'A3 INHERENTE'!F16</f>
        <v>9</v>
      </c>
      <c r="E24" s="99" t="n">
        <f aca="false">IF($D24="N/A","",$F$8)</f>
        <v>0.391071428571429</v>
      </c>
      <c r="F24" s="70" t="n">
        <f aca="false">IF($D24="N/A","N/A",D24*(1-E24))</f>
        <v>5.48035714285714</v>
      </c>
      <c r="G24" s="71" t="str">
        <f aca="false">IF($D24="N/A","No aplica",IF($D24=0,"SIN EVALUAR",IFERROR(INDEX(PARAMETROS!$E$15:$E$19,MATCH(F24,PARAMETROS!$B$15:$B$19,1)),"")))</f>
        <v>MEDIO BAJO</v>
      </c>
      <c r="H24" s="69" t="str">
        <f aca="false">IF(OR($D24="N/A",$G24=""),"",IFERROR(IF(MATCH($G24,PARAMETROS!$E$15:$E$19,0)&gt;MATCH(PARAMETROS!$C$25,PARAMETROS!$E$15:$E$19,0),"Plan de acción / mitigar","Aceptable / monitorear"),"Declara el nivel de tolerancia en PARÁMETROS C25"))</f>
        <v>Aceptable / monitorear</v>
      </c>
      <c r="I24" s="115" t="n">
        <f aca="false">IF($D24="N/A",-1,F24+(49-ROW())/100000)</f>
        <v>5.48060714285714</v>
      </c>
    </row>
    <row r="25" customFormat="false" ht="25.5" hidden="false" customHeight="true" outlineLevel="0" collapsed="false">
      <c r="B25" s="71" t="n">
        <f aca="false">'A3 INHERENTE'!B17</f>
        <v>2</v>
      </c>
      <c r="C25" s="53" t="str">
        <f aca="false">'A3 INHERENTE'!C17</f>
        <v>Liquidez: facilidad de convertir en dinero</v>
      </c>
      <c r="D25" s="70" t="n">
        <f aca="false">'A3 INHERENTE'!F17</f>
        <v>6</v>
      </c>
      <c r="E25" s="99" t="n">
        <f aca="false">IF($D25="N/A","",$F$8)</f>
        <v>0.391071428571429</v>
      </c>
      <c r="F25" s="70" t="n">
        <f aca="false">IF($D25="N/A","N/A",D25*(1-E25))</f>
        <v>3.65357142857143</v>
      </c>
      <c r="G25" s="71" t="str">
        <f aca="false">IF($D25="N/A","No aplica",IF($D25=0,"SIN EVALUAR",IFERROR(INDEX(PARAMETROS!$E$15:$E$19,MATCH(F25,PARAMETROS!$B$15:$B$19,1)),"")))</f>
        <v>BAJO</v>
      </c>
      <c r="H25" s="69" t="str">
        <f aca="false">IF(OR($D25="N/A",$G25=""),"",IFERROR(IF(MATCH($G25,PARAMETROS!$E$15:$E$19,0)&gt;MATCH(PARAMETROS!$C$25,PARAMETROS!$E$15:$E$19,0),"Plan de acción / mitigar","Aceptable / monitorear"),"Declara el nivel de tolerancia en PARÁMETROS C25"))</f>
        <v>Aceptable / monitorear</v>
      </c>
      <c r="I25" s="115" t="n">
        <f aca="false">IF($D25="N/A",-1,F25+(49-ROW())/100000)</f>
        <v>3.65381142857143</v>
      </c>
    </row>
    <row r="26" customFormat="false" ht="25.5" hidden="false" customHeight="true" outlineLevel="0" collapsed="false">
      <c r="B26" s="71" t="n">
        <f aca="false">'A3 INHERENTE'!B18</f>
        <v>3</v>
      </c>
      <c r="C26" s="53" t="str">
        <f aca="false">'A3 INHERENTE'!C18</f>
        <v>Anonimato: si el beneficiario queda a la vista</v>
      </c>
      <c r="D26" s="70" t="n">
        <f aca="false">'A3 INHERENTE'!F18</f>
        <v>12</v>
      </c>
      <c r="E26" s="99" t="n">
        <f aca="false">IF($D26="N/A","",$F$8)</f>
        <v>0.391071428571429</v>
      </c>
      <c r="F26" s="70" t="n">
        <f aca="false">IF($D26="N/A","N/A",D26*(1-E26))</f>
        <v>7.30714285714286</v>
      </c>
      <c r="G26" s="71" t="str">
        <f aca="false">IF($D26="N/A","No aplica",IF($D26=0,"SIN EVALUAR",IFERROR(INDEX(PARAMETROS!$E$15:$E$19,MATCH(F26,PARAMETROS!$B$15:$B$19,1)),"")))</f>
        <v>MEDIO BAJO</v>
      </c>
      <c r="H26" s="69" t="str">
        <f aca="false">IF(OR($D26="N/A",$G26=""),"",IFERROR(IF(MATCH($G26,PARAMETROS!$E$15:$E$19,0)&gt;MATCH(PARAMETROS!$C$25,PARAMETROS!$E$15:$E$19,0),"Plan de acción / mitigar","Aceptable / monitorear"),"Declara el nivel de tolerancia en PARÁMETROS C25"))</f>
        <v>Aceptable / monitorear</v>
      </c>
      <c r="I26" s="115" t="n">
        <f aca="false">IF($D26="N/A",-1,F26+(49-ROW())/100000)</f>
        <v>7.30737285714286</v>
      </c>
    </row>
    <row r="27" customFormat="false" ht="25.5" hidden="false" customHeight="true" outlineLevel="0" collapsed="false">
      <c r="B27" s="71" t="n">
        <f aca="false">'A3 INHERENTE'!B19</f>
        <v>4</v>
      </c>
      <c r="C27" s="53" t="str">
        <f aca="false">'A3 INHERENTE'!C19</f>
        <v>Ocultamiento de valor en el precio</v>
      </c>
      <c r="D27" s="70" t="n">
        <f aca="false">'A3 INHERENTE'!F19</f>
        <v>12</v>
      </c>
      <c r="E27" s="99" t="n">
        <f aca="false">IF($D27="N/A","",$F$8)</f>
        <v>0.391071428571429</v>
      </c>
      <c r="F27" s="70" t="n">
        <f aca="false">IF($D27="N/A","N/A",D27*(1-E27))</f>
        <v>7.30714285714286</v>
      </c>
      <c r="G27" s="71" t="str">
        <f aca="false">IF($D27="N/A","No aplica",IF($D27=0,"SIN EVALUAR",IFERROR(INDEX(PARAMETROS!$E$15:$E$19,MATCH(F27,PARAMETROS!$B$15:$B$19,1)),"")))</f>
        <v>MEDIO BAJO</v>
      </c>
      <c r="H27" s="69" t="str">
        <f aca="false">IF(OR($D27="N/A",$G27=""),"",IFERROR(IF(MATCH($G27,PARAMETROS!$E$15:$E$19,0)&gt;MATCH(PARAMETROS!$C$25,PARAMETROS!$E$15:$E$19,0),"Plan de acción / mitigar","Aceptable / monitorear"),"Declara el nivel de tolerancia en PARÁMETROS C25"))</f>
        <v>Aceptable / monitorear</v>
      </c>
      <c r="I27" s="115" t="n">
        <f aca="false">IF($D27="N/A",-1,F27+(49-ROW())/100000)</f>
        <v>7.30736285714286</v>
      </c>
    </row>
    <row r="28" customFormat="false" ht="25.5" hidden="false" customHeight="true" outlineLevel="0" collapsed="false">
      <c r="B28" s="71" t="n">
        <f aca="false">'A3 INHERENTE'!B20</f>
        <v>5</v>
      </c>
      <c r="C28" s="53" t="str">
        <f aca="false">'A3 INHERENTE'!C20</f>
        <v>Exposición a personas señaladas por terrorismo</v>
      </c>
      <c r="D28" s="70" t="n">
        <f aca="false">'A3 INHERENTE'!F20</f>
        <v>4</v>
      </c>
      <c r="E28" s="99" t="n">
        <f aca="false">IF($D28="N/A","",$F$8)</f>
        <v>0.391071428571429</v>
      </c>
      <c r="F28" s="70" t="n">
        <f aca="false">IF($D28="N/A","N/A",D28*(1-E28))</f>
        <v>2.43571428571429</v>
      </c>
      <c r="G28" s="71" t="str">
        <f aca="false">IF($D28="N/A","No aplica",IF($D28=0,"SIN EVALUAR",IFERROR(INDEX(PARAMETROS!$E$15:$E$19,MATCH(F28,PARAMETROS!$B$15:$B$19,1)),"")))</f>
        <v>BAJO</v>
      </c>
      <c r="H28" s="69" t="str">
        <f aca="false">IF(OR($D28="N/A",$G28=""),"",IFERROR(IF(MATCH($G28,PARAMETROS!$E$15:$E$19,0)&gt;MATCH(PARAMETROS!$C$25,PARAMETROS!$E$15:$E$19,0),"Plan de acción / mitigar","Aceptable / monitorear"),"Declara el nivel de tolerancia en PARÁMETROS C25"))</f>
        <v>Aceptable / monitorear</v>
      </c>
      <c r="I28" s="115" t="n">
        <f aca="false">IF($D28="N/A",-1,F28+(49-ROW())/100000)</f>
        <v>2.43592428571429</v>
      </c>
    </row>
    <row r="29" customFormat="false" ht="25.5" hidden="false" customHeight="true" outlineLevel="0" collapsed="false">
      <c r="B29" s="71" t="n">
        <f aca="false">'A3 INHERENTE'!B21</f>
        <v>6</v>
      </c>
      <c r="C29" s="53" t="str">
        <f aca="false">'A3 INHERENTE'!C21</f>
        <v>Tipo de persona</v>
      </c>
      <c r="D29" s="70" t="n">
        <f aca="false">'A3 INHERENTE'!F21</f>
        <v>12</v>
      </c>
      <c r="E29" s="99" t="n">
        <f aca="false">IF($D29="N/A","",$F$8)</f>
        <v>0.391071428571429</v>
      </c>
      <c r="F29" s="70" t="n">
        <f aca="false">IF($D29="N/A","N/A",D29*(1-E29))</f>
        <v>7.30714285714286</v>
      </c>
      <c r="G29" s="71" t="str">
        <f aca="false">IF($D29="N/A","No aplica",IF($D29=0,"SIN EVALUAR",IFERROR(INDEX(PARAMETROS!$E$15:$E$19,MATCH(F29,PARAMETROS!$B$15:$B$19,1)),"")))</f>
        <v>MEDIO BAJO</v>
      </c>
      <c r="H29" s="69" t="str">
        <f aca="false">IF(OR($D29="N/A",$G29=""),"",IFERROR(IF(MATCH($G29,PARAMETROS!$E$15:$E$19,0)&gt;MATCH(PARAMETROS!$C$25,PARAMETROS!$E$15:$E$19,0),"Plan de acción / mitigar","Aceptable / monitorear"),"Declara el nivel de tolerancia en PARÁMETROS C25"))</f>
        <v>Aceptable / monitorear</v>
      </c>
      <c r="I29" s="115" t="n">
        <f aca="false">IF($D29="N/A",-1,F29+(49-ROW())/100000)</f>
        <v>7.30734285714286</v>
      </c>
    </row>
    <row r="30" customFormat="false" ht="25.5" hidden="false" customHeight="true" outlineLevel="0" collapsed="false">
      <c r="B30" s="71" t="n">
        <f aca="false">'A3 INHERENTE'!B22</f>
        <v>7</v>
      </c>
      <c r="C30" s="53" t="str">
        <f aca="false">'A3 INHERENTE'!C22</f>
        <v>Antigüedad del Cliente</v>
      </c>
      <c r="D30" s="70" t="n">
        <f aca="false">'A3 INHERENTE'!F22</f>
        <v>6</v>
      </c>
      <c r="E30" s="99" t="n">
        <f aca="false">IF($D30="N/A","",$F$8)</f>
        <v>0.391071428571429</v>
      </c>
      <c r="F30" s="70" t="n">
        <f aca="false">IF($D30="N/A","N/A",D30*(1-E30))</f>
        <v>3.65357142857143</v>
      </c>
      <c r="G30" s="71" t="str">
        <f aca="false">IF($D30="N/A","No aplica",IF($D30=0,"SIN EVALUAR",IFERROR(INDEX(PARAMETROS!$E$15:$E$19,MATCH(F30,PARAMETROS!$B$15:$B$19,1)),"")))</f>
        <v>BAJO</v>
      </c>
      <c r="H30" s="69" t="str">
        <f aca="false">IF(OR($D30="N/A",$G30=""),"",IFERROR(IF(MATCH($G30,PARAMETROS!$E$15:$E$19,0)&gt;MATCH(PARAMETROS!$C$25,PARAMETROS!$E$15:$E$19,0),"Plan de acción / mitigar","Aceptable / monitorear"),"Declara el nivel de tolerancia en PARÁMETROS C25"))</f>
        <v>Aceptable / monitorear</v>
      </c>
      <c r="I30" s="115" t="n">
        <f aca="false">IF($D30="N/A",-1,F30+(49-ROW())/100000)</f>
        <v>3.65376142857143</v>
      </c>
    </row>
    <row r="31" customFormat="false" ht="25.5" hidden="false" customHeight="true" outlineLevel="0" collapsed="false">
      <c r="B31" s="71" t="n">
        <f aca="false">'A3 INHERENTE'!B23</f>
        <v>8</v>
      </c>
      <c r="C31" s="53" t="str">
        <f aca="false">'A3 INHERENTE'!C23</f>
        <v>Giro o actividad declarada</v>
      </c>
      <c r="D31" s="70" t="n">
        <f aca="false">'A3 INHERENTE'!F23</f>
        <v>12</v>
      </c>
      <c r="E31" s="99" t="n">
        <f aca="false">IF($D31="N/A","",$F$8)</f>
        <v>0.391071428571429</v>
      </c>
      <c r="F31" s="70" t="n">
        <f aca="false">IF($D31="N/A","N/A",D31*(1-E31))</f>
        <v>7.30714285714286</v>
      </c>
      <c r="G31" s="71" t="str">
        <f aca="false">IF($D31="N/A","No aplica",IF($D31=0,"SIN EVALUAR",IFERROR(INDEX(PARAMETROS!$E$15:$E$19,MATCH(F31,PARAMETROS!$B$15:$B$19,1)),"")))</f>
        <v>MEDIO BAJO</v>
      </c>
      <c r="H31" s="69" t="str">
        <f aca="false">IF(OR($D31="N/A",$G31=""),"",IFERROR(IF(MATCH($G31,PARAMETROS!$E$15:$E$19,0)&gt;MATCH(PARAMETROS!$C$25,PARAMETROS!$E$15:$E$19,0),"Plan de acción / mitigar","Aceptable / monitorear"),"Declara el nivel de tolerancia en PARÁMETROS C25"))</f>
        <v>Aceptable / monitorear</v>
      </c>
      <c r="I31" s="115" t="n">
        <f aca="false">IF($D31="N/A",-1,F31+(49-ROW())/100000)</f>
        <v>7.30732285714286</v>
      </c>
    </row>
    <row r="32" customFormat="false" ht="25.5" hidden="false" customHeight="true" outlineLevel="0" collapsed="false">
      <c r="B32" s="71" t="n">
        <f aca="false">'A3 INHERENTE'!B24</f>
        <v>9</v>
      </c>
      <c r="C32" s="53" t="str">
        <f aca="false">'A3 INHERENTE'!C24</f>
        <v>Nacionalidad</v>
      </c>
      <c r="D32" s="70" t="n">
        <f aca="false">'A3 INHERENTE'!F24</f>
        <v>4</v>
      </c>
      <c r="E32" s="99" t="n">
        <f aca="false">IF($D32="N/A","",$F$8)</f>
        <v>0.391071428571429</v>
      </c>
      <c r="F32" s="70" t="n">
        <f aca="false">IF($D32="N/A","N/A",D32*(1-E32))</f>
        <v>2.43571428571429</v>
      </c>
      <c r="G32" s="71" t="str">
        <f aca="false">IF($D32="N/A","No aplica",IF($D32=0,"SIN EVALUAR",IFERROR(INDEX(PARAMETROS!$E$15:$E$19,MATCH(F32,PARAMETROS!$B$15:$B$19,1)),"")))</f>
        <v>BAJO</v>
      </c>
      <c r="H32" s="69" t="str">
        <f aca="false">IF(OR($D32="N/A",$G32=""),"",IFERROR(IF(MATCH($G32,PARAMETROS!$E$15:$E$19,0)&gt;MATCH(PARAMETROS!$C$25,PARAMETROS!$E$15:$E$19,0),"Plan de acción / mitigar","Aceptable / monitorear"),"Declara el nivel de tolerancia en PARÁMETROS C25"))</f>
        <v>Aceptable / monitorear</v>
      </c>
      <c r="I32" s="115" t="n">
        <f aca="false">IF($D32="N/A",-1,F32+(49-ROW())/100000)</f>
        <v>2.43588428571429</v>
      </c>
    </row>
    <row r="33" customFormat="false" ht="25.5" hidden="false" customHeight="true" outlineLevel="0" collapsed="false">
      <c r="B33" s="71" t="n">
        <f aca="false">'A3 INHERENTE'!B25</f>
        <v>10</v>
      </c>
      <c r="C33" s="53" t="str">
        <f aca="false">'A3 INHERENTE'!C25</f>
        <v>País y entidad de residencia</v>
      </c>
      <c r="D33" s="70" t="n">
        <f aca="false">'A3 INHERENTE'!F25</f>
        <v>6</v>
      </c>
      <c r="E33" s="99" t="n">
        <f aca="false">IF($D33="N/A","",$F$8)</f>
        <v>0.391071428571429</v>
      </c>
      <c r="F33" s="70" t="n">
        <f aca="false">IF($D33="N/A","N/A",D33*(1-E33))</f>
        <v>3.65357142857143</v>
      </c>
      <c r="G33" s="71" t="str">
        <f aca="false">IF($D33="N/A","No aplica",IF($D33=0,"SIN EVALUAR",IFERROR(INDEX(PARAMETROS!$E$15:$E$19,MATCH(F33,PARAMETROS!$B$15:$B$19,1)),"")))</f>
        <v>BAJO</v>
      </c>
      <c r="H33" s="69" t="str">
        <f aca="false">IF(OR($D33="N/A",$G33=""),"",IFERROR(IF(MATCH($G33,PARAMETROS!$E$15:$E$19,0)&gt;MATCH(PARAMETROS!$C$25,PARAMETROS!$E$15:$E$19,0),"Plan de acción / mitigar","Aceptable / monitorear"),"Declara el nivel de tolerancia en PARÁMETROS C25"))</f>
        <v>Aceptable / monitorear</v>
      </c>
      <c r="I33" s="115" t="n">
        <f aca="false">IF($D33="N/A",-1,F33+(49-ROW())/100000)</f>
        <v>3.65373142857143</v>
      </c>
    </row>
    <row r="34" customFormat="false" ht="25.5" hidden="false" customHeight="true" outlineLevel="0" collapsed="false">
      <c r="B34" s="71" t="n">
        <f aca="false">'A3 INHERENTE'!B26</f>
        <v>11</v>
      </c>
      <c r="C34" s="53" t="str">
        <f aca="false">'A3 INHERENTE'!C26</f>
        <v>Condición de Persona Políticamente Expuesta</v>
      </c>
      <c r="D34" s="70" t="n">
        <f aca="false">'A3 INHERENTE'!F26</f>
        <v>6</v>
      </c>
      <c r="E34" s="99" t="n">
        <f aca="false">IF($D34="N/A","",$F$8)</f>
        <v>0.391071428571429</v>
      </c>
      <c r="F34" s="70" t="n">
        <f aca="false">IF($D34="N/A","N/A",D34*(1-E34))</f>
        <v>3.65357142857143</v>
      </c>
      <c r="G34" s="71" t="str">
        <f aca="false">IF($D34="N/A","No aplica",IF($D34=0,"SIN EVALUAR",IFERROR(INDEX(PARAMETROS!$E$15:$E$19,MATCH(F34,PARAMETROS!$B$15:$B$19,1)),"")))</f>
        <v>BAJO</v>
      </c>
      <c r="H34" s="69" t="str">
        <f aca="false">IF(OR($D34="N/A",$G34=""),"",IFERROR(IF(MATCH($G34,PARAMETROS!$E$15:$E$19,0)&gt;MATCH(PARAMETROS!$C$25,PARAMETROS!$E$15:$E$19,0),"Plan de acción / mitigar","Aceptable / monitorear"),"Declara el nivel de tolerancia en PARÁMETROS C25"))</f>
        <v>Aceptable / monitorear</v>
      </c>
      <c r="I34" s="115" t="n">
        <f aca="false">IF($D34="N/A",-1,F34+(49-ROW())/100000)</f>
        <v>3.65372142857143</v>
      </c>
    </row>
    <row r="35" customFormat="false" ht="25.5" hidden="false" customHeight="true" outlineLevel="0" collapsed="false">
      <c r="B35" s="71" t="n">
        <f aca="false">'A3 INHERENTE'!B27</f>
        <v>12</v>
      </c>
      <c r="C35" s="53" t="str">
        <f aca="false">'A3 INHERENTE'!C27</f>
        <v>Resultado de la búsqueda en listas</v>
      </c>
      <c r="D35" s="70" t="n">
        <f aca="false">'A3 INHERENTE'!F27</f>
        <v>4</v>
      </c>
      <c r="E35" s="99" t="n">
        <f aca="false">IF($D35="N/A","",$F$8)</f>
        <v>0.391071428571429</v>
      </c>
      <c r="F35" s="70" t="n">
        <f aca="false">IF($D35="N/A","N/A",D35*(1-E35))</f>
        <v>2.43571428571429</v>
      </c>
      <c r="G35" s="71" t="str">
        <f aca="false">IF($D35="N/A","No aplica",IF($D35=0,"SIN EVALUAR",IFERROR(INDEX(PARAMETROS!$E$15:$E$19,MATCH(F35,PARAMETROS!$B$15:$B$19,1)),"")))</f>
        <v>BAJO</v>
      </c>
      <c r="H35" s="69" t="str">
        <f aca="false">IF(OR($D35="N/A",$G35=""),"",IFERROR(IF(MATCH($G35,PARAMETROS!$E$15:$E$19,0)&gt;MATCH(PARAMETROS!$C$25,PARAMETROS!$E$15:$E$19,0),"Plan de acción / mitigar","Aceptable / monitorear"),"Declara el nivel de tolerancia en PARÁMETROS C25"))</f>
        <v>Aceptable / monitorear</v>
      </c>
      <c r="I35" s="115" t="n">
        <f aca="false">IF($D35="N/A",-1,F35+(49-ROW())/100000)</f>
        <v>2.43585428571429</v>
      </c>
    </row>
    <row r="36" customFormat="false" ht="25.5" hidden="false" customHeight="true" outlineLevel="0" collapsed="false">
      <c r="B36" s="71" t="n">
        <f aca="false">'A3 INHERENTE'!B28</f>
        <v>13</v>
      </c>
      <c r="C36" s="53" t="str">
        <f aca="false">'A3 INHERENTE'!C28</f>
        <v>Profundidad de la cadena de control</v>
      </c>
      <c r="D36" s="70" t="n">
        <f aca="false">'A3 INHERENTE'!F28</f>
        <v>12</v>
      </c>
      <c r="E36" s="99" t="n">
        <f aca="false">IF($D36="N/A","",$F$8)</f>
        <v>0.391071428571429</v>
      </c>
      <c r="F36" s="70" t="n">
        <f aca="false">IF($D36="N/A","N/A",D36*(1-E36))</f>
        <v>7.30714285714286</v>
      </c>
      <c r="G36" s="71" t="str">
        <f aca="false">IF($D36="N/A","No aplica",IF($D36=0,"SIN EVALUAR",IFERROR(INDEX(PARAMETROS!$E$15:$E$19,MATCH(F36,PARAMETROS!$B$15:$B$19,1)),"")))</f>
        <v>MEDIO BAJO</v>
      </c>
      <c r="H36" s="69" t="str">
        <f aca="false">IF(OR($D36="N/A",$G36=""),"",IFERROR(IF(MATCH($G36,PARAMETROS!$E$15:$E$19,0)&gt;MATCH(PARAMETROS!$C$25,PARAMETROS!$E$15:$E$19,0),"Plan de acción / mitigar","Aceptable / monitorear"),"Declara el nivel de tolerancia en PARÁMETROS C25"))</f>
        <v>Aceptable / monitorear</v>
      </c>
      <c r="I36" s="115" t="n">
        <f aca="false">IF($D36="N/A",-1,F36+(49-ROW())/100000)</f>
        <v>7.30727285714286</v>
      </c>
    </row>
    <row r="37" customFormat="false" ht="25.5" hidden="false" customHeight="true" outlineLevel="0" collapsed="false">
      <c r="B37" s="71" t="n">
        <f aca="false">'A3 INHERENTE'!B29</f>
        <v>14</v>
      </c>
      <c r="C37" s="53" t="str">
        <f aca="false">'A3 INHERENTE'!C29</f>
        <v>País donde se realiza la operación</v>
      </c>
      <c r="D37" s="70" t="n">
        <f aca="false">'A3 INHERENTE'!F29</f>
        <v>6</v>
      </c>
      <c r="E37" s="99" t="n">
        <f aca="false">IF($D37="N/A","",$F$8)</f>
        <v>0.391071428571429</v>
      </c>
      <c r="F37" s="70" t="n">
        <f aca="false">IF($D37="N/A","N/A",D37*(1-E37))</f>
        <v>3.65357142857143</v>
      </c>
      <c r="G37" s="71" t="str">
        <f aca="false">IF($D37="N/A","No aplica",IF($D37=0,"SIN EVALUAR",IFERROR(INDEX(PARAMETROS!$E$15:$E$19,MATCH(F37,PARAMETROS!$B$15:$B$19,1)),"")))</f>
        <v>BAJO</v>
      </c>
      <c r="H37" s="69" t="str">
        <f aca="false">IF(OR($D37="N/A",$G37=""),"",IFERROR(IF(MATCH($G37,PARAMETROS!$E$15:$E$19,0)&gt;MATCH(PARAMETROS!$C$25,PARAMETROS!$E$15:$E$19,0),"Plan de acción / mitigar","Aceptable / monitorear"),"Declara el nivel de tolerancia en PARÁMETROS C25"))</f>
        <v>Aceptable / monitorear</v>
      </c>
      <c r="I37" s="115" t="n">
        <f aca="false">IF($D37="N/A",-1,F37+(49-ROW())/100000)</f>
        <v>3.65369142857143</v>
      </c>
    </row>
    <row r="38" customFormat="false" ht="25.5" hidden="false" customHeight="true" outlineLevel="0" collapsed="false">
      <c r="B38" s="71" t="n">
        <f aca="false">'A3 INHERENTE'!B30</f>
        <v>15</v>
      </c>
      <c r="C38" s="53" t="str">
        <f aca="false">'A3 INHERENTE'!C30</f>
        <v>Entidad o municipio de la operación</v>
      </c>
      <c r="D38" s="70" t="n">
        <f aca="false">'A3 INHERENTE'!F30</f>
        <v>12</v>
      </c>
      <c r="E38" s="99" t="n">
        <f aca="false">IF($D38="N/A","",$F$8)</f>
        <v>0.391071428571429</v>
      </c>
      <c r="F38" s="70" t="n">
        <f aca="false">IF($D38="N/A","N/A",D38*(1-E38))</f>
        <v>7.30714285714286</v>
      </c>
      <c r="G38" s="71" t="str">
        <f aca="false">IF($D38="N/A","No aplica",IF($D38=0,"SIN EVALUAR",IFERROR(INDEX(PARAMETROS!$E$15:$E$19,MATCH(F38,PARAMETROS!$B$15:$B$19,1)),"")))</f>
        <v>MEDIO BAJO</v>
      </c>
      <c r="H38" s="69" t="str">
        <f aca="false">IF(OR($D38="N/A",$G38=""),"",IFERROR(IF(MATCH($G38,PARAMETROS!$E$15:$E$19,0)&gt;MATCH(PARAMETROS!$C$25,PARAMETROS!$E$15:$E$19,0),"Plan de acción / mitigar","Aceptable / monitorear"),"Declara el nivel de tolerancia en PARÁMETROS C25"))</f>
        <v>Aceptable / monitorear</v>
      </c>
      <c r="I38" s="115" t="n">
        <f aca="false">IF($D38="N/A",-1,F38+(49-ROW())/100000)</f>
        <v>7.30725285714286</v>
      </c>
    </row>
    <row r="39" customFormat="false" ht="25.5" hidden="false" customHeight="true" outlineLevel="0" collapsed="false">
      <c r="B39" s="71" t="n">
        <f aca="false">'A3 INHERENTE'!B31</f>
        <v>16</v>
      </c>
      <c r="C39" s="53" t="str">
        <f aca="false">'A3 INHERENTE'!C31</f>
        <v>Vínculo con jurisdicción sancionada o de acción requerida</v>
      </c>
      <c r="D39" s="70" t="n">
        <f aca="false">'A3 INHERENTE'!F31</f>
        <v>4</v>
      </c>
      <c r="E39" s="99" t="n">
        <f aca="false">IF($D39="N/A","",$F$8)</f>
        <v>0.391071428571429</v>
      </c>
      <c r="F39" s="70" t="n">
        <f aca="false">IF($D39="N/A","N/A",D39*(1-E39))</f>
        <v>2.43571428571429</v>
      </c>
      <c r="G39" s="71" t="str">
        <f aca="false">IF($D39="N/A","No aplica",IF($D39=0,"SIN EVALUAR",IFERROR(INDEX(PARAMETROS!$E$15:$E$19,MATCH(F39,PARAMETROS!$B$15:$B$19,1)),"")))</f>
        <v>BAJO</v>
      </c>
      <c r="H39" s="69" t="str">
        <f aca="false">IF(OR($D39="N/A",$G39=""),"",IFERROR(IF(MATCH($G39,PARAMETROS!$E$15:$E$19,0)&gt;MATCH(PARAMETROS!$C$25,PARAMETROS!$E$15:$E$19,0),"Plan de acción / mitigar","Aceptable / monitorear"),"Declara el nivel de tolerancia en PARÁMETROS C25"))</f>
        <v>Aceptable / monitorear</v>
      </c>
      <c r="I39" s="115" t="n">
        <f aca="false">IF($D39="N/A",-1,F39+(49-ROW())/100000)</f>
        <v>2.43581428571429</v>
      </c>
    </row>
    <row r="40" customFormat="false" ht="25.5" hidden="false" customHeight="true" outlineLevel="0" collapsed="false">
      <c r="B40" s="71" t="n">
        <f aca="false">'A3 INHERENTE'!B32</f>
        <v>17</v>
      </c>
      <c r="C40" s="53" t="str">
        <f aca="false">'A3 INHERENTE'!C32</f>
        <v>Coincidencia entre domicilio y lugar de la operación</v>
      </c>
      <c r="D40" s="70" t="n">
        <f aca="false">'A3 INHERENTE'!F32</f>
        <v>9</v>
      </c>
      <c r="E40" s="99" t="n">
        <f aca="false">IF($D40="N/A","",$F$8)</f>
        <v>0.391071428571429</v>
      </c>
      <c r="F40" s="70" t="n">
        <f aca="false">IF($D40="N/A","N/A",D40*(1-E40))</f>
        <v>5.48035714285714</v>
      </c>
      <c r="G40" s="71" t="str">
        <f aca="false">IF($D40="N/A","No aplica",IF($D40=0,"SIN EVALUAR",IFERROR(INDEX(PARAMETROS!$E$15:$E$19,MATCH(F40,PARAMETROS!$B$15:$B$19,1)),"")))</f>
        <v>MEDIO BAJO</v>
      </c>
      <c r="H40" s="69" t="str">
        <f aca="false">IF(OR($D40="N/A",$G40=""),"",IFERROR(IF(MATCH($G40,PARAMETROS!$E$15:$E$19,0)&gt;MATCH(PARAMETROS!$C$25,PARAMETROS!$E$15:$E$19,0),"Plan de acción / mitigar","Aceptable / monitorear"),"Declara el nivel de tolerancia en PARÁMETROS C25"))</f>
        <v>Aceptable / monitorear</v>
      </c>
      <c r="I40" s="115" t="n">
        <f aca="false">IF($D40="N/A",-1,F40+(49-ROW())/100000)</f>
        <v>5.48044714285714</v>
      </c>
    </row>
    <row r="41" customFormat="false" ht="25.5" hidden="false" customHeight="true" outlineLevel="0" collapsed="false">
      <c r="B41" s="71" t="n">
        <f aca="false">'A3 INHERENTE'!B33</f>
        <v>18</v>
      </c>
      <c r="C41" s="53" t="str">
        <f aca="false">'A3 INHERENTE'!C33</f>
        <v>Instrumento con que se paga</v>
      </c>
      <c r="D41" s="70" t="n">
        <f aca="false">'A3 INHERENTE'!F33</f>
        <v>16</v>
      </c>
      <c r="E41" s="99" t="n">
        <f aca="false">IF($D41="N/A","",$F$8)</f>
        <v>0.391071428571429</v>
      </c>
      <c r="F41" s="70" t="n">
        <f aca="false">IF($D41="N/A","N/A",D41*(1-E41))</f>
        <v>9.74285714285714</v>
      </c>
      <c r="G41" s="71" t="str">
        <f aca="false">IF($D41="N/A","No aplica",IF($D41=0,"SIN EVALUAR",IFERROR(INDEX(PARAMETROS!$E$15:$E$19,MATCH(F41,PARAMETROS!$B$15:$B$19,1)),"")))</f>
        <v>MEDIO</v>
      </c>
      <c r="H41" s="69" t="str">
        <f aca="false">IF(OR($D41="N/A",$G41=""),"",IFERROR(IF(MATCH($G41,PARAMETROS!$E$15:$E$19,0)&gt;MATCH(PARAMETROS!$C$25,PARAMETROS!$E$15:$E$19,0),"Plan de acción / mitigar","Aceptable / monitorear"),"Declara el nivel de tolerancia en PARÁMETROS C25"))</f>
        <v>Aceptable / monitorear</v>
      </c>
      <c r="I41" s="115" t="n">
        <f aca="false">IF($D41="N/A",-1,F41+(49-ROW())/100000)</f>
        <v>9.74293714285714</v>
      </c>
    </row>
    <row r="42" customFormat="false" ht="25.5" hidden="false" customHeight="true" outlineLevel="0" collapsed="false">
      <c r="B42" s="71" t="n">
        <f aca="false">'A3 INHERENTE'!B34</f>
        <v>19</v>
      </c>
      <c r="C42" s="53" t="str">
        <f aca="false">'A3 INHERENTE'!C34</f>
        <v>Moneda de la operación</v>
      </c>
      <c r="D42" s="70" t="n">
        <f aca="false">'A3 INHERENTE'!F34</f>
        <v>4</v>
      </c>
      <c r="E42" s="99" t="n">
        <f aca="false">IF($D42="N/A","",$F$8)</f>
        <v>0.391071428571429</v>
      </c>
      <c r="F42" s="70" t="n">
        <f aca="false">IF($D42="N/A","N/A",D42*(1-E42))</f>
        <v>2.43571428571429</v>
      </c>
      <c r="G42" s="71" t="str">
        <f aca="false">IF($D42="N/A","No aplica",IF($D42=0,"SIN EVALUAR",IFERROR(INDEX(PARAMETROS!$E$15:$E$19,MATCH(F42,PARAMETROS!$B$15:$B$19,1)),"")))</f>
        <v>BAJO</v>
      </c>
      <c r="H42" s="69" t="str">
        <f aca="false">IF(OR($D42="N/A",$G42=""),"",IFERROR(IF(MATCH($G42,PARAMETROS!$E$15:$E$19,0)&gt;MATCH(PARAMETROS!$C$25,PARAMETROS!$E$15:$E$19,0),"Plan de acción / mitigar","Aceptable / monitorear"),"Declara el nivel de tolerancia en PARÁMETROS C25"))</f>
        <v>Aceptable / monitorear</v>
      </c>
      <c r="I42" s="115" t="n">
        <f aca="false">IF($D42="N/A",-1,F42+(49-ROW())/100000)</f>
        <v>2.43578428571429</v>
      </c>
    </row>
    <row r="43" customFormat="false" ht="25.5" hidden="false" customHeight="true" outlineLevel="0" collapsed="false">
      <c r="B43" s="71" t="n">
        <f aca="false">'A3 INHERENTE'!B35</f>
        <v>20</v>
      </c>
      <c r="C43" s="53" t="str">
        <f aca="false">'A3 INHERENTE'!C35</f>
        <v>Monto frente al umbral de tu fracción</v>
      </c>
      <c r="D43" s="70" t="n">
        <f aca="false">'A3 INHERENTE'!F35</f>
        <v>12</v>
      </c>
      <c r="E43" s="99" t="n">
        <f aca="false">IF($D43="N/A","",$F$8)</f>
        <v>0.391071428571429</v>
      </c>
      <c r="F43" s="70" t="n">
        <f aca="false">IF($D43="N/A","N/A",D43*(1-E43))</f>
        <v>7.30714285714286</v>
      </c>
      <c r="G43" s="71" t="str">
        <f aca="false">IF($D43="N/A","No aplica",IF($D43=0,"SIN EVALUAR",IFERROR(INDEX(PARAMETROS!$E$15:$E$19,MATCH(F43,PARAMETROS!$B$15:$B$19,1)),"")))</f>
        <v>MEDIO BAJO</v>
      </c>
      <c r="H43" s="69" t="str">
        <f aca="false">IF(OR($D43="N/A",$G43=""),"",IFERROR(IF(MATCH($G43,PARAMETROS!$E$15:$E$19,0)&gt;MATCH(PARAMETROS!$C$25,PARAMETROS!$E$15:$E$19,0),"Plan de acción / mitigar","Aceptable / monitorear"),"Declara el nivel de tolerancia en PARÁMETROS C25"))</f>
        <v>Aceptable / monitorear</v>
      </c>
      <c r="I43" s="115" t="n">
        <f aca="false">IF($D43="N/A",-1,F43+(49-ROW())/100000)</f>
        <v>7.30720285714286</v>
      </c>
    </row>
    <row r="44" customFormat="false" ht="25.5" hidden="false" customHeight="true" outlineLevel="0" collapsed="false">
      <c r="B44" s="71" t="n">
        <f aca="false">'A3 INHERENTE'!B36</f>
        <v>21</v>
      </c>
      <c r="C44" s="53" t="str">
        <f aca="false">'A3 INHERENTE'!C36</f>
        <v>Número y ritmo de operaciones en el periodo</v>
      </c>
      <c r="D44" s="70" t="n">
        <f aca="false">'A3 INHERENTE'!F36</f>
        <v>12</v>
      </c>
      <c r="E44" s="99" t="n">
        <f aca="false">IF($D44="N/A","",$F$8)</f>
        <v>0.391071428571429</v>
      </c>
      <c r="F44" s="70" t="n">
        <f aca="false">IF($D44="N/A","N/A",D44*(1-E44))</f>
        <v>7.30714285714286</v>
      </c>
      <c r="G44" s="71" t="str">
        <f aca="false">IF($D44="N/A","No aplica",IF($D44=0,"SIN EVALUAR",IFERROR(INDEX(PARAMETROS!$E$15:$E$19,MATCH(F44,PARAMETROS!$B$15:$B$19,1)),"")))</f>
        <v>MEDIO BAJO</v>
      </c>
      <c r="H44" s="69" t="str">
        <f aca="false">IF(OR($D44="N/A",$G44=""),"",IFERROR(IF(MATCH($G44,PARAMETROS!$E$15:$E$19,0)&gt;MATCH(PARAMETROS!$C$25,PARAMETROS!$E$15:$E$19,0),"Plan de acción / mitigar","Aceptable / monitorear"),"Declara el nivel de tolerancia en PARÁMETROS C25"))</f>
        <v>Aceptable / monitorear</v>
      </c>
      <c r="I44" s="115" t="n">
        <f aca="false">IF($D44="N/A",-1,F44+(49-ROW())/100000)</f>
        <v>7.30719285714286</v>
      </c>
    </row>
    <row r="45" customFormat="false" ht="25.5" hidden="false" customHeight="true" outlineLevel="0" collapsed="false">
      <c r="B45" s="71" t="n">
        <f aca="false">'A3 INHERENTE'!B37</f>
        <v>22</v>
      </c>
      <c r="C45" s="53" t="str">
        <f aca="false">'A3 INHERENTE'!C37</f>
        <v>Canal: certeza de identificación del Cliente</v>
      </c>
      <c r="D45" s="70" t="n">
        <f aca="false">'A3 INHERENTE'!F37</f>
        <v>9</v>
      </c>
      <c r="E45" s="99" t="n">
        <f aca="false">IF($D45="N/A","",$F$8)</f>
        <v>0.391071428571429</v>
      </c>
      <c r="F45" s="70" t="n">
        <f aca="false">IF($D45="N/A","N/A",D45*(1-E45))</f>
        <v>5.48035714285714</v>
      </c>
      <c r="G45" s="71" t="str">
        <f aca="false">IF($D45="N/A","No aplica",IF($D45=0,"SIN EVALUAR",IFERROR(INDEX(PARAMETROS!$E$15:$E$19,MATCH(F45,PARAMETROS!$B$15:$B$19,1)),"")))</f>
        <v>MEDIO BAJO</v>
      </c>
      <c r="H45" s="69" t="str">
        <f aca="false">IF(OR($D45="N/A",$G45=""),"",IFERROR(IF(MATCH($G45,PARAMETROS!$E$15:$E$19,0)&gt;MATCH(PARAMETROS!$C$25,PARAMETROS!$E$15:$E$19,0),"Plan de acción / mitigar","Aceptable / monitorear"),"Declara el nivel de tolerancia en PARÁMETROS C25"))</f>
        <v>Aceptable / monitorear</v>
      </c>
      <c r="I45" s="115" t="n">
        <f aca="false">IF($D45="N/A",-1,F45+(49-ROW())/100000)</f>
        <v>5.48039714285714</v>
      </c>
    </row>
    <row r="46" customFormat="false" ht="25.5" hidden="false" customHeight="true" outlineLevel="0" collapsed="false">
      <c r="B46" s="71" t="n">
        <f aca="false">'A3 INHERENTE'!B38</f>
        <v>23</v>
      </c>
      <c r="C46" s="53" t="str">
        <f aca="false">'A3 INHERENTE'!C38</f>
        <v>Acreditación del origen de los recursos</v>
      </c>
      <c r="D46" s="70" t="n">
        <f aca="false">'A3 INHERENTE'!F38</f>
        <v>12</v>
      </c>
      <c r="E46" s="99" t="n">
        <f aca="false">IF($D46="N/A","",$F$8)</f>
        <v>0.391071428571429</v>
      </c>
      <c r="F46" s="70" t="n">
        <f aca="false">IF($D46="N/A","N/A",D46*(1-E46))</f>
        <v>7.30714285714286</v>
      </c>
      <c r="G46" s="71" t="str">
        <f aca="false">IF($D46="N/A","No aplica",IF($D46=0,"SIN EVALUAR",IFERROR(INDEX(PARAMETROS!$E$15:$E$19,MATCH(F46,PARAMETROS!$B$15:$B$19,1)),"")))</f>
        <v>MEDIO BAJO</v>
      </c>
      <c r="H46" s="69" t="str">
        <f aca="false">IF(OR($D46="N/A",$G46=""),"",IFERROR(IF(MATCH($G46,PARAMETROS!$E$15:$E$19,0)&gt;MATCH(PARAMETROS!$C$25,PARAMETROS!$E$15:$E$19,0),"Plan de acción / mitigar","Aceptable / monitorear"),"Declara el nivel de tolerancia en PARÁMETROS C25"))</f>
        <v>Aceptable / monitorear</v>
      </c>
      <c r="I46" s="115" t="n">
        <f aca="false">IF($D46="N/A",-1,F46+(49-ROW())/100000)</f>
        <v>7.30717285714286</v>
      </c>
    </row>
    <row r="47" customFormat="false" ht="25.5" hidden="false" customHeight="true" outlineLevel="0" collapsed="false">
      <c r="B47" s="71" t="n">
        <f aca="false">'A3 INHERENTE'!B39</f>
        <v>24</v>
      </c>
      <c r="C47" s="53" t="str">
        <f aca="false">'A3 INHERENTE'!C39</f>
        <v>Acreditación del destino de los recursos o del bien</v>
      </c>
      <c r="D47" s="70" t="n">
        <f aca="false">'A3 INHERENTE'!F39</f>
        <v>9</v>
      </c>
      <c r="E47" s="99" t="n">
        <f aca="false">IF($D47="N/A","",$F$8)</f>
        <v>0.391071428571429</v>
      </c>
      <c r="F47" s="70" t="n">
        <f aca="false">IF($D47="N/A","N/A",D47*(1-E47))</f>
        <v>5.48035714285714</v>
      </c>
      <c r="G47" s="71" t="str">
        <f aca="false">IF($D47="N/A","No aplica",IF($D47=0,"SIN EVALUAR",IFERROR(INDEX(PARAMETROS!$E$15:$E$19,MATCH(F47,PARAMETROS!$B$15:$B$19,1)),"")))</f>
        <v>MEDIO BAJO</v>
      </c>
      <c r="H47" s="69" t="str">
        <f aca="false">IF(OR($D47="N/A",$G47=""),"",IFERROR(IF(MATCH($G47,PARAMETROS!$E$15:$E$19,0)&gt;MATCH(PARAMETROS!$C$25,PARAMETROS!$E$15:$E$19,0),"Plan de acción / mitigar","Aceptable / monitorear"),"Declara el nivel de tolerancia en PARÁMETROS C25"))</f>
        <v>Aceptable / monitorear</v>
      </c>
      <c r="I47" s="115" t="n">
        <f aca="false">IF($D47="N/A",-1,F47+(49-ROW())/100000)</f>
        <v>5.48037714285714</v>
      </c>
    </row>
    <row r="48" customFormat="false" ht="25.5" hidden="false" customHeight="true" outlineLevel="0" collapsed="false">
      <c r="B48" s="71" t="n">
        <f aca="false">'A3 INHERENTE'!B40</f>
        <v>25</v>
      </c>
      <c r="C48" s="53" t="str">
        <f aca="false">'A3 INHERENTE'!C40</f>
        <v>Combinación de canal e instrumento idónea para el financiamiento al terrorismo</v>
      </c>
      <c r="D48" s="70" t="n">
        <f aca="false">'A3 INHERENTE'!F40</f>
        <v>6</v>
      </c>
      <c r="E48" s="99" t="n">
        <f aca="false">IF($D48="N/A","",$F$8)</f>
        <v>0.391071428571429</v>
      </c>
      <c r="F48" s="70" t="n">
        <f aca="false">IF($D48="N/A","N/A",D48*(1-E48))</f>
        <v>3.65357142857143</v>
      </c>
      <c r="G48" s="71" t="str">
        <f aca="false">IF($D48="N/A","No aplica",IF($D48=0,"SIN EVALUAR",IFERROR(INDEX(PARAMETROS!$E$15:$E$19,MATCH(F48,PARAMETROS!$B$15:$B$19,1)),"")))</f>
        <v>BAJO</v>
      </c>
      <c r="H48" s="69" t="str">
        <f aca="false">IF(OR($D48="N/A",$G48=""),"",IFERROR(IF(MATCH($G48,PARAMETROS!$E$15:$E$19,0)&gt;MATCH(PARAMETROS!$C$25,PARAMETROS!$E$15:$E$19,0),"Plan de acción / mitigar","Aceptable / monitorear"),"Declara el nivel de tolerancia en PARÁMETROS C25"))</f>
        <v>Aceptable / monitorear</v>
      </c>
      <c r="I48" s="115" t="n">
        <f aca="false">IF($D48="N/A",-1,F48+(49-ROW())/100000)</f>
        <v>3.65358142857143</v>
      </c>
    </row>
    <row r="50" customFormat="false" ht="15" hidden="false" customHeight="true" outlineLevel="0" collapsed="false">
      <c r="B50" s="31" t="s">
        <v>356</v>
      </c>
    </row>
    <row r="51" customFormat="false" ht="15" hidden="false" customHeight="true" outlineLevel="0" collapsed="false">
      <c r="B51" s="31" t="s">
        <v>357</v>
      </c>
    </row>
  </sheetData>
  <mergeCells count="7">
    <mergeCell ref="B5:H5"/>
    <mergeCell ref="B6:E6"/>
    <mergeCell ref="B7:E7"/>
    <mergeCell ref="B8:E8"/>
    <mergeCell ref="B11:H11"/>
    <mergeCell ref="B15:H15"/>
    <mergeCell ref="B22:H22"/>
  </mergeCells>
  <conditionalFormatting sqref="G13">
    <cfRule type="expression" priority="2" aboveAverage="0" equalAverage="0" bottom="0" percent="0" rank="0" text="" dxfId="2">
      <formula>EXACT(G13,"BAJO")</formula>
    </cfRule>
    <cfRule type="expression" priority="3" aboveAverage="0" equalAverage="0" bottom="0" percent="0" rank="0" text="" dxfId="3">
      <formula>EXACT(G13,"MEDIO BAJO")</formula>
    </cfRule>
    <cfRule type="expression" priority="4" aboveAverage="0" equalAverage="0" bottom="0" percent="0" rank="0" text="" dxfId="4">
      <formula>EXACT(G13,"MEDIO")</formula>
    </cfRule>
    <cfRule type="expression" priority="5" aboveAverage="0" equalAverage="0" bottom="0" percent="0" rank="0" text="" dxfId="5">
      <formula>EXACT(G13,"MEDIO ALTO")</formula>
    </cfRule>
    <cfRule type="expression" priority="6" aboveAverage="0" equalAverage="0" bottom="0" percent="0" rank="0" text="" dxfId="6">
      <formula>EXACT(G13,"ALTO")</formula>
    </cfRule>
  </conditionalFormatting>
  <conditionalFormatting sqref="G17:G20">
    <cfRule type="expression" priority="7" aboveAverage="0" equalAverage="0" bottom="0" percent="0" rank="0" text="" dxfId="2">
      <formula>EXACT(G17,"BAJO")</formula>
    </cfRule>
    <cfRule type="expression" priority="8" aboveAverage="0" equalAverage="0" bottom="0" percent="0" rank="0" text="" dxfId="3">
      <formula>EXACT(G17,"MEDIO BAJO")</formula>
    </cfRule>
    <cfRule type="expression" priority="9" aboveAverage="0" equalAverage="0" bottom="0" percent="0" rank="0" text="" dxfId="4">
      <formula>EXACT(G17,"MEDIO")</formula>
    </cfRule>
    <cfRule type="expression" priority="10" aboveAverage="0" equalAverage="0" bottom="0" percent="0" rank="0" text="" dxfId="5">
      <formula>EXACT(G17,"MEDIO ALTO")</formula>
    </cfRule>
    <cfRule type="expression" priority="11" aboveAverage="0" equalAverage="0" bottom="0" percent="0" rank="0" text="" dxfId="6">
      <formula>EXACT(G17,"ALTO")</formula>
    </cfRule>
  </conditionalFormatting>
  <conditionalFormatting sqref="G24:G48">
    <cfRule type="expression" priority="12" aboveAverage="0" equalAverage="0" bottom="0" percent="0" rank="0" text="" dxfId="2">
      <formula>EXACT(G24,"BAJO")</formula>
    </cfRule>
    <cfRule type="expression" priority="13" aboveAverage="0" equalAverage="0" bottom="0" percent="0" rank="0" text="" dxfId="3">
      <formula>EXACT(G24,"MEDIO BAJO")</formula>
    </cfRule>
    <cfRule type="expression" priority="14" aboveAverage="0" equalAverage="0" bottom="0" percent="0" rank="0" text="" dxfId="4">
      <formula>EXACT(G24,"MEDIO")</formula>
    </cfRule>
    <cfRule type="expression" priority="15" aboveAverage="0" equalAverage="0" bottom="0" percent="0" rank="0" text="" dxfId="5">
      <formula>EXACT(G24,"MEDIO ALTO")</formula>
    </cfRule>
    <cfRule type="expression" priority="16" aboveAverage="0" equalAverage="0" bottom="0" percent="0" rank="0" text="" dxfId="6">
      <formula>EXACT(G24,"ALTO")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4" min="3" style="1" width="16"/>
    <col collapsed="false" customWidth="true" hidden="false" outlineLevel="0" max="5" min="5" style="1" width="26"/>
    <col collapsed="false" customWidth="true" hidden="false" outlineLevel="0" max="6" min="6" style="1" width="14"/>
    <col collapsed="false" customWidth="true" hidden="false" outlineLevel="0" max="7" min="7" style="1" width="16"/>
  </cols>
  <sheetData>
    <row r="2" customFormat="false" ht="21.75" hidden="false" customHeight="true" outlineLevel="0" collapsed="false">
      <c r="B2" s="3" t="s">
        <v>358</v>
      </c>
    </row>
    <row r="3" customFormat="false" ht="15" hidden="false" customHeight="true" outlineLevel="0" collapsed="false">
      <c r="B3" s="6" t="s">
        <v>359</v>
      </c>
    </row>
    <row r="4" customFormat="false" ht="15" hidden="false" customHeight="true" outlineLevel="0" collapsed="false">
      <c r="B4" s="15" t="s">
        <v>21</v>
      </c>
      <c r="C4" s="116" t="str">
        <f aca="false">INICIO!C18</f>
        <v>V - Construcción/comercialización inmuebles</v>
      </c>
      <c r="D4" s="116"/>
      <c r="E4" s="116"/>
      <c r="F4" s="116"/>
    </row>
    <row r="5" customFormat="false" ht="15" hidden="false" customHeight="true" outlineLevel="0" collapsed="false">
      <c r="B5" s="15" t="s">
        <v>360</v>
      </c>
      <c r="C5" s="116" t="str">
        <f aca="false">IF(INICIO!$C$24="","(captura la razón social en INICIO)",INICIO!$C$24)</f>
        <v>Inmobiliaria Ejemplo, S.A. de C.V.</v>
      </c>
      <c r="D5" s="116"/>
      <c r="E5" s="116"/>
      <c r="F5" s="116"/>
    </row>
    <row r="6" customFormat="false" ht="15" hidden="false" customHeight="true" outlineLevel="0" collapsed="false">
      <c r="B6" s="15" t="s">
        <v>361</v>
      </c>
      <c r="C6" s="117" t="n">
        <f aca="false">IF(INICIO!$C$27="","(captura la fecha en INICIO)",INICIO!$C$27)</f>
        <v>46204</v>
      </c>
      <c r="D6" s="117"/>
      <c r="E6" s="117"/>
      <c r="F6" s="117"/>
    </row>
    <row r="8" customFormat="false" ht="15" hidden="false" customHeight="true" outlineLevel="0" collapsed="false">
      <c r="B8" s="7" t="s">
        <v>171</v>
      </c>
      <c r="C8" s="7"/>
      <c r="D8" s="7"/>
      <c r="E8" s="7" t="s">
        <v>362</v>
      </c>
      <c r="F8" s="7"/>
      <c r="G8" s="7"/>
    </row>
    <row r="9" customFormat="false" ht="15" hidden="false" customHeight="true" outlineLevel="0" collapsed="false">
      <c r="B9" s="118" t="str">
        <f aca="false">'A3 INHERENTE'!F12</f>
        <v>MEDIO</v>
      </c>
      <c r="C9" s="118"/>
      <c r="D9" s="118"/>
      <c r="E9" s="118" t="str">
        <f aca="false">'A5 RESIDUAL'!$G$13</f>
        <v>MEDIO BAJO</v>
      </c>
      <c r="F9" s="118"/>
      <c r="G9" s="118"/>
    </row>
    <row r="10" customFormat="false" ht="15" hidden="false" customHeight="true" outlineLevel="0" collapsed="false">
      <c r="B10" s="118"/>
      <c r="C10" s="118"/>
      <c r="D10" s="118"/>
      <c r="E10" s="118"/>
      <c r="F10" s="118"/>
      <c r="G10" s="118"/>
    </row>
    <row r="13" customFormat="false" ht="15" hidden="false" customHeight="true" outlineLevel="0" collapsed="false">
      <c r="B13" s="7" t="s">
        <v>363</v>
      </c>
      <c r="C13" s="7"/>
      <c r="D13" s="7"/>
      <c r="E13" s="7"/>
    </row>
    <row r="14" customFormat="false" ht="15" hidden="false" customHeight="true" outlineLevel="0" collapsed="false">
      <c r="B14" s="119" t="s">
        <v>138</v>
      </c>
      <c r="C14" s="119" t="s">
        <v>364</v>
      </c>
      <c r="D14" s="119" t="s">
        <v>365</v>
      </c>
      <c r="E14" s="119" t="s">
        <v>351</v>
      </c>
    </row>
    <row r="15" customFormat="false" ht="15" hidden="false" customHeight="true" outlineLevel="0" collapsed="false">
      <c r="B15" s="120" t="s">
        <v>144</v>
      </c>
      <c r="C15" s="121" t="str">
        <f aca="false">'A3 INHERENTE'!F7</f>
        <v>MEDIO</v>
      </c>
      <c r="D15" s="121" t="str">
        <f aca="false">'A5 RESIDUAL'!G17</f>
        <v>MEDIO BAJO</v>
      </c>
      <c r="E15" s="116" t="str">
        <f aca="false">'A5 RESIDUAL'!H17</f>
        <v>Aceptable / monitorear</v>
      </c>
    </row>
    <row r="16" customFormat="false" ht="15" hidden="false" customHeight="true" outlineLevel="0" collapsed="false">
      <c r="B16" s="120" t="s">
        <v>146</v>
      </c>
      <c r="C16" s="121" t="str">
        <f aca="false">'A3 INHERENTE'!F8</f>
        <v>MEDIO BAJO</v>
      </c>
      <c r="D16" s="121" t="str">
        <f aca="false">'A5 RESIDUAL'!G18</f>
        <v>MEDIO BAJO</v>
      </c>
      <c r="E16" s="116" t="str">
        <f aca="false">'A5 RESIDUAL'!H18</f>
        <v>Aceptable / monitorear</v>
      </c>
    </row>
    <row r="17" customFormat="false" ht="15" hidden="false" customHeight="true" outlineLevel="0" collapsed="false">
      <c r="B17" s="120" t="s">
        <v>148</v>
      </c>
      <c r="C17" s="121" t="str">
        <f aca="false">'A3 INHERENTE'!F9</f>
        <v>MEDIO BAJO</v>
      </c>
      <c r="D17" s="121" t="str">
        <f aca="false">'A5 RESIDUAL'!G19</f>
        <v>BAJO</v>
      </c>
      <c r="E17" s="116" t="str">
        <f aca="false">'A5 RESIDUAL'!H19</f>
        <v>Aceptable / monitorear</v>
      </c>
    </row>
    <row r="18" customFormat="false" ht="15" hidden="false" customHeight="true" outlineLevel="0" collapsed="false">
      <c r="B18" s="120" t="s">
        <v>150</v>
      </c>
      <c r="C18" s="121" t="str">
        <f aca="false">'A3 INHERENTE'!F10</f>
        <v>MEDIO</v>
      </c>
      <c r="D18" s="121" t="str">
        <f aca="false">'A5 RESIDUAL'!G20</f>
        <v>MEDIO BAJO</v>
      </c>
      <c r="E18" s="116" t="str">
        <f aca="false">'A5 RESIDUAL'!H20</f>
        <v>Aceptable / monitorear</v>
      </c>
    </row>
    <row r="20" customFormat="false" ht="15" hidden="false" customHeight="true" outlineLevel="0" collapsed="false">
      <c r="B20" s="22" t="s">
        <v>366</v>
      </c>
      <c r="C20" s="22"/>
      <c r="D20" s="22"/>
      <c r="E20" s="22"/>
      <c r="F20" s="22"/>
      <c r="G20" s="22"/>
    </row>
    <row r="22" customFormat="false" ht="21" hidden="false" customHeight="true" outlineLevel="0" collapsed="false">
      <c r="B22" s="47" t="s">
        <v>367</v>
      </c>
      <c r="C22" s="47"/>
      <c r="D22" s="47"/>
      <c r="E22" s="47"/>
      <c r="F22" s="47"/>
      <c r="G22" s="47"/>
    </row>
    <row r="23" customFormat="false" ht="30" hidden="false" customHeight="true" outlineLevel="0" collapsed="false">
      <c r="B23" s="122" t="s">
        <v>368</v>
      </c>
      <c r="C23" s="123" t="str">
        <f aca="false">IF(OR('A5 RESIDUAL'!$G$13="ALTO",'A5 RESIDUAL'!$G$13="MEDIO ALTO"),"Riesgo alto: el dictamen debe emitirlo una persona auditora externa independiente con certificación vigente de la UIF (Art. 45, inciso b, con el Art. 34 Bis). CRITERIO: los Arts. 44 y 45 sólo emplean tres términos, bajo, medio y alto. La banda MEDIO ALTO es de este modelo, no de la norma, y aquí se reporta como alto. Es criterio conservador y debe quedar escrito en tu metodología.","Riesgo bajo o medio: el dictamen puede emitirlo tu área de auditoría interna o de control interno (Art. 44), integrada por personal independiente de la Representante Encargada de Cumplimiento. Y ojo: el Art. 45 permite optar por auditor externo aunque tu riesgo sea bajo o medio, cuando así lo elija quien realiza la Actividad Vulnerable.")</f>
        <v>Riesgo bajo o medio: el dictamen puede emitirlo tu área de auditoría interna o de control interno (Art. 44), integrada por personal independiente de la Representante Encargada de Cumplimiento. Y ojo: el Art. 45 permite optar por auditor externo aunque tu riesgo sea bajo o medio, cuando así lo elija quien realiza la Actividad Vulnerable.</v>
      </c>
      <c r="D23" s="123"/>
      <c r="E23" s="123"/>
      <c r="F23" s="123"/>
      <c r="G23" s="123"/>
    </row>
    <row r="24" customFormat="false" ht="61.5" hidden="false" customHeight="true" outlineLevel="0" collapsed="false">
      <c r="B24" s="122" t="s">
        <v>369</v>
      </c>
      <c r="C24" s="123" t="str">
        <f aca="false">IF('A5 RESIDUAL'!$G$13="BAJO","Tu entidad cumple la condición del Art. 15 del Reglamento: bajo riesgo conforme a la evaluación del Art. 18 fr. VII de la Ley. Pero ésa es sólo UNA de las dos condiciones. El Art. 17 de las Reglas exige además que el Cliente esté clasificado como de bajo Riesgo conforme al Capítulo III Bis. Las dos deben cumplirse: ver hoja B CLIENTE.","Tu nivel no cumple la condición del Art. 15 del Reglamento, de modo que no proceden las medidas simplificadas con ningún Cliente. El expediente de cada Cliente se define por su Grado de Riesgo en la hoja B CLIENTE (Arts. 12, 17 y 17 Bis de las Reglas).")</f>
        <v>Tu nivel no cumple la condición del Art. 15 del Reglamento, de modo que no proceden las medidas simplificadas con ningún Cliente. El expediente de cada Cliente se define por su Grado de Riesgo en la hoja B CLIENTE (Arts. 12, 17 y 17 Bis de las Reglas).</v>
      </c>
      <c r="D24" s="123"/>
      <c r="E24" s="123"/>
      <c r="F24" s="123"/>
      <c r="G24" s="123"/>
    </row>
    <row r="25" customFormat="false" ht="30" hidden="false" customHeight="true" outlineLevel="0" collapsed="false">
      <c r="B25" s="122" t="s">
        <v>370</v>
      </c>
      <c r="C25" s="123" t="str">
        <f aca="false">IFERROR(IF(MATCH('A5 RESIDUAL'!$G$13,PARAMETROS!$E$15:$E$19,0)&gt;MATCH(PARAMETROS!$C$25,PARAMETROS!$E$15:$E$19,0),"FUERA de la tolerancia declarada. Se requiere plan de acción con responsable y fecha (ver hoja A8).","DENTRO de la tolerancia declarada. Mantener monitoreo y evidencia."),"Falta declarar el nivel de tolerancia en PARÁMETROS, celda C25.")</f>
        <v>DENTRO de la tolerancia declarada. Mantener monitoreo y evidencia.</v>
      </c>
      <c r="D25" s="123"/>
      <c r="E25" s="123"/>
      <c r="F25" s="123"/>
      <c r="G25" s="123"/>
    </row>
    <row r="26" customFormat="false" ht="30" hidden="false" customHeight="true" outlineLevel="0" collapsed="false">
      <c r="B26" s="122" t="s">
        <v>371</v>
      </c>
      <c r="C26" s="123" t="str">
        <f aca="false">IF(INICIO!$C$27="","Captura la fecha de la evaluación en INICIO para calcular la fecha límite de revisión.","Revisión obligatoria a más tardar en "&amp;CHOOSE(MONTH(EDATE(INICIO!$C$27,12)),"enero","febrero","marzo","abril","mayo","junio","julio","agosto","septiembre","octubre","noviembre","diciembre")&amp;" de "&amp;YEAR(EDATE(INICIO!$C$27,12))&amp;". La metodología debe constar por escrito y conservarse 10 años.")</f>
        <v>Revisión obligatoria a más tardar en julio de 2027. La metodología debe constar por escrito y conservarse 10 años.</v>
      </c>
      <c r="D26" s="123"/>
      <c r="E26" s="123"/>
      <c r="F26" s="123"/>
      <c r="G26" s="123"/>
    </row>
    <row r="28" customFormat="false" ht="21" hidden="false" customHeight="true" outlineLevel="0" collapsed="false">
      <c r="B28" s="47" t="s">
        <v>372</v>
      </c>
      <c r="C28" s="47"/>
      <c r="D28" s="47"/>
      <c r="E28" s="47"/>
      <c r="F28" s="47"/>
      <c r="G28" s="47"/>
    </row>
    <row r="29" customFormat="false" ht="15" hidden="false" customHeight="true" outlineLevel="0" collapsed="false">
      <c r="B29" s="7" t="s">
        <v>61</v>
      </c>
      <c r="C29" s="7" t="s">
        <v>350</v>
      </c>
      <c r="D29" s="7" t="s">
        <v>140</v>
      </c>
    </row>
    <row r="30" customFormat="false" ht="25.5" hidden="false" customHeight="true" outlineLevel="0" collapsed="false">
      <c r="B30" s="53" t="str">
        <f aca="false">IFERROR("#"&amp;INDEX('A5 RESIDUAL'!$B$24:$B$48,MATCH(LARGE('A5 RESIDUAL'!$I$24:$I$48,1),'A5 RESIDUAL'!$I$24:$I$48,0))&amp;" · "&amp;INDEX('A5 RESIDUAL'!$C$24:$C$48,MATCH(LARGE('A5 RESIDUAL'!$I$24:$I$48,1),'A5 RESIDUAL'!$I$24:$I$48,0)),"")</f>
        <v>#18 · Instrumento con que se paga</v>
      </c>
      <c r="C30" s="70" t="n">
        <f aca="false">IFERROR(INDEX('A5 RESIDUAL'!$F$24:$F$48,MATCH(LARGE('A5 RESIDUAL'!$I$24:$I$48,1),'A5 RESIDUAL'!$I$24:$I$48,0)),"")</f>
        <v>9.74285714285714</v>
      </c>
      <c r="D30" s="71" t="str">
        <f aca="false">IFERROR(INDEX('A5 RESIDUAL'!$G$24:$G$48,MATCH(LARGE('A5 RESIDUAL'!$I$24:$I$48,1),'A5 RESIDUAL'!$I$24:$I$48,0)),"")</f>
        <v>MEDIO</v>
      </c>
    </row>
    <row r="31" customFormat="false" ht="25.5" hidden="false" customHeight="true" outlineLevel="0" collapsed="false">
      <c r="B31" s="53" t="str">
        <f aca="false">IFERROR("#"&amp;INDEX('A5 RESIDUAL'!$B$24:$B$48,MATCH(LARGE('A5 RESIDUAL'!$I$24:$I$48,2),'A5 RESIDUAL'!$I$24:$I$48,0))&amp;" · "&amp;INDEX('A5 RESIDUAL'!$C$24:$C$48,MATCH(LARGE('A5 RESIDUAL'!$I$24:$I$48,2),'A5 RESIDUAL'!$I$24:$I$48,0)),"")</f>
        <v>#3 · Anonimato: si el beneficiario queda a la vista</v>
      </c>
      <c r="C31" s="70" t="n">
        <f aca="false">IFERROR(INDEX('A5 RESIDUAL'!$F$24:$F$48,MATCH(LARGE('A5 RESIDUAL'!$I$24:$I$48,2),'A5 RESIDUAL'!$I$24:$I$48,0)),"")</f>
        <v>7.30714285714286</v>
      </c>
      <c r="D31" s="71" t="str">
        <f aca="false">IFERROR(INDEX('A5 RESIDUAL'!$G$24:$G$48,MATCH(LARGE('A5 RESIDUAL'!$I$24:$I$48,2),'A5 RESIDUAL'!$I$24:$I$48,0)),"")</f>
        <v>MEDIO BAJO</v>
      </c>
    </row>
    <row r="32" customFormat="false" ht="25.5" hidden="false" customHeight="true" outlineLevel="0" collapsed="false">
      <c r="B32" s="53" t="str">
        <f aca="false">IFERROR("#"&amp;INDEX('A5 RESIDUAL'!$B$24:$B$48,MATCH(LARGE('A5 RESIDUAL'!$I$24:$I$48,3),'A5 RESIDUAL'!$I$24:$I$48,0))&amp;" · "&amp;INDEX('A5 RESIDUAL'!$C$24:$C$48,MATCH(LARGE('A5 RESIDUAL'!$I$24:$I$48,3),'A5 RESIDUAL'!$I$24:$I$48,0)),"")</f>
        <v>#4 · Ocultamiento de valor en el precio</v>
      </c>
      <c r="C32" s="70" t="n">
        <f aca="false">IFERROR(INDEX('A5 RESIDUAL'!$F$24:$F$48,MATCH(LARGE('A5 RESIDUAL'!$I$24:$I$48,3),'A5 RESIDUAL'!$I$24:$I$48,0)),"")</f>
        <v>7.30714285714286</v>
      </c>
      <c r="D32" s="71" t="str">
        <f aca="false">IFERROR(INDEX('A5 RESIDUAL'!$G$24:$G$48,MATCH(LARGE('A5 RESIDUAL'!$I$24:$I$48,3),'A5 RESIDUAL'!$I$24:$I$48,0)),"")</f>
        <v>MEDIO BAJO</v>
      </c>
    </row>
    <row r="33" customFormat="false" ht="25.5" hidden="false" customHeight="true" outlineLevel="0" collapsed="false">
      <c r="B33" s="53" t="str">
        <f aca="false">IFERROR("#"&amp;INDEX('A5 RESIDUAL'!$B$24:$B$48,MATCH(LARGE('A5 RESIDUAL'!$I$24:$I$48,4),'A5 RESIDUAL'!$I$24:$I$48,0))&amp;" · "&amp;INDEX('A5 RESIDUAL'!$C$24:$C$48,MATCH(LARGE('A5 RESIDUAL'!$I$24:$I$48,4),'A5 RESIDUAL'!$I$24:$I$48,0)),"")</f>
        <v>#6 · Tipo de persona</v>
      </c>
      <c r="C33" s="70" t="n">
        <f aca="false">IFERROR(INDEX('A5 RESIDUAL'!$F$24:$F$48,MATCH(LARGE('A5 RESIDUAL'!$I$24:$I$48,4),'A5 RESIDUAL'!$I$24:$I$48,0)),"")</f>
        <v>7.30714285714286</v>
      </c>
      <c r="D33" s="71" t="str">
        <f aca="false">IFERROR(INDEX('A5 RESIDUAL'!$G$24:$G$48,MATCH(LARGE('A5 RESIDUAL'!$I$24:$I$48,4),'A5 RESIDUAL'!$I$24:$I$48,0)),"")</f>
        <v>MEDIO BAJO</v>
      </c>
    </row>
    <row r="34" customFormat="false" ht="25.5" hidden="false" customHeight="true" outlineLevel="0" collapsed="false">
      <c r="B34" s="53" t="str">
        <f aca="false">IFERROR("#"&amp;INDEX('A5 RESIDUAL'!$B$24:$B$48,MATCH(LARGE('A5 RESIDUAL'!$I$24:$I$48,5),'A5 RESIDUAL'!$I$24:$I$48,0))&amp;" · "&amp;INDEX('A5 RESIDUAL'!$C$24:$C$48,MATCH(LARGE('A5 RESIDUAL'!$I$24:$I$48,5),'A5 RESIDUAL'!$I$24:$I$48,0)),"")</f>
        <v>#8 · Giro o actividad declarada</v>
      </c>
      <c r="C34" s="70" t="n">
        <f aca="false">IFERROR(INDEX('A5 RESIDUAL'!$F$24:$F$48,MATCH(LARGE('A5 RESIDUAL'!$I$24:$I$48,5),'A5 RESIDUAL'!$I$24:$I$48,0)),"")</f>
        <v>7.30714285714286</v>
      </c>
      <c r="D34" s="71" t="str">
        <f aca="false">IFERROR(INDEX('A5 RESIDUAL'!$G$24:$G$48,MATCH(LARGE('A5 RESIDUAL'!$I$24:$I$48,5),'A5 RESIDUAL'!$I$24:$I$48,0)),"")</f>
        <v>MEDIO BAJO</v>
      </c>
    </row>
    <row r="35" customFormat="false" ht="15" hidden="false" customHeight="true" outlineLevel="0" collapsed="false">
      <c r="B35" s="31" t="s">
        <v>373</v>
      </c>
    </row>
    <row r="37" customFormat="false" ht="15" hidden="false" customHeight="true" outlineLevel="0" collapsed="false">
      <c r="B37" s="23" t="s">
        <v>374</v>
      </c>
    </row>
    <row r="38" customFormat="false" ht="15" hidden="false" customHeight="true" outlineLevel="0" collapsed="false">
      <c r="B38" s="25" t="s">
        <v>375</v>
      </c>
      <c r="C38" s="124" t="n">
        <f aca="false">'A4 CONTROLES MINIMOS'!$F$28</f>
        <v>0.782142857142857</v>
      </c>
    </row>
    <row r="39" customFormat="false" ht="15" hidden="false" customHeight="true" outlineLevel="0" collapsed="false">
      <c r="B39" s="25" t="s">
        <v>376</v>
      </c>
      <c r="C39" s="124" t="n">
        <f aca="false">'A4 CONTROLES MINIMOS'!$F$30</f>
        <v>0.391071428571429</v>
      </c>
    </row>
    <row r="40" customFormat="false" ht="15" hidden="false" customHeight="true" outlineLevel="0" collapsed="false">
      <c r="B40" s="25" t="s">
        <v>288</v>
      </c>
      <c r="C40" s="125" t="n">
        <f aca="false">'A4 CONTROLES MINIMOS'!$F$33</f>
        <v>0</v>
      </c>
    </row>
    <row r="41" customFormat="false" ht="15" hidden="false" customHeight="true" outlineLevel="0" collapsed="false">
      <c r="B41" s="25" t="s">
        <v>291</v>
      </c>
      <c r="C41" s="125" t="n">
        <f aca="false">'A4 CONTROLES MINIMOS'!$F$36</f>
        <v>0</v>
      </c>
    </row>
    <row r="42" customFormat="false" ht="15" hidden="false" customHeight="true" outlineLevel="0" collapsed="false">
      <c r="B42" s="29" t="str">
        <f aca="false">IF('A4 CONTROLES MINIMOS'!$F$33&gt;0,"Hay obligaciones del Manual en «No cumple». Antes de discutir el nivel de riesgo, atiende eso: el Art. 48 fr. IV lo define como incumplimiento que puede actualizar una sanción.",IF('A4 CONTROLES MINIMOS'!$F$36&gt;0,"Faltan obligaciones por calificar en el catálogo: mientras tanto computan 0% y el residual sale más alto de lo real.","Catálogo completo y sin incumplimientos declarados."))</f>
        <v>Catálogo completo y sin incumplimientos declarados.</v>
      </c>
    </row>
  </sheetData>
  <mergeCells count="15">
    <mergeCell ref="C4:F4"/>
    <mergeCell ref="C5:F5"/>
    <mergeCell ref="C6:F6"/>
    <mergeCell ref="B8:D8"/>
    <mergeCell ref="E8:G8"/>
    <mergeCell ref="B9:D10"/>
    <mergeCell ref="E9:G10"/>
    <mergeCell ref="B13:E13"/>
    <mergeCell ref="B20:G20"/>
    <mergeCell ref="B22:G22"/>
    <mergeCell ref="C23:G23"/>
    <mergeCell ref="C24:G24"/>
    <mergeCell ref="C25:G25"/>
    <mergeCell ref="C26:G26"/>
    <mergeCell ref="B28:G28"/>
  </mergeCells>
  <conditionalFormatting sqref="B9">
    <cfRule type="expression" priority="2" aboveAverage="0" equalAverage="0" bottom="0" percent="0" rank="0" text="" dxfId="2">
      <formula>EXACT(B9,"BAJO")</formula>
    </cfRule>
    <cfRule type="expression" priority="3" aboveAverage="0" equalAverage="0" bottom="0" percent="0" rank="0" text="" dxfId="3">
      <formula>EXACT(B9,"MEDIO BAJO")</formula>
    </cfRule>
    <cfRule type="expression" priority="4" aboveAverage="0" equalAverage="0" bottom="0" percent="0" rank="0" text="" dxfId="4">
      <formula>EXACT(B9,"MEDIO")</formula>
    </cfRule>
    <cfRule type="expression" priority="5" aboveAverage="0" equalAverage="0" bottom="0" percent="0" rank="0" text="" dxfId="5">
      <formula>EXACT(B9,"MEDIO ALTO")</formula>
    </cfRule>
    <cfRule type="expression" priority="6" aboveAverage="0" equalAverage="0" bottom="0" percent="0" rank="0" text="" dxfId="6">
      <formula>EXACT(B9,"ALTO")</formula>
    </cfRule>
  </conditionalFormatting>
  <conditionalFormatting sqref="E9">
    <cfRule type="expression" priority="7" aboveAverage="0" equalAverage="0" bottom="0" percent="0" rank="0" text="" dxfId="2">
      <formula>EXACT(E9,"BAJO")</formula>
    </cfRule>
    <cfRule type="expression" priority="8" aboveAverage="0" equalAverage="0" bottom="0" percent="0" rank="0" text="" dxfId="3">
      <formula>EXACT(E9,"MEDIO BAJO")</formula>
    </cfRule>
    <cfRule type="expression" priority="9" aboveAverage="0" equalAverage="0" bottom="0" percent="0" rank="0" text="" dxfId="4">
      <formula>EXACT(E9,"MEDIO")</formula>
    </cfRule>
    <cfRule type="expression" priority="10" aboveAverage="0" equalAverage="0" bottom="0" percent="0" rank="0" text="" dxfId="5">
      <formula>EXACT(E9,"MEDIO ALTO")</formula>
    </cfRule>
    <cfRule type="expression" priority="11" aboveAverage="0" equalAverage="0" bottom="0" percent="0" rank="0" text="" dxfId="6">
      <formula>EXACT(E9,"ALTO")</formula>
    </cfRule>
  </conditionalFormatting>
  <conditionalFormatting sqref="C15:C18">
    <cfRule type="expression" priority="12" aboveAverage="0" equalAverage="0" bottom="0" percent="0" rank="0" text="" dxfId="2">
      <formula>EXACT(C15,"BAJO")</formula>
    </cfRule>
    <cfRule type="expression" priority="13" aboveAverage="0" equalAverage="0" bottom="0" percent="0" rank="0" text="" dxfId="3">
      <formula>EXACT(C15,"MEDIO BAJO")</formula>
    </cfRule>
    <cfRule type="expression" priority="14" aboveAverage="0" equalAverage="0" bottom="0" percent="0" rank="0" text="" dxfId="4">
      <formula>EXACT(C15,"MEDIO")</formula>
    </cfRule>
    <cfRule type="expression" priority="15" aboveAverage="0" equalAverage="0" bottom="0" percent="0" rank="0" text="" dxfId="5">
      <formula>EXACT(C15,"MEDIO ALTO")</formula>
    </cfRule>
    <cfRule type="expression" priority="16" aboveAverage="0" equalAverage="0" bottom="0" percent="0" rank="0" text="" dxfId="6">
      <formula>EXACT(C15,"ALTO")</formula>
    </cfRule>
  </conditionalFormatting>
  <conditionalFormatting sqref="D15:D18">
    <cfRule type="expression" priority="17" aboveAverage="0" equalAverage="0" bottom="0" percent="0" rank="0" text="" dxfId="2">
      <formula>EXACT(D15,"BAJO")</formula>
    </cfRule>
    <cfRule type="expression" priority="18" aboveAverage="0" equalAverage="0" bottom="0" percent="0" rank="0" text="" dxfId="3">
      <formula>EXACT(D15,"MEDIO BAJO")</formula>
    </cfRule>
    <cfRule type="expression" priority="19" aboveAverage="0" equalAverage="0" bottom="0" percent="0" rank="0" text="" dxfId="4">
      <formula>EXACT(D15,"MEDIO")</formula>
    </cfRule>
    <cfRule type="expression" priority="20" aboveAverage="0" equalAverage="0" bottom="0" percent="0" rank="0" text="" dxfId="5">
      <formula>EXACT(D15,"MEDIO ALTO")</formula>
    </cfRule>
    <cfRule type="expression" priority="21" aboveAverage="0" equalAverage="0" bottom="0" percent="0" rank="0" text="" dxfId="6">
      <formula>EXACT(D15,"ALTO")</formula>
    </cfRule>
  </conditionalFormatting>
  <conditionalFormatting sqref="D30:D34">
    <cfRule type="expression" priority="22" aboveAverage="0" equalAverage="0" bottom="0" percent="0" rank="0" text="" dxfId="2">
      <formula>EXACT(D30,"BAJO")</formula>
    </cfRule>
    <cfRule type="expression" priority="23" aboveAverage="0" equalAverage="0" bottom="0" percent="0" rank="0" text="" dxfId="3">
      <formula>EXACT(D30,"MEDIO BAJO")</formula>
    </cfRule>
    <cfRule type="expression" priority="24" aboveAverage="0" equalAverage="0" bottom="0" percent="0" rank="0" text="" dxfId="4">
      <formula>EXACT(D30,"MEDIO")</formula>
    </cfRule>
    <cfRule type="expression" priority="25" aboveAverage="0" equalAverage="0" bottom="0" percent="0" rank="0" text="" dxfId="5">
      <formula>EXACT(D30,"MEDIO ALTO")</formula>
    </cfRule>
    <cfRule type="expression" priority="26" aboveAverage="0" equalAverage="0" bottom="0" percent="0" rank="0" text="" dxfId="6">
      <formula>EXACT(D30,"ALTO")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26"/>
    <col collapsed="false" customWidth="true" hidden="false" outlineLevel="0" max="4" min="4" style="1" width="14"/>
    <col collapsed="false" customWidth="true" hidden="false" outlineLevel="0" max="9" min="5" style="1" width="12"/>
    <col collapsed="false" customWidth="true" hidden="false" outlineLevel="0" max="10" min="10" style="1" width="14"/>
    <col collapsed="false" customWidth="true" hidden="false" outlineLevel="0" max="11" min="11" style="1" width="34"/>
    <col collapsed="false" customWidth="true" hidden="false" outlineLevel="0" max="12" min="12" style="1" width="22"/>
  </cols>
  <sheetData>
    <row r="2" customFormat="false" ht="21.75" hidden="false" customHeight="true" outlineLevel="0" collapsed="false">
      <c r="B2" s="30" t="s">
        <v>377</v>
      </c>
    </row>
    <row r="3" customFormat="false" ht="15" hidden="false" customHeight="true" outlineLevel="0" collapsed="false">
      <c r="B3" s="31" t="s">
        <v>378</v>
      </c>
    </row>
    <row r="4" customFormat="false" ht="15" hidden="false" customHeight="true" outlineLevel="0" collapsed="false">
      <c r="B4" s="6" t="s">
        <v>379</v>
      </c>
    </row>
    <row r="6" customFormat="false" ht="42" hidden="false" customHeight="true" outlineLevel="0" collapsed="false">
      <c r="B6" s="7" t="s">
        <v>60</v>
      </c>
      <c r="C6" s="7" t="s">
        <v>380</v>
      </c>
      <c r="D6" s="7" t="s">
        <v>381</v>
      </c>
      <c r="E6" s="7" t="s">
        <v>382</v>
      </c>
      <c r="F6" s="7" t="s">
        <v>383</v>
      </c>
      <c r="G6" s="7" t="s">
        <v>384</v>
      </c>
      <c r="H6" s="7" t="s">
        <v>385</v>
      </c>
      <c r="I6" s="7" t="s">
        <v>386</v>
      </c>
      <c r="J6" s="7" t="s">
        <v>140</v>
      </c>
      <c r="K6" s="7" t="s">
        <v>387</v>
      </c>
      <c r="L6" s="7" t="s">
        <v>388</v>
      </c>
    </row>
    <row r="7" customFormat="false" ht="31.5" hidden="false" customHeight="true" outlineLevel="0" collapsed="false">
      <c r="B7" s="42" t="n">
        <v>1</v>
      </c>
      <c r="C7" s="126" t="s">
        <v>389</v>
      </c>
      <c r="D7" s="127" t="n">
        <v>46266</v>
      </c>
      <c r="E7" s="128" t="s">
        <v>390</v>
      </c>
      <c r="F7" s="128" t="s">
        <v>391</v>
      </c>
      <c r="G7" s="128" t="s">
        <v>392</v>
      </c>
      <c r="H7" s="128" t="s">
        <v>391</v>
      </c>
      <c r="I7" s="42" t="n">
        <f aca="false">IFERROR(ROUND((IF(E7="Alto",5,IF(E7="Medio",3,IF(E7="Bajo",1,"")))+IF(F7="Alto",5,IF(F7="Medio",3,IF(F7="Bajo",1,"")))+IF(G7="Alto",5,IF(G7="Medio",3,IF(G7="Bajo",1,"")))+IF(H7="Alto",5,IF(H7="Medio",3,IF(H7="Bajo",1,""))))/4,2),"")</f>
        <v>3.5</v>
      </c>
      <c r="J7" s="42" t="str">
        <f aca="false">IF(I7="","",IF(I7&gt;=4,"ALTO",IF(I7&gt;=2.34,"MEDIO","BAJO")))</f>
        <v>MEDIO</v>
      </c>
      <c r="K7" s="126" t="s">
        <v>393</v>
      </c>
      <c r="L7" s="129" t="s">
        <v>394</v>
      </c>
    </row>
    <row r="8" customFormat="false" ht="31.5" hidden="false" customHeight="true" outlineLevel="0" collapsed="false">
      <c r="B8" s="42" t="n">
        <v>2</v>
      </c>
      <c r="C8" s="126" t="s">
        <v>395</v>
      </c>
      <c r="D8" s="130" t="n">
        <v>46310</v>
      </c>
      <c r="E8" s="128" t="s">
        <v>390</v>
      </c>
      <c r="F8" s="128" t="s">
        <v>390</v>
      </c>
      <c r="G8" s="128" t="s">
        <v>392</v>
      </c>
      <c r="H8" s="128" t="s">
        <v>390</v>
      </c>
      <c r="I8" s="42" t="n">
        <f aca="false">IFERROR(ROUND((IF(E8="Alto",5,IF(E8="Medio",3,IF(E8="Bajo",1,"")))+IF(F8="Alto",5,IF(F8="Medio",3,IF(F8="Bajo",1,"")))+IF(G8="Alto",5,IF(G8="Medio",3,IF(G8="Bajo",1,"")))+IF(H8="Alto",5,IF(H8="Medio",3,IF(H8="Bajo",1,""))))/4,2),"")</f>
        <v>2.5</v>
      </c>
      <c r="J8" s="42" t="str">
        <f aca="false">IF(I8="","",IF(I8&gt;=4,"ALTO",IF(I8&gt;=2.34,"MEDIO","BAJO")))</f>
        <v>MEDIO</v>
      </c>
      <c r="K8" s="126" t="s">
        <v>396</v>
      </c>
      <c r="L8" s="129" t="s">
        <v>394</v>
      </c>
    </row>
    <row r="9" customFormat="false" ht="31.5" hidden="false" customHeight="true" outlineLevel="0" collapsed="false">
      <c r="B9" s="42" t="n">
        <v>3</v>
      </c>
      <c r="C9" s="126" t="s">
        <v>397</v>
      </c>
      <c r="D9" s="130" t="n">
        <v>46327</v>
      </c>
      <c r="E9" s="128" t="s">
        <v>391</v>
      </c>
      <c r="F9" s="128" t="s">
        <v>391</v>
      </c>
      <c r="G9" s="128" t="s">
        <v>391</v>
      </c>
      <c r="H9" s="128" t="s">
        <v>391</v>
      </c>
      <c r="I9" s="42" t="n">
        <f aca="false">IFERROR(ROUND((IF(E9="Alto",5,IF(E9="Medio",3,IF(E9="Bajo",1,"")))+IF(F9="Alto",5,IF(F9="Medio",3,IF(F9="Bajo",1,"")))+IF(G9="Alto",5,IF(G9="Medio",3,IF(G9="Bajo",1,"")))+IF(H9="Alto",5,IF(H9="Medio",3,IF(H9="Bajo",1,""))))/4,2),"")</f>
        <v>5</v>
      </c>
      <c r="J9" s="42" t="str">
        <f aca="false">IF(I9="","",IF(I9&gt;=4,"ALTO",IF(I9&gt;=2.34,"MEDIO","BAJO")))</f>
        <v>ALTO</v>
      </c>
      <c r="K9" s="126" t="s">
        <v>398</v>
      </c>
      <c r="L9" s="129" t="s">
        <v>399</v>
      </c>
    </row>
    <row r="10" customFormat="false" ht="31.5" hidden="false" customHeight="true" outlineLevel="0" collapsed="false">
      <c r="B10" s="42" t="n">
        <v>4</v>
      </c>
      <c r="C10" s="131"/>
      <c r="D10" s="128"/>
      <c r="E10" s="128"/>
      <c r="F10" s="128"/>
      <c r="G10" s="128"/>
      <c r="H10" s="128"/>
      <c r="I10" s="42" t="str">
        <f aca="false">IFERROR(ROUND((IF(E10="Alto",5,IF(E10="Medio",3,IF(E10="Bajo",1,"")))+IF(F10="Alto",5,IF(F10="Medio",3,IF(F10="Bajo",1,"")))+IF(G10="Alto",5,IF(G10="Medio",3,IF(G10="Bajo",1,"")))+IF(H10="Alto",5,IF(H10="Medio",3,IF(H10="Bajo",1,""))))/4,2),"")</f>
        <v/>
      </c>
      <c r="J10" s="42" t="str">
        <f aca="false">IF(I10="","",IF(I10&gt;=4,"ALTO",IF(I10&gt;=2.34,"MEDIO","BAJO")))</f>
        <v/>
      </c>
      <c r="K10" s="131"/>
      <c r="L10" s="129"/>
    </row>
    <row r="11" customFormat="false" ht="31.5" hidden="false" customHeight="true" outlineLevel="0" collapsed="false">
      <c r="B11" s="42" t="n">
        <v>5</v>
      </c>
      <c r="C11" s="131"/>
      <c r="D11" s="128"/>
      <c r="E11" s="128"/>
      <c r="F11" s="128"/>
      <c r="G11" s="128"/>
      <c r="H11" s="128"/>
      <c r="I11" s="42" t="str">
        <f aca="false">IFERROR(ROUND((IF(E11="Alto",5,IF(E11="Medio",3,IF(E11="Bajo",1,"")))+IF(F11="Alto",5,IF(F11="Medio",3,IF(F11="Bajo",1,"")))+IF(G11="Alto",5,IF(G11="Medio",3,IF(G11="Bajo",1,"")))+IF(H11="Alto",5,IF(H11="Medio",3,IF(H11="Bajo",1,""))))/4,2),"")</f>
        <v/>
      </c>
      <c r="J11" s="42" t="str">
        <f aca="false">IF(I11="","",IF(I11&gt;=4,"ALTO",IF(I11&gt;=2.34,"MEDIO","BAJO")))</f>
        <v/>
      </c>
      <c r="K11" s="131"/>
      <c r="L11" s="129"/>
    </row>
    <row r="12" customFormat="false" ht="31.5" hidden="false" customHeight="true" outlineLevel="0" collapsed="false">
      <c r="B12" s="42" t="n">
        <v>6</v>
      </c>
      <c r="C12" s="131"/>
      <c r="D12" s="128"/>
      <c r="E12" s="128"/>
      <c r="F12" s="128"/>
      <c r="G12" s="128"/>
      <c r="H12" s="128"/>
      <c r="I12" s="42" t="str">
        <f aca="false">IFERROR(ROUND((IF(E12="Alto",5,IF(E12="Medio",3,IF(E12="Bajo",1,"")))+IF(F12="Alto",5,IF(F12="Medio",3,IF(F12="Bajo",1,"")))+IF(G12="Alto",5,IF(G12="Medio",3,IF(G12="Bajo",1,"")))+IF(H12="Alto",5,IF(H12="Medio",3,IF(H12="Bajo",1,""))))/4,2),"")</f>
        <v/>
      </c>
      <c r="J12" s="42" t="str">
        <f aca="false">IF(I12="","",IF(I12&gt;=4,"ALTO",IF(I12&gt;=2.34,"MEDIO","BAJO")))</f>
        <v/>
      </c>
      <c r="K12" s="131"/>
      <c r="L12" s="129"/>
    </row>
    <row r="13" customFormat="false" ht="31.5" hidden="false" customHeight="true" outlineLevel="0" collapsed="false">
      <c r="B13" s="42" t="n">
        <v>7</v>
      </c>
      <c r="C13" s="131"/>
      <c r="D13" s="128"/>
      <c r="E13" s="128"/>
      <c r="F13" s="128"/>
      <c r="G13" s="128"/>
      <c r="H13" s="128"/>
      <c r="I13" s="42" t="str">
        <f aca="false">IFERROR(ROUND((IF(E13="Alto",5,IF(E13="Medio",3,IF(E13="Bajo",1,"")))+IF(F13="Alto",5,IF(F13="Medio",3,IF(F13="Bajo",1,"")))+IF(G13="Alto",5,IF(G13="Medio",3,IF(G13="Bajo",1,"")))+IF(H13="Alto",5,IF(H13="Medio",3,IF(H13="Bajo",1,""))))/4,2),"")</f>
        <v/>
      </c>
      <c r="J13" s="42" t="str">
        <f aca="false">IF(I13="","",IF(I13&gt;=4,"ALTO",IF(I13&gt;=2.34,"MEDIO","BAJO")))</f>
        <v/>
      </c>
      <c r="K13" s="131"/>
      <c r="L13" s="129"/>
    </row>
    <row r="14" customFormat="false" ht="31.5" hidden="false" customHeight="true" outlineLevel="0" collapsed="false">
      <c r="B14" s="42" t="n">
        <v>8</v>
      </c>
      <c r="C14" s="131"/>
      <c r="D14" s="128"/>
      <c r="E14" s="128"/>
      <c r="F14" s="128"/>
      <c r="G14" s="128"/>
      <c r="H14" s="128"/>
      <c r="I14" s="42" t="str">
        <f aca="false">IFERROR(ROUND((IF(E14="Alto",5,IF(E14="Medio",3,IF(E14="Bajo",1,"")))+IF(F14="Alto",5,IF(F14="Medio",3,IF(F14="Bajo",1,"")))+IF(G14="Alto",5,IF(G14="Medio",3,IF(G14="Bajo",1,"")))+IF(H14="Alto",5,IF(H14="Medio",3,IF(H14="Bajo",1,""))))/4,2),"")</f>
        <v/>
      </c>
      <c r="J14" s="42" t="str">
        <f aca="false">IF(I14="","",IF(I14&gt;=4,"ALTO",IF(I14&gt;=2.34,"MEDIO","BAJO")))</f>
        <v/>
      </c>
      <c r="K14" s="131"/>
      <c r="L14" s="129"/>
    </row>
    <row r="15" customFormat="false" ht="31.5" hidden="false" customHeight="true" outlineLevel="0" collapsed="false">
      <c r="B15" s="42" t="n">
        <v>9</v>
      </c>
      <c r="C15" s="131"/>
      <c r="D15" s="128"/>
      <c r="E15" s="128"/>
      <c r="F15" s="128"/>
      <c r="G15" s="128"/>
      <c r="H15" s="128"/>
      <c r="I15" s="42" t="str">
        <f aca="false">IFERROR(ROUND((IF(E15="Alto",5,IF(E15="Medio",3,IF(E15="Bajo",1,"")))+IF(F15="Alto",5,IF(F15="Medio",3,IF(F15="Bajo",1,"")))+IF(G15="Alto",5,IF(G15="Medio",3,IF(G15="Bajo",1,"")))+IF(H15="Alto",5,IF(H15="Medio",3,IF(H15="Bajo",1,""))))/4,2),"")</f>
        <v/>
      </c>
      <c r="J15" s="42" t="str">
        <f aca="false">IF(I15="","",IF(I15&gt;=4,"ALTO",IF(I15&gt;=2.34,"MEDIO","BAJO")))</f>
        <v/>
      </c>
      <c r="K15" s="131"/>
      <c r="L15" s="129"/>
    </row>
    <row r="16" customFormat="false" ht="31.5" hidden="false" customHeight="true" outlineLevel="0" collapsed="false">
      <c r="B16" s="42" t="n">
        <v>10</v>
      </c>
      <c r="C16" s="131"/>
      <c r="D16" s="128"/>
      <c r="E16" s="128"/>
      <c r="F16" s="128"/>
      <c r="G16" s="128"/>
      <c r="H16" s="128"/>
      <c r="I16" s="42" t="str">
        <f aca="false">IFERROR(ROUND((IF(E16="Alto",5,IF(E16="Medio",3,IF(E16="Bajo",1,"")))+IF(F16="Alto",5,IF(F16="Medio",3,IF(F16="Bajo",1,"")))+IF(G16="Alto",5,IF(G16="Medio",3,IF(G16="Bajo",1,"")))+IF(H16="Alto",5,IF(H16="Medio",3,IF(H16="Bajo",1,""))))/4,2),"")</f>
        <v/>
      </c>
      <c r="J16" s="42" t="str">
        <f aca="false">IF(I16="","",IF(I16&gt;=4,"ALTO",IF(I16&gt;=2.34,"MEDIO","BAJO")))</f>
        <v/>
      </c>
      <c r="K16" s="131"/>
      <c r="L16" s="129"/>
    </row>
    <row r="17" customFormat="false" ht="31.5" hidden="false" customHeight="true" outlineLevel="0" collapsed="false">
      <c r="B17" s="42" t="n">
        <v>11</v>
      </c>
      <c r="C17" s="131"/>
      <c r="D17" s="128"/>
      <c r="E17" s="128"/>
      <c r="F17" s="128"/>
      <c r="G17" s="128"/>
      <c r="H17" s="128"/>
      <c r="I17" s="42" t="str">
        <f aca="false">IFERROR(ROUND((IF(E17="Alto",5,IF(E17="Medio",3,IF(E17="Bajo",1,"")))+IF(F17="Alto",5,IF(F17="Medio",3,IF(F17="Bajo",1,"")))+IF(G17="Alto",5,IF(G17="Medio",3,IF(G17="Bajo",1,"")))+IF(H17="Alto",5,IF(H17="Medio",3,IF(H17="Bajo",1,""))))/4,2),"")</f>
        <v/>
      </c>
      <c r="J17" s="42" t="str">
        <f aca="false">IF(I17="","",IF(I17&gt;=4,"ALTO",IF(I17&gt;=2.34,"MEDIO","BAJO")))</f>
        <v/>
      </c>
      <c r="K17" s="131"/>
      <c r="L17" s="129"/>
    </row>
    <row r="18" customFormat="false" ht="31.5" hidden="false" customHeight="true" outlineLevel="0" collapsed="false">
      <c r="B18" s="42" t="n">
        <v>12</v>
      </c>
      <c r="C18" s="131"/>
      <c r="D18" s="128"/>
      <c r="E18" s="128"/>
      <c r="F18" s="128"/>
      <c r="G18" s="128"/>
      <c r="H18" s="128"/>
      <c r="I18" s="42" t="str">
        <f aca="false">IFERROR(ROUND((IF(E18="Alto",5,IF(E18="Medio",3,IF(E18="Bajo",1,"")))+IF(F18="Alto",5,IF(F18="Medio",3,IF(F18="Bajo",1,"")))+IF(G18="Alto",5,IF(G18="Medio",3,IF(G18="Bajo",1,"")))+IF(H18="Alto",5,IF(H18="Medio",3,IF(H18="Bajo",1,""))))/4,2),"")</f>
        <v/>
      </c>
      <c r="J18" s="42" t="str">
        <f aca="false">IF(I18="","",IF(I18&gt;=4,"ALTO",IF(I18&gt;=2.34,"MEDIO","BAJO")))</f>
        <v/>
      </c>
      <c r="K18" s="131"/>
      <c r="L18" s="129"/>
    </row>
    <row r="21" customFormat="false" ht="15" hidden="false" customHeight="true" outlineLevel="0" collapsed="false">
      <c r="B21" s="62" t="s">
        <v>400</v>
      </c>
    </row>
  </sheetData>
  <dataValidations count="2">
    <dataValidation allowBlank="true" errorStyle="stop" operator="between" showDropDown="false" showErrorMessage="false" showInputMessage="false" sqref="E7:H18" type="list">
      <formula1>"Alto,Medio,Bajo"</formula1>
      <formula2>0</formula2>
    </dataValidation>
    <dataValidation allowBlank="true" errorStyle="stop" operator="between" showDropDown="false" showErrorMessage="false" showInputMessage="false" sqref="L7:L18" type="list">
      <formula1>"Se lanza,Se lanza con controles adicionales,Se pospone,No se lanza"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4"/>
    <col collapsed="false" customWidth="true" hidden="false" outlineLevel="0" max="6" min="4" style="1" width="26"/>
    <col collapsed="false" customWidth="true" hidden="false" outlineLevel="0" max="7" min="7" style="1" width="22"/>
    <col collapsed="false" customWidth="true" hidden="false" outlineLevel="0" max="9" min="8" style="1" width="16"/>
    <col collapsed="false" customWidth="true" hidden="false" outlineLevel="0" max="10" min="10" style="1" width="30"/>
  </cols>
  <sheetData>
    <row r="2" customFormat="false" ht="21.75" hidden="false" customHeight="true" outlineLevel="0" collapsed="false">
      <c r="B2" s="30" t="s">
        <v>401</v>
      </c>
    </row>
    <row r="3" customFormat="false" ht="15" hidden="false" customHeight="true" outlineLevel="0" collapsed="false">
      <c r="B3" s="31" t="s">
        <v>402</v>
      </c>
    </row>
    <row r="4" customFormat="false" ht="15" hidden="false" customHeight="true" outlineLevel="0" collapsed="false">
      <c r="B4" s="6" t="s">
        <v>403</v>
      </c>
    </row>
    <row r="5" customFormat="false" ht="15" hidden="false" customHeight="true" outlineLevel="0" collapsed="false">
      <c r="B5" s="47" t="s">
        <v>404</v>
      </c>
      <c r="C5" s="47"/>
      <c r="D5" s="47"/>
      <c r="E5" s="47"/>
      <c r="F5" s="47"/>
      <c r="G5" s="47"/>
    </row>
    <row r="6" customFormat="false" ht="15" hidden="false" customHeight="true" outlineLevel="0" collapsed="false">
      <c r="B6" s="64" t="s">
        <v>405</v>
      </c>
      <c r="D6" s="71" t="str">
        <f aca="false">PARAMETROS!C25</f>
        <v>MEDIO</v>
      </c>
    </row>
    <row r="7" customFormat="false" ht="15" hidden="false" customHeight="true" outlineLevel="0" collapsed="false">
      <c r="B7" s="64" t="s">
        <v>406</v>
      </c>
      <c r="D7" s="132" t="n">
        <f aca="false">IF(INICIO!$C$28="","",INICIO!$C$28)</f>
        <v>45839</v>
      </c>
    </row>
    <row r="8" customFormat="false" ht="15" hidden="false" customHeight="true" outlineLevel="0" collapsed="false">
      <c r="B8" s="64" t="s">
        <v>407</v>
      </c>
      <c r="D8" s="132" t="n">
        <f aca="false">IF(INICIO!$C$29="","",INICIO!$C$29)</f>
        <v>46203</v>
      </c>
    </row>
    <row r="9" customFormat="false" ht="15" hidden="false" customHeight="true" outlineLevel="0" collapsed="false">
      <c r="B9" s="64" t="s">
        <v>408</v>
      </c>
      <c r="D9" s="71" t="n">
        <f aca="false">IFERROR(DATEDIF($D$7,$D$8+1,"m"),"")</f>
        <v>12</v>
      </c>
    </row>
    <row r="10" customFormat="false" ht="15" hidden="false" customHeight="true" outlineLevel="0" collapsed="false">
      <c r="B10" s="64" t="s">
        <v>409</v>
      </c>
      <c r="D10" s="71" t="str">
        <f aca="false">IF($D$9="","",IF($D$9&gt;=12,"Sí","No: el periodo evaluado es menor a 12 meses"))</f>
        <v>Sí</v>
      </c>
    </row>
    <row r="11" customFormat="false" ht="15" hidden="false" customHeight="true" outlineLevel="0" collapsed="false">
      <c r="B11" s="64" t="s">
        <v>410</v>
      </c>
      <c r="D11" s="132" t="n">
        <f aca="false">IF(INICIO!$C$27="","",INICIO!$C$27)</f>
        <v>46204</v>
      </c>
    </row>
    <row r="12" customFormat="false" ht="15" hidden="false" customHeight="true" outlineLevel="0" collapsed="false">
      <c r="B12" s="64" t="s">
        <v>411</v>
      </c>
      <c r="D12" s="71" t="str">
        <f aca="false">IF(INICIO!$C$27="","",CHOOSE(MONTH(EDATE(INICIO!$C$27,12)),"enero","febrero","marzo","abril","mayo","junio","julio","agosto","septiembre","octubre","noviembre","diciembre")&amp;" de "&amp;YEAR(EDATE(INICIO!$C$27,12)))</f>
        <v>julio de 2027</v>
      </c>
    </row>
    <row r="14" customFormat="false" ht="15" hidden="false" customHeight="true" outlineLevel="0" collapsed="false">
      <c r="B14" s="47" t="s">
        <v>412</v>
      </c>
      <c r="C14" s="47"/>
      <c r="D14" s="47"/>
      <c r="E14" s="47"/>
      <c r="F14" s="47"/>
      <c r="G14" s="47"/>
    </row>
    <row r="15" customFormat="false" ht="15" hidden="false" customHeight="true" outlineLevel="0" collapsed="false">
      <c r="B15" s="63" t="s">
        <v>413</v>
      </c>
      <c r="D15" s="71" t="str">
        <f aca="false">'A5 RESIDUAL'!$G$13</f>
        <v>MEDIO BAJO</v>
      </c>
    </row>
    <row r="16" customFormat="false" ht="15" hidden="false" customHeight="true" outlineLevel="0" collapsed="false">
      <c r="B16" s="63" t="s">
        <v>414</v>
      </c>
      <c r="D16" s="71" t="str">
        <f aca="false">PARAMETROS!$C$25</f>
        <v>MEDIO</v>
      </c>
    </row>
    <row r="17" customFormat="false" ht="15" hidden="false" customHeight="true" outlineLevel="0" collapsed="false">
      <c r="B17" s="63" t="s">
        <v>415</v>
      </c>
      <c r="D17" s="71" t="str">
        <f aca="false">IF('A5 RESIDUAL'!$G$13="","",IFERROR(IF(MATCH('A5 RESIDUAL'!$G$13,PARAMETROS!$E$15:$E$19,0)&gt;MATCH(PARAMETROS!$C$25,PARAMETROS!$E$15:$E$19,0),"FUERA DE TOLERANCIA","DENTRO DE TOLERANCIA"),"Falta declarar la tolerancia en PARÁMETROS C25"))</f>
        <v>DENTRO DE TOLERANCIA</v>
      </c>
    </row>
    <row r="18" customFormat="false" ht="45.75" hidden="false" customHeight="true" outlineLevel="0" collapsed="false">
      <c r="B18" s="63" t="s">
        <v>416</v>
      </c>
      <c r="D18" s="133" t="str">
        <f aca="false">IF($D$17="","",IF($D$17="FUERA DE TOLERANCIA","Obligatorio documentar plan de acción con responsable y fecha comprometida, y ejecutar la modificación en un plazo no mayor a 12 meses (Art. 10 Septies 2, fr. IV).",IF($D$17="DENTRO DE TOLERANCIA","Se conserva el esquema de control vigente, con monitoreo y evidencia. Igual debe revisarse al menos cada 12 meses.","Sin tolerancia declarada no hay veredicto posible: captúrala en PARÁMETROS, celda C25.")))</f>
        <v>Se conserva el esquema de control vigente, con monitoreo y evidencia. Igual debe revisarse al menos cada 12 meses.</v>
      </c>
      <c r="E18" s="133"/>
      <c r="F18" s="133"/>
      <c r="G18" s="133"/>
    </row>
    <row r="20" customFormat="false" ht="15" hidden="false" customHeight="true" outlineLevel="0" collapsed="false">
      <c r="B20" s="47" t="s">
        <v>417</v>
      </c>
      <c r="C20" s="47"/>
      <c r="D20" s="47"/>
      <c r="E20" s="47"/>
      <c r="F20" s="47"/>
      <c r="G20" s="47"/>
      <c r="H20" s="47"/>
      <c r="I20" s="47"/>
    </row>
    <row r="21" customFormat="false" ht="31.5" hidden="false" customHeight="true" outlineLevel="0" collapsed="false">
      <c r="B21" s="7" t="s">
        <v>60</v>
      </c>
      <c r="C21" s="7" t="s">
        <v>418</v>
      </c>
      <c r="D21" s="7"/>
      <c r="E21" s="7" t="s">
        <v>419</v>
      </c>
      <c r="F21" s="7" t="s">
        <v>420</v>
      </c>
      <c r="G21" s="7" t="s">
        <v>421</v>
      </c>
      <c r="H21" s="7" t="s">
        <v>46</v>
      </c>
      <c r="I21" s="7" t="s">
        <v>422</v>
      </c>
    </row>
    <row r="22" customFormat="false" ht="30" hidden="false" customHeight="true" outlineLevel="0" collapsed="false">
      <c r="B22" s="42" t="n">
        <v>1</v>
      </c>
      <c r="C22" s="126" t="s">
        <v>423</v>
      </c>
      <c r="D22" s="126"/>
      <c r="E22" s="126" t="s">
        <v>424</v>
      </c>
      <c r="F22" s="129" t="s">
        <v>425</v>
      </c>
      <c r="G22" s="128" t="s">
        <v>426</v>
      </c>
      <c r="H22" s="128" t="s">
        <v>427</v>
      </c>
      <c r="I22" s="126" t="s">
        <v>428</v>
      </c>
    </row>
    <row r="23" customFormat="false" ht="30" hidden="false" customHeight="true" outlineLevel="0" collapsed="false">
      <c r="B23" s="42" t="n">
        <v>2</v>
      </c>
      <c r="C23" s="126" t="s">
        <v>429</v>
      </c>
      <c r="D23" s="126"/>
      <c r="E23" s="126" t="s">
        <v>430</v>
      </c>
      <c r="F23" s="129" t="s">
        <v>431</v>
      </c>
      <c r="G23" s="128" t="s">
        <v>432</v>
      </c>
      <c r="H23" s="128" t="s">
        <v>427</v>
      </c>
      <c r="I23" s="126" t="s">
        <v>433</v>
      </c>
    </row>
    <row r="24" customFormat="false" ht="30" hidden="false" customHeight="true" outlineLevel="0" collapsed="false">
      <c r="B24" s="42" t="n">
        <v>3</v>
      </c>
      <c r="C24" s="126" t="s">
        <v>434</v>
      </c>
      <c r="D24" s="126"/>
      <c r="E24" s="126" t="s">
        <v>435</v>
      </c>
      <c r="F24" s="129" t="s">
        <v>425</v>
      </c>
      <c r="G24" s="128" t="s">
        <v>436</v>
      </c>
      <c r="H24" s="128" t="s">
        <v>427</v>
      </c>
      <c r="I24" s="126" t="s">
        <v>437</v>
      </c>
    </row>
    <row r="25" customFormat="false" ht="30" hidden="false" customHeight="true" outlineLevel="0" collapsed="false">
      <c r="B25" s="42" t="n">
        <v>4</v>
      </c>
      <c r="C25" s="126" t="s">
        <v>438</v>
      </c>
      <c r="D25" s="126"/>
      <c r="E25" s="126" t="s">
        <v>439</v>
      </c>
      <c r="F25" s="129" t="s">
        <v>440</v>
      </c>
      <c r="G25" s="128" t="s">
        <v>441</v>
      </c>
      <c r="H25" s="128" t="s">
        <v>442</v>
      </c>
      <c r="I25" s="126" t="s">
        <v>443</v>
      </c>
    </row>
    <row r="26" customFormat="false" ht="30" hidden="false" customHeight="true" outlineLevel="0" collapsed="false">
      <c r="B26" s="42" t="n">
        <v>5</v>
      </c>
      <c r="C26" s="126" t="s">
        <v>444</v>
      </c>
      <c r="D26" s="126"/>
      <c r="E26" s="126" t="s">
        <v>445</v>
      </c>
      <c r="F26" s="129" t="s">
        <v>431</v>
      </c>
      <c r="G26" s="128" t="s">
        <v>436</v>
      </c>
      <c r="H26" s="128" t="s">
        <v>427</v>
      </c>
      <c r="I26" s="126" t="s">
        <v>446</v>
      </c>
    </row>
    <row r="27" customFormat="false" ht="30" hidden="false" customHeight="true" outlineLevel="0" collapsed="false">
      <c r="B27" s="42" t="n">
        <v>6</v>
      </c>
      <c r="C27" s="131"/>
      <c r="D27" s="131"/>
      <c r="E27" s="131"/>
      <c r="F27" s="129"/>
      <c r="G27" s="128"/>
      <c r="H27" s="128"/>
      <c r="I27" s="131"/>
    </row>
    <row r="28" customFormat="false" ht="30" hidden="false" customHeight="true" outlineLevel="0" collapsed="false">
      <c r="B28" s="42" t="n">
        <v>7</v>
      </c>
      <c r="C28" s="131"/>
      <c r="D28" s="131"/>
      <c r="E28" s="131"/>
      <c r="F28" s="129"/>
      <c r="G28" s="128"/>
      <c r="H28" s="128"/>
      <c r="I28" s="131"/>
    </row>
    <row r="29" customFormat="false" ht="30" hidden="false" customHeight="true" outlineLevel="0" collapsed="false">
      <c r="B29" s="42" t="n">
        <v>8</v>
      </c>
      <c r="C29" s="131"/>
      <c r="D29" s="131"/>
      <c r="E29" s="131"/>
      <c r="F29" s="129"/>
      <c r="G29" s="128"/>
      <c r="H29" s="128"/>
      <c r="I29" s="131"/>
    </row>
    <row r="30" customFormat="false" ht="30" hidden="false" customHeight="true" outlineLevel="0" collapsed="false">
      <c r="B30" s="42" t="n">
        <v>9</v>
      </c>
      <c r="C30" s="131"/>
      <c r="D30" s="131"/>
      <c r="E30" s="131"/>
      <c r="F30" s="129"/>
      <c r="G30" s="128"/>
      <c r="H30" s="128"/>
      <c r="I30" s="131"/>
    </row>
    <row r="31" customFormat="false" ht="30" hidden="false" customHeight="true" outlineLevel="0" collapsed="false">
      <c r="B31" s="42" t="n">
        <v>10</v>
      </c>
      <c r="C31" s="131"/>
      <c r="D31" s="131"/>
      <c r="E31" s="131"/>
      <c r="F31" s="129"/>
      <c r="G31" s="128"/>
      <c r="H31" s="128"/>
      <c r="I31" s="131"/>
    </row>
    <row r="33" customFormat="false" ht="15" hidden="false" customHeight="true" outlineLevel="0" collapsed="false">
      <c r="B33" s="62" t="s">
        <v>447</v>
      </c>
    </row>
  </sheetData>
  <mergeCells count="15">
    <mergeCell ref="B5:G5"/>
    <mergeCell ref="B14:G14"/>
    <mergeCell ref="D18:G18"/>
    <mergeCell ref="B20:I20"/>
    <mergeCell ref="C21:D21"/>
    <mergeCell ref="C22:D22"/>
    <mergeCell ref="C23:D23"/>
    <mergeCell ref="C24:D24"/>
    <mergeCell ref="C25:D25"/>
    <mergeCell ref="C26:D26"/>
    <mergeCell ref="C27:D27"/>
    <mergeCell ref="C28:D28"/>
    <mergeCell ref="C29:D29"/>
    <mergeCell ref="C30:D30"/>
    <mergeCell ref="C31:D31"/>
  </mergeCells>
  <conditionalFormatting sqref="D15">
    <cfRule type="expression" priority="2" aboveAverage="0" equalAverage="0" bottom="0" percent="0" rank="0" text="" dxfId="2">
      <formula>EXACT(D15,"BAJO")</formula>
    </cfRule>
    <cfRule type="expression" priority="3" aboveAverage="0" equalAverage="0" bottom="0" percent="0" rank="0" text="" dxfId="3">
      <formula>EXACT(D15,"MEDIO BAJO")</formula>
    </cfRule>
    <cfRule type="expression" priority="4" aboveAverage="0" equalAverage="0" bottom="0" percent="0" rank="0" text="" dxfId="4">
      <formula>EXACT(D15,"MEDIO")</formula>
    </cfRule>
    <cfRule type="expression" priority="5" aboveAverage="0" equalAverage="0" bottom="0" percent="0" rank="0" text="" dxfId="5">
      <formula>EXACT(D15,"MEDIO ALTO")</formula>
    </cfRule>
    <cfRule type="expression" priority="6" aboveAverage="0" equalAverage="0" bottom="0" percent="0" rank="0" text="" dxfId="6">
      <formula>EXACT(D15,"ALTO")</formula>
    </cfRule>
  </conditionalFormatting>
  <conditionalFormatting sqref="D17">
    <cfRule type="expression" priority="7" aboveAverage="0" equalAverage="0" bottom="0" percent="0" rank="0" text="" dxfId="6">
      <formula>EXACT($D$17,"FUERA DE TOLERANCIA")</formula>
    </cfRule>
    <cfRule type="expression" priority="8" aboveAverage="0" equalAverage="0" bottom="0" percent="0" rank="0" text="" dxfId="1">
      <formula>EXACT($D$17,"DENTRO DE TOLERANCIA")</formula>
    </cfRule>
  </conditionalFormatting>
  <dataValidations count="1">
    <dataValidation allowBlank="true" errorStyle="stop" operator="between" showDropDown="false" showErrorMessage="false" showInputMessage="false" sqref="H22:H31" type="list">
      <formula1>"No iniciada,En proceso,Concluida,Cancelada con justificación"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G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3"/>
    <col collapsed="false" customWidth="true" hidden="false" outlineLevel="0" max="5" min="4" style="1" width="24"/>
    <col collapsed="false" customWidth="true" hidden="false" outlineLevel="0" max="7" min="6" style="1" width="26"/>
    <col collapsed="false" customWidth="true" hidden="false" outlineLevel="0" max="8" min="8" style="1" width="4"/>
  </cols>
  <sheetData>
    <row r="2" customFormat="false" ht="21.75" hidden="false" customHeight="true" outlineLevel="0" collapsed="false">
      <c r="B2" s="30" t="s">
        <v>448</v>
      </c>
    </row>
    <row r="3" customFormat="false" ht="15" hidden="false" customHeight="true" outlineLevel="0" collapsed="false">
      <c r="B3" s="31" t="s">
        <v>449</v>
      </c>
    </row>
    <row r="4" customFormat="false" ht="15" hidden="false" customHeight="true" outlineLevel="0" collapsed="false">
      <c r="B4" s="6" t="s">
        <v>450</v>
      </c>
    </row>
    <row r="5" customFormat="false" ht="21" hidden="false" customHeight="true" outlineLevel="0" collapsed="false">
      <c r="B5" s="47" t="s">
        <v>451</v>
      </c>
      <c r="C5" s="47"/>
      <c r="D5" s="47"/>
      <c r="E5" s="47"/>
      <c r="F5" s="47"/>
      <c r="G5" s="47"/>
    </row>
    <row r="6" customFormat="false" ht="15" hidden="false" customHeight="true" outlineLevel="0" collapsed="false">
      <c r="B6" s="134" t="s">
        <v>452</v>
      </c>
      <c r="D6" s="135" t="n">
        <f aca="false">COUNTBLANK(D10:D14)+COUNTBLANK(E19:E21)+COUNTBLANK(D22:D23)+COUNTBLANK(D28)+COUNTBLANK(D34:D39)+COUNTBLANK(F46)+COUNTBLANK(D54:D56)</f>
        <v>0</v>
      </c>
    </row>
    <row r="7" customFormat="false" ht="30" hidden="false" customHeight="true" outlineLevel="0" collapsed="false">
      <c r="D7" s="61" t="str">
        <f aca="false">IF($D$6=0,"Completa: la constancia puede imprimirse, firmarse y conservarse como evidencia de la evaluación.","Faltan "&amp;$D$6&amp;" dato(s) obligatorio(s): la evaluación todavía no está documentada por completo.")</f>
        <v>Completa: la constancia puede imprimirse, firmarse y conservarse como evidencia de la evaluación.</v>
      </c>
      <c r="E7" s="61"/>
      <c r="F7" s="61"/>
      <c r="G7" s="61"/>
    </row>
    <row r="9" customFormat="false" ht="21" hidden="false" customHeight="true" outlineLevel="0" collapsed="false">
      <c r="B9" s="47" t="s">
        <v>453</v>
      </c>
      <c r="C9" s="47"/>
      <c r="D9" s="47"/>
      <c r="E9" s="47"/>
      <c r="F9" s="47"/>
      <c r="G9" s="47"/>
    </row>
    <row r="10" customFormat="false" ht="15" hidden="false" customHeight="true" outlineLevel="0" collapsed="false">
      <c r="B10" s="136" t="s">
        <v>454</v>
      </c>
      <c r="D10" s="137" t="s">
        <v>455</v>
      </c>
    </row>
    <row r="11" customFormat="false" ht="15" hidden="false" customHeight="true" outlineLevel="0" collapsed="false">
      <c r="B11" s="136" t="s">
        <v>456</v>
      </c>
      <c r="D11" s="138" t="n">
        <v>46188</v>
      </c>
    </row>
    <row r="12" customFormat="false" ht="31.5" hidden="false" customHeight="true" outlineLevel="0" collapsed="false">
      <c r="B12" s="136" t="s">
        <v>457</v>
      </c>
      <c r="D12" s="88" t="s">
        <v>458</v>
      </c>
      <c r="E12" s="88"/>
      <c r="F12" s="88"/>
      <c r="G12" s="88"/>
    </row>
    <row r="13" customFormat="false" ht="31.5" hidden="false" customHeight="true" outlineLevel="0" collapsed="false">
      <c r="B13" s="136" t="s">
        <v>459</v>
      </c>
      <c r="D13" s="88" t="s">
        <v>460</v>
      </c>
      <c r="E13" s="88"/>
      <c r="F13" s="88"/>
      <c r="G13" s="88"/>
    </row>
    <row r="14" customFormat="false" ht="15" hidden="false" customHeight="true" outlineLevel="0" collapsed="false">
      <c r="B14" s="136" t="s">
        <v>461</v>
      </c>
      <c r="D14" s="137" t="s">
        <v>194</v>
      </c>
    </row>
    <row r="15" customFormat="false" ht="27.75" hidden="false" customHeight="true" outlineLevel="0" collapsed="false">
      <c r="D15" s="139" t="str">
        <f aca="false">IF($D$14="Sí","⚠ La actualización de la Evaluación Nacional de Riesgos obliga a revisar esta evaluación (Art. 10 Septies 3), sin esperar a que se cumplan los doce meses.","")</f>
        <v/>
      </c>
      <c r="E15" s="139"/>
      <c r="F15" s="139"/>
      <c r="G15" s="139"/>
    </row>
    <row r="17" customFormat="false" ht="21" hidden="false" customHeight="true" outlineLevel="0" collapsed="false">
      <c r="B17" s="47" t="s">
        <v>462</v>
      </c>
      <c r="C17" s="47"/>
      <c r="D17" s="47"/>
      <c r="E17" s="47"/>
      <c r="F17" s="47"/>
      <c r="G17" s="47"/>
    </row>
    <row r="18" customFormat="false" ht="31.5" hidden="false" customHeight="true" outlineLevel="0" collapsed="false">
      <c r="B18" s="7" t="s">
        <v>463</v>
      </c>
      <c r="C18" s="7"/>
      <c r="D18" s="7" t="s">
        <v>464</v>
      </c>
      <c r="E18" s="7" t="s">
        <v>465</v>
      </c>
      <c r="F18" s="7" t="s">
        <v>466</v>
      </c>
      <c r="G18" s="7" t="s">
        <v>46</v>
      </c>
    </row>
    <row r="19" customFormat="false" ht="19.5" hidden="false" customHeight="true" outlineLevel="0" collapsed="false">
      <c r="B19" s="69" t="s">
        <v>467</v>
      </c>
      <c r="C19" s="69"/>
      <c r="D19" s="140" t="n">
        <f aca="false">INICIO!$C$32</f>
        <v>86</v>
      </c>
      <c r="E19" s="141" t="n">
        <v>86</v>
      </c>
      <c r="F19" s="140" t="n">
        <f aca="false">IF(OR($D19="",$E19=""),"",$E19-$D19)</f>
        <v>0</v>
      </c>
      <c r="G19" s="71" t="str">
        <f aca="false">IF($F19="","",IF($F19=0,"Conciliado","Diferencia"))</f>
        <v>Conciliado</v>
      </c>
    </row>
    <row r="20" customFormat="false" ht="19.5" hidden="false" customHeight="true" outlineLevel="0" collapsed="false">
      <c r="B20" s="69" t="s">
        <v>468</v>
      </c>
      <c r="C20" s="69"/>
      <c r="D20" s="140" t="n">
        <f aca="false">INICIO!$C$33</f>
        <v>112</v>
      </c>
      <c r="E20" s="141" t="n">
        <v>112</v>
      </c>
      <c r="F20" s="140" t="n">
        <f aca="false">IF(OR($D20="",$E20=""),"",$E20-$D20)</f>
        <v>0</v>
      </c>
      <c r="G20" s="71" t="str">
        <f aca="false">IF($F20="","",IF($F20=0,"Conciliado","Diferencia"))</f>
        <v>Conciliado</v>
      </c>
    </row>
    <row r="21" customFormat="false" ht="19.5" hidden="false" customHeight="true" outlineLevel="0" collapsed="false">
      <c r="B21" s="69" t="s">
        <v>469</v>
      </c>
      <c r="C21" s="69"/>
      <c r="D21" s="142" t="n">
        <f aca="false">INICIO!$C$34</f>
        <v>428600000</v>
      </c>
      <c r="E21" s="143" t="n">
        <v>428600000</v>
      </c>
      <c r="F21" s="142" t="n">
        <f aca="false">IF(OR($D21="",$E21=""),"",$E21-$D21)</f>
        <v>0</v>
      </c>
      <c r="G21" s="71" t="str">
        <f aca="false">IF($F21="","",IF($F21=0,"Conciliado","Diferencia"))</f>
        <v>Conciliado</v>
      </c>
    </row>
    <row r="22" customFormat="false" ht="19.5" hidden="false" customHeight="true" outlineLevel="0" collapsed="false">
      <c r="B22" s="136" t="s">
        <v>470</v>
      </c>
      <c r="D22" s="88" t="s">
        <v>471</v>
      </c>
      <c r="E22" s="88"/>
      <c r="F22" s="88"/>
      <c r="G22" s="88"/>
    </row>
    <row r="23" customFormat="false" ht="15" hidden="false" customHeight="true" outlineLevel="0" collapsed="false">
      <c r="B23" s="136" t="s">
        <v>472</v>
      </c>
      <c r="D23" s="138" t="n">
        <v>46203</v>
      </c>
    </row>
    <row r="24" customFormat="false" ht="30" hidden="false" customHeight="true" outlineLevel="0" collapsed="false">
      <c r="B24" s="136" t="s">
        <v>473</v>
      </c>
      <c r="D24" s="88" t="s">
        <v>474</v>
      </c>
      <c r="E24" s="88"/>
      <c r="F24" s="88"/>
      <c r="G24" s="88"/>
    </row>
    <row r="25" customFormat="false" ht="31.5" hidden="false" customHeight="true" outlineLevel="0" collapsed="false">
      <c r="D25" s="53" t="str">
        <f aca="false">IF(SUMPRODUCT(--($F$19:$F$21&lt;&gt;""),--($F$19:$F$21&lt;&gt;0))&gt;0,"Hay diferencias con el mecanismo automatizado. El Art. 10 Septies 2, fr. I exige que la evaluación no sea inconsistente con lo que registran tus mecanismos: corrige la cifra o explica la diferencia en el renglón anterior.","Sin diferencias: la evaluación es consistente con lo registrado en el mecanismo automatizado.")</f>
        <v>Sin diferencias: la evaluación es consistente con lo registrado en el mecanismo automatizado.</v>
      </c>
      <c r="E25" s="53"/>
      <c r="F25" s="53"/>
      <c r="G25" s="53"/>
    </row>
    <row r="27" customFormat="false" ht="21" hidden="false" customHeight="true" outlineLevel="0" collapsed="false">
      <c r="B27" s="47" t="s">
        <v>475</v>
      </c>
      <c r="C27" s="47"/>
      <c r="D27" s="47"/>
      <c r="E27" s="47"/>
      <c r="F27" s="47"/>
      <c r="G27" s="47"/>
    </row>
    <row r="28" customFormat="false" ht="15" hidden="false" customHeight="true" outlineLevel="0" collapsed="false">
      <c r="B28" s="136" t="s">
        <v>476</v>
      </c>
      <c r="D28" s="137" t="s">
        <v>79</v>
      </c>
    </row>
    <row r="29" customFormat="false" ht="30" hidden="false" customHeight="true" outlineLevel="0" collapsed="false">
      <c r="B29" s="136" t="s">
        <v>477</v>
      </c>
      <c r="D29" s="88" t="s">
        <v>478</v>
      </c>
      <c r="E29" s="88"/>
      <c r="F29" s="88"/>
      <c r="G29" s="88"/>
    </row>
    <row r="30" customFormat="false" ht="19.5" hidden="false" customHeight="true" outlineLevel="0" collapsed="false">
      <c r="B30" s="136" t="s">
        <v>479</v>
      </c>
      <c r="D30" s="61" t="str">
        <f aca="false">IF(INICIO!$C$27="","(captura la fecha de la evaluación en INICIO)",CHOOSE(MONTH(EDATE(INICIO!$C$27,12)),"enero","febrero","marzo","abril","mayo","junio","julio","agosto","septiembre","octubre","noviembre","diciembre")&amp;" de "&amp;YEAR(EDATE(INICIO!$C$27,12)))</f>
        <v>julio de 2027</v>
      </c>
      <c r="E30" s="61"/>
      <c r="F30" s="61"/>
      <c r="G30" s="61"/>
    </row>
    <row r="31" customFormat="false" ht="27.75" hidden="false" customHeight="true" outlineLevel="0" collapsed="false">
      <c r="D31" s="139" t="str">
        <f aca="false">IF($D$28="No","⚠ Estás trabajando con datos proyectados. Al cumplirse los doce meses debes actualizar la evaluación con datos reales (Art. 10 Septies 2).","")</f>
        <v/>
      </c>
      <c r="E31" s="139"/>
      <c r="F31" s="139"/>
      <c r="G31" s="139"/>
    </row>
    <row r="33" customFormat="false" ht="21" hidden="false" customHeight="true" outlineLevel="0" collapsed="false">
      <c r="B33" s="47" t="s">
        <v>480</v>
      </c>
      <c r="C33" s="47"/>
      <c r="D33" s="47"/>
      <c r="E33" s="47"/>
      <c r="F33" s="47"/>
      <c r="G33" s="47"/>
    </row>
    <row r="34" customFormat="false" ht="15" hidden="false" customHeight="true" outlineLevel="0" collapsed="false">
      <c r="B34" s="136" t="s">
        <v>481</v>
      </c>
      <c r="D34" s="88" t="s">
        <v>34</v>
      </c>
    </row>
    <row r="35" customFormat="false" ht="15" hidden="false" customHeight="true" outlineLevel="0" collapsed="false">
      <c r="B35" s="136" t="s">
        <v>482</v>
      </c>
      <c r="D35" s="138" t="n">
        <v>46204</v>
      </c>
    </row>
    <row r="36" customFormat="false" ht="15" hidden="false" customHeight="true" outlineLevel="0" collapsed="false">
      <c r="B36" s="136" t="s">
        <v>483</v>
      </c>
      <c r="D36" s="88" t="s">
        <v>484</v>
      </c>
    </row>
    <row r="37" customFormat="false" ht="15" hidden="false" customHeight="true" outlineLevel="0" collapsed="false">
      <c r="B37" s="136" t="s">
        <v>485</v>
      </c>
      <c r="D37" s="138" t="n">
        <v>46218</v>
      </c>
    </row>
    <row r="38" customFormat="false" ht="15" hidden="false" customHeight="true" outlineLevel="0" collapsed="false">
      <c r="B38" s="136" t="s">
        <v>486</v>
      </c>
      <c r="D38" s="144" t="s">
        <v>487</v>
      </c>
      <c r="E38" s="144"/>
      <c r="F38" s="144"/>
      <c r="G38" s="144"/>
    </row>
    <row r="39" customFormat="false" ht="19.5" hidden="false" customHeight="true" outlineLevel="0" collapsed="false">
      <c r="B39" s="136" t="s">
        <v>488</v>
      </c>
      <c r="D39" s="88" t="s">
        <v>489</v>
      </c>
      <c r="E39" s="88"/>
      <c r="F39" s="88"/>
      <c r="G39" s="88"/>
    </row>
    <row r="40" customFormat="false" ht="19.5" hidden="false" customHeight="true" outlineLevel="0" collapsed="false">
      <c r="B40" s="136" t="s">
        <v>490</v>
      </c>
      <c r="D40" s="61" t="str">
        <f aca="false">IF($D$37="","(captura la fecha de aprobación)",CHOOSE(MONTH(EDATE($D$37,120)),"enero","febrero","marzo","abril","mayo","junio","julio","agosto","septiembre","octubre","noviembre","diciembre")&amp;" de "&amp;YEAR(EDATE($D$37,120)))</f>
        <v>julio de 2036</v>
      </c>
      <c r="E40" s="61"/>
      <c r="F40" s="61"/>
      <c r="G40" s="61"/>
    </row>
    <row r="41" customFormat="false" ht="27.75" hidden="false" customHeight="true" outlineLevel="0" collapsed="false">
      <c r="D41" s="139" t="str">
        <f aca="false">IF($D$37="","⚠ Sin fecha de aprobación no se acredita que la evaluación fue aprobada ni puede calcularse el plazo de conservación de diez años.","")</f>
        <v/>
      </c>
      <c r="E41" s="139"/>
      <c r="F41" s="139"/>
      <c r="G41" s="139"/>
    </row>
    <row r="43" customFormat="false" ht="21" hidden="false" customHeight="true" outlineLevel="0" collapsed="false">
      <c r="B43" s="47" t="s">
        <v>491</v>
      </c>
      <c r="C43" s="47"/>
      <c r="D43" s="47"/>
      <c r="E43" s="47"/>
      <c r="F43" s="47"/>
      <c r="G43" s="47"/>
    </row>
    <row r="44" customFormat="false" ht="31.5" hidden="false" customHeight="true" outlineLevel="0" collapsed="false">
      <c r="B44" s="7" t="s">
        <v>492</v>
      </c>
      <c r="C44" s="7"/>
      <c r="D44" s="7" t="s">
        <v>493</v>
      </c>
      <c r="E44" s="7" t="s">
        <v>494</v>
      </c>
      <c r="F44" s="7" t="s">
        <v>495</v>
      </c>
      <c r="G44" s="7"/>
    </row>
    <row r="45" customFormat="false" ht="27.75" hidden="false" customHeight="true" outlineLevel="0" collapsed="false">
      <c r="B45" s="53" t="s">
        <v>496</v>
      </c>
      <c r="C45" s="53"/>
      <c r="D45" s="145" t="s">
        <v>497</v>
      </c>
      <c r="E45" s="71" t="str">
        <f aca="false">IF(INICIO!$C$27="","",CHOOSE(MONTH(EDATE(INICIO!$C$27,12)),"enero","febrero","marzo","abril","mayo","junio","julio","agosto","septiembre","octubre","noviembre","diciembre")&amp;" de "&amp;YEAR(EDATE(INICIO!$C$27,12)))</f>
        <v>julio de 2027</v>
      </c>
      <c r="F45" s="146" t="s">
        <v>498</v>
      </c>
      <c r="G45" s="146"/>
    </row>
    <row r="46" customFormat="false" ht="27.75" hidden="false" customHeight="true" outlineLevel="0" collapsed="false">
      <c r="B46" s="53" t="s">
        <v>499</v>
      </c>
      <c r="C46" s="53"/>
      <c r="D46" s="145" t="s">
        <v>500</v>
      </c>
      <c r="E46" s="71" t="str">
        <f aca="false">IF(INICIO!$C$27="","",CHOOSE(MONTH(EDATE(INICIO!$C$27,12)),"enero","febrero","marzo","abril","mayo","junio","julio","agosto","septiembre","octubre","noviembre","diciembre")&amp;" de "&amp;YEAR(EDATE(INICIO!$C$27,12)))</f>
        <v>julio de 2027</v>
      </c>
      <c r="F46" s="147" t="s">
        <v>501</v>
      </c>
      <c r="G46" s="147"/>
    </row>
    <row r="47" customFormat="false" ht="31.5" hidden="false" customHeight="true" outlineLevel="0" collapsed="false">
      <c r="D47" s="53" t="str">
        <f aca="false">IF($F$46="","Falta registrar el año y el mes. Ojo: el Art. 10 Septies 2, último párrafo, pide el año y mes EN QUE SE OBTUVIERON LOS RESULTADOS de la implementación, que es el que ancla el plazo de doce meses.","Compromiso registrado. Los dos plazos corren en paralelo: revisar la evaluación y modificar las políticas son obligaciones distintas.")</f>
        <v>Compromiso registrado. Los dos plazos corren en paralelo: revisar la evaluación y modificar las políticas son obligaciones distintas.</v>
      </c>
      <c r="E47" s="53"/>
      <c r="F47" s="53"/>
      <c r="G47" s="53"/>
    </row>
    <row r="49" customFormat="false" ht="21" hidden="false" customHeight="true" outlineLevel="0" collapsed="false">
      <c r="B49" s="47" t="s">
        <v>502</v>
      </c>
      <c r="C49" s="47"/>
      <c r="D49" s="47"/>
      <c r="E49" s="47"/>
      <c r="F49" s="47"/>
      <c r="G49" s="47"/>
    </row>
    <row r="50" customFormat="false" ht="19.5" hidden="false" customHeight="true" outlineLevel="0" collapsed="false">
      <c r="B50" s="7" t="s">
        <v>503</v>
      </c>
      <c r="C50" s="7"/>
      <c r="D50" s="7" t="s">
        <v>504</v>
      </c>
      <c r="E50" s="7" t="s">
        <v>505</v>
      </c>
      <c r="F50" s="7"/>
      <c r="G50" s="7" t="s">
        <v>420</v>
      </c>
    </row>
    <row r="51" customFormat="false" ht="21.75" hidden="false" customHeight="true" outlineLevel="0" collapsed="false">
      <c r="B51" s="137" t="s">
        <v>506</v>
      </c>
      <c r="C51" s="137"/>
      <c r="D51" s="138" t="n">
        <v>46218</v>
      </c>
      <c r="E51" s="144" t="s">
        <v>507</v>
      </c>
      <c r="F51" s="144"/>
      <c r="G51" s="137" t="s">
        <v>508</v>
      </c>
    </row>
    <row r="52" customFormat="false" ht="21.75" hidden="false" customHeight="true" outlineLevel="0" collapsed="false">
      <c r="B52" s="137"/>
      <c r="C52" s="137"/>
      <c r="D52" s="138"/>
      <c r="E52" s="144"/>
      <c r="F52" s="144"/>
      <c r="G52" s="137"/>
    </row>
    <row r="53" customFormat="false" ht="21.75" hidden="false" customHeight="true" outlineLevel="0" collapsed="false">
      <c r="B53" s="148" t="s">
        <v>509</v>
      </c>
      <c r="C53" s="148"/>
      <c r="D53" s="138"/>
      <c r="E53" s="144"/>
      <c r="F53" s="144"/>
      <c r="G53" s="137"/>
    </row>
    <row r="54" customFormat="false" ht="21.75" hidden="false" customHeight="true" outlineLevel="0" collapsed="false">
      <c r="B54" s="149" t="s">
        <v>510</v>
      </c>
      <c r="C54" s="149"/>
      <c r="D54" s="150" t="s">
        <v>79</v>
      </c>
      <c r="E54" s="151" t="str">
        <f aca="false">IF(OR($D$54="No",$D$55="No"),"⚠ El Art. 37, último párrafo, exige que el Manual incluya el diseño de la metodología y los criterios de apertura, limitación o terminación congruentes con ella. Sin eso, la evaluación existe pero no está incorporada donde la norma la pide.","")</f>
        <v/>
      </c>
      <c r="F54" s="151"/>
      <c r="G54" s="137"/>
    </row>
    <row r="55" customFormat="false" ht="21.75" hidden="false" customHeight="true" outlineLevel="0" collapsed="false">
      <c r="B55" s="149" t="s">
        <v>511</v>
      </c>
      <c r="C55" s="149"/>
      <c r="D55" s="150" t="s">
        <v>79</v>
      </c>
      <c r="E55" s="144"/>
      <c r="F55" s="144"/>
      <c r="G55" s="137"/>
    </row>
    <row r="56" customFormat="false" ht="15" hidden="false" customHeight="true" outlineLevel="0" collapsed="false">
      <c r="B56" s="25" t="s">
        <v>512</v>
      </c>
      <c r="D56" s="152" t="s">
        <v>513</v>
      </c>
    </row>
    <row r="57" customFormat="false" ht="15" hidden="false" customHeight="true" outlineLevel="0" collapsed="false">
      <c r="B57" s="31" t="s">
        <v>514</v>
      </c>
    </row>
  </sheetData>
  <mergeCells count="44">
    <mergeCell ref="B5:G5"/>
    <mergeCell ref="D7:G7"/>
    <mergeCell ref="B9:G9"/>
    <mergeCell ref="D12:G12"/>
    <mergeCell ref="D13:G13"/>
    <mergeCell ref="D15:G15"/>
    <mergeCell ref="B17:G17"/>
    <mergeCell ref="B18:C18"/>
    <mergeCell ref="B19:C19"/>
    <mergeCell ref="B20:C20"/>
    <mergeCell ref="B21:C21"/>
    <mergeCell ref="D22:G22"/>
    <mergeCell ref="D24:G24"/>
    <mergeCell ref="D25:G25"/>
    <mergeCell ref="B27:G27"/>
    <mergeCell ref="D29:G29"/>
    <mergeCell ref="D30:G30"/>
    <mergeCell ref="D31:G31"/>
    <mergeCell ref="B33:G33"/>
    <mergeCell ref="D38:G38"/>
    <mergeCell ref="D39:G39"/>
    <mergeCell ref="D40:G40"/>
    <mergeCell ref="D41:G41"/>
    <mergeCell ref="B43:G43"/>
    <mergeCell ref="B44:C44"/>
    <mergeCell ref="F44:G44"/>
    <mergeCell ref="B45:C45"/>
    <mergeCell ref="F45:G45"/>
    <mergeCell ref="B46:C46"/>
    <mergeCell ref="F46:G46"/>
    <mergeCell ref="D47:G47"/>
    <mergeCell ref="B49:G49"/>
    <mergeCell ref="B50:C50"/>
    <mergeCell ref="E50:F50"/>
    <mergeCell ref="B51:C51"/>
    <mergeCell ref="E51:F51"/>
    <mergeCell ref="B52:C52"/>
    <mergeCell ref="E52:F52"/>
    <mergeCell ref="B53:C53"/>
    <mergeCell ref="E53:F53"/>
    <mergeCell ref="B54:C54"/>
    <mergeCell ref="E54:F54"/>
    <mergeCell ref="B55:C55"/>
    <mergeCell ref="E55:F55"/>
  </mergeCells>
  <conditionalFormatting sqref="D6">
    <cfRule type="expression" priority="2" aboveAverage="0" equalAverage="0" bottom="0" percent="0" rank="0" text="" dxfId="1">
      <formula>$D$6=0</formula>
    </cfRule>
    <cfRule type="expression" priority="3" aboveAverage="0" equalAverage="0" bottom="0" percent="0" rank="0" text="" dxfId="0">
      <formula>$D$6&gt;0</formula>
    </cfRule>
  </conditionalFormatting>
  <conditionalFormatting sqref="G19">
    <cfRule type="expression" priority="4" aboveAverage="0" equalAverage="0" bottom="0" percent="0" rank="0" text="" dxfId="0">
      <formula>EXACT($G19,"Diferencia")</formula>
    </cfRule>
    <cfRule type="expression" priority="5" aboveAverage="0" equalAverage="0" bottom="0" percent="0" rank="0" text="" dxfId="1">
      <formula>EXACT($G19,"Conciliado")</formula>
    </cfRule>
  </conditionalFormatting>
  <conditionalFormatting sqref="G20">
    <cfRule type="expression" priority="6" aboveAverage="0" equalAverage="0" bottom="0" percent="0" rank="0" text="" dxfId="0">
      <formula>EXACT($G20,"Diferencia")</formula>
    </cfRule>
    <cfRule type="expression" priority="7" aboveAverage="0" equalAverage="0" bottom="0" percent="0" rank="0" text="" dxfId="1">
      <formula>EXACT($G20,"Conciliado")</formula>
    </cfRule>
  </conditionalFormatting>
  <conditionalFormatting sqref="G21">
    <cfRule type="expression" priority="8" aboveAverage="0" equalAverage="0" bottom="0" percent="0" rank="0" text="" dxfId="0">
      <formula>EXACT($G21,"Diferencia")</formula>
    </cfRule>
    <cfRule type="expression" priority="9" aboveAverage="0" equalAverage="0" bottom="0" percent="0" rank="0" text="" dxfId="1">
      <formula>EXACT($G21,"Conciliado")</formula>
    </cfRule>
  </conditionalFormatting>
  <dataValidations count="3">
    <dataValidation allowBlank="true" errorStyle="stop" operator="between" showDropDown="false" showErrorMessage="false" showInputMessage="false" sqref="D14 D28" type="list">
      <formula1>"Sí,No"</formula1>
      <formula2>0</formula2>
    </dataValidation>
    <dataValidation allowBlank="true" errorStyle="stop" operator="between" showDropDown="false" showErrorMessage="false" showInputMessage="false" sqref="D38" type="list">
      <formula1>"Acta de sesión del órgano de administración,Oficio o memorándum firmado,Firma autógrafa en el documento,Firma electrónica avanzada,Correo electrónico institucional"</formula1>
      <formula2>0</formula2>
    </dataValidation>
    <dataValidation allowBlank="true" errorStyle="stop" operator="between" showDropDown="false" showErrorMessage="false" showInputMessage="false" sqref="D54:D55"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541"/>
    <pageSetUpPr fitToPage="false"/>
  </sheetPr>
  <dimension ref="B2: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46"/>
    <col collapsed="false" customWidth="true" hidden="false" outlineLevel="0" max="9" min="4" style="0" width="15"/>
    <col collapsed="false" customWidth="true" hidden="false" outlineLevel="0" max="10" min="10" style="0" width="11"/>
    <col collapsed="false" customWidth="true" hidden="false" outlineLevel="0" max="11" min="11" style="0" width="13"/>
  </cols>
  <sheetData>
    <row r="2" customFormat="false" ht="17.35" hidden="false" customHeight="false" outlineLevel="0" collapsed="false">
      <c r="B2" s="153" t="s">
        <v>515</v>
      </c>
      <c r="C2" s="153"/>
      <c r="D2" s="153"/>
      <c r="E2" s="153"/>
      <c r="F2" s="153"/>
      <c r="G2" s="153"/>
      <c r="H2" s="153"/>
      <c r="I2" s="153"/>
      <c r="J2" s="153"/>
      <c r="K2" s="153"/>
    </row>
    <row r="3" customFormat="false" ht="15" hidden="false" customHeight="false" outlineLevel="0" collapsed="false">
      <c r="B3" s="154" t="s">
        <v>516</v>
      </c>
      <c r="C3" s="154"/>
      <c r="D3" s="154"/>
      <c r="E3" s="154"/>
      <c r="F3" s="154"/>
      <c r="G3" s="154"/>
      <c r="H3" s="154"/>
      <c r="I3" s="154"/>
      <c r="J3" s="154"/>
      <c r="K3" s="154"/>
    </row>
    <row r="4" customFormat="false" ht="15" hidden="false" customHeight="false" outlineLevel="0" collapsed="false">
      <c r="B4" s="155" t="s">
        <v>517</v>
      </c>
      <c r="C4" s="155"/>
      <c r="D4" s="155"/>
      <c r="E4" s="155"/>
      <c r="F4" s="155"/>
      <c r="G4" s="155"/>
      <c r="H4" s="155"/>
      <c r="I4" s="155"/>
      <c r="J4" s="155"/>
      <c r="K4" s="155"/>
    </row>
    <row r="6" customFormat="false" ht="19.5" hidden="false" customHeight="true" outlineLevel="0" collapsed="false">
      <c r="B6" s="156" t="s">
        <v>518</v>
      </c>
      <c r="C6" s="156"/>
      <c r="D6" s="156"/>
      <c r="E6" s="156"/>
      <c r="F6" s="156"/>
      <c r="G6" s="156"/>
      <c r="H6" s="156"/>
      <c r="I6" s="156"/>
      <c r="J6" s="156"/>
      <c r="K6" s="156"/>
    </row>
    <row r="7" customFormat="false" ht="30" hidden="false" customHeight="true" outlineLevel="0" collapsed="false">
      <c r="B7" s="157" t="s">
        <v>519</v>
      </c>
      <c r="C7" s="157" t="s">
        <v>520</v>
      </c>
      <c r="D7" s="157" t="s">
        <v>521</v>
      </c>
      <c r="E7" s="157" t="s">
        <v>522</v>
      </c>
      <c r="F7" s="157" t="s">
        <v>523</v>
      </c>
      <c r="G7" s="157" t="s">
        <v>524</v>
      </c>
      <c r="H7" s="157" t="s">
        <v>525</v>
      </c>
      <c r="I7" s="157" t="s">
        <v>526</v>
      </c>
      <c r="J7" s="157" t="s">
        <v>140</v>
      </c>
      <c r="K7" s="157" t="s">
        <v>75</v>
      </c>
    </row>
    <row r="8" customFormat="false" ht="15" hidden="false" customHeight="false" outlineLevel="0" collapsed="false">
      <c r="B8" s="158" t="s">
        <v>527</v>
      </c>
      <c r="C8" s="159" t="s">
        <v>528</v>
      </c>
      <c r="D8" s="137" t="s">
        <v>390</v>
      </c>
      <c r="E8" s="137" t="s">
        <v>392</v>
      </c>
      <c r="F8" s="137" t="s">
        <v>390</v>
      </c>
      <c r="G8" s="137" t="s">
        <v>390</v>
      </c>
      <c r="H8" s="137" t="s">
        <v>392</v>
      </c>
      <c r="I8" s="137" t="s">
        <v>390</v>
      </c>
      <c r="J8" s="160" t="n">
        <f aca="false">(IF(D8="Alto",5,IF(D8="Medio",3,1))+IF(E8="Alto",5,IF(E8="Medio",3,1))+IF(F8="Alto",5,IF(F8="Medio",3,1))+IF(G8="Alto",5,IF(G8="Medio",3,1))+IF(H8="Alto",5,IF(H8="Medio",3,1))+IF(I8="Alto",5,IF(I8="Medio",3,1)))/6</f>
        <v>2.33333333333333</v>
      </c>
      <c r="K8" s="158" t="str">
        <f aca="false">IF(J8&gt;=3.67,"ALTO",IF(J8&gt;=2.34,"MEDIO","BAJO"))</f>
        <v>BAJO</v>
      </c>
    </row>
    <row r="9" customFormat="false" ht="15" hidden="false" customHeight="false" outlineLevel="0" collapsed="false">
      <c r="B9" s="158" t="s">
        <v>529</v>
      </c>
      <c r="C9" s="159" t="s">
        <v>530</v>
      </c>
      <c r="D9" s="137" t="s">
        <v>391</v>
      </c>
      <c r="E9" s="137" t="s">
        <v>392</v>
      </c>
      <c r="F9" s="137" t="s">
        <v>390</v>
      </c>
      <c r="G9" s="137" t="s">
        <v>391</v>
      </c>
      <c r="H9" s="137" t="s">
        <v>392</v>
      </c>
      <c r="I9" s="137" t="s">
        <v>391</v>
      </c>
      <c r="J9" s="160" t="n">
        <f aca="false">(IF(D9="Alto",5,IF(D9="Medio",3,1))+IF(E9="Alto",5,IF(E9="Medio",3,1))+IF(F9="Alto",5,IF(F9="Medio",3,1))+IF(G9="Alto",5,IF(G9="Medio",3,1))+IF(H9="Alto",5,IF(H9="Medio",3,1))+IF(I9="Alto",5,IF(I9="Medio",3,1)))/6</f>
        <v>3.33333333333333</v>
      </c>
      <c r="K9" s="158" t="str">
        <f aca="false">IF(J9&gt;=3.67,"ALTO",IF(J9&gt;=2.34,"MEDIO","BAJO"))</f>
        <v>MEDIO</v>
      </c>
    </row>
    <row r="10" customFormat="false" ht="15" hidden="false" customHeight="false" outlineLevel="0" collapsed="false">
      <c r="B10" s="158" t="s">
        <v>531</v>
      </c>
      <c r="C10" s="159" t="s">
        <v>532</v>
      </c>
      <c r="D10" s="137" t="s">
        <v>391</v>
      </c>
      <c r="E10" s="137" t="s">
        <v>390</v>
      </c>
      <c r="F10" s="137" t="s">
        <v>390</v>
      </c>
      <c r="G10" s="137" t="s">
        <v>391</v>
      </c>
      <c r="H10" s="137" t="s">
        <v>390</v>
      </c>
      <c r="I10" s="137" t="s">
        <v>390</v>
      </c>
      <c r="J10" s="160" t="n">
        <f aca="false">(IF(D10="Alto",5,IF(D10="Medio",3,1))+IF(E10="Alto",5,IF(E10="Medio",3,1))+IF(F10="Alto",5,IF(F10="Medio",3,1))+IF(G10="Alto",5,IF(G10="Medio",3,1))+IF(H10="Alto",5,IF(H10="Medio",3,1))+IF(I10="Alto",5,IF(I10="Medio",3,1)))/6</f>
        <v>3.66666666666667</v>
      </c>
      <c r="K10" s="158" t="str">
        <f aca="false">IF(J10&gt;=3.67,"ALTO",IF(J10&gt;=2.34,"MEDIO","BAJO"))</f>
        <v>MEDIO</v>
      </c>
    </row>
    <row r="11" customFormat="false" ht="15" hidden="false" customHeight="false" outlineLevel="0" collapsed="false">
      <c r="B11" s="158" t="s">
        <v>533</v>
      </c>
      <c r="C11" s="159" t="s">
        <v>534</v>
      </c>
      <c r="D11" s="137" t="s">
        <v>390</v>
      </c>
      <c r="E11" s="137" t="s">
        <v>391</v>
      </c>
      <c r="F11" s="137" t="s">
        <v>391</v>
      </c>
      <c r="G11" s="137" t="s">
        <v>391</v>
      </c>
      <c r="H11" s="137" t="s">
        <v>392</v>
      </c>
      <c r="I11" s="137" t="s">
        <v>391</v>
      </c>
      <c r="J11" s="160" t="n">
        <f aca="false">(IF(D11="Alto",5,IF(D11="Medio",3,1))+IF(E11="Alto",5,IF(E11="Medio",3,1))+IF(F11="Alto",5,IF(F11="Medio",3,1))+IF(G11="Alto",5,IF(G11="Medio",3,1))+IF(H11="Alto",5,IF(H11="Medio",3,1))+IF(I11="Alto",5,IF(I11="Medio",3,1)))/6</f>
        <v>4</v>
      </c>
      <c r="K11" s="158" t="str">
        <f aca="false">IF(J11&gt;=3.67,"ALTO",IF(J11&gt;=2.34,"MEDIO","BAJO"))</f>
        <v>ALTO</v>
      </c>
    </row>
    <row r="12" customFormat="false" ht="15" hidden="false" customHeight="false" outlineLevel="0" collapsed="false">
      <c r="B12" s="158" t="s">
        <v>535</v>
      </c>
      <c r="C12" s="159" t="s">
        <v>536</v>
      </c>
      <c r="D12" s="137" t="s">
        <v>390</v>
      </c>
      <c r="E12" s="137" t="s">
        <v>390</v>
      </c>
      <c r="F12" s="137" t="s">
        <v>391</v>
      </c>
      <c r="G12" s="137" t="s">
        <v>390</v>
      </c>
      <c r="H12" s="137" t="s">
        <v>392</v>
      </c>
      <c r="I12" s="137" t="s">
        <v>390</v>
      </c>
      <c r="J12" s="160" t="n">
        <f aca="false">(IF(D12="Alto",5,IF(D12="Medio",3,1))+IF(E12="Alto",5,IF(E12="Medio",3,1))+IF(F12="Alto",5,IF(F12="Medio",3,1))+IF(G12="Alto",5,IF(G12="Medio",3,1))+IF(H12="Alto",5,IF(H12="Medio",3,1))+IF(I12="Alto",5,IF(I12="Medio",3,1)))/6</f>
        <v>3</v>
      </c>
      <c r="K12" s="158" t="str">
        <f aca="false">IF(J12&gt;=3.67,"ALTO",IF(J12&gt;=2.34,"MEDIO","BAJO"))</f>
        <v>MEDIO</v>
      </c>
    </row>
    <row r="13" customFormat="false" ht="15" hidden="false" customHeight="false" outlineLevel="0" collapsed="false">
      <c r="B13" s="158" t="s">
        <v>537</v>
      </c>
      <c r="C13" s="159" t="s">
        <v>538</v>
      </c>
      <c r="D13" s="137" t="s">
        <v>391</v>
      </c>
      <c r="E13" s="137" t="s">
        <v>392</v>
      </c>
      <c r="F13" s="137" t="s">
        <v>391</v>
      </c>
      <c r="G13" s="137" t="s">
        <v>391</v>
      </c>
      <c r="H13" s="137" t="s">
        <v>390</v>
      </c>
      <c r="I13" s="137" t="s">
        <v>390</v>
      </c>
      <c r="J13" s="160" t="n">
        <f aca="false">(IF(D13="Alto",5,IF(D13="Medio",3,1))+IF(E13="Alto",5,IF(E13="Medio",3,1))+IF(F13="Alto",5,IF(F13="Medio",3,1))+IF(G13="Alto",5,IF(G13="Medio",3,1))+IF(H13="Alto",5,IF(H13="Medio",3,1))+IF(I13="Alto",5,IF(I13="Medio",3,1)))/6</f>
        <v>3.66666666666667</v>
      </c>
      <c r="K13" s="158" t="str">
        <f aca="false">IF(J13&gt;=3.67,"ALTO",IF(J13&gt;=2.34,"MEDIO","BAJO"))</f>
        <v>MEDIO</v>
      </c>
    </row>
    <row r="15" customFormat="false" ht="15" hidden="false" customHeight="true" outlineLevel="0" collapsed="false">
      <c r="B15" s="103" t="s">
        <v>539</v>
      </c>
      <c r="C15" s="103"/>
      <c r="D15" s="103"/>
      <c r="E15" s="103"/>
      <c r="F15" s="103"/>
      <c r="G15" s="103"/>
      <c r="H15" s="103"/>
      <c r="I15" s="103"/>
      <c r="J15" s="103"/>
      <c r="K15" s="103"/>
    </row>
    <row r="16" customFormat="false" ht="15" hidden="false" customHeight="false" outlineLevel="0" collapsed="false">
      <c r="B16" s="103"/>
      <c r="C16" s="103"/>
      <c r="D16" s="103"/>
      <c r="E16" s="103"/>
      <c r="F16" s="103"/>
      <c r="G16" s="103"/>
      <c r="H16" s="103"/>
      <c r="I16" s="103"/>
      <c r="J16" s="103"/>
      <c r="K16" s="103"/>
    </row>
    <row r="17" customFormat="false" ht="15" hidden="false" customHeight="false" outlineLevel="0" collapsed="false">
      <c r="C17" s="161" t="s">
        <v>540</v>
      </c>
    </row>
    <row r="18" customFormat="false" ht="15" hidden="false" customHeight="false" outlineLevel="0" collapsed="false">
      <c r="C18" s="162" t="s">
        <v>521</v>
      </c>
      <c r="D18" s="162" t="s">
        <v>541</v>
      </c>
    </row>
    <row r="19" customFormat="false" ht="15" hidden="false" customHeight="false" outlineLevel="0" collapsed="false">
      <c r="C19" s="162" t="s">
        <v>522</v>
      </c>
      <c r="D19" s="162" t="s">
        <v>541</v>
      </c>
    </row>
    <row r="20" customFormat="false" ht="15" hidden="false" customHeight="false" outlineLevel="0" collapsed="false">
      <c r="C20" s="162" t="s">
        <v>523</v>
      </c>
      <c r="D20" s="162" t="s">
        <v>542</v>
      </c>
    </row>
    <row r="21" customFormat="false" ht="15" hidden="false" customHeight="false" outlineLevel="0" collapsed="false">
      <c r="C21" s="162" t="s">
        <v>524</v>
      </c>
      <c r="D21" s="162" t="s">
        <v>542</v>
      </c>
    </row>
    <row r="22" customFormat="false" ht="15" hidden="false" customHeight="false" outlineLevel="0" collapsed="false">
      <c r="C22" s="162" t="s">
        <v>525</v>
      </c>
      <c r="D22" s="162" t="s">
        <v>543</v>
      </c>
    </row>
    <row r="23" customFormat="false" ht="15" hidden="false" customHeight="false" outlineLevel="0" collapsed="false">
      <c r="C23" s="162" t="s">
        <v>526</v>
      </c>
      <c r="D23" s="162" t="s">
        <v>544</v>
      </c>
    </row>
  </sheetData>
  <mergeCells count="5">
    <mergeCell ref="B2:K2"/>
    <mergeCell ref="B3:K3"/>
    <mergeCell ref="B4:K4"/>
    <mergeCell ref="B6:K6"/>
    <mergeCell ref="B15:K16"/>
  </mergeCells>
  <dataValidations count="1">
    <dataValidation allowBlank="false" errorStyle="stop" operator="between" showDropDown="false" showErrorMessage="false" showInputMessage="false" sqref="D8:I13" type="list">
      <formula1>"Alto,Medio,Bajo"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B2:H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4"/>
    <col collapsed="false" customWidth="true" hidden="false" outlineLevel="0" max="4" min="4" style="0" width="44"/>
    <col collapsed="false" customWidth="true" hidden="false" outlineLevel="0" max="5" min="5" style="0" width="54"/>
    <col collapsed="false" customWidth="true" hidden="false" outlineLevel="0" max="6" min="6" style="0" width="8"/>
    <col collapsed="false" customWidth="true" hidden="false" outlineLevel="0" max="7" min="7" style="0" width="46"/>
    <col collapsed="false" customWidth="true" hidden="true" outlineLevel="0" max="8" min="8" style="0" width="34"/>
  </cols>
  <sheetData>
    <row r="2" customFormat="false" ht="17.35" hidden="false" customHeight="false" outlineLevel="0" collapsed="false">
      <c r="B2" s="153" t="s">
        <v>545</v>
      </c>
      <c r="C2" s="153"/>
      <c r="D2" s="153"/>
      <c r="E2" s="153"/>
      <c r="F2" s="153"/>
      <c r="G2" s="153"/>
      <c r="H2" s="153"/>
    </row>
    <row r="3" customFormat="false" ht="15" hidden="false" customHeight="false" outlineLevel="0" collapsed="false">
      <c r="B3" s="154" t="s">
        <v>546</v>
      </c>
      <c r="C3" s="154"/>
      <c r="D3" s="154"/>
      <c r="E3" s="154"/>
      <c r="F3" s="154"/>
      <c r="G3" s="154"/>
      <c r="H3" s="154"/>
    </row>
    <row r="4" customFormat="false" ht="15" hidden="false" customHeight="false" outlineLevel="0" collapsed="false">
      <c r="B4" s="163" t="s">
        <v>547</v>
      </c>
      <c r="C4" s="163"/>
      <c r="D4" s="163"/>
      <c r="E4" s="163"/>
      <c r="F4" s="163"/>
      <c r="G4" s="163"/>
      <c r="H4" s="163"/>
    </row>
    <row r="6" customFormat="false" ht="19.5" hidden="false" customHeight="true" outlineLevel="0" collapsed="false">
      <c r="B6" s="156" t="s">
        <v>548</v>
      </c>
      <c r="C6" s="156"/>
      <c r="D6" s="156"/>
      <c r="E6" s="156"/>
      <c r="F6" s="156"/>
      <c r="G6" s="156"/>
      <c r="H6" s="156"/>
    </row>
    <row r="7" customFormat="false" ht="30" hidden="false" customHeight="true" outlineLevel="0" collapsed="false">
      <c r="B7" s="157" t="s">
        <v>519</v>
      </c>
      <c r="C7" s="157" t="s">
        <v>549</v>
      </c>
      <c r="D7" s="157" t="s">
        <v>550</v>
      </c>
      <c r="E7" s="157" t="s">
        <v>551</v>
      </c>
      <c r="F7" s="157" t="s">
        <v>140</v>
      </c>
      <c r="G7" s="157" t="s">
        <v>552</v>
      </c>
      <c r="H7" s="157" t="s">
        <v>553</v>
      </c>
    </row>
    <row r="8" customFormat="false" ht="15" hidden="false" customHeight="false" outlineLevel="0" collapsed="false">
      <c r="B8" s="164" t="s">
        <v>554</v>
      </c>
      <c r="C8" s="165" t="s">
        <v>364</v>
      </c>
      <c r="D8" s="166" t="s">
        <v>91</v>
      </c>
      <c r="E8" s="159" t="s">
        <v>555</v>
      </c>
      <c r="F8" s="158" t="n">
        <v>1</v>
      </c>
      <c r="G8" s="167" t="s">
        <v>556</v>
      </c>
      <c r="H8" s="168" t="str">
        <f aca="false">VARIABLES!$B8&amp;"|"&amp;VARIABLES!$E8</f>
        <v>F01|Persona física</v>
      </c>
    </row>
    <row r="9" customFormat="false" ht="15" hidden="false" customHeight="false" outlineLevel="0" collapsed="false">
      <c r="B9" s="164" t="s">
        <v>554</v>
      </c>
      <c r="C9" s="165" t="s">
        <v>364</v>
      </c>
      <c r="D9" s="166" t="s">
        <v>91</v>
      </c>
      <c r="E9" s="159" t="s">
        <v>557</v>
      </c>
      <c r="F9" s="158" t="n">
        <v>3</v>
      </c>
      <c r="G9" s="167" t="s">
        <v>556</v>
      </c>
      <c r="H9" s="168" t="str">
        <f aca="false">VARIABLES!$B9&amp;"|"&amp;VARIABLES!$E9</f>
        <v>F01|Persona moral con fines de lucro (sociedad mercantil)</v>
      </c>
    </row>
    <row r="10" customFormat="false" ht="15" hidden="false" customHeight="false" outlineLevel="0" collapsed="false">
      <c r="B10" s="164" t="s">
        <v>554</v>
      </c>
      <c r="C10" s="165" t="s">
        <v>364</v>
      </c>
      <c r="D10" s="166" t="s">
        <v>91</v>
      </c>
      <c r="E10" s="159" t="s">
        <v>558</v>
      </c>
      <c r="F10" s="158" t="n">
        <v>3</v>
      </c>
      <c r="G10" s="167" t="s">
        <v>556</v>
      </c>
      <c r="H10" s="168" t="str">
        <f aca="false">VARIABLES!$B10&amp;"|"&amp;VARIABLES!$E10</f>
        <v>F01|Persona moral sin fines de lucro (asociación o sociedad civil)</v>
      </c>
    </row>
    <row r="11" customFormat="false" ht="15" hidden="false" customHeight="false" outlineLevel="0" collapsed="false">
      <c r="B11" s="164" t="s">
        <v>554</v>
      </c>
      <c r="C11" s="165" t="s">
        <v>364</v>
      </c>
      <c r="D11" s="166" t="s">
        <v>91</v>
      </c>
      <c r="E11" s="159" t="s">
        <v>559</v>
      </c>
      <c r="F11" s="158" t="n">
        <v>5</v>
      </c>
      <c r="G11" s="167" t="s">
        <v>556</v>
      </c>
      <c r="H11" s="168" t="str">
        <f aca="false">VARIABLES!$B11&amp;"|"&amp;VARIABLES!$E11</f>
        <v>F01|Fideicomiso</v>
      </c>
    </row>
    <row r="12" customFormat="false" ht="15" hidden="false" customHeight="false" outlineLevel="0" collapsed="false">
      <c r="B12" s="164" t="s">
        <v>554</v>
      </c>
      <c r="C12" s="165" t="s">
        <v>364</v>
      </c>
      <c r="D12" s="166" t="s">
        <v>91</v>
      </c>
      <c r="E12" s="159" t="s">
        <v>560</v>
      </c>
      <c r="F12" s="158" t="n">
        <v>5</v>
      </c>
      <c r="G12" s="167" t="s">
        <v>556</v>
      </c>
      <c r="H12" s="168" t="str">
        <f aca="false">VARIABLES!$B12&amp;"|"&amp;VARIABLES!$E12</f>
        <v>F01|Otra figura o vehículo sin personalidad jurídica propia</v>
      </c>
    </row>
    <row r="13" customFormat="false" ht="15" hidden="false" customHeight="false" outlineLevel="0" collapsed="false">
      <c r="B13" s="164" t="s">
        <v>554</v>
      </c>
      <c r="C13" s="165" t="s">
        <v>364</v>
      </c>
      <c r="D13" s="166" t="s">
        <v>91</v>
      </c>
      <c r="E13" s="159" t="s">
        <v>561</v>
      </c>
      <c r="F13" s="158" t="n">
        <v>5</v>
      </c>
      <c r="G13" s="167" t="s">
        <v>556</v>
      </c>
      <c r="H13" s="168" t="str">
        <f aca="false">VARIABLES!$B13&amp;"|"&amp;VARIABLES!$E13</f>
        <v>F01|No determinado</v>
      </c>
    </row>
    <row r="14" customFormat="false" ht="15" hidden="false" customHeight="false" outlineLevel="0" collapsed="false">
      <c r="B14" s="164" t="s">
        <v>562</v>
      </c>
      <c r="C14" s="165" t="s">
        <v>364</v>
      </c>
      <c r="D14" s="166" t="s">
        <v>563</v>
      </c>
      <c r="E14" s="159" t="s">
        <v>564</v>
      </c>
      <c r="F14" s="158" t="n">
        <v>1</v>
      </c>
      <c r="G14" s="167" t="s">
        <v>565</v>
      </c>
      <c r="H14" s="168" t="str">
        <f aca="false">VARIABLES!$B14&amp;"|"&amp;VARIABLES!$E14</f>
        <v>F02|Persona física de 23 a 59 años</v>
      </c>
    </row>
    <row r="15" customFormat="false" ht="15" hidden="false" customHeight="false" outlineLevel="0" collapsed="false">
      <c r="B15" s="164" t="s">
        <v>562</v>
      </c>
      <c r="C15" s="165" t="s">
        <v>364</v>
      </c>
      <c r="D15" s="166" t="s">
        <v>563</v>
      </c>
      <c r="E15" s="159" t="s">
        <v>566</v>
      </c>
      <c r="F15" s="158" t="n">
        <v>1</v>
      </c>
      <c r="G15" s="167" t="s">
        <v>565</v>
      </c>
      <c r="H15" s="168" t="str">
        <f aca="false">VARIABLES!$B15&amp;"|"&amp;VARIABLES!$E15</f>
        <v>F02|Persona física mayor de 60 años</v>
      </c>
    </row>
    <row r="16" customFormat="false" ht="15" hidden="false" customHeight="false" outlineLevel="0" collapsed="false">
      <c r="B16" s="164" t="s">
        <v>562</v>
      </c>
      <c r="C16" s="165" t="s">
        <v>364</v>
      </c>
      <c r="D16" s="166" t="s">
        <v>563</v>
      </c>
      <c r="E16" s="159" t="s">
        <v>567</v>
      </c>
      <c r="F16" s="158" t="n">
        <v>3</v>
      </c>
      <c r="G16" s="167" t="s">
        <v>565</v>
      </c>
      <c r="H16" s="168" t="str">
        <f aca="false">VARIABLES!$B16&amp;"|"&amp;VARIABLES!$E16</f>
        <v>F02|Persona física menor de 23 años</v>
      </c>
    </row>
    <row r="17" customFormat="false" ht="15" hidden="false" customHeight="false" outlineLevel="0" collapsed="false">
      <c r="B17" s="164" t="s">
        <v>562</v>
      </c>
      <c r="C17" s="165" t="s">
        <v>364</v>
      </c>
      <c r="D17" s="166" t="s">
        <v>563</v>
      </c>
      <c r="E17" s="159" t="s">
        <v>568</v>
      </c>
      <c r="F17" s="158" t="n">
        <v>1</v>
      </c>
      <c r="G17" s="167" t="s">
        <v>565</v>
      </c>
      <c r="H17" s="168" t="str">
        <f aca="false">VARIABLES!$B17&amp;"|"&amp;VARIABLES!$E17</f>
        <v>F02|Persona moral constituida hace más de 5 años</v>
      </c>
    </row>
    <row r="18" customFormat="false" ht="15" hidden="false" customHeight="false" outlineLevel="0" collapsed="false">
      <c r="B18" s="164" t="s">
        <v>562</v>
      </c>
      <c r="C18" s="165" t="s">
        <v>364</v>
      </c>
      <c r="D18" s="166" t="s">
        <v>563</v>
      </c>
      <c r="E18" s="159" t="s">
        <v>569</v>
      </c>
      <c r="F18" s="158" t="n">
        <v>3</v>
      </c>
      <c r="G18" s="167" t="s">
        <v>565</v>
      </c>
      <c r="H18" s="168" t="str">
        <f aca="false">VARIABLES!$B18&amp;"|"&amp;VARIABLES!$E18</f>
        <v>F02|Persona moral constituida hace 2 a 5 años</v>
      </c>
    </row>
    <row r="19" customFormat="false" ht="15" hidden="false" customHeight="false" outlineLevel="0" collapsed="false">
      <c r="B19" s="164" t="s">
        <v>562</v>
      </c>
      <c r="C19" s="165" t="s">
        <v>364</v>
      </c>
      <c r="D19" s="166" t="s">
        <v>563</v>
      </c>
      <c r="E19" s="159" t="s">
        <v>570</v>
      </c>
      <c r="F19" s="158" t="n">
        <v>5</v>
      </c>
      <c r="G19" s="167" t="s">
        <v>565</v>
      </c>
      <c r="H19" s="168" t="str">
        <f aca="false">VARIABLES!$B19&amp;"|"&amp;VARIABLES!$E19</f>
        <v>F02|Persona moral constituida hace menos de 2 años</v>
      </c>
    </row>
    <row r="20" customFormat="false" ht="15" hidden="false" customHeight="false" outlineLevel="0" collapsed="false">
      <c r="B20" s="164" t="s">
        <v>562</v>
      </c>
      <c r="C20" s="165" t="s">
        <v>364</v>
      </c>
      <c r="D20" s="166" t="s">
        <v>563</v>
      </c>
      <c r="E20" s="159" t="s">
        <v>561</v>
      </c>
      <c r="F20" s="158" t="n">
        <v>5</v>
      </c>
      <c r="G20" s="167" t="s">
        <v>565</v>
      </c>
      <c r="H20" s="168" t="str">
        <f aca="false">VARIABLES!$B20&amp;"|"&amp;VARIABLES!$E20</f>
        <v>F02|No determinado</v>
      </c>
    </row>
    <row r="21" customFormat="false" ht="15" hidden="false" customHeight="false" outlineLevel="0" collapsed="false">
      <c r="B21" s="164" t="s">
        <v>571</v>
      </c>
      <c r="C21" s="165" t="s">
        <v>364</v>
      </c>
      <c r="D21" s="166" t="s">
        <v>572</v>
      </c>
      <c r="E21" s="159" t="s">
        <v>573</v>
      </c>
      <c r="F21" s="158" t="n">
        <v>1</v>
      </c>
      <c r="G21" s="167" t="s">
        <v>574</v>
      </c>
      <c r="H21" s="168" t="str">
        <f aca="false">VARIABLES!$B21&amp;"|"&amp;VARIABLES!$E21</f>
        <v>F03|Empleo asalariado o pensionado</v>
      </c>
    </row>
    <row r="22" customFormat="false" ht="15" hidden="false" customHeight="false" outlineLevel="0" collapsed="false">
      <c r="B22" s="164" t="s">
        <v>571</v>
      </c>
      <c r="C22" s="165" t="s">
        <v>364</v>
      </c>
      <c r="D22" s="166" t="s">
        <v>572</v>
      </c>
      <c r="E22" s="159" t="s">
        <v>575</v>
      </c>
      <c r="F22" s="158" t="n">
        <v>1</v>
      </c>
      <c r="G22" s="167" t="s">
        <v>574</v>
      </c>
      <c r="H22" s="168" t="str">
        <f aca="false">VARIABLES!$B22&amp;"|"&amp;VARIABLES!$E22</f>
        <v>F03|Comercio al menudeo formal</v>
      </c>
    </row>
    <row r="23" customFormat="false" ht="15" hidden="false" customHeight="false" outlineLevel="0" collapsed="false">
      <c r="B23" s="164" t="s">
        <v>571</v>
      </c>
      <c r="C23" s="165" t="s">
        <v>364</v>
      </c>
      <c r="D23" s="166" t="s">
        <v>572</v>
      </c>
      <c r="E23" s="159" t="s">
        <v>576</v>
      </c>
      <c r="F23" s="158" t="n">
        <v>3</v>
      </c>
      <c r="G23" s="167" t="s">
        <v>574</v>
      </c>
      <c r="H23" s="168" t="str">
        <f aca="false">VARIABLES!$B23&amp;"|"&amp;VARIABLES!$E23</f>
        <v>F03|Servicios profesionales</v>
      </c>
    </row>
    <row r="24" customFormat="false" ht="15" hidden="false" customHeight="false" outlineLevel="0" collapsed="false">
      <c r="B24" s="164" t="s">
        <v>571</v>
      </c>
      <c r="C24" s="165" t="s">
        <v>364</v>
      </c>
      <c r="D24" s="166" t="s">
        <v>572</v>
      </c>
      <c r="E24" s="159" t="s">
        <v>577</v>
      </c>
      <c r="F24" s="158" t="n">
        <v>3</v>
      </c>
      <c r="G24" s="167" t="s">
        <v>574</v>
      </c>
      <c r="H24" s="168" t="str">
        <f aca="false">VARIABLES!$B24&amp;"|"&amp;VARIABLES!$E24</f>
        <v>F03|Construcción o desarrollo inmobiliario</v>
      </c>
    </row>
    <row r="25" customFormat="false" ht="15" hidden="false" customHeight="false" outlineLevel="0" collapsed="false">
      <c r="B25" s="164" t="s">
        <v>571</v>
      </c>
      <c r="C25" s="165" t="s">
        <v>364</v>
      </c>
      <c r="D25" s="166" t="s">
        <v>572</v>
      </c>
      <c r="E25" s="159" t="s">
        <v>578</v>
      </c>
      <c r="F25" s="158" t="n">
        <v>5</v>
      </c>
      <c r="G25" s="167" t="s">
        <v>574</v>
      </c>
      <c r="H25" s="168" t="str">
        <f aca="false">VARIABLES!$B25&amp;"|"&amp;VARIABLES!$E25</f>
        <v>F03|Otra Actividad Vulnerable del artículo 17</v>
      </c>
    </row>
    <row r="26" customFormat="false" ht="15" hidden="false" customHeight="false" outlineLevel="0" collapsed="false">
      <c r="B26" s="164" t="s">
        <v>571</v>
      </c>
      <c r="C26" s="165" t="s">
        <v>364</v>
      </c>
      <c r="D26" s="166" t="s">
        <v>572</v>
      </c>
      <c r="E26" s="159" t="s">
        <v>579</v>
      </c>
      <c r="F26" s="158" t="n">
        <v>5</v>
      </c>
      <c r="G26" s="167" t="s">
        <v>574</v>
      </c>
      <c r="H26" s="168" t="str">
        <f aca="false">VARIABLES!$B26&amp;"|"&amp;VARIABLES!$E26</f>
        <v>F03|Comercio de metales, joyería o arte</v>
      </c>
    </row>
    <row r="27" customFormat="false" ht="15" hidden="false" customHeight="false" outlineLevel="0" collapsed="false">
      <c r="B27" s="164" t="s">
        <v>571</v>
      </c>
      <c r="C27" s="165" t="s">
        <v>364</v>
      </c>
      <c r="D27" s="166" t="s">
        <v>572</v>
      </c>
      <c r="E27" s="159" t="s">
        <v>580</v>
      </c>
      <c r="F27" s="158" t="n">
        <v>5</v>
      </c>
      <c r="G27" s="167" t="s">
        <v>574</v>
      </c>
      <c r="H27" s="168" t="str">
        <f aca="false">VARIABLES!$B27&amp;"|"&amp;VARIABLES!$E27</f>
        <v>F03|Fedatario público, abogado o contador</v>
      </c>
    </row>
    <row r="28" customFormat="false" ht="15" hidden="false" customHeight="false" outlineLevel="0" collapsed="false">
      <c r="B28" s="164" t="s">
        <v>571</v>
      </c>
      <c r="C28" s="165" t="s">
        <v>364</v>
      </c>
      <c r="D28" s="166" t="s">
        <v>572</v>
      </c>
      <c r="E28" s="159" t="s">
        <v>581</v>
      </c>
      <c r="F28" s="158" t="n">
        <v>5</v>
      </c>
      <c r="G28" s="167" t="s">
        <v>574</v>
      </c>
      <c r="H28" s="168" t="str">
        <f aca="false">VARIABLES!$B28&amp;"|"&amp;VARIABLES!$E28</f>
        <v>F03|Actividad no acreditada o no determinada</v>
      </c>
    </row>
    <row r="29" customFormat="false" ht="15" hidden="false" customHeight="false" outlineLevel="0" collapsed="false">
      <c r="B29" s="164" t="s">
        <v>582</v>
      </c>
      <c r="C29" s="165" t="s">
        <v>364</v>
      </c>
      <c r="D29" s="166" t="s">
        <v>583</v>
      </c>
      <c r="E29" s="159" t="s">
        <v>584</v>
      </c>
      <c r="F29" s="158" t="n">
        <v>1</v>
      </c>
      <c r="G29" s="167" t="s">
        <v>585</v>
      </c>
      <c r="H29" s="168" t="str">
        <f aca="false">VARIABLES!$B29&amp;"|"&amp;VARIABLES!$E29</f>
        <v>F04|Mexicana</v>
      </c>
    </row>
    <row r="30" customFormat="false" ht="15" hidden="false" customHeight="false" outlineLevel="0" collapsed="false">
      <c r="B30" s="164" t="s">
        <v>582</v>
      </c>
      <c r="C30" s="165" t="s">
        <v>364</v>
      </c>
      <c r="D30" s="166" t="s">
        <v>583</v>
      </c>
      <c r="E30" s="159" t="s">
        <v>586</v>
      </c>
      <c r="F30" s="158" t="n">
        <v>3</v>
      </c>
      <c r="G30" s="167" t="s">
        <v>585</v>
      </c>
      <c r="H30" s="168" t="str">
        <f aca="false">VARIABLES!$B30&amp;"|"&amp;VARIABLES!$E30</f>
        <v>F04|Extranjera de país sin señalamiento</v>
      </c>
    </row>
    <row r="31" customFormat="false" ht="15" hidden="false" customHeight="false" outlineLevel="0" collapsed="false">
      <c r="B31" s="164" t="s">
        <v>582</v>
      </c>
      <c r="C31" s="165" t="s">
        <v>364</v>
      </c>
      <c r="D31" s="166" t="s">
        <v>583</v>
      </c>
      <c r="E31" s="159" t="s">
        <v>587</v>
      </c>
      <c r="F31" s="158" t="n">
        <v>5</v>
      </c>
      <c r="G31" s="167" t="s">
        <v>585</v>
      </c>
      <c r="H31" s="168" t="str">
        <f aca="false">VARIABLES!$B31&amp;"|"&amp;VARIABLES!$E31</f>
        <v>F04|Extranjera de país o jurisdicción señalada por la UIF</v>
      </c>
    </row>
    <row r="32" customFormat="false" ht="15" hidden="false" customHeight="false" outlineLevel="0" collapsed="false">
      <c r="B32" s="164" t="s">
        <v>582</v>
      </c>
      <c r="C32" s="165" t="s">
        <v>364</v>
      </c>
      <c r="D32" s="166" t="s">
        <v>583</v>
      </c>
      <c r="E32" s="159" t="s">
        <v>588</v>
      </c>
      <c r="F32" s="158" t="n">
        <v>5</v>
      </c>
      <c r="G32" s="167" t="s">
        <v>585</v>
      </c>
      <c r="H32" s="168" t="str">
        <f aca="false">VARIABLES!$B32&amp;"|"&amp;VARIABLES!$E32</f>
        <v>F04|No determinada</v>
      </c>
    </row>
    <row r="33" customFormat="false" ht="15" hidden="false" customHeight="false" outlineLevel="0" collapsed="false">
      <c r="B33" s="164" t="s">
        <v>589</v>
      </c>
      <c r="C33" s="165" t="s">
        <v>364</v>
      </c>
      <c r="D33" s="166" t="s">
        <v>590</v>
      </c>
      <c r="E33" s="159" t="s">
        <v>591</v>
      </c>
      <c r="F33" s="158" t="n">
        <v>1</v>
      </c>
      <c r="G33" s="167" t="s">
        <v>592</v>
      </c>
      <c r="H33" s="168" t="str">
        <f aca="false">VARIABLES!$B33&amp;"|"&amp;VARIABLES!$E33</f>
        <v>F05|Residente en México, entidad federativa sin señalamiento</v>
      </c>
    </row>
    <row r="34" customFormat="false" ht="15" hidden="false" customHeight="false" outlineLevel="0" collapsed="false">
      <c r="B34" s="164" t="s">
        <v>589</v>
      </c>
      <c r="C34" s="165" t="s">
        <v>364</v>
      </c>
      <c r="D34" s="166" t="s">
        <v>590</v>
      </c>
      <c r="E34" s="159" t="s">
        <v>593</v>
      </c>
      <c r="F34" s="158" t="n">
        <v>3</v>
      </c>
      <c r="G34" s="167" t="s">
        <v>592</v>
      </c>
      <c r="H34" s="168" t="str">
        <f aca="false">VARIABLES!$B34&amp;"|"&amp;VARIABLES!$E34</f>
        <v>F05|Residente en México, entidad federativa señalada en la ENR</v>
      </c>
    </row>
    <row r="35" customFormat="false" ht="15" hidden="false" customHeight="false" outlineLevel="0" collapsed="false">
      <c r="B35" s="164" t="s">
        <v>589</v>
      </c>
      <c r="C35" s="165" t="s">
        <v>364</v>
      </c>
      <c r="D35" s="166" t="s">
        <v>590</v>
      </c>
      <c r="E35" s="159" t="s">
        <v>594</v>
      </c>
      <c r="F35" s="158" t="n">
        <v>3</v>
      </c>
      <c r="G35" s="167" t="s">
        <v>592</v>
      </c>
      <c r="H35" s="168" t="str">
        <f aca="false">VARIABLES!$B35&amp;"|"&amp;VARIABLES!$E35</f>
        <v>F05|Residente en el extranjero, país sin señalamiento</v>
      </c>
    </row>
    <row r="36" customFormat="false" ht="15" hidden="false" customHeight="false" outlineLevel="0" collapsed="false">
      <c r="B36" s="164" t="s">
        <v>589</v>
      </c>
      <c r="C36" s="165" t="s">
        <v>364</v>
      </c>
      <c r="D36" s="166" t="s">
        <v>590</v>
      </c>
      <c r="E36" s="159" t="s">
        <v>595</v>
      </c>
      <c r="F36" s="158" t="n">
        <v>5</v>
      </c>
      <c r="G36" s="167" t="s">
        <v>592</v>
      </c>
      <c r="H36" s="168" t="str">
        <f aca="false">VARIABLES!$B36&amp;"|"&amp;VARIABLES!$E36</f>
        <v>F05|Residente en el extranjero, jurisdicción de régimen fiscal preferente o deficiente</v>
      </c>
    </row>
    <row r="37" customFormat="false" ht="15" hidden="false" customHeight="false" outlineLevel="0" collapsed="false">
      <c r="B37" s="164" t="s">
        <v>589</v>
      </c>
      <c r="C37" s="165" t="s">
        <v>364</v>
      </c>
      <c r="D37" s="166" t="s">
        <v>590</v>
      </c>
      <c r="E37" s="159" t="s">
        <v>561</v>
      </c>
      <c r="F37" s="158" t="n">
        <v>5</v>
      </c>
      <c r="G37" s="167" t="s">
        <v>592</v>
      </c>
      <c r="H37" s="168" t="str">
        <f aca="false">VARIABLES!$B37&amp;"|"&amp;VARIABLES!$E37</f>
        <v>F05|No determinado</v>
      </c>
    </row>
    <row r="38" customFormat="false" ht="15" hidden="false" customHeight="false" outlineLevel="0" collapsed="false">
      <c r="B38" s="164" t="s">
        <v>596</v>
      </c>
      <c r="C38" s="165" t="s">
        <v>364</v>
      </c>
      <c r="D38" s="166" t="s">
        <v>102</v>
      </c>
      <c r="E38" s="159" t="s">
        <v>597</v>
      </c>
      <c r="F38" s="158" t="n">
        <v>1</v>
      </c>
      <c r="G38" s="167" t="s">
        <v>598</v>
      </c>
      <c r="H38" s="168" t="str">
        <f aca="false">VARIABLES!$B38&amp;"|"&amp;VARIABLES!$E38</f>
        <v>F06|No es Persona Políticamente Expuesta</v>
      </c>
    </row>
    <row r="39" customFormat="false" ht="15" hidden="false" customHeight="false" outlineLevel="0" collapsed="false">
      <c r="B39" s="164" t="s">
        <v>596</v>
      </c>
      <c r="C39" s="165" t="s">
        <v>364</v>
      </c>
      <c r="D39" s="166" t="s">
        <v>102</v>
      </c>
      <c r="E39" s="159" t="s">
        <v>599</v>
      </c>
      <c r="F39" s="158" t="n">
        <v>3</v>
      </c>
      <c r="G39" s="167" t="s">
        <v>598</v>
      </c>
      <c r="H39" s="168" t="str">
        <f aca="false">VARIABLES!$B39&amp;"|"&amp;VARIABLES!$E39</f>
        <v>F06|PEP nacional, comportamiento congruente con ingresos y funciones</v>
      </c>
    </row>
    <row r="40" customFormat="false" ht="15" hidden="false" customHeight="false" outlineLevel="0" collapsed="false">
      <c r="B40" s="164" t="s">
        <v>596</v>
      </c>
      <c r="C40" s="165" t="s">
        <v>364</v>
      </c>
      <c r="D40" s="166" t="s">
        <v>102</v>
      </c>
      <c r="E40" s="159" t="s">
        <v>600</v>
      </c>
      <c r="F40" s="158" t="n">
        <v>5</v>
      </c>
      <c r="G40" s="167" t="s">
        <v>598</v>
      </c>
      <c r="H40" s="168" t="str">
        <f aca="false">VARIABLES!$B40&amp;"|"&amp;VARIABLES!$E40</f>
        <v>F06|PEP nacional, comportamiento no congruente o no verificado</v>
      </c>
    </row>
    <row r="41" customFormat="false" ht="15" hidden="false" customHeight="false" outlineLevel="0" collapsed="false">
      <c r="B41" s="164" t="s">
        <v>596</v>
      </c>
      <c r="C41" s="165" t="s">
        <v>364</v>
      </c>
      <c r="D41" s="166" t="s">
        <v>102</v>
      </c>
      <c r="E41" s="159" t="s">
        <v>601</v>
      </c>
      <c r="F41" s="158" t="n">
        <v>5</v>
      </c>
      <c r="G41" s="167" t="s">
        <v>598</v>
      </c>
      <c r="H41" s="168" t="str">
        <f aca="false">VARIABLES!$B41&amp;"|"&amp;VARIABLES!$E41</f>
        <v>F06|PEP extranjera</v>
      </c>
    </row>
    <row r="42" customFormat="false" ht="15" hidden="false" customHeight="false" outlineLevel="0" collapsed="false">
      <c r="B42" s="164" t="s">
        <v>596</v>
      </c>
      <c r="C42" s="165" t="s">
        <v>364</v>
      </c>
      <c r="D42" s="166" t="s">
        <v>102</v>
      </c>
      <c r="E42" s="159" t="s">
        <v>602</v>
      </c>
      <c r="F42" s="158" t="n">
        <v>3</v>
      </c>
      <c r="G42" s="167" t="s">
        <v>598</v>
      </c>
      <c r="H42" s="168" t="str">
        <f aca="false">VARIABLES!$B42&amp;"|"&amp;VARIABLES!$E42</f>
        <v>F06|Familiar o allegado de PEP</v>
      </c>
    </row>
    <row r="43" customFormat="false" ht="15" hidden="false" customHeight="false" outlineLevel="0" collapsed="false">
      <c r="B43" s="164" t="s">
        <v>596</v>
      </c>
      <c r="C43" s="165" t="s">
        <v>364</v>
      </c>
      <c r="D43" s="166" t="s">
        <v>102</v>
      </c>
      <c r="E43" s="159" t="s">
        <v>561</v>
      </c>
      <c r="F43" s="158" t="n">
        <v>5</v>
      </c>
      <c r="G43" s="167" t="s">
        <v>598</v>
      </c>
      <c r="H43" s="168" t="str">
        <f aca="false">VARIABLES!$B43&amp;"|"&amp;VARIABLES!$E43</f>
        <v>F06|No determinado</v>
      </c>
    </row>
    <row r="44" customFormat="false" ht="15" hidden="false" customHeight="false" outlineLevel="0" collapsed="false">
      <c r="B44" s="164" t="s">
        <v>603</v>
      </c>
      <c r="C44" s="165" t="s">
        <v>364</v>
      </c>
      <c r="D44" s="166" t="s">
        <v>604</v>
      </c>
      <c r="E44" s="159" t="s">
        <v>605</v>
      </c>
      <c r="F44" s="158" t="n">
        <v>1</v>
      </c>
      <c r="G44" s="167" t="s">
        <v>606</v>
      </c>
      <c r="H44" s="168" t="str">
        <f aca="false">VARIABLES!$B44&amp;"|"&amp;VARIABLES!$E44</f>
        <v>F07|Sin coincidencia, búsqueda documentada en la operación</v>
      </c>
    </row>
    <row r="45" customFormat="false" ht="15" hidden="false" customHeight="false" outlineLevel="0" collapsed="false">
      <c r="B45" s="164" t="s">
        <v>603</v>
      </c>
      <c r="C45" s="165" t="s">
        <v>364</v>
      </c>
      <c r="D45" s="166" t="s">
        <v>604</v>
      </c>
      <c r="E45" s="159" t="s">
        <v>607</v>
      </c>
      <c r="F45" s="158" t="n">
        <v>3</v>
      </c>
      <c r="G45" s="167" t="s">
        <v>606</v>
      </c>
      <c r="H45" s="168" t="str">
        <f aca="false">VARIABLES!$B45&amp;"|"&amp;VARIABLES!$E45</f>
        <v>F07|Coincidencia descartada con constancia (homonimia acreditada)</v>
      </c>
    </row>
    <row r="46" customFormat="false" ht="15" hidden="false" customHeight="false" outlineLevel="0" collapsed="false">
      <c r="B46" s="164" t="s">
        <v>603</v>
      </c>
      <c r="C46" s="165" t="s">
        <v>364</v>
      </c>
      <c r="D46" s="166" t="s">
        <v>604</v>
      </c>
      <c r="E46" s="159" t="s">
        <v>608</v>
      </c>
      <c r="F46" s="158" t="n">
        <v>5</v>
      </c>
      <c r="G46" s="167" t="s">
        <v>606</v>
      </c>
      <c r="H46" s="168" t="str">
        <f aca="false">VARIABLES!$B46&amp;"|"&amp;VARIABLES!$E46</f>
        <v>F07|Coincidencia positiva en lista de personas bloqueadas o de sanciones</v>
      </c>
    </row>
    <row r="47" customFormat="false" ht="15" hidden="false" customHeight="false" outlineLevel="0" collapsed="false">
      <c r="B47" s="164" t="s">
        <v>603</v>
      </c>
      <c r="C47" s="165" t="s">
        <v>364</v>
      </c>
      <c r="D47" s="166" t="s">
        <v>604</v>
      </c>
      <c r="E47" s="159" t="s">
        <v>609</v>
      </c>
      <c r="F47" s="158" t="n">
        <v>5</v>
      </c>
      <c r="G47" s="167" t="s">
        <v>606</v>
      </c>
      <c r="H47" s="168" t="str">
        <f aca="false">VARIABLES!$B47&amp;"|"&amp;VARIABLES!$E47</f>
        <v>F07|Búsqueda no realizada o sin constancia</v>
      </c>
    </row>
    <row r="48" customFormat="false" ht="15" hidden="false" customHeight="false" outlineLevel="0" collapsed="false">
      <c r="B48" s="164" t="s">
        <v>610</v>
      </c>
      <c r="C48" s="165" t="s">
        <v>364</v>
      </c>
      <c r="D48" s="166" t="s">
        <v>611</v>
      </c>
      <c r="E48" s="159" t="s">
        <v>612</v>
      </c>
      <c r="F48" s="158" t="n">
        <v>1</v>
      </c>
      <c r="G48" s="167" t="s">
        <v>613</v>
      </c>
      <c r="H48" s="168" t="str">
        <f aca="false">VARIABLES!$B48&amp;"|"&amp;VARIABLES!$E48</f>
        <v>F08|Sin cadena de control: el Cliente es su propio Beneficiario Controlador</v>
      </c>
    </row>
    <row r="49" customFormat="false" ht="15" hidden="false" customHeight="false" outlineLevel="0" collapsed="false">
      <c r="B49" s="164" t="s">
        <v>610</v>
      </c>
      <c r="C49" s="165" t="s">
        <v>364</v>
      </c>
      <c r="D49" s="166" t="s">
        <v>611</v>
      </c>
      <c r="E49" s="159" t="s">
        <v>614</v>
      </c>
      <c r="F49" s="158" t="n">
        <v>1</v>
      </c>
      <c r="G49" s="167" t="s">
        <v>613</v>
      </c>
      <c r="H49" s="168" t="str">
        <f aca="false">VARIABLES!$B49&amp;"|"&amp;VARIABLES!$E49</f>
        <v>F08|Beneficiario Controlador identificado, cadena de un nivel</v>
      </c>
    </row>
    <row r="50" customFormat="false" ht="15" hidden="false" customHeight="false" outlineLevel="0" collapsed="false">
      <c r="B50" s="164" t="s">
        <v>610</v>
      </c>
      <c r="C50" s="165" t="s">
        <v>364</v>
      </c>
      <c r="D50" s="166" t="s">
        <v>611</v>
      </c>
      <c r="E50" s="159" t="s">
        <v>615</v>
      </c>
      <c r="F50" s="158" t="n">
        <v>3</v>
      </c>
      <c r="G50" s="167" t="s">
        <v>613</v>
      </c>
      <c r="H50" s="168" t="str">
        <f aca="false">VARIABLES!$B50&amp;"|"&amp;VARIABLES!$E50</f>
        <v>F08|Beneficiario Controlador identificado, cadena de dos o más niveles</v>
      </c>
    </row>
    <row r="51" customFormat="false" ht="15" hidden="false" customHeight="false" outlineLevel="0" collapsed="false">
      <c r="B51" s="164" t="s">
        <v>610</v>
      </c>
      <c r="C51" s="165" t="s">
        <v>364</v>
      </c>
      <c r="D51" s="166" t="s">
        <v>611</v>
      </c>
      <c r="E51" s="159" t="s">
        <v>616</v>
      </c>
      <c r="F51" s="158" t="n">
        <v>5</v>
      </c>
      <c r="G51" s="167" t="s">
        <v>613</v>
      </c>
      <c r="H51" s="168" t="str">
        <f aca="false">VARIABLES!$B51&amp;"|"&amp;VARIABLES!$E51</f>
        <v>F08|Se declara no tener conocimiento de Beneficiario Controlador</v>
      </c>
    </row>
    <row r="52" customFormat="false" ht="15" hidden="false" customHeight="false" outlineLevel="0" collapsed="false">
      <c r="B52" s="164" t="s">
        <v>610</v>
      </c>
      <c r="C52" s="165" t="s">
        <v>364</v>
      </c>
      <c r="D52" s="166" t="s">
        <v>611</v>
      </c>
      <c r="E52" s="159" t="s">
        <v>617</v>
      </c>
      <c r="F52" s="158" t="n">
        <v>5</v>
      </c>
      <c r="G52" s="167" t="s">
        <v>613</v>
      </c>
      <c r="H52" s="168" t="str">
        <f aca="false">VARIABLES!$B52&amp;"|"&amp;VARIABLES!$E52</f>
        <v>F08|Beneficiario Controlador no identificado o cadena no acreditable</v>
      </c>
    </row>
    <row r="53" customFormat="false" ht="15" hidden="false" customHeight="false" outlineLevel="0" collapsed="false">
      <c r="B53" s="164" t="s">
        <v>618</v>
      </c>
      <c r="C53" s="165" t="s">
        <v>364</v>
      </c>
      <c r="D53" s="166" t="s">
        <v>619</v>
      </c>
      <c r="E53" s="159" t="s">
        <v>620</v>
      </c>
      <c r="F53" s="158" t="n">
        <v>1</v>
      </c>
      <c r="G53" s="167" t="s">
        <v>621</v>
      </c>
      <c r="H53" s="168" t="str">
        <f aca="false">VARIABLES!$B53&amp;"|"&amp;VARIABLES!$E53</f>
        <v>F09|Sueldos o actividad empresarial acreditada documentalmente</v>
      </c>
    </row>
    <row r="54" customFormat="false" ht="15" hidden="false" customHeight="false" outlineLevel="0" collapsed="false">
      <c r="B54" s="164" t="s">
        <v>618</v>
      </c>
      <c r="C54" s="165" t="s">
        <v>364</v>
      </c>
      <c r="D54" s="166" t="s">
        <v>619</v>
      </c>
      <c r="E54" s="159" t="s">
        <v>622</v>
      </c>
      <c r="F54" s="158" t="n">
        <v>3</v>
      </c>
      <c r="G54" s="167" t="s">
        <v>621</v>
      </c>
      <c r="H54" s="168" t="str">
        <f aca="false">VARIABLES!$B54&amp;"|"&amp;VARIABLES!$E54</f>
        <v>F09|Ingresos acreditados parcialmente</v>
      </c>
    </row>
    <row r="55" customFormat="false" ht="15" hidden="false" customHeight="false" outlineLevel="0" collapsed="false">
      <c r="B55" s="164" t="s">
        <v>618</v>
      </c>
      <c r="C55" s="165" t="s">
        <v>364</v>
      </c>
      <c r="D55" s="166" t="s">
        <v>619</v>
      </c>
      <c r="E55" s="159" t="s">
        <v>623</v>
      </c>
      <c r="F55" s="158" t="n">
        <v>5</v>
      </c>
      <c r="G55" s="167" t="s">
        <v>621</v>
      </c>
      <c r="H55" s="168" t="str">
        <f aca="false">VARIABLES!$B55&amp;"|"&amp;VARIABLES!$E55</f>
        <v>F09|Ingresos declarados sin soporte documental</v>
      </c>
    </row>
    <row r="56" customFormat="false" ht="15" hidden="false" customHeight="false" outlineLevel="0" collapsed="false">
      <c r="B56" s="164" t="s">
        <v>618</v>
      </c>
      <c r="C56" s="165" t="s">
        <v>364</v>
      </c>
      <c r="D56" s="166" t="s">
        <v>619</v>
      </c>
      <c r="E56" s="159" t="s">
        <v>624</v>
      </c>
      <c r="F56" s="158" t="n">
        <v>5</v>
      </c>
      <c r="G56" s="167" t="s">
        <v>621</v>
      </c>
      <c r="H56" s="168" t="str">
        <f aca="false">VARIABLES!$B56&amp;"|"&amp;VARIABLES!$E56</f>
        <v>F09|Fuente de ingresos no manifestada</v>
      </c>
    </row>
    <row r="57" customFormat="false" ht="15" hidden="false" customHeight="false" outlineLevel="0" collapsed="false">
      <c r="B57" s="164" t="s">
        <v>625</v>
      </c>
      <c r="C57" s="165" t="s">
        <v>364</v>
      </c>
      <c r="D57" s="166" t="s">
        <v>626</v>
      </c>
      <c r="E57" s="159" t="s">
        <v>627</v>
      </c>
      <c r="F57" s="158" t="n">
        <v>1</v>
      </c>
      <c r="G57" s="167" t="s">
        <v>628</v>
      </c>
      <c r="H57" s="168" t="str">
        <f aca="false">VARIABLES!$B57&amp;"|"&amp;VARIABLES!$E57</f>
        <v>F10|Relación de Negocios de largo plazo, propósito claro y documentado</v>
      </c>
    </row>
    <row r="58" customFormat="false" ht="15" hidden="false" customHeight="false" outlineLevel="0" collapsed="false">
      <c r="B58" s="164" t="s">
        <v>625</v>
      </c>
      <c r="C58" s="165" t="s">
        <v>364</v>
      </c>
      <c r="D58" s="166" t="s">
        <v>626</v>
      </c>
      <c r="E58" s="159" t="s">
        <v>629</v>
      </c>
      <c r="F58" s="158" t="n">
        <v>3</v>
      </c>
      <c r="G58" s="167" t="s">
        <v>628</v>
      </c>
      <c r="H58" s="168" t="str">
        <f aca="false">VARIABLES!$B58&amp;"|"&amp;VARIABLES!$E58</f>
        <v>F10|Cliente ocasional, un solo acto u operación</v>
      </c>
    </row>
    <row r="59" customFormat="false" ht="15" hidden="false" customHeight="false" outlineLevel="0" collapsed="false">
      <c r="B59" s="164" t="s">
        <v>625</v>
      </c>
      <c r="C59" s="165" t="s">
        <v>364</v>
      </c>
      <c r="D59" s="166" t="s">
        <v>626</v>
      </c>
      <c r="E59" s="159" t="s">
        <v>630</v>
      </c>
      <c r="F59" s="158" t="n">
        <v>5</v>
      </c>
      <c r="G59" s="167" t="s">
        <v>628</v>
      </c>
      <c r="H59" s="168" t="str">
        <f aca="false">VARIABLES!$B59&amp;"|"&amp;VARIABLES!$E59</f>
        <v>F10|Propósito declarado que no corresponde con el perfil del Cliente</v>
      </c>
    </row>
    <row r="60" customFormat="false" ht="15" hidden="false" customHeight="false" outlineLevel="0" collapsed="false">
      <c r="B60" s="164" t="s">
        <v>625</v>
      </c>
      <c r="C60" s="165" t="s">
        <v>364</v>
      </c>
      <c r="D60" s="166" t="s">
        <v>626</v>
      </c>
      <c r="E60" s="159" t="s">
        <v>631</v>
      </c>
      <c r="F60" s="158" t="n">
        <v>5</v>
      </c>
      <c r="G60" s="167" t="s">
        <v>628</v>
      </c>
      <c r="H60" s="168" t="str">
        <f aca="false">VARIABLES!$B60&amp;"|"&amp;VARIABLES!$E60</f>
        <v>F10|Propósito no manifestado</v>
      </c>
    </row>
    <row r="61" customFormat="false" ht="15" hidden="false" customHeight="false" outlineLevel="0" collapsed="false">
      <c r="B61" s="164" t="s">
        <v>632</v>
      </c>
      <c r="C61" s="165" t="s">
        <v>633</v>
      </c>
      <c r="D61" s="166" t="s">
        <v>634</v>
      </c>
      <c r="E61" s="159" t="s">
        <v>635</v>
      </c>
      <c r="F61" s="158" t="n">
        <v>1</v>
      </c>
      <c r="G61" s="167" t="s">
        <v>636</v>
      </c>
      <c r="H61" s="168" t="str">
        <f aca="false">VARIABLES!$B61&amp;"|"&amp;VARIABLES!$E61</f>
        <v>F12|Por debajo del umbral de identificación</v>
      </c>
    </row>
    <row r="62" customFormat="false" ht="15" hidden="false" customHeight="false" outlineLevel="0" collapsed="false">
      <c r="B62" s="164" t="s">
        <v>632</v>
      </c>
      <c r="C62" s="165" t="s">
        <v>633</v>
      </c>
      <c r="D62" s="166" t="s">
        <v>634</v>
      </c>
      <c r="E62" s="159" t="s">
        <v>637</v>
      </c>
      <c r="F62" s="158" t="n">
        <v>3</v>
      </c>
      <c r="G62" s="167" t="s">
        <v>636</v>
      </c>
      <c r="H62" s="168" t="str">
        <f aca="false">VARIABLES!$B62&amp;"|"&amp;VARIABLES!$E62</f>
        <v>F12|Entre el umbral de identificación y el de aviso</v>
      </c>
    </row>
    <row r="63" customFormat="false" ht="15" hidden="false" customHeight="false" outlineLevel="0" collapsed="false">
      <c r="B63" s="164" t="s">
        <v>632</v>
      </c>
      <c r="C63" s="165" t="s">
        <v>633</v>
      </c>
      <c r="D63" s="166" t="s">
        <v>634</v>
      </c>
      <c r="E63" s="159" t="s">
        <v>638</v>
      </c>
      <c r="F63" s="158" t="n">
        <v>5</v>
      </c>
      <c r="G63" s="167" t="s">
        <v>636</v>
      </c>
      <c r="H63" s="168" t="str">
        <f aca="false">VARIABLES!$B63&amp;"|"&amp;VARIABLES!$E63</f>
        <v>F12|Igual o superior al umbral de aviso</v>
      </c>
    </row>
    <row r="64" customFormat="false" ht="15" hidden="false" customHeight="false" outlineLevel="0" collapsed="false">
      <c r="B64" s="164" t="s">
        <v>632</v>
      </c>
      <c r="C64" s="165" t="s">
        <v>633</v>
      </c>
      <c r="D64" s="166" t="s">
        <v>634</v>
      </c>
      <c r="E64" s="159" t="s">
        <v>639</v>
      </c>
      <c r="F64" s="158" t="n">
        <v>5</v>
      </c>
      <c r="G64" s="167" t="s">
        <v>636</v>
      </c>
      <c r="H64" s="168" t="str">
        <f aca="false">VARIABLES!$B64&amp;"|"&amp;VARIABLES!$E64</f>
        <v>F12|Por debajo del umbral pero con acumulación que lo alcanza</v>
      </c>
    </row>
    <row r="65" customFormat="false" ht="15" hidden="false" customHeight="false" outlineLevel="0" collapsed="false">
      <c r="B65" s="164" t="s">
        <v>632</v>
      </c>
      <c r="C65" s="165" t="s">
        <v>633</v>
      </c>
      <c r="D65" s="166" t="s">
        <v>634</v>
      </c>
      <c r="E65" s="159" t="s">
        <v>640</v>
      </c>
      <c r="F65" s="158" t="n">
        <v>5</v>
      </c>
      <c r="G65" s="167" t="s">
        <v>636</v>
      </c>
      <c r="H65" s="168" t="str">
        <f aca="false">VARIABLES!$B65&amp;"|"&amp;VARIABLES!$E65</f>
        <v>F12|Más del doble del umbral de aviso</v>
      </c>
    </row>
    <row r="66" customFormat="false" ht="15" hidden="false" customHeight="false" outlineLevel="0" collapsed="false">
      <c r="B66" s="164" t="s">
        <v>641</v>
      </c>
      <c r="C66" s="165" t="s">
        <v>633</v>
      </c>
      <c r="D66" s="166" t="s">
        <v>642</v>
      </c>
      <c r="E66" s="159" t="s">
        <v>643</v>
      </c>
      <c r="F66" s="158" t="n">
        <v>1</v>
      </c>
      <c r="G66" s="167" t="s">
        <v>644</v>
      </c>
      <c r="H66" s="168" t="str">
        <f aca="false">VARIABLES!$B66&amp;"|"&amp;VARIABLES!$E66</f>
        <v>F13|Una sola operación en el periodo</v>
      </c>
    </row>
    <row r="67" customFormat="false" ht="15" hidden="false" customHeight="false" outlineLevel="0" collapsed="false">
      <c r="B67" s="164" t="s">
        <v>641</v>
      </c>
      <c r="C67" s="165" t="s">
        <v>633</v>
      </c>
      <c r="D67" s="166" t="s">
        <v>642</v>
      </c>
      <c r="E67" s="159" t="s">
        <v>645</v>
      </c>
      <c r="F67" s="158" t="n">
        <v>3</v>
      </c>
      <c r="G67" s="167" t="s">
        <v>644</v>
      </c>
      <c r="H67" s="168" t="str">
        <f aca="false">VARIABLES!$B67&amp;"|"&amp;VARIABLES!$E67</f>
        <v>F13|De dos a cuatro operaciones al año</v>
      </c>
    </row>
    <row r="68" customFormat="false" ht="15" hidden="false" customHeight="false" outlineLevel="0" collapsed="false">
      <c r="B68" s="164" t="s">
        <v>641</v>
      </c>
      <c r="C68" s="165" t="s">
        <v>633</v>
      </c>
      <c r="D68" s="166" t="s">
        <v>642</v>
      </c>
      <c r="E68" s="159" t="s">
        <v>646</v>
      </c>
      <c r="F68" s="158" t="n">
        <v>5</v>
      </c>
      <c r="G68" s="167" t="s">
        <v>644</v>
      </c>
      <c r="H68" s="168" t="str">
        <f aca="false">VARIABLES!$B68&amp;"|"&amp;VARIABLES!$E68</f>
        <v>F13|Cinco o más operaciones al año</v>
      </c>
    </row>
    <row r="69" customFormat="false" ht="15" hidden="false" customHeight="false" outlineLevel="0" collapsed="false">
      <c r="B69" s="164" t="s">
        <v>641</v>
      </c>
      <c r="C69" s="165" t="s">
        <v>633</v>
      </c>
      <c r="D69" s="166" t="s">
        <v>642</v>
      </c>
      <c r="E69" s="159" t="s">
        <v>647</v>
      </c>
      <c r="F69" s="158" t="n">
        <v>5</v>
      </c>
      <c r="G69" s="167" t="s">
        <v>644</v>
      </c>
      <c r="H69" s="168" t="str">
        <f aca="false">VARIABLES!$B69&amp;"|"&amp;VARIABLES!$E69</f>
        <v>F13|Operaciones en intervalos cortos y regulares</v>
      </c>
    </row>
    <row r="70" customFormat="false" ht="15" hidden="false" customHeight="false" outlineLevel="0" collapsed="false">
      <c r="B70" s="164" t="s">
        <v>641</v>
      </c>
      <c r="C70" s="165" t="s">
        <v>633</v>
      </c>
      <c r="D70" s="166" t="s">
        <v>642</v>
      </c>
      <c r="E70" s="159" t="s">
        <v>561</v>
      </c>
      <c r="F70" s="158" t="n">
        <v>5</v>
      </c>
      <c r="G70" s="167" t="s">
        <v>644</v>
      </c>
      <c r="H70" s="168" t="str">
        <f aca="false">VARIABLES!$B70&amp;"|"&amp;VARIABLES!$E70</f>
        <v>F13|No determinado</v>
      </c>
    </row>
    <row r="71" customFormat="false" ht="15" hidden="false" customHeight="false" outlineLevel="0" collapsed="false">
      <c r="B71" s="164" t="s">
        <v>648</v>
      </c>
      <c r="C71" s="165" t="s">
        <v>633</v>
      </c>
      <c r="D71" s="166" t="s">
        <v>649</v>
      </c>
      <c r="E71" s="159" t="s">
        <v>650</v>
      </c>
      <c r="F71" s="158" t="n">
        <v>1</v>
      </c>
      <c r="G71" s="167" t="s">
        <v>651</v>
      </c>
      <c r="H71" s="168" t="str">
        <f aca="false">VARIABLES!$B71&amp;"|"&amp;VARIABLES!$E71</f>
        <v>F14|Una contraparte, el propio Cliente</v>
      </c>
    </row>
    <row r="72" customFormat="false" ht="15" hidden="false" customHeight="false" outlineLevel="0" collapsed="false">
      <c r="B72" s="164" t="s">
        <v>648</v>
      </c>
      <c r="C72" s="165" t="s">
        <v>633</v>
      </c>
      <c r="D72" s="166" t="s">
        <v>649</v>
      </c>
      <c r="E72" s="159" t="s">
        <v>652</v>
      </c>
      <c r="F72" s="158" t="n">
        <v>3</v>
      </c>
      <c r="G72" s="167" t="s">
        <v>651</v>
      </c>
      <c r="H72" s="168" t="str">
        <f aca="false">VARIABLES!$B72&amp;"|"&amp;VARIABLES!$E72</f>
        <v>F14|De dos a tres contrapartes</v>
      </c>
    </row>
    <row r="73" customFormat="false" ht="15" hidden="false" customHeight="false" outlineLevel="0" collapsed="false">
      <c r="B73" s="164" t="s">
        <v>648</v>
      </c>
      <c r="C73" s="165" t="s">
        <v>633</v>
      </c>
      <c r="D73" s="166" t="s">
        <v>649</v>
      </c>
      <c r="E73" s="159" t="s">
        <v>653</v>
      </c>
      <c r="F73" s="158" t="n">
        <v>5</v>
      </c>
      <c r="G73" s="167" t="s">
        <v>651</v>
      </c>
      <c r="H73" s="168" t="str">
        <f aca="false">VARIABLES!$B73&amp;"|"&amp;VARIABLES!$E73</f>
        <v>F14|Más de tres contrapartes</v>
      </c>
    </row>
    <row r="74" customFormat="false" ht="15" hidden="false" customHeight="false" outlineLevel="0" collapsed="false">
      <c r="B74" s="164" t="s">
        <v>648</v>
      </c>
      <c r="C74" s="165" t="s">
        <v>633</v>
      </c>
      <c r="D74" s="166" t="s">
        <v>649</v>
      </c>
      <c r="E74" s="159" t="s">
        <v>654</v>
      </c>
      <c r="F74" s="158" t="n">
        <v>5</v>
      </c>
      <c r="G74" s="167" t="s">
        <v>651</v>
      </c>
      <c r="H74" s="168" t="str">
        <f aca="false">VARIABLES!$B74&amp;"|"&amp;VARIABLES!$E74</f>
        <v>F14|Contrapartes no identificadas</v>
      </c>
    </row>
    <row r="75" customFormat="false" ht="15" hidden="false" customHeight="false" outlineLevel="0" collapsed="false">
      <c r="B75" s="164" t="s">
        <v>655</v>
      </c>
      <c r="C75" s="165" t="s">
        <v>633</v>
      </c>
      <c r="D75" s="166" t="s">
        <v>656</v>
      </c>
      <c r="E75" s="159" t="s">
        <v>657</v>
      </c>
      <c r="F75" s="158" t="n">
        <v>1</v>
      </c>
      <c r="G75" s="167" t="s">
        <v>658</v>
      </c>
      <c r="H75" s="168" t="str">
        <f aca="false">VARIABLES!$B75&amp;"|"&amp;VARIABLES!$E75</f>
        <v>F15|Transferencia electrónica desde cuenta a nombre del Cliente</v>
      </c>
    </row>
    <row r="76" customFormat="false" ht="15" hidden="false" customHeight="false" outlineLevel="0" collapsed="false">
      <c r="B76" s="164" t="s">
        <v>655</v>
      </c>
      <c r="C76" s="165" t="s">
        <v>633</v>
      </c>
      <c r="D76" s="166" t="s">
        <v>656</v>
      </c>
      <c r="E76" s="159" t="s">
        <v>659</v>
      </c>
      <c r="F76" s="158" t="n">
        <v>1</v>
      </c>
      <c r="G76" s="167" t="s">
        <v>658</v>
      </c>
      <c r="H76" s="168" t="str">
        <f aca="false">VARIABLES!$B76&amp;"|"&amp;VARIABLES!$E76</f>
        <v>F15|Cheque nominativo del Cliente</v>
      </c>
    </row>
    <row r="77" customFormat="false" ht="15" hidden="false" customHeight="false" outlineLevel="0" collapsed="false">
      <c r="B77" s="164" t="s">
        <v>655</v>
      </c>
      <c r="C77" s="165" t="s">
        <v>633</v>
      </c>
      <c r="D77" s="166" t="s">
        <v>656</v>
      </c>
      <c r="E77" s="159" t="s">
        <v>660</v>
      </c>
      <c r="F77" s="158" t="n">
        <v>3</v>
      </c>
      <c r="G77" s="167" t="s">
        <v>658</v>
      </c>
      <c r="H77" s="168" t="str">
        <f aca="false">VARIABLES!$B77&amp;"|"&amp;VARIABLES!$E77</f>
        <v>F15|Pago mixto con componente en efectivo</v>
      </c>
    </row>
    <row r="78" customFormat="false" ht="15" hidden="false" customHeight="false" outlineLevel="0" collapsed="false">
      <c r="B78" s="164" t="s">
        <v>655</v>
      </c>
      <c r="C78" s="165" t="s">
        <v>633</v>
      </c>
      <c r="D78" s="166" t="s">
        <v>656</v>
      </c>
      <c r="E78" s="159" t="s">
        <v>661</v>
      </c>
      <c r="F78" s="158" t="n">
        <v>5</v>
      </c>
      <c r="G78" s="167" t="s">
        <v>658</v>
      </c>
      <c r="H78" s="168" t="str">
        <f aca="false">VARIABLES!$B78&amp;"|"&amp;VARIABLES!$E78</f>
        <v>F15|Efectivo por encima del umbral interno</v>
      </c>
    </row>
    <row r="79" customFormat="false" ht="15" hidden="false" customHeight="false" outlineLevel="0" collapsed="false">
      <c r="B79" s="164" t="s">
        <v>655</v>
      </c>
      <c r="C79" s="165" t="s">
        <v>633</v>
      </c>
      <c r="D79" s="166" t="s">
        <v>656</v>
      </c>
      <c r="E79" s="159" t="s">
        <v>662</v>
      </c>
      <c r="F79" s="158" t="n">
        <v>5</v>
      </c>
      <c r="G79" s="167" t="s">
        <v>658</v>
      </c>
      <c r="H79" s="168" t="str">
        <f aca="false">VARIABLES!$B79&amp;"|"&amp;VARIABLES!$E79</f>
        <v>F15|Instrumento al portador (cheque al portador u orden de pago)</v>
      </c>
    </row>
    <row r="80" customFormat="false" ht="15" hidden="false" customHeight="false" outlineLevel="0" collapsed="false">
      <c r="B80" s="164" t="s">
        <v>655</v>
      </c>
      <c r="C80" s="165" t="s">
        <v>633</v>
      </c>
      <c r="D80" s="166" t="s">
        <v>656</v>
      </c>
      <c r="E80" s="159" t="s">
        <v>663</v>
      </c>
      <c r="F80" s="158" t="n">
        <v>5</v>
      </c>
      <c r="G80" s="167" t="s">
        <v>658</v>
      </c>
      <c r="H80" s="168" t="str">
        <f aca="false">VARIABLES!$B80&amp;"|"&amp;VARIABLES!$E80</f>
        <v>F15|Pago en especie o con bienes entregados como contraprestación</v>
      </c>
    </row>
    <row r="81" customFormat="false" ht="15" hidden="false" customHeight="false" outlineLevel="0" collapsed="false">
      <c r="B81" s="164" t="s">
        <v>664</v>
      </c>
      <c r="C81" s="165" t="s">
        <v>633</v>
      </c>
      <c r="D81" s="166" t="s">
        <v>665</v>
      </c>
      <c r="E81" s="159" t="s">
        <v>666</v>
      </c>
      <c r="F81" s="158" t="n">
        <v>1</v>
      </c>
      <c r="G81" s="167" t="s">
        <v>658</v>
      </c>
      <c r="H81" s="168" t="str">
        <f aca="false">VARIABLES!$B81&amp;"|"&amp;VARIABLES!$E81</f>
        <v>F16|Peso mexicano</v>
      </c>
    </row>
    <row r="82" customFormat="false" ht="15" hidden="false" customHeight="false" outlineLevel="0" collapsed="false">
      <c r="B82" s="164" t="s">
        <v>664</v>
      </c>
      <c r="C82" s="165" t="s">
        <v>633</v>
      </c>
      <c r="D82" s="166" t="s">
        <v>665</v>
      </c>
      <c r="E82" s="159" t="s">
        <v>667</v>
      </c>
      <c r="F82" s="158" t="n">
        <v>3</v>
      </c>
      <c r="G82" s="167" t="s">
        <v>658</v>
      </c>
      <c r="H82" s="168" t="str">
        <f aca="false">VARIABLES!$B82&amp;"|"&amp;VARIABLES!$E82</f>
        <v>F16|Dólar estadounidense o euro</v>
      </c>
    </row>
    <row r="83" customFormat="false" ht="15" hidden="false" customHeight="false" outlineLevel="0" collapsed="false">
      <c r="B83" s="164" t="s">
        <v>664</v>
      </c>
      <c r="C83" s="165" t="s">
        <v>633</v>
      </c>
      <c r="D83" s="166" t="s">
        <v>665</v>
      </c>
      <c r="E83" s="159" t="s">
        <v>668</v>
      </c>
      <c r="F83" s="158" t="n">
        <v>5</v>
      </c>
      <c r="G83" s="167" t="s">
        <v>658</v>
      </c>
      <c r="H83" s="168" t="str">
        <f aca="false">VARIABLES!$B83&amp;"|"&amp;VARIABLES!$E83</f>
        <v>F16|Otra divisa</v>
      </c>
    </row>
    <row r="84" customFormat="false" ht="15" hidden="false" customHeight="false" outlineLevel="0" collapsed="false">
      <c r="B84" s="164" t="s">
        <v>664</v>
      </c>
      <c r="C84" s="165" t="s">
        <v>633</v>
      </c>
      <c r="D84" s="166" t="s">
        <v>665</v>
      </c>
      <c r="E84" s="159" t="s">
        <v>669</v>
      </c>
      <c r="F84" s="158" t="n">
        <v>5</v>
      </c>
      <c r="G84" s="167" t="s">
        <v>658</v>
      </c>
      <c r="H84" s="168" t="str">
        <f aca="false">VARIABLES!$B84&amp;"|"&amp;VARIABLES!$E84</f>
        <v>F16|Activo virtual</v>
      </c>
    </row>
    <row r="85" customFormat="false" ht="15" hidden="false" customHeight="false" outlineLevel="0" collapsed="false">
      <c r="B85" s="164" t="s">
        <v>670</v>
      </c>
      <c r="C85" s="165" t="s">
        <v>633</v>
      </c>
      <c r="D85" s="166" t="s">
        <v>671</v>
      </c>
      <c r="E85" s="159" t="s">
        <v>672</v>
      </c>
      <c r="F85" s="158" t="n">
        <v>1</v>
      </c>
      <c r="G85" s="167" t="s">
        <v>673</v>
      </c>
      <c r="H85" s="168" t="str">
        <f aca="false">VARIABLES!$B85&amp;"|"&amp;VARIABLES!$E85</f>
        <v>F17|Origen acreditado con documentación verificable</v>
      </c>
    </row>
    <row r="86" customFormat="false" ht="15" hidden="false" customHeight="false" outlineLevel="0" collapsed="false">
      <c r="B86" s="164" t="s">
        <v>670</v>
      </c>
      <c r="C86" s="165" t="s">
        <v>633</v>
      </c>
      <c r="D86" s="166" t="s">
        <v>671</v>
      </c>
      <c r="E86" s="159" t="s">
        <v>674</v>
      </c>
      <c r="F86" s="158" t="n">
        <v>3</v>
      </c>
      <c r="G86" s="167" t="s">
        <v>673</v>
      </c>
      <c r="H86" s="168" t="str">
        <f aca="false">VARIABLES!$B86&amp;"|"&amp;VARIABLES!$E86</f>
        <v>F17|Origen declarado con soporte parcial</v>
      </c>
    </row>
    <row r="87" customFormat="false" ht="15" hidden="false" customHeight="false" outlineLevel="0" collapsed="false">
      <c r="B87" s="164" t="s">
        <v>670</v>
      </c>
      <c r="C87" s="165" t="s">
        <v>633</v>
      </c>
      <c r="D87" s="166" t="s">
        <v>671</v>
      </c>
      <c r="E87" s="159" t="s">
        <v>675</v>
      </c>
      <c r="F87" s="158" t="n">
        <v>5</v>
      </c>
      <c r="G87" s="167" t="s">
        <v>673</v>
      </c>
      <c r="H87" s="168" t="str">
        <f aca="false">VARIABLES!$B87&amp;"|"&amp;VARIABLES!$E87</f>
        <v>F17|Origen declarado sin soporte</v>
      </c>
    </row>
    <row r="88" customFormat="false" ht="15" hidden="false" customHeight="false" outlineLevel="0" collapsed="false">
      <c r="B88" s="164" t="s">
        <v>670</v>
      </c>
      <c r="C88" s="165" t="s">
        <v>633</v>
      </c>
      <c r="D88" s="166" t="s">
        <v>671</v>
      </c>
      <c r="E88" s="159" t="s">
        <v>676</v>
      </c>
      <c r="F88" s="158" t="n">
        <v>5</v>
      </c>
      <c r="G88" s="167" t="s">
        <v>673</v>
      </c>
      <c r="H88" s="168" t="str">
        <f aca="false">VARIABLES!$B88&amp;"|"&amp;VARIABLES!$E88</f>
        <v>F17|Recursos provenientes de un tercero</v>
      </c>
    </row>
    <row r="89" customFormat="false" ht="15" hidden="false" customHeight="false" outlineLevel="0" collapsed="false">
      <c r="B89" s="164" t="s">
        <v>670</v>
      </c>
      <c r="C89" s="165" t="s">
        <v>633</v>
      </c>
      <c r="D89" s="166" t="s">
        <v>671</v>
      </c>
      <c r="E89" s="159" t="s">
        <v>677</v>
      </c>
      <c r="F89" s="158" t="n">
        <v>5</v>
      </c>
      <c r="G89" s="167" t="s">
        <v>673</v>
      </c>
      <c r="H89" s="168" t="str">
        <f aca="false">VARIABLES!$B89&amp;"|"&amp;VARIABLES!$E89</f>
        <v>F17|Origen no manifestado</v>
      </c>
    </row>
    <row r="90" customFormat="false" ht="15" hidden="false" customHeight="false" outlineLevel="0" collapsed="false">
      <c r="B90" s="164" t="s">
        <v>678</v>
      </c>
      <c r="C90" s="165" t="s">
        <v>633</v>
      </c>
      <c r="D90" s="166" t="s">
        <v>679</v>
      </c>
      <c r="E90" s="159" t="s">
        <v>680</v>
      </c>
      <c r="F90" s="158" t="n">
        <v>1</v>
      </c>
      <c r="G90" s="167" t="s">
        <v>673</v>
      </c>
      <c r="H90" s="168" t="str">
        <f aca="false">VARIABLES!$B90&amp;"|"&amp;VARIABLES!$E90</f>
        <v>F18|Destino es el propio bien u operación, registrado</v>
      </c>
    </row>
    <row r="91" customFormat="false" ht="15" hidden="false" customHeight="false" outlineLevel="0" collapsed="false">
      <c r="B91" s="164" t="s">
        <v>678</v>
      </c>
      <c r="C91" s="165" t="s">
        <v>633</v>
      </c>
      <c r="D91" s="166" t="s">
        <v>679</v>
      </c>
      <c r="E91" s="159" t="s">
        <v>681</v>
      </c>
      <c r="F91" s="158" t="n">
        <v>3</v>
      </c>
      <c r="G91" s="167" t="s">
        <v>673</v>
      </c>
      <c r="H91" s="168" t="str">
        <f aca="false">VARIABLES!$B91&amp;"|"&amp;VARIABLES!$E91</f>
        <v>F18|Destino declarado y verificable</v>
      </c>
    </row>
    <row r="92" customFormat="false" ht="15" hidden="false" customHeight="false" outlineLevel="0" collapsed="false">
      <c r="B92" s="164" t="s">
        <v>678</v>
      </c>
      <c r="C92" s="165" t="s">
        <v>633</v>
      </c>
      <c r="D92" s="166" t="s">
        <v>679</v>
      </c>
      <c r="E92" s="159" t="s">
        <v>682</v>
      </c>
      <c r="F92" s="158" t="n">
        <v>5</v>
      </c>
      <c r="G92" s="167" t="s">
        <v>673</v>
      </c>
      <c r="H92" s="168" t="str">
        <f aca="false">VARIABLES!$B92&amp;"|"&amp;VARIABLES!$E92</f>
        <v>F18|Destino a un tercero no relacionado</v>
      </c>
    </row>
    <row r="93" customFormat="false" ht="15" hidden="false" customHeight="false" outlineLevel="0" collapsed="false">
      <c r="B93" s="164" t="s">
        <v>678</v>
      </c>
      <c r="C93" s="165" t="s">
        <v>633</v>
      </c>
      <c r="D93" s="166" t="s">
        <v>679</v>
      </c>
      <c r="E93" s="159" t="s">
        <v>683</v>
      </c>
      <c r="F93" s="158" t="n">
        <v>5</v>
      </c>
      <c r="G93" s="167" t="s">
        <v>673</v>
      </c>
      <c r="H93" s="168" t="str">
        <f aca="false">VARIABLES!$B93&amp;"|"&amp;VARIABLES!$E93</f>
        <v>F18|Destino no manifestado</v>
      </c>
    </row>
    <row r="94" customFormat="false" ht="15" hidden="false" customHeight="false" outlineLevel="0" collapsed="false">
      <c r="B94" s="164" t="s">
        <v>684</v>
      </c>
      <c r="C94" s="165" t="s">
        <v>633</v>
      </c>
      <c r="D94" s="166" t="s">
        <v>685</v>
      </c>
      <c r="E94" s="159" t="s">
        <v>686</v>
      </c>
      <c r="F94" s="158" t="n">
        <v>1</v>
      </c>
      <c r="G94" s="167" t="s">
        <v>687</v>
      </c>
      <c r="H94" s="168" t="str">
        <f aca="false">VARIABLES!$B94&amp;"|"&amp;VARIABLES!$E94</f>
        <v>F19|Comparecencia directa del Cliente, o identificación remota con biometría y prueba de vida</v>
      </c>
    </row>
    <row r="95" customFormat="false" ht="15" hidden="false" customHeight="false" outlineLevel="0" collapsed="false">
      <c r="B95" s="164" t="s">
        <v>684</v>
      </c>
      <c r="C95" s="165" t="s">
        <v>633</v>
      </c>
      <c r="D95" s="166" t="s">
        <v>685</v>
      </c>
      <c r="E95" s="159" t="s">
        <v>688</v>
      </c>
      <c r="F95" s="158" t="n">
        <v>3</v>
      </c>
      <c r="G95" s="167" t="s">
        <v>687</v>
      </c>
      <c r="H95" s="168" t="str">
        <f aca="false">VARIABLES!$B95&amp;"|"&amp;VARIABLES!$E95</f>
        <v>F19|Remota con verificación documental, sin prueba de vida</v>
      </c>
    </row>
    <row r="96" customFormat="false" ht="15" hidden="false" customHeight="false" outlineLevel="0" collapsed="false">
      <c r="B96" s="164" t="s">
        <v>684</v>
      </c>
      <c r="C96" s="165" t="s">
        <v>633</v>
      </c>
      <c r="D96" s="166" t="s">
        <v>685</v>
      </c>
      <c r="E96" s="159" t="s">
        <v>689</v>
      </c>
      <c r="F96" s="158" t="n">
        <v>3</v>
      </c>
      <c r="G96" s="167" t="s">
        <v>687</v>
      </c>
      <c r="H96" s="168" t="str">
        <f aca="false">VARIABLES!$B96&amp;"|"&amp;VARIABLES!$E96</f>
        <v>F19|A través de promotor, comisionista o agente propio, con contrato y responsable identificado</v>
      </c>
    </row>
    <row r="97" customFormat="false" ht="15" hidden="false" customHeight="false" outlineLevel="0" collapsed="false">
      <c r="B97" s="164" t="s">
        <v>684</v>
      </c>
      <c r="C97" s="165" t="s">
        <v>633</v>
      </c>
      <c r="D97" s="166" t="s">
        <v>685</v>
      </c>
      <c r="E97" s="159" t="s">
        <v>690</v>
      </c>
      <c r="F97" s="158" t="n">
        <v>5</v>
      </c>
      <c r="G97" s="167" t="s">
        <v>687</v>
      </c>
      <c r="H97" s="168" t="str">
        <f aca="false">VARIABLES!$B97&amp;"|"&amp;VARIABLES!$E97</f>
        <v>F19|A través de plataforma o intermediario de un tercero que no controlas</v>
      </c>
    </row>
    <row r="98" customFormat="false" ht="15" hidden="false" customHeight="false" outlineLevel="0" collapsed="false">
      <c r="B98" s="164" t="s">
        <v>684</v>
      </c>
      <c r="C98" s="165" t="s">
        <v>633</v>
      </c>
      <c r="D98" s="166" t="s">
        <v>685</v>
      </c>
      <c r="E98" s="159" t="s">
        <v>691</v>
      </c>
      <c r="F98" s="158" t="n">
        <v>5</v>
      </c>
      <c r="G98" s="167" t="s">
        <v>687</v>
      </c>
      <c r="H98" s="168" t="str">
        <f aca="false">VARIABLES!$B98&amp;"|"&amp;VARIABLES!$E98</f>
        <v>F19|A través de gestor o intermediario no acreditado, o sin poder determinarlo</v>
      </c>
    </row>
    <row r="99" customFormat="false" ht="15" hidden="false" customHeight="false" outlineLevel="0" collapsed="false">
      <c r="B99" s="164" t="s">
        <v>692</v>
      </c>
      <c r="C99" s="165" t="s">
        <v>633</v>
      </c>
      <c r="D99" s="166" t="s">
        <v>693</v>
      </c>
      <c r="E99" s="159" t="s">
        <v>694</v>
      </c>
      <c r="F99" s="158" t="n">
        <v>1</v>
      </c>
      <c r="G99" s="167" t="s">
        <v>695</v>
      </c>
      <c r="H99" s="168" t="str">
        <f aca="false">VARIABLES!$B99&amp;"|"&amp;VARIABLES!$E99</f>
        <v>F20|México</v>
      </c>
    </row>
    <row r="100" customFormat="false" ht="15" hidden="false" customHeight="false" outlineLevel="0" collapsed="false">
      <c r="B100" s="164" t="s">
        <v>692</v>
      </c>
      <c r="C100" s="165" t="s">
        <v>633</v>
      </c>
      <c r="D100" s="166" t="s">
        <v>693</v>
      </c>
      <c r="E100" s="159" t="s">
        <v>696</v>
      </c>
      <c r="F100" s="158" t="n">
        <v>3</v>
      </c>
      <c r="G100" s="167" t="s">
        <v>695</v>
      </c>
      <c r="H100" s="168" t="str">
        <f aca="false">VARIABLES!$B100&amp;"|"&amp;VARIABLES!$E100</f>
        <v>F20|Extranjero, país sin señalamiento</v>
      </c>
    </row>
    <row r="101" customFormat="false" ht="15" hidden="false" customHeight="false" outlineLevel="0" collapsed="false">
      <c r="B101" s="164" t="s">
        <v>692</v>
      </c>
      <c r="C101" s="165" t="s">
        <v>633</v>
      </c>
      <c r="D101" s="166" t="s">
        <v>693</v>
      </c>
      <c r="E101" s="159" t="s">
        <v>697</v>
      </c>
      <c r="F101" s="158" t="n">
        <v>5</v>
      </c>
      <c r="G101" s="167" t="s">
        <v>695</v>
      </c>
      <c r="H101" s="168" t="str">
        <f aca="false">VARIABLES!$B101&amp;"|"&amp;VARIABLES!$E101</f>
        <v>F20|Jurisdicción de régimen fiscal preferente o señalada por deficiencias</v>
      </c>
    </row>
    <row r="102" customFormat="false" ht="15" hidden="false" customHeight="false" outlineLevel="0" collapsed="false">
      <c r="B102" s="164" t="s">
        <v>698</v>
      </c>
      <c r="C102" s="165" t="s">
        <v>633</v>
      </c>
      <c r="D102" s="166" t="s">
        <v>699</v>
      </c>
      <c r="E102" s="159" t="s">
        <v>700</v>
      </c>
      <c r="F102" s="158" t="n">
        <v>1</v>
      </c>
      <c r="G102" s="167" t="s">
        <v>695</v>
      </c>
      <c r="H102" s="168" t="str">
        <f aca="false">VARIABLES!$B102&amp;"|"&amp;VARIABLES!$E102</f>
        <v>F21|Entidad federativa sin señalamiento en la ENR</v>
      </c>
    </row>
    <row r="103" customFormat="false" ht="15" hidden="false" customHeight="false" outlineLevel="0" collapsed="false">
      <c r="B103" s="164" t="s">
        <v>698</v>
      </c>
      <c r="C103" s="165" t="s">
        <v>633</v>
      </c>
      <c r="D103" s="166" t="s">
        <v>699</v>
      </c>
      <c r="E103" s="159" t="s">
        <v>701</v>
      </c>
      <c r="F103" s="158" t="n">
        <v>3</v>
      </c>
      <c r="G103" s="167" t="s">
        <v>695</v>
      </c>
      <c r="H103" s="168" t="str">
        <f aca="false">VARIABLES!$B103&amp;"|"&amp;VARIABLES!$E103</f>
        <v>F21|Entidad federativa con señalamiento en la ENR</v>
      </c>
    </row>
    <row r="104" customFormat="false" ht="15" hidden="false" customHeight="false" outlineLevel="0" collapsed="false">
      <c r="B104" s="164" t="s">
        <v>698</v>
      </c>
      <c r="C104" s="165" t="s">
        <v>633</v>
      </c>
      <c r="D104" s="166" t="s">
        <v>699</v>
      </c>
      <c r="E104" s="159" t="s">
        <v>702</v>
      </c>
      <c r="F104" s="158" t="n">
        <v>5</v>
      </c>
      <c r="G104" s="167" t="s">
        <v>695</v>
      </c>
      <c r="H104" s="168" t="str">
        <f aca="false">VARIABLES!$B104&amp;"|"&amp;VARIABLES!$E104</f>
        <v>F21|Municipio o zona identificada de alto riesgo</v>
      </c>
    </row>
    <row r="105" customFormat="false" ht="15" hidden="false" customHeight="false" outlineLevel="0" collapsed="false">
      <c r="B105" s="164" t="s">
        <v>703</v>
      </c>
      <c r="C105" s="165" t="s">
        <v>633</v>
      </c>
      <c r="D105" s="166" t="s">
        <v>704</v>
      </c>
      <c r="E105" s="159" t="s">
        <v>705</v>
      </c>
      <c r="F105" s="158" t="n">
        <v>1</v>
      </c>
      <c r="G105" s="167" t="s">
        <v>706</v>
      </c>
      <c r="H105" s="168" t="str">
        <f aca="false">VARIABLES!$B105&amp;"|"&amp;VARIABLES!$E105</f>
        <v>F22|Domicilio y lugar de la operación coinciden</v>
      </c>
    </row>
    <row r="106" customFormat="false" ht="15" hidden="false" customHeight="false" outlineLevel="0" collapsed="false">
      <c r="B106" s="164" t="s">
        <v>703</v>
      </c>
      <c r="C106" s="165" t="s">
        <v>633</v>
      </c>
      <c r="D106" s="166" t="s">
        <v>704</v>
      </c>
      <c r="E106" s="159" t="s">
        <v>707</v>
      </c>
      <c r="F106" s="158" t="n">
        <v>3</v>
      </c>
      <c r="G106" s="167" t="s">
        <v>706</v>
      </c>
      <c r="H106" s="168" t="str">
        <f aca="false">VARIABLES!$B106&amp;"|"&amp;VARIABLES!$E106</f>
        <v>F22|Distinta entidad federativa, con explicación documentada</v>
      </c>
    </row>
    <row r="107" customFormat="false" ht="15" hidden="false" customHeight="false" outlineLevel="0" collapsed="false">
      <c r="B107" s="164" t="s">
        <v>703</v>
      </c>
      <c r="C107" s="165" t="s">
        <v>633</v>
      </c>
      <c r="D107" s="166" t="s">
        <v>704</v>
      </c>
      <c r="E107" s="159" t="s">
        <v>708</v>
      </c>
      <c r="F107" s="158" t="n">
        <v>5</v>
      </c>
      <c r="G107" s="167" t="s">
        <v>706</v>
      </c>
      <c r="H107" s="168" t="str">
        <f aca="false">VARIABLES!$B107&amp;"|"&amp;VARIABLES!$E107</f>
        <v>F22|Distinta entidad federativa sin explicación</v>
      </c>
    </row>
  </sheetData>
  <mergeCells count="4">
    <mergeCell ref="B2:H2"/>
    <mergeCell ref="B3:H3"/>
    <mergeCell ref="B4:H4"/>
    <mergeCell ref="B6: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I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13"/>
    <col collapsed="false" customWidth="true" hidden="false" outlineLevel="0" max="4" min="4" style="0" width="42"/>
    <col collapsed="false" customWidth="true" hidden="false" outlineLevel="0" max="5" min="5" style="0" width="48"/>
    <col collapsed="false" customWidth="true" hidden="false" outlineLevel="0" max="7" min="6" style="0" width="7"/>
    <col collapsed="false" customWidth="true" hidden="false" outlineLevel="0" max="8" min="8" style="0" width="8"/>
    <col collapsed="false" customWidth="true" hidden="false" outlineLevel="0" max="9" min="9" style="0" width="40"/>
  </cols>
  <sheetData>
    <row r="2" customFormat="false" ht="18.55" hidden="false" customHeight="false" outlineLevel="0" collapsed="false">
      <c r="B2" s="169" t="s">
        <v>709</v>
      </c>
      <c r="C2" s="169"/>
      <c r="D2" s="169"/>
      <c r="E2" s="169"/>
      <c r="F2" s="169"/>
      <c r="G2" s="169"/>
      <c r="H2" s="169"/>
      <c r="I2" s="169"/>
    </row>
    <row r="3" customFormat="false" ht="15" hidden="false" customHeight="false" outlineLevel="0" collapsed="false">
      <c r="B3" s="154" t="s">
        <v>710</v>
      </c>
      <c r="C3" s="154"/>
      <c r="D3" s="154"/>
      <c r="E3" s="154"/>
      <c r="F3" s="154"/>
      <c r="G3" s="154"/>
      <c r="H3" s="154"/>
      <c r="I3" s="154"/>
    </row>
    <row r="4" customFormat="false" ht="15" hidden="false" customHeight="false" outlineLevel="0" collapsed="false">
      <c r="B4" s="155" t="s">
        <v>711</v>
      </c>
      <c r="C4" s="155"/>
      <c r="D4" s="155"/>
      <c r="E4" s="155"/>
      <c r="F4" s="155"/>
      <c r="G4" s="155"/>
      <c r="H4" s="155"/>
      <c r="I4" s="155"/>
    </row>
    <row r="6" customFormat="false" ht="19.5" hidden="false" customHeight="true" outlineLevel="0" collapsed="false">
      <c r="B6" s="156" t="s">
        <v>712</v>
      </c>
      <c r="C6" s="156"/>
      <c r="D6" s="156"/>
      <c r="E6" s="156"/>
      <c r="F6" s="156"/>
      <c r="G6" s="156"/>
      <c r="H6" s="156"/>
      <c r="I6" s="156"/>
    </row>
    <row r="7" customFormat="false" ht="15" hidden="false" customHeight="false" outlineLevel="0" collapsed="false">
      <c r="B7" s="170" t="s">
        <v>713</v>
      </c>
      <c r="C7" s="170"/>
      <c r="D7" s="170"/>
      <c r="E7" s="171" t="s">
        <v>714</v>
      </c>
      <c r="F7" s="171"/>
      <c r="G7" s="171"/>
      <c r="H7" s="171"/>
      <c r="I7" s="171"/>
    </row>
    <row r="8" customFormat="false" ht="15" hidden="false" customHeight="false" outlineLevel="0" collapsed="false">
      <c r="B8" s="170" t="s">
        <v>715</v>
      </c>
      <c r="C8" s="170"/>
      <c r="D8" s="170"/>
      <c r="E8" s="171" t="s">
        <v>716</v>
      </c>
      <c r="F8" s="171"/>
      <c r="G8" s="171"/>
      <c r="H8" s="171"/>
      <c r="I8" s="171"/>
    </row>
    <row r="9" customFormat="false" ht="15" hidden="false" customHeight="false" outlineLevel="0" collapsed="false">
      <c r="B9" s="170" t="s">
        <v>717</v>
      </c>
      <c r="C9" s="170"/>
      <c r="D9" s="170"/>
      <c r="E9" s="171" t="s">
        <v>718</v>
      </c>
      <c r="F9" s="171"/>
      <c r="G9" s="171"/>
    </row>
    <row r="10" customFormat="false" ht="15" hidden="false" customHeight="false" outlineLevel="0" collapsed="false">
      <c r="B10" s="170" t="s">
        <v>719</v>
      </c>
      <c r="C10" s="170"/>
      <c r="D10" s="170"/>
      <c r="E10" s="171" t="s">
        <v>79</v>
      </c>
      <c r="F10" s="171"/>
      <c r="G10" s="171"/>
    </row>
    <row r="11" customFormat="false" ht="15" hidden="false" customHeight="false" outlineLevel="0" collapsed="false">
      <c r="B11" s="170" t="s">
        <v>720</v>
      </c>
      <c r="C11" s="170"/>
      <c r="D11" s="170"/>
      <c r="E11" s="171" t="s">
        <v>194</v>
      </c>
      <c r="F11" s="171"/>
      <c r="G11" s="171"/>
    </row>
    <row r="12" customFormat="false" ht="15" hidden="false" customHeight="false" outlineLevel="0" collapsed="false">
      <c r="B12" s="172" t="s">
        <v>721</v>
      </c>
      <c r="C12" s="172"/>
      <c r="D12" s="172"/>
      <c r="E12" s="172"/>
      <c r="F12" s="172"/>
      <c r="G12" s="172"/>
      <c r="H12" s="172"/>
      <c r="I12" s="172"/>
    </row>
    <row r="13" customFormat="false" ht="19.5" hidden="false" customHeight="true" outlineLevel="0" collapsed="false">
      <c r="B13" s="156" t="s">
        <v>722</v>
      </c>
      <c r="C13" s="156"/>
      <c r="D13" s="156"/>
      <c r="E13" s="156"/>
      <c r="F13" s="156"/>
      <c r="G13" s="156"/>
      <c r="H13" s="156"/>
      <c r="I13" s="156"/>
    </row>
    <row r="14" customFormat="false" ht="27.75" hidden="false" customHeight="true" outlineLevel="0" collapsed="false">
      <c r="B14" s="157" t="s">
        <v>519</v>
      </c>
      <c r="C14" s="157" t="s">
        <v>549</v>
      </c>
      <c r="D14" s="157" t="s">
        <v>550</v>
      </c>
      <c r="E14" s="157" t="s">
        <v>723</v>
      </c>
      <c r="F14" s="157" t="s">
        <v>140</v>
      </c>
      <c r="G14" s="157" t="s">
        <v>139</v>
      </c>
      <c r="H14" s="157" t="s">
        <v>724</v>
      </c>
      <c r="I14" s="157" t="s">
        <v>552</v>
      </c>
    </row>
    <row r="15" customFormat="false" ht="15" hidden="false" customHeight="false" outlineLevel="0" collapsed="false">
      <c r="B15" s="164" t="s">
        <v>554</v>
      </c>
      <c r="C15" s="173" t="s">
        <v>364</v>
      </c>
      <c r="D15" s="159" t="s">
        <v>91</v>
      </c>
      <c r="E15" s="174" t="s">
        <v>557</v>
      </c>
      <c r="F15" s="175" t="n">
        <f aca="false">IFERROR(INDEX(VARIABLES!$F:$F,MATCH($B15&amp;"|"&amp;$E15,VARIABLES!$H:$H,0)),0)</f>
        <v>3</v>
      </c>
      <c r="G15" s="176" t="n">
        <v>0.13</v>
      </c>
      <c r="H15" s="175" t="n">
        <f aca="false">F15*G15</f>
        <v>0.39</v>
      </c>
      <c r="I15" s="167" t="s">
        <v>556</v>
      </c>
    </row>
    <row r="16" customFormat="false" ht="15" hidden="false" customHeight="false" outlineLevel="0" collapsed="false">
      <c r="B16" s="164" t="s">
        <v>562</v>
      </c>
      <c r="C16" s="173" t="s">
        <v>364</v>
      </c>
      <c r="D16" s="159" t="s">
        <v>563</v>
      </c>
      <c r="E16" s="174" t="s">
        <v>570</v>
      </c>
      <c r="F16" s="175" t="n">
        <f aca="false">IFERROR(INDEX(VARIABLES!$F:$F,MATCH($B16&amp;"|"&amp;$E16,VARIABLES!$H:$H,0)),0)</f>
        <v>5</v>
      </c>
      <c r="G16" s="176" t="n">
        <v>0.07</v>
      </c>
      <c r="H16" s="175" t="n">
        <f aca="false">F16*G16</f>
        <v>0.35</v>
      </c>
      <c r="I16" s="167" t="s">
        <v>565</v>
      </c>
    </row>
    <row r="17" customFormat="false" ht="15" hidden="false" customHeight="false" outlineLevel="0" collapsed="false">
      <c r="B17" s="164" t="s">
        <v>571</v>
      </c>
      <c r="C17" s="173" t="s">
        <v>364</v>
      </c>
      <c r="D17" s="159" t="s">
        <v>572</v>
      </c>
      <c r="E17" s="174" t="s">
        <v>576</v>
      </c>
      <c r="F17" s="175" t="n">
        <f aca="false">IFERROR(INDEX(VARIABLES!$F:$F,MATCH($B17&amp;"|"&amp;$E17,VARIABLES!$H:$H,0)),0)</f>
        <v>3</v>
      </c>
      <c r="G17" s="176" t="n">
        <v>0.15</v>
      </c>
      <c r="H17" s="175" t="n">
        <f aca="false">F17*G17</f>
        <v>0.45</v>
      </c>
      <c r="I17" s="167" t="s">
        <v>574</v>
      </c>
    </row>
    <row r="18" customFormat="false" ht="15" hidden="false" customHeight="false" outlineLevel="0" collapsed="false">
      <c r="B18" s="164" t="s">
        <v>582</v>
      </c>
      <c r="C18" s="173" t="s">
        <v>364</v>
      </c>
      <c r="D18" s="159" t="s">
        <v>583</v>
      </c>
      <c r="E18" s="174" t="s">
        <v>584</v>
      </c>
      <c r="F18" s="175" t="n">
        <f aca="false">IFERROR(INDEX(VARIABLES!$F:$F,MATCH($B18&amp;"|"&amp;$E18,VARIABLES!$H:$H,0)),0)</f>
        <v>1</v>
      </c>
      <c r="G18" s="176" t="n">
        <v>0.06</v>
      </c>
      <c r="H18" s="175" t="n">
        <f aca="false">F18*G18</f>
        <v>0.06</v>
      </c>
      <c r="I18" s="167" t="s">
        <v>585</v>
      </c>
    </row>
    <row r="19" customFormat="false" ht="15" hidden="false" customHeight="false" outlineLevel="0" collapsed="false">
      <c r="B19" s="164" t="s">
        <v>589</v>
      </c>
      <c r="C19" s="173" t="s">
        <v>364</v>
      </c>
      <c r="D19" s="159" t="s">
        <v>590</v>
      </c>
      <c r="E19" s="174" t="s">
        <v>593</v>
      </c>
      <c r="F19" s="175" t="n">
        <f aca="false">IFERROR(INDEX(VARIABLES!$F:$F,MATCH($B19&amp;"|"&amp;$E19,VARIABLES!$H:$H,0)),0)</f>
        <v>3</v>
      </c>
      <c r="G19" s="176" t="n">
        <v>0.09</v>
      </c>
      <c r="H19" s="175" t="n">
        <f aca="false">F19*G19</f>
        <v>0.27</v>
      </c>
      <c r="I19" s="167" t="s">
        <v>592</v>
      </c>
    </row>
    <row r="20" customFormat="false" ht="15" hidden="false" customHeight="false" outlineLevel="0" collapsed="false">
      <c r="B20" s="164" t="s">
        <v>596</v>
      </c>
      <c r="C20" s="173" t="s">
        <v>364</v>
      </c>
      <c r="D20" s="159" t="s">
        <v>102</v>
      </c>
      <c r="E20" s="174" t="s">
        <v>597</v>
      </c>
      <c r="F20" s="175" t="n">
        <f aca="false">IFERROR(INDEX(VARIABLES!$F:$F,MATCH($B20&amp;"|"&amp;$E20,VARIABLES!$H:$H,0)),0)</f>
        <v>1</v>
      </c>
      <c r="G20" s="176" t="n">
        <v>0.13</v>
      </c>
      <c r="H20" s="175" t="n">
        <f aca="false">F20*G20</f>
        <v>0.13</v>
      </c>
      <c r="I20" s="167" t="s">
        <v>598</v>
      </c>
    </row>
    <row r="21" customFormat="false" ht="15" hidden="false" customHeight="false" outlineLevel="0" collapsed="false">
      <c r="B21" s="164" t="s">
        <v>603</v>
      </c>
      <c r="C21" s="173" t="s">
        <v>364</v>
      </c>
      <c r="D21" s="159" t="s">
        <v>604</v>
      </c>
      <c r="E21" s="174" t="s">
        <v>605</v>
      </c>
      <c r="F21" s="175" t="n">
        <f aca="false">IFERROR(INDEX(VARIABLES!$F:$F,MATCH($B21&amp;"|"&amp;$E21,VARIABLES!$H:$H,0)),0)</f>
        <v>1</v>
      </c>
      <c r="G21" s="176" t="n">
        <v>0.1</v>
      </c>
      <c r="H21" s="175" t="n">
        <f aca="false">F21*G21</f>
        <v>0.1</v>
      </c>
      <c r="I21" s="167" t="s">
        <v>606</v>
      </c>
    </row>
    <row r="22" customFormat="false" ht="15" hidden="false" customHeight="false" outlineLevel="0" collapsed="false">
      <c r="B22" s="164" t="s">
        <v>610</v>
      </c>
      <c r="C22" s="173" t="s">
        <v>364</v>
      </c>
      <c r="D22" s="159" t="s">
        <v>611</v>
      </c>
      <c r="E22" s="174" t="s">
        <v>615</v>
      </c>
      <c r="F22" s="175" t="n">
        <f aca="false">IFERROR(INDEX(VARIABLES!$F:$F,MATCH($B22&amp;"|"&amp;$E22,VARIABLES!$H:$H,0)),0)</f>
        <v>3</v>
      </c>
      <c r="G22" s="176" t="n">
        <v>0.17</v>
      </c>
      <c r="H22" s="175" t="n">
        <f aca="false">F22*G22</f>
        <v>0.51</v>
      </c>
      <c r="I22" s="167" t="s">
        <v>613</v>
      </c>
    </row>
    <row r="23" customFormat="false" ht="15" hidden="false" customHeight="false" outlineLevel="0" collapsed="false">
      <c r="B23" s="164" t="s">
        <v>618</v>
      </c>
      <c r="C23" s="173" t="s">
        <v>364</v>
      </c>
      <c r="D23" s="159" t="s">
        <v>619</v>
      </c>
      <c r="E23" s="174" t="s">
        <v>622</v>
      </c>
      <c r="F23" s="175" t="n">
        <f aca="false">IFERROR(INDEX(VARIABLES!$F:$F,MATCH($B23&amp;"|"&amp;$E23,VARIABLES!$H:$H,0)),0)</f>
        <v>3</v>
      </c>
      <c r="G23" s="176" t="n">
        <v>0.06</v>
      </c>
      <c r="H23" s="175" t="n">
        <f aca="false">F23*G23</f>
        <v>0.18</v>
      </c>
      <c r="I23" s="167" t="s">
        <v>621</v>
      </c>
    </row>
    <row r="24" customFormat="false" ht="15" hidden="false" customHeight="false" outlineLevel="0" collapsed="false">
      <c r="B24" s="164" t="s">
        <v>625</v>
      </c>
      <c r="C24" s="173" t="s">
        <v>364</v>
      </c>
      <c r="D24" s="159" t="s">
        <v>626</v>
      </c>
      <c r="E24" s="174" t="s">
        <v>629</v>
      </c>
      <c r="F24" s="175" t="n">
        <f aca="false">IFERROR(INDEX(VARIABLES!$F:$F,MATCH($B24&amp;"|"&amp;$E24,VARIABLES!$H:$H,0)),0)</f>
        <v>3</v>
      </c>
      <c r="G24" s="176" t="n">
        <v>0.04</v>
      </c>
      <c r="H24" s="175" t="n">
        <f aca="false">F24*G24</f>
        <v>0.12</v>
      </c>
      <c r="I24" s="167" t="s">
        <v>628</v>
      </c>
    </row>
    <row r="25" customFormat="false" ht="15" hidden="false" customHeight="false" outlineLevel="0" collapsed="false">
      <c r="B25" s="164" t="s">
        <v>725</v>
      </c>
      <c r="C25" s="177" t="s">
        <v>633</v>
      </c>
      <c r="D25" s="159" t="s">
        <v>726</v>
      </c>
      <c r="E25" s="174" t="s">
        <v>532</v>
      </c>
      <c r="F25" s="175" t="n">
        <f aca="false">IFERROR(INDEX(PRODUCTOS!$J:$J,MATCH($E25,PRODUCTOS!$C:$C,0)),0)</f>
        <v>3.66666666666667</v>
      </c>
      <c r="G25" s="176" t="n">
        <v>0.157</v>
      </c>
      <c r="H25" s="175" t="n">
        <f aca="false">F25*G25</f>
        <v>0.575666666666667</v>
      </c>
      <c r="I25" s="167" t="s">
        <v>727</v>
      </c>
    </row>
    <row r="26" customFormat="false" ht="15" hidden="false" customHeight="false" outlineLevel="0" collapsed="false">
      <c r="B26" s="164" t="s">
        <v>632</v>
      </c>
      <c r="C26" s="177" t="s">
        <v>633</v>
      </c>
      <c r="D26" s="159" t="s">
        <v>634</v>
      </c>
      <c r="E26" s="174" t="s">
        <v>638</v>
      </c>
      <c r="F26" s="175" t="n">
        <f aca="false">IFERROR(INDEX(VARIABLES!$F:$F,MATCH($B26&amp;"|"&amp;$E26,VARIABLES!$H:$H,0)),0)</f>
        <v>5</v>
      </c>
      <c r="G26" s="176" t="n">
        <v>0.126</v>
      </c>
      <c r="H26" s="175" t="n">
        <f aca="false">F26*G26</f>
        <v>0.63</v>
      </c>
      <c r="I26" s="167" t="s">
        <v>636</v>
      </c>
    </row>
    <row r="27" customFormat="false" ht="15" hidden="false" customHeight="false" outlineLevel="0" collapsed="false">
      <c r="B27" s="164" t="s">
        <v>641</v>
      </c>
      <c r="C27" s="177" t="s">
        <v>633</v>
      </c>
      <c r="D27" s="159" t="s">
        <v>642</v>
      </c>
      <c r="E27" s="174" t="s">
        <v>645</v>
      </c>
      <c r="F27" s="175" t="n">
        <f aca="false">IFERROR(INDEX(VARIABLES!$F:$F,MATCH($B27&amp;"|"&amp;$E27,VARIABLES!$H:$H,0)),0)</f>
        <v>3</v>
      </c>
      <c r="G27" s="176" t="n">
        <v>0.116</v>
      </c>
      <c r="H27" s="175" t="n">
        <f aca="false">F27*G27</f>
        <v>0.348</v>
      </c>
      <c r="I27" s="167" t="s">
        <v>644</v>
      </c>
    </row>
    <row r="28" customFormat="false" ht="15" hidden="false" customHeight="false" outlineLevel="0" collapsed="false">
      <c r="B28" s="164" t="s">
        <v>648</v>
      </c>
      <c r="C28" s="177" t="s">
        <v>633</v>
      </c>
      <c r="D28" s="159" t="s">
        <v>649</v>
      </c>
      <c r="E28" s="174" t="s">
        <v>652</v>
      </c>
      <c r="F28" s="175" t="n">
        <f aca="false">IFERROR(INDEX(VARIABLES!$F:$F,MATCH($B28&amp;"|"&amp;$E28,VARIABLES!$H:$H,0)),0)</f>
        <v>3</v>
      </c>
      <c r="G28" s="176" t="n">
        <v>0.063</v>
      </c>
      <c r="H28" s="175" t="n">
        <f aca="false">F28*G28</f>
        <v>0.189</v>
      </c>
      <c r="I28" s="167" t="s">
        <v>651</v>
      </c>
    </row>
    <row r="29" customFormat="false" ht="15" hidden="false" customHeight="false" outlineLevel="0" collapsed="false">
      <c r="B29" s="164" t="s">
        <v>655</v>
      </c>
      <c r="C29" s="177" t="s">
        <v>633</v>
      </c>
      <c r="D29" s="159" t="s">
        <v>656</v>
      </c>
      <c r="E29" s="174" t="s">
        <v>660</v>
      </c>
      <c r="F29" s="175" t="n">
        <f aca="false">IFERROR(INDEX(VARIABLES!$F:$F,MATCH($B29&amp;"|"&amp;$E29,VARIABLES!$H:$H,0)),0)</f>
        <v>3</v>
      </c>
      <c r="G29" s="176" t="n">
        <v>0.147</v>
      </c>
      <c r="H29" s="175" t="n">
        <f aca="false">F29*G29</f>
        <v>0.441</v>
      </c>
      <c r="I29" s="167" t="s">
        <v>658</v>
      </c>
    </row>
    <row r="30" customFormat="false" ht="15" hidden="false" customHeight="false" outlineLevel="0" collapsed="false">
      <c r="B30" s="164" t="s">
        <v>664</v>
      </c>
      <c r="C30" s="177" t="s">
        <v>633</v>
      </c>
      <c r="D30" s="159" t="s">
        <v>665</v>
      </c>
      <c r="E30" s="174" t="s">
        <v>666</v>
      </c>
      <c r="F30" s="175" t="n">
        <f aca="false">IFERROR(INDEX(VARIABLES!$F:$F,MATCH($B30&amp;"|"&amp;$E30,VARIABLES!$H:$H,0)),0)</f>
        <v>1</v>
      </c>
      <c r="G30" s="176" t="n">
        <v>0.032</v>
      </c>
      <c r="H30" s="175" t="n">
        <f aca="false">F30*G30</f>
        <v>0.032</v>
      </c>
      <c r="I30" s="167" t="s">
        <v>658</v>
      </c>
    </row>
    <row r="31" customFormat="false" ht="15" hidden="false" customHeight="false" outlineLevel="0" collapsed="false">
      <c r="B31" s="164" t="s">
        <v>670</v>
      </c>
      <c r="C31" s="177" t="s">
        <v>633</v>
      </c>
      <c r="D31" s="159" t="s">
        <v>671</v>
      </c>
      <c r="E31" s="174" t="s">
        <v>674</v>
      </c>
      <c r="F31" s="175" t="n">
        <f aca="false">IFERROR(INDEX(VARIABLES!$F:$F,MATCH($B31&amp;"|"&amp;$E31,VARIABLES!$H:$H,0)),0)</f>
        <v>3</v>
      </c>
      <c r="G31" s="176" t="n">
        <v>0.137</v>
      </c>
      <c r="H31" s="175" t="n">
        <f aca="false">F31*G31</f>
        <v>0.411</v>
      </c>
      <c r="I31" s="167" t="s">
        <v>673</v>
      </c>
    </row>
    <row r="32" customFormat="false" ht="15" hidden="false" customHeight="false" outlineLevel="0" collapsed="false">
      <c r="B32" s="164" t="s">
        <v>678</v>
      </c>
      <c r="C32" s="177" t="s">
        <v>633</v>
      </c>
      <c r="D32" s="159" t="s">
        <v>679</v>
      </c>
      <c r="E32" s="174" t="s">
        <v>680</v>
      </c>
      <c r="F32" s="175" t="n">
        <f aca="false">IFERROR(INDEX(VARIABLES!$F:$F,MATCH($B32&amp;"|"&amp;$E32,VARIABLES!$H:$H,0)),0)</f>
        <v>1</v>
      </c>
      <c r="G32" s="176" t="n">
        <v>0.063</v>
      </c>
      <c r="H32" s="175" t="n">
        <f aca="false">F32*G32</f>
        <v>0.063</v>
      </c>
      <c r="I32" s="167" t="s">
        <v>673</v>
      </c>
    </row>
    <row r="33" customFormat="false" ht="15" hidden="false" customHeight="false" outlineLevel="0" collapsed="false">
      <c r="B33" s="164" t="s">
        <v>684</v>
      </c>
      <c r="C33" s="177" t="s">
        <v>633</v>
      </c>
      <c r="D33" s="159" t="s">
        <v>685</v>
      </c>
      <c r="E33" s="174" t="s">
        <v>686</v>
      </c>
      <c r="F33" s="175" t="n">
        <f aca="false">IFERROR(INDEX(VARIABLES!$F:$F,MATCH($B33&amp;"|"&amp;$E33,VARIABLES!$H:$H,0)),0)</f>
        <v>1</v>
      </c>
      <c r="G33" s="176" t="n">
        <v>0.053</v>
      </c>
      <c r="H33" s="175" t="n">
        <f aca="false">F33*G33</f>
        <v>0.053</v>
      </c>
      <c r="I33" s="167" t="s">
        <v>687</v>
      </c>
    </row>
    <row r="34" customFormat="false" ht="15" hidden="false" customHeight="false" outlineLevel="0" collapsed="false">
      <c r="B34" s="164" t="s">
        <v>692</v>
      </c>
      <c r="C34" s="177" t="s">
        <v>633</v>
      </c>
      <c r="D34" s="159" t="s">
        <v>693</v>
      </c>
      <c r="E34" s="174" t="s">
        <v>694</v>
      </c>
      <c r="F34" s="175" t="n">
        <f aca="false">IFERROR(INDEX(VARIABLES!$F:$F,MATCH($B34&amp;"|"&amp;$E34,VARIABLES!$H:$H,0)),0)</f>
        <v>1</v>
      </c>
      <c r="G34" s="176" t="n">
        <v>0.042</v>
      </c>
      <c r="H34" s="175" t="n">
        <f aca="false">F34*G34</f>
        <v>0.042</v>
      </c>
      <c r="I34" s="167" t="s">
        <v>695</v>
      </c>
    </row>
    <row r="35" customFormat="false" ht="15" hidden="false" customHeight="false" outlineLevel="0" collapsed="false">
      <c r="B35" s="164" t="s">
        <v>698</v>
      </c>
      <c r="C35" s="177" t="s">
        <v>633</v>
      </c>
      <c r="D35" s="159" t="s">
        <v>699</v>
      </c>
      <c r="E35" s="174" t="s">
        <v>701</v>
      </c>
      <c r="F35" s="175" t="n">
        <f aca="false">IFERROR(INDEX(VARIABLES!$F:$F,MATCH($B35&amp;"|"&amp;$E35,VARIABLES!$H:$H,0)),0)</f>
        <v>3</v>
      </c>
      <c r="G35" s="176" t="n">
        <v>0.032</v>
      </c>
      <c r="H35" s="175" t="n">
        <f aca="false">F35*G35</f>
        <v>0.096</v>
      </c>
      <c r="I35" s="167" t="s">
        <v>695</v>
      </c>
    </row>
    <row r="36" customFormat="false" ht="15" hidden="false" customHeight="false" outlineLevel="0" collapsed="false">
      <c r="B36" s="164" t="s">
        <v>703</v>
      </c>
      <c r="C36" s="177" t="s">
        <v>633</v>
      </c>
      <c r="D36" s="159" t="s">
        <v>704</v>
      </c>
      <c r="E36" s="174" t="s">
        <v>707</v>
      </c>
      <c r="F36" s="175" t="n">
        <f aca="false">IFERROR(INDEX(VARIABLES!$F:$F,MATCH($B36&amp;"|"&amp;$E36,VARIABLES!$H:$H,0)),0)</f>
        <v>3</v>
      </c>
      <c r="G36" s="176" t="n">
        <v>0.032</v>
      </c>
      <c r="H36" s="175" t="n">
        <f aca="false">F36*G36</f>
        <v>0.096</v>
      </c>
      <c r="I36" s="167" t="s">
        <v>706</v>
      </c>
    </row>
    <row r="37" customFormat="false" ht="15" hidden="false" customHeight="false" outlineLevel="0" collapsed="false">
      <c r="B37" s="178" t="s">
        <v>728</v>
      </c>
      <c r="C37" s="178"/>
      <c r="D37" s="178"/>
      <c r="E37" s="178"/>
      <c r="F37" s="178"/>
      <c r="G37" s="178"/>
      <c r="H37" s="178"/>
      <c r="I37" s="178"/>
    </row>
    <row r="38" customFormat="false" ht="19.5" hidden="false" customHeight="true" outlineLevel="0" collapsed="false">
      <c r="B38" s="156" t="s">
        <v>729</v>
      </c>
      <c r="C38" s="156"/>
      <c r="D38" s="156"/>
      <c r="E38" s="156"/>
      <c r="F38" s="156"/>
      <c r="G38" s="156"/>
      <c r="H38" s="156"/>
      <c r="I38" s="156"/>
    </row>
    <row r="39" customFormat="false" ht="15" hidden="false" customHeight="false" outlineLevel="0" collapsed="false">
      <c r="B39" s="157"/>
      <c r="C39" s="157" t="s">
        <v>730</v>
      </c>
      <c r="D39" s="157" t="s">
        <v>73</v>
      </c>
      <c r="E39" s="157" t="s">
        <v>139</v>
      </c>
      <c r="F39" s="157" t="s">
        <v>724</v>
      </c>
      <c r="G39" s="157" t="s">
        <v>140</v>
      </c>
    </row>
    <row r="40" customFormat="false" ht="15" hidden="false" customHeight="false" outlineLevel="0" collapsed="false">
      <c r="B40" s="179" t="s">
        <v>190</v>
      </c>
      <c r="C40" s="159" t="s">
        <v>731</v>
      </c>
      <c r="D40" s="175" t="n">
        <f aca="false">IFERROR(SUM(H15:H24)/SUM(G15:G24),0)</f>
        <v>2.56</v>
      </c>
      <c r="E40" s="180" t="n">
        <v>0.45</v>
      </c>
      <c r="F40" s="175" t="n">
        <f aca="false">D40*E40</f>
        <v>1.152</v>
      </c>
      <c r="G40" s="158" t="str">
        <f aca="false">IF(D40&gt;=3.67,"ALTO",IF(D40&gt;=2.34,"MEDIO","BAJO"))</f>
        <v>MEDIO</v>
      </c>
    </row>
    <row r="41" customFormat="false" ht="15" hidden="false" customHeight="false" outlineLevel="0" collapsed="false">
      <c r="B41" s="179" t="s">
        <v>198</v>
      </c>
      <c r="C41" s="159" t="s">
        <v>732</v>
      </c>
      <c r="D41" s="175" t="n">
        <f aca="false">IFERROR(SUM(H25:H36)/SUM(G25:G36),0)</f>
        <v>2.97666666666667</v>
      </c>
      <c r="E41" s="180" t="n">
        <v>0.55</v>
      </c>
      <c r="F41" s="175" t="n">
        <f aca="false">D41*E41</f>
        <v>1.63716666666667</v>
      </c>
      <c r="G41" s="158" t="str">
        <f aca="false">IF(D41&gt;=3.67,"ALTO",IF(D41&gt;=2.34,"MEDIO","BAJO"))</f>
        <v>MEDIO</v>
      </c>
    </row>
    <row r="42" customFormat="false" ht="15" hidden="false" customHeight="false" outlineLevel="0" collapsed="false">
      <c r="C42" s="181" t="s">
        <v>733</v>
      </c>
      <c r="E42" s="182" t="n">
        <f aca="false">SUM(E40:E41)</f>
        <v>1</v>
      </c>
      <c r="G42" s="183" t="str">
        <f aca="false">IF(ABS(SUM(E40:E41)-1)&lt;=0.001,"OK","Corregir")</f>
        <v>OK</v>
      </c>
    </row>
    <row r="43" customFormat="false" ht="15" hidden="false" customHeight="false" outlineLevel="0" collapsed="false">
      <c r="C43" s="184" t="s">
        <v>734</v>
      </c>
      <c r="E43" s="185" t="n">
        <f aca="false">COUNTIF($F$15:$F$36,0)</f>
        <v>0</v>
      </c>
      <c r="G43" s="186" t="str">
        <f aca="false">IF($E$43=0,"Completo: los 22 factores resueltos","Mientras haya factores sin elegir no se emite grado")</f>
        <v>Completo: los 22 factores resueltos</v>
      </c>
      <c r="H43" s="186"/>
      <c r="I43" s="186"/>
    </row>
    <row r="45" customFormat="false" ht="19.5" hidden="false" customHeight="true" outlineLevel="0" collapsed="false">
      <c r="B45" s="156" t="s">
        <v>735</v>
      </c>
      <c r="C45" s="156"/>
      <c r="D45" s="156"/>
      <c r="E45" s="156"/>
      <c r="F45" s="156"/>
      <c r="G45" s="156"/>
      <c r="H45" s="156"/>
      <c r="I45" s="156"/>
    </row>
    <row r="46" customFormat="false" ht="15" hidden="false" customHeight="false" outlineLevel="0" collapsed="false">
      <c r="B46" s="170" t="s">
        <v>736</v>
      </c>
      <c r="C46" s="170"/>
      <c r="D46" s="170"/>
      <c r="E46" s="187" t="n">
        <f aca="false">IFERROR(SUMPRODUCT(D40:D41,E40:E41)/SUM(E40:E41),0)</f>
        <v>2.78916666666667</v>
      </c>
      <c r="F46" s="187"/>
    </row>
    <row r="47" customFormat="false" ht="15" hidden="false" customHeight="false" outlineLevel="0" collapsed="false">
      <c r="B47" s="170" t="s">
        <v>737</v>
      </c>
      <c r="C47" s="170"/>
      <c r="D47" s="170"/>
      <c r="E47" s="188" t="str">
        <f aca="false">IF(COUNTIF($F$15:$F$36,0)&gt;0,"— faltan factores por elegir —",IF($E$46=0,"",IF($E$46&gt;=3.67,"ALTO",IF($E$46&gt;=2.34,"MEDIO","BAJO"))))</f>
        <v>MEDIO</v>
      </c>
      <c r="F47" s="188"/>
    </row>
    <row r="48" customFormat="false" ht="15" hidden="false" customHeight="false" outlineLevel="0" collapsed="false">
      <c r="B48" s="170" t="s">
        <v>738</v>
      </c>
      <c r="C48" s="170"/>
      <c r="D48" s="170"/>
      <c r="E48" s="189" t="str">
        <f aca="false">IF(OR($E$20="PEP extranjera",AND($E$10="No",$E$11="Sí")),"Aplica: PEP extranjera o no residente vinculado a jurisdicción de régimen fiscal preferente o deficiente","No aplica")</f>
        <v>No aplica</v>
      </c>
      <c r="F48" s="189"/>
      <c r="G48" s="189"/>
      <c r="H48" s="189"/>
      <c r="I48" s="189"/>
    </row>
    <row r="50" customFormat="false" ht="15" hidden="false" customHeight="false" outlineLevel="0" collapsed="false">
      <c r="B50" s="190" t="s">
        <v>739</v>
      </c>
      <c r="C50" s="190"/>
      <c r="D50" s="190"/>
      <c r="E50" s="191" t="str">
        <f aca="false">IF(COUNTIF($F$15:$F$36,0)&gt;0,"SIN CLASIFICAR",IF(OR($E$20="PEP extranjera",AND($E$10="No",$E$11="Sí")),"ALTO",E47))</f>
        <v>MEDIO</v>
      </c>
      <c r="F50" s="191"/>
      <c r="G50" s="192" t="str">
        <f aca="false">IF(E50="ALTO","Debida diligencia reforzada: Arts. 23 Ter 3, 23 Ter 4 y 23 Ter 5","Régimen ordinario, sin perjuicio del expediente que corresponda")</f>
        <v>Régimen ordinario, sin perjuicio del expediente que corresponda</v>
      </c>
      <c r="H50" s="192"/>
      <c r="I50" s="192"/>
    </row>
    <row r="51" customFormat="false" ht="15" hidden="false" customHeight="false" outlineLevel="0" collapsed="false">
      <c r="B51" s="190"/>
      <c r="C51" s="190"/>
      <c r="D51" s="190"/>
      <c r="E51" s="191"/>
      <c r="F51" s="191"/>
      <c r="G51" s="192"/>
      <c r="H51" s="192"/>
      <c r="I51" s="192"/>
    </row>
    <row r="53" customFormat="false" ht="15" hidden="false" customHeight="false" outlineLevel="0" collapsed="false">
      <c r="B53" s="193" t="s">
        <v>740</v>
      </c>
      <c r="C53" s="193"/>
      <c r="D53" s="193"/>
      <c r="E53" s="193"/>
      <c r="F53" s="193"/>
      <c r="G53" s="193"/>
      <c r="H53" s="193"/>
      <c r="I53" s="193"/>
    </row>
    <row r="54" customFormat="false" ht="15" hidden="false" customHeight="false" outlineLevel="0" collapsed="false">
      <c r="C54" s="194" t="s">
        <v>741</v>
      </c>
      <c r="D54" s="179" t="s">
        <v>742</v>
      </c>
      <c r="E54" s="195" t="s">
        <v>743</v>
      </c>
      <c r="F54" s="195"/>
      <c r="G54" s="195"/>
      <c r="H54" s="195"/>
      <c r="I54" s="195"/>
    </row>
    <row r="55" customFormat="false" ht="15" hidden="false" customHeight="false" outlineLevel="0" collapsed="false">
      <c r="C55" s="194" t="s">
        <v>744</v>
      </c>
      <c r="D55" s="179" t="s">
        <v>745</v>
      </c>
      <c r="E55" s="195" t="s">
        <v>746</v>
      </c>
      <c r="F55" s="195"/>
      <c r="G55" s="195"/>
      <c r="H55" s="195"/>
      <c r="I55" s="195"/>
    </row>
    <row r="56" customFormat="false" ht="15" hidden="false" customHeight="false" outlineLevel="0" collapsed="false">
      <c r="C56" s="194" t="s">
        <v>747</v>
      </c>
      <c r="D56" s="179" t="s">
        <v>748</v>
      </c>
      <c r="E56" s="195" t="s">
        <v>749</v>
      </c>
      <c r="F56" s="195"/>
      <c r="G56" s="195"/>
      <c r="H56" s="195"/>
      <c r="I56" s="195"/>
    </row>
    <row r="58" customFormat="false" ht="19.5" hidden="false" customHeight="true" outlineLevel="0" collapsed="false">
      <c r="B58" s="156" t="s">
        <v>750</v>
      </c>
      <c r="C58" s="156"/>
      <c r="D58" s="156"/>
      <c r="E58" s="156"/>
      <c r="F58" s="156"/>
      <c r="G58" s="156"/>
      <c r="H58" s="156"/>
      <c r="I58" s="156"/>
    </row>
    <row r="59" customFormat="false" ht="15" hidden="false" customHeight="true" outlineLevel="0" collapsed="false">
      <c r="B59" s="196" t="s">
        <v>751</v>
      </c>
      <c r="C59" s="196"/>
      <c r="D59" s="196"/>
      <c r="E59" s="196"/>
      <c r="F59" s="196"/>
      <c r="G59" s="196"/>
      <c r="H59" s="196"/>
      <c r="I59" s="196"/>
    </row>
    <row r="60" customFormat="false" ht="15" hidden="false" customHeight="true" outlineLevel="0" collapsed="false">
      <c r="B60" s="196" t="s">
        <v>752</v>
      </c>
      <c r="C60" s="196"/>
      <c r="D60" s="196"/>
      <c r="E60" s="196"/>
      <c r="F60" s="196"/>
      <c r="G60" s="196"/>
      <c r="H60" s="196"/>
      <c r="I60" s="196"/>
    </row>
    <row r="61" customFormat="false" ht="15" hidden="false" customHeight="true" outlineLevel="0" collapsed="false">
      <c r="B61" s="196" t="s">
        <v>753</v>
      </c>
      <c r="C61" s="196"/>
      <c r="D61" s="196"/>
      <c r="E61" s="196"/>
      <c r="F61" s="196"/>
      <c r="G61" s="196"/>
      <c r="H61" s="196"/>
      <c r="I61" s="196"/>
    </row>
    <row r="62" customFormat="false" ht="15" hidden="false" customHeight="true" outlineLevel="0" collapsed="false">
      <c r="B62" s="196" t="s">
        <v>754</v>
      </c>
      <c r="C62" s="196"/>
      <c r="D62" s="196"/>
      <c r="E62" s="196"/>
      <c r="F62" s="196"/>
      <c r="G62" s="196"/>
      <c r="H62" s="196"/>
      <c r="I62" s="196"/>
    </row>
    <row r="63" customFormat="false" ht="15" hidden="false" customHeight="true" outlineLevel="0" collapsed="false">
      <c r="B63" s="196" t="s">
        <v>755</v>
      </c>
      <c r="C63" s="196"/>
      <c r="D63" s="196"/>
      <c r="E63" s="196"/>
      <c r="F63" s="196"/>
      <c r="G63" s="196"/>
      <c r="H63" s="196"/>
      <c r="I63" s="196"/>
    </row>
    <row r="64" customFormat="false" ht="15" hidden="false" customHeight="true" outlineLevel="0" collapsed="false">
      <c r="B64" s="196" t="s">
        <v>756</v>
      </c>
      <c r="C64" s="196"/>
      <c r="D64" s="196"/>
      <c r="E64" s="196"/>
      <c r="F64" s="196"/>
      <c r="G64" s="196"/>
      <c r="H64" s="196"/>
      <c r="I64" s="196"/>
    </row>
    <row r="66" customFormat="false" ht="19.5" hidden="false" customHeight="true" outlineLevel="0" collapsed="false">
      <c r="B66" s="156" t="s">
        <v>757</v>
      </c>
      <c r="C66" s="156"/>
      <c r="D66" s="156"/>
      <c r="E66" s="156"/>
      <c r="F66" s="156"/>
      <c r="G66" s="156"/>
      <c r="H66" s="156"/>
      <c r="I66" s="156"/>
    </row>
    <row r="67" customFormat="false" ht="15" hidden="false" customHeight="false" outlineLevel="0" collapsed="false">
      <c r="B67" s="170" t="s">
        <v>758</v>
      </c>
      <c r="C67" s="170"/>
      <c r="D67" s="170"/>
      <c r="E67" s="197" t="str">
        <f aca="false">$E$50</f>
        <v>MEDIO</v>
      </c>
      <c r="F67" s="197"/>
      <c r="G67" s="197"/>
    </row>
    <row r="68" customFormat="false" ht="15" hidden="false" customHeight="false" outlineLevel="0" collapsed="false">
      <c r="B68" s="170" t="s">
        <v>759</v>
      </c>
      <c r="C68" s="170"/>
      <c r="D68" s="170"/>
      <c r="E68" s="197" t="str">
        <f aca="false">'A5 RESIDUAL'!$G$13</f>
        <v>MEDIO BAJO</v>
      </c>
      <c r="F68" s="197"/>
      <c r="G68" s="197"/>
    </row>
    <row r="69" customFormat="false" ht="15" hidden="false" customHeight="false" outlineLevel="0" collapsed="false">
      <c r="B69" s="170" t="s">
        <v>760</v>
      </c>
      <c r="C69" s="170"/>
      <c r="D69" s="170"/>
      <c r="E69" s="198" t="str">
        <f aca="false">IF(OR($E$67="",$E$67="SIN CLASIFICAR",$E$68="SIN EVALUAR"),"— falta completar la clasificación del Cliente o la evaluación de la entidad —",IF($E$67="ALTO","Expediente reforzado: expediente completo, más cuestionario de identificación reforzada con Firma Electrónica; si además es PEP, aprobación de un directivo (Arts. 23 Ter 3, 4 y 5).",IF($E$67="MEDIO","Expediente completo del Art. 12 de las Reglas (Art. 17 Bis).",IF($E$68="BAJO","Medidas simplificadas: bastan los datos de los anexos (Art. 17 de las Reglas). Proceden porque se cumplen las DOS condiciones: el Cliente es de bajo Riesgo conforme al Capítulo III Bis (Art. 17) y tu entidad es de bajo riesgo residual (Art. 15 del Reglamento).","Expediente completo del Art. 12: aunque el Cliente es de bajo Riesgo, tu entidad no lo es, y el Art. 15 del Reglamento condiciona las medidas simplificadas a que quien realiza la Actividad Vulnerable sea de bajo riesgo. Falta una de las dos condiciones."))))</f>
        <v>Expediente completo del Art. 12 de las Reglas (Art. 17 Bis).</v>
      </c>
      <c r="F69" s="198"/>
      <c r="G69" s="198"/>
      <c r="H69" s="198"/>
      <c r="I69" s="198"/>
    </row>
    <row r="70" customFormat="false" ht="15" hidden="false" customHeight="false" outlineLevel="0" collapsed="false">
      <c r="E70" s="198"/>
      <c r="F70" s="198"/>
      <c r="G70" s="198"/>
      <c r="H70" s="198"/>
      <c r="I70" s="198"/>
    </row>
    <row r="72" customFormat="false" ht="15" hidden="false" customHeight="true" outlineLevel="0" collapsed="false">
      <c r="B72" s="103" t="s">
        <v>761</v>
      </c>
      <c r="C72" s="103"/>
      <c r="D72" s="103"/>
      <c r="E72" s="103"/>
      <c r="F72" s="103"/>
      <c r="G72" s="103"/>
      <c r="H72" s="103"/>
      <c r="I72" s="103"/>
    </row>
    <row r="73" customFormat="false" ht="15" hidden="false" customHeight="false" outlineLevel="0" collapsed="false">
      <c r="B73" s="103"/>
      <c r="C73" s="103"/>
      <c r="D73" s="103"/>
      <c r="E73" s="103"/>
      <c r="F73" s="103"/>
      <c r="G73" s="103"/>
      <c r="H73" s="103"/>
      <c r="I73" s="103"/>
    </row>
    <row r="74" customFormat="false" ht="15" hidden="false" customHeight="false" outlineLevel="0" collapsed="false">
      <c r="B74" s="103"/>
      <c r="C74" s="103"/>
      <c r="D74" s="103"/>
      <c r="E74" s="103"/>
      <c r="F74" s="103"/>
      <c r="G74" s="103"/>
      <c r="H74" s="103"/>
      <c r="I74" s="103"/>
    </row>
    <row r="76" customFormat="false" ht="19.5" hidden="false" customHeight="true" outlineLevel="0" collapsed="false">
      <c r="B76" s="156" t="s">
        <v>762</v>
      </c>
      <c r="C76" s="156"/>
      <c r="D76" s="156"/>
      <c r="E76" s="156"/>
      <c r="F76" s="156"/>
      <c r="G76" s="156"/>
      <c r="H76" s="156"/>
      <c r="I76" s="156"/>
    </row>
    <row r="77" customFormat="false" ht="39.75" hidden="false" customHeight="true" outlineLevel="0" collapsed="false">
      <c r="B77" s="103" t="s">
        <v>763</v>
      </c>
      <c r="C77" s="103"/>
      <c r="D77" s="103"/>
      <c r="E77" s="103"/>
      <c r="F77" s="103"/>
      <c r="G77" s="103"/>
      <c r="H77" s="103"/>
      <c r="I77" s="103"/>
    </row>
    <row r="78" customFormat="false" ht="15" hidden="false" customHeight="false" outlineLevel="0" collapsed="false">
      <c r="B78" s="157" t="s">
        <v>764</v>
      </c>
      <c r="E78" s="157" t="s">
        <v>765</v>
      </c>
      <c r="F78" s="157" t="s">
        <v>504</v>
      </c>
      <c r="G78" s="157" t="s">
        <v>493</v>
      </c>
    </row>
    <row r="79" customFormat="false" ht="15" hidden="false" customHeight="false" outlineLevel="0" collapsed="false">
      <c r="B79" s="159" t="s">
        <v>766</v>
      </c>
      <c r="C79" s="159"/>
      <c r="D79" s="159"/>
      <c r="E79" s="137" t="s">
        <v>194</v>
      </c>
      <c r="F79" s="199"/>
      <c r="G79" s="167" t="s">
        <v>767</v>
      </c>
      <c r="H79" s="167"/>
      <c r="I79" s="167"/>
    </row>
    <row r="80" customFormat="false" ht="15" hidden="false" customHeight="false" outlineLevel="0" collapsed="false">
      <c r="B80" s="159" t="s">
        <v>768</v>
      </c>
      <c r="C80" s="159"/>
      <c r="D80" s="159"/>
      <c r="E80" s="137" t="s">
        <v>194</v>
      </c>
      <c r="F80" s="199"/>
      <c r="G80" s="167" t="s">
        <v>769</v>
      </c>
      <c r="H80" s="167"/>
      <c r="I80" s="167"/>
    </row>
    <row r="81" customFormat="false" ht="15" hidden="false" customHeight="false" outlineLevel="0" collapsed="false">
      <c r="B81" s="159" t="s">
        <v>770</v>
      </c>
      <c r="C81" s="159"/>
      <c r="D81" s="159"/>
      <c r="E81" s="137" t="s">
        <v>194</v>
      </c>
      <c r="F81" s="199"/>
      <c r="G81" s="167" t="s">
        <v>606</v>
      </c>
      <c r="H81" s="167"/>
      <c r="I81" s="167"/>
    </row>
    <row r="82" customFormat="false" ht="15" hidden="false" customHeight="false" outlineLevel="0" collapsed="false">
      <c r="B82" s="159" t="s">
        <v>771</v>
      </c>
      <c r="C82" s="159"/>
      <c r="D82" s="159"/>
      <c r="E82" s="137" t="s">
        <v>194</v>
      </c>
      <c r="F82" s="199"/>
      <c r="G82" s="167" t="s">
        <v>772</v>
      </c>
      <c r="H82" s="167"/>
      <c r="I82" s="167"/>
    </row>
    <row r="83" customFormat="false" ht="15" hidden="false" customHeight="false" outlineLevel="0" collapsed="false">
      <c r="B83" s="159" t="s">
        <v>773</v>
      </c>
      <c r="C83" s="159"/>
      <c r="D83" s="159"/>
      <c r="E83" s="137" t="s">
        <v>194</v>
      </c>
      <c r="F83" s="199"/>
      <c r="G83" s="167" t="s">
        <v>774</v>
      </c>
      <c r="H83" s="167"/>
      <c r="I83" s="167"/>
    </row>
    <row r="84" customFormat="false" ht="15" hidden="false" customHeight="false" outlineLevel="0" collapsed="false">
      <c r="B84" s="159" t="s">
        <v>775</v>
      </c>
      <c r="C84" s="159"/>
      <c r="D84" s="159"/>
      <c r="E84" s="137" t="s">
        <v>194</v>
      </c>
      <c r="F84" s="199"/>
      <c r="G84" s="167" t="s">
        <v>776</v>
      </c>
      <c r="H84" s="167"/>
      <c r="I84" s="167"/>
    </row>
    <row r="85" customFormat="false" ht="15" hidden="false" customHeight="false" outlineLevel="0" collapsed="false">
      <c r="B85" s="200" t="s">
        <v>777</v>
      </c>
      <c r="C85" s="200"/>
      <c r="D85" s="200"/>
      <c r="E85" s="201" t="str">
        <f aca="false">IF(COUNTIF($E$79:$E$84,"Sí")&gt;0,"SÍ · REVISAR EL GRADO Y DEJAR CONSTANCIA DEL RESULTADO","Sin eventos registrados en el periodo")</f>
        <v>Sin eventos registrados en el periodo</v>
      </c>
      <c r="F85" s="201"/>
      <c r="G85" s="201"/>
      <c r="H85" s="201"/>
      <c r="I85" s="201"/>
    </row>
  </sheetData>
  <mergeCells count="64">
    <mergeCell ref="B2:I2"/>
    <mergeCell ref="B3:I3"/>
    <mergeCell ref="B4:I4"/>
    <mergeCell ref="B6:I6"/>
    <mergeCell ref="B7:D7"/>
    <mergeCell ref="E7:I7"/>
    <mergeCell ref="B8:D8"/>
    <mergeCell ref="E8:I8"/>
    <mergeCell ref="B9:D9"/>
    <mergeCell ref="E9:G9"/>
    <mergeCell ref="B10:D10"/>
    <mergeCell ref="E10:G10"/>
    <mergeCell ref="B11:D11"/>
    <mergeCell ref="E11:G11"/>
    <mergeCell ref="B12:I12"/>
    <mergeCell ref="B13:I13"/>
    <mergeCell ref="B37:I37"/>
    <mergeCell ref="B38:I38"/>
    <mergeCell ref="G43:I43"/>
    <mergeCell ref="B45:I45"/>
    <mergeCell ref="B46:D46"/>
    <mergeCell ref="E46:F46"/>
    <mergeCell ref="B47:D47"/>
    <mergeCell ref="E47:F47"/>
    <mergeCell ref="B48:D48"/>
    <mergeCell ref="E48:I48"/>
    <mergeCell ref="B50:D51"/>
    <mergeCell ref="E50:F51"/>
    <mergeCell ref="G50:I51"/>
    <mergeCell ref="B53:I53"/>
    <mergeCell ref="E54:I54"/>
    <mergeCell ref="E55:I55"/>
    <mergeCell ref="E56:I56"/>
    <mergeCell ref="B58:I58"/>
    <mergeCell ref="B59:I59"/>
    <mergeCell ref="B60:I60"/>
    <mergeCell ref="B61:I61"/>
    <mergeCell ref="B62:I62"/>
    <mergeCell ref="B63:I63"/>
    <mergeCell ref="B64:I64"/>
    <mergeCell ref="B66:I66"/>
    <mergeCell ref="B67:D67"/>
    <mergeCell ref="E67:G67"/>
    <mergeCell ref="B68:D68"/>
    <mergeCell ref="E68:G68"/>
    <mergeCell ref="B69:D69"/>
    <mergeCell ref="E69:I70"/>
    <mergeCell ref="B72:I74"/>
    <mergeCell ref="B76:I76"/>
    <mergeCell ref="B77:I77"/>
    <mergeCell ref="B79:D79"/>
    <mergeCell ref="G79:I79"/>
    <mergeCell ref="B80:D80"/>
    <mergeCell ref="G80:I80"/>
    <mergeCell ref="B81:D81"/>
    <mergeCell ref="G81:I81"/>
    <mergeCell ref="B82:D82"/>
    <mergeCell ref="G82:I82"/>
    <mergeCell ref="B83:D83"/>
    <mergeCell ref="G83:I83"/>
    <mergeCell ref="B84:D84"/>
    <mergeCell ref="G84:I84"/>
    <mergeCell ref="B85:D85"/>
    <mergeCell ref="E85:I85"/>
  </mergeCells>
  <dataValidations count="30">
    <dataValidation allowBlank="false" errorStyle="stop" operator="between" showDropDown="false" showErrorMessage="false" showInputMessage="false" sqref="E79" type="list">
      <formula1>"Sí,No"</formula1>
      <formula2>0</formula2>
    </dataValidation>
    <dataValidation allowBlank="false" errorStyle="stop" operator="between" showDropDown="false" showErrorMessage="false" showInputMessage="false" sqref="E80" type="list">
      <formula1>"Sí,No"</formula1>
      <formula2>0</formula2>
    </dataValidation>
    <dataValidation allowBlank="false" errorStyle="stop" operator="between" showDropDown="false" showErrorMessage="false" showInputMessage="false" sqref="E81" type="list">
      <formula1>"Sí,No"</formula1>
      <formula2>0</formula2>
    </dataValidation>
    <dataValidation allowBlank="false" errorStyle="stop" operator="between" showDropDown="false" showErrorMessage="false" showInputMessage="false" sqref="E82" type="list">
      <formula1>"Sí,No"</formula1>
      <formula2>0</formula2>
    </dataValidation>
    <dataValidation allowBlank="false" errorStyle="stop" operator="between" showDropDown="false" showErrorMessage="false" showInputMessage="false" sqref="E83" type="list">
      <formula1>"Sí,No"</formula1>
      <formula2>0</formula2>
    </dataValidation>
    <dataValidation allowBlank="false" errorStyle="stop" operator="between" showDropDown="false" showErrorMessage="false" showInputMessage="false" sqref="E84" type="list">
      <formula1>"Sí,No"</formula1>
      <formula2>0</formula2>
    </dataValidation>
    <dataValidation allowBlank="false" errorStyle="stop" operator="between" showDropDown="false" showErrorMessage="false" showInputMessage="false" sqref="E15" type="list">
      <formula1>V_F01</formula1>
      <formula2>0</formula2>
    </dataValidation>
    <dataValidation allowBlank="false" errorStyle="stop" operator="between" showDropDown="false" showErrorMessage="false" showInputMessage="false" sqref="E16" type="list">
      <formula1>V_F02</formula1>
      <formula2>0</formula2>
    </dataValidation>
    <dataValidation allowBlank="false" errorStyle="stop" operator="between" showDropDown="false" showErrorMessage="false" showInputMessage="false" sqref="E17" type="list">
      <formula1>V_F03</formula1>
      <formula2>0</formula2>
    </dataValidation>
    <dataValidation allowBlank="false" errorStyle="stop" operator="between" showDropDown="false" showErrorMessage="false" showInputMessage="false" sqref="E18" type="list">
      <formula1>V_F04</formula1>
      <formula2>0</formula2>
    </dataValidation>
    <dataValidation allowBlank="false" errorStyle="stop" operator="between" showDropDown="false" showErrorMessage="false" showInputMessage="false" sqref="E19" type="list">
      <formula1>V_F05</formula1>
      <formula2>0</formula2>
    </dataValidation>
    <dataValidation allowBlank="false" errorStyle="stop" operator="between" showDropDown="false" showErrorMessage="false" showInputMessage="false" sqref="E20" type="list">
      <formula1>V_F06</formula1>
      <formula2>0</formula2>
    </dataValidation>
    <dataValidation allowBlank="false" errorStyle="stop" operator="between" showDropDown="false" showErrorMessage="false" showInputMessage="false" sqref="E21" type="list">
      <formula1>V_F07</formula1>
      <formula2>0</formula2>
    </dataValidation>
    <dataValidation allowBlank="false" errorStyle="stop" operator="between" showDropDown="false" showErrorMessage="false" showInputMessage="false" sqref="E22" type="list">
      <formula1>V_F08</formula1>
      <formula2>0</formula2>
    </dataValidation>
    <dataValidation allowBlank="false" errorStyle="stop" operator="between" showDropDown="false" showErrorMessage="false" showInputMessage="false" sqref="E23" type="list">
      <formula1>V_F09</formula1>
      <formula2>0</formula2>
    </dataValidation>
    <dataValidation allowBlank="false" errorStyle="stop" operator="between" showDropDown="false" showErrorMessage="false" showInputMessage="false" sqref="E24" type="list">
      <formula1>V_F10</formula1>
      <formula2>0</formula2>
    </dataValidation>
    <dataValidation allowBlank="false" errorStyle="stop" operator="between" showDropDown="false" showErrorMessage="false" showInputMessage="false" sqref="E25" type="list">
      <formula1>V_F11</formula1>
      <formula2>0</formula2>
    </dataValidation>
    <dataValidation allowBlank="false" errorStyle="stop" operator="between" showDropDown="false" showErrorMessage="false" showInputMessage="false" sqref="E26" type="list">
      <formula1>V_F12</formula1>
      <formula2>0</formula2>
    </dataValidation>
    <dataValidation allowBlank="false" errorStyle="stop" operator="between" showDropDown="false" showErrorMessage="false" showInputMessage="false" sqref="E27" type="list">
      <formula1>V_F13</formula1>
      <formula2>0</formula2>
    </dataValidation>
    <dataValidation allowBlank="false" errorStyle="stop" operator="between" showDropDown="false" showErrorMessage="false" showInputMessage="false" sqref="E28" type="list">
      <formula1>V_F14</formula1>
      <formula2>0</formula2>
    </dataValidation>
    <dataValidation allowBlank="false" errorStyle="stop" operator="between" showDropDown="false" showErrorMessage="false" showInputMessage="false" sqref="E29" type="list">
      <formula1>V_F15</formula1>
      <formula2>0</formula2>
    </dataValidation>
    <dataValidation allowBlank="false" errorStyle="stop" operator="between" showDropDown="false" showErrorMessage="false" showInputMessage="false" sqref="E30" type="list">
      <formula1>V_F16</formula1>
      <formula2>0</formula2>
    </dataValidation>
    <dataValidation allowBlank="false" errorStyle="stop" operator="between" showDropDown="false" showErrorMessage="false" showInputMessage="false" sqref="E31" type="list">
      <formula1>V_F17</formula1>
      <formula2>0</formula2>
    </dataValidation>
    <dataValidation allowBlank="false" errorStyle="stop" operator="between" showDropDown="false" showErrorMessage="false" showInputMessage="false" sqref="E32" type="list">
      <formula1>V_F18</formula1>
      <formula2>0</formula2>
    </dataValidation>
    <dataValidation allowBlank="false" errorStyle="stop" operator="between" showDropDown="false" showErrorMessage="false" showInputMessage="false" sqref="E33" type="list">
      <formula1>V_F19</formula1>
      <formula2>0</formula2>
    </dataValidation>
    <dataValidation allowBlank="false" errorStyle="stop" operator="between" showDropDown="false" showErrorMessage="false" showInputMessage="false" sqref="E34" type="list">
      <formula1>V_F20</formula1>
      <formula2>0</formula2>
    </dataValidation>
    <dataValidation allowBlank="false" errorStyle="stop" operator="between" showDropDown="false" showErrorMessage="false" showInputMessage="false" sqref="E35" type="list">
      <formula1>V_F21</formula1>
      <formula2>0</formula2>
    </dataValidation>
    <dataValidation allowBlank="false" errorStyle="stop" operator="between" showDropDown="false" showErrorMessage="false" showInputMessage="false" sqref="E36" type="list">
      <formula1>V_F22</formula1>
      <formula2>0</formula2>
    </dataValidation>
    <dataValidation allowBlank="false" errorStyle="stop" operator="between" showDropDown="false" showErrorMessage="false" showInputMessage="false" sqref="E10" type="list">
      <formula1>"Sí,No"</formula1>
      <formula2>0</formula2>
    </dataValidation>
    <dataValidation allowBlank="false" errorStyle="stop" operator="between" showDropDown="false" showErrorMessage="false" showInputMessage="false" sqref="E1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4"/>
    <col collapsed="false" customWidth="true" hidden="false" outlineLevel="0" max="3" min="3" style="1" width="14"/>
    <col collapsed="false" customWidth="true" hidden="false" outlineLevel="0" max="4" min="4" style="1" width="42"/>
    <col collapsed="false" customWidth="true" hidden="false" outlineLevel="0" max="7" min="5" style="1" width="16"/>
    <col collapsed="false" customWidth="true" hidden="false" outlineLevel="0" max="8" min="8" style="1" width="20"/>
    <col collapsed="false" customWidth="true" hidden="false" outlineLevel="0" max="9" min="9" style="1" width="16"/>
    <col collapsed="false" customWidth="true" hidden="false" outlineLevel="0" max="10" min="10" style="1" width="30"/>
    <col collapsed="false" customWidth="true" hidden="false" outlineLevel="0" max="11" min="11" style="1" width="8"/>
  </cols>
  <sheetData>
    <row r="2" customFormat="false" ht="21.75" hidden="false" customHeight="true" outlineLevel="0" collapsed="false">
      <c r="B2" s="3" t="s">
        <v>778</v>
      </c>
    </row>
    <row r="3" customFormat="false" ht="15" hidden="false" customHeight="true" outlineLevel="0" collapsed="false">
      <c r="B3" s="4" t="s">
        <v>779</v>
      </c>
    </row>
    <row r="4" customFormat="false" ht="15" hidden="false" customHeight="true" outlineLevel="0" collapsed="false">
      <c r="B4" s="6" t="s">
        <v>780</v>
      </c>
    </row>
    <row r="5" customFormat="false" ht="15" hidden="false" customHeight="true" outlineLevel="0" collapsed="false">
      <c r="B5" s="7" t="s">
        <v>781</v>
      </c>
      <c r="C5" s="7"/>
      <c r="D5" s="7"/>
      <c r="F5" s="7" t="s">
        <v>782</v>
      </c>
      <c r="G5" s="7"/>
      <c r="H5" s="7"/>
    </row>
    <row r="6" customFormat="false" ht="21.75" hidden="false" customHeight="true" outlineLevel="0" collapsed="false">
      <c r="B6" s="202" t="n">
        <v>1</v>
      </c>
      <c r="C6" s="120" t="s">
        <v>783</v>
      </c>
      <c r="D6" s="203" t="s">
        <v>784</v>
      </c>
      <c r="F6" s="202" t="n">
        <v>1</v>
      </c>
      <c r="G6" s="120" t="s">
        <v>785</v>
      </c>
      <c r="H6" s="203" t="s">
        <v>786</v>
      </c>
    </row>
    <row r="7" customFormat="false" ht="15" hidden="false" customHeight="true" outlineLevel="0" collapsed="false">
      <c r="B7" s="202" t="n">
        <v>2</v>
      </c>
      <c r="C7" s="120" t="s">
        <v>392</v>
      </c>
      <c r="D7" s="203" t="s">
        <v>787</v>
      </c>
      <c r="F7" s="202" t="n">
        <v>2</v>
      </c>
      <c r="G7" s="120" t="s">
        <v>788</v>
      </c>
      <c r="H7" s="203" t="s">
        <v>789</v>
      </c>
    </row>
    <row r="8" customFormat="false" ht="15" hidden="false" customHeight="true" outlineLevel="0" collapsed="false">
      <c r="B8" s="202" t="n">
        <v>3</v>
      </c>
      <c r="C8" s="120" t="s">
        <v>390</v>
      </c>
      <c r="D8" s="203" t="s">
        <v>790</v>
      </c>
      <c r="F8" s="202" t="n">
        <v>3</v>
      </c>
      <c r="G8" s="120" t="s">
        <v>791</v>
      </c>
      <c r="H8" s="203" t="s">
        <v>792</v>
      </c>
    </row>
    <row r="9" customFormat="false" ht="15" hidden="false" customHeight="true" outlineLevel="0" collapsed="false">
      <c r="B9" s="202" t="n">
        <v>4</v>
      </c>
      <c r="C9" s="120" t="s">
        <v>391</v>
      </c>
      <c r="D9" s="203" t="s">
        <v>793</v>
      </c>
      <c r="F9" s="202" t="n">
        <v>4</v>
      </c>
      <c r="G9" s="120" t="s">
        <v>794</v>
      </c>
      <c r="H9" s="203" t="s">
        <v>795</v>
      </c>
    </row>
    <row r="10" customFormat="false" ht="21.75" hidden="false" customHeight="true" outlineLevel="0" collapsed="false">
      <c r="B10" s="202" t="n">
        <v>5</v>
      </c>
      <c r="C10" s="120" t="s">
        <v>796</v>
      </c>
      <c r="D10" s="203" t="s">
        <v>797</v>
      </c>
      <c r="F10" s="202" t="n">
        <v>5</v>
      </c>
      <c r="G10" s="120" t="s">
        <v>798</v>
      </c>
      <c r="H10" s="203" t="s">
        <v>799</v>
      </c>
    </row>
    <row r="11" customFormat="false" ht="15" hidden="false" customHeight="false" outlineLevel="0" collapsed="false">
      <c r="B11" s="204" t="s">
        <v>800</v>
      </c>
    </row>
    <row r="13" customFormat="false" ht="15" hidden="false" customHeight="true" outlineLevel="0" collapsed="false">
      <c r="B13" s="7" t="s">
        <v>801</v>
      </c>
      <c r="C13" s="7"/>
      <c r="D13" s="7"/>
      <c r="E13" s="7"/>
      <c r="F13" s="7"/>
      <c r="H13" s="205" t="s">
        <v>802</v>
      </c>
      <c r="I13" s="205"/>
      <c r="J13" s="205"/>
      <c r="K13" s="205"/>
    </row>
    <row r="14" customFormat="false" ht="15" hidden="false" customHeight="true" outlineLevel="0" collapsed="false">
      <c r="B14" s="119" t="s">
        <v>803</v>
      </c>
      <c r="C14" s="119" t="s">
        <v>804</v>
      </c>
      <c r="D14" s="119" t="s">
        <v>92</v>
      </c>
      <c r="E14" s="119" t="s">
        <v>140</v>
      </c>
      <c r="F14" s="119" t="s">
        <v>805</v>
      </c>
      <c r="H14" s="84" t="s">
        <v>806</v>
      </c>
      <c r="I14" s="84" t="s">
        <v>807</v>
      </c>
      <c r="J14" s="84" t="s">
        <v>808</v>
      </c>
      <c r="K14" s="84"/>
    </row>
    <row r="15" customFormat="false" ht="15" hidden="false" customHeight="true" outlineLevel="0" collapsed="false">
      <c r="B15" s="206" t="n">
        <v>0</v>
      </c>
      <c r="C15" s="206" t="n">
        <v>1</v>
      </c>
      <c r="D15" s="206" t="n">
        <v>5</v>
      </c>
      <c r="E15" s="202" t="s">
        <v>741</v>
      </c>
      <c r="F15" s="207"/>
      <c r="H15" s="208" t="s">
        <v>195</v>
      </c>
      <c r="I15" s="209" t="n">
        <v>1</v>
      </c>
      <c r="J15" s="210" t="s">
        <v>809</v>
      </c>
      <c r="K15" s="210"/>
    </row>
    <row r="16" customFormat="false" ht="15" hidden="false" customHeight="true" outlineLevel="0" collapsed="false">
      <c r="B16" s="206" t="n">
        <v>5.01</v>
      </c>
      <c r="C16" s="206" t="n">
        <v>6</v>
      </c>
      <c r="D16" s="206" t="n">
        <v>9</v>
      </c>
      <c r="E16" s="202" t="s">
        <v>810</v>
      </c>
      <c r="F16" s="211"/>
      <c r="H16" s="208" t="s">
        <v>202</v>
      </c>
      <c r="I16" s="209" t="n">
        <v>0.75</v>
      </c>
      <c r="J16" s="210" t="s">
        <v>811</v>
      </c>
      <c r="K16" s="210"/>
    </row>
    <row r="17" customFormat="false" ht="15" hidden="false" customHeight="true" outlineLevel="0" collapsed="false">
      <c r="B17" s="206" t="n">
        <v>9.01</v>
      </c>
      <c r="C17" s="206" t="n">
        <v>10</v>
      </c>
      <c r="D17" s="206" t="n">
        <v>12</v>
      </c>
      <c r="E17" s="202" t="s">
        <v>744</v>
      </c>
      <c r="F17" s="212"/>
      <c r="H17" s="208" t="s">
        <v>215</v>
      </c>
      <c r="I17" s="209" t="n">
        <v>0.4</v>
      </c>
      <c r="J17" s="210" t="s">
        <v>812</v>
      </c>
      <c r="K17" s="210"/>
    </row>
    <row r="18" customFormat="false" ht="15" hidden="false" customHeight="true" outlineLevel="0" collapsed="false">
      <c r="B18" s="206" t="n">
        <v>12.01</v>
      </c>
      <c r="C18" s="206" t="n">
        <v>13</v>
      </c>
      <c r="D18" s="206" t="n">
        <v>16</v>
      </c>
      <c r="E18" s="202" t="s">
        <v>813</v>
      </c>
      <c r="F18" s="213"/>
      <c r="H18" s="208" t="s">
        <v>814</v>
      </c>
      <c r="I18" s="209" t="n">
        <v>0</v>
      </c>
      <c r="J18" s="210" t="s">
        <v>815</v>
      </c>
      <c r="K18" s="210"/>
    </row>
    <row r="19" customFormat="false" ht="15" hidden="false" customHeight="true" outlineLevel="0" collapsed="false">
      <c r="B19" s="206" t="n">
        <v>16.01</v>
      </c>
      <c r="C19" s="206" t="n">
        <v>17</v>
      </c>
      <c r="D19" s="206" t="n">
        <v>25</v>
      </c>
      <c r="E19" s="202" t="s">
        <v>747</v>
      </c>
      <c r="F19" s="214"/>
      <c r="H19" s="208" t="s">
        <v>816</v>
      </c>
      <c r="I19" s="209" t="s">
        <v>817</v>
      </c>
      <c r="J19" s="210" t="s">
        <v>818</v>
      </c>
      <c r="K19" s="210"/>
    </row>
    <row r="20" customFormat="false" ht="23.25" hidden="false" customHeight="true" outlineLevel="0" collapsed="false">
      <c r="B20" s="32" t="s">
        <v>819</v>
      </c>
      <c r="H20" s="53"/>
      <c r="I20" s="49"/>
      <c r="J20" s="203"/>
      <c r="K20" s="203"/>
    </row>
    <row r="21" customFormat="false" ht="15" hidden="false" customHeight="true" outlineLevel="0" collapsed="false">
      <c r="H21" s="73" t="s">
        <v>820</v>
      </c>
    </row>
    <row r="22" customFormat="false" ht="57" hidden="false" customHeight="true" outlineLevel="0" collapsed="false">
      <c r="B22" s="15" t="s">
        <v>821</v>
      </c>
      <c r="C22" s="215" t="n">
        <v>117.31</v>
      </c>
      <c r="D22" s="4" t="s">
        <v>822</v>
      </c>
    </row>
    <row r="24" customFormat="false" ht="15" hidden="false" customHeight="true" outlineLevel="0" collapsed="false">
      <c r="B24" s="7" t="s">
        <v>823</v>
      </c>
      <c r="C24" s="7"/>
      <c r="D24" s="7"/>
    </row>
    <row r="25" customFormat="false" ht="34.5" hidden="false" customHeight="true" outlineLevel="0" collapsed="false">
      <c r="B25" s="53" t="s">
        <v>824</v>
      </c>
      <c r="C25" s="66" t="s">
        <v>744</v>
      </c>
    </row>
    <row r="28" customFormat="false" ht="21" hidden="false" customHeight="true" outlineLevel="0" collapsed="false">
      <c r="B28" s="47" t="s">
        <v>825</v>
      </c>
      <c r="C28" s="47"/>
      <c r="D28" s="47"/>
      <c r="E28" s="47"/>
      <c r="F28" s="47"/>
      <c r="G28" s="47"/>
    </row>
    <row r="29" customFormat="false" ht="15" hidden="false" customHeight="true" outlineLevel="0" collapsed="false">
      <c r="B29" s="62" t="s">
        <v>826</v>
      </c>
    </row>
    <row r="30" customFormat="false" ht="15" hidden="false" customHeight="true" outlineLevel="0" collapsed="false">
      <c r="B30" s="134" t="s">
        <v>827</v>
      </c>
      <c r="C30" s="49" t="n">
        <v>0.5</v>
      </c>
    </row>
    <row r="31" customFormat="false" ht="15" hidden="false" customHeight="true" outlineLevel="0" collapsed="false">
      <c r="B31" s="136" t="s">
        <v>828</v>
      </c>
    </row>
    <row r="32" customFormat="false" ht="15" hidden="false" customHeight="true" outlineLevel="0" collapsed="false">
      <c r="B32" s="136" t="s">
        <v>829</v>
      </c>
    </row>
    <row r="33" customFormat="false" ht="15" hidden="false" customHeight="true" outlineLevel="0" collapsed="false">
      <c r="B33" s="31" t="s">
        <v>830</v>
      </c>
    </row>
    <row r="38" customFormat="false" ht="21" hidden="false" customHeight="true" outlineLevel="0" collapsed="false">
      <c r="B38" s="47" t="s">
        <v>831</v>
      </c>
      <c r="C38" s="47"/>
      <c r="D38" s="47"/>
      <c r="E38" s="47"/>
      <c r="F38" s="47"/>
      <c r="G38" s="47"/>
      <c r="H38" s="47"/>
      <c r="I38" s="47"/>
      <c r="J38" s="47"/>
    </row>
    <row r="39" customFormat="false" ht="15" hidden="false" customHeight="true" outlineLevel="0" collapsed="false">
      <c r="B39" s="7" t="s">
        <v>832</v>
      </c>
      <c r="C39" s="7"/>
      <c r="D39" s="7" t="s">
        <v>833</v>
      </c>
      <c r="E39" s="7" t="s">
        <v>834</v>
      </c>
      <c r="F39" s="7"/>
      <c r="G39" s="7"/>
      <c r="H39" s="7"/>
      <c r="I39" s="7"/>
      <c r="J39" s="7"/>
    </row>
    <row r="40" customFormat="false" ht="30" hidden="false" customHeight="true" outlineLevel="0" collapsed="false">
      <c r="B40" s="61" t="s">
        <v>835</v>
      </c>
      <c r="C40" s="61"/>
      <c r="D40" s="145" t="s">
        <v>836</v>
      </c>
      <c r="E40" s="145" t="s">
        <v>837</v>
      </c>
      <c r="F40" s="145"/>
      <c r="G40" s="145"/>
      <c r="H40" s="145"/>
      <c r="I40" s="145"/>
      <c r="J40" s="145"/>
    </row>
    <row r="41" customFormat="false" ht="43.5" hidden="false" customHeight="true" outlineLevel="0" collapsed="false">
      <c r="B41" s="61" t="s">
        <v>838</v>
      </c>
      <c r="C41" s="61"/>
      <c r="D41" s="145" t="s">
        <v>839</v>
      </c>
      <c r="E41" s="145" t="s">
        <v>840</v>
      </c>
      <c r="F41" s="145"/>
      <c r="G41" s="145"/>
      <c r="H41" s="145"/>
      <c r="I41" s="145"/>
      <c r="J41" s="145"/>
    </row>
    <row r="42" customFormat="false" ht="30" hidden="false" customHeight="true" outlineLevel="0" collapsed="false">
      <c r="B42" s="61" t="s">
        <v>841</v>
      </c>
      <c r="C42" s="61"/>
      <c r="D42" s="145" t="s">
        <v>842</v>
      </c>
      <c r="E42" s="145" t="s">
        <v>843</v>
      </c>
      <c r="F42" s="145"/>
      <c r="G42" s="145"/>
      <c r="H42" s="145"/>
      <c r="I42" s="145"/>
      <c r="J42" s="145"/>
    </row>
    <row r="43" customFormat="false" ht="51.75" hidden="false" customHeight="true" outlineLevel="0" collapsed="false">
      <c r="B43" s="61" t="s">
        <v>844</v>
      </c>
      <c r="C43" s="61"/>
      <c r="D43" s="145" t="s">
        <v>845</v>
      </c>
      <c r="E43" s="145" t="s">
        <v>846</v>
      </c>
      <c r="F43" s="145"/>
      <c r="G43" s="145"/>
      <c r="H43" s="145"/>
      <c r="I43" s="145"/>
      <c r="J43" s="145"/>
    </row>
    <row r="44" customFormat="false" ht="30" hidden="false" customHeight="true" outlineLevel="0" collapsed="false">
      <c r="B44" s="61" t="s">
        <v>847</v>
      </c>
      <c r="C44" s="61"/>
      <c r="D44" s="145" t="s">
        <v>848</v>
      </c>
      <c r="E44" s="145" t="s">
        <v>849</v>
      </c>
      <c r="F44" s="145"/>
      <c r="G44" s="145"/>
      <c r="H44" s="145"/>
      <c r="I44" s="145"/>
      <c r="J44" s="145"/>
    </row>
    <row r="45" customFormat="false" ht="43.5" hidden="false" customHeight="true" outlineLevel="0" collapsed="false">
      <c r="B45" s="61" t="s">
        <v>850</v>
      </c>
      <c r="C45" s="61"/>
      <c r="D45" s="145" t="s">
        <v>851</v>
      </c>
      <c r="E45" s="145" t="s">
        <v>852</v>
      </c>
      <c r="F45" s="145"/>
      <c r="G45" s="145"/>
      <c r="H45" s="145"/>
      <c r="I45" s="145"/>
      <c r="J45" s="145"/>
    </row>
    <row r="47" customFormat="false" ht="15" hidden="false" customHeight="true" outlineLevel="0" collapsed="false">
      <c r="B47" s="62" t="s">
        <v>853</v>
      </c>
    </row>
  </sheetData>
  <mergeCells count="28">
    <mergeCell ref="B5:D5"/>
    <mergeCell ref="F5:H5"/>
    <mergeCell ref="B13:F13"/>
    <mergeCell ref="H13:K13"/>
    <mergeCell ref="J14:K14"/>
    <mergeCell ref="J15:K15"/>
    <mergeCell ref="J16:K16"/>
    <mergeCell ref="J17:K17"/>
    <mergeCell ref="J18:K18"/>
    <mergeCell ref="J19:K19"/>
    <mergeCell ref="J20:K20"/>
    <mergeCell ref="B24:D24"/>
    <mergeCell ref="B28:G28"/>
    <mergeCell ref="B38:J38"/>
    <mergeCell ref="B39:C39"/>
    <mergeCell ref="E39:J39"/>
    <mergeCell ref="B40:C40"/>
    <mergeCell ref="E40:J40"/>
    <mergeCell ref="B41:C41"/>
    <mergeCell ref="E41:J41"/>
    <mergeCell ref="B42:C42"/>
    <mergeCell ref="E42:J42"/>
    <mergeCell ref="B43:C43"/>
    <mergeCell ref="E43:J43"/>
    <mergeCell ref="B44:C44"/>
    <mergeCell ref="E44:J44"/>
    <mergeCell ref="B45:C45"/>
    <mergeCell ref="E45:J45"/>
  </mergeCells>
  <dataValidations count="1">
    <dataValidation allowBlank="false" errorStyle="stop" operator="between" showDropDown="false" showErrorMessage="false" showInputMessage="false" sqref="C25" type="list">
      <formula1>"BAJO,MEDIO BAJO,MEDIO,MEDIO ALTO,ALTO"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O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
    <col collapsed="false" customWidth="true" hidden="false" outlineLevel="0" max="3" min="3" style="1" width="9"/>
    <col collapsed="false" customWidth="true" hidden="false" outlineLevel="0" max="4" min="4" style="1" width="34"/>
    <col collapsed="false" customWidth="true" hidden="false" outlineLevel="0" max="5" min="5" style="1" width="13"/>
    <col collapsed="false" customWidth="true" hidden="false" outlineLevel="0" max="7" min="6" style="1" width="12"/>
    <col collapsed="false" customWidth="true" hidden="false" outlineLevel="0" max="9" min="8" style="1" width="15"/>
    <col collapsed="false" customWidth="true" hidden="false" outlineLevel="0" max="12" min="10" style="1" width="38"/>
    <col collapsed="false" customWidth="true" hidden="false" outlineLevel="0" max="13" min="13" style="1" width="32"/>
    <col collapsed="false" customWidth="true" hidden="false" outlineLevel="0" max="15" min="14" style="1" width="30"/>
  </cols>
  <sheetData>
    <row r="2" customFormat="false" ht="21.75" hidden="false" customHeight="true" outlineLevel="0" collapsed="false">
      <c r="B2" s="3" t="s">
        <v>854</v>
      </c>
    </row>
    <row r="3" customFormat="false" ht="15" hidden="false" customHeight="true" outlineLevel="0" collapsed="false">
      <c r="B3" s="4" t="s">
        <v>855</v>
      </c>
    </row>
    <row r="4" customFormat="false" ht="15" hidden="false" customHeight="true" outlineLevel="0" collapsed="false">
      <c r="B4" s="6" t="s">
        <v>856</v>
      </c>
    </row>
    <row r="5" customFormat="false" ht="34.5" hidden="false" customHeight="true" outlineLevel="0" collapsed="false">
      <c r="B5" s="7" t="s">
        <v>60</v>
      </c>
      <c r="C5" s="7" t="s">
        <v>857</v>
      </c>
      <c r="D5" s="7" t="s">
        <v>858</v>
      </c>
      <c r="E5" s="7" t="s">
        <v>859</v>
      </c>
      <c r="F5" s="7" t="s">
        <v>860</v>
      </c>
      <c r="G5" s="7" t="s">
        <v>861</v>
      </c>
      <c r="H5" s="7" t="s">
        <v>862</v>
      </c>
      <c r="I5" s="7" t="s">
        <v>863</v>
      </c>
      <c r="J5" s="7" t="s">
        <v>864</v>
      </c>
      <c r="K5" s="7" t="s">
        <v>865</v>
      </c>
      <c r="L5" s="7" t="s">
        <v>866</v>
      </c>
      <c r="M5" s="7" t="s">
        <v>867</v>
      </c>
      <c r="N5" s="7" t="s">
        <v>868</v>
      </c>
      <c r="O5" s="7" t="s">
        <v>869</v>
      </c>
    </row>
    <row r="6" customFormat="false" ht="32.25" hidden="false" customHeight="true" outlineLevel="0" collapsed="false">
      <c r="B6" s="216" t="n">
        <v>1</v>
      </c>
      <c r="C6" s="216" t="s">
        <v>190</v>
      </c>
      <c r="D6" s="216" t="s">
        <v>870</v>
      </c>
      <c r="E6" s="216" t="s">
        <v>871</v>
      </c>
      <c r="F6" s="217" t="n">
        <v>325</v>
      </c>
      <c r="G6" s="217" t="n">
        <v>645</v>
      </c>
      <c r="H6" s="218" t="n">
        <f aca="false">IF(ISNUMBER($F6),$F6*PARAMETROS!$C$22,$F6)</f>
        <v>38125.75</v>
      </c>
      <c r="I6" s="218" t="n">
        <f aca="false">IF(ISNUMBER($G6),$G6*PARAMETROS!$C$22,$G6)</f>
        <v>75664.95</v>
      </c>
      <c r="J6" s="216" t="s">
        <v>872</v>
      </c>
      <c r="K6" s="216" t="s">
        <v>873</v>
      </c>
      <c r="L6" s="216" t="s">
        <v>874</v>
      </c>
      <c r="M6" s="216" t="s">
        <v>875</v>
      </c>
      <c r="N6" s="216" t="s">
        <v>876</v>
      </c>
      <c r="O6" s="216" t="s">
        <v>877</v>
      </c>
    </row>
    <row r="7" customFormat="false" ht="32.25" hidden="false" customHeight="true" outlineLevel="0" collapsed="false">
      <c r="B7" s="216" t="n">
        <v>2</v>
      </c>
      <c r="C7" s="216" t="s">
        <v>198</v>
      </c>
      <c r="D7" s="216" t="s">
        <v>878</v>
      </c>
      <c r="E7" s="216" t="s">
        <v>879</v>
      </c>
      <c r="F7" s="217" t="n">
        <v>805</v>
      </c>
      <c r="G7" s="217" t="n">
        <v>1285</v>
      </c>
      <c r="H7" s="218" t="n">
        <f aca="false">IF(ISNUMBER($F7),$F7*PARAMETROS!$C$22,$F7)</f>
        <v>94434.55</v>
      </c>
      <c r="I7" s="218" t="n">
        <f aca="false">IF(ISNUMBER($G7),$G7*PARAMETROS!$C$22,$G7)</f>
        <v>150743.35</v>
      </c>
      <c r="J7" s="216" t="s">
        <v>880</v>
      </c>
      <c r="K7" s="216" t="s">
        <v>881</v>
      </c>
      <c r="L7" s="216" t="s">
        <v>882</v>
      </c>
      <c r="M7" s="216" t="s">
        <v>883</v>
      </c>
      <c r="N7" s="216" t="s">
        <v>884</v>
      </c>
      <c r="O7" s="216" t="s">
        <v>885</v>
      </c>
    </row>
    <row r="8" customFormat="false" ht="42.75" hidden="false" customHeight="true" outlineLevel="0" collapsed="false">
      <c r="B8" s="216" t="n">
        <v>3</v>
      </c>
      <c r="C8" s="216" t="s">
        <v>198</v>
      </c>
      <c r="D8" s="216" t="s">
        <v>886</v>
      </c>
      <c r="E8" s="216" t="s">
        <v>887</v>
      </c>
      <c r="F8" s="217" t="n">
        <v>645</v>
      </c>
      <c r="G8" s="217" t="n">
        <v>645</v>
      </c>
      <c r="H8" s="218" t="n">
        <f aca="false">IF(ISNUMBER($F8),$F8*PARAMETROS!$C$22,$F8)</f>
        <v>75664.95</v>
      </c>
      <c r="I8" s="218" t="n">
        <f aca="false">IF(ISNUMBER($G8),$G8*PARAMETROS!$C$22,$G8)</f>
        <v>75664.95</v>
      </c>
      <c r="J8" s="216" t="s">
        <v>888</v>
      </c>
      <c r="K8" s="216" t="s">
        <v>889</v>
      </c>
      <c r="L8" s="216" t="s">
        <v>890</v>
      </c>
      <c r="M8" s="216" t="s">
        <v>891</v>
      </c>
      <c r="N8" s="216" t="s">
        <v>892</v>
      </c>
      <c r="O8" s="216" t="s">
        <v>893</v>
      </c>
    </row>
    <row r="9" customFormat="false" ht="21.75" hidden="false" customHeight="true" outlineLevel="0" collapsed="false">
      <c r="B9" s="216" t="n">
        <v>4</v>
      </c>
      <c r="C9" s="216" t="s">
        <v>205</v>
      </c>
      <c r="D9" s="216" t="s">
        <v>894</v>
      </c>
      <c r="E9" s="216" t="s">
        <v>895</v>
      </c>
      <c r="F9" s="217" t="s">
        <v>896</v>
      </c>
      <c r="G9" s="217" t="n">
        <v>645</v>
      </c>
      <c r="H9" s="218" t="str">
        <f aca="false">IF(ISNUMBER($F9),$F9*PARAMETROS!$C$22,$F9)</f>
        <v>Siempre</v>
      </c>
      <c r="I9" s="218" t="n">
        <f aca="false">IF(ISNUMBER($G9),$G9*PARAMETROS!$C$22,$G9)</f>
        <v>75664.95</v>
      </c>
      <c r="J9" s="216" t="s">
        <v>897</v>
      </c>
      <c r="K9" s="216" t="s">
        <v>898</v>
      </c>
      <c r="L9" s="216" t="s">
        <v>899</v>
      </c>
      <c r="M9" s="216" t="s">
        <v>900</v>
      </c>
      <c r="N9" s="216" t="s">
        <v>901</v>
      </c>
      <c r="O9" s="216" t="s">
        <v>902</v>
      </c>
    </row>
    <row r="10" customFormat="false" ht="32.25" hidden="false" customHeight="true" outlineLevel="0" collapsed="false">
      <c r="B10" s="216" t="n">
        <v>5</v>
      </c>
      <c r="C10" s="216" t="s">
        <v>211</v>
      </c>
      <c r="D10" s="216" t="s">
        <v>903</v>
      </c>
      <c r="E10" s="216" t="s">
        <v>904</v>
      </c>
      <c r="F10" s="217" t="s">
        <v>896</v>
      </c>
      <c r="G10" s="217" t="n">
        <v>1605</v>
      </c>
      <c r="H10" s="218" t="str">
        <f aca="false">IF(ISNUMBER($F10),$F10*PARAMETROS!$C$22,$F10)</f>
        <v>Siempre</v>
      </c>
      <c r="I10" s="218" t="n">
        <f aca="false">IF(ISNUMBER($G10),$G10*PARAMETROS!$C$22,$G10)</f>
        <v>188282.55</v>
      </c>
      <c r="J10" s="216" t="s">
        <v>905</v>
      </c>
      <c r="K10" s="216" t="s">
        <v>906</v>
      </c>
      <c r="L10" s="216" t="s">
        <v>907</v>
      </c>
      <c r="M10" s="216" t="s">
        <v>908</v>
      </c>
      <c r="N10" s="216" t="s">
        <v>909</v>
      </c>
      <c r="O10" s="216" t="s">
        <v>910</v>
      </c>
    </row>
    <row r="11" customFormat="false" ht="42.75" hidden="false" customHeight="true" outlineLevel="0" collapsed="false">
      <c r="B11" s="216" t="n">
        <v>6</v>
      </c>
      <c r="C11" s="216" t="s">
        <v>218</v>
      </c>
      <c r="D11" s="216" t="s">
        <v>911</v>
      </c>
      <c r="E11" s="216" t="s">
        <v>22</v>
      </c>
      <c r="F11" s="217" t="s">
        <v>896</v>
      </c>
      <c r="G11" s="217" t="n">
        <v>8025</v>
      </c>
      <c r="H11" s="218" t="str">
        <f aca="false">IF(ISNUMBER($F11),$F11*PARAMETROS!$C$22,$F11)</f>
        <v>Siempre</v>
      </c>
      <c r="I11" s="218" t="n">
        <f aca="false">IF(ISNUMBER($G11),$G11*PARAMETROS!$C$22,$G11)</f>
        <v>941412.75</v>
      </c>
      <c r="J11" s="216" t="s">
        <v>912</v>
      </c>
      <c r="K11" s="216" t="s">
        <v>913</v>
      </c>
      <c r="L11" s="216" t="s">
        <v>914</v>
      </c>
      <c r="M11" s="216" t="s">
        <v>915</v>
      </c>
      <c r="N11" s="216" t="s">
        <v>916</v>
      </c>
      <c r="O11" s="216" t="s">
        <v>917</v>
      </c>
    </row>
    <row r="12" customFormat="false" ht="53.25" hidden="false" customHeight="true" outlineLevel="0" collapsed="false">
      <c r="B12" s="216" t="n">
        <v>7</v>
      </c>
      <c r="C12" s="216" t="s">
        <v>918</v>
      </c>
      <c r="D12" s="216" t="s">
        <v>919</v>
      </c>
      <c r="E12" s="216" t="s">
        <v>920</v>
      </c>
      <c r="F12" s="217" t="s">
        <v>896</v>
      </c>
      <c r="G12" s="217" t="n">
        <v>8025</v>
      </c>
      <c r="H12" s="218" t="str">
        <f aca="false">IF(ISNUMBER($F12),$F12*PARAMETROS!$C$22,$F12)</f>
        <v>Siempre</v>
      </c>
      <c r="I12" s="218" t="n">
        <f aca="false">IF(ISNUMBER($G12),$G12*PARAMETROS!$C$22,$G12)</f>
        <v>941412.75</v>
      </c>
      <c r="J12" s="216" t="s">
        <v>921</v>
      </c>
      <c r="K12" s="216" t="s">
        <v>922</v>
      </c>
      <c r="L12" s="216" t="s">
        <v>923</v>
      </c>
      <c r="M12" s="216" t="s">
        <v>924</v>
      </c>
      <c r="N12" s="216" t="s">
        <v>925</v>
      </c>
      <c r="O12" s="216" t="s">
        <v>926</v>
      </c>
    </row>
    <row r="13" customFormat="false" ht="32.25" hidden="false" customHeight="true" outlineLevel="0" collapsed="false">
      <c r="B13" s="216" t="n">
        <v>8</v>
      </c>
      <c r="C13" s="216" t="s">
        <v>225</v>
      </c>
      <c r="D13" s="216" t="s">
        <v>927</v>
      </c>
      <c r="E13" s="216" t="s">
        <v>928</v>
      </c>
      <c r="F13" s="217" t="n">
        <v>805</v>
      </c>
      <c r="G13" s="217" t="n">
        <v>1605</v>
      </c>
      <c r="H13" s="218" t="n">
        <f aca="false">IF(ISNUMBER($F13),$F13*PARAMETROS!$C$22,$F13)</f>
        <v>94434.55</v>
      </c>
      <c r="I13" s="218" t="n">
        <f aca="false">IF(ISNUMBER($G13),$G13*PARAMETROS!$C$22,$G13)</f>
        <v>188282.55</v>
      </c>
      <c r="J13" s="216" t="s">
        <v>929</v>
      </c>
      <c r="K13" s="216" t="s">
        <v>930</v>
      </c>
      <c r="L13" s="216" t="s">
        <v>931</v>
      </c>
      <c r="M13" s="216" t="s">
        <v>932</v>
      </c>
      <c r="N13" s="216" t="s">
        <v>933</v>
      </c>
      <c r="O13" s="216" t="s">
        <v>934</v>
      </c>
    </row>
    <row r="14" customFormat="false" ht="42.75" hidden="false" customHeight="true" outlineLevel="0" collapsed="false">
      <c r="B14" s="216" t="n">
        <v>9</v>
      </c>
      <c r="C14" s="216" t="s">
        <v>231</v>
      </c>
      <c r="D14" s="216" t="s">
        <v>935</v>
      </c>
      <c r="E14" s="216" t="s">
        <v>936</v>
      </c>
      <c r="F14" s="217" t="n">
        <v>2410</v>
      </c>
      <c r="G14" s="217" t="n">
        <v>4815</v>
      </c>
      <c r="H14" s="218" t="n">
        <f aca="false">IF(ISNUMBER($F14),$F14*PARAMETROS!$C$22,$F14)</f>
        <v>282717.1</v>
      </c>
      <c r="I14" s="218" t="n">
        <f aca="false">IF(ISNUMBER($G14),$G14*PARAMETROS!$C$22,$G14)</f>
        <v>564847.65</v>
      </c>
      <c r="J14" s="216" t="s">
        <v>937</v>
      </c>
      <c r="K14" s="216" t="s">
        <v>938</v>
      </c>
      <c r="L14" s="216" t="s">
        <v>939</v>
      </c>
      <c r="M14" s="216" t="s">
        <v>940</v>
      </c>
      <c r="N14" s="216" t="s">
        <v>941</v>
      </c>
      <c r="O14" s="216" t="s">
        <v>942</v>
      </c>
    </row>
    <row r="15" customFormat="false" ht="42.75" hidden="false" customHeight="true" outlineLevel="0" collapsed="false">
      <c r="B15" s="216" t="n">
        <v>10</v>
      </c>
      <c r="C15" s="216" t="s">
        <v>237</v>
      </c>
      <c r="D15" s="216" t="s">
        <v>943</v>
      </c>
      <c r="E15" s="216" t="s">
        <v>944</v>
      </c>
      <c r="F15" s="217" t="n">
        <v>3210</v>
      </c>
      <c r="G15" s="217" t="n">
        <v>6420</v>
      </c>
      <c r="H15" s="218" t="n">
        <f aca="false">IF(ISNUMBER($F15),$F15*PARAMETROS!$C$22,$F15)</f>
        <v>376565.1</v>
      </c>
      <c r="I15" s="218" t="n">
        <f aca="false">IF(ISNUMBER($G15),$G15*PARAMETROS!$C$22,$G15)</f>
        <v>753130.2</v>
      </c>
      <c r="J15" s="216" t="s">
        <v>945</v>
      </c>
      <c r="K15" s="216" t="s">
        <v>946</v>
      </c>
      <c r="L15" s="216" t="s">
        <v>947</v>
      </c>
      <c r="M15" s="216" t="s">
        <v>948</v>
      </c>
      <c r="N15" s="216" t="s">
        <v>949</v>
      </c>
      <c r="O15" s="216" t="s">
        <v>950</v>
      </c>
    </row>
    <row r="16" customFormat="false" ht="21.75" hidden="false" customHeight="true" outlineLevel="0" collapsed="false">
      <c r="B16" s="216" t="n">
        <v>11</v>
      </c>
      <c r="C16" s="216" t="s">
        <v>243</v>
      </c>
      <c r="D16" s="216" t="s">
        <v>951</v>
      </c>
      <c r="E16" s="216" t="s">
        <v>952</v>
      </c>
      <c r="F16" s="217" t="n">
        <v>2410</v>
      </c>
      <c r="G16" s="217" t="n">
        <v>4815</v>
      </c>
      <c r="H16" s="218" t="n">
        <f aca="false">IF(ISNUMBER($F16),$F16*PARAMETROS!$C$22,$F16)</f>
        <v>282717.1</v>
      </c>
      <c r="I16" s="218" t="n">
        <f aca="false">IF(ISNUMBER($G16),$G16*PARAMETROS!$C$22,$G16)</f>
        <v>564847.65</v>
      </c>
      <c r="J16" s="216" t="s">
        <v>953</v>
      </c>
      <c r="K16" s="216" t="s">
        <v>954</v>
      </c>
      <c r="L16" s="216" t="s">
        <v>955</v>
      </c>
      <c r="M16" s="216" t="s">
        <v>956</v>
      </c>
      <c r="N16" s="216" t="s">
        <v>957</v>
      </c>
      <c r="O16" s="216" t="s">
        <v>958</v>
      </c>
    </row>
    <row r="17" customFormat="false" ht="32.25" hidden="false" customHeight="true" outlineLevel="0" collapsed="false">
      <c r="B17" s="216" t="n">
        <v>12</v>
      </c>
      <c r="C17" s="216" t="s">
        <v>249</v>
      </c>
      <c r="D17" s="216" t="s">
        <v>959</v>
      </c>
      <c r="E17" s="216" t="s">
        <v>960</v>
      </c>
      <c r="F17" s="217" t="s">
        <v>896</v>
      </c>
      <c r="G17" s="217" t="n">
        <v>3210</v>
      </c>
      <c r="H17" s="218" t="str">
        <f aca="false">IF(ISNUMBER($F17),$F17*PARAMETROS!$C$22,$F17)</f>
        <v>Siempre</v>
      </c>
      <c r="I17" s="218" t="n">
        <f aca="false">IF(ISNUMBER($G17),$G17*PARAMETROS!$C$22,$G17)</f>
        <v>376565.1</v>
      </c>
      <c r="J17" s="216" t="s">
        <v>961</v>
      </c>
      <c r="K17" s="216" t="s">
        <v>962</v>
      </c>
      <c r="L17" s="216" t="s">
        <v>963</v>
      </c>
      <c r="M17" s="216" t="s">
        <v>964</v>
      </c>
      <c r="N17" s="216" t="s">
        <v>965</v>
      </c>
      <c r="O17" s="216" t="s">
        <v>966</v>
      </c>
    </row>
    <row r="18" customFormat="false" ht="21.75" hidden="false" customHeight="true" outlineLevel="0" collapsed="false">
      <c r="B18" s="216" t="n">
        <v>13</v>
      </c>
      <c r="C18" s="216" t="s">
        <v>255</v>
      </c>
      <c r="D18" s="216" t="s">
        <v>967</v>
      </c>
      <c r="E18" s="216" t="s">
        <v>968</v>
      </c>
      <c r="F18" s="217" t="s">
        <v>896</v>
      </c>
      <c r="G18" s="217" t="s">
        <v>896</v>
      </c>
      <c r="H18" s="218" t="str">
        <f aca="false">IF(ISNUMBER($F18),$F18*PARAMETROS!$C$22,$F18)</f>
        <v>Siempre</v>
      </c>
      <c r="I18" s="218" t="str">
        <f aca="false">IF(ISNUMBER($G18),$G18*PARAMETROS!$C$22,$G18)</f>
        <v>Siempre</v>
      </c>
      <c r="J18" s="216" t="s">
        <v>969</v>
      </c>
      <c r="K18" s="216" t="s">
        <v>970</v>
      </c>
      <c r="L18" s="216" t="s">
        <v>971</v>
      </c>
      <c r="M18" s="216" t="s">
        <v>972</v>
      </c>
      <c r="N18" s="216" t="s">
        <v>973</v>
      </c>
      <c r="O18" s="216" t="s">
        <v>974</v>
      </c>
    </row>
    <row r="19" customFormat="false" ht="42.75" hidden="false" customHeight="true" outlineLevel="0" collapsed="false">
      <c r="B19" s="216" t="n">
        <v>14</v>
      </c>
      <c r="C19" s="216" t="s">
        <v>261</v>
      </c>
      <c r="D19" s="216" t="s">
        <v>975</v>
      </c>
      <c r="E19" s="216" t="s">
        <v>976</v>
      </c>
      <c r="F19" s="217" t="s">
        <v>896</v>
      </c>
      <c r="G19" s="217" t="n">
        <v>8000</v>
      </c>
      <c r="H19" s="218" t="str">
        <f aca="false">IF(ISNUMBER($F19),$F19*PARAMETROS!$C$22,$F19)</f>
        <v>Siempre</v>
      </c>
      <c r="I19" s="218" t="n">
        <f aca="false">IF(ISNUMBER($G19),$G19*PARAMETROS!$C$22,$G19)</f>
        <v>938480</v>
      </c>
      <c r="J19" s="216" t="s">
        <v>977</v>
      </c>
      <c r="K19" s="216" t="s">
        <v>978</v>
      </c>
      <c r="L19" s="216" t="s">
        <v>979</v>
      </c>
      <c r="M19" s="216" t="s">
        <v>980</v>
      </c>
      <c r="N19" s="216" t="s">
        <v>981</v>
      </c>
      <c r="O19" s="216" t="s">
        <v>982</v>
      </c>
    </row>
    <row r="20" customFormat="false" ht="42.75" hidden="false" customHeight="true" outlineLevel="0" collapsed="false">
      <c r="B20" s="216" t="n">
        <v>15</v>
      </c>
      <c r="C20" s="216" t="s">
        <v>261</v>
      </c>
      <c r="D20" s="216" t="s">
        <v>983</v>
      </c>
      <c r="E20" s="216" t="s">
        <v>984</v>
      </c>
      <c r="F20" s="217" t="s">
        <v>896</v>
      </c>
      <c r="G20" s="217" t="s">
        <v>896</v>
      </c>
      <c r="H20" s="218" t="str">
        <f aca="false">IF(ISNUMBER($F20),$F20*PARAMETROS!$C$22,$F20)</f>
        <v>Siempre</v>
      </c>
      <c r="I20" s="218" t="str">
        <f aca="false">IF(ISNUMBER($G20),$G20*PARAMETROS!$C$22,$G20)</f>
        <v>Siempre</v>
      </c>
      <c r="J20" s="216" t="s">
        <v>985</v>
      </c>
      <c r="K20" s="216" t="s">
        <v>986</v>
      </c>
      <c r="L20" s="216" t="s">
        <v>987</v>
      </c>
      <c r="M20" s="216" t="s">
        <v>988</v>
      </c>
      <c r="N20" s="216" t="s">
        <v>989</v>
      </c>
      <c r="O20" s="216" t="s">
        <v>990</v>
      </c>
    </row>
    <row r="21" customFormat="false" ht="42.75" hidden="false" customHeight="true" outlineLevel="0" collapsed="false">
      <c r="B21" s="216" t="n">
        <v>16</v>
      </c>
      <c r="C21" s="216" t="s">
        <v>261</v>
      </c>
      <c r="D21" s="216" t="s">
        <v>991</v>
      </c>
      <c r="E21" s="216" t="s">
        <v>992</v>
      </c>
      <c r="F21" s="217" t="s">
        <v>896</v>
      </c>
      <c r="G21" s="217" t="n">
        <v>8025</v>
      </c>
      <c r="H21" s="218" t="str">
        <f aca="false">IF(ISNUMBER($F21),$F21*PARAMETROS!$C$22,$F21)</f>
        <v>Siempre</v>
      </c>
      <c r="I21" s="218" t="n">
        <f aca="false">IF(ISNUMBER($G21),$G21*PARAMETROS!$C$22,$G21)</f>
        <v>941412.75</v>
      </c>
      <c r="J21" s="216" t="s">
        <v>993</v>
      </c>
      <c r="K21" s="216" t="s">
        <v>994</v>
      </c>
      <c r="L21" s="216" t="s">
        <v>995</v>
      </c>
      <c r="M21" s="216" t="s">
        <v>996</v>
      </c>
      <c r="N21" s="216" t="s">
        <v>997</v>
      </c>
      <c r="O21" s="216" t="s">
        <v>998</v>
      </c>
    </row>
    <row r="22" customFormat="false" ht="42.75" hidden="false" customHeight="true" outlineLevel="0" collapsed="false">
      <c r="B22" s="216" t="n">
        <v>17</v>
      </c>
      <c r="C22" s="216" t="s">
        <v>261</v>
      </c>
      <c r="D22" s="216" t="s">
        <v>999</v>
      </c>
      <c r="E22" s="216" t="s">
        <v>1000</v>
      </c>
      <c r="F22" s="217" t="s">
        <v>896</v>
      </c>
      <c r="G22" s="217" t="n">
        <v>4000</v>
      </c>
      <c r="H22" s="218" t="str">
        <f aca="false">IF(ISNUMBER($F22),$F22*PARAMETROS!$C$22,$F22)</f>
        <v>Siempre</v>
      </c>
      <c r="I22" s="218" t="n">
        <f aca="false">IF(ISNUMBER($G22),$G22*PARAMETROS!$C$22,$G22)</f>
        <v>469240</v>
      </c>
      <c r="J22" s="216" t="s">
        <v>1001</v>
      </c>
      <c r="K22" s="216" t="s">
        <v>1002</v>
      </c>
      <c r="L22" s="216" t="s">
        <v>1003</v>
      </c>
      <c r="M22" s="216" t="s">
        <v>1004</v>
      </c>
      <c r="N22" s="216" t="s">
        <v>1005</v>
      </c>
      <c r="O22" s="216" t="s">
        <v>1006</v>
      </c>
    </row>
    <row r="23" customFormat="false" ht="42.75" hidden="false" customHeight="true" outlineLevel="0" collapsed="false">
      <c r="B23" s="216" t="n">
        <v>18</v>
      </c>
      <c r="C23" s="216" t="s">
        <v>261</v>
      </c>
      <c r="D23" s="216" t="s">
        <v>1007</v>
      </c>
      <c r="E23" s="216" t="s">
        <v>1008</v>
      </c>
      <c r="F23" s="217" t="s">
        <v>896</v>
      </c>
      <c r="G23" s="217" t="s">
        <v>896</v>
      </c>
      <c r="H23" s="218" t="str">
        <f aca="false">IF(ISNUMBER($F23),$F23*PARAMETROS!$C$22,$F23)</f>
        <v>Siempre</v>
      </c>
      <c r="I23" s="218" t="str">
        <f aca="false">IF(ISNUMBER($G23),$G23*PARAMETROS!$C$22,$G23)</f>
        <v>Siempre</v>
      </c>
      <c r="J23" s="216" t="s">
        <v>1009</v>
      </c>
      <c r="K23" s="216" t="s">
        <v>1010</v>
      </c>
      <c r="L23" s="216" t="s">
        <v>1011</v>
      </c>
      <c r="M23" s="216" t="s">
        <v>1012</v>
      </c>
      <c r="N23" s="216" t="s">
        <v>1013</v>
      </c>
      <c r="O23" s="216" t="s">
        <v>1014</v>
      </c>
    </row>
    <row r="24" customFormat="false" ht="32.25" hidden="false" customHeight="true" outlineLevel="0" collapsed="false">
      <c r="B24" s="216" t="n">
        <v>19</v>
      </c>
      <c r="C24" s="216" t="s">
        <v>261</v>
      </c>
      <c r="D24" s="216" t="s">
        <v>1015</v>
      </c>
      <c r="E24" s="216" t="s">
        <v>1016</v>
      </c>
      <c r="F24" s="217" t="n">
        <v>8025</v>
      </c>
      <c r="G24" s="217" t="n">
        <v>8025</v>
      </c>
      <c r="H24" s="218" t="n">
        <f aca="false">IF(ISNUMBER($F24),$F24*PARAMETROS!$C$22,$F24)</f>
        <v>941412.75</v>
      </c>
      <c r="I24" s="218" t="n">
        <f aca="false">IF(ISNUMBER($G24),$G24*PARAMETROS!$C$22,$G24)</f>
        <v>941412.75</v>
      </c>
      <c r="J24" s="216" t="s">
        <v>1017</v>
      </c>
      <c r="K24" s="216" t="s">
        <v>1018</v>
      </c>
      <c r="L24" s="216" t="s">
        <v>1019</v>
      </c>
      <c r="M24" s="216" t="s">
        <v>1020</v>
      </c>
      <c r="N24" s="216" t="s">
        <v>1021</v>
      </c>
      <c r="O24" s="216" t="s">
        <v>1022</v>
      </c>
    </row>
    <row r="25" customFormat="false" ht="42.75" hidden="false" customHeight="true" outlineLevel="0" collapsed="false">
      <c r="B25" s="216" t="n">
        <v>20</v>
      </c>
      <c r="C25" s="216" t="s">
        <v>261</v>
      </c>
      <c r="D25" s="216" t="s">
        <v>1023</v>
      </c>
      <c r="E25" s="216" t="s">
        <v>1024</v>
      </c>
      <c r="F25" s="217" t="s">
        <v>896</v>
      </c>
      <c r="G25" s="217" t="s">
        <v>896</v>
      </c>
      <c r="H25" s="218" t="str">
        <f aca="false">IF(ISNUMBER($F25),$F25*PARAMETROS!$C$22,$F25)</f>
        <v>Siempre</v>
      </c>
      <c r="I25" s="218" t="str">
        <f aca="false">IF(ISNUMBER($G25),$G25*PARAMETROS!$C$22,$G25)</f>
        <v>Siempre</v>
      </c>
      <c r="J25" s="216" t="s">
        <v>1025</v>
      </c>
      <c r="K25" s="216" t="s">
        <v>1026</v>
      </c>
      <c r="L25" s="216" t="s">
        <v>1027</v>
      </c>
      <c r="M25" s="216" t="s">
        <v>1028</v>
      </c>
      <c r="N25" s="216" t="s">
        <v>1029</v>
      </c>
      <c r="O25" s="216" t="s">
        <v>1030</v>
      </c>
    </row>
    <row r="26" customFormat="false" ht="42.75" hidden="false" customHeight="true" outlineLevel="0" collapsed="false">
      <c r="B26" s="216" t="n">
        <v>21</v>
      </c>
      <c r="C26" s="216" t="s">
        <v>261</v>
      </c>
      <c r="D26" s="216" t="s">
        <v>1031</v>
      </c>
      <c r="E26" s="216" t="s">
        <v>1032</v>
      </c>
      <c r="F26" s="217" t="s">
        <v>896</v>
      </c>
      <c r="G26" s="217" t="s">
        <v>896</v>
      </c>
      <c r="H26" s="218" t="str">
        <f aca="false">IF(ISNUMBER($F26),$F26*PARAMETROS!$C$22,$F26)</f>
        <v>Siempre</v>
      </c>
      <c r="I26" s="218" t="str">
        <f aca="false">IF(ISNUMBER($G26),$G26*PARAMETROS!$C$22,$G26)</f>
        <v>Siempre</v>
      </c>
      <c r="J26" s="216" t="s">
        <v>1033</v>
      </c>
      <c r="K26" s="216" t="s">
        <v>1034</v>
      </c>
      <c r="L26" s="216" t="s">
        <v>1035</v>
      </c>
      <c r="M26" s="216" t="s">
        <v>1036</v>
      </c>
      <c r="N26" s="216" t="s">
        <v>1037</v>
      </c>
      <c r="O26" s="216" t="s">
        <v>1038</v>
      </c>
    </row>
    <row r="27" customFormat="false" ht="32.25" hidden="false" customHeight="true" outlineLevel="0" collapsed="false">
      <c r="B27" s="216" t="n">
        <v>22</v>
      </c>
      <c r="C27" s="216" t="s">
        <v>261</v>
      </c>
      <c r="D27" s="216" t="s">
        <v>1039</v>
      </c>
      <c r="E27" s="216" t="s">
        <v>1040</v>
      </c>
      <c r="F27" s="217" t="s">
        <v>896</v>
      </c>
      <c r="G27" s="217" t="s">
        <v>896</v>
      </c>
      <c r="H27" s="218" t="str">
        <f aca="false">IF(ISNUMBER($F27),$F27*PARAMETROS!$C$22,$F27)</f>
        <v>Siempre</v>
      </c>
      <c r="I27" s="218" t="str">
        <f aca="false">IF(ISNUMBER($G27),$G27*PARAMETROS!$C$22,$G27)</f>
        <v>Siempre</v>
      </c>
      <c r="J27" s="216" t="s">
        <v>1041</v>
      </c>
      <c r="K27" s="216" t="s">
        <v>1042</v>
      </c>
      <c r="L27" s="216" t="s">
        <v>1043</v>
      </c>
      <c r="M27" s="216" t="s">
        <v>1044</v>
      </c>
      <c r="N27" s="216" t="s">
        <v>1045</v>
      </c>
      <c r="O27" s="216" t="s">
        <v>1046</v>
      </c>
    </row>
    <row r="28" customFormat="false" ht="42.75" hidden="false" customHeight="true" outlineLevel="0" collapsed="false">
      <c r="B28" s="216" t="n">
        <v>23</v>
      </c>
      <c r="C28" s="216" t="s">
        <v>261</v>
      </c>
      <c r="D28" s="216" t="s">
        <v>1047</v>
      </c>
      <c r="E28" s="216" t="s">
        <v>1048</v>
      </c>
      <c r="F28" s="217" t="s">
        <v>896</v>
      </c>
      <c r="G28" s="217" t="n">
        <v>8025</v>
      </c>
      <c r="H28" s="218" t="str">
        <f aca="false">IF(ISNUMBER($F28),$F28*PARAMETROS!$C$22,$F28)</f>
        <v>Siempre</v>
      </c>
      <c r="I28" s="218" t="n">
        <f aca="false">IF(ISNUMBER($G28),$G28*PARAMETROS!$C$22,$G28)</f>
        <v>941412.75</v>
      </c>
      <c r="J28" s="216" t="s">
        <v>1049</v>
      </c>
      <c r="K28" s="216" t="s">
        <v>1050</v>
      </c>
      <c r="L28" s="216" t="s">
        <v>1051</v>
      </c>
      <c r="M28" s="216" t="s">
        <v>1052</v>
      </c>
      <c r="N28" s="216" t="s">
        <v>1053</v>
      </c>
      <c r="O28" s="216" t="s">
        <v>1054</v>
      </c>
    </row>
    <row r="29" customFormat="false" ht="21.75" hidden="false" customHeight="true" outlineLevel="0" collapsed="false">
      <c r="B29" s="216" t="n">
        <v>24</v>
      </c>
      <c r="C29" s="216" t="s">
        <v>267</v>
      </c>
      <c r="D29" s="216" t="s">
        <v>1055</v>
      </c>
      <c r="E29" s="216" t="s">
        <v>1056</v>
      </c>
      <c r="F29" s="217" t="n">
        <v>1605</v>
      </c>
      <c r="G29" s="217" t="n">
        <v>3210</v>
      </c>
      <c r="H29" s="218" t="n">
        <f aca="false">IF(ISNUMBER($F29),$F29*PARAMETROS!$C$22,$F29)</f>
        <v>188282.55</v>
      </c>
      <c r="I29" s="218" t="n">
        <f aca="false">IF(ISNUMBER($G29),$G29*PARAMETROS!$C$22,$G29)</f>
        <v>376565.1</v>
      </c>
      <c r="J29" s="216" t="s">
        <v>1057</v>
      </c>
      <c r="K29" s="216" t="s">
        <v>1058</v>
      </c>
      <c r="L29" s="216" t="s">
        <v>1059</v>
      </c>
      <c r="M29" s="216" t="s">
        <v>1060</v>
      </c>
      <c r="N29" s="216" t="s">
        <v>1061</v>
      </c>
      <c r="O29" s="216" t="s">
        <v>1062</v>
      </c>
    </row>
    <row r="30" customFormat="false" ht="42.75" hidden="false" customHeight="true" outlineLevel="0" collapsed="false">
      <c r="B30" s="216" t="n">
        <v>25</v>
      </c>
      <c r="C30" s="216" t="s">
        <v>273</v>
      </c>
      <c r="D30" s="216" t="s">
        <v>1063</v>
      </c>
      <c r="E30" s="216" t="s">
        <v>1064</v>
      </c>
      <c r="F30" s="217" t="n">
        <v>485</v>
      </c>
      <c r="G30" s="217" t="n">
        <v>485</v>
      </c>
      <c r="H30" s="218" t="n">
        <f aca="false">IF(ISNUMBER($F30),$F30*PARAMETROS!$C$22,$F30)</f>
        <v>56895.35</v>
      </c>
      <c r="I30" s="218" t="n">
        <f aca="false">IF(ISNUMBER($G30),$G30*PARAMETROS!$C$22,$G30)</f>
        <v>56895.35</v>
      </c>
      <c r="J30" s="216" t="s">
        <v>1065</v>
      </c>
      <c r="K30" s="216" t="s">
        <v>1066</v>
      </c>
      <c r="L30" s="216" t="s">
        <v>1067</v>
      </c>
      <c r="M30" s="216" t="s">
        <v>1068</v>
      </c>
      <c r="N30" s="216" t="s">
        <v>1069</v>
      </c>
      <c r="O30" s="216" t="s">
        <v>1070</v>
      </c>
    </row>
    <row r="31" customFormat="false" ht="21.75" hidden="false" customHeight="true" outlineLevel="0" collapsed="false">
      <c r="B31" s="216" t="n">
        <v>26</v>
      </c>
      <c r="C31" s="216" t="s">
        <v>273</v>
      </c>
      <c r="D31" s="216" t="s">
        <v>1071</v>
      </c>
      <c r="E31" s="216" t="s">
        <v>1072</v>
      </c>
      <c r="F31" s="217" t="n">
        <v>4815</v>
      </c>
      <c r="G31" s="217" t="n">
        <v>4815</v>
      </c>
      <c r="H31" s="218" t="n">
        <f aca="false">IF(ISNUMBER($F31),$F31*PARAMETROS!$C$22,$F31)</f>
        <v>564847.65</v>
      </c>
      <c r="I31" s="218" t="n">
        <f aca="false">IF(ISNUMBER($G31),$G31*PARAMETROS!$C$22,$G31)</f>
        <v>564847.65</v>
      </c>
      <c r="J31" s="216" t="s">
        <v>1073</v>
      </c>
      <c r="K31" s="216" t="s">
        <v>1074</v>
      </c>
      <c r="L31" s="216" t="s">
        <v>1075</v>
      </c>
      <c r="M31" s="216" t="s">
        <v>1076</v>
      </c>
      <c r="N31" s="216" t="s">
        <v>1077</v>
      </c>
      <c r="O31" s="216" t="s">
        <v>1078</v>
      </c>
    </row>
    <row r="32" customFormat="false" ht="42.75" hidden="false" customHeight="true" outlineLevel="0" collapsed="false">
      <c r="B32" s="216" t="n">
        <v>27</v>
      </c>
      <c r="C32" s="216" t="s">
        <v>273</v>
      </c>
      <c r="D32" s="216" t="s">
        <v>1079</v>
      </c>
      <c r="E32" s="216" t="s">
        <v>1080</v>
      </c>
      <c r="F32" s="217" t="s">
        <v>896</v>
      </c>
      <c r="G32" s="217" t="s">
        <v>896</v>
      </c>
      <c r="H32" s="218" t="str">
        <f aca="false">IF(ISNUMBER($F32),$F32*PARAMETROS!$C$22,$F32)</f>
        <v>Siempre</v>
      </c>
      <c r="I32" s="218" t="str">
        <f aca="false">IF(ISNUMBER($G32),$G32*PARAMETROS!$C$22,$G32)</f>
        <v>Siempre</v>
      </c>
      <c r="J32" s="216" t="s">
        <v>1081</v>
      </c>
      <c r="K32" s="216" t="s">
        <v>1082</v>
      </c>
      <c r="L32" s="216" t="s">
        <v>1083</v>
      </c>
      <c r="M32" s="216" t="s">
        <v>1084</v>
      </c>
      <c r="N32" s="216" t="s">
        <v>1085</v>
      </c>
      <c r="O32" s="216" t="s">
        <v>1086</v>
      </c>
    </row>
    <row r="33" customFormat="false" ht="53.25" hidden="false" customHeight="true" outlineLevel="0" collapsed="false">
      <c r="B33" s="216" t="n">
        <v>28</v>
      </c>
      <c r="C33" s="216" t="s">
        <v>1087</v>
      </c>
      <c r="D33" s="216" t="s">
        <v>1088</v>
      </c>
      <c r="E33" s="216" t="s">
        <v>1089</v>
      </c>
      <c r="F33" s="217" t="n">
        <v>1605</v>
      </c>
      <c r="G33" s="217" t="n">
        <v>3210</v>
      </c>
      <c r="H33" s="218" t="n">
        <f aca="false">IF(ISNUMBER($F33),$F33*PARAMETROS!$C$22,$F33)</f>
        <v>188282.55</v>
      </c>
      <c r="I33" s="218" t="n">
        <f aca="false">IF(ISNUMBER($G33),$G33*PARAMETROS!$C$22,$G33)</f>
        <v>376565.1</v>
      </c>
      <c r="J33" s="216" t="s">
        <v>1090</v>
      </c>
      <c r="K33" s="216" t="s">
        <v>1091</v>
      </c>
      <c r="L33" s="216" t="s">
        <v>1092</v>
      </c>
      <c r="M33" s="216" t="s">
        <v>1093</v>
      </c>
      <c r="N33" s="216" t="s">
        <v>1094</v>
      </c>
      <c r="O33" s="216" t="s">
        <v>1095</v>
      </c>
    </row>
    <row r="34" customFormat="false" ht="63.75" hidden="false" customHeight="true" outlineLevel="0" collapsed="false">
      <c r="B34" s="216" t="n">
        <v>29</v>
      </c>
      <c r="C34" s="216" t="s">
        <v>1096</v>
      </c>
      <c r="D34" s="216" t="s">
        <v>1097</v>
      </c>
      <c r="E34" s="216" t="s">
        <v>1098</v>
      </c>
      <c r="F34" s="217" t="s">
        <v>896</v>
      </c>
      <c r="G34" s="217" t="n">
        <v>210</v>
      </c>
      <c r="H34" s="218" t="str">
        <f aca="false">IF(ISNUMBER($F34),$F34*PARAMETROS!$C$22,$F34)</f>
        <v>Siempre</v>
      </c>
      <c r="I34" s="218" t="n">
        <f aca="false">IF(ISNUMBER($G34),$G34*PARAMETROS!$C$22,$G34)</f>
        <v>24635.1</v>
      </c>
      <c r="J34" s="216" t="s">
        <v>1099</v>
      </c>
      <c r="K34" s="216" t="s">
        <v>1100</v>
      </c>
      <c r="L34" s="216" t="s">
        <v>1101</v>
      </c>
      <c r="M34" s="216" t="s">
        <v>1102</v>
      </c>
      <c r="N34" s="216" t="s">
        <v>1103</v>
      </c>
      <c r="O34" s="216" t="s">
        <v>1104</v>
      </c>
    </row>
    <row r="35" customFormat="false" ht="74.25" hidden="false" customHeight="true" outlineLevel="0" collapsed="false">
      <c r="B35" s="216" t="n">
        <v>30</v>
      </c>
      <c r="C35" s="216" t="s">
        <v>1096</v>
      </c>
      <c r="D35" s="216" t="s">
        <v>1105</v>
      </c>
      <c r="E35" s="216" t="s">
        <v>1106</v>
      </c>
      <c r="F35" s="217" t="s">
        <v>896</v>
      </c>
      <c r="G35" s="217" t="n">
        <v>4</v>
      </c>
      <c r="H35" s="218" t="str">
        <f aca="false">IF(ISNUMBER($F35),$F35*PARAMETROS!$C$22,$F35)</f>
        <v>Siempre</v>
      </c>
      <c r="I35" s="218" t="n">
        <f aca="false">IF(ISNUMBER($G35),$G35*PARAMETROS!$C$22,$G35)</f>
        <v>469.24</v>
      </c>
      <c r="J35" s="216" t="s">
        <v>1107</v>
      </c>
      <c r="K35" s="216" t="s">
        <v>1108</v>
      </c>
      <c r="L35" s="216" t="s">
        <v>1109</v>
      </c>
      <c r="M35" s="216" t="s">
        <v>1110</v>
      </c>
      <c r="N35" s="216" t="s">
        <v>1111</v>
      </c>
      <c r="O35" s="216" t="s">
        <v>1112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2:H7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true" outlineLevel="0" max="1" min="1" style="1" width="30"/>
    <col collapsed="false" customWidth="true" hidden="false" outlineLevel="0" max="2" min="2" style="1" width="28"/>
    <col collapsed="false" customWidth="true" hidden="false" outlineLevel="0" max="3" min="3" style="1" width="6"/>
    <col collapsed="false" customWidth="true" hidden="false" outlineLevel="0" max="4" min="4" style="1" width="30"/>
    <col collapsed="false" customWidth="true" hidden="false" outlineLevel="0" max="7" min="5" style="1" width="42"/>
    <col collapsed="false" customWidth="true" hidden="false" outlineLevel="0" max="8" min="8" style="0" width="13"/>
  </cols>
  <sheetData>
    <row r="2" customFormat="false" ht="21.75" hidden="false" customHeight="true" outlineLevel="0" collapsed="false">
      <c r="B2" s="30" t="s">
        <v>1113</v>
      </c>
    </row>
    <row r="3" customFormat="false" ht="15" hidden="false" customHeight="true" outlineLevel="0" collapsed="false">
      <c r="B3" s="219" t="s">
        <v>1114</v>
      </c>
    </row>
    <row r="5" customFormat="false" ht="15" hidden="false" customHeight="true" outlineLevel="0" collapsed="false">
      <c r="A5" s="7" t="s">
        <v>519</v>
      </c>
      <c r="B5" s="7" t="s">
        <v>1115</v>
      </c>
      <c r="C5" s="7" t="s">
        <v>1116</v>
      </c>
      <c r="D5" s="7" t="s">
        <v>61</v>
      </c>
      <c r="E5" s="7" t="s">
        <v>1117</v>
      </c>
      <c r="F5" s="7" t="s">
        <v>1118</v>
      </c>
      <c r="G5" s="7" t="s">
        <v>1119</v>
      </c>
      <c r="H5" s="220" t="s">
        <v>1120</v>
      </c>
    </row>
    <row r="6" customFormat="false" ht="18.75" hidden="false" customHeight="true" outlineLevel="0" collapsed="false">
      <c r="A6" s="39" t="str">
        <f aca="false">B6&amp;"-"&amp;C6</f>
        <v>I - Juegos con apuesta-1</v>
      </c>
      <c r="B6" s="221" t="s">
        <v>871</v>
      </c>
      <c r="C6" s="222" t="n">
        <v>1</v>
      </c>
      <c r="D6" s="39" t="s">
        <v>77</v>
      </c>
      <c r="E6" s="39" t="s">
        <v>1121</v>
      </c>
      <c r="F6" s="39" t="s">
        <v>1122</v>
      </c>
      <c r="G6" s="39" t="s">
        <v>1123</v>
      </c>
      <c r="H6" s="223" t="s">
        <v>1124</v>
      </c>
    </row>
    <row r="7" customFormat="false" ht="18.75" hidden="false" customHeight="true" outlineLevel="0" collapsed="false">
      <c r="A7" s="39" t="str">
        <f aca="false">B7&amp;"-"&amp;C7</f>
        <v>I - Juegos con apuesta-2</v>
      </c>
      <c r="B7" s="221" t="s">
        <v>871</v>
      </c>
      <c r="C7" s="222" t="n">
        <v>2</v>
      </c>
      <c r="D7" s="39" t="s">
        <v>81</v>
      </c>
      <c r="E7" s="39" t="s">
        <v>1125</v>
      </c>
      <c r="F7" s="39" t="s">
        <v>1126</v>
      </c>
      <c r="G7" s="39" t="s">
        <v>1127</v>
      </c>
      <c r="H7" s="223" t="s">
        <v>1128</v>
      </c>
    </row>
    <row r="8" customFormat="false" ht="18.75" hidden="false" customHeight="true" outlineLevel="0" collapsed="false">
      <c r="A8" s="39" t="str">
        <f aca="false">B8&amp;"-"&amp;C8</f>
        <v>I - Juegos con apuesta-3</v>
      </c>
      <c r="B8" s="221" t="s">
        <v>871</v>
      </c>
      <c r="C8" s="222" t="n">
        <v>3</v>
      </c>
      <c r="D8" s="39" t="s">
        <v>83</v>
      </c>
      <c r="E8" s="39" t="s">
        <v>1129</v>
      </c>
      <c r="F8" s="39" t="s">
        <v>1130</v>
      </c>
      <c r="G8" s="39" t="s">
        <v>1131</v>
      </c>
      <c r="H8" s="223" t="s">
        <v>1128</v>
      </c>
    </row>
    <row r="9" customFormat="false" ht="18.75" hidden="false" customHeight="true" outlineLevel="0" collapsed="false">
      <c r="A9" s="39" t="str">
        <f aca="false">B9&amp;"-"&amp;C9</f>
        <v>I - Juegos con apuesta-4</v>
      </c>
      <c r="B9" s="221" t="s">
        <v>871</v>
      </c>
      <c r="C9" s="222" t="n">
        <v>4</v>
      </c>
      <c r="D9" s="39" t="s">
        <v>85</v>
      </c>
      <c r="E9" s="39" t="s">
        <v>1132</v>
      </c>
      <c r="F9" s="39" t="s">
        <v>1133</v>
      </c>
      <c r="G9" s="39" t="s">
        <v>1134</v>
      </c>
      <c r="H9" s="223" t="s">
        <v>1128</v>
      </c>
    </row>
    <row r="10" customFormat="false" ht="18.75" hidden="false" customHeight="true" outlineLevel="0" collapsed="false">
      <c r="A10" s="39" t="str">
        <f aca="false">B10&amp;"-"&amp;C10</f>
        <v>I - Juegos con apuesta-5</v>
      </c>
      <c r="B10" s="221" t="s">
        <v>871</v>
      </c>
      <c r="C10" s="222" t="n">
        <v>5</v>
      </c>
      <c r="D10" s="39" t="s">
        <v>88</v>
      </c>
      <c r="E10" s="39" t="s">
        <v>1135</v>
      </c>
      <c r="F10" s="39" t="s">
        <v>1136</v>
      </c>
      <c r="G10" s="39" t="s">
        <v>1137</v>
      </c>
      <c r="H10" s="223" t="s">
        <v>1138</v>
      </c>
    </row>
    <row r="11" customFormat="false" ht="18.75" hidden="false" customHeight="true" outlineLevel="0" collapsed="false">
      <c r="A11" s="39" t="str">
        <f aca="false">B11&amp;"-"&amp;C11</f>
        <v>I - Juegos con apuesta-6</v>
      </c>
      <c r="B11" s="221" t="s">
        <v>871</v>
      </c>
      <c r="C11" s="222" t="n">
        <v>6</v>
      </c>
      <c r="D11" s="39" t="s">
        <v>91</v>
      </c>
      <c r="E11" s="39" t="s">
        <v>1139</v>
      </c>
      <c r="F11" s="39" t="s">
        <v>1140</v>
      </c>
      <c r="G11" s="39" t="s">
        <v>1141</v>
      </c>
      <c r="H11" s="223" t="s">
        <v>1138</v>
      </c>
    </row>
    <row r="12" customFormat="false" ht="18.75" hidden="false" customHeight="true" outlineLevel="0" collapsed="false">
      <c r="A12" s="39" t="str">
        <f aca="false">B12&amp;"-"&amp;C12</f>
        <v>I - Juegos con apuesta-7</v>
      </c>
      <c r="B12" s="221" t="s">
        <v>871</v>
      </c>
      <c r="C12" s="222" t="n">
        <v>7</v>
      </c>
      <c r="D12" s="39" t="s">
        <v>94</v>
      </c>
      <c r="E12" s="39" t="s">
        <v>1142</v>
      </c>
      <c r="F12" s="39" t="s">
        <v>1143</v>
      </c>
      <c r="G12" s="39" t="s">
        <v>1144</v>
      </c>
      <c r="H12" s="223" t="s">
        <v>1138</v>
      </c>
    </row>
    <row r="13" customFormat="false" ht="18.75" hidden="false" customHeight="true" outlineLevel="0" collapsed="false">
      <c r="A13" s="39" t="str">
        <f aca="false">B13&amp;"-"&amp;C13</f>
        <v>I - Juegos con apuesta-8</v>
      </c>
      <c r="B13" s="221" t="s">
        <v>871</v>
      </c>
      <c r="C13" s="222" t="n">
        <v>8</v>
      </c>
      <c r="D13" s="39" t="s">
        <v>96</v>
      </c>
      <c r="E13" s="39" t="s">
        <v>1145</v>
      </c>
      <c r="F13" s="39" t="s">
        <v>1146</v>
      </c>
      <c r="G13" s="39" t="s">
        <v>1147</v>
      </c>
      <c r="H13" s="223" t="s">
        <v>1138</v>
      </c>
    </row>
    <row r="14" customFormat="false" ht="18.75" hidden="false" customHeight="true" outlineLevel="0" collapsed="false">
      <c r="A14" s="39" t="str">
        <f aca="false">B14&amp;"-"&amp;C14</f>
        <v>I - Juegos con apuesta-9</v>
      </c>
      <c r="B14" s="221" t="s">
        <v>871</v>
      </c>
      <c r="C14" s="222" t="n">
        <v>9</v>
      </c>
      <c r="D14" s="39" t="s">
        <v>98</v>
      </c>
      <c r="E14" s="39" t="s">
        <v>1148</v>
      </c>
      <c r="F14" s="39" t="s">
        <v>1149</v>
      </c>
      <c r="G14" s="39" t="s">
        <v>1150</v>
      </c>
      <c r="H14" s="223" t="s">
        <v>1138</v>
      </c>
    </row>
    <row r="15" customFormat="false" ht="18.75" hidden="false" customHeight="true" outlineLevel="0" collapsed="false">
      <c r="A15" s="39" t="str">
        <f aca="false">B15&amp;"-"&amp;C15</f>
        <v>I - Juegos con apuesta-10</v>
      </c>
      <c r="B15" s="221" t="s">
        <v>871</v>
      </c>
      <c r="C15" s="222" t="n">
        <v>10</v>
      </c>
      <c r="D15" s="39" t="s">
        <v>100</v>
      </c>
      <c r="E15" s="39" t="s">
        <v>1151</v>
      </c>
      <c r="F15" s="39" t="s">
        <v>1152</v>
      </c>
      <c r="G15" s="39" t="s">
        <v>1153</v>
      </c>
      <c r="H15" s="223" t="s">
        <v>1138</v>
      </c>
    </row>
    <row r="16" customFormat="false" ht="18.75" hidden="false" customHeight="true" outlineLevel="0" collapsed="false">
      <c r="A16" s="39" t="str">
        <f aca="false">B16&amp;"-"&amp;C16</f>
        <v>I - Juegos con apuesta-11</v>
      </c>
      <c r="B16" s="221" t="s">
        <v>871</v>
      </c>
      <c r="C16" s="222" t="n">
        <v>11</v>
      </c>
      <c r="D16" s="39" t="s">
        <v>102</v>
      </c>
      <c r="E16" s="39" t="s">
        <v>1154</v>
      </c>
      <c r="F16" s="39" t="s">
        <v>1155</v>
      </c>
      <c r="G16" s="39" t="s">
        <v>1156</v>
      </c>
      <c r="H16" s="223" t="s">
        <v>1138</v>
      </c>
    </row>
    <row r="17" customFormat="false" ht="18.75" hidden="false" customHeight="true" outlineLevel="0" collapsed="false">
      <c r="A17" s="39" t="str">
        <f aca="false">B17&amp;"-"&amp;C17</f>
        <v>I - Juegos con apuesta-12</v>
      </c>
      <c r="B17" s="221" t="s">
        <v>871</v>
      </c>
      <c r="C17" s="222" t="n">
        <v>12</v>
      </c>
      <c r="D17" s="39" t="s">
        <v>105</v>
      </c>
      <c r="E17" s="39" t="s">
        <v>1157</v>
      </c>
      <c r="F17" s="39" t="s">
        <v>1158</v>
      </c>
      <c r="G17" s="39" t="s">
        <v>1159</v>
      </c>
      <c r="H17" s="223" t="s">
        <v>1138</v>
      </c>
    </row>
    <row r="18" customFormat="false" ht="18.75" hidden="false" customHeight="true" outlineLevel="0" collapsed="false">
      <c r="A18" s="39" t="str">
        <f aca="false">B18&amp;"-"&amp;C18</f>
        <v>I - Juegos con apuesta-13</v>
      </c>
      <c r="B18" s="221" t="s">
        <v>871</v>
      </c>
      <c r="C18" s="222" t="n">
        <v>13</v>
      </c>
      <c r="D18" s="39" t="s">
        <v>107</v>
      </c>
      <c r="E18" s="39" t="s">
        <v>1160</v>
      </c>
      <c r="F18" s="39" t="s">
        <v>1161</v>
      </c>
      <c r="G18" s="39" t="s">
        <v>1162</v>
      </c>
      <c r="H18" s="223" t="s">
        <v>1124</v>
      </c>
    </row>
    <row r="19" customFormat="false" ht="18.75" hidden="false" customHeight="true" outlineLevel="0" collapsed="false">
      <c r="A19" s="39" t="str">
        <f aca="false">B19&amp;"-"&amp;C19</f>
        <v>I - Juegos con apuesta-14</v>
      </c>
      <c r="B19" s="221" t="s">
        <v>871</v>
      </c>
      <c r="C19" s="222" t="n">
        <v>14</v>
      </c>
      <c r="D19" s="39" t="s">
        <v>109</v>
      </c>
      <c r="E19" s="39" t="s">
        <v>1163</v>
      </c>
      <c r="F19" s="39" t="s">
        <v>1164</v>
      </c>
      <c r="G19" s="39" t="s">
        <v>1165</v>
      </c>
      <c r="H19" s="223" t="s">
        <v>1138</v>
      </c>
    </row>
    <row r="20" customFormat="false" ht="18.75" hidden="false" customHeight="true" outlineLevel="0" collapsed="false">
      <c r="A20" s="39" t="str">
        <f aca="false">B20&amp;"-"&amp;C20</f>
        <v>I - Juegos con apuesta-15</v>
      </c>
      <c r="B20" s="221" t="s">
        <v>871</v>
      </c>
      <c r="C20" s="222" t="n">
        <v>15</v>
      </c>
      <c r="D20" s="39" t="s">
        <v>112</v>
      </c>
      <c r="E20" s="39" t="s">
        <v>1166</v>
      </c>
      <c r="F20" s="39" t="s">
        <v>1167</v>
      </c>
      <c r="G20" s="39" t="s">
        <v>1168</v>
      </c>
      <c r="H20" s="223" t="s">
        <v>1138</v>
      </c>
    </row>
    <row r="21" customFormat="false" ht="18.75" hidden="false" customHeight="true" outlineLevel="0" collapsed="false">
      <c r="A21" s="39" t="str">
        <f aca="false">B21&amp;"-"&amp;C21</f>
        <v>I - Juegos con apuesta-16</v>
      </c>
      <c r="B21" s="221" t="s">
        <v>871</v>
      </c>
      <c r="C21" s="222" t="n">
        <v>16</v>
      </c>
      <c r="D21" s="39" t="s">
        <v>114</v>
      </c>
      <c r="E21" s="39" t="s">
        <v>1169</v>
      </c>
      <c r="F21" s="39" t="s">
        <v>1170</v>
      </c>
      <c r="G21" s="39" t="s">
        <v>1171</v>
      </c>
      <c r="H21" s="223" t="s">
        <v>1138</v>
      </c>
    </row>
    <row r="22" customFormat="false" ht="18.75" hidden="false" customHeight="true" outlineLevel="0" collapsed="false">
      <c r="A22" s="39" t="str">
        <f aca="false">B22&amp;"-"&amp;C22</f>
        <v>I - Juegos con apuesta-17</v>
      </c>
      <c r="B22" s="221" t="s">
        <v>871</v>
      </c>
      <c r="C22" s="222" t="n">
        <v>17</v>
      </c>
      <c r="D22" s="39" t="s">
        <v>116</v>
      </c>
      <c r="E22" s="39" t="s">
        <v>1172</v>
      </c>
      <c r="F22" s="39" t="s">
        <v>1173</v>
      </c>
      <c r="G22" s="39" t="s">
        <v>1174</v>
      </c>
      <c r="H22" s="223" t="s">
        <v>1124</v>
      </c>
    </row>
    <row r="23" customFormat="false" ht="18.75" hidden="false" customHeight="true" outlineLevel="0" collapsed="false">
      <c r="A23" s="39" t="str">
        <f aca="false">B23&amp;"-"&amp;C23</f>
        <v>I - Juegos con apuesta-18</v>
      </c>
      <c r="B23" s="221" t="s">
        <v>871</v>
      </c>
      <c r="C23" s="222" t="n">
        <v>18</v>
      </c>
      <c r="D23" s="39" t="s">
        <v>119</v>
      </c>
      <c r="E23" s="39" t="s">
        <v>1175</v>
      </c>
      <c r="F23" s="39" t="s">
        <v>1176</v>
      </c>
      <c r="G23" s="39" t="s">
        <v>1177</v>
      </c>
      <c r="H23" s="223" t="s">
        <v>1138</v>
      </c>
    </row>
    <row r="24" customFormat="false" ht="18.75" hidden="false" customHeight="true" outlineLevel="0" collapsed="false">
      <c r="A24" s="39" t="str">
        <f aca="false">B24&amp;"-"&amp;C24</f>
        <v>I - Juegos con apuesta-19</v>
      </c>
      <c r="B24" s="221" t="s">
        <v>871</v>
      </c>
      <c r="C24" s="222" t="n">
        <v>19</v>
      </c>
      <c r="D24" s="39" t="s">
        <v>122</v>
      </c>
      <c r="E24" s="39" t="s">
        <v>1178</v>
      </c>
      <c r="F24" s="39" t="s">
        <v>1179</v>
      </c>
      <c r="G24" s="39" t="s">
        <v>1180</v>
      </c>
      <c r="H24" s="223" t="s">
        <v>1138</v>
      </c>
    </row>
    <row r="25" customFormat="false" ht="18.75" hidden="false" customHeight="true" outlineLevel="0" collapsed="false">
      <c r="A25" s="39" t="str">
        <f aca="false">B25&amp;"-"&amp;C25</f>
        <v>I - Juegos con apuesta-20</v>
      </c>
      <c r="B25" s="221" t="s">
        <v>871</v>
      </c>
      <c r="C25" s="222" t="n">
        <v>20</v>
      </c>
      <c r="D25" s="39" t="s">
        <v>124</v>
      </c>
      <c r="E25" s="39" t="s">
        <v>1181</v>
      </c>
      <c r="F25" s="39" t="s">
        <v>1182</v>
      </c>
      <c r="G25" s="39" t="s">
        <v>1183</v>
      </c>
      <c r="H25" s="223" t="s">
        <v>1124</v>
      </c>
    </row>
    <row r="26" customFormat="false" ht="18.75" hidden="false" customHeight="true" outlineLevel="0" collapsed="false">
      <c r="A26" s="39" t="str">
        <f aca="false">B26&amp;"-"&amp;C26</f>
        <v>I - Juegos con apuesta-21</v>
      </c>
      <c r="B26" s="221" t="s">
        <v>871</v>
      </c>
      <c r="C26" s="222" t="n">
        <v>21</v>
      </c>
      <c r="D26" s="39" t="s">
        <v>126</v>
      </c>
      <c r="E26" s="39" t="s">
        <v>1184</v>
      </c>
      <c r="F26" s="39" t="s">
        <v>1185</v>
      </c>
      <c r="G26" s="39" t="s">
        <v>1186</v>
      </c>
      <c r="H26" s="223" t="s">
        <v>1124</v>
      </c>
    </row>
    <row r="27" customFormat="false" ht="18.75" hidden="false" customHeight="true" outlineLevel="0" collapsed="false">
      <c r="A27" s="39" t="str">
        <f aca="false">B27&amp;"-"&amp;C27</f>
        <v>I - Juegos con apuesta-22</v>
      </c>
      <c r="B27" s="221" t="s">
        <v>871</v>
      </c>
      <c r="C27" s="222" t="n">
        <v>22</v>
      </c>
      <c r="D27" s="39" t="s">
        <v>128</v>
      </c>
      <c r="E27" s="39" t="s">
        <v>1187</v>
      </c>
      <c r="F27" s="39" t="s">
        <v>1188</v>
      </c>
      <c r="G27" s="39" t="s">
        <v>1189</v>
      </c>
      <c r="H27" s="223" t="s">
        <v>1138</v>
      </c>
    </row>
    <row r="28" customFormat="false" ht="18.75" hidden="false" customHeight="true" outlineLevel="0" collapsed="false">
      <c r="A28" s="39" t="str">
        <f aca="false">B28&amp;"-"&amp;C28</f>
        <v>I - Juegos con apuesta-23</v>
      </c>
      <c r="B28" s="221" t="s">
        <v>871</v>
      </c>
      <c r="C28" s="222" t="n">
        <v>23</v>
      </c>
      <c r="D28" s="39" t="s">
        <v>131</v>
      </c>
      <c r="E28" s="39" t="s">
        <v>1190</v>
      </c>
      <c r="F28" s="39" t="s">
        <v>1191</v>
      </c>
      <c r="G28" s="39" t="s">
        <v>1192</v>
      </c>
      <c r="H28" s="223" t="s">
        <v>1128</v>
      </c>
    </row>
    <row r="29" customFormat="false" ht="18.75" hidden="false" customHeight="true" outlineLevel="0" collapsed="false">
      <c r="A29" s="39" t="str">
        <f aca="false">B29&amp;"-"&amp;C29</f>
        <v>I - Juegos con apuesta-24</v>
      </c>
      <c r="B29" s="221" t="s">
        <v>871</v>
      </c>
      <c r="C29" s="222" t="n">
        <v>24</v>
      </c>
      <c r="D29" s="39" t="s">
        <v>133</v>
      </c>
      <c r="E29" s="39" t="s">
        <v>1193</v>
      </c>
      <c r="F29" s="39" t="s">
        <v>1194</v>
      </c>
      <c r="G29" s="39" t="s">
        <v>1195</v>
      </c>
      <c r="H29" s="223" t="s">
        <v>1128</v>
      </c>
    </row>
    <row r="30" customFormat="false" ht="18.75" hidden="false" customHeight="true" outlineLevel="0" collapsed="false">
      <c r="A30" s="39" t="str">
        <f aca="false">B30&amp;"-"&amp;C30</f>
        <v>I - Juegos con apuesta-25</v>
      </c>
      <c r="B30" s="221" t="s">
        <v>871</v>
      </c>
      <c r="C30" s="222" t="n">
        <v>25</v>
      </c>
      <c r="D30" s="39" t="s">
        <v>135</v>
      </c>
      <c r="E30" s="39" t="s">
        <v>1196</v>
      </c>
      <c r="F30" s="39" t="s">
        <v>1197</v>
      </c>
      <c r="G30" s="39" t="s">
        <v>1198</v>
      </c>
      <c r="H30" s="223" t="s">
        <v>1128</v>
      </c>
    </row>
    <row r="31" customFormat="false" ht="18.75" hidden="false" customHeight="true" outlineLevel="0" collapsed="false">
      <c r="A31" s="39" t="str">
        <f aca="false">B31&amp;"-"&amp;C31</f>
        <v>II - Tarjetas de crédito o servicios-1</v>
      </c>
      <c r="B31" s="221" t="s">
        <v>879</v>
      </c>
      <c r="C31" s="222" t="n">
        <v>1</v>
      </c>
      <c r="D31" s="39" t="s">
        <v>77</v>
      </c>
      <c r="E31" s="39" t="s">
        <v>1199</v>
      </c>
      <c r="F31" s="39" t="s">
        <v>1200</v>
      </c>
      <c r="G31" s="39" t="s">
        <v>1201</v>
      </c>
      <c r="H31" s="223" t="s">
        <v>1124</v>
      </c>
    </row>
    <row r="32" customFormat="false" ht="18.75" hidden="false" customHeight="true" outlineLevel="0" collapsed="false">
      <c r="A32" s="39" t="str">
        <f aca="false">B32&amp;"-"&amp;C32</f>
        <v>II - Tarjetas de crédito o servicios-2</v>
      </c>
      <c r="B32" s="221" t="s">
        <v>879</v>
      </c>
      <c r="C32" s="222" t="n">
        <v>2</v>
      </c>
      <c r="D32" s="39" t="s">
        <v>81</v>
      </c>
      <c r="E32" s="39" t="s">
        <v>1202</v>
      </c>
      <c r="F32" s="39" t="s">
        <v>1203</v>
      </c>
      <c r="G32" s="39" t="s">
        <v>1204</v>
      </c>
      <c r="H32" s="223" t="s">
        <v>1128</v>
      </c>
    </row>
    <row r="33" customFormat="false" ht="18.75" hidden="false" customHeight="true" outlineLevel="0" collapsed="false">
      <c r="A33" s="39" t="str">
        <f aca="false">B33&amp;"-"&amp;C33</f>
        <v>II - Tarjetas de crédito o servicios-3</v>
      </c>
      <c r="B33" s="221" t="s">
        <v>879</v>
      </c>
      <c r="C33" s="222" t="n">
        <v>3</v>
      </c>
      <c r="D33" s="39" t="s">
        <v>83</v>
      </c>
      <c r="E33" s="39" t="s">
        <v>1205</v>
      </c>
      <c r="F33" s="39" t="s">
        <v>1206</v>
      </c>
      <c r="G33" s="39" t="s">
        <v>1207</v>
      </c>
      <c r="H33" s="223" t="s">
        <v>1128</v>
      </c>
    </row>
    <row r="34" customFormat="false" ht="18.75" hidden="false" customHeight="true" outlineLevel="0" collapsed="false">
      <c r="A34" s="39" t="str">
        <f aca="false">B34&amp;"-"&amp;C34</f>
        <v>II - Tarjetas de crédito o servicios-4</v>
      </c>
      <c r="B34" s="221" t="s">
        <v>879</v>
      </c>
      <c r="C34" s="222" t="n">
        <v>4</v>
      </c>
      <c r="D34" s="39" t="s">
        <v>85</v>
      </c>
      <c r="E34" s="39" t="s">
        <v>1208</v>
      </c>
      <c r="F34" s="39" t="s">
        <v>1133</v>
      </c>
      <c r="G34" s="39" t="s">
        <v>1134</v>
      </c>
      <c r="H34" s="223" t="s">
        <v>1128</v>
      </c>
    </row>
    <row r="35" customFormat="false" ht="18.75" hidden="false" customHeight="true" outlineLevel="0" collapsed="false">
      <c r="A35" s="39" t="str">
        <f aca="false">B35&amp;"-"&amp;C35</f>
        <v>II - Tarjetas de crédito o servicios-5</v>
      </c>
      <c r="B35" s="221" t="s">
        <v>879</v>
      </c>
      <c r="C35" s="222" t="n">
        <v>5</v>
      </c>
      <c r="D35" s="39" t="s">
        <v>88</v>
      </c>
      <c r="E35" s="39" t="s">
        <v>1209</v>
      </c>
      <c r="F35" s="39" t="s">
        <v>1136</v>
      </c>
      <c r="G35" s="39" t="s">
        <v>1137</v>
      </c>
      <c r="H35" s="223" t="s">
        <v>1138</v>
      </c>
    </row>
    <row r="36" customFormat="false" ht="18.75" hidden="false" customHeight="true" outlineLevel="0" collapsed="false">
      <c r="A36" s="39" t="str">
        <f aca="false">B36&amp;"-"&amp;C36</f>
        <v>II - Tarjetas de crédito o servicios-6</v>
      </c>
      <c r="B36" s="221" t="s">
        <v>879</v>
      </c>
      <c r="C36" s="222" t="n">
        <v>6</v>
      </c>
      <c r="D36" s="39" t="s">
        <v>91</v>
      </c>
      <c r="E36" s="39" t="s">
        <v>1210</v>
      </c>
      <c r="F36" s="39" t="s">
        <v>1211</v>
      </c>
      <c r="G36" s="39" t="s">
        <v>1212</v>
      </c>
      <c r="H36" s="223" t="s">
        <v>1138</v>
      </c>
    </row>
    <row r="37" customFormat="false" ht="18.75" hidden="false" customHeight="true" outlineLevel="0" collapsed="false">
      <c r="A37" s="39" t="str">
        <f aca="false">B37&amp;"-"&amp;C37</f>
        <v>II - Tarjetas de crédito o servicios-7</v>
      </c>
      <c r="B37" s="221" t="s">
        <v>879</v>
      </c>
      <c r="C37" s="222" t="n">
        <v>7</v>
      </c>
      <c r="D37" s="39" t="s">
        <v>94</v>
      </c>
      <c r="E37" s="39" t="s">
        <v>1142</v>
      </c>
      <c r="F37" s="39" t="s">
        <v>1143</v>
      </c>
      <c r="G37" s="39" t="s">
        <v>1144</v>
      </c>
      <c r="H37" s="223" t="s">
        <v>1138</v>
      </c>
    </row>
    <row r="38" customFormat="false" ht="18.75" hidden="false" customHeight="true" outlineLevel="0" collapsed="false">
      <c r="A38" s="39" t="str">
        <f aca="false">B38&amp;"-"&amp;C38</f>
        <v>II - Tarjetas de crédito o servicios-8</v>
      </c>
      <c r="B38" s="221" t="s">
        <v>879</v>
      </c>
      <c r="C38" s="222" t="n">
        <v>8</v>
      </c>
      <c r="D38" s="39" t="s">
        <v>96</v>
      </c>
      <c r="E38" s="39" t="s">
        <v>1213</v>
      </c>
      <c r="F38" s="39" t="s">
        <v>1146</v>
      </c>
      <c r="G38" s="39" t="s">
        <v>1147</v>
      </c>
      <c r="H38" s="223" t="s">
        <v>1138</v>
      </c>
    </row>
    <row r="39" customFormat="false" ht="18.75" hidden="false" customHeight="true" outlineLevel="0" collapsed="false">
      <c r="A39" s="39" t="str">
        <f aca="false">B39&amp;"-"&amp;C39</f>
        <v>II - Tarjetas de crédito o servicios-9</v>
      </c>
      <c r="B39" s="221" t="s">
        <v>879</v>
      </c>
      <c r="C39" s="222" t="n">
        <v>9</v>
      </c>
      <c r="D39" s="39" t="s">
        <v>98</v>
      </c>
      <c r="E39" s="39" t="s">
        <v>1148</v>
      </c>
      <c r="F39" s="39" t="s">
        <v>1149</v>
      </c>
      <c r="G39" s="39" t="s">
        <v>1150</v>
      </c>
      <c r="H39" s="223" t="s">
        <v>1138</v>
      </c>
    </row>
    <row r="40" customFormat="false" ht="18.75" hidden="false" customHeight="true" outlineLevel="0" collapsed="false">
      <c r="A40" s="39" t="str">
        <f aca="false">B40&amp;"-"&amp;C40</f>
        <v>II - Tarjetas de crédito o servicios-10</v>
      </c>
      <c r="B40" s="221" t="s">
        <v>879</v>
      </c>
      <c r="C40" s="222" t="n">
        <v>10</v>
      </c>
      <c r="D40" s="39" t="s">
        <v>100</v>
      </c>
      <c r="E40" s="39" t="s">
        <v>1151</v>
      </c>
      <c r="F40" s="39" t="s">
        <v>1152</v>
      </c>
      <c r="G40" s="39" t="s">
        <v>1153</v>
      </c>
      <c r="H40" s="223" t="s">
        <v>1138</v>
      </c>
    </row>
    <row r="41" customFormat="false" ht="18.75" hidden="false" customHeight="true" outlineLevel="0" collapsed="false">
      <c r="A41" s="39" t="str">
        <f aca="false">B41&amp;"-"&amp;C41</f>
        <v>II - Tarjetas de crédito o servicios-11</v>
      </c>
      <c r="B41" s="221" t="s">
        <v>879</v>
      </c>
      <c r="C41" s="222" t="n">
        <v>11</v>
      </c>
      <c r="D41" s="39" t="s">
        <v>102</v>
      </c>
      <c r="E41" s="39" t="s">
        <v>1154</v>
      </c>
      <c r="F41" s="39" t="s">
        <v>1155</v>
      </c>
      <c r="G41" s="39" t="s">
        <v>1156</v>
      </c>
      <c r="H41" s="223" t="s">
        <v>1138</v>
      </c>
    </row>
    <row r="42" customFormat="false" ht="18.75" hidden="false" customHeight="true" outlineLevel="0" collapsed="false">
      <c r="A42" s="39" t="str">
        <f aca="false">B42&amp;"-"&amp;C42</f>
        <v>II - Tarjetas de crédito o servicios-12</v>
      </c>
      <c r="B42" s="221" t="s">
        <v>879</v>
      </c>
      <c r="C42" s="222" t="n">
        <v>12</v>
      </c>
      <c r="D42" s="39" t="s">
        <v>105</v>
      </c>
      <c r="E42" s="39" t="s">
        <v>1157</v>
      </c>
      <c r="F42" s="39" t="s">
        <v>1158</v>
      </c>
      <c r="G42" s="39" t="s">
        <v>1159</v>
      </c>
      <c r="H42" s="223" t="s">
        <v>1138</v>
      </c>
    </row>
    <row r="43" customFormat="false" ht="18.75" hidden="false" customHeight="true" outlineLevel="0" collapsed="false">
      <c r="A43" s="39" t="str">
        <f aca="false">B43&amp;"-"&amp;C43</f>
        <v>II - Tarjetas de crédito o servicios-13</v>
      </c>
      <c r="B43" s="221" t="s">
        <v>879</v>
      </c>
      <c r="C43" s="222" t="n">
        <v>13</v>
      </c>
      <c r="D43" s="39" t="s">
        <v>107</v>
      </c>
      <c r="E43" s="39" t="s">
        <v>1214</v>
      </c>
      <c r="F43" s="39" t="s">
        <v>1161</v>
      </c>
      <c r="G43" s="39" t="s">
        <v>1215</v>
      </c>
      <c r="H43" s="223" t="s">
        <v>1124</v>
      </c>
    </row>
    <row r="44" customFormat="false" ht="18.75" hidden="false" customHeight="true" outlineLevel="0" collapsed="false">
      <c r="A44" s="39" t="str">
        <f aca="false">B44&amp;"-"&amp;C44</f>
        <v>II - Tarjetas de crédito o servicios-14</v>
      </c>
      <c r="B44" s="221" t="s">
        <v>879</v>
      </c>
      <c r="C44" s="222" t="n">
        <v>14</v>
      </c>
      <c r="D44" s="39" t="s">
        <v>109</v>
      </c>
      <c r="E44" s="39" t="s">
        <v>1216</v>
      </c>
      <c r="F44" s="39" t="s">
        <v>1217</v>
      </c>
      <c r="G44" s="39" t="s">
        <v>1218</v>
      </c>
      <c r="H44" s="223" t="s">
        <v>1138</v>
      </c>
    </row>
    <row r="45" customFormat="false" ht="18.75" hidden="false" customHeight="true" outlineLevel="0" collapsed="false">
      <c r="A45" s="39" t="str">
        <f aca="false">B45&amp;"-"&amp;C45</f>
        <v>II - Tarjetas de crédito o servicios-15</v>
      </c>
      <c r="B45" s="221" t="s">
        <v>879</v>
      </c>
      <c r="C45" s="222" t="n">
        <v>15</v>
      </c>
      <c r="D45" s="39" t="s">
        <v>112</v>
      </c>
      <c r="E45" s="39" t="s">
        <v>1219</v>
      </c>
      <c r="F45" s="39" t="s">
        <v>1220</v>
      </c>
      <c r="G45" s="39" t="s">
        <v>1221</v>
      </c>
      <c r="H45" s="223" t="s">
        <v>1138</v>
      </c>
    </row>
    <row r="46" customFormat="false" ht="18.75" hidden="false" customHeight="true" outlineLevel="0" collapsed="false">
      <c r="A46" s="39" t="str">
        <f aca="false">B46&amp;"-"&amp;C46</f>
        <v>II - Tarjetas de crédito o servicios-16</v>
      </c>
      <c r="B46" s="221" t="s">
        <v>879</v>
      </c>
      <c r="C46" s="222" t="n">
        <v>16</v>
      </c>
      <c r="D46" s="39" t="s">
        <v>114</v>
      </c>
      <c r="E46" s="39" t="s">
        <v>1169</v>
      </c>
      <c r="F46" s="39" t="s">
        <v>1170</v>
      </c>
      <c r="G46" s="39" t="s">
        <v>1171</v>
      </c>
      <c r="H46" s="223" t="s">
        <v>1138</v>
      </c>
    </row>
    <row r="47" customFormat="false" ht="18.75" hidden="false" customHeight="true" outlineLevel="0" collapsed="false">
      <c r="A47" s="39" t="str">
        <f aca="false">B47&amp;"-"&amp;C47</f>
        <v>II - Tarjetas de crédito o servicios-17</v>
      </c>
      <c r="B47" s="221" t="s">
        <v>879</v>
      </c>
      <c r="C47" s="222" t="n">
        <v>17</v>
      </c>
      <c r="D47" s="39" t="s">
        <v>116</v>
      </c>
      <c r="E47" s="39" t="s">
        <v>1222</v>
      </c>
      <c r="F47" s="39" t="s">
        <v>1173</v>
      </c>
      <c r="G47" s="39" t="s">
        <v>1223</v>
      </c>
      <c r="H47" s="223" t="s">
        <v>1124</v>
      </c>
    </row>
    <row r="48" customFormat="false" ht="18.75" hidden="false" customHeight="true" outlineLevel="0" collapsed="false">
      <c r="A48" s="39" t="str">
        <f aca="false">B48&amp;"-"&amp;C48</f>
        <v>II - Tarjetas de crédito o servicios-18</v>
      </c>
      <c r="B48" s="221" t="s">
        <v>879</v>
      </c>
      <c r="C48" s="222" t="n">
        <v>18</v>
      </c>
      <c r="D48" s="39" t="s">
        <v>119</v>
      </c>
      <c r="E48" s="39" t="s">
        <v>1175</v>
      </c>
      <c r="F48" s="39" t="s">
        <v>1176</v>
      </c>
      <c r="G48" s="39" t="s">
        <v>1224</v>
      </c>
      <c r="H48" s="223" t="s">
        <v>1138</v>
      </c>
    </row>
    <row r="49" customFormat="false" ht="18.75" hidden="false" customHeight="true" outlineLevel="0" collapsed="false">
      <c r="A49" s="39" t="str">
        <f aca="false">B49&amp;"-"&amp;C49</f>
        <v>II - Tarjetas de crédito o servicios-19</v>
      </c>
      <c r="B49" s="221" t="s">
        <v>879</v>
      </c>
      <c r="C49" s="222" t="n">
        <v>19</v>
      </c>
      <c r="D49" s="39" t="s">
        <v>122</v>
      </c>
      <c r="E49" s="39" t="s">
        <v>1178</v>
      </c>
      <c r="F49" s="39" t="s">
        <v>1179</v>
      </c>
      <c r="G49" s="39" t="s">
        <v>1180</v>
      </c>
      <c r="H49" s="223" t="s">
        <v>1138</v>
      </c>
    </row>
    <row r="50" customFormat="false" ht="18.75" hidden="false" customHeight="true" outlineLevel="0" collapsed="false">
      <c r="A50" s="39" t="str">
        <f aca="false">B50&amp;"-"&amp;C50</f>
        <v>II - Tarjetas de crédito o servicios-20</v>
      </c>
      <c r="B50" s="221" t="s">
        <v>879</v>
      </c>
      <c r="C50" s="222" t="n">
        <v>20</v>
      </c>
      <c r="D50" s="39" t="s">
        <v>124</v>
      </c>
      <c r="E50" s="39" t="s">
        <v>1225</v>
      </c>
      <c r="F50" s="39" t="s">
        <v>1226</v>
      </c>
      <c r="G50" s="39" t="s">
        <v>1227</v>
      </c>
      <c r="H50" s="223" t="s">
        <v>1124</v>
      </c>
    </row>
    <row r="51" customFormat="false" ht="18.75" hidden="false" customHeight="true" outlineLevel="0" collapsed="false">
      <c r="A51" s="39" t="str">
        <f aca="false">B51&amp;"-"&amp;C51</f>
        <v>II - Tarjetas de crédito o servicios-21</v>
      </c>
      <c r="B51" s="221" t="s">
        <v>879</v>
      </c>
      <c r="C51" s="222" t="n">
        <v>21</v>
      </c>
      <c r="D51" s="39" t="s">
        <v>126</v>
      </c>
      <c r="E51" s="39" t="s">
        <v>1228</v>
      </c>
      <c r="F51" s="39" t="s">
        <v>1229</v>
      </c>
      <c r="G51" s="39" t="s">
        <v>1230</v>
      </c>
      <c r="H51" s="223" t="s">
        <v>1124</v>
      </c>
    </row>
    <row r="52" customFormat="false" ht="18.75" hidden="false" customHeight="true" outlineLevel="0" collapsed="false">
      <c r="A52" s="39" t="str">
        <f aca="false">B52&amp;"-"&amp;C52</f>
        <v>II - Tarjetas de crédito o servicios-22</v>
      </c>
      <c r="B52" s="221" t="s">
        <v>879</v>
      </c>
      <c r="C52" s="222" t="n">
        <v>22</v>
      </c>
      <c r="D52" s="39" t="s">
        <v>128</v>
      </c>
      <c r="E52" s="39" t="s">
        <v>1231</v>
      </c>
      <c r="F52" s="39" t="s">
        <v>1232</v>
      </c>
      <c r="G52" s="39" t="s">
        <v>1233</v>
      </c>
      <c r="H52" s="223" t="s">
        <v>1138</v>
      </c>
    </row>
    <row r="53" customFormat="false" ht="18.75" hidden="false" customHeight="true" outlineLevel="0" collapsed="false">
      <c r="A53" s="39" t="str">
        <f aca="false">B53&amp;"-"&amp;C53</f>
        <v>II - Tarjetas de crédito o servicios-23</v>
      </c>
      <c r="B53" s="221" t="s">
        <v>879</v>
      </c>
      <c r="C53" s="222" t="n">
        <v>23</v>
      </c>
      <c r="D53" s="39" t="s">
        <v>131</v>
      </c>
      <c r="E53" s="39" t="s">
        <v>1190</v>
      </c>
      <c r="F53" s="39" t="s">
        <v>1191</v>
      </c>
      <c r="G53" s="39" t="s">
        <v>1192</v>
      </c>
      <c r="H53" s="223" t="s">
        <v>1128</v>
      </c>
    </row>
    <row r="54" customFormat="false" ht="18.75" hidden="false" customHeight="true" outlineLevel="0" collapsed="false">
      <c r="A54" s="39" t="str">
        <f aca="false">B54&amp;"-"&amp;C54</f>
        <v>II - Tarjetas de crédito o servicios-24</v>
      </c>
      <c r="B54" s="221" t="s">
        <v>879</v>
      </c>
      <c r="C54" s="222" t="n">
        <v>24</v>
      </c>
      <c r="D54" s="39" t="s">
        <v>133</v>
      </c>
      <c r="E54" s="39" t="s">
        <v>1234</v>
      </c>
      <c r="F54" s="39" t="s">
        <v>1194</v>
      </c>
      <c r="G54" s="39" t="s">
        <v>1235</v>
      </c>
      <c r="H54" s="223" t="s">
        <v>1128</v>
      </c>
    </row>
    <row r="55" customFormat="false" ht="18.75" hidden="false" customHeight="true" outlineLevel="0" collapsed="false">
      <c r="A55" s="39" t="str">
        <f aca="false">B55&amp;"-"&amp;C55</f>
        <v>II - Tarjetas de crédito o servicios-25</v>
      </c>
      <c r="B55" s="221" t="s">
        <v>879</v>
      </c>
      <c r="C55" s="222" t="n">
        <v>25</v>
      </c>
      <c r="D55" s="39" t="s">
        <v>135</v>
      </c>
      <c r="E55" s="39" t="s">
        <v>1236</v>
      </c>
      <c r="F55" s="39" t="s">
        <v>1197</v>
      </c>
      <c r="G55" s="39" t="s">
        <v>1198</v>
      </c>
      <c r="H55" s="223" t="s">
        <v>1128</v>
      </c>
    </row>
    <row r="56" customFormat="false" ht="18.75" hidden="false" customHeight="true" outlineLevel="0" collapsed="false">
      <c r="A56" s="39" t="str">
        <f aca="false">B56&amp;"-"&amp;C56</f>
        <v>II - Tarjetas prepagadas y monederos electrónicos-1</v>
      </c>
      <c r="B56" s="221" t="s">
        <v>887</v>
      </c>
      <c r="C56" s="222" t="n">
        <v>1</v>
      </c>
      <c r="D56" s="39" t="s">
        <v>77</v>
      </c>
      <c r="E56" s="39" t="s">
        <v>1237</v>
      </c>
      <c r="F56" s="39" t="s">
        <v>1238</v>
      </c>
      <c r="G56" s="39" t="s">
        <v>1239</v>
      </c>
      <c r="H56" s="223" t="s">
        <v>1124</v>
      </c>
    </row>
    <row r="57" customFormat="false" ht="18.75" hidden="false" customHeight="true" outlineLevel="0" collapsed="false">
      <c r="A57" s="39" t="str">
        <f aca="false">B57&amp;"-"&amp;C57</f>
        <v>II - Tarjetas prepagadas y monederos electrónicos-2</v>
      </c>
      <c r="B57" s="221" t="s">
        <v>887</v>
      </c>
      <c r="C57" s="222" t="n">
        <v>2</v>
      </c>
      <c r="D57" s="39" t="s">
        <v>81</v>
      </c>
      <c r="E57" s="39" t="s">
        <v>1240</v>
      </c>
      <c r="F57" s="39" t="s">
        <v>1241</v>
      </c>
      <c r="G57" s="39" t="s">
        <v>1242</v>
      </c>
      <c r="H57" s="223" t="s">
        <v>1128</v>
      </c>
    </row>
    <row r="58" customFormat="false" ht="18.75" hidden="false" customHeight="true" outlineLevel="0" collapsed="false">
      <c r="A58" s="39" t="str">
        <f aca="false">B58&amp;"-"&amp;C58</f>
        <v>II - Tarjetas prepagadas y monederos electrónicos-3</v>
      </c>
      <c r="B58" s="221" t="s">
        <v>887</v>
      </c>
      <c r="C58" s="222" t="n">
        <v>3</v>
      </c>
      <c r="D58" s="39" t="s">
        <v>83</v>
      </c>
      <c r="E58" s="39" t="s">
        <v>1243</v>
      </c>
      <c r="F58" s="39" t="s">
        <v>1244</v>
      </c>
      <c r="G58" s="39" t="s">
        <v>1245</v>
      </c>
      <c r="H58" s="223" t="s">
        <v>1128</v>
      </c>
    </row>
    <row r="59" customFormat="false" ht="18.75" hidden="false" customHeight="true" outlineLevel="0" collapsed="false">
      <c r="A59" s="39" t="str">
        <f aca="false">B59&amp;"-"&amp;C59</f>
        <v>II - Tarjetas prepagadas y monederos electrónicos-4</v>
      </c>
      <c r="B59" s="221" t="s">
        <v>887</v>
      </c>
      <c r="C59" s="222" t="n">
        <v>4</v>
      </c>
      <c r="D59" s="39" t="s">
        <v>85</v>
      </c>
      <c r="E59" s="39" t="s">
        <v>1246</v>
      </c>
      <c r="F59" s="39" t="s">
        <v>1133</v>
      </c>
      <c r="G59" s="39" t="s">
        <v>1134</v>
      </c>
      <c r="H59" s="223" t="s">
        <v>1128</v>
      </c>
    </row>
    <row r="60" customFormat="false" ht="18.75" hidden="false" customHeight="true" outlineLevel="0" collapsed="false">
      <c r="A60" s="39" t="str">
        <f aca="false">B60&amp;"-"&amp;C60</f>
        <v>II - Tarjetas prepagadas y monederos electrónicos-5</v>
      </c>
      <c r="B60" s="221" t="s">
        <v>887</v>
      </c>
      <c r="C60" s="222" t="n">
        <v>5</v>
      </c>
      <c r="D60" s="39" t="s">
        <v>88</v>
      </c>
      <c r="E60" s="39" t="s">
        <v>1247</v>
      </c>
      <c r="F60" s="39" t="s">
        <v>1136</v>
      </c>
      <c r="G60" s="39" t="s">
        <v>1137</v>
      </c>
      <c r="H60" s="223" t="s">
        <v>1138</v>
      </c>
    </row>
    <row r="61" customFormat="false" ht="18.75" hidden="false" customHeight="true" outlineLevel="0" collapsed="false">
      <c r="A61" s="39" t="str">
        <f aca="false">B61&amp;"-"&amp;C61</f>
        <v>II - Tarjetas prepagadas y monederos electrónicos-6</v>
      </c>
      <c r="B61" s="221" t="s">
        <v>887</v>
      </c>
      <c r="C61" s="222" t="n">
        <v>6</v>
      </c>
      <c r="D61" s="39" t="s">
        <v>91</v>
      </c>
      <c r="E61" s="39" t="s">
        <v>1248</v>
      </c>
      <c r="F61" s="39" t="s">
        <v>1249</v>
      </c>
      <c r="G61" s="39" t="s">
        <v>1250</v>
      </c>
      <c r="H61" s="223" t="s">
        <v>1138</v>
      </c>
    </row>
    <row r="62" customFormat="false" ht="18.75" hidden="false" customHeight="true" outlineLevel="0" collapsed="false">
      <c r="A62" s="39" t="str">
        <f aca="false">B62&amp;"-"&amp;C62</f>
        <v>II - Tarjetas prepagadas y monederos electrónicos-7</v>
      </c>
      <c r="B62" s="221" t="s">
        <v>887</v>
      </c>
      <c r="C62" s="222" t="n">
        <v>7</v>
      </c>
      <c r="D62" s="39" t="s">
        <v>94</v>
      </c>
      <c r="E62" s="39" t="s">
        <v>1142</v>
      </c>
      <c r="F62" s="39" t="s">
        <v>1143</v>
      </c>
      <c r="G62" s="39" t="s">
        <v>1144</v>
      </c>
      <c r="H62" s="223" t="s">
        <v>1138</v>
      </c>
    </row>
    <row r="63" customFormat="false" ht="18.75" hidden="false" customHeight="true" outlineLevel="0" collapsed="false">
      <c r="A63" s="39" t="str">
        <f aca="false">B63&amp;"-"&amp;C63</f>
        <v>II - Tarjetas prepagadas y monederos electrónicos-8</v>
      </c>
      <c r="B63" s="221" t="s">
        <v>887</v>
      </c>
      <c r="C63" s="222" t="n">
        <v>8</v>
      </c>
      <c r="D63" s="39" t="s">
        <v>96</v>
      </c>
      <c r="E63" s="39" t="s">
        <v>1251</v>
      </c>
      <c r="F63" s="39" t="s">
        <v>1146</v>
      </c>
      <c r="G63" s="39" t="s">
        <v>1147</v>
      </c>
      <c r="H63" s="223" t="s">
        <v>1138</v>
      </c>
    </row>
    <row r="64" customFormat="false" ht="18.75" hidden="false" customHeight="true" outlineLevel="0" collapsed="false">
      <c r="A64" s="39" t="str">
        <f aca="false">B64&amp;"-"&amp;C64</f>
        <v>II - Tarjetas prepagadas y monederos electrónicos-9</v>
      </c>
      <c r="B64" s="221" t="s">
        <v>887</v>
      </c>
      <c r="C64" s="222" t="n">
        <v>9</v>
      </c>
      <c r="D64" s="39" t="s">
        <v>98</v>
      </c>
      <c r="E64" s="39" t="s">
        <v>1148</v>
      </c>
      <c r="F64" s="39" t="s">
        <v>1149</v>
      </c>
      <c r="G64" s="39" t="s">
        <v>1150</v>
      </c>
      <c r="H64" s="223" t="s">
        <v>1138</v>
      </c>
    </row>
    <row r="65" customFormat="false" ht="18.75" hidden="false" customHeight="true" outlineLevel="0" collapsed="false">
      <c r="A65" s="39" t="str">
        <f aca="false">B65&amp;"-"&amp;C65</f>
        <v>II - Tarjetas prepagadas y monederos electrónicos-10</v>
      </c>
      <c r="B65" s="221" t="s">
        <v>887</v>
      </c>
      <c r="C65" s="222" t="n">
        <v>10</v>
      </c>
      <c r="D65" s="39" t="s">
        <v>100</v>
      </c>
      <c r="E65" s="39" t="s">
        <v>1151</v>
      </c>
      <c r="F65" s="39" t="s">
        <v>1152</v>
      </c>
      <c r="G65" s="39" t="s">
        <v>1153</v>
      </c>
      <c r="H65" s="223" t="s">
        <v>1138</v>
      </c>
    </row>
    <row r="66" customFormat="false" ht="18.75" hidden="false" customHeight="true" outlineLevel="0" collapsed="false">
      <c r="A66" s="39" t="str">
        <f aca="false">B66&amp;"-"&amp;C66</f>
        <v>II - Tarjetas prepagadas y monederos electrónicos-11</v>
      </c>
      <c r="B66" s="221" t="s">
        <v>887</v>
      </c>
      <c r="C66" s="222" t="n">
        <v>11</v>
      </c>
      <c r="D66" s="39" t="s">
        <v>102</v>
      </c>
      <c r="E66" s="39" t="s">
        <v>1154</v>
      </c>
      <c r="F66" s="39" t="s">
        <v>1155</v>
      </c>
      <c r="G66" s="39" t="s">
        <v>1156</v>
      </c>
      <c r="H66" s="223" t="s">
        <v>1138</v>
      </c>
    </row>
    <row r="67" customFormat="false" ht="18.75" hidden="false" customHeight="true" outlineLevel="0" collapsed="false">
      <c r="A67" s="39" t="str">
        <f aca="false">B67&amp;"-"&amp;C67</f>
        <v>II - Tarjetas prepagadas y monederos electrónicos-12</v>
      </c>
      <c r="B67" s="221" t="s">
        <v>887</v>
      </c>
      <c r="C67" s="222" t="n">
        <v>12</v>
      </c>
      <c r="D67" s="39" t="s">
        <v>105</v>
      </c>
      <c r="E67" s="39" t="s">
        <v>1157</v>
      </c>
      <c r="F67" s="39" t="s">
        <v>1158</v>
      </c>
      <c r="G67" s="39" t="s">
        <v>1159</v>
      </c>
      <c r="H67" s="223" t="s">
        <v>1138</v>
      </c>
    </row>
    <row r="68" customFormat="false" ht="18.75" hidden="false" customHeight="true" outlineLevel="0" collapsed="false">
      <c r="A68" s="39" t="str">
        <f aca="false">B68&amp;"-"&amp;C68</f>
        <v>II - Tarjetas prepagadas y monederos electrónicos-13</v>
      </c>
      <c r="B68" s="221" t="s">
        <v>887</v>
      </c>
      <c r="C68" s="222" t="n">
        <v>13</v>
      </c>
      <c r="D68" s="39" t="s">
        <v>107</v>
      </c>
      <c r="E68" s="39" t="s">
        <v>1252</v>
      </c>
      <c r="F68" s="39" t="s">
        <v>1161</v>
      </c>
      <c r="G68" s="39" t="s">
        <v>1253</v>
      </c>
      <c r="H68" s="223" t="s">
        <v>1124</v>
      </c>
    </row>
    <row r="69" customFormat="false" ht="18.75" hidden="false" customHeight="true" outlineLevel="0" collapsed="false">
      <c r="A69" s="39" t="str">
        <f aca="false">B69&amp;"-"&amp;C69</f>
        <v>II - Tarjetas prepagadas y monederos electrónicos-14</v>
      </c>
      <c r="B69" s="221" t="s">
        <v>887</v>
      </c>
      <c r="C69" s="222" t="n">
        <v>14</v>
      </c>
      <c r="D69" s="39" t="s">
        <v>109</v>
      </c>
      <c r="E69" s="39" t="s">
        <v>1254</v>
      </c>
      <c r="F69" s="39" t="s">
        <v>1255</v>
      </c>
      <c r="G69" s="39" t="s">
        <v>1256</v>
      </c>
      <c r="H69" s="223" t="s">
        <v>1138</v>
      </c>
    </row>
    <row r="70" customFormat="false" ht="18.75" hidden="false" customHeight="true" outlineLevel="0" collapsed="false">
      <c r="A70" s="39" t="str">
        <f aca="false">B70&amp;"-"&amp;C70</f>
        <v>II - Tarjetas prepagadas y monederos electrónicos-15</v>
      </c>
      <c r="B70" s="221" t="s">
        <v>887</v>
      </c>
      <c r="C70" s="222" t="n">
        <v>15</v>
      </c>
      <c r="D70" s="39" t="s">
        <v>112</v>
      </c>
      <c r="E70" s="39" t="s">
        <v>1257</v>
      </c>
      <c r="F70" s="39" t="s">
        <v>1258</v>
      </c>
      <c r="G70" s="39" t="s">
        <v>1259</v>
      </c>
      <c r="H70" s="223" t="s">
        <v>1138</v>
      </c>
    </row>
    <row r="71" customFormat="false" ht="18.75" hidden="false" customHeight="true" outlineLevel="0" collapsed="false">
      <c r="A71" s="39" t="str">
        <f aca="false">B71&amp;"-"&amp;C71</f>
        <v>II - Tarjetas prepagadas y monederos electrónicos-16</v>
      </c>
      <c r="B71" s="221" t="s">
        <v>887</v>
      </c>
      <c r="C71" s="222" t="n">
        <v>16</v>
      </c>
      <c r="D71" s="39" t="s">
        <v>114</v>
      </c>
      <c r="E71" s="39" t="s">
        <v>1169</v>
      </c>
      <c r="F71" s="39" t="s">
        <v>1170</v>
      </c>
      <c r="G71" s="39" t="s">
        <v>1171</v>
      </c>
      <c r="H71" s="223" t="s">
        <v>1138</v>
      </c>
    </row>
    <row r="72" customFormat="false" ht="18.75" hidden="false" customHeight="true" outlineLevel="0" collapsed="false">
      <c r="A72" s="39" t="str">
        <f aca="false">B72&amp;"-"&amp;C72</f>
        <v>II - Tarjetas prepagadas y monederos electrónicos-17</v>
      </c>
      <c r="B72" s="221" t="s">
        <v>887</v>
      </c>
      <c r="C72" s="222" t="n">
        <v>17</v>
      </c>
      <c r="D72" s="39" t="s">
        <v>116</v>
      </c>
      <c r="E72" s="39" t="s">
        <v>1260</v>
      </c>
      <c r="F72" s="39" t="s">
        <v>1173</v>
      </c>
      <c r="G72" s="39" t="s">
        <v>1261</v>
      </c>
      <c r="H72" s="223" t="s">
        <v>1124</v>
      </c>
    </row>
    <row r="73" customFormat="false" ht="18.75" hidden="false" customHeight="true" outlineLevel="0" collapsed="false">
      <c r="A73" s="39" t="str">
        <f aca="false">B73&amp;"-"&amp;C73</f>
        <v>II - Tarjetas prepagadas y monederos electrónicos-18</v>
      </c>
      <c r="B73" s="221" t="s">
        <v>887</v>
      </c>
      <c r="C73" s="222" t="n">
        <v>18</v>
      </c>
      <c r="D73" s="39" t="s">
        <v>119</v>
      </c>
      <c r="E73" s="39" t="s">
        <v>1175</v>
      </c>
      <c r="F73" s="39" t="s">
        <v>1176</v>
      </c>
      <c r="G73" s="39" t="s">
        <v>1262</v>
      </c>
      <c r="H73" s="223" t="s">
        <v>1138</v>
      </c>
    </row>
    <row r="74" customFormat="false" ht="18.75" hidden="false" customHeight="true" outlineLevel="0" collapsed="false">
      <c r="A74" s="39" t="str">
        <f aca="false">B74&amp;"-"&amp;C74</f>
        <v>II - Tarjetas prepagadas y monederos electrónicos-19</v>
      </c>
      <c r="B74" s="221" t="s">
        <v>887</v>
      </c>
      <c r="C74" s="222" t="n">
        <v>19</v>
      </c>
      <c r="D74" s="39" t="s">
        <v>122</v>
      </c>
      <c r="E74" s="39" t="s">
        <v>1178</v>
      </c>
      <c r="F74" s="39" t="s">
        <v>1179</v>
      </c>
      <c r="G74" s="39" t="s">
        <v>1180</v>
      </c>
      <c r="H74" s="223" t="s">
        <v>1138</v>
      </c>
    </row>
    <row r="75" customFormat="false" ht="18.75" hidden="false" customHeight="true" outlineLevel="0" collapsed="false">
      <c r="A75" s="39" t="str">
        <f aca="false">B75&amp;"-"&amp;C75</f>
        <v>II - Tarjetas prepagadas y monederos electrónicos-20</v>
      </c>
      <c r="B75" s="221" t="s">
        <v>887</v>
      </c>
      <c r="C75" s="222" t="n">
        <v>20</v>
      </c>
      <c r="D75" s="39" t="s">
        <v>124</v>
      </c>
      <c r="E75" s="39" t="s">
        <v>1263</v>
      </c>
      <c r="F75" s="39" t="s">
        <v>1264</v>
      </c>
      <c r="G75" s="39" t="s">
        <v>1265</v>
      </c>
      <c r="H75" s="223" t="s">
        <v>1124</v>
      </c>
    </row>
    <row r="76" customFormat="false" ht="18.75" hidden="false" customHeight="true" outlineLevel="0" collapsed="false">
      <c r="A76" s="39" t="str">
        <f aca="false">B76&amp;"-"&amp;C76</f>
        <v>II - Tarjetas prepagadas y monederos electrónicos-21</v>
      </c>
      <c r="B76" s="221" t="s">
        <v>887</v>
      </c>
      <c r="C76" s="222" t="n">
        <v>21</v>
      </c>
      <c r="D76" s="39" t="s">
        <v>126</v>
      </c>
      <c r="E76" s="39" t="s">
        <v>1266</v>
      </c>
      <c r="F76" s="39" t="s">
        <v>1267</v>
      </c>
      <c r="G76" s="39" t="s">
        <v>1268</v>
      </c>
      <c r="H76" s="223" t="s">
        <v>1124</v>
      </c>
    </row>
    <row r="77" customFormat="false" ht="18.75" hidden="false" customHeight="true" outlineLevel="0" collapsed="false">
      <c r="A77" s="39" t="str">
        <f aca="false">B77&amp;"-"&amp;C77</f>
        <v>II - Tarjetas prepagadas y monederos electrónicos-22</v>
      </c>
      <c r="B77" s="221" t="s">
        <v>887</v>
      </c>
      <c r="C77" s="222" t="n">
        <v>22</v>
      </c>
      <c r="D77" s="39" t="s">
        <v>128</v>
      </c>
      <c r="E77" s="39" t="s">
        <v>1269</v>
      </c>
      <c r="F77" s="39" t="s">
        <v>1270</v>
      </c>
      <c r="G77" s="39" t="s">
        <v>1271</v>
      </c>
      <c r="H77" s="223" t="s">
        <v>1138</v>
      </c>
    </row>
    <row r="78" customFormat="false" ht="18.75" hidden="false" customHeight="true" outlineLevel="0" collapsed="false">
      <c r="A78" s="39" t="str">
        <f aca="false">B78&amp;"-"&amp;C78</f>
        <v>II - Tarjetas prepagadas y monederos electrónicos-23</v>
      </c>
      <c r="B78" s="221" t="s">
        <v>887</v>
      </c>
      <c r="C78" s="222" t="n">
        <v>23</v>
      </c>
      <c r="D78" s="39" t="s">
        <v>131</v>
      </c>
      <c r="E78" s="39" t="s">
        <v>1190</v>
      </c>
      <c r="F78" s="39" t="s">
        <v>1191</v>
      </c>
      <c r="G78" s="39" t="s">
        <v>1192</v>
      </c>
      <c r="H78" s="223" t="s">
        <v>1128</v>
      </c>
    </row>
    <row r="79" customFormat="false" ht="18.75" hidden="false" customHeight="true" outlineLevel="0" collapsed="false">
      <c r="A79" s="39" t="str">
        <f aca="false">B79&amp;"-"&amp;C79</f>
        <v>II - Tarjetas prepagadas y monederos electrónicos-24</v>
      </c>
      <c r="B79" s="221" t="s">
        <v>887</v>
      </c>
      <c r="C79" s="222" t="n">
        <v>24</v>
      </c>
      <c r="D79" s="39" t="s">
        <v>133</v>
      </c>
      <c r="E79" s="39" t="s">
        <v>1272</v>
      </c>
      <c r="F79" s="39" t="s">
        <v>1194</v>
      </c>
      <c r="G79" s="39" t="s">
        <v>1273</v>
      </c>
      <c r="H79" s="223" t="s">
        <v>1128</v>
      </c>
    </row>
    <row r="80" customFormat="false" ht="18.75" hidden="false" customHeight="true" outlineLevel="0" collapsed="false">
      <c r="A80" s="39" t="str">
        <f aca="false">B80&amp;"-"&amp;C80</f>
        <v>II - Tarjetas prepagadas y monederos electrónicos-25</v>
      </c>
      <c r="B80" s="221" t="s">
        <v>887</v>
      </c>
      <c r="C80" s="222" t="n">
        <v>25</v>
      </c>
      <c r="D80" s="39" t="s">
        <v>135</v>
      </c>
      <c r="E80" s="39" t="s">
        <v>1274</v>
      </c>
      <c r="F80" s="39" t="s">
        <v>1197</v>
      </c>
      <c r="G80" s="39" t="s">
        <v>1198</v>
      </c>
      <c r="H80" s="223" t="s">
        <v>1128</v>
      </c>
    </row>
    <row r="81" customFormat="false" ht="18.75" hidden="false" customHeight="true" outlineLevel="0" collapsed="false">
      <c r="A81" s="39" t="str">
        <f aca="false">B81&amp;"-"&amp;C81</f>
        <v>III - Cheques de viajero-1</v>
      </c>
      <c r="B81" s="221" t="s">
        <v>895</v>
      </c>
      <c r="C81" s="222" t="n">
        <v>1</v>
      </c>
      <c r="D81" s="39" t="s">
        <v>77</v>
      </c>
      <c r="E81" s="39" t="s">
        <v>1275</v>
      </c>
      <c r="F81" s="39" t="s">
        <v>1276</v>
      </c>
      <c r="G81" s="39" t="s">
        <v>1277</v>
      </c>
      <c r="H81" s="223" t="s">
        <v>1124</v>
      </c>
    </row>
    <row r="82" customFormat="false" ht="18.75" hidden="false" customHeight="true" outlineLevel="0" collapsed="false">
      <c r="A82" s="39" t="str">
        <f aca="false">B82&amp;"-"&amp;C82</f>
        <v>III - Cheques de viajero-2</v>
      </c>
      <c r="B82" s="221" t="s">
        <v>895</v>
      </c>
      <c r="C82" s="222" t="n">
        <v>2</v>
      </c>
      <c r="D82" s="39" t="s">
        <v>81</v>
      </c>
      <c r="E82" s="39" t="s">
        <v>1278</v>
      </c>
      <c r="F82" s="39" t="s">
        <v>1279</v>
      </c>
      <c r="G82" s="39" t="s">
        <v>1280</v>
      </c>
      <c r="H82" s="223" t="s">
        <v>1128</v>
      </c>
    </row>
    <row r="83" customFormat="false" ht="18.75" hidden="false" customHeight="true" outlineLevel="0" collapsed="false">
      <c r="A83" s="39" t="str">
        <f aca="false">B83&amp;"-"&amp;C83</f>
        <v>III - Cheques de viajero-3</v>
      </c>
      <c r="B83" s="221" t="s">
        <v>895</v>
      </c>
      <c r="C83" s="222" t="n">
        <v>3</v>
      </c>
      <c r="D83" s="39" t="s">
        <v>83</v>
      </c>
      <c r="E83" s="39" t="s">
        <v>1281</v>
      </c>
      <c r="F83" s="39" t="s">
        <v>1244</v>
      </c>
      <c r="G83" s="39" t="s">
        <v>1245</v>
      </c>
      <c r="H83" s="223" t="s">
        <v>1128</v>
      </c>
    </row>
    <row r="84" customFormat="false" ht="18.75" hidden="false" customHeight="true" outlineLevel="0" collapsed="false">
      <c r="A84" s="39" t="str">
        <f aca="false">B84&amp;"-"&amp;C84</f>
        <v>III - Cheques de viajero-4</v>
      </c>
      <c r="B84" s="221" t="s">
        <v>895</v>
      </c>
      <c r="C84" s="222" t="n">
        <v>4</v>
      </c>
      <c r="D84" s="39" t="s">
        <v>85</v>
      </c>
      <c r="E84" s="39" t="s">
        <v>1282</v>
      </c>
      <c r="F84" s="39" t="s">
        <v>1133</v>
      </c>
      <c r="G84" s="39" t="s">
        <v>1134</v>
      </c>
      <c r="H84" s="223" t="s">
        <v>1128</v>
      </c>
    </row>
    <row r="85" customFormat="false" ht="18.75" hidden="false" customHeight="true" outlineLevel="0" collapsed="false">
      <c r="A85" s="39" t="str">
        <f aca="false">B85&amp;"-"&amp;C85</f>
        <v>III - Cheques de viajero-5</v>
      </c>
      <c r="B85" s="221" t="s">
        <v>895</v>
      </c>
      <c r="C85" s="222" t="n">
        <v>5</v>
      </c>
      <c r="D85" s="39" t="s">
        <v>88</v>
      </c>
      <c r="E85" s="39" t="s">
        <v>1247</v>
      </c>
      <c r="F85" s="39" t="s">
        <v>1136</v>
      </c>
      <c r="G85" s="39" t="s">
        <v>1137</v>
      </c>
      <c r="H85" s="223" t="s">
        <v>1138</v>
      </c>
    </row>
    <row r="86" customFormat="false" ht="18.75" hidden="false" customHeight="true" outlineLevel="0" collapsed="false">
      <c r="A86" s="39" t="str">
        <f aca="false">B86&amp;"-"&amp;C86</f>
        <v>III - Cheques de viajero-6</v>
      </c>
      <c r="B86" s="221" t="s">
        <v>895</v>
      </c>
      <c r="C86" s="222" t="n">
        <v>6</v>
      </c>
      <c r="D86" s="39" t="s">
        <v>91</v>
      </c>
      <c r="E86" s="39" t="s">
        <v>1283</v>
      </c>
      <c r="F86" s="39" t="s">
        <v>1284</v>
      </c>
      <c r="G86" s="39" t="s">
        <v>1285</v>
      </c>
      <c r="H86" s="223" t="s">
        <v>1138</v>
      </c>
    </row>
    <row r="87" customFormat="false" ht="18.75" hidden="false" customHeight="true" outlineLevel="0" collapsed="false">
      <c r="A87" s="39" t="str">
        <f aca="false">B87&amp;"-"&amp;C87</f>
        <v>III - Cheques de viajero-7</v>
      </c>
      <c r="B87" s="221" t="s">
        <v>895</v>
      </c>
      <c r="C87" s="222" t="n">
        <v>7</v>
      </c>
      <c r="D87" s="39" t="s">
        <v>94</v>
      </c>
      <c r="E87" s="39" t="s">
        <v>1142</v>
      </c>
      <c r="F87" s="39" t="s">
        <v>1143</v>
      </c>
      <c r="G87" s="39" t="s">
        <v>1144</v>
      </c>
      <c r="H87" s="223" t="s">
        <v>1138</v>
      </c>
    </row>
    <row r="88" customFormat="false" ht="18.75" hidden="false" customHeight="true" outlineLevel="0" collapsed="false">
      <c r="A88" s="39" t="str">
        <f aca="false">B88&amp;"-"&amp;C88</f>
        <v>III - Cheques de viajero-8</v>
      </c>
      <c r="B88" s="221" t="s">
        <v>895</v>
      </c>
      <c r="C88" s="222" t="n">
        <v>8</v>
      </c>
      <c r="D88" s="39" t="s">
        <v>96</v>
      </c>
      <c r="E88" s="39" t="s">
        <v>1251</v>
      </c>
      <c r="F88" s="39" t="s">
        <v>1146</v>
      </c>
      <c r="G88" s="39" t="s">
        <v>1147</v>
      </c>
      <c r="H88" s="223" t="s">
        <v>1138</v>
      </c>
    </row>
    <row r="89" customFormat="false" ht="18.75" hidden="false" customHeight="true" outlineLevel="0" collapsed="false">
      <c r="A89" s="39" t="str">
        <f aca="false">B89&amp;"-"&amp;C89</f>
        <v>III - Cheques de viajero-9</v>
      </c>
      <c r="B89" s="221" t="s">
        <v>895</v>
      </c>
      <c r="C89" s="222" t="n">
        <v>9</v>
      </c>
      <c r="D89" s="39" t="s">
        <v>98</v>
      </c>
      <c r="E89" s="39" t="s">
        <v>1148</v>
      </c>
      <c r="F89" s="39" t="s">
        <v>1149</v>
      </c>
      <c r="G89" s="39" t="s">
        <v>1150</v>
      </c>
      <c r="H89" s="223" t="s">
        <v>1138</v>
      </c>
    </row>
    <row r="90" customFormat="false" ht="18.75" hidden="false" customHeight="true" outlineLevel="0" collapsed="false">
      <c r="A90" s="39" t="str">
        <f aca="false">B90&amp;"-"&amp;C90</f>
        <v>III - Cheques de viajero-10</v>
      </c>
      <c r="B90" s="221" t="s">
        <v>895</v>
      </c>
      <c r="C90" s="222" t="n">
        <v>10</v>
      </c>
      <c r="D90" s="39" t="s">
        <v>100</v>
      </c>
      <c r="E90" s="39" t="s">
        <v>1151</v>
      </c>
      <c r="F90" s="39" t="s">
        <v>1152</v>
      </c>
      <c r="G90" s="39" t="s">
        <v>1153</v>
      </c>
      <c r="H90" s="223" t="s">
        <v>1138</v>
      </c>
    </row>
    <row r="91" customFormat="false" ht="18.75" hidden="false" customHeight="true" outlineLevel="0" collapsed="false">
      <c r="A91" s="39" t="str">
        <f aca="false">B91&amp;"-"&amp;C91</f>
        <v>III - Cheques de viajero-11</v>
      </c>
      <c r="B91" s="221" t="s">
        <v>895</v>
      </c>
      <c r="C91" s="222" t="n">
        <v>11</v>
      </c>
      <c r="D91" s="39" t="s">
        <v>102</v>
      </c>
      <c r="E91" s="39" t="s">
        <v>1154</v>
      </c>
      <c r="F91" s="39" t="s">
        <v>1155</v>
      </c>
      <c r="G91" s="39" t="s">
        <v>1156</v>
      </c>
      <c r="H91" s="223" t="s">
        <v>1138</v>
      </c>
    </row>
    <row r="92" customFormat="false" ht="18.75" hidden="false" customHeight="true" outlineLevel="0" collapsed="false">
      <c r="A92" s="39" t="str">
        <f aca="false">B92&amp;"-"&amp;C92</f>
        <v>III - Cheques de viajero-12</v>
      </c>
      <c r="B92" s="221" t="s">
        <v>895</v>
      </c>
      <c r="C92" s="222" t="n">
        <v>12</v>
      </c>
      <c r="D92" s="39" t="s">
        <v>105</v>
      </c>
      <c r="E92" s="39" t="s">
        <v>1157</v>
      </c>
      <c r="F92" s="39" t="s">
        <v>1158</v>
      </c>
      <c r="G92" s="39" t="s">
        <v>1159</v>
      </c>
      <c r="H92" s="223" t="s">
        <v>1138</v>
      </c>
    </row>
    <row r="93" customFormat="false" ht="18.75" hidden="false" customHeight="true" outlineLevel="0" collapsed="false">
      <c r="A93" s="39" t="str">
        <f aca="false">B93&amp;"-"&amp;C93</f>
        <v>III - Cheques de viajero-13</v>
      </c>
      <c r="B93" s="221" t="s">
        <v>895</v>
      </c>
      <c r="C93" s="222" t="n">
        <v>13</v>
      </c>
      <c r="D93" s="39" t="s">
        <v>107</v>
      </c>
      <c r="E93" s="39" t="s">
        <v>1252</v>
      </c>
      <c r="F93" s="39" t="s">
        <v>1161</v>
      </c>
      <c r="G93" s="39" t="s">
        <v>1253</v>
      </c>
      <c r="H93" s="223" t="s">
        <v>1124</v>
      </c>
    </row>
    <row r="94" customFormat="false" ht="18.75" hidden="false" customHeight="true" outlineLevel="0" collapsed="false">
      <c r="A94" s="39" t="str">
        <f aca="false">B94&amp;"-"&amp;C94</f>
        <v>III - Cheques de viajero-14</v>
      </c>
      <c r="B94" s="221" t="s">
        <v>895</v>
      </c>
      <c r="C94" s="222" t="n">
        <v>14</v>
      </c>
      <c r="D94" s="39" t="s">
        <v>109</v>
      </c>
      <c r="E94" s="39" t="s">
        <v>1286</v>
      </c>
      <c r="F94" s="39" t="s">
        <v>1287</v>
      </c>
      <c r="G94" s="39" t="s">
        <v>1288</v>
      </c>
      <c r="H94" s="223" t="s">
        <v>1138</v>
      </c>
    </row>
    <row r="95" customFormat="false" ht="18.75" hidden="false" customHeight="true" outlineLevel="0" collapsed="false">
      <c r="A95" s="39" t="str">
        <f aca="false">B95&amp;"-"&amp;C95</f>
        <v>III - Cheques de viajero-15</v>
      </c>
      <c r="B95" s="221" t="s">
        <v>895</v>
      </c>
      <c r="C95" s="222" t="n">
        <v>15</v>
      </c>
      <c r="D95" s="39" t="s">
        <v>112</v>
      </c>
      <c r="E95" s="39" t="s">
        <v>1289</v>
      </c>
      <c r="F95" s="39" t="s">
        <v>1290</v>
      </c>
      <c r="G95" s="39" t="s">
        <v>1291</v>
      </c>
      <c r="H95" s="223" t="s">
        <v>1138</v>
      </c>
    </row>
    <row r="96" customFormat="false" ht="18.75" hidden="false" customHeight="true" outlineLevel="0" collapsed="false">
      <c r="A96" s="39" t="str">
        <f aca="false">B96&amp;"-"&amp;C96</f>
        <v>III - Cheques de viajero-16</v>
      </c>
      <c r="B96" s="221" t="s">
        <v>895</v>
      </c>
      <c r="C96" s="222" t="n">
        <v>16</v>
      </c>
      <c r="D96" s="39" t="s">
        <v>114</v>
      </c>
      <c r="E96" s="39" t="s">
        <v>1169</v>
      </c>
      <c r="F96" s="39" t="s">
        <v>1170</v>
      </c>
      <c r="G96" s="39" t="s">
        <v>1171</v>
      </c>
      <c r="H96" s="223" t="s">
        <v>1138</v>
      </c>
    </row>
    <row r="97" customFormat="false" ht="18.75" hidden="false" customHeight="true" outlineLevel="0" collapsed="false">
      <c r="A97" s="39" t="str">
        <f aca="false">B97&amp;"-"&amp;C97</f>
        <v>III - Cheques de viajero-17</v>
      </c>
      <c r="B97" s="221" t="s">
        <v>895</v>
      </c>
      <c r="C97" s="222" t="n">
        <v>17</v>
      </c>
      <c r="D97" s="39" t="s">
        <v>116</v>
      </c>
      <c r="E97" s="39" t="s">
        <v>1292</v>
      </c>
      <c r="F97" s="39" t="s">
        <v>1173</v>
      </c>
      <c r="G97" s="39" t="s">
        <v>1293</v>
      </c>
      <c r="H97" s="223" t="s">
        <v>1124</v>
      </c>
    </row>
    <row r="98" customFormat="false" ht="18.75" hidden="false" customHeight="true" outlineLevel="0" collapsed="false">
      <c r="A98" s="39" t="str">
        <f aca="false">B98&amp;"-"&amp;C98</f>
        <v>III - Cheques de viajero-18</v>
      </c>
      <c r="B98" s="221" t="s">
        <v>895</v>
      </c>
      <c r="C98" s="222" t="n">
        <v>18</v>
      </c>
      <c r="D98" s="39" t="s">
        <v>119</v>
      </c>
      <c r="E98" s="39" t="s">
        <v>1175</v>
      </c>
      <c r="F98" s="39" t="s">
        <v>1176</v>
      </c>
      <c r="G98" s="39" t="s">
        <v>1262</v>
      </c>
      <c r="H98" s="223" t="s">
        <v>1138</v>
      </c>
    </row>
    <row r="99" customFormat="false" ht="18.75" hidden="false" customHeight="true" outlineLevel="0" collapsed="false">
      <c r="A99" s="39" t="str">
        <f aca="false">B99&amp;"-"&amp;C99</f>
        <v>III - Cheques de viajero-19</v>
      </c>
      <c r="B99" s="221" t="s">
        <v>895</v>
      </c>
      <c r="C99" s="222" t="n">
        <v>19</v>
      </c>
      <c r="D99" s="39" t="s">
        <v>122</v>
      </c>
      <c r="E99" s="39" t="s">
        <v>1178</v>
      </c>
      <c r="F99" s="39" t="s">
        <v>1179</v>
      </c>
      <c r="G99" s="39" t="s">
        <v>1180</v>
      </c>
      <c r="H99" s="223" t="s">
        <v>1138</v>
      </c>
    </row>
    <row r="100" customFormat="false" ht="18.75" hidden="false" customHeight="true" outlineLevel="0" collapsed="false">
      <c r="A100" s="39" t="str">
        <f aca="false">B100&amp;"-"&amp;C100</f>
        <v>III - Cheques de viajero-20</v>
      </c>
      <c r="B100" s="221" t="s">
        <v>895</v>
      </c>
      <c r="C100" s="222" t="n">
        <v>20</v>
      </c>
      <c r="D100" s="39" t="s">
        <v>124</v>
      </c>
      <c r="E100" s="39" t="s">
        <v>1294</v>
      </c>
      <c r="F100" s="39" t="s">
        <v>1295</v>
      </c>
      <c r="G100" s="39" t="s">
        <v>1296</v>
      </c>
      <c r="H100" s="223" t="s">
        <v>1124</v>
      </c>
    </row>
    <row r="101" customFormat="false" ht="18.75" hidden="false" customHeight="true" outlineLevel="0" collapsed="false">
      <c r="A101" s="39" t="str">
        <f aca="false">B101&amp;"-"&amp;C101</f>
        <v>III - Cheques de viajero-21</v>
      </c>
      <c r="B101" s="221" t="s">
        <v>895</v>
      </c>
      <c r="C101" s="222" t="n">
        <v>21</v>
      </c>
      <c r="D101" s="39" t="s">
        <v>126</v>
      </c>
      <c r="E101" s="39" t="s">
        <v>1266</v>
      </c>
      <c r="F101" s="39" t="s">
        <v>1267</v>
      </c>
      <c r="G101" s="39" t="s">
        <v>1268</v>
      </c>
      <c r="H101" s="223" t="s">
        <v>1124</v>
      </c>
    </row>
    <row r="102" customFormat="false" ht="18.75" hidden="false" customHeight="true" outlineLevel="0" collapsed="false">
      <c r="A102" s="39" t="str">
        <f aca="false">B102&amp;"-"&amp;C102</f>
        <v>III - Cheques de viajero-22</v>
      </c>
      <c r="B102" s="221" t="s">
        <v>895</v>
      </c>
      <c r="C102" s="222" t="n">
        <v>22</v>
      </c>
      <c r="D102" s="39" t="s">
        <v>128</v>
      </c>
      <c r="E102" s="39" t="s">
        <v>1269</v>
      </c>
      <c r="F102" s="39" t="s">
        <v>1270</v>
      </c>
      <c r="G102" s="39" t="s">
        <v>1271</v>
      </c>
      <c r="H102" s="223" t="s">
        <v>1138</v>
      </c>
    </row>
    <row r="103" customFormat="false" ht="18.75" hidden="false" customHeight="true" outlineLevel="0" collapsed="false">
      <c r="A103" s="39" t="str">
        <f aca="false">B103&amp;"-"&amp;C103</f>
        <v>III - Cheques de viajero-23</v>
      </c>
      <c r="B103" s="221" t="s">
        <v>895</v>
      </c>
      <c r="C103" s="222" t="n">
        <v>23</v>
      </c>
      <c r="D103" s="39" t="s">
        <v>131</v>
      </c>
      <c r="E103" s="39" t="s">
        <v>1190</v>
      </c>
      <c r="F103" s="39" t="s">
        <v>1191</v>
      </c>
      <c r="G103" s="39" t="s">
        <v>1192</v>
      </c>
      <c r="H103" s="223" t="s">
        <v>1128</v>
      </c>
    </row>
    <row r="104" customFormat="false" ht="18.75" hidden="false" customHeight="true" outlineLevel="0" collapsed="false">
      <c r="A104" s="39" t="str">
        <f aca="false">B104&amp;"-"&amp;C104</f>
        <v>III - Cheques de viajero-24</v>
      </c>
      <c r="B104" s="221" t="s">
        <v>895</v>
      </c>
      <c r="C104" s="222" t="n">
        <v>24</v>
      </c>
      <c r="D104" s="39" t="s">
        <v>133</v>
      </c>
      <c r="E104" s="39" t="s">
        <v>1297</v>
      </c>
      <c r="F104" s="39" t="s">
        <v>1194</v>
      </c>
      <c r="G104" s="39" t="s">
        <v>1298</v>
      </c>
      <c r="H104" s="223" t="s">
        <v>1128</v>
      </c>
    </row>
    <row r="105" customFormat="false" ht="18.75" hidden="false" customHeight="true" outlineLevel="0" collapsed="false">
      <c r="A105" s="39" t="str">
        <f aca="false">B105&amp;"-"&amp;C105</f>
        <v>III - Cheques de viajero-25</v>
      </c>
      <c r="B105" s="221" t="s">
        <v>895</v>
      </c>
      <c r="C105" s="222" t="n">
        <v>25</v>
      </c>
      <c r="D105" s="39" t="s">
        <v>135</v>
      </c>
      <c r="E105" s="39" t="s">
        <v>1299</v>
      </c>
      <c r="F105" s="39" t="s">
        <v>1197</v>
      </c>
      <c r="G105" s="39" t="s">
        <v>1198</v>
      </c>
      <c r="H105" s="223" t="s">
        <v>1128</v>
      </c>
    </row>
    <row r="106" customFormat="false" ht="18.75" hidden="false" customHeight="true" outlineLevel="0" collapsed="false">
      <c r="A106" s="39" t="str">
        <f aca="false">B106&amp;"-"&amp;C106</f>
        <v>IV - Préstamos o créditos-1</v>
      </c>
      <c r="B106" s="221" t="s">
        <v>904</v>
      </c>
      <c r="C106" s="222" t="n">
        <v>1</v>
      </c>
      <c r="D106" s="39" t="s">
        <v>77</v>
      </c>
      <c r="E106" s="39" t="s">
        <v>1300</v>
      </c>
      <c r="F106" s="39" t="s">
        <v>1301</v>
      </c>
      <c r="G106" s="39" t="s">
        <v>1302</v>
      </c>
      <c r="H106" s="223" t="s">
        <v>1124</v>
      </c>
    </row>
    <row r="107" customFormat="false" ht="18.75" hidden="false" customHeight="true" outlineLevel="0" collapsed="false">
      <c r="A107" s="39" t="str">
        <f aca="false">B107&amp;"-"&amp;C107</f>
        <v>IV - Préstamos o créditos-2</v>
      </c>
      <c r="B107" s="221" t="s">
        <v>904</v>
      </c>
      <c r="C107" s="222" t="n">
        <v>2</v>
      </c>
      <c r="D107" s="39" t="s">
        <v>81</v>
      </c>
      <c r="E107" s="39" t="s">
        <v>1303</v>
      </c>
      <c r="F107" s="39" t="s">
        <v>1304</v>
      </c>
      <c r="G107" s="39" t="s">
        <v>1305</v>
      </c>
      <c r="H107" s="223" t="s">
        <v>1128</v>
      </c>
    </row>
    <row r="108" customFormat="false" ht="18.75" hidden="false" customHeight="true" outlineLevel="0" collapsed="false">
      <c r="A108" s="39" t="str">
        <f aca="false">B108&amp;"-"&amp;C108</f>
        <v>IV - Préstamos o créditos-3</v>
      </c>
      <c r="B108" s="221" t="s">
        <v>904</v>
      </c>
      <c r="C108" s="222" t="n">
        <v>3</v>
      </c>
      <c r="D108" s="39" t="s">
        <v>83</v>
      </c>
      <c r="E108" s="39" t="s">
        <v>1306</v>
      </c>
      <c r="F108" s="39" t="s">
        <v>1307</v>
      </c>
      <c r="G108" s="39" t="s">
        <v>1308</v>
      </c>
      <c r="H108" s="223" t="s">
        <v>1128</v>
      </c>
    </row>
    <row r="109" customFormat="false" ht="18.75" hidden="false" customHeight="true" outlineLevel="0" collapsed="false">
      <c r="A109" s="39" t="str">
        <f aca="false">B109&amp;"-"&amp;C109</f>
        <v>IV - Préstamos o créditos-4</v>
      </c>
      <c r="B109" s="221" t="s">
        <v>904</v>
      </c>
      <c r="C109" s="222" t="n">
        <v>4</v>
      </c>
      <c r="D109" s="39" t="s">
        <v>85</v>
      </c>
      <c r="E109" s="39" t="s">
        <v>1309</v>
      </c>
      <c r="F109" s="39" t="s">
        <v>1133</v>
      </c>
      <c r="G109" s="39" t="s">
        <v>1134</v>
      </c>
      <c r="H109" s="223" t="s">
        <v>1128</v>
      </c>
    </row>
    <row r="110" customFormat="false" ht="18.75" hidden="false" customHeight="true" outlineLevel="0" collapsed="false">
      <c r="A110" s="39" t="str">
        <f aca="false">B110&amp;"-"&amp;C110</f>
        <v>IV - Préstamos o créditos-5</v>
      </c>
      <c r="B110" s="221" t="s">
        <v>904</v>
      </c>
      <c r="C110" s="222" t="n">
        <v>5</v>
      </c>
      <c r="D110" s="39" t="s">
        <v>88</v>
      </c>
      <c r="E110" s="39" t="s">
        <v>1310</v>
      </c>
      <c r="F110" s="39" t="s">
        <v>1136</v>
      </c>
      <c r="G110" s="39" t="s">
        <v>1137</v>
      </c>
      <c r="H110" s="223" t="s">
        <v>1138</v>
      </c>
    </row>
    <row r="111" customFormat="false" ht="18.75" hidden="false" customHeight="true" outlineLevel="0" collapsed="false">
      <c r="A111" s="39" t="str">
        <f aca="false">B111&amp;"-"&amp;C111</f>
        <v>IV - Préstamos o créditos-6</v>
      </c>
      <c r="B111" s="221" t="s">
        <v>904</v>
      </c>
      <c r="C111" s="222" t="n">
        <v>6</v>
      </c>
      <c r="D111" s="39" t="s">
        <v>91</v>
      </c>
      <c r="E111" s="39" t="s">
        <v>1311</v>
      </c>
      <c r="F111" s="39" t="s">
        <v>1312</v>
      </c>
      <c r="G111" s="39" t="s">
        <v>1313</v>
      </c>
      <c r="H111" s="223" t="s">
        <v>1138</v>
      </c>
    </row>
    <row r="112" customFormat="false" ht="18.75" hidden="false" customHeight="true" outlineLevel="0" collapsed="false">
      <c r="A112" s="39" t="str">
        <f aca="false">B112&amp;"-"&amp;C112</f>
        <v>IV - Préstamos o créditos-7</v>
      </c>
      <c r="B112" s="221" t="s">
        <v>904</v>
      </c>
      <c r="C112" s="222" t="n">
        <v>7</v>
      </c>
      <c r="D112" s="39" t="s">
        <v>94</v>
      </c>
      <c r="E112" s="39" t="s">
        <v>1142</v>
      </c>
      <c r="F112" s="39" t="s">
        <v>1143</v>
      </c>
      <c r="G112" s="39" t="s">
        <v>1144</v>
      </c>
      <c r="H112" s="223" t="s">
        <v>1138</v>
      </c>
    </row>
    <row r="113" customFormat="false" ht="18.75" hidden="false" customHeight="true" outlineLevel="0" collapsed="false">
      <c r="A113" s="39" t="str">
        <f aca="false">B113&amp;"-"&amp;C113</f>
        <v>IV - Préstamos o créditos-8</v>
      </c>
      <c r="B113" s="221" t="s">
        <v>904</v>
      </c>
      <c r="C113" s="222" t="n">
        <v>8</v>
      </c>
      <c r="D113" s="39" t="s">
        <v>96</v>
      </c>
      <c r="E113" s="39" t="s">
        <v>1314</v>
      </c>
      <c r="F113" s="39" t="s">
        <v>1146</v>
      </c>
      <c r="G113" s="39" t="s">
        <v>1147</v>
      </c>
      <c r="H113" s="223" t="s">
        <v>1138</v>
      </c>
    </row>
    <row r="114" customFormat="false" ht="18.75" hidden="false" customHeight="true" outlineLevel="0" collapsed="false">
      <c r="A114" s="39" t="str">
        <f aca="false">B114&amp;"-"&amp;C114</f>
        <v>IV - Préstamos o créditos-9</v>
      </c>
      <c r="B114" s="221" t="s">
        <v>904</v>
      </c>
      <c r="C114" s="222" t="n">
        <v>9</v>
      </c>
      <c r="D114" s="39" t="s">
        <v>98</v>
      </c>
      <c r="E114" s="39" t="s">
        <v>1148</v>
      </c>
      <c r="F114" s="39" t="s">
        <v>1149</v>
      </c>
      <c r="G114" s="39" t="s">
        <v>1150</v>
      </c>
      <c r="H114" s="223" t="s">
        <v>1138</v>
      </c>
    </row>
    <row r="115" customFormat="false" ht="18.75" hidden="false" customHeight="true" outlineLevel="0" collapsed="false">
      <c r="A115" s="39" t="str">
        <f aca="false">B115&amp;"-"&amp;C115</f>
        <v>IV - Préstamos o créditos-10</v>
      </c>
      <c r="B115" s="221" t="s">
        <v>904</v>
      </c>
      <c r="C115" s="222" t="n">
        <v>10</v>
      </c>
      <c r="D115" s="39" t="s">
        <v>100</v>
      </c>
      <c r="E115" s="39" t="s">
        <v>1151</v>
      </c>
      <c r="F115" s="39" t="s">
        <v>1152</v>
      </c>
      <c r="G115" s="39" t="s">
        <v>1153</v>
      </c>
      <c r="H115" s="223" t="s">
        <v>1138</v>
      </c>
    </row>
    <row r="116" customFormat="false" ht="18.75" hidden="false" customHeight="true" outlineLevel="0" collapsed="false">
      <c r="A116" s="39" t="str">
        <f aca="false">B116&amp;"-"&amp;C116</f>
        <v>IV - Préstamos o créditos-11</v>
      </c>
      <c r="B116" s="221" t="s">
        <v>904</v>
      </c>
      <c r="C116" s="222" t="n">
        <v>11</v>
      </c>
      <c r="D116" s="39" t="s">
        <v>102</v>
      </c>
      <c r="E116" s="39" t="s">
        <v>1154</v>
      </c>
      <c r="F116" s="39" t="s">
        <v>1155</v>
      </c>
      <c r="G116" s="39" t="s">
        <v>1156</v>
      </c>
      <c r="H116" s="223" t="s">
        <v>1138</v>
      </c>
    </row>
    <row r="117" customFormat="false" ht="18.75" hidden="false" customHeight="true" outlineLevel="0" collapsed="false">
      <c r="A117" s="39" t="str">
        <f aca="false">B117&amp;"-"&amp;C117</f>
        <v>IV - Préstamos o créditos-12</v>
      </c>
      <c r="B117" s="221" t="s">
        <v>904</v>
      </c>
      <c r="C117" s="222" t="n">
        <v>12</v>
      </c>
      <c r="D117" s="39" t="s">
        <v>105</v>
      </c>
      <c r="E117" s="39" t="s">
        <v>1157</v>
      </c>
      <c r="F117" s="39" t="s">
        <v>1158</v>
      </c>
      <c r="G117" s="39" t="s">
        <v>1159</v>
      </c>
      <c r="H117" s="223" t="s">
        <v>1138</v>
      </c>
    </row>
    <row r="118" customFormat="false" ht="18.75" hidden="false" customHeight="true" outlineLevel="0" collapsed="false">
      <c r="A118" s="39" t="str">
        <f aca="false">B118&amp;"-"&amp;C118</f>
        <v>IV - Préstamos o créditos-13</v>
      </c>
      <c r="B118" s="221" t="s">
        <v>904</v>
      </c>
      <c r="C118" s="222" t="n">
        <v>13</v>
      </c>
      <c r="D118" s="39" t="s">
        <v>107</v>
      </c>
      <c r="E118" s="39" t="s">
        <v>1315</v>
      </c>
      <c r="F118" s="39" t="s">
        <v>1161</v>
      </c>
      <c r="G118" s="39" t="s">
        <v>1316</v>
      </c>
      <c r="H118" s="223" t="s">
        <v>1124</v>
      </c>
    </row>
    <row r="119" customFormat="false" ht="18.75" hidden="false" customHeight="true" outlineLevel="0" collapsed="false">
      <c r="A119" s="39" t="str">
        <f aca="false">B119&amp;"-"&amp;C119</f>
        <v>IV - Préstamos o créditos-14</v>
      </c>
      <c r="B119" s="221" t="s">
        <v>904</v>
      </c>
      <c r="C119" s="222" t="n">
        <v>14</v>
      </c>
      <c r="D119" s="39" t="s">
        <v>109</v>
      </c>
      <c r="E119" s="39" t="s">
        <v>1317</v>
      </c>
      <c r="F119" s="39" t="s">
        <v>1318</v>
      </c>
      <c r="G119" s="39" t="s">
        <v>1319</v>
      </c>
      <c r="H119" s="223" t="s">
        <v>1138</v>
      </c>
    </row>
    <row r="120" customFormat="false" ht="18.75" hidden="false" customHeight="true" outlineLevel="0" collapsed="false">
      <c r="A120" s="39" t="str">
        <f aca="false">B120&amp;"-"&amp;C120</f>
        <v>IV - Préstamos o créditos-15</v>
      </c>
      <c r="B120" s="221" t="s">
        <v>904</v>
      </c>
      <c r="C120" s="222" t="n">
        <v>15</v>
      </c>
      <c r="D120" s="39" t="s">
        <v>112</v>
      </c>
      <c r="E120" s="39" t="s">
        <v>1320</v>
      </c>
      <c r="F120" s="39" t="s">
        <v>1321</v>
      </c>
      <c r="G120" s="39" t="s">
        <v>1322</v>
      </c>
      <c r="H120" s="223" t="s">
        <v>1138</v>
      </c>
    </row>
    <row r="121" customFormat="false" ht="18.75" hidden="false" customHeight="true" outlineLevel="0" collapsed="false">
      <c r="A121" s="39" t="str">
        <f aca="false">B121&amp;"-"&amp;C121</f>
        <v>IV - Préstamos o créditos-16</v>
      </c>
      <c r="B121" s="221" t="s">
        <v>904</v>
      </c>
      <c r="C121" s="222" t="n">
        <v>16</v>
      </c>
      <c r="D121" s="39" t="s">
        <v>114</v>
      </c>
      <c r="E121" s="39" t="s">
        <v>1169</v>
      </c>
      <c r="F121" s="39" t="s">
        <v>1170</v>
      </c>
      <c r="G121" s="39" t="s">
        <v>1171</v>
      </c>
      <c r="H121" s="223" t="s">
        <v>1138</v>
      </c>
    </row>
    <row r="122" customFormat="false" ht="18.75" hidden="false" customHeight="true" outlineLevel="0" collapsed="false">
      <c r="A122" s="39" t="str">
        <f aca="false">B122&amp;"-"&amp;C122</f>
        <v>IV - Préstamos o créditos-17</v>
      </c>
      <c r="B122" s="221" t="s">
        <v>904</v>
      </c>
      <c r="C122" s="222" t="n">
        <v>17</v>
      </c>
      <c r="D122" s="39" t="s">
        <v>116</v>
      </c>
      <c r="E122" s="39" t="s">
        <v>1323</v>
      </c>
      <c r="F122" s="39" t="s">
        <v>1173</v>
      </c>
      <c r="G122" s="39" t="s">
        <v>1324</v>
      </c>
      <c r="H122" s="223" t="s">
        <v>1124</v>
      </c>
    </row>
    <row r="123" customFormat="false" ht="18.75" hidden="false" customHeight="true" outlineLevel="0" collapsed="false">
      <c r="A123" s="39" t="str">
        <f aca="false">B123&amp;"-"&amp;C123</f>
        <v>IV - Préstamos o créditos-18</v>
      </c>
      <c r="B123" s="221" t="s">
        <v>904</v>
      </c>
      <c r="C123" s="222" t="n">
        <v>18</v>
      </c>
      <c r="D123" s="39" t="s">
        <v>119</v>
      </c>
      <c r="E123" s="39" t="s">
        <v>1175</v>
      </c>
      <c r="F123" s="39" t="s">
        <v>1176</v>
      </c>
      <c r="G123" s="39" t="s">
        <v>1325</v>
      </c>
      <c r="H123" s="223" t="s">
        <v>1138</v>
      </c>
    </row>
    <row r="124" customFormat="false" ht="18.75" hidden="false" customHeight="true" outlineLevel="0" collapsed="false">
      <c r="A124" s="39" t="str">
        <f aca="false">B124&amp;"-"&amp;C124</f>
        <v>IV - Préstamos o créditos-19</v>
      </c>
      <c r="B124" s="221" t="s">
        <v>904</v>
      </c>
      <c r="C124" s="222" t="n">
        <v>19</v>
      </c>
      <c r="D124" s="39" t="s">
        <v>122</v>
      </c>
      <c r="E124" s="39" t="s">
        <v>1178</v>
      </c>
      <c r="F124" s="39" t="s">
        <v>1179</v>
      </c>
      <c r="G124" s="39" t="s">
        <v>1180</v>
      </c>
      <c r="H124" s="223" t="s">
        <v>1138</v>
      </c>
    </row>
    <row r="125" customFormat="false" ht="18.75" hidden="false" customHeight="true" outlineLevel="0" collapsed="false">
      <c r="A125" s="39" t="str">
        <f aca="false">B125&amp;"-"&amp;C125</f>
        <v>IV - Préstamos o créditos-20</v>
      </c>
      <c r="B125" s="221" t="s">
        <v>904</v>
      </c>
      <c r="C125" s="222" t="n">
        <v>20</v>
      </c>
      <c r="D125" s="39" t="s">
        <v>124</v>
      </c>
      <c r="E125" s="39" t="s">
        <v>1326</v>
      </c>
      <c r="F125" s="39" t="s">
        <v>1327</v>
      </c>
      <c r="G125" s="39" t="s">
        <v>1328</v>
      </c>
      <c r="H125" s="223" t="s">
        <v>1124</v>
      </c>
    </row>
    <row r="126" customFormat="false" ht="18.75" hidden="false" customHeight="true" outlineLevel="0" collapsed="false">
      <c r="A126" s="39" t="str">
        <f aca="false">B126&amp;"-"&amp;C126</f>
        <v>IV - Préstamos o créditos-21</v>
      </c>
      <c r="B126" s="221" t="s">
        <v>904</v>
      </c>
      <c r="C126" s="222" t="n">
        <v>21</v>
      </c>
      <c r="D126" s="39" t="s">
        <v>126</v>
      </c>
      <c r="E126" s="39" t="s">
        <v>1329</v>
      </c>
      <c r="F126" s="39" t="s">
        <v>1330</v>
      </c>
      <c r="G126" s="39" t="s">
        <v>1331</v>
      </c>
      <c r="H126" s="223" t="s">
        <v>1124</v>
      </c>
    </row>
    <row r="127" customFormat="false" ht="18.75" hidden="false" customHeight="true" outlineLevel="0" collapsed="false">
      <c r="A127" s="39" t="str">
        <f aca="false">B127&amp;"-"&amp;C127</f>
        <v>IV - Préstamos o créditos-22</v>
      </c>
      <c r="B127" s="221" t="s">
        <v>904</v>
      </c>
      <c r="C127" s="222" t="n">
        <v>22</v>
      </c>
      <c r="D127" s="39" t="s">
        <v>128</v>
      </c>
      <c r="E127" s="39" t="s">
        <v>1332</v>
      </c>
      <c r="F127" s="39" t="s">
        <v>1333</v>
      </c>
      <c r="G127" s="39" t="s">
        <v>1334</v>
      </c>
      <c r="H127" s="223" t="s">
        <v>1138</v>
      </c>
    </row>
    <row r="128" customFormat="false" ht="18.75" hidden="false" customHeight="true" outlineLevel="0" collapsed="false">
      <c r="A128" s="39" t="str">
        <f aca="false">B128&amp;"-"&amp;C128</f>
        <v>IV - Préstamos o créditos-23</v>
      </c>
      <c r="B128" s="221" t="s">
        <v>904</v>
      </c>
      <c r="C128" s="222" t="n">
        <v>23</v>
      </c>
      <c r="D128" s="39" t="s">
        <v>131</v>
      </c>
      <c r="E128" s="39" t="s">
        <v>1190</v>
      </c>
      <c r="F128" s="39" t="s">
        <v>1191</v>
      </c>
      <c r="G128" s="39" t="s">
        <v>1192</v>
      </c>
      <c r="H128" s="223" t="s">
        <v>1128</v>
      </c>
    </row>
    <row r="129" customFormat="false" ht="18.75" hidden="false" customHeight="true" outlineLevel="0" collapsed="false">
      <c r="A129" s="39" t="str">
        <f aca="false">B129&amp;"-"&amp;C129</f>
        <v>IV - Préstamos o créditos-24</v>
      </c>
      <c r="B129" s="221" t="s">
        <v>904</v>
      </c>
      <c r="C129" s="222" t="n">
        <v>24</v>
      </c>
      <c r="D129" s="39" t="s">
        <v>133</v>
      </c>
      <c r="E129" s="39" t="s">
        <v>1335</v>
      </c>
      <c r="F129" s="39" t="s">
        <v>1194</v>
      </c>
      <c r="G129" s="39" t="s">
        <v>1336</v>
      </c>
      <c r="H129" s="223" t="s">
        <v>1128</v>
      </c>
    </row>
    <row r="130" customFormat="false" ht="18.75" hidden="false" customHeight="true" outlineLevel="0" collapsed="false">
      <c r="A130" s="39" t="str">
        <f aca="false">B130&amp;"-"&amp;C130</f>
        <v>IV - Préstamos o créditos-25</v>
      </c>
      <c r="B130" s="221" t="s">
        <v>904</v>
      </c>
      <c r="C130" s="222" t="n">
        <v>25</v>
      </c>
      <c r="D130" s="39" t="s">
        <v>135</v>
      </c>
      <c r="E130" s="39" t="s">
        <v>1337</v>
      </c>
      <c r="F130" s="39" t="s">
        <v>1197</v>
      </c>
      <c r="G130" s="39" t="s">
        <v>1198</v>
      </c>
      <c r="H130" s="223" t="s">
        <v>1128</v>
      </c>
    </row>
    <row r="131" customFormat="false" ht="18.75" hidden="false" customHeight="true" outlineLevel="0" collapsed="false">
      <c r="A131" s="39" t="str">
        <f aca="false">B131&amp;"-"&amp;C131</f>
        <v>V - Construcción/comercialización inmuebles-1</v>
      </c>
      <c r="B131" s="221" t="s">
        <v>22</v>
      </c>
      <c r="C131" s="222" t="n">
        <v>1</v>
      </c>
      <c r="D131" s="39" t="s">
        <v>77</v>
      </c>
      <c r="E131" s="39" t="s">
        <v>1338</v>
      </c>
      <c r="F131" s="39" t="s">
        <v>1339</v>
      </c>
      <c r="G131" s="39" t="s">
        <v>1340</v>
      </c>
      <c r="H131" s="223" t="s">
        <v>1124</v>
      </c>
    </row>
    <row r="132" customFormat="false" ht="18.75" hidden="false" customHeight="true" outlineLevel="0" collapsed="false">
      <c r="A132" s="39" t="str">
        <f aca="false">B132&amp;"-"&amp;C132</f>
        <v>V - Construcción/comercialización inmuebles-2</v>
      </c>
      <c r="B132" s="221" t="s">
        <v>22</v>
      </c>
      <c r="C132" s="222" t="n">
        <v>2</v>
      </c>
      <c r="D132" s="39" t="s">
        <v>81</v>
      </c>
      <c r="E132" s="39" t="s">
        <v>1341</v>
      </c>
      <c r="F132" s="39" t="s">
        <v>1342</v>
      </c>
      <c r="G132" s="39" t="s">
        <v>1343</v>
      </c>
      <c r="H132" s="223" t="s">
        <v>1128</v>
      </c>
    </row>
    <row r="133" customFormat="false" ht="18.75" hidden="false" customHeight="true" outlineLevel="0" collapsed="false">
      <c r="A133" s="39" t="str">
        <f aca="false">B133&amp;"-"&amp;C133</f>
        <v>V - Construcción/comercialización inmuebles-3</v>
      </c>
      <c r="B133" s="221" t="s">
        <v>22</v>
      </c>
      <c r="C133" s="222" t="n">
        <v>3</v>
      </c>
      <c r="D133" s="39" t="s">
        <v>83</v>
      </c>
      <c r="E133" s="39" t="s">
        <v>1344</v>
      </c>
      <c r="F133" s="39" t="s">
        <v>1345</v>
      </c>
      <c r="G133" s="39" t="s">
        <v>1346</v>
      </c>
      <c r="H133" s="223" t="s">
        <v>1128</v>
      </c>
    </row>
    <row r="134" customFormat="false" ht="18.75" hidden="false" customHeight="true" outlineLevel="0" collapsed="false">
      <c r="A134" s="39" t="str">
        <f aca="false">B134&amp;"-"&amp;C134</f>
        <v>V - Construcción/comercialización inmuebles-4</v>
      </c>
      <c r="B134" s="221" t="s">
        <v>22</v>
      </c>
      <c r="C134" s="222" t="n">
        <v>4</v>
      </c>
      <c r="D134" s="39" t="s">
        <v>85</v>
      </c>
      <c r="E134" s="39" t="s">
        <v>1347</v>
      </c>
      <c r="F134" s="39" t="s">
        <v>1133</v>
      </c>
      <c r="G134" s="39" t="s">
        <v>1134</v>
      </c>
      <c r="H134" s="223" t="s">
        <v>1128</v>
      </c>
    </row>
    <row r="135" customFormat="false" ht="18.75" hidden="false" customHeight="true" outlineLevel="0" collapsed="false">
      <c r="A135" s="39" t="str">
        <f aca="false">B135&amp;"-"&amp;C135</f>
        <v>V - Construcción/comercialización inmuebles-5</v>
      </c>
      <c r="B135" s="221" t="s">
        <v>22</v>
      </c>
      <c r="C135" s="222" t="n">
        <v>5</v>
      </c>
      <c r="D135" s="39" t="s">
        <v>88</v>
      </c>
      <c r="E135" s="39" t="s">
        <v>1348</v>
      </c>
      <c r="F135" s="39" t="s">
        <v>1136</v>
      </c>
      <c r="G135" s="39" t="s">
        <v>1137</v>
      </c>
      <c r="H135" s="223" t="s">
        <v>1138</v>
      </c>
    </row>
    <row r="136" customFormat="false" ht="18.75" hidden="false" customHeight="true" outlineLevel="0" collapsed="false">
      <c r="A136" s="39" t="str">
        <f aca="false">B136&amp;"-"&amp;C136</f>
        <v>V - Construcción/comercialización inmuebles-6</v>
      </c>
      <c r="B136" s="221" t="s">
        <v>22</v>
      </c>
      <c r="C136" s="222" t="n">
        <v>6</v>
      </c>
      <c r="D136" s="39" t="s">
        <v>91</v>
      </c>
      <c r="E136" s="39" t="s">
        <v>1349</v>
      </c>
      <c r="F136" s="39" t="s">
        <v>1350</v>
      </c>
      <c r="G136" s="39" t="s">
        <v>1351</v>
      </c>
      <c r="H136" s="223" t="s">
        <v>1138</v>
      </c>
    </row>
    <row r="137" customFormat="false" ht="18.75" hidden="false" customHeight="true" outlineLevel="0" collapsed="false">
      <c r="A137" s="39" t="str">
        <f aca="false">B137&amp;"-"&amp;C137</f>
        <v>V - Construcción/comercialización inmuebles-7</v>
      </c>
      <c r="B137" s="221" t="s">
        <v>22</v>
      </c>
      <c r="C137" s="222" t="n">
        <v>7</v>
      </c>
      <c r="D137" s="39" t="s">
        <v>94</v>
      </c>
      <c r="E137" s="39" t="s">
        <v>1142</v>
      </c>
      <c r="F137" s="39" t="s">
        <v>1143</v>
      </c>
      <c r="G137" s="39" t="s">
        <v>1144</v>
      </c>
      <c r="H137" s="223" t="s">
        <v>1138</v>
      </c>
    </row>
    <row r="138" customFormat="false" ht="18.75" hidden="false" customHeight="true" outlineLevel="0" collapsed="false">
      <c r="A138" s="39" t="str">
        <f aca="false">B138&amp;"-"&amp;C138</f>
        <v>V - Construcción/comercialización inmuebles-8</v>
      </c>
      <c r="B138" s="221" t="s">
        <v>22</v>
      </c>
      <c r="C138" s="222" t="n">
        <v>8</v>
      </c>
      <c r="D138" s="39" t="s">
        <v>96</v>
      </c>
      <c r="E138" s="39" t="s">
        <v>1352</v>
      </c>
      <c r="F138" s="39" t="s">
        <v>1146</v>
      </c>
      <c r="G138" s="39" t="s">
        <v>1147</v>
      </c>
      <c r="H138" s="223" t="s">
        <v>1138</v>
      </c>
    </row>
    <row r="139" customFormat="false" ht="18.75" hidden="false" customHeight="true" outlineLevel="0" collapsed="false">
      <c r="A139" s="39" t="str">
        <f aca="false">B139&amp;"-"&amp;C139</f>
        <v>V - Construcción/comercialización inmuebles-9</v>
      </c>
      <c r="B139" s="221" t="s">
        <v>22</v>
      </c>
      <c r="C139" s="222" t="n">
        <v>9</v>
      </c>
      <c r="D139" s="39" t="s">
        <v>98</v>
      </c>
      <c r="E139" s="39" t="s">
        <v>1148</v>
      </c>
      <c r="F139" s="39" t="s">
        <v>1149</v>
      </c>
      <c r="G139" s="39" t="s">
        <v>1150</v>
      </c>
      <c r="H139" s="223" t="s">
        <v>1138</v>
      </c>
    </row>
    <row r="140" customFormat="false" ht="18.75" hidden="false" customHeight="true" outlineLevel="0" collapsed="false">
      <c r="A140" s="39" t="str">
        <f aca="false">B140&amp;"-"&amp;C140</f>
        <v>V - Construcción/comercialización inmuebles-10</v>
      </c>
      <c r="B140" s="221" t="s">
        <v>22</v>
      </c>
      <c r="C140" s="222" t="n">
        <v>10</v>
      </c>
      <c r="D140" s="39" t="s">
        <v>100</v>
      </c>
      <c r="E140" s="39" t="s">
        <v>1151</v>
      </c>
      <c r="F140" s="39" t="s">
        <v>1152</v>
      </c>
      <c r="G140" s="39" t="s">
        <v>1153</v>
      </c>
      <c r="H140" s="223" t="s">
        <v>1138</v>
      </c>
    </row>
    <row r="141" customFormat="false" ht="18.75" hidden="false" customHeight="true" outlineLevel="0" collapsed="false">
      <c r="A141" s="39" t="str">
        <f aca="false">B141&amp;"-"&amp;C141</f>
        <v>V - Construcción/comercialización inmuebles-11</v>
      </c>
      <c r="B141" s="221" t="s">
        <v>22</v>
      </c>
      <c r="C141" s="222" t="n">
        <v>11</v>
      </c>
      <c r="D141" s="39" t="s">
        <v>102</v>
      </c>
      <c r="E141" s="39" t="s">
        <v>1154</v>
      </c>
      <c r="F141" s="39" t="s">
        <v>1155</v>
      </c>
      <c r="G141" s="39" t="s">
        <v>1156</v>
      </c>
      <c r="H141" s="223" t="s">
        <v>1138</v>
      </c>
    </row>
    <row r="142" customFormat="false" ht="18.75" hidden="false" customHeight="true" outlineLevel="0" collapsed="false">
      <c r="A142" s="39" t="str">
        <f aca="false">B142&amp;"-"&amp;C142</f>
        <v>V - Construcción/comercialización inmuebles-12</v>
      </c>
      <c r="B142" s="221" t="s">
        <v>22</v>
      </c>
      <c r="C142" s="222" t="n">
        <v>12</v>
      </c>
      <c r="D142" s="39" t="s">
        <v>105</v>
      </c>
      <c r="E142" s="39" t="s">
        <v>1157</v>
      </c>
      <c r="F142" s="39" t="s">
        <v>1158</v>
      </c>
      <c r="G142" s="39" t="s">
        <v>1159</v>
      </c>
      <c r="H142" s="223" t="s">
        <v>1138</v>
      </c>
    </row>
    <row r="143" customFormat="false" ht="18.75" hidden="false" customHeight="true" outlineLevel="0" collapsed="false">
      <c r="A143" s="39" t="str">
        <f aca="false">B143&amp;"-"&amp;C143</f>
        <v>V - Construcción/comercialización inmuebles-13</v>
      </c>
      <c r="B143" s="221" t="s">
        <v>22</v>
      </c>
      <c r="C143" s="222" t="n">
        <v>13</v>
      </c>
      <c r="D143" s="39" t="s">
        <v>107</v>
      </c>
      <c r="E143" s="39" t="s">
        <v>1353</v>
      </c>
      <c r="F143" s="39" t="s">
        <v>1161</v>
      </c>
      <c r="G143" s="39" t="s">
        <v>1354</v>
      </c>
      <c r="H143" s="223" t="s">
        <v>1124</v>
      </c>
    </row>
    <row r="144" customFormat="false" ht="18.75" hidden="false" customHeight="true" outlineLevel="0" collapsed="false">
      <c r="A144" s="39" t="str">
        <f aca="false">B144&amp;"-"&amp;C144</f>
        <v>V - Construcción/comercialización inmuebles-14</v>
      </c>
      <c r="B144" s="221" t="s">
        <v>22</v>
      </c>
      <c r="C144" s="222" t="n">
        <v>14</v>
      </c>
      <c r="D144" s="39" t="s">
        <v>109</v>
      </c>
      <c r="E144" s="39" t="s">
        <v>1355</v>
      </c>
      <c r="F144" s="39" t="s">
        <v>1356</v>
      </c>
      <c r="G144" s="39" t="s">
        <v>1357</v>
      </c>
      <c r="H144" s="223" t="s">
        <v>1138</v>
      </c>
    </row>
    <row r="145" customFormat="false" ht="18.75" hidden="false" customHeight="true" outlineLevel="0" collapsed="false">
      <c r="A145" s="39" t="str">
        <f aca="false">B145&amp;"-"&amp;C145</f>
        <v>V - Construcción/comercialización inmuebles-15</v>
      </c>
      <c r="B145" s="221" t="s">
        <v>22</v>
      </c>
      <c r="C145" s="222" t="n">
        <v>15</v>
      </c>
      <c r="D145" s="39" t="s">
        <v>112</v>
      </c>
      <c r="E145" s="39" t="s">
        <v>1358</v>
      </c>
      <c r="F145" s="39" t="s">
        <v>1359</v>
      </c>
      <c r="G145" s="39" t="s">
        <v>1360</v>
      </c>
      <c r="H145" s="223" t="s">
        <v>1138</v>
      </c>
    </row>
    <row r="146" customFormat="false" ht="18.75" hidden="false" customHeight="true" outlineLevel="0" collapsed="false">
      <c r="A146" s="39" t="str">
        <f aca="false">B146&amp;"-"&amp;C146</f>
        <v>V - Construcción/comercialización inmuebles-16</v>
      </c>
      <c r="B146" s="221" t="s">
        <v>22</v>
      </c>
      <c r="C146" s="222" t="n">
        <v>16</v>
      </c>
      <c r="D146" s="39" t="s">
        <v>114</v>
      </c>
      <c r="E146" s="39" t="s">
        <v>1169</v>
      </c>
      <c r="F146" s="39" t="s">
        <v>1170</v>
      </c>
      <c r="G146" s="39" t="s">
        <v>1171</v>
      </c>
      <c r="H146" s="223" t="s">
        <v>1138</v>
      </c>
    </row>
    <row r="147" customFormat="false" ht="18.75" hidden="false" customHeight="true" outlineLevel="0" collapsed="false">
      <c r="A147" s="39" t="str">
        <f aca="false">B147&amp;"-"&amp;C147</f>
        <v>V - Construcción/comercialización inmuebles-17</v>
      </c>
      <c r="B147" s="221" t="s">
        <v>22</v>
      </c>
      <c r="C147" s="222" t="n">
        <v>17</v>
      </c>
      <c r="D147" s="39" t="s">
        <v>116</v>
      </c>
      <c r="E147" s="39" t="s">
        <v>1361</v>
      </c>
      <c r="F147" s="39" t="s">
        <v>1173</v>
      </c>
      <c r="G147" s="39" t="s">
        <v>1362</v>
      </c>
      <c r="H147" s="223" t="s">
        <v>1124</v>
      </c>
    </row>
    <row r="148" customFormat="false" ht="18.75" hidden="false" customHeight="true" outlineLevel="0" collapsed="false">
      <c r="A148" s="39" t="str">
        <f aca="false">B148&amp;"-"&amp;C148</f>
        <v>V - Construcción/comercialización inmuebles-18</v>
      </c>
      <c r="B148" s="221" t="s">
        <v>22</v>
      </c>
      <c r="C148" s="222" t="n">
        <v>18</v>
      </c>
      <c r="D148" s="39" t="s">
        <v>119</v>
      </c>
      <c r="E148" s="39" t="s">
        <v>1175</v>
      </c>
      <c r="F148" s="39" t="s">
        <v>1176</v>
      </c>
      <c r="G148" s="39" t="s">
        <v>1363</v>
      </c>
      <c r="H148" s="223" t="s">
        <v>1138</v>
      </c>
    </row>
    <row r="149" customFormat="false" ht="18.75" hidden="false" customHeight="true" outlineLevel="0" collapsed="false">
      <c r="A149" s="39" t="str">
        <f aca="false">B149&amp;"-"&amp;C149</f>
        <v>V - Construcción/comercialización inmuebles-19</v>
      </c>
      <c r="B149" s="221" t="s">
        <v>22</v>
      </c>
      <c r="C149" s="222" t="n">
        <v>19</v>
      </c>
      <c r="D149" s="39" t="s">
        <v>122</v>
      </c>
      <c r="E149" s="39" t="s">
        <v>1178</v>
      </c>
      <c r="F149" s="39" t="s">
        <v>1179</v>
      </c>
      <c r="G149" s="39" t="s">
        <v>1180</v>
      </c>
      <c r="H149" s="223" t="s">
        <v>1138</v>
      </c>
    </row>
    <row r="150" customFormat="false" ht="18.75" hidden="false" customHeight="true" outlineLevel="0" collapsed="false">
      <c r="A150" s="39" t="str">
        <f aca="false">B150&amp;"-"&amp;C150</f>
        <v>V - Construcción/comercialización inmuebles-20</v>
      </c>
      <c r="B150" s="221" t="s">
        <v>22</v>
      </c>
      <c r="C150" s="222" t="n">
        <v>20</v>
      </c>
      <c r="D150" s="39" t="s">
        <v>124</v>
      </c>
      <c r="E150" s="39" t="s">
        <v>1364</v>
      </c>
      <c r="F150" s="39" t="s">
        <v>1365</v>
      </c>
      <c r="G150" s="39" t="s">
        <v>1366</v>
      </c>
      <c r="H150" s="223" t="s">
        <v>1124</v>
      </c>
    </row>
    <row r="151" customFormat="false" ht="18.75" hidden="false" customHeight="true" outlineLevel="0" collapsed="false">
      <c r="A151" s="39" t="str">
        <f aca="false">B151&amp;"-"&amp;C151</f>
        <v>V - Construcción/comercialización inmuebles-21</v>
      </c>
      <c r="B151" s="221" t="s">
        <v>22</v>
      </c>
      <c r="C151" s="222" t="n">
        <v>21</v>
      </c>
      <c r="D151" s="39" t="s">
        <v>126</v>
      </c>
      <c r="E151" s="39" t="s">
        <v>1367</v>
      </c>
      <c r="F151" s="39" t="s">
        <v>1368</v>
      </c>
      <c r="G151" s="39" t="s">
        <v>1369</v>
      </c>
      <c r="H151" s="223" t="s">
        <v>1124</v>
      </c>
    </row>
    <row r="152" customFormat="false" ht="18.75" hidden="false" customHeight="true" outlineLevel="0" collapsed="false">
      <c r="A152" s="39" t="str">
        <f aca="false">B152&amp;"-"&amp;C152</f>
        <v>V - Construcción/comercialización inmuebles-22</v>
      </c>
      <c r="B152" s="221" t="s">
        <v>22</v>
      </c>
      <c r="C152" s="222" t="n">
        <v>22</v>
      </c>
      <c r="D152" s="39" t="s">
        <v>128</v>
      </c>
      <c r="E152" s="39" t="s">
        <v>1370</v>
      </c>
      <c r="F152" s="39" t="s">
        <v>1371</v>
      </c>
      <c r="G152" s="39" t="s">
        <v>1372</v>
      </c>
      <c r="H152" s="223" t="s">
        <v>1138</v>
      </c>
    </row>
    <row r="153" customFormat="false" ht="18.75" hidden="false" customHeight="true" outlineLevel="0" collapsed="false">
      <c r="A153" s="39" t="str">
        <f aca="false">B153&amp;"-"&amp;C153</f>
        <v>V - Construcción/comercialización inmuebles-23</v>
      </c>
      <c r="B153" s="221" t="s">
        <v>22</v>
      </c>
      <c r="C153" s="222" t="n">
        <v>23</v>
      </c>
      <c r="D153" s="39" t="s">
        <v>131</v>
      </c>
      <c r="E153" s="39" t="s">
        <v>1190</v>
      </c>
      <c r="F153" s="39" t="s">
        <v>1191</v>
      </c>
      <c r="G153" s="39" t="s">
        <v>1192</v>
      </c>
      <c r="H153" s="223" t="s">
        <v>1128</v>
      </c>
    </row>
    <row r="154" customFormat="false" ht="18.75" hidden="false" customHeight="true" outlineLevel="0" collapsed="false">
      <c r="A154" s="39" t="str">
        <f aca="false">B154&amp;"-"&amp;C154</f>
        <v>V - Construcción/comercialización inmuebles-24</v>
      </c>
      <c r="B154" s="221" t="s">
        <v>22</v>
      </c>
      <c r="C154" s="222" t="n">
        <v>24</v>
      </c>
      <c r="D154" s="39" t="s">
        <v>133</v>
      </c>
      <c r="E154" s="39" t="s">
        <v>1373</v>
      </c>
      <c r="F154" s="39" t="s">
        <v>1194</v>
      </c>
      <c r="G154" s="39" t="s">
        <v>1374</v>
      </c>
      <c r="H154" s="223" t="s">
        <v>1128</v>
      </c>
    </row>
    <row r="155" customFormat="false" ht="18.75" hidden="false" customHeight="true" outlineLevel="0" collapsed="false">
      <c r="A155" s="39" t="str">
        <f aca="false">B155&amp;"-"&amp;C155</f>
        <v>V - Construcción/comercialización inmuebles-25</v>
      </c>
      <c r="B155" s="221" t="s">
        <v>22</v>
      </c>
      <c r="C155" s="222" t="n">
        <v>25</v>
      </c>
      <c r="D155" s="39" t="s">
        <v>135</v>
      </c>
      <c r="E155" s="39" t="s">
        <v>1375</v>
      </c>
      <c r="F155" s="39" t="s">
        <v>1197</v>
      </c>
      <c r="G155" s="39" t="s">
        <v>1198</v>
      </c>
      <c r="H155" s="223" t="s">
        <v>1128</v>
      </c>
    </row>
    <row r="156" customFormat="false" ht="18.75" hidden="false" customHeight="true" outlineLevel="0" collapsed="false">
      <c r="A156" s="39" t="str">
        <f aca="false">B156&amp;"-"&amp;C156</f>
        <v>V Bis - Recepción recursos desarrollo inmobiliario-1</v>
      </c>
      <c r="B156" s="221" t="s">
        <v>920</v>
      </c>
      <c r="C156" s="222" t="n">
        <v>1</v>
      </c>
      <c r="D156" s="39" t="s">
        <v>77</v>
      </c>
      <c r="E156" s="39" t="s">
        <v>1376</v>
      </c>
      <c r="F156" s="39" t="s">
        <v>1377</v>
      </c>
      <c r="G156" s="39" t="s">
        <v>1378</v>
      </c>
      <c r="H156" s="223" t="s">
        <v>1124</v>
      </c>
    </row>
    <row r="157" customFormat="false" ht="18.75" hidden="false" customHeight="true" outlineLevel="0" collapsed="false">
      <c r="A157" s="39" t="str">
        <f aca="false">B157&amp;"-"&amp;C157</f>
        <v>V Bis - Recepción recursos desarrollo inmobiliario-2</v>
      </c>
      <c r="B157" s="221" t="s">
        <v>920</v>
      </c>
      <c r="C157" s="222" t="n">
        <v>2</v>
      </c>
      <c r="D157" s="39" t="s">
        <v>81</v>
      </c>
      <c r="E157" s="39" t="s">
        <v>1379</v>
      </c>
      <c r="F157" s="39" t="s">
        <v>1380</v>
      </c>
      <c r="G157" s="39" t="s">
        <v>1381</v>
      </c>
      <c r="H157" s="223" t="s">
        <v>1128</v>
      </c>
    </row>
    <row r="158" customFormat="false" ht="18.75" hidden="false" customHeight="true" outlineLevel="0" collapsed="false">
      <c r="A158" s="39" t="str">
        <f aca="false">B158&amp;"-"&amp;C158</f>
        <v>V Bis - Recepción recursos desarrollo inmobiliario-3</v>
      </c>
      <c r="B158" s="221" t="s">
        <v>920</v>
      </c>
      <c r="C158" s="222" t="n">
        <v>3</v>
      </c>
      <c r="D158" s="39" t="s">
        <v>83</v>
      </c>
      <c r="E158" s="39" t="s">
        <v>1382</v>
      </c>
      <c r="F158" s="39" t="s">
        <v>1383</v>
      </c>
      <c r="G158" s="39" t="s">
        <v>1384</v>
      </c>
      <c r="H158" s="223" t="s">
        <v>1128</v>
      </c>
    </row>
    <row r="159" customFormat="false" ht="18.75" hidden="false" customHeight="true" outlineLevel="0" collapsed="false">
      <c r="A159" s="39" t="str">
        <f aca="false">B159&amp;"-"&amp;C159</f>
        <v>V Bis - Recepción recursos desarrollo inmobiliario-4</v>
      </c>
      <c r="B159" s="221" t="s">
        <v>920</v>
      </c>
      <c r="C159" s="222" t="n">
        <v>4</v>
      </c>
      <c r="D159" s="39" t="s">
        <v>85</v>
      </c>
      <c r="E159" s="39" t="s">
        <v>1385</v>
      </c>
      <c r="F159" s="39" t="s">
        <v>1133</v>
      </c>
      <c r="G159" s="39" t="s">
        <v>1134</v>
      </c>
      <c r="H159" s="223" t="s">
        <v>1128</v>
      </c>
    </row>
    <row r="160" customFormat="false" ht="18.75" hidden="false" customHeight="true" outlineLevel="0" collapsed="false">
      <c r="A160" s="39" t="str">
        <f aca="false">B160&amp;"-"&amp;C160</f>
        <v>V Bis - Recepción recursos desarrollo inmobiliario-5</v>
      </c>
      <c r="B160" s="221" t="s">
        <v>920</v>
      </c>
      <c r="C160" s="222" t="n">
        <v>5</v>
      </c>
      <c r="D160" s="39" t="s">
        <v>88</v>
      </c>
      <c r="E160" s="39" t="s">
        <v>1386</v>
      </c>
      <c r="F160" s="39" t="s">
        <v>1136</v>
      </c>
      <c r="G160" s="39" t="s">
        <v>1137</v>
      </c>
      <c r="H160" s="223" t="s">
        <v>1138</v>
      </c>
    </row>
    <row r="161" customFormat="false" ht="18.75" hidden="false" customHeight="true" outlineLevel="0" collapsed="false">
      <c r="A161" s="39" t="str">
        <f aca="false">B161&amp;"-"&amp;C161</f>
        <v>V Bis - Recepción recursos desarrollo inmobiliario-6</v>
      </c>
      <c r="B161" s="221" t="s">
        <v>920</v>
      </c>
      <c r="C161" s="222" t="n">
        <v>6</v>
      </c>
      <c r="D161" s="39" t="s">
        <v>91</v>
      </c>
      <c r="E161" s="39" t="s">
        <v>1387</v>
      </c>
      <c r="F161" s="39" t="s">
        <v>1388</v>
      </c>
      <c r="G161" s="39" t="s">
        <v>1389</v>
      </c>
      <c r="H161" s="223" t="s">
        <v>1138</v>
      </c>
    </row>
    <row r="162" customFormat="false" ht="18.75" hidden="false" customHeight="true" outlineLevel="0" collapsed="false">
      <c r="A162" s="39" t="str">
        <f aca="false">B162&amp;"-"&amp;C162</f>
        <v>V Bis - Recepción recursos desarrollo inmobiliario-7</v>
      </c>
      <c r="B162" s="221" t="s">
        <v>920</v>
      </c>
      <c r="C162" s="222" t="n">
        <v>7</v>
      </c>
      <c r="D162" s="39" t="s">
        <v>94</v>
      </c>
      <c r="E162" s="39" t="s">
        <v>1142</v>
      </c>
      <c r="F162" s="39" t="s">
        <v>1143</v>
      </c>
      <c r="G162" s="39" t="s">
        <v>1144</v>
      </c>
      <c r="H162" s="223" t="s">
        <v>1138</v>
      </c>
    </row>
    <row r="163" customFormat="false" ht="18.75" hidden="false" customHeight="true" outlineLevel="0" collapsed="false">
      <c r="A163" s="39" t="str">
        <f aca="false">B163&amp;"-"&amp;C163</f>
        <v>V Bis - Recepción recursos desarrollo inmobiliario-8</v>
      </c>
      <c r="B163" s="221" t="s">
        <v>920</v>
      </c>
      <c r="C163" s="222" t="n">
        <v>8</v>
      </c>
      <c r="D163" s="39" t="s">
        <v>96</v>
      </c>
      <c r="E163" s="39" t="s">
        <v>1390</v>
      </c>
      <c r="F163" s="39" t="s">
        <v>1146</v>
      </c>
      <c r="G163" s="39" t="s">
        <v>1147</v>
      </c>
      <c r="H163" s="223" t="s">
        <v>1138</v>
      </c>
    </row>
    <row r="164" customFormat="false" ht="18.75" hidden="false" customHeight="true" outlineLevel="0" collapsed="false">
      <c r="A164" s="39" t="str">
        <f aca="false">B164&amp;"-"&amp;C164</f>
        <v>V Bis - Recepción recursos desarrollo inmobiliario-9</v>
      </c>
      <c r="B164" s="221" t="s">
        <v>920</v>
      </c>
      <c r="C164" s="222" t="n">
        <v>9</v>
      </c>
      <c r="D164" s="39" t="s">
        <v>98</v>
      </c>
      <c r="E164" s="39" t="s">
        <v>1148</v>
      </c>
      <c r="F164" s="39" t="s">
        <v>1149</v>
      </c>
      <c r="G164" s="39" t="s">
        <v>1150</v>
      </c>
      <c r="H164" s="223" t="s">
        <v>1138</v>
      </c>
    </row>
    <row r="165" customFormat="false" ht="18.75" hidden="false" customHeight="true" outlineLevel="0" collapsed="false">
      <c r="A165" s="39" t="str">
        <f aca="false">B165&amp;"-"&amp;C165</f>
        <v>V Bis - Recepción recursos desarrollo inmobiliario-10</v>
      </c>
      <c r="B165" s="221" t="s">
        <v>920</v>
      </c>
      <c r="C165" s="222" t="n">
        <v>10</v>
      </c>
      <c r="D165" s="39" t="s">
        <v>100</v>
      </c>
      <c r="E165" s="39" t="s">
        <v>1151</v>
      </c>
      <c r="F165" s="39" t="s">
        <v>1152</v>
      </c>
      <c r="G165" s="39" t="s">
        <v>1153</v>
      </c>
      <c r="H165" s="223" t="s">
        <v>1138</v>
      </c>
    </row>
    <row r="166" customFormat="false" ht="18.75" hidden="false" customHeight="true" outlineLevel="0" collapsed="false">
      <c r="A166" s="39" t="str">
        <f aca="false">B166&amp;"-"&amp;C166</f>
        <v>V Bis - Recepción recursos desarrollo inmobiliario-11</v>
      </c>
      <c r="B166" s="221" t="s">
        <v>920</v>
      </c>
      <c r="C166" s="222" t="n">
        <v>11</v>
      </c>
      <c r="D166" s="39" t="s">
        <v>102</v>
      </c>
      <c r="E166" s="39" t="s">
        <v>1154</v>
      </c>
      <c r="F166" s="39" t="s">
        <v>1155</v>
      </c>
      <c r="G166" s="39" t="s">
        <v>1156</v>
      </c>
      <c r="H166" s="223" t="s">
        <v>1138</v>
      </c>
    </row>
    <row r="167" customFormat="false" ht="18.75" hidden="false" customHeight="true" outlineLevel="0" collapsed="false">
      <c r="A167" s="39" t="str">
        <f aca="false">B167&amp;"-"&amp;C167</f>
        <v>V Bis - Recepción recursos desarrollo inmobiliario-12</v>
      </c>
      <c r="B167" s="221" t="s">
        <v>920</v>
      </c>
      <c r="C167" s="222" t="n">
        <v>12</v>
      </c>
      <c r="D167" s="39" t="s">
        <v>105</v>
      </c>
      <c r="E167" s="39" t="s">
        <v>1157</v>
      </c>
      <c r="F167" s="39" t="s">
        <v>1158</v>
      </c>
      <c r="G167" s="39" t="s">
        <v>1159</v>
      </c>
      <c r="H167" s="223" t="s">
        <v>1138</v>
      </c>
    </row>
    <row r="168" customFormat="false" ht="18.75" hidden="false" customHeight="true" outlineLevel="0" collapsed="false">
      <c r="A168" s="39" t="str">
        <f aca="false">B168&amp;"-"&amp;C168</f>
        <v>V Bis - Recepción recursos desarrollo inmobiliario-13</v>
      </c>
      <c r="B168" s="221" t="s">
        <v>920</v>
      </c>
      <c r="C168" s="222" t="n">
        <v>13</v>
      </c>
      <c r="D168" s="39" t="s">
        <v>107</v>
      </c>
      <c r="E168" s="39" t="s">
        <v>1391</v>
      </c>
      <c r="F168" s="39" t="s">
        <v>1161</v>
      </c>
      <c r="G168" s="39" t="s">
        <v>1392</v>
      </c>
      <c r="H168" s="223" t="s">
        <v>1124</v>
      </c>
    </row>
    <row r="169" customFormat="false" ht="18.75" hidden="false" customHeight="true" outlineLevel="0" collapsed="false">
      <c r="A169" s="39" t="str">
        <f aca="false">B169&amp;"-"&amp;C169</f>
        <v>V Bis - Recepción recursos desarrollo inmobiliario-14</v>
      </c>
      <c r="B169" s="221" t="s">
        <v>920</v>
      </c>
      <c r="C169" s="222" t="n">
        <v>14</v>
      </c>
      <c r="D169" s="39" t="s">
        <v>109</v>
      </c>
      <c r="E169" s="39" t="s">
        <v>1393</v>
      </c>
      <c r="F169" s="39" t="s">
        <v>1394</v>
      </c>
      <c r="G169" s="39" t="s">
        <v>1395</v>
      </c>
      <c r="H169" s="223" t="s">
        <v>1138</v>
      </c>
    </row>
    <row r="170" customFormat="false" ht="18.75" hidden="false" customHeight="true" outlineLevel="0" collapsed="false">
      <c r="A170" s="39" t="str">
        <f aca="false">B170&amp;"-"&amp;C170</f>
        <v>V Bis - Recepción recursos desarrollo inmobiliario-15</v>
      </c>
      <c r="B170" s="221" t="s">
        <v>920</v>
      </c>
      <c r="C170" s="222" t="n">
        <v>15</v>
      </c>
      <c r="D170" s="39" t="s">
        <v>112</v>
      </c>
      <c r="E170" s="39" t="s">
        <v>1396</v>
      </c>
      <c r="F170" s="39" t="s">
        <v>1397</v>
      </c>
      <c r="G170" s="39" t="s">
        <v>1398</v>
      </c>
      <c r="H170" s="223" t="s">
        <v>1138</v>
      </c>
    </row>
    <row r="171" customFormat="false" ht="18.75" hidden="false" customHeight="true" outlineLevel="0" collapsed="false">
      <c r="A171" s="39" t="str">
        <f aca="false">B171&amp;"-"&amp;C171</f>
        <v>V Bis - Recepción recursos desarrollo inmobiliario-16</v>
      </c>
      <c r="B171" s="221" t="s">
        <v>920</v>
      </c>
      <c r="C171" s="222" t="n">
        <v>16</v>
      </c>
      <c r="D171" s="39" t="s">
        <v>114</v>
      </c>
      <c r="E171" s="39" t="s">
        <v>1169</v>
      </c>
      <c r="F171" s="39" t="s">
        <v>1170</v>
      </c>
      <c r="G171" s="39" t="s">
        <v>1171</v>
      </c>
      <c r="H171" s="223" t="s">
        <v>1138</v>
      </c>
    </row>
    <row r="172" customFormat="false" ht="18.75" hidden="false" customHeight="true" outlineLevel="0" collapsed="false">
      <c r="A172" s="39" t="str">
        <f aca="false">B172&amp;"-"&amp;C172</f>
        <v>V Bis - Recepción recursos desarrollo inmobiliario-17</v>
      </c>
      <c r="B172" s="221" t="s">
        <v>920</v>
      </c>
      <c r="C172" s="222" t="n">
        <v>17</v>
      </c>
      <c r="D172" s="39" t="s">
        <v>116</v>
      </c>
      <c r="E172" s="39" t="s">
        <v>1399</v>
      </c>
      <c r="F172" s="39" t="s">
        <v>1173</v>
      </c>
      <c r="G172" s="39" t="s">
        <v>1400</v>
      </c>
      <c r="H172" s="223" t="s">
        <v>1124</v>
      </c>
    </row>
    <row r="173" customFormat="false" ht="18.75" hidden="false" customHeight="true" outlineLevel="0" collapsed="false">
      <c r="A173" s="39" t="str">
        <f aca="false">B173&amp;"-"&amp;C173</f>
        <v>V Bis - Recepción recursos desarrollo inmobiliario-18</v>
      </c>
      <c r="B173" s="221" t="s">
        <v>920</v>
      </c>
      <c r="C173" s="222" t="n">
        <v>18</v>
      </c>
      <c r="D173" s="39" t="s">
        <v>119</v>
      </c>
      <c r="E173" s="39" t="s">
        <v>1175</v>
      </c>
      <c r="F173" s="39" t="s">
        <v>1176</v>
      </c>
      <c r="G173" s="39" t="s">
        <v>1401</v>
      </c>
      <c r="H173" s="223" t="s">
        <v>1138</v>
      </c>
    </row>
    <row r="174" customFormat="false" ht="18.75" hidden="false" customHeight="true" outlineLevel="0" collapsed="false">
      <c r="A174" s="39" t="str">
        <f aca="false">B174&amp;"-"&amp;C174</f>
        <v>V Bis - Recepción recursos desarrollo inmobiliario-19</v>
      </c>
      <c r="B174" s="221" t="s">
        <v>920</v>
      </c>
      <c r="C174" s="222" t="n">
        <v>19</v>
      </c>
      <c r="D174" s="39" t="s">
        <v>122</v>
      </c>
      <c r="E174" s="39" t="s">
        <v>1178</v>
      </c>
      <c r="F174" s="39" t="s">
        <v>1179</v>
      </c>
      <c r="G174" s="39" t="s">
        <v>1180</v>
      </c>
      <c r="H174" s="223" t="s">
        <v>1138</v>
      </c>
    </row>
    <row r="175" customFormat="false" ht="18.75" hidden="false" customHeight="true" outlineLevel="0" collapsed="false">
      <c r="A175" s="39" t="str">
        <f aca="false">B175&amp;"-"&amp;C175</f>
        <v>V Bis - Recepción recursos desarrollo inmobiliario-20</v>
      </c>
      <c r="B175" s="221" t="s">
        <v>920</v>
      </c>
      <c r="C175" s="222" t="n">
        <v>20</v>
      </c>
      <c r="D175" s="39" t="s">
        <v>124</v>
      </c>
      <c r="E175" s="39" t="s">
        <v>1402</v>
      </c>
      <c r="F175" s="39" t="s">
        <v>1403</v>
      </c>
      <c r="G175" s="39" t="s">
        <v>1404</v>
      </c>
      <c r="H175" s="223" t="s">
        <v>1124</v>
      </c>
    </row>
    <row r="176" customFormat="false" ht="18.75" hidden="false" customHeight="true" outlineLevel="0" collapsed="false">
      <c r="A176" s="39" t="str">
        <f aca="false">B176&amp;"-"&amp;C176</f>
        <v>V Bis - Recepción recursos desarrollo inmobiliario-21</v>
      </c>
      <c r="B176" s="221" t="s">
        <v>920</v>
      </c>
      <c r="C176" s="222" t="n">
        <v>21</v>
      </c>
      <c r="D176" s="39" t="s">
        <v>126</v>
      </c>
      <c r="E176" s="39" t="s">
        <v>1405</v>
      </c>
      <c r="F176" s="39" t="s">
        <v>1406</v>
      </c>
      <c r="G176" s="39" t="s">
        <v>1407</v>
      </c>
      <c r="H176" s="223" t="s">
        <v>1124</v>
      </c>
    </row>
    <row r="177" customFormat="false" ht="18.75" hidden="false" customHeight="true" outlineLevel="0" collapsed="false">
      <c r="A177" s="39" t="str">
        <f aca="false">B177&amp;"-"&amp;C177</f>
        <v>V Bis - Recepción recursos desarrollo inmobiliario-22</v>
      </c>
      <c r="B177" s="221" t="s">
        <v>920</v>
      </c>
      <c r="C177" s="222" t="n">
        <v>22</v>
      </c>
      <c r="D177" s="39" t="s">
        <v>128</v>
      </c>
      <c r="E177" s="39" t="s">
        <v>1408</v>
      </c>
      <c r="F177" s="39" t="s">
        <v>1409</v>
      </c>
      <c r="G177" s="39" t="s">
        <v>1410</v>
      </c>
      <c r="H177" s="223" t="s">
        <v>1138</v>
      </c>
    </row>
    <row r="178" customFormat="false" ht="18.75" hidden="false" customHeight="true" outlineLevel="0" collapsed="false">
      <c r="A178" s="39" t="str">
        <f aca="false">B178&amp;"-"&amp;C178</f>
        <v>V Bis - Recepción recursos desarrollo inmobiliario-23</v>
      </c>
      <c r="B178" s="221" t="s">
        <v>920</v>
      </c>
      <c r="C178" s="222" t="n">
        <v>23</v>
      </c>
      <c r="D178" s="39" t="s">
        <v>131</v>
      </c>
      <c r="E178" s="39" t="s">
        <v>1190</v>
      </c>
      <c r="F178" s="39" t="s">
        <v>1191</v>
      </c>
      <c r="G178" s="39" t="s">
        <v>1192</v>
      </c>
      <c r="H178" s="223" t="s">
        <v>1128</v>
      </c>
    </row>
    <row r="179" customFormat="false" ht="18.75" hidden="false" customHeight="true" outlineLevel="0" collapsed="false">
      <c r="A179" s="39" t="str">
        <f aca="false">B179&amp;"-"&amp;C179</f>
        <v>V Bis - Recepción recursos desarrollo inmobiliario-24</v>
      </c>
      <c r="B179" s="221" t="s">
        <v>920</v>
      </c>
      <c r="C179" s="222" t="n">
        <v>24</v>
      </c>
      <c r="D179" s="39" t="s">
        <v>133</v>
      </c>
      <c r="E179" s="39" t="s">
        <v>1411</v>
      </c>
      <c r="F179" s="39" t="s">
        <v>1194</v>
      </c>
      <c r="G179" s="39" t="s">
        <v>1412</v>
      </c>
      <c r="H179" s="223" t="s">
        <v>1128</v>
      </c>
    </row>
    <row r="180" customFormat="false" ht="18.75" hidden="false" customHeight="true" outlineLevel="0" collapsed="false">
      <c r="A180" s="39" t="str">
        <f aca="false">B180&amp;"-"&amp;C180</f>
        <v>V Bis - Recepción recursos desarrollo inmobiliario-25</v>
      </c>
      <c r="B180" s="221" t="s">
        <v>920</v>
      </c>
      <c r="C180" s="222" t="n">
        <v>25</v>
      </c>
      <c r="D180" s="39" t="s">
        <v>135</v>
      </c>
      <c r="E180" s="39" t="s">
        <v>1413</v>
      </c>
      <c r="F180" s="39" t="s">
        <v>1197</v>
      </c>
      <c r="G180" s="39" t="s">
        <v>1198</v>
      </c>
      <c r="H180" s="223" t="s">
        <v>1128</v>
      </c>
    </row>
    <row r="181" customFormat="false" ht="18.75" hidden="false" customHeight="true" outlineLevel="0" collapsed="false">
      <c r="A181" s="39" t="str">
        <f aca="false">B181&amp;"-"&amp;C181</f>
        <v>VI - Piedras y metales preciosos, joyas-1</v>
      </c>
      <c r="B181" s="221" t="s">
        <v>928</v>
      </c>
      <c r="C181" s="222" t="n">
        <v>1</v>
      </c>
      <c r="D181" s="39" t="s">
        <v>77</v>
      </c>
      <c r="E181" s="39" t="s">
        <v>1414</v>
      </c>
      <c r="F181" s="39" t="s">
        <v>1415</v>
      </c>
      <c r="G181" s="39" t="s">
        <v>1416</v>
      </c>
      <c r="H181" s="223" t="s">
        <v>1124</v>
      </c>
    </row>
    <row r="182" customFormat="false" ht="18.75" hidden="false" customHeight="true" outlineLevel="0" collapsed="false">
      <c r="A182" s="39" t="str">
        <f aca="false">B182&amp;"-"&amp;C182</f>
        <v>VI - Piedras y metales preciosos, joyas-2</v>
      </c>
      <c r="B182" s="221" t="s">
        <v>928</v>
      </c>
      <c r="C182" s="222" t="n">
        <v>2</v>
      </c>
      <c r="D182" s="39" t="s">
        <v>81</v>
      </c>
      <c r="E182" s="39" t="s">
        <v>1417</v>
      </c>
      <c r="F182" s="39" t="s">
        <v>1418</v>
      </c>
      <c r="G182" s="39" t="s">
        <v>1419</v>
      </c>
      <c r="H182" s="223" t="s">
        <v>1128</v>
      </c>
    </row>
    <row r="183" customFormat="false" ht="18.75" hidden="false" customHeight="true" outlineLevel="0" collapsed="false">
      <c r="A183" s="39" t="str">
        <f aca="false">B183&amp;"-"&amp;C183</f>
        <v>VI - Piedras y metales preciosos, joyas-3</v>
      </c>
      <c r="B183" s="221" t="s">
        <v>928</v>
      </c>
      <c r="C183" s="222" t="n">
        <v>3</v>
      </c>
      <c r="D183" s="39" t="s">
        <v>83</v>
      </c>
      <c r="E183" s="39" t="s">
        <v>1420</v>
      </c>
      <c r="F183" s="39" t="s">
        <v>1345</v>
      </c>
      <c r="G183" s="39" t="s">
        <v>1346</v>
      </c>
      <c r="H183" s="223" t="s">
        <v>1128</v>
      </c>
    </row>
    <row r="184" customFormat="false" ht="18.75" hidden="false" customHeight="true" outlineLevel="0" collapsed="false">
      <c r="A184" s="39" t="str">
        <f aca="false">B184&amp;"-"&amp;C184</f>
        <v>VI - Piedras y metales preciosos, joyas-4</v>
      </c>
      <c r="B184" s="221" t="s">
        <v>928</v>
      </c>
      <c r="C184" s="222" t="n">
        <v>4</v>
      </c>
      <c r="D184" s="39" t="s">
        <v>85</v>
      </c>
      <c r="E184" s="39" t="s">
        <v>1421</v>
      </c>
      <c r="F184" s="39" t="s">
        <v>1133</v>
      </c>
      <c r="G184" s="39" t="s">
        <v>1134</v>
      </c>
      <c r="H184" s="223" t="s">
        <v>1128</v>
      </c>
    </row>
    <row r="185" customFormat="false" ht="18.75" hidden="false" customHeight="true" outlineLevel="0" collapsed="false">
      <c r="A185" s="39" t="str">
        <f aca="false">B185&amp;"-"&amp;C185</f>
        <v>VI - Piedras y metales preciosos, joyas-5</v>
      </c>
      <c r="B185" s="221" t="s">
        <v>928</v>
      </c>
      <c r="C185" s="222" t="n">
        <v>5</v>
      </c>
      <c r="D185" s="39" t="s">
        <v>88</v>
      </c>
      <c r="E185" s="39" t="s">
        <v>1348</v>
      </c>
      <c r="F185" s="39" t="s">
        <v>1136</v>
      </c>
      <c r="G185" s="39" t="s">
        <v>1137</v>
      </c>
      <c r="H185" s="223" t="s">
        <v>1138</v>
      </c>
    </row>
    <row r="186" customFormat="false" ht="18.75" hidden="false" customHeight="true" outlineLevel="0" collapsed="false">
      <c r="A186" s="39" t="str">
        <f aca="false">B186&amp;"-"&amp;C186</f>
        <v>VI - Piedras y metales preciosos, joyas-6</v>
      </c>
      <c r="B186" s="221" t="s">
        <v>928</v>
      </c>
      <c r="C186" s="222" t="n">
        <v>6</v>
      </c>
      <c r="D186" s="39" t="s">
        <v>91</v>
      </c>
      <c r="E186" s="39" t="s">
        <v>1422</v>
      </c>
      <c r="F186" s="39" t="s">
        <v>1423</v>
      </c>
      <c r="G186" s="39" t="s">
        <v>1424</v>
      </c>
      <c r="H186" s="223" t="s">
        <v>1138</v>
      </c>
    </row>
    <row r="187" customFormat="false" ht="18.75" hidden="false" customHeight="true" outlineLevel="0" collapsed="false">
      <c r="A187" s="39" t="str">
        <f aca="false">B187&amp;"-"&amp;C187</f>
        <v>VI - Piedras y metales preciosos, joyas-7</v>
      </c>
      <c r="B187" s="221" t="s">
        <v>928</v>
      </c>
      <c r="C187" s="222" t="n">
        <v>7</v>
      </c>
      <c r="D187" s="39" t="s">
        <v>94</v>
      </c>
      <c r="E187" s="39" t="s">
        <v>1142</v>
      </c>
      <c r="F187" s="39" t="s">
        <v>1143</v>
      </c>
      <c r="G187" s="39" t="s">
        <v>1144</v>
      </c>
      <c r="H187" s="223" t="s">
        <v>1138</v>
      </c>
    </row>
    <row r="188" customFormat="false" ht="18.75" hidden="false" customHeight="true" outlineLevel="0" collapsed="false">
      <c r="A188" s="39" t="str">
        <f aca="false">B188&amp;"-"&amp;C188</f>
        <v>VI - Piedras y metales preciosos, joyas-8</v>
      </c>
      <c r="B188" s="221" t="s">
        <v>928</v>
      </c>
      <c r="C188" s="222" t="n">
        <v>8</v>
      </c>
      <c r="D188" s="39" t="s">
        <v>96</v>
      </c>
      <c r="E188" s="39" t="s">
        <v>1352</v>
      </c>
      <c r="F188" s="39" t="s">
        <v>1146</v>
      </c>
      <c r="G188" s="39" t="s">
        <v>1147</v>
      </c>
      <c r="H188" s="223" t="s">
        <v>1138</v>
      </c>
    </row>
    <row r="189" customFormat="false" ht="18.75" hidden="false" customHeight="true" outlineLevel="0" collapsed="false">
      <c r="A189" s="39" t="str">
        <f aca="false">B189&amp;"-"&amp;C189</f>
        <v>VI - Piedras y metales preciosos, joyas-9</v>
      </c>
      <c r="B189" s="221" t="s">
        <v>928</v>
      </c>
      <c r="C189" s="222" t="n">
        <v>9</v>
      </c>
      <c r="D189" s="39" t="s">
        <v>98</v>
      </c>
      <c r="E189" s="39" t="s">
        <v>1148</v>
      </c>
      <c r="F189" s="39" t="s">
        <v>1149</v>
      </c>
      <c r="G189" s="39" t="s">
        <v>1150</v>
      </c>
      <c r="H189" s="223" t="s">
        <v>1138</v>
      </c>
    </row>
    <row r="190" customFormat="false" ht="18.75" hidden="false" customHeight="true" outlineLevel="0" collapsed="false">
      <c r="A190" s="39" t="str">
        <f aca="false">B190&amp;"-"&amp;C190</f>
        <v>VI - Piedras y metales preciosos, joyas-10</v>
      </c>
      <c r="B190" s="221" t="s">
        <v>928</v>
      </c>
      <c r="C190" s="222" t="n">
        <v>10</v>
      </c>
      <c r="D190" s="39" t="s">
        <v>100</v>
      </c>
      <c r="E190" s="39" t="s">
        <v>1151</v>
      </c>
      <c r="F190" s="39" t="s">
        <v>1152</v>
      </c>
      <c r="G190" s="39" t="s">
        <v>1153</v>
      </c>
      <c r="H190" s="223" t="s">
        <v>1138</v>
      </c>
    </row>
    <row r="191" customFormat="false" ht="18.75" hidden="false" customHeight="true" outlineLevel="0" collapsed="false">
      <c r="A191" s="39" t="str">
        <f aca="false">B191&amp;"-"&amp;C191</f>
        <v>VI - Piedras y metales preciosos, joyas-11</v>
      </c>
      <c r="B191" s="221" t="s">
        <v>928</v>
      </c>
      <c r="C191" s="222" t="n">
        <v>11</v>
      </c>
      <c r="D191" s="39" t="s">
        <v>102</v>
      </c>
      <c r="E191" s="39" t="s">
        <v>1154</v>
      </c>
      <c r="F191" s="39" t="s">
        <v>1155</v>
      </c>
      <c r="G191" s="39" t="s">
        <v>1156</v>
      </c>
      <c r="H191" s="223" t="s">
        <v>1138</v>
      </c>
    </row>
    <row r="192" customFormat="false" ht="18.75" hidden="false" customHeight="true" outlineLevel="0" collapsed="false">
      <c r="A192" s="39" t="str">
        <f aca="false">B192&amp;"-"&amp;C192</f>
        <v>VI - Piedras y metales preciosos, joyas-12</v>
      </c>
      <c r="B192" s="221" t="s">
        <v>928</v>
      </c>
      <c r="C192" s="222" t="n">
        <v>12</v>
      </c>
      <c r="D192" s="39" t="s">
        <v>105</v>
      </c>
      <c r="E192" s="39" t="s">
        <v>1157</v>
      </c>
      <c r="F192" s="39" t="s">
        <v>1158</v>
      </c>
      <c r="G192" s="39" t="s">
        <v>1159</v>
      </c>
      <c r="H192" s="223" t="s">
        <v>1138</v>
      </c>
    </row>
    <row r="193" customFormat="false" ht="18.75" hidden="false" customHeight="true" outlineLevel="0" collapsed="false">
      <c r="A193" s="39" t="str">
        <f aca="false">B193&amp;"-"&amp;C193</f>
        <v>VI - Piedras y metales preciosos, joyas-13</v>
      </c>
      <c r="B193" s="221" t="s">
        <v>928</v>
      </c>
      <c r="C193" s="222" t="n">
        <v>13</v>
      </c>
      <c r="D193" s="39" t="s">
        <v>107</v>
      </c>
      <c r="E193" s="39" t="s">
        <v>1353</v>
      </c>
      <c r="F193" s="39" t="s">
        <v>1161</v>
      </c>
      <c r="G193" s="39" t="s">
        <v>1354</v>
      </c>
      <c r="H193" s="223" t="s">
        <v>1124</v>
      </c>
    </row>
    <row r="194" customFormat="false" ht="18.75" hidden="false" customHeight="true" outlineLevel="0" collapsed="false">
      <c r="A194" s="39" t="str">
        <f aca="false">B194&amp;"-"&amp;C194</f>
        <v>VI - Piedras y metales preciosos, joyas-14</v>
      </c>
      <c r="B194" s="221" t="s">
        <v>928</v>
      </c>
      <c r="C194" s="222" t="n">
        <v>14</v>
      </c>
      <c r="D194" s="39" t="s">
        <v>109</v>
      </c>
      <c r="E194" s="39" t="s">
        <v>1425</v>
      </c>
      <c r="F194" s="39" t="s">
        <v>1426</v>
      </c>
      <c r="G194" s="39" t="s">
        <v>1427</v>
      </c>
      <c r="H194" s="223" t="s">
        <v>1138</v>
      </c>
    </row>
    <row r="195" customFormat="false" ht="18.75" hidden="false" customHeight="true" outlineLevel="0" collapsed="false">
      <c r="A195" s="39" t="str">
        <f aca="false">B195&amp;"-"&amp;C195</f>
        <v>VI - Piedras y metales preciosos, joyas-15</v>
      </c>
      <c r="B195" s="221" t="s">
        <v>928</v>
      </c>
      <c r="C195" s="222" t="n">
        <v>15</v>
      </c>
      <c r="D195" s="39" t="s">
        <v>112</v>
      </c>
      <c r="E195" s="39" t="s">
        <v>1428</v>
      </c>
      <c r="F195" s="39" t="s">
        <v>1429</v>
      </c>
      <c r="G195" s="39" t="s">
        <v>1430</v>
      </c>
      <c r="H195" s="223" t="s">
        <v>1138</v>
      </c>
    </row>
    <row r="196" customFormat="false" ht="18.75" hidden="false" customHeight="true" outlineLevel="0" collapsed="false">
      <c r="A196" s="39" t="str">
        <f aca="false">B196&amp;"-"&amp;C196</f>
        <v>VI - Piedras y metales preciosos, joyas-16</v>
      </c>
      <c r="B196" s="221" t="s">
        <v>928</v>
      </c>
      <c r="C196" s="222" t="n">
        <v>16</v>
      </c>
      <c r="D196" s="39" t="s">
        <v>114</v>
      </c>
      <c r="E196" s="39" t="s">
        <v>1169</v>
      </c>
      <c r="F196" s="39" t="s">
        <v>1170</v>
      </c>
      <c r="G196" s="39" t="s">
        <v>1171</v>
      </c>
      <c r="H196" s="223" t="s">
        <v>1138</v>
      </c>
    </row>
    <row r="197" customFormat="false" ht="18.75" hidden="false" customHeight="true" outlineLevel="0" collapsed="false">
      <c r="A197" s="39" t="str">
        <f aca="false">B197&amp;"-"&amp;C197</f>
        <v>VI - Piedras y metales preciosos, joyas-17</v>
      </c>
      <c r="B197" s="221" t="s">
        <v>928</v>
      </c>
      <c r="C197" s="222" t="n">
        <v>17</v>
      </c>
      <c r="D197" s="39" t="s">
        <v>116</v>
      </c>
      <c r="E197" s="39" t="s">
        <v>1431</v>
      </c>
      <c r="F197" s="39" t="s">
        <v>1173</v>
      </c>
      <c r="G197" s="39" t="s">
        <v>1432</v>
      </c>
      <c r="H197" s="223" t="s">
        <v>1124</v>
      </c>
    </row>
    <row r="198" customFormat="false" ht="18.75" hidden="false" customHeight="true" outlineLevel="0" collapsed="false">
      <c r="A198" s="39" t="str">
        <f aca="false">B198&amp;"-"&amp;C198</f>
        <v>VI - Piedras y metales preciosos, joyas-18</v>
      </c>
      <c r="B198" s="221" t="s">
        <v>928</v>
      </c>
      <c r="C198" s="222" t="n">
        <v>18</v>
      </c>
      <c r="D198" s="39" t="s">
        <v>119</v>
      </c>
      <c r="E198" s="39" t="s">
        <v>1175</v>
      </c>
      <c r="F198" s="39" t="s">
        <v>1176</v>
      </c>
      <c r="G198" s="39" t="s">
        <v>1363</v>
      </c>
      <c r="H198" s="223" t="s">
        <v>1138</v>
      </c>
    </row>
    <row r="199" customFormat="false" ht="18.75" hidden="false" customHeight="true" outlineLevel="0" collapsed="false">
      <c r="A199" s="39" t="str">
        <f aca="false">B199&amp;"-"&amp;C199</f>
        <v>VI - Piedras y metales preciosos, joyas-19</v>
      </c>
      <c r="B199" s="221" t="s">
        <v>928</v>
      </c>
      <c r="C199" s="222" t="n">
        <v>19</v>
      </c>
      <c r="D199" s="39" t="s">
        <v>122</v>
      </c>
      <c r="E199" s="39" t="s">
        <v>1178</v>
      </c>
      <c r="F199" s="39" t="s">
        <v>1179</v>
      </c>
      <c r="G199" s="39" t="s">
        <v>1180</v>
      </c>
      <c r="H199" s="223" t="s">
        <v>1138</v>
      </c>
    </row>
    <row r="200" customFormat="false" ht="18.75" hidden="false" customHeight="true" outlineLevel="0" collapsed="false">
      <c r="A200" s="39" t="str">
        <f aca="false">B200&amp;"-"&amp;C200</f>
        <v>VI - Piedras y metales preciosos, joyas-20</v>
      </c>
      <c r="B200" s="221" t="s">
        <v>928</v>
      </c>
      <c r="C200" s="222" t="n">
        <v>20</v>
      </c>
      <c r="D200" s="39" t="s">
        <v>124</v>
      </c>
      <c r="E200" s="39" t="s">
        <v>1433</v>
      </c>
      <c r="F200" s="39" t="s">
        <v>1434</v>
      </c>
      <c r="G200" s="39" t="s">
        <v>1435</v>
      </c>
      <c r="H200" s="223" t="s">
        <v>1124</v>
      </c>
    </row>
    <row r="201" customFormat="false" ht="18.75" hidden="false" customHeight="true" outlineLevel="0" collapsed="false">
      <c r="A201" s="39" t="str">
        <f aca="false">B201&amp;"-"&amp;C201</f>
        <v>VI - Piedras y metales preciosos, joyas-21</v>
      </c>
      <c r="B201" s="221" t="s">
        <v>928</v>
      </c>
      <c r="C201" s="222" t="n">
        <v>21</v>
      </c>
      <c r="D201" s="39" t="s">
        <v>126</v>
      </c>
      <c r="E201" s="39" t="s">
        <v>1367</v>
      </c>
      <c r="F201" s="39" t="s">
        <v>1368</v>
      </c>
      <c r="G201" s="39" t="s">
        <v>1369</v>
      </c>
      <c r="H201" s="223" t="s">
        <v>1124</v>
      </c>
    </row>
    <row r="202" customFormat="false" ht="18.75" hidden="false" customHeight="true" outlineLevel="0" collapsed="false">
      <c r="A202" s="39" t="str">
        <f aca="false">B202&amp;"-"&amp;C202</f>
        <v>VI - Piedras y metales preciosos, joyas-22</v>
      </c>
      <c r="B202" s="221" t="s">
        <v>928</v>
      </c>
      <c r="C202" s="222" t="n">
        <v>22</v>
      </c>
      <c r="D202" s="39" t="s">
        <v>128</v>
      </c>
      <c r="E202" s="39" t="s">
        <v>1370</v>
      </c>
      <c r="F202" s="39" t="s">
        <v>1371</v>
      </c>
      <c r="G202" s="39" t="s">
        <v>1372</v>
      </c>
      <c r="H202" s="223" t="s">
        <v>1138</v>
      </c>
    </row>
    <row r="203" customFormat="false" ht="18.75" hidden="false" customHeight="true" outlineLevel="0" collapsed="false">
      <c r="A203" s="39" t="str">
        <f aca="false">B203&amp;"-"&amp;C203</f>
        <v>VI - Piedras y metales preciosos, joyas-23</v>
      </c>
      <c r="B203" s="221" t="s">
        <v>928</v>
      </c>
      <c r="C203" s="222" t="n">
        <v>23</v>
      </c>
      <c r="D203" s="39" t="s">
        <v>131</v>
      </c>
      <c r="E203" s="39" t="s">
        <v>1190</v>
      </c>
      <c r="F203" s="39" t="s">
        <v>1191</v>
      </c>
      <c r="G203" s="39" t="s">
        <v>1192</v>
      </c>
      <c r="H203" s="223" t="s">
        <v>1128</v>
      </c>
    </row>
    <row r="204" customFormat="false" ht="18.75" hidden="false" customHeight="true" outlineLevel="0" collapsed="false">
      <c r="A204" s="39" t="str">
        <f aca="false">B204&amp;"-"&amp;C204</f>
        <v>VI - Piedras y metales preciosos, joyas-24</v>
      </c>
      <c r="B204" s="221" t="s">
        <v>928</v>
      </c>
      <c r="C204" s="222" t="n">
        <v>24</v>
      </c>
      <c r="D204" s="39" t="s">
        <v>133</v>
      </c>
      <c r="E204" s="39" t="s">
        <v>1436</v>
      </c>
      <c r="F204" s="39" t="s">
        <v>1194</v>
      </c>
      <c r="G204" s="39" t="s">
        <v>1437</v>
      </c>
      <c r="H204" s="223" t="s">
        <v>1128</v>
      </c>
    </row>
    <row r="205" customFormat="false" ht="18.75" hidden="false" customHeight="true" outlineLevel="0" collapsed="false">
      <c r="A205" s="39" t="str">
        <f aca="false">B205&amp;"-"&amp;C205</f>
        <v>VI - Piedras y metales preciosos, joyas-25</v>
      </c>
      <c r="B205" s="221" t="s">
        <v>928</v>
      </c>
      <c r="C205" s="222" t="n">
        <v>25</v>
      </c>
      <c r="D205" s="39" t="s">
        <v>135</v>
      </c>
      <c r="E205" s="39" t="s">
        <v>1438</v>
      </c>
      <c r="F205" s="39" t="s">
        <v>1197</v>
      </c>
      <c r="G205" s="39" t="s">
        <v>1198</v>
      </c>
      <c r="H205" s="223" t="s">
        <v>1128</v>
      </c>
    </row>
    <row r="206" customFormat="false" ht="18.75" hidden="false" customHeight="true" outlineLevel="0" collapsed="false">
      <c r="A206" s="39" t="str">
        <f aca="false">B206&amp;"-"&amp;C206</f>
        <v>VII - Subasta/comercialización obras de arte-1</v>
      </c>
      <c r="B206" s="221" t="s">
        <v>936</v>
      </c>
      <c r="C206" s="222" t="n">
        <v>1</v>
      </c>
      <c r="D206" s="39" t="s">
        <v>77</v>
      </c>
      <c r="E206" s="39" t="s">
        <v>1439</v>
      </c>
      <c r="F206" s="39" t="s">
        <v>1440</v>
      </c>
      <c r="G206" s="39" t="s">
        <v>1441</v>
      </c>
      <c r="H206" s="223" t="s">
        <v>1124</v>
      </c>
    </row>
    <row r="207" customFormat="false" ht="18.75" hidden="false" customHeight="true" outlineLevel="0" collapsed="false">
      <c r="A207" s="39" t="str">
        <f aca="false">B207&amp;"-"&amp;C207</f>
        <v>VII - Subasta/comercialización obras de arte-2</v>
      </c>
      <c r="B207" s="221" t="s">
        <v>936</v>
      </c>
      <c r="C207" s="222" t="n">
        <v>2</v>
      </c>
      <c r="D207" s="39" t="s">
        <v>81</v>
      </c>
      <c r="E207" s="39" t="s">
        <v>1442</v>
      </c>
      <c r="F207" s="39" t="s">
        <v>1443</v>
      </c>
      <c r="G207" s="39" t="s">
        <v>1444</v>
      </c>
      <c r="H207" s="223" t="s">
        <v>1128</v>
      </c>
    </row>
    <row r="208" customFormat="false" ht="18.75" hidden="false" customHeight="true" outlineLevel="0" collapsed="false">
      <c r="A208" s="39" t="str">
        <f aca="false">B208&amp;"-"&amp;C208</f>
        <v>VII - Subasta/comercialización obras de arte-3</v>
      </c>
      <c r="B208" s="221" t="s">
        <v>936</v>
      </c>
      <c r="C208" s="222" t="n">
        <v>3</v>
      </c>
      <c r="D208" s="39" t="s">
        <v>83</v>
      </c>
      <c r="E208" s="39" t="s">
        <v>1445</v>
      </c>
      <c r="F208" s="39" t="s">
        <v>1446</v>
      </c>
      <c r="G208" s="39" t="s">
        <v>1447</v>
      </c>
      <c r="H208" s="223" t="s">
        <v>1128</v>
      </c>
    </row>
    <row r="209" customFormat="false" ht="18.75" hidden="false" customHeight="true" outlineLevel="0" collapsed="false">
      <c r="A209" s="39" t="str">
        <f aca="false">B209&amp;"-"&amp;C209</f>
        <v>VII - Subasta/comercialización obras de arte-4</v>
      </c>
      <c r="B209" s="221" t="s">
        <v>936</v>
      </c>
      <c r="C209" s="222" t="n">
        <v>4</v>
      </c>
      <c r="D209" s="39" t="s">
        <v>85</v>
      </c>
      <c r="E209" s="39" t="s">
        <v>1448</v>
      </c>
      <c r="F209" s="39" t="s">
        <v>1133</v>
      </c>
      <c r="G209" s="39" t="s">
        <v>1134</v>
      </c>
      <c r="H209" s="223" t="s">
        <v>1128</v>
      </c>
    </row>
    <row r="210" customFormat="false" ht="18.75" hidden="false" customHeight="true" outlineLevel="0" collapsed="false">
      <c r="A210" s="39" t="str">
        <f aca="false">B210&amp;"-"&amp;C210</f>
        <v>VII - Subasta/comercialización obras de arte-5</v>
      </c>
      <c r="B210" s="221" t="s">
        <v>936</v>
      </c>
      <c r="C210" s="222" t="n">
        <v>5</v>
      </c>
      <c r="D210" s="39" t="s">
        <v>88</v>
      </c>
      <c r="E210" s="39" t="s">
        <v>1449</v>
      </c>
      <c r="F210" s="39" t="s">
        <v>1136</v>
      </c>
      <c r="G210" s="39" t="s">
        <v>1137</v>
      </c>
      <c r="H210" s="223" t="s">
        <v>1138</v>
      </c>
    </row>
    <row r="211" customFormat="false" ht="18.75" hidden="false" customHeight="true" outlineLevel="0" collapsed="false">
      <c r="A211" s="39" t="str">
        <f aca="false">B211&amp;"-"&amp;C211</f>
        <v>VII - Subasta/comercialización obras de arte-6</v>
      </c>
      <c r="B211" s="221" t="s">
        <v>936</v>
      </c>
      <c r="C211" s="222" t="n">
        <v>6</v>
      </c>
      <c r="D211" s="39" t="s">
        <v>91</v>
      </c>
      <c r="E211" s="39" t="s">
        <v>1450</v>
      </c>
      <c r="F211" s="39" t="s">
        <v>1451</v>
      </c>
      <c r="G211" s="39" t="s">
        <v>1452</v>
      </c>
      <c r="H211" s="223" t="s">
        <v>1138</v>
      </c>
    </row>
    <row r="212" customFormat="false" ht="18.75" hidden="false" customHeight="true" outlineLevel="0" collapsed="false">
      <c r="A212" s="39" t="str">
        <f aca="false">B212&amp;"-"&amp;C212</f>
        <v>VII - Subasta/comercialización obras de arte-7</v>
      </c>
      <c r="B212" s="221" t="s">
        <v>936</v>
      </c>
      <c r="C212" s="222" t="n">
        <v>7</v>
      </c>
      <c r="D212" s="39" t="s">
        <v>94</v>
      </c>
      <c r="E212" s="39" t="s">
        <v>1142</v>
      </c>
      <c r="F212" s="39" t="s">
        <v>1143</v>
      </c>
      <c r="G212" s="39" t="s">
        <v>1144</v>
      </c>
      <c r="H212" s="223" t="s">
        <v>1138</v>
      </c>
    </row>
    <row r="213" customFormat="false" ht="18.75" hidden="false" customHeight="true" outlineLevel="0" collapsed="false">
      <c r="A213" s="39" t="str">
        <f aca="false">B213&amp;"-"&amp;C213</f>
        <v>VII - Subasta/comercialización obras de arte-8</v>
      </c>
      <c r="B213" s="221" t="s">
        <v>936</v>
      </c>
      <c r="C213" s="222" t="n">
        <v>8</v>
      </c>
      <c r="D213" s="39" t="s">
        <v>96</v>
      </c>
      <c r="E213" s="39" t="s">
        <v>1453</v>
      </c>
      <c r="F213" s="39" t="s">
        <v>1146</v>
      </c>
      <c r="G213" s="39" t="s">
        <v>1147</v>
      </c>
      <c r="H213" s="223" t="s">
        <v>1138</v>
      </c>
    </row>
    <row r="214" customFormat="false" ht="18.75" hidden="false" customHeight="true" outlineLevel="0" collapsed="false">
      <c r="A214" s="39" t="str">
        <f aca="false">B214&amp;"-"&amp;C214</f>
        <v>VII - Subasta/comercialización obras de arte-9</v>
      </c>
      <c r="B214" s="221" t="s">
        <v>936</v>
      </c>
      <c r="C214" s="222" t="n">
        <v>9</v>
      </c>
      <c r="D214" s="39" t="s">
        <v>98</v>
      </c>
      <c r="E214" s="39" t="s">
        <v>1148</v>
      </c>
      <c r="F214" s="39" t="s">
        <v>1149</v>
      </c>
      <c r="G214" s="39" t="s">
        <v>1150</v>
      </c>
      <c r="H214" s="223" t="s">
        <v>1138</v>
      </c>
    </row>
    <row r="215" customFormat="false" ht="18.75" hidden="false" customHeight="true" outlineLevel="0" collapsed="false">
      <c r="A215" s="39" t="str">
        <f aca="false">B215&amp;"-"&amp;C215</f>
        <v>VII - Subasta/comercialización obras de arte-10</v>
      </c>
      <c r="B215" s="221" t="s">
        <v>936</v>
      </c>
      <c r="C215" s="222" t="n">
        <v>10</v>
      </c>
      <c r="D215" s="39" t="s">
        <v>100</v>
      </c>
      <c r="E215" s="39" t="s">
        <v>1151</v>
      </c>
      <c r="F215" s="39" t="s">
        <v>1152</v>
      </c>
      <c r="G215" s="39" t="s">
        <v>1153</v>
      </c>
      <c r="H215" s="223" t="s">
        <v>1138</v>
      </c>
    </row>
    <row r="216" customFormat="false" ht="18.75" hidden="false" customHeight="true" outlineLevel="0" collapsed="false">
      <c r="A216" s="39" t="str">
        <f aca="false">B216&amp;"-"&amp;C216</f>
        <v>VII - Subasta/comercialización obras de arte-11</v>
      </c>
      <c r="B216" s="221" t="s">
        <v>936</v>
      </c>
      <c r="C216" s="222" t="n">
        <v>11</v>
      </c>
      <c r="D216" s="39" t="s">
        <v>102</v>
      </c>
      <c r="E216" s="39" t="s">
        <v>1154</v>
      </c>
      <c r="F216" s="39" t="s">
        <v>1155</v>
      </c>
      <c r="G216" s="39" t="s">
        <v>1156</v>
      </c>
      <c r="H216" s="223" t="s">
        <v>1138</v>
      </c>
    </row>
    <row r="217" customFormat="false" ht="18.75" hidden="false" customHeight="true" outlineLevel="0" collapsed="false">
      <c r="A217" s="39" t="str">
        <f aca="false">B217&amp;"-"&amp;C217</f>
        <v>VII - Subasta/comercialización obras de arte-12</v>
      </c>
      <c r="B217" s="221" t="s">
        <v>936</v>
      </c>
      <c r="C217" s="222" t="n">
        <v>12</v>
      </c>
      <c r="D217" s="39" t="s">
        <v>105</v>
      </c>
      <c r="E217" s="39" t="s">
        <v>1157</v>
      </c>
      <c r="F217" s="39" t="s">
        <v>1158</v>
      </c>
      <c r="G217" s="39" t="s">
        <v>1159</v>
      </c>
      <c r="H217" s="223" t="s">
        <v>1138</v>
      </c>
    </row>
    <row r="218" customFormat="false" ht="18.75" hidden="false" customHeight="true" outlineLevel="0" collapsed="false">
      <c r="A218" s="39" t="str">
        <f aca="false">B218&amp;"-"&amp;C218</f>
        <v>VII - Subasta/comercialización obras de arte-13</v>
      </c>
      <c r="B218" s="221" t="s">
        <v>936</v>
      </c>
      <c r="C218" s="222" t="n">
        <v>13</v>
      </c>
      <c r="D218" s="39" t="s">
        <v>107</v>
      </c>
      <c r="E218" s="39" t="s">
        <v>1454</v>
      </c>
      <c r="F218" s="39" t="s">
        <v>1161</v>
      </c>
      <c r="G218" s="39" t="s">
        <v>1455</v>
      </c>
      <c r="H218" s="223" t="s">
        <v>1124</v>
      </c>
    </row>
    <row r="219" customFormat="false" ht="18.75" hidden="false" customHeight="true" outlineLevel="0" collapsed="false">
      <c r="A219" s="39" t="str">
        <f aca="false">B219&amp;"-"&amp;C219</f>
        <v>VII - Subasta/comercialización obras de arte-14</v>
      </c>
      <c r="B219" s="221" t="s">
        <v>936</v>
      </c>
      <c r="C219" s="222" t="n">
        <v>14</v>
      </c>
      <c r="D219" s="39" t="s">
        <v>109</v>
      </c>
      <c r="E219" s="39" t="s">
        <v>1456</v>
      </c>
      <c r="F219" s="39" t="s">
        <v>1457</v>
      </c>
      <c r="G219" s="39" t="s">
        <v>1458</v>
      </c>
      <c r="H219" s="223" t="s">
        <v>1138</v>
      </c>
    </row>
    <row r="220" customFormat="false" ht="18.75" hidden="false" customHeight="true" outlineLevel="0" collapsed="false">
      <c r="A220" s="39" t="str">
        <f aca="false">B220&amp;"-"&amp;C220</f>
        <v>VII - Subasta/comercialización obras de arte-15</v>
      </c>
      <c r="B220" s="221" t="s">
        <v>936</v>
      </c>
      <c r="C220" s="222" t="n">
        <v>15</v>
      </c>
      <c r="D220" s="39" t="s">
        <v>112</v>
      </c>
      <c r="E220" s="39" t="s">
        <v>1459</v>
      </c>
      <c r="F220" s="39" t="s">
        <v>1460</v>
      </c>
      <c r="G220" s="39" t="s">
        <v>1461</v>
      </c>
      <c r="H220" s="223" t="s">
        <v>1138</v>
      </c>
    </row>
    <row r="221" customFormat="false" ht="18.75" hidden="false" customHeight="true" outlineLevel="0" collapsed="false">
      <c r="A221" s="39" t="str">
        <f aca="false">B221&amp;"-"&amp;C221</f>
        <v>VII - Subasta/comercialización obras de arte-16</v>
      </c>
      <c r="B221" s="221" t="s">
        <v>936</v>
      </c>
      <c r="C221" s="222" t="n">
        <v>16</v>
      </c>
      <c r="D221" s="39" t="s">
        <v>114</v>
      </c>
      <c r="E221" s="39" t="s">
        <v>1169</v>
      </c>
      <c r="F221" s="39" t="s">
        <v>1170</v>
      </c>
      <c r="G221" s="39" t="s">
        <v>1171</v>
      </c>
      <c r="H221" s="223" t="s">
        <v>1138</v>
      </c>
    </row>
    <row r="222" customFormat="false" ht="18.75" hidden="false" customHeight="true" outlineLevel="0" collapsed="false">
      <c r="A222" s="39" t="str">
        <f aca="false">B222&amp;"-"&amp;C222</f>
        <v>VII - Subasta/comercialización obras de arte-17</v>
      </c>
      <c r="B222" s="221" t="s">
        <v>936</v>
      </c>
      <c r="C222" s="222" t="n">
        <v>17</v>
      </c>
      <c r="D222" s="39" t="s">
        <v>116</v>
      </c>
      <c r="E222" s="39" t="s">
        <v>1462</v>
      </c>
      <c r="F222" s="39" t="s">
        <v>1173</v>
      </c>
      <c r="G222" s="39" t="s">
        <v>1463</v>
      </c>
      <c r="H222" s="223" t="s">
        <v>1124</v>
      </c>
    </row>
    <row r="223" customFormat="false" ht="18.75" hidden="false" customHeight="true" outlineLevel="0" collapsed="false">
      <c r="A223" s="39" t="str">
        <f aca="false">B223&amp;"-"&amp;C223</f>
        <v>VII - Subasta/comercialización obras de arte-18</v>
      </c>
      <c r="B223" s="221" t="s">
        <v>936</v>
      </c>
      <c r="C223" s="222" t="n">
        <v>18</v>
      </c>
      <c r="D223" s="39" t="s">
        <v>119</v>
      </c>
      <c r="E223" s="39" t="s">
        <v>1175</v>
      </c>
      <c r="F223" s="39" t="s">
        <v>1176</v>
      </c>
      <c r="G223" s="39" t="s">
        <v>1464</v>
      </c>
      <c r="H223" s="223" t="s">
        <v>1138</v>
      </c>
    </row>
    <row r="224" customFormat="false" ht="18.75" hidden="false" customHeight="true" outlineLevel="0" collapsed="false">
      <c r="A224" s="39" t="str">
        <f aca="false">B224&amp;"-"&amp;C224</f>
        <v>VII - Subasta/comercialización obras de arte-19</v>
      </c>
      <c r="B224" s="221" t="s">
        <v>936</v>
      </c>
      <c r="C224" s="222" t="n">
        <v>19</v>
      </c>
      <c r="D224" s="39" t="s">
        <v>122</v>
      </c>
      <c r="E224" s="39" t="s">
        <v>1178</v>
      </c>
      <c r="F224" s="39" t="s">
        <v>1179</v>
      </c>
      <c r="G224" s="39" t="s">
        <v>1180</v>
      </c>
      <c r="H224" s="223" t="s">
        <v>1138</v>
      </c>
    </row>
    <row r="225" customFormat="false" ht="18.75" hidden="false" customHeight="true" outlineLevel="0" collapsed="false">
      <c r="A225" s="39" t="str">
        <f aca="false">B225&amp;"-"&amp;C225</f>
        <v>VII - Subasta/comercialización obras de arte-20</v>
      </c>
      <c r="B225" s="221" t="s">
        <v>936</v>
      </c>
      <c r="C225" s="222" t="n">
        <v>20</v>
      </c>
      <c r="D225" s="39" t="s">
        <v>124</v>
      </c>
      <c r="E225" s="39" t="s">
        <v>1465</v>
      </c>
      <c r="F225" s="39" t="s">
        <v>1466</v>
      </c>
      <c r="G225" s="39" t="s">
        <v>1467</v>
      </c>
      <c r="H225" s="223" t="s">
        <v>1124</v>
      </c>
    </row>
    <row r="226" customFormat="false" ht="18.75" hidden="false" customHeight="true" outlineLevel="0" collapsed="false">
      <c r="A226" s="39" t="str">
        <f aca="false">B226&amp;"-"&amp;C226</f>
        <v>VII - Subasta/comercialización obras de arte-21</v>
      </c>
      <c r="B226" s="221" t="s">
        <v>936</v>
      </c>
      <c r="C226" s="222" t="n">
        <v>21</v>
      </c>
      <c r="D226" s="39" t="s">
        <v>126</v>
      </c>
      <c r="E226" s="39" t="s">
        <v>1468</v>
      </c>
      <c r="F226" s="39" t="s">
        <v>1469</v>
      </c>
      <c r="G226" s="39" t="s">
        <v>1470</v>
      </c>
      <c r="H226" s="223" t="s">
        <v>1124</v>
      </c>
    </row>
    <row r="227" customFormat="false" ht="18.75" hidden="false" customHeight="true" outlineLevel="0" collapsed="false">
      <c r="A227" s="39" t="str">
        <f aca="false">B227&amp;"-"&amp;C227</f>
        <v>VII - Subasta/comercialización obras de arte-22</v>
      </c>
      <c r="B227" s="221" t="s">
        <v>936</v>
      </c>
      <c r="C227" s="222" t="n">
        <v>22</v>
      </c>
      <c r="D227" s="39" t="s">
        <v>128</v>
      </c>
      <c r="E227" s="39" t="s">
        <v>1471</v>
      </c>
      <c r="F227" s="39" t="s">
        <v>1472</v>
      </c>
      <c r="G227" s="39" t="s">
        <v>1473</v>
      </c>
      <c r="H227" s="223" t="s">
        <v>1138</v>
      </c>
    </row>
    <row r="228" customFormat="false" ht="18.75" hidden="false" customHeight="true" outlineLevel="0" collapsed="false">
      <c r="A228" s="39" t="str">
        <f aca="false">B228&amp;"-"&amp;C228</f>
        <v>VII - Subasta/comercialización obras de arte-23</v>
      </c>
      <c r="B228" s="221" t="s">
        <v>936</v>
      </c>
      <c r="C228" s="222" t="n">
        <v>23</v>
      </c>
      <c r="D228" s="39" t="s">
        <v>131</v>
      </c>
      <c r="E228" s="39" t="s">
        <v>1190</v>
      </c>
      <c r="F228" s="39" t="s">
        <v>1191</v>
      </c>
      <c r="G228" s="39" t="s">
        <v>1192</v>
      </c>
      <c r="H228" s="223" t="s">
        <v>1128</v>
      </c>
    </row>
    <row r="229" customFormat="false" ht="18.75" hidden="false" customHeight="true" outlineLevel="0" collapsed="false">
      <c r="A229" s="39" t="str">
        <f aca="false">B229&amp;"-"&amp;C229</f>
        <v>VII - Subasta/comercialización obras de arte-24</v>
      </c>
      <c r="B229" s="221" t="s">
        <v>936</v>
      </c>
      <c r="C229" s="222" t="n">
        <v>24</v>
      </c>
      <c r="D229" s="39" t="s">
        <v>133</v>
      </c>
      <c r="E229" s="39" t="s">
        <v>1474</v>
      </c>
      <c r="F229" s="39" t="s">
        <v>1194</v>
      </c>
      <c r="G229" s="39" t="s">
        <v>1475</v>
      </c>
      <c r="H229" s="223" t="s">
        <v>1128</v>
      </c>
    </row>
    <row r="230" customFormat="false" ht="18.75" hidden="false" customHeight="true" outlineLevel="0" collapsed="false">
      <c r="A230" s="39" t="str">
        <f aca="false">B230&amp;"-"&amp;C230</f>
        <v>VII - Subasta/comercialización obras de arte-25</v>
      </c>
      <c r="B230" s="221" t="s">
        <v>936</v>
      </c>
      <c r="C230" s="222" t="n">
        <v>25</v>
      </c>
      <c r="D230" s="39" t="s">
        <v>135</v>
      </c>
      <c r="E230" s="39" t="s">
        <v>1476</v>
      </c>
      <c r="F230" s="39" t="s">
        <v>1197</v>
      </c>
      <c r="G230" s="39" t="s">
        <v>1198</v>
      </c>
      <c r="H230" s="223" t="s">
        <v>1128</v>
      </c>
    </row>
    <row r="231" customFormat="false" ht="18.75" hidden="false" customHeight="true" outlineLevel="0" collapsed="false">
      <c r="A231" s="39" t="str">
        <f aca="false">B231&amp;"-"&amp;C231</f>
        <v>VIII - Distribución/comercialización vehículos-1</v>
      </c>
      <c r="B231" s="221" t="s">
        <v>944</v>
      </c>
      <c r="C231" s="222" t="n">
        <v>1</v>
      </c>
      <c r="D231" s="39" t="s">
        <v>77</v>
      </c>
      <c r="E231" s="39" t="s">
        <v>1477</v>
      </c>
      <c r="F231" s="39" t="s">
        <v>1478</v>
      </c>
      <c r="G231" s="39" t="s">
        <v>1479</v>
      </c>
      <c r="H231" s="223" t="s">
        <v>1124</v>
      </c>
    </row>
    <row r="232" customFormat="false" ht="18.75" hidden="false" customHeight="true" outlineLevel="0" collapsed="false">
      <c r="A232" s="39" t="str">
        <f aca="false">B232&amp;"-"&amp;C232</f>
        <v>VIII - Distribución/comercialización vehículos-2</v>
      </c>
      <c r="B232" s="221" t="s">
        <v>944</v>
      </c>
      <c r="C232" s="222" t="n">
        <v>2</v>
      </c>
      <c r="D232" s="39" t="s">
        <v>81</v>
      </c>
      <c r="E232" s="39" t="s">
        <v>1480</v>
      </c>
      <c r="F232" s="39" t="s">
        <v>1481</v>
      </c>
      <c r="G232" s="39" t="s">
        <v>1482</v>
      </c>
      <c r="H232" s="223" t="s">
        <v>1128</v>
      </c>
    </row>
    <row r="233" customFormat="false" ht="18.75" hidden="false" customHeight="true" outlineLevel="0" collapsed="false">
      <c r="A233" s="39" t="str">
        <f aca="false">B233&amp;"-"&amp;C233</f>
        <v>VIII - Distribución/comercialización vehículos-3</v>
      </c>
      <c r="B233" s="221" t="s">
        <v>944</v>
      </c>
      <c r="C233" s="222" t="n">
        <v>3</v>
      </c>
      <c r="D233" s="39" t="s">
        <v>83</v>
      </c>
      <c r="E233" s="39" t="s">
        <v>1483</v>
      </c>
      <c r="F233" s="39" t="s">
        <v>1244</v>
      </c>
      <c r="G233" s="39" t="s">
        <v>1245</v>
      </c>
      <c r="H233" s="223" t="s">
        <v>1128</v>
      </c>
    </row>
    <row r="234" customFormat="false" ht="18.75" hidden="false" customHeight="true" outlineLevel="0" collapsed="false">
      <c r="A234" s="39" t="str">
        <f aca="false">B234&amp;"-"&amp;C234</f>
        <v>VIII - Distribución/comercialización vehículos-4</v>
      </c>
      <c r="B234" s="221" t="s">
        <v>944</v>
      </c>
      <c r="C234" s="222" t="n">
        <v>4</v>
      </c>
      <c r="D234" s="39" t="s">
        <v>85</v>
      </c>
      <c r="E234" s="39" t="s">
        <v>1484</v>
      </c>
      <c r="F234" s="39" t="s">
        <v>1133</v>
      </c>
      <c r="G234" s="39" t="s">
        <v>1134</v>
      </c>
      <c r="H234" s="223" t="s">
        <v>1128</v>
      </c>
    </row>
    <row r="235" customFormat="false" ht="18.75" hidden="false" customHeight="true" outlineLevel="0" collapsed="false">
      <c r="A235" s="39" t="str">
        <f aca="false">B235&amp;"-"&amp;C235</f>
        <v>VIII - Distribución/comercialización vehículos-5</v>
      </c>
      <c r="B235" s="221" t="s">
        <v>944</v>
      </c>
      <c r="C235" s="222" t="n">
        <v>5</v>
      </c>
      <c r="D235" s="39" t="s">
        <v>88</v>
      </c>
      <c r="E235" s="39" t="s">
        <v>1247</v>
      </c>
      <c r="F235" s="39" t="s">
        <v>1136</v>
      </c>
      <c r="G235" s="39" t="s">
        <v>1137</v>
      </c>
      <c r="H235" s="223" t="s">
        <v>1138</v>
      </c>
    </row>
    <row r="236" customFormat="false" ht="18.75" hidden="false" customHeight="true" outlineLevel="0" collapsed="false">
      <c r="A236" s="39" t="str">
        <f aca="false">B236&amp;"-"&amp;C236</f>
        <v>VIII - Distribución/comercialización vehículos-6</v>
      </c>
      <c r="B236" s="221" t="s">
        <v>944</v>
      </c>
      <c r="C236" s="222" t="n">
        <v>6</v>
      </c>
      <c r="D236" s="39" t="s">
        <v>91</v>
      </c>
      <c r="E236" s="39" t="s">
        <v>1485</v>
      </c>
      <c r="F236" s="39" t="s">
        <v>1486</v>
      </c>
      <c r="G236" s="39" t="s">
        <v>1487</v>
      </c>
      <c r="H236" s="223" t="s">
        <v>1138</v>
      </c>
    </row>
    <row r="237" customFormat="false" ht="18.75" hidden="false" customHeight="true" outlineLevel="0" collapsed="false">
      <c r="A237" s="39" t="str">
        <f aca="false">B237&amp;"-"&amp;C237</f>
        <v>VIII - Distribución/comercialización vehículos-7</v>
      </c>
      <c r="B237" s="221" t="s">
        <v>944</v>
      </c>
      <c r="C237" s="222" t="n">
        <v>7</v>
      </c>
      <c r="D237" s="39" t="s">
        <v>94</v>
      </c>
      <c r="E237" s="39" t="s">
        <v>1142</v>
      </c>
      <c r="F237" s="39" t="s">
        <v>1143</v>
      </c>
      <c r="G237" s="39" t="s">
        <v>1144</v>
      </c>
      <c r="H237" s="223" t="s">
        <v>1138</v>
      </c>
    </row>
    <row r="238" customFormat="false" ht="18.75" hidden="false" customHeight="true" outlineLevel="0" collapsed="false">
      <c r="A238" s="39" t="str">
        <f aca="false">B238&amp;"-"&amp;C238</f>
        <v>VIII - Distribución/comercialización vehículos-8</v>
      </c>
      <c r="B238" s="221" t="s">
        <v>944</v>
      </c>
      <c r="C238" s="222" t="n">
        <v>8</v>
      </c>
      <c r="D238" s="39" t="s">
        <v>96</v>
      </c>
      <c r="E238" s="39" t="s">
        <v>1251</v>
      </c>
      <c r="F238" s="39" t="s">
        <v>1146</v>
      </c>
      <c r="G238" s="39" t="s">
        <v>1147</v>
      </c>
      <c r="H238" s="223" t="s">
        <v>1138</v>
      </c>
    </row>
    <row r="239" customFormat="false" ht="18.75" hidden="false" customHeight="true" outlineLevel="0" collapsed="false">
      <c r="A239" s="39" t="str">
        <f aca="false">B239&amp;"-"&amp;C239</f>
        <v>VIII - Distribución/comercialización vehículos-9</v>
      </c>
      <c r="B239" s="221" t="s">
        <v>944</v>
      </c>
      <c r="C239" s="222" t="n">
        <v>9</v>
      </c>
      <c r="D239" s="39" t="s">
        <v>98</v>
      </c>
      <c r="E239" s="39" t="s">
        <v>1148</v>
      </c>
      <c r="F239" s="39" t="s">
        <v>1149</v>
      </c>
      <c r="G239" s="39" t="s">
        <v>1150</v>
      </c>
      <c r="H239" s="223" t="s">
        <v>1138</v>
      </c>
    </row>
    <row r="240" customFormat="false" ht="18.75" hidden="false" customHeight="true" outlineLevel="0" collapsed="false">
      <c r="A240" s="39" t="str">
        <f aca="false">B240&amp;"-"&amp;C240</f>
        <v>VIII - Distribución/comercialización vehículos-10</v>
      </c>
      <c r="B240" s="221" t="s">
        <v>944</v>
      </c>
      <c r="C240" s="222" t="n">
        <v>10</v>
      </c>
      <c r="D240" s="39" t="s">
        <v>100</v>
      </c>
      <c r="E240" s="39" t="s">
        <v>1151</v>
      </c>
      <c r="F240" s="39" t="s">
        <v>1152</v>
      </c>
      <c r="G240" s="39" t="s">
        <v>1153</v>
      </c>
      <c r="H240" s="223" t="s">
        <v>1138</v>
      </c>
    </row>
    <row r="241" customFormat="false" ht="18.75" hidden="false" customHeight="true" outlineLevel="0" collapsed="false">
      <c r="A241" s="39" t="str">
        <f aca="false">B241&amp;"-"&amp;C241</f>
        <v>VIII - Distribución/comercialización vehículos-11</v>
      </c>
      <c r="B241" s="221" t="s">
        <v>944</v>
      </c>
      <c r="C241" s="222" t="n">
        <v>11</v>
      </c>
      <c r="D241" s="39" t="s">
        <v>102</v>
      </c>
      <c r="E241" s="39" t="s">
        <v>1154</v>
      </c>
      <c r="F241" s="39" t="s">
        <v>1155</v>
      </c>
      <c r="G241" s="39" t="s">
        <v>1156</v>
      </c>
      <c r="H241" s="223" t="s">
        <v>1138</v>
      </c>
    </row>
    <row r="242" customFormat="false" ht="18.75" hidden="false" customHeight="true" outlineLevel="0" collapsed="false">
      <c r="A242" s="39" t="str">
        <f aca="false">B242&amp;"-"&amp;C242</f>
        <v>VIII - Distribución/comercialización vehículos-12</v>
      </c>
      <c r="B242" s="221" t="s">
        <v>944</v>
      </c>
      <c r="C242" s="222" t="n">
        <v>12</v>
      </c>
      <c r="D242" s="39" t="s">
        <v>105</v>
      </c>
      <c r="E242" s="39" t="s">
        <v>1157</v>
      </c>
      <c r="F242" s="39" t="s">
        <v>1158</v>
      </c>
      <c r="G242" s="39" t="s">
        <v>1159</v>
      </c>
      <c r="H242" s="223" t="s">
        <v>1138</v>
      </c>
    </row>
    <row r="243" customFormat="false" ht="18.75" hidden="false" customHeight="true" outlineLevel="0" collapsed="false">
      <c r="A243" s="39" t="str">
        <f aca="false">B243&amp;"-"&amp;C243</f>
        <v>VIII - Distribución/comercialización vehículos-13</v>
      </c>
      <c r="B243" s="221" t="s">
        <v>944</v>
      </c>
      <c r="C243" s="222" t="n">
        <v>13</v>
      </c>
      <c r="D243" s="39" t="s">
        <v>107</v>
      </c>
      <c r="E243" s="39" t="s">
        <v>1252</v>
      </c>
      <c r="F243" s="39" t="s">
        <v>1161</v>
      </c>
      <c r="G243" s="39" t="s">
        <v>1253</v>
      </c>
      <c r="H243" s="223" t="s">
        <v>1124</v>
      </c>
    </row>
    <row r="244" customFormat="false" ht="18.75" hidden="false" customHeight="true" outlineLevel="0" collapsed="false">
      <c r="A244" s="39" t="str">
        <f aca="false">B244&amp;"-"&amp;C244</f>
        <v>VIII - Distribución/comercialización vehículos-14</v>
      </c>
      <c r="B244" s="221" t="s">
        <v>944</v>
      </c>
      <c r="C244" s="222" t="n">
        <v>14</v>
      </c>
      <c r="D244" s="39" t="s">
        <v>109</v>
      </c>
      <c r="E244" s="39" t="s">
        <v>1488</v>
      </c>
      <c r="F244" s="39" t="s">
        <v>1489</v>
      </c>
      <c r="G244" s="39" t="s">
        <v>1490</v>
      </c>
      <c r="H244" s="223" t="s">
        <v>1138</v>
      </c>
    </row>
    <row r="245" customFormat="false" ht="18.75" hidden="false" customHeight="true" outlineLevel="0" collapsed="false">
      <c r="A245" s="39" t="str">
        <f aca="false">B245&amp;"-"&amp;C245</f>
        <v>VIII - Distribución/comercialización vehículos-15</v>
      </c>
      <c r="B245" s="221" t="s">
        <v>944</v>
      </c>
      <c r="C245" s="222" t="n">
        <v>15</v>
      </c>
      <c r="D245" s="39" t="s">
        <v>112</v>
      </c>
      <c r="E245" s="39" t="s">
        <v>1491</v>
      </c>
      <c r="F245" s="39" t="s">
        <v>1492</v>
      </c>
      <c r="G245" s="39" t="s">
        <v>1493</v>
      </c>
      <c r="H245" s="223" t="s">
        <v>1138</v>
      </c>
    </row>
    <row r="246" customFormat="false" ht="18.75" hidden="false" customHeight="true" outlineLevel="0" collapsed="false">
      <c r="A246" s="39" t="str">
        <f aca="false">B246&amp;"-"&amp;C246</f>
        <v>VIII - Distribución/comercialización vehículos-16</v>
      </c>
      <c r="B246" s="221" t="s">
        <v>944</v>
      </c>
      <c r="C246" s="222" t="n">
        <v>16</v>
      </c>
      <c r="D246" s="39" t="s">
        <v>114</v>
      </c>
      <c r="E246" s="39" t="s">
        <v>1169</v>
      </c>
      <c r="F246" s="39" t="s">
        <v>1170</v>
      </c>
      <c r="G246" s="39" t="s">
        <v>1171</v>
      </c>
      <c r="H246" s="223" t="s">
        <v>1138</v>
      </c>
    </row>
    <row r="247" customFormat="false" ht="18.75" hidden="false" customHeight="true" outlineLevel="0" collapsed="false">
      <c r="A247" s="39" t="str">
        <f aca="false">B247&amp;"-"&amp;C247</f>
        <v>VIII - Distribución/comercialización vehículos-17</v>
      </c>
      <c r="B247" s="221" t="s">
        <v>944</v>
      </c>
      <c r="C247" s="222" t="n">
        <v>17</v>
      </c>
      <c r="D247" s="39" t="s">
        <v>116</v>
      </c>
      <c r="E247" s="39" t="s">
        <v>1494</v>
      </c>
      <c r="F247" s="39" t="s">
        <v>1173</v>
      </c>
      <c r="G247" s="39" t="s">
        <v>1495</v>
      </c>
      <c r="H247" s="223" t="s">
        <v>1124</v>
      </c>
    </row>
    <row r="248" customFormat="false" ht="18.75" hidden="false" customHeight="true" outlineLevel="0" collapsed="false">
      <c r="A248" s="39" t="str">
        <f aca="false">B248&amp;"-"&amp;C248</f>
        <v>VIII - Distribución/comercialización vehículos-18</v>
      </c>
      <c r="B248" s="221" t="s">
        <v>944</v>
      </c>
      <c r="C248" s="222" t="n">
        <v>18</v>
      </c>
      <c r="D248" s="39" t="s">
        <v>119</v>
      </c>
      <c r="E248" s="39" t="s">
        <v>1175</v>
      </c>
      <c r="F248" s="39" t="s">
        <v>1176</v>
      </c>
      <c r="G248" s="39" t="s">
        <v>1262</v>
      </c>
      <c r="H248" s="223" t="s">
        <v>1138</v>
      </c>
    </row>
    <row r="249" customFormat="false" ht="18.75" hidden="false" customHeight="true" outlineLevel="0" collapsed="false">
      <c r="A249" s="39" t="str">
        <f aca="false">B249&amp;"-"&amp;C249</f>
        <v>VIII - Distribución/comercialización vehículos-19</v>
      </c>
      <c r="B249" s="221" t="s">
        <v>944</v>
      </c>
      <c r="C249" s="222" t="n">
        <v>19</v>
      </c>
      <c r="D249" s="39" t="s">
        <v>122</v>
      </c>
      <c r="E249" s="39" t="s">
        <v>1178</v>
      </c>
      <c r="F249" s="39" t="s">
        <v>1179</v>
      </c>
      <c r="G249" s="39" t="s">
        <v>1180</v>
      </c>
      <c r="H249" s="223" t="s">
        <v>1138</v>
      </c>
    </row>
    <row r="250" customFormat="false" ht="18.75" hidden="false" customHeight="true" outlineLevel="0" collapsed="false">
      <c r="A250" s="39" t="str">
        <f aca="false">B250&amp;"-"&amp;C250</f>
        <v>VIII - Distribución/comercialización vehículos-20</v>
      </c>
      <c r="B250" s="221" t="s">
        <v>944</v>
      </c>
      <c r="C250" s="222" t="n">
        <v>20</v>
      </c>
      <c r="D250" s="39" t="s">
        <v>124</v>
      </c>
      <c r="E250" s="39" t="s">
        <v>1496</v>
      </c>
      <c r="F250" s="39" t="s">
        <v>1497</v>
      </c>
      <c r="G250" s="39" t="s">
        <v>1498</v>
      </c>
      <c r="H250" s="223" t="s">
        <v>1124</v>
      </c>
    </row>
    <row r="251" customFormat="false" ht="18.75" hidden="false" customHeight="true" outlineLevel="0" collapsed="false">
      <c r="A251" s="39" t="str">
        <f aca="false">B251&amp;"-"&amp;C251</f>
        <v>VIII - Distribución/comercialización vehículos-21</v>
      </c>
      <c r="B251" s="221" t="s">
        <v>944</v>
      </c>
      <c r="C251" s="222" t="n">
        <v>21</v>
      </c>
      <c r="D251" s="39" t="s">
        <v>126</v>
      </c>
      <c r="E251" s="39" t="s">
        <v>1266</v>
      </c>
      <c r="F251" s="39" t="s">
        <v>1267</v>
      </c>
      <c r="G251" s="39" t="s">
        <v>1268</v>
      </c>
      <c r="H251" s="223" t="s">
        <v>1124</v>
      </c>
    </row>
    <row r="252" customFormat="false" ht="18.75" hidden="false" customHeight="true" outlineLevel="0" collapsed="false">
      <c r="A252" s="39" t="str">
        <f aca="false">B252&amp;"-"&amp;C252</f>
        <v>VIII - Distribución/comercialización vehículos-22</v>
      </c>
      <c r="B252" s="221" t="s">
        <v>944</v>
      </c>
      <c r="C252" s="222" t="n">
        <v>22</v>
      </c>
      <c r="D252" s="39" t="s">
        <v>128</v>
      </c>
      <c r="E252" s="39" t="s">
        <v>1269</v>
      </c>
      <c r="F252" s="39" t="s">
        <v>1270</v>
      </c>
      <c r="G252" s="39" t="s">
        <v>1271</v>
      </c>
      <c r="H252" s="223" t="s">
        <v>1138</v>
      </c>
    </row>
    <row r="253" customFormat="false" ht="18.75" hidden="false" customHeight="true" outlineLevel="0" collapsed="false">
      <c r="A253" s="39" t="str">
        <f aca="false">B253&amp;"-"&amp;C253</f>
        <v>VIII - Distribución/comercialización vehículos-23</v>
      </c>
      <c r="B253" s="221" t="s">
        <v>944</v>
      </c>
      <c r="C253" s="222" t="n">
        <v>23</v>
      </c>
      <c r="D253" s="39" t="s">
        <v>131</v>
      </c>
      <c r="E253" s="39" t="s">
        <v>1190</v>
      </c>
      <c r="F253" s="39" t="s">
        <v>1191</v>
      </c>
      <c r="G253" s="39" t="s">
        <v>1192</v>
      </c>
      <c r="H253" s="223" t="s">
        <v>1128</v>
      </c>
    </row>
    <row r="254" customFormat="false" ht="18.75" hidden="false" customHeight="true" outlineLevel="0" collapsed="false">
      <c r="A254" s="39" t="str">
        <f aca="false">B254&amp;"-"&amp;C254</f>
        <v>VIII - Distribución/comercialización vehículos-24</v>
      </c>
      <c r="B254" s="221" t="s">
        <v>944</v>
      </c>
      <c r="C254" s="222" t="n">
        <v>24</v>
      </c>
      <c r="D254" s="39" t="s">
        <v>133</v>
      </c>
      <c r="E254" s="39" t="s">
        <v>1499</v>
      </c>
      <c r="F254" s="39" t="s">
        <v>1194</v>
      </c>
      <c r="G254" s="39" t="s">
        <v>1500</v>
      </c>
      <c r="H254" s="223" t="s">
        <v>1128</v>
      </c>
    </row>
    <row r="255" customFormat="false" ht="18.75" hidden="false" customHeight="true" outlineLevel="0" collapsed="false">
      <c r="A255" s="39" t="str">
        <f aca="false">B255&amp;"-"&amp;C255</f>
        <v>VIII - Distribución/comercialización vehículos-25</v>
      </c>
      <c r="B255" s="221" t="s">
        <v>944</v>
      </c>
      <c r="C255" s="222" t="n">
        <v>25</v>
      </c>
      <c r="D255" s="39" t="s">
        <v>135</v>
      </c>
      <c r="E255" s="39" t="s">
        <v>1501</v>
      </c>
      <c r="F255" s="39" t="s">
        <v>1197</v>
      </c>
      <c r="G255" s="39" t="s">
        <v>1198</v>
      </c>
      <c r="H255" s="223" t="s">
        <v>1128</v>
      </c>
    </row>
    <row r="256" customFormat="false" ht="18.75" hidden="false" customHeight="true" outlineLevel="0" collapsed="false">
      <c r="A256" s="39" t="str">
        <f aca="false">B256&amp;"-"&amp;C256</f>
        <v>IX - Servicios de blindaje-1</v>
      </c>
      <c r="B256" s="221" t="s">
        <v>952</v>
      </c>
      <c r="C256" s="222" t="n">
        <v>1</v>
      </c>
      <c r="D256" s="39" t="s">
        <v>77</v>
      </c>
      <c r="E256" s="39" t="s">
        <v>1502</v>
      </c>
      <c r="F256" s="39" t="s">
        <v>1503</v>
      </c>
      <c r="G256" s="39" t="s">
        <v>1504</v>
      </c>
      <c r="H256" s="223" t="s">
        <v>1124</v>
      </c>
    </row>
    <row r="257" customFormat="false" ht="18.75" hidden="false" customHeight="true" outlineLevel="0" collapsed="false">
      <c r="A257" s="39" t="str">
        <f aca="false">B257&amp;"-"&amp;C257</f>
        <v>IX - Servicios de blindaje-2</v>
      </c>
      <c r="B257" s="221" t="s">
        <v>952</v>
      </c>
      <c r="C257" s="222" t="n">
        <v>2</v>
      </c>
      <c r="D257" s="39" t="s">
        <v>81</v>
      </c>
      <c r="E257" s="39" t="s">
        <v>1505</v>
      </c>
      <c r="F257" s="39" t="s">
        <v>1506</v>
      </c>
      <c r="G257" s="39" t="s">
        <v>1507</v>
      </c>
      <c r="H257" s="223" t="s">
        <v>1128</v>
      </c>
    </row>
    <row r="258" customFormat="false" ht="18.75" hidden="false" customHeight="true" outlineLevel="0" collapsed="false">
      <c r="A258" s="39" t="str">
        <f aca="false">B258&amp;"-"&amp;C258</f>
        <v>IX - Servicios de blindaje-3</v>
      </c>
      <c r="B258" s="221" t="s">
        <v>952</v>
      </c>
      <c r="C258" s="222" t="n">
        <v>3</v>
      </c>
      <c r="D258" s="39" t="s">
        <v>83</v>
      </c>
      <c r="E258" s="39" t="s">
        <v>1508</v>
      </c>
      <c r="F258" s="39" t="s">
        <v>1509</v>
      </c>
      <c r="G258" s="39" t="s">
        <v>1510</v>
      </c>
      <c r="H258" s="223" t="s">
        <v>1128</v>
      </c>
    </row>
    <row r="259" customFormat="false" ht="18.75" hidden="false" customHeight="true" outlineLevel="0" collapsed="false">
      <c r="A259" s="39" t="str">
        <f aca="false">B259&amp;"-"&amp;C259</f>
        <v>IX - Servicios de blindaje-4</v>
      </c>
      <c r="B259" s="221" t="s">
        <v>952</v>
      </c>
      <c r="C259" s="222" t="n">
        <v>4</v>
      </c>
      <c r="D259" s="39" t="s">
        <v>85</v>
      </c>
      <c r="E259" s="39" t="s">
        <v>1511</v>
      </c>
      <c r="F259" s="39" t="s">
        <v>1133</v>
      </c>
      <c r="G259" s="39" t="s">
        <v>1134</v>
      </c>
      <c r="H259" s="223" t="s">
        <v>1128</v>
      </c>
    </row>
    <row r="260" customFormat="false" ht="18.75" hidden="false" customHeight="true" outlineLevel="0" collapsed="false">
      <c r="A260" s="39" t="str">
        <f aca="false">B260&amp;"-"&amp;C260</f>
        <v>IX - Servicios de blindaje-5</v>
      </c>
      <c r="B260" s="221" t="s">
        <v>952</v>
      </c>
      <c r="C260" s="222" t="n">
        <v>5</v>
      </c>
      <c r="D260" s="39" t="s">
        <v>88</v>
      </c>
      <c r="E260" s="39" t="s">
        <v>1512</v>
      </c>
      <c r="F260" s="39" t="s">
        <v>1136</v>
      </c>
      <c r="G260" s="39" t="s">
        <v>1137</v>
      </c>
      <c r="H260" s="223" t="s">
        <v>1138</v>
      </c>
    </row>
    <row r="261" customFormat="false" ht="18.75" hidden="false" customHeight="true" outlineLevel="0" collapsed="false">
      <c r="A261" s="39" t="str">
        <f aca="false">B261&amp;"-"&amp;C261</f>
        <v>IX - Servicios de blindaje-6</v>
      </c>
      <c r="B261" s="221" t="s">
        <v>952</v>
      </c>
      <c r="C261" s="222" t="n">
        <v>6</v>
      </c>
      <c r="D261" s="39" t="s">
        <v>91</v>
      </c>
      <c r="E261" s="39" t="s">
        <v>1513</v>
      </c>
      <c r="F261" s="39" t="s">
        <v>1514</v>
      </c>
      <c r="G261" s="39" t="s">
        <v>1515</v>
      </c>
      <c r="H261" s="223" t="s">
        <v>1138</v>
      </c>
    </row>
    <row r="262" customFormat="false" ht="18.75" hidden="false" customHeight="true" outlineLevel="0" collapsed="false">
      <c r="A262" s="39" t="str">
        <f aca="false">B262&amp;"-"&amp;C262</f>
        <v>IX - Servicios de blindaje-7</v>
      </c>
      <c r="B262" s="221" t="s">
        <v>952</v>
      </c>
      <c r="C262" s="222" t="n">
        <v>7</v>
      </c>
      <c r="D262" s="39" t="s">
        <v>94</v>
      </c>
      <c r="E262" s="39" t="s">
        <v>1142</v>
      </c>
      <c r="F262" s="39" t="s">
        <v>1143</v>
      </c>
      <c r="G262" s="39" t="s">
        <v>1144</v>
      </c>
      <c r="H262" s="223" t="s">
        <v>1138</v>
      </c>
    </row>
    <row r="263" customFormat="false" ht="18.75" hidden="false" customHeight="true" outlineLevel="0" collapsed="false">
      <c r="A263" s="39" t="str">
        <f aca="false">B263&amp;"-"&amp;C263</f>
        <v>IX - Servicios de blindaje-8</v>
      </c>
      <c r="B263" s="221" t="s">
        <v>952</v>
      </c>
      <c r="C263" s="222" t="n">
        <v>8</v>
      </c>
      <c r="D263" s="39" t="s">
        <v>96</v>
      </c>
      <c r="E263" s="39" t="s">
        <v>1516</v>
      </c>
      <c r="F263" s="39" t="s">
        <v>1146</v>
      </c>
      <c r="G263" s="39" t="s">
        <v>1147</v>
      </c>
      <c r="H263" s="223" t="s">
        <v>1138</v>
      </c>
    </row>
    <row r="264" customFormat="false" ht="18.75" hidden="false" customHeight="true" outlineLevel="0" collapsed="false">
      <c r="A264" s="39" t="str">
        <f aca="false">B264&amp;"-"&amp;C264</f>
        <v>IX - Servicios de blindaje-9</v>
      </c>
      <c r="B264" s="221" t="s">
        <v>952</v>
      </c>
      <c r="C264" s="222" t="n">
        <v>9</v>
      </c>
      <c r="D264" s="39" t="s">
        <v>98</v>
      </c>
      <c r="E264" s="39" t="s">
        <v>1148</v>
      </c>
      <c r="F264" s="39" t="s">
        <v>1149</v>
      </c>
      <c r="G264" s="39" t="s">
        <v>1150</v>
      </c>
      <c r="H264" s="223" t="s">
        <v>1138</v>
      </c>
    </row>
    <row r="265" customFormat="false" ht="18.75" hidden="false" customHeight="true" outlineLevel="0" collapsed="false">
      <c r="A265" s="39" t="str">
        <f aca="false">B265&amp;"-"&amp;C265</f>
        <v>IX - Servicios de blindaje-10</v>
      </c>
      <c r="B265" s="221" t="s">
        <v>952</v>
      </c>
      <c r="C265" s="222" t="n">
        <v>10</v>
      </c>
      <c r="D265" s="39" t="s">
        <v>100</v>
      </c>
      <c r="E265" s="39" t="s">
        <v>1151</v>
      </c>
      <c r="F265" s="39" t="s">
        <v>1152</v>
      </c>
      <c r="G265" s="39" t="s">
        <v>1153</v>
      </c>
      <c r="H265" s="223" t="s">
        <v>1138</v>
      </c>
    </row>
    <row r="266" customFormat="false" ht="18.75" hidden="false" customHeight="true" outlineLevel="0" collapsed="false">
      <c r="A266" s="39" t="str">
        <f aca="false">B266&amp;"-"&amp;C266</f>
        <v>IX - Servicios de blindaje-11</v>
      </c>
      <c r="B266" s="221" t="s">
        <v>952</v>
      </c>
      <c r="C266" s="222" t="n">
        <v>11</v>
      </c>
      <c r="D266" s="39" t="s">
        <v>102</v>
      </c>
      <c r="E266" s="39" t="s">
        <v>1154</v>
      </c>
      <c r="F266" s="39" t="s">
        <v>1155</v>
      </c>
      <c r="G266" s="39" t="s">
        <v>1156</v>
      </c>
      <c r="H266" s="223" t="s">
        <v>1138</v>
      </c>
    </row>
    <row r="267" customFormat="false" ht="18.75" hidden="false" customHeight="true" outlineLevel="0" collapsed="false">
      <c r="A267" s="39" t="str">
        <f aca="false">B267&amp;"-"&amp;C267</f>
        <v>IX - Servicios de blindaje-12</v>
      </c>
      <c r="B267" s="221" t="s">
        <v>952</v>
      </c>
      <c r="C267" s="222" t="n">
        <v>12</v>
      </c>
      <c r="D267" s="39" t="s">
        <v>105</v>
      </c>
      <c r="E267" s="39" t="s">
        <v>1157</v>
      </c>
      <c r="F267" s="39" t="s">
        <v>1158</v>
      </c>
      <c r="G267" s="39" t="s">
        <v>1159</v>
      </c>
      <c r="H267" s="223" t="s">
        <v>1138</v>
      </c>
    </row>
    <row r="268" customFormat="false" ht="18.75" hidden="false" customHeight="true" outlineLevel="0" collapsed="false">
      <c r="A268" s="39" t="str">
        <f aca="false">B268&amp;"-"&amp;C268</f>
        <v>IX - Servicios de blindaje-13</v>
      </c>
      <c r="B268" s="221" t="s">
        <v>952</v>
      </c>
      <c r="C268" s="222" t="n">
        <v>13</v>
      </c>
      <c r="D268" s="39" t="s">
        <v>107</v>
      </c>
      <c r="E268" s="39" t="s">
        <v>1517</v>
      </c>
      <c r="F268" s="39" t="s">
        <v>1161</v>
      </c>
      <c r="G268" s="39" t="s">
        <v>1518</v>
      </c>
      <c r="H268" s="223" t="s">
        <v>1124</v>
      </c>
    </row>
    <row r="269" customFormat="false" ht="18.75" hidden="false" customHeight="true" outlineLevel="0" collapsed="false">
      <c r="A269" s="39" t="str">
        <f aca="false">B269&amp;"-"&amp;C269</f>
        <v>IX - Servicios de blindaje-14</v>
      </c>
      <c r="B269" s="221" t="s">
        <v>952</v>
      </c>
      <c r="C269" s="222" t="n">
        <v>14</v>
      </c>
      <c r="D269" s="39" t="s">
        <v>109</v>
      </c>
      <c r="E269" s="39" t="s">
        <v>1519</v>
      </c>
      <c r="F269" s="39" t="s">
        <v>1520</v>
      </c>
      <c r="G269" s="39" t="s">
        <v>1521</v>
      </c>
      <c r="H269" s="223" t="s">
        <v>1138</v>
      </c>
    </row>
    <row r="270" customFormat="false" ht="18.75" hidden="false" customHeight="true" outlineLevel="0" collapsed="false">
      <c r="A270" s="39" t="str">
        <f aca="false">B270&amp;"-"&amp;C270</f>
        <v>IX - Servicios de blindaje-15</v>
      </c>
      <c r="B270" s="221" t="s">
        <v>952</v>
      </c>
      <c r="C270" s="222" t="n">
        <v>15</v>
      </c>
      <c r="D270" s="39" t="s">
        <v>112</v>
      </c>
      <c r="E270" s="39" t="s">
        <v>1522</v>
      </c>
      <c r="F270" s="39" t="s">
        <v>1523</v>
      </c>
      <c r="G270" s="39" t="s">
        <v>1524</v>
      </c>
      <c r="H270" s="223" t="s">
        <v>1138</v>
      </c>
    </row>
    <row r="271" customFormat="false" ht="18.75" hidden="false" customHeight="true" outlineLevel="0" collapsed="false">
      <c r="A271" s="39" t="str">
        <f aca="false">B271&amp;"-"&amp;C271</f>
        <v>IX - Servicios de blindaje-16</v>
      </c>
      <c r="B271" s="221" t="s">
        <v>952</v>
      </c>
      <c r="C271" s="222" t="n">
        <v>16</v>
      </c>
      <c r="D271" s="39" t="s">
        <v>114</v>
      </c>
      <c r="E271" s="39" t="s">
        <v>1169</v>
      </c>
      <c r="F271" s="39" t="s">
        <v>1170</v>
      </c>
      <c r="G271" s="39" t="s">
        <v>1171</v>
      </c>
      <c r="H271" s="223" t="s">
        <v>1138</v>
      </c>
    </row>
    <row r="272" customFormat="false" ht="18.75" hidden="false" customHeight="true" outlineLevel="0" collapsed="false">
      <c r="A272" s="39" t="str">
        <f aca="false">B272&amp;"-"&amp;C272</f>
        <v>IX - Servicios de blindaje-17</v>
      </c>
      <c r="B272" s="221" t="s">
        <v>952</v>
      </c>
      <c r="C272" s="222" t="n">
        <v>17</v>
      </c>
      <c r="D272" s="39" t="s">
        <v>116</v>
      </c>
      <c r="E272" s="39" t="s">
        <v>1525</v>
      </c>
      <c r="F272" s="39" t="s">
        <v>1173</v>
      </c>
      <c r="G272" s="39" t="s">
        <v>1526</v>
      </c>
      <c r="H272" s="223" t="s">
        <v>1124</v>
      </c>
    </row>
    <row r="273" customFormat="false" ht="18.75" hidden="false" customHeight="true" outlineLevel="0" collapsed="false">
      <c r="A273" s="39" t="str">
        <f aca="false">B273&amp;"-"&amp;C273</f>
        <v>IX - Servicios de blindaje-18</v>
      </c>
      <c r="B273" s="221" t="s">
        <v>952</v>
      </c>
      <c r="C273" s="222" t="n">
        <v>18</v>
      </c>
      <c r="D273" s="39" t="s">
        <v>119</v>
      </c>
      <c r="E273" s="39" t="s">
        <v>1175</v>
      </c>
      <c r="F273" s="39" t="s">
        <v>1176</v>
      </c>
      <c r="G273" s="39" t="s">
        <v>1527</v>
      </c>
      <c r="H273" s="223" t="s">
        <v>1138</v>
      </c>
    </row>
    <row r="274" customFormat="false" ht="18.75" hidden="false" customHeight="true" outlineLevel="0" collapsed="false">
      <c r="A274" s="39" t="str">
        <f aca="false">B274&amp;"-"&amp;C274</f>
        <v>IX - Servicios de blindaje-19</v>
      </c>
      <c r="B274" s="221" t="s">
        <v>952</v>
      </c>
      <c r="C274" s="222" t="n">
        <v>19</v>
      </c>
      <c r="D274" s="39" t="s">
        <v>122</v>
      </c>
      <c r="E274" s="39" t="s">
        <v>1178</v>
      </c>
      <c r="F274" s="39" t="s">
        <v>1179</v>
      </c>
      <c r="G274" s="39" t="s">
        <v>1180</v>
      </c>
      <c r="H274" s="223" t="s">
        <v>1138</v>
      </c>
    </row>
    <row r="275" customFormat="false" ht="18.75" hidden="false" customHeight="true" outlineLevel="0" collapsed="false">
      <c r="A275" s="39" t="str">
        <f aca="false">B275&amp;"-"&amp;C275</f>
        <v>IX - Servicios de blindaje-20</v>
      </c>
      <c r="B275" s="221" t="s">
        <v>952</v>
      </c>
      <c r="C275" s="222" t="n">
        <v>20</v>
      </c>
      <c r="D275" s="39" t="s">
        <v>124</v>
      </c>
      <c r="E275" s="39" t="s">
        <v>1528</v>
      </c>
      <c r="F275" s="39" t="s">
        <v>1529</v>
      </c>
      <c r="G275" s="39" t="s">
        <v>1530</v>
      </c>
      <c r="H275" s="223" t="s">
        <v>1124</v>
      </c>
    </row>
    <row r="276" customFormat="false" ht="18.75" hidden="false" customHeight="true" outlineLevel="0" collapsed="false">
      <c r="A276" s="39" t="str">
        <f aca="false">B276&amp;"-"&amp;C276</f>
        <v>IX - Servicios de blindaje-21</v>
      </c>
      <c r="B276" s="221" t="s">
        <v>952</v>
      </c>
      <c r="C276" s="222" t="n">
        <v>21</v>
      </c>
      <c r="D276" s="39" t="s">
        <v>126</v>
      </c>
      <c r="E276" s="39" t="s">
        <v>1531</v>
      </c>
      <c r="F276" s="39" t="s">
        <v>1532</v>
      </c>
      <c r="G276" s="39" t="s">
        <v>1533</v>
      </c>
      <c r="H276" s="223" t="s">
        <v>1124</v>
      </c>
    </row>
    <row r="277" customFormat="false" ht="18.75" hidden="false" customHeight="true" outlineLevel="0" collapsed="false">
      <c r="A277" s="39" t="str">
        <f aca="false">B277&amp;"-"&amp;C277</f>
        <v>IX - Servicios de blindaje-22</v>
      </c>
      <c r="B277" s="221" t="s">
        <v>952</v>
      </c>
      <c r="C277" s="222" t="n">
        <v>22</v>
      </c>
      <c r="D277" s="39" t="s">
        <v>128</v>
      </c>
      <c r="E277" s="39" t="s">
        <v>1534</v>
      </c>
      <c r="F277" s="39" t="s">
        <v>1535</v>
      </c>
      <c r="G277" s="39" t="s">
        <v>1536</v>
      </c>
      <c r="H277" s="223" t="s">
        <v>1138</v>
      </c>
    </row>
    <row r="278" customFormat="false" ht="18.75" hidden="false" customHeight="true" outlineLevel="0" collapsed="false">
      <c r="A278" s="39" t="str">
        <f aca="false">B278&amp;"-"&amp;C278</f>
        <v>IX - Servicios de blindaje-23</v>
      </c>
      <c r="B278" s="221" t="s">
        <v>952</v>
      </c>
      <c r="C278" s="222" t="n">
        <v>23</v>
      </c>
      <c r="D278" s="39" t="s">
        <v>131</v>
      </c>
      <c r="E278" s="39" t="s">
        <v>1190</v>
      </c>
      <c r="F278" s="39" t="s">
        <v>1191</v>
      </c>
      <c r="G278" s="39" t="s">
        <v>1192</v>
      </c>
      <c r="H278" s="223" t="s">
        <v>1128</v>
      </c>
    </row>
    <row r="279" customFormat="false" ht="18.75" hidden="false" customHeight="true" outlineLevel="0" collapsed="false">
      <c r="A279" s="39" t="str">
        <f aca="false">B279&amp;"-"&amp;C279</f>
        <v>IX - Servicios de blindaje-24</v>
      </c>
      <c r="B279" s="221" t="s">
        <v>952</v>
      </c>
      <c r="C279" s="222" t="n">
        <v>24</v>
      </c>
      <c r="D279" s="39" t="s">
        <v>133</v>
      </c>
      <c r="E279" s="39" t="s">
        <v>1537</v>
      </c>
      <c r="F279" s="39" t="s">
        <v>1194</v>
      </c>
      <c r="G279" s="39" t="s">
        <v>1538</v>
      </c>
      <c r="H279" s="223" t="s">
        <v>1128</v>
      </c>
    </row>
    <row r="280" customFormat="false" ht="18.75" hidden="false" customHeight="true" outlineLevel="0" collapsed="false">
      <c r="A280" s="39" t="str">
        <f aca="false">B280&amp;"-"&amp;C280</f>
        <v>IX - Servicios de blindaje-25</v>
      </c>
      <c r="B280" s="221" t="s">
        <v>952</v>
      </c>
      <c r="C280" s="222" t="n">
        <v>25</v>
      </c>
      <c r="D280" s="39" t="s">
        <v>135</v>
      </c>
      <c r="E280" s="39" t="s">
        <v>1539</v>
      </c>
      <c r="F280" s="39" t="s">
        <v>1197</v>
      </c>
      <c r="G280" s="39" t="s">
        <v>1198</v>
      </c>
      <c r="H280" s="223" t="s">
        <v>1128</v>
      </c>
    </row>
    <row r="281" customFormat="false" ht="18.75" hidden="false" customHeight="true" outlineLevel="0" collapsed="false">
      <c r="A281" s="39" t="str">
        <f aca="false">B281&amp;"-"&amp;C281</f>
        <v>X - Transporte y custodia de valores-1</v>
      </c>
      <c r="B281" s="221" t="s">
        <v>960</v>
      </c>
      <c r="C281" s="222" t="n">
        <v>1</v>
      </c>
      <c r="D281" s="39" t="s">
        <v>77</v>
      </c>
      <c r="E281" s="39" t="s">
        <v>1540</v>
      </c>
      <c r="F281" s="39" t="s">
        <v>1541</v>
      </c>
      <c r="G281" s="39" t="s">
        <v>1542</v>
      </c>
      <c r="H281" s="223" t="s">
        <v>1124</v>
      </c>
    </row>
    <row r="282" customFormat="false" ht="18.75" hidden="false" customHeight="true" outlineLevel="0" collapsed="false">
      <c r="A282" s="39" t="str">
        <f aca="false">B282&amp;"-"&amp;C282</f>
        <v>X - Transporte y custodia de valores-2</v>
      </c>
      <c r="B282" s="221" t="s">
        <v>960</v>
      </c>
      <c r="C282" s="222" t="n">
        <v>2</v>
      </c>
      <c r="D282" s="39" t="s">
        <v>81</v>
      </c>
      <c r="E282" s="39" t="s">
        <v>1543</v>
      </c>
      <c r="F282" s="39" t="s">
        <v>1544</v>
      </c>
      <c r="G282" s="39" t="s">
        <v>1545</v>
      </c>
      <c r="H282" s="223" t="s">
        <v>1128</v>
      </c>
    </row>
    <row r="283" customFormat="false" ht="18.75" hidden="false" customHeight="true" outlineLevel="0" collapsed="false">
      <c r="A283" s="39" t="str">
        <f aca="false">B283&amp;"-"&amp;C283</f>
        <v>X - Transporte y custodia de valores-3</v>
      </c>
      <c r="B283" s="221" t="s">
        <v>960</v>
      </c>
      <c r="C283" s="222" t="n">
        <v>3</v>
      </c>
      <c r="D283" s="39" t="s">
        <v>83</v>
      </c>
      <c r="E283" s="39" t="s">
        <v>1546</v>
      </c>
      <c r="F283" s="39" t="s">
        <v>1547</v>
      </c>
      <c r="G283" s="39" t="s">
        <v>1548</v>
      </c>
      <c r="H283" s="223" t="s">
        <v>1128</v>
      </c>
    </row>
    <row r="284" customFormat="false" ht="18.75" hidden="false" customHeight="true" outlineLevel="0" collapsed="false">
      <c r="A284" s="39" t="str">
        <f aca="false">B284&amp;"-"&amp;C284</f>
        <v>X - Transporte y custodia de valores-4</v>
      </c>
      <c r="B284" s="221" t="s">
        <v>960</v>
      </c>
      <c r="C284" s="222" t="n">
        <v>4</v>
      </c>
      <c r="D284" s="39" t="s">
        <v>85</v>
      </c>
      <c r="E284" s="39" t="s">
        <v>1549</v>
      </c>
      <c r="F284" s="39" t="s">
        <v>1133</v>
      </c>
      <c r="G284" s="39" t="s">
        <v>1134</v>
      </c>
      <c r="H284" s="223" t="s">
        <v>1128</v>
      </c>
    </row>
    <row r="285" customFormat="false" ht="18.75" hidden="false" customHeight="true" outlineLevel="0" collapsed="false">
      <c r="A285" s="39" t="str">
        <f aca="false">B285&amp;"-"&amp;C285</f>
        <v>X - Transporte y custodia de valores-5</v>
      </c>
      <c r="B285" s="221" t="s">
        <v>960</v>
      </c>
      <c r="C285" s="222" t="n">
        <v>5</v>
      </c>
      <c r="D285" s="39" t="s">
        <v>88</v>
      </c>
      <c r="E285" s="39" t="s">
        <v>1550</v>
      </c>
      <c r="F285" s="39" t="s">
        <v>1136</v>
      </c>
      <c r="G285" s="39" t="s">
        <v>1137</v>
      </c>
      <c r="H285" s="223" t="s">
        <v>1138</v>
      </c>
    </row>
    <row r="286" customFormat="false" ht="18.75" hidden="false" customHeight="true" outlineLevel="0" collapsed="false">
      <c r="A286" s="39" t="str">
        <f aca="false">B286&amp;"-"&amp;C286</f>
        <v>X - Transporte y custodia de valores-6</v>
      </c>
      <c r="B286" s="221" t="s">
        <v>960</v>
      </c>
      <c r="C286" s="222" t="n">
        <v>6</v>
      </c>
      <c r="D286" s="39" t="s">
        <v>91</v>
      </c>
      <c r="E286" s="39" t="s">
        <v>1551</v>
      </c>
      <c r="F286" s="39" t="s">
        <v>1552</v>
      </c>
      <c r="G286" s="39" t="s">
        <v>1553</v>
      </c>
      <c r="H286" s="223" t="s">
        <v>1138</v>
      </c>
    </row>
    <row r="287" customFormat="false" ht="18.75" hidden="false" customHeight="true" outlineLevel="0" collapsed="false">
      <c r="A287" s="39" t="str">
        <f aca="false">B287&amp;"-"&amp;C287</f>
        <v>X - Transporte y custodia de valores-7</v>
      </c>
      <c r="B287" s="221" t="s">
        <v>960</v>
      </c>
      <c r="C287" s="222" t="n">
        <v>7</v>
      </c>
      <c r="D287" s="39" t="s">
        <v>94</v>
      </c>
      <c r="E287" s="39" t="s">
        <v>1142</v>
      </c>
      <c r="F287" s="39" t="s">
        <v>1143</v>
      </c>
      <c r="G287" s="39" t="s">
        <v>1144</v>
      </c>
      <c r="H287" s="223" t="s">
        <v>1138</v>
      </c>
    </row>
    <row r="288" customFormat="false" ht="18.75" hidden="false" customHeight="true" outlineLevel="0" collapsed="false">
      <c r="A288" s="39" t="str">
        <f aca="false">B288&amp;"-"&amp;C288</f>
        <v>X - Transporte y custodia de valores-8</v>
      </c>
      <c r="B288" s="221" t="s">
        <v>960</v>
      </c>
      <c r="C288" s="222" t="n">
        <v>8</v>
      </c>
      <c r="D288" s="39" t="s">
        <v>96</v>
      </c>
      <c r="E288" s="39" t="s">
        <v>1554</v>
      </c>
      <c r="F288" s="39" t="s">
        <v>1146</v>
      </c>
      <c r="G288" s="39" t="s">
        <v>1147</v>
      </c>
      <c r="H288" s="223" t="s">
        <v>1138</v>
      </c>
    </row>
    <row r="289" customFormat="false" ht="18.75" hidden="false" customHeight="true" outlineLevel="0" collapsed="false">
      <c r="A289" s="39" t="str">
        <f aca="false">B289&amp;"-"&amp;C289</f>
        <v>X - Transporte y custodia de valores-9</v>
      </c>
      <c r="B289" s="221" t="s">
        <v>960</v>
      </c>
      <c r="C289" s="222" t="n">
        <v>9</v>
      </c>
      <c r="D289" s="39" t="s">
        <v>98</v>
      </c>
      <c r="E289" s="39" t="s">
        <v>1148</v>
      </c>
      <c r="F289" s="39" t="s">
        <v>1149</v>
      </c>
      <c r="G289" s="39" t="s">
        <v>1150</v>
      </c>
      <c r="H289" s="223" t="s">
        <v>1138</v>
      </c>
    </row>
    <row r="290" customFormat="false" ht="18.75" hidden="false" customHeight="true" outlineLevel="0" collapsed="false">
      <c r="A290" s="39" t="str">
        <f aca="false">B290&amp;"-"&amp;C290</f>
        <v>X - Transporte y custodia de valores-10</v>
      </c>
      <c r="B290" s="221" t="s">
        <v>960</v>
      </c>
      <c r="C290" s="222" t="n">
        <v>10</v>
      </c>
      <c r="D290" s="39" t="s">
        <v>100</v>
      </c>
      <c r="E290" s="39" t="s">
        <v>1151</v>
      </c>
      <c r="F290" s="39" t="s">
        <v>1152</v>
      </c>
      <c r="G290" s="39" t="s">
        <v>1153</v>
      </c>
      <c r="H290" s="223" t="s">
        <v>1138</v>
      </c>
    </row>
    <row r="291" customFormat="false" ht="18.75" hidden="false" customHeight="true" outlineLevel="0" collapsed="false">
      <c r="A291" s="39" t="str">
        <f aca="false">B291&amp;"-"&amp;C291</f>
        <v>X - Transporte y custodia de valores-11</v>
      </c>
      <c r="B291" s="221" t="s">
        <v>960</v>
      </c>
      <c r="C291" s="222" t="n">
        <v>11</v>
      </c>
      <c r="D291" s="39" t="s">
        <v>102</v>
      </c>
      <c r="E291" s="39" t="s">
        <v>1154</v>
      </c>
      <c r="F291" s="39" t="s">
        <v>1155</v>
      </c>
      <c r="G291" s="39" t="s">
        <v>1156</v>
      </c>
      <c r="H291" s="223" t="s">
        <v>1138</v>
      </c>
    </row>
    <row r="292" customFormat="false" ht="18.75" hidden="false" customHeight="true" outlineLevel="0" collapsed="false">
      <c r="A292" s="39" t="str">
        <f aca="false">B292&amp;"-"&amp;C292</f>
        <v>X - Transporte y custodia de valores-12</v>
      </c>
      <c r="B292" s="221" t="s">
        <v>960</v>
      </c>
      <c r="C292" s="222" t="n">
        <v>12</v>
      </c>
      <c r="D292" s="39" t="s">
        <v>105</v>
      </c>
      <c r="E292" s="39" t="s">
        <v>1157</v>
      </c>
      <c r="F292" s="39" t="s">
        <v>1158</v>
      </c>
      <c r="G292" s="39" t="s">
        <v>1159</v>
      </c>
      <c r="H292" s="223" t="s">
        <v>1138</v>
      </c>
    </row>
    <row r="293" customFormat="false" ht="18.75" hidden="false" customHeight="true" outlineLevel="0" collapsed="false">
      <c r="A293" s="39" t="str">
        <f aca="false">B293&amp;"-"&amp;C293</f>
        <v>X - Transporte y custodia de valores-13</v>
      </c>
      <c r="B293" s="221" t="s">
        <v>960</v>
      </c>
      <c r="C293" s="222" t="n">
        <v>13</v>
      </c>
      <c r="D293" s="39" t="s">
        <v>107</v>
      </c>
      <c r="E293" s="39" t="s">
        <v>1555</v>
      </c>
      <c r="F293" s="39" t="s">
        <v>1161</v>
      </c>
      <c r="G293" s="39" t="s">
        <v>1556</v>
      </c>
      <c r="H293" s="223" t="s">
        <v>1124</v>
      </c>
    </row>
    <row r="294" customFormat="false" ht="18.75" hidden="false" customHeight="true" outlineLevel="0" collapsed="false">
      <c r="A294" s="39" t="str">
        <f aca="false">B294&amp;"-"&amp;C294</f>
        <v>X - Transporte y custodia de valores-14</v>
      </c>
      <c r="B294" s="221" t="s">
        <v>960</v>
      </c>
      <c r="C294" s="222" t="n">
        <v>14</v>
      </c>
      <c r="D294" s="39" t="s">
        <v>109</v>
      </c>
      <c r="E294" s="39" t="s">
        <v>1557</v>
      </c>
      <c r="F294" s="39" t="s">
        <v>1558</v>
      </c>
      <c r="G294" s="39" t="s">
        <v>1559</v>
      </c>
      <c r="H294" s="223" t="s">
        <v>1138</v>
      </c>
    </row>
    <row r="295" customFormat="false" ht="18.75" hidden="false" customHeight="true" outlineLevel="0" collapsed="false">
      <c r="A295" s="39" t="str">
        <f aca="false">B295&amp;"-"&amp;C295</f>
        <v>X - Transporte y custodia de valores-15</v>
      </c>
      <c r="B295" s="221" t="s">
        <v>960</v>
      </c>
      <c r="C295" s="222" t="n">
        <v>15</v>
      </c>
      <c r="D295" s="39" t="s">
        <v>112</v>
      </c>
      <c r="E295" s="39" t="s">
        <v>1560</v>
      </c>
      <c r="F295" s="39" t="s">
        <v>1561</v>
      </c>
      <c r="G295" s="39" t="s">
        <v>1562</v>
      </c>
      <c r="H295" s="223" t="s">
        <v>1138</v>
      </c>
    </row>
    <row r="296" customFormat="false" ht="18.75" hidden="false" customHeight="true" outlineLevel="0" collapsed="false">
      <c r="A296" s="39" t="str">
        <f aca="false">B296&amp;"-"&amp;C296</f>
        <v>X - Transporte y custodia de valores-16</v>
      </c>
      <c r="B296" s="221" t="s">
        <v>960</v>
      </c>
      <c r="C296" s="222" t="n">
        <v>16</v>
      </c>
      <c r="D296" s="39" t="s">
        <v>114</v>
      </c>
      <c r="E296" s="39" t="s">
        <v>1169</v>
      </c>
      <c r="F296" s="39" t="s">
        <v>1170</v>
      </c>
      <c r="G296" s="39" t="s">
        <v>1171</v>
      </c>
      <c r="H296" s="223" t="s">
        <v>1138</v>
      </c>
    </row>
    <row r="297" customFormat="false" ht="18.75" hidden="false" customHeight="true" outlineLevel="0" collapsed="false">
      <c r="A297" s="39" t="str">
        <f aca="false">B297&amp;"-"&amp;C297</f>
        <v>X - Transporte y custodia de valores-17</v>
      </c>
      <c r="B297" s="221" t="s">
        <v>960</v>
      </c>
      <c r="C297" s="222" t="n">
        <v>17</v>
      </c>
      <c r="D297" s="39" t="s">
        <v>116</v>
      </c>
      <c r="E297" s="39" t="s">
        <v>1563</v>
      </c>
      <c r="F297" s="39" t="s">
        <v>1173</v>
      </c>
      <c r="G297" s="39" t="s">
        <v>1564</v>
      </c>
      <c r="H297" s="223" t="s">
        <v>1124</v>
      </c>
    </row>
    <row r="298" customFormat="false" ht="18.75" hidden="false" customHeight="true" outlineLevel="0" collapsed="false">
      <c r="A298" s="39" t="str">
        <f aca="false">B298&amp;"-"&amp;C298</f>
        <v>X - Transporte y custodia de valores-18</v>
      </c>
      <c r="B298" s="221" t="s">
        <v>960</v>
      </c>
      <c r="C298" s="222" t="n">
        <v>18</v>
      </c>
      <c r="D298" s="39" t="s">
        <v>119</v>
      </c>
      <c r="E298" s="39" t="s">
        <v>1175</v>
      </c>
      <c r="F298" s="39" t="s">
        <v>1176</v>
      </c>
      <c r="G298" s="39" t="s">
        <v>1565</v>
      </c>
      <c r="H298" s="223" t="s">
        <v>1138</v>
      </c>
    </row>
    <row r="299" customFormat="false" ht="18.75" hidden="false" customHeight="true" outlineLevel="0" collapsed="false">
      <c r="A299" s="39" t="str">
        <f aca="false">B299&amp;"-"&amp;C299</f>
        <v>X - Transporte y custodia de valores-19</v>
      </c>
      <c r="B299" s="221" t="s">
        <v>960</v>
      </c>
      <c r="C299" s="222" t="n">
        <v>19</v>
      </c>
      <c r="D299" s="39" t="s">
        <v>122</v>
      </c>
      <c r="E299" s="39" t="s">
        <v>1178</v>
      </c>
      <c r="F299" s="39" t="s">
        <v>1179</v>
      </c>
      <c r="G299" s="39" t="s">
        <v>1180</v>
      </c>
      <c r="H299" s="223" t="s">
        <v>1138</v>
      </c>
    </row>
    <row r="300" customFormat="false" ht="18.75" hidden="false" customHeight="true" outlineLevel="0" collapsed="false">
      <c r="A300" s="39" t="str">
        <f aca="false">B300&amp;"-"&amp;C300</f>
        <v>X - Transporte y custodia de valores-20</v>
      </c>
      <c r="B300" s="221" t="s">
        <v>960</v>
      </c>
      <c r="C300" s="222" t="n">
        <v>20</v>
      </c>
      <c r="D300" s="39" t="s">
        <v>124</v>
      </c>
      <c r="E300" s="39" t="s">
        <v>1566</v>
      </c>
      <c r="F300" s="39" t="s">
        <v>1567</v>
      </c>
      <c r="G300" s="39" t="s">
        <v>1568</v>
      </c>
      <c r="H300" s="223" t="s">
        <v>1124</v>
      </c>
    </row>
    <row r="301" customFormat="false" ht="18.75" hidden="false" customHeight="true" outlineLevel="0" collapsed="false">
      <c r="A301" s="39" t="str">
        <f aca="false">B301&amp;"-"&amp;C301</f>
        <v>X - Transporte y custodia de valores-21</v>
      </c>
      <c r="B301" s="221" t="s">
        <v>960</v>
      </c>
      <c r="C301" s="222" t="n">
        <v>21</v>
      </c>
      <c r="D301" s="39" t="s">
        <v>126</v>
      </c>
      <c r="E301" s="39" t="s">
        <v>1569</v>
      </c>
      <c r="F301" s="39" t="s">
        <v>1570</v>
      </c>
      <c r="G301" s="39" t="s">
        <v>1571</v>
      </c>
      <c r="H301" s="223" t="s">
        <v>1124</v>
      </c>
    </row>
    <row r="302" customFormat="false" ht="18.75" hidden="false" customHeight="true" outlineLevel="0" collapsed="false">
      <c r="A302" s="39" t="str">
        <f aca="false">B302&amp;"-"&amp;C302</f>
        <v>X - Transporte y custodia de valores-22</v>
      </c>
      <c r="B302" s="221" t="s">
        <v>960</v>
      </c>
      <c r="C302" s="222" t="n">
        <v>22</v>
      </c>
      <c r="D302" s="39" t="s">
        <v>128</v>
      </c>
      <c r="E302" s="39" t="s">
        <v>1572</v>
      </c>
      <c r="F302" s="39" t="s">
        <v>1573</v>
      </c>
      <c r="G302" s="39" t="s">
        <v>1574</v>
      </c>
      <c r="H302" s="223" t="s">
        <v>1138</v>
      </c>
    </row>
    <row r="303" customFormat="false" ht="18.75" hidden="false" customHeight="true" outlineLevel="0" collapsed="false">
      <c r="A303" s="39" t="str">
        <f aca="false">B303&amp;"-"&amp;C303</f>
        <v>X - Transporte y custodia de valores-23</v>
      </c>
      <c r="B303" s="221" t="s">
        <v>960</v>
      </c>
      <c r="C303" s="222" t="n">
        <v>23</v>
      </c>
      <c r="D303" s="39" t="s">
        <v>131</v>
      </c>
      <c r="E303" s="39" t="s">
        <v>1190</v>
      </c>
      <c r="F303" s="39" t="s">
        <v>1191</v>
      </c>
      <c r="G303" s="39" t="s">
        <v>1192</v>
      </c>
      <c r="H303" s="223" t="s">
        <v>1128</v>
      </c>
    </row>
    <row r="304" customFormat="false" ht="18.75" hidden="false" customHeight="true" outlineLevel="0" collapsed="false">
      <c r="A304" s="39" t="str">
        <f aca="false">B304&amp;"-"&amp;C304</f>
        <v>X - Transporte y custodia de valores-24</v>
      </c>
      <c r="B304" s="221" t="s">
        <v>960</v>
      </c>
      <c r="C304" s="222" t="n">
        <v>24</v>
      </c>
      <c r="D304" s="39" t="s">
        <v>133</v>
      </c>
      <c r="E304" s="39" t="s">
        <v>1575</v>
      </c>
      <c r="F304" s="39" t="s">
        <v>1194</v>
      </c>
      <c r="G304" s="39" t="s">
        <v>1576</v>
      </c>
      <c r="H304" s="223" t="s">
        <v>1128</v>
      </c>
    </row>
    <row r="305" customFormat="false" ht="18.75" hidden="false" customHeight="true" outlineLevel="0" collapsed="false">
      <c r="A305" s="39" t="str">
        <f aca="false">B305&amp;"-"&amp;C305</f>
        <v>X - Transporte y custodia de valores-25</v>
      </c>
      <c r="B305" s="221" t="s">
        <v>960</v>
      </c>
      <c r="C305" s="222" t="n">
        <v>25</v>
      </c>
      <c r="D305" s="39" t="s">
        <v>135</v>
      </c>
      <c r="E305" s="39" t="s">
        <v>1577</v>
      </c>
      <c r="F305" s="39" t="s">
        <v>1197</v>
      </c>
      <c r="G305" s="39" t="s">
        <v>1198</v>
      </c>
      <c r="H305" s="223" t="s">
        <v>1128</v>
      </c>
    </row>
    <row r="306" customFormat="false" ht="18.75" hidden="false" customHeight="true" outlineLevel="0" collapsed="false">
      <c r="A306" s="39" t="str">
        <f aca="false">B306&amp;"-"&amp;C306</f>
        <v>XI - Servicios Profesionales-1</v>
      </c>
      <c r="B306" s="221" t="s">
        <v>968</v>
      </c>
      <c r="C306" s="222" t="n">
        <v>1</v>
      </c>
      <c r="D306" s="39" t="s">
        <v>77</v>
      </c>
      <c r="E306" s="39" t="s">
        <v>1578</v>
      </c>
      <c r="F306" s="39" t="s">
        <v>1579</v>
      </c>
      <c r="G306" s="39" t="s">
        <v>1580</v>
      </c>
      <c r="H306" s="223" t="s">
        <v>1124</v>
      </c>
    </row>
    <row r="307" customFormat="false" ht="18.75" hidden="false" customHeight="true" outlineLevel="0" collapsed="false">
      <c r="A307" s="39" t="str">
        <f aca="false">B307&amp;"-"&amp;C307</f>
        <v>XI - Servicios Profesionales-2</v>
      </c>
      <c r="B307" s="221" t="s">
        <v>968</v>
      </c>
      <c r="C307" s="222" t="n">
        <v>2</v>
      </c>
      <c r="D307" s="39" t="s">
        <v>81</v>
      </c>
      <c r="E307" s="39" t="s">
        <v>1581</v>
      </c>
      <c r="F307" s="39" t="s">
        <v>1582</v>
      </c>
      <c r="G307" s="39" t="s">
        <v>1583</v>
      </c>
      <c r="H307" s="223" t="s">
        <v>1128</v>
      </c>
    </row>
    <row r="308" customFormat="false" ht="18.75" hidden="false" customHeight="true" outlineLevel="0" collapsed="false">
      <c r="A308" s="39" t="str">
        <f aca="false">B308&amp;"-"&amp;C308</f>
        <v>XI - Servicios Profesionales-3</v>
      </c>
      <c r="B308" s="221" t="s">
        <v>968</v>
      </c>
      <c r="C308" s="222" t="n">
        <v>3</v>
      </c>
      <c r="D308" s="39" t="s">
        <v>83</v>
      </c>
      <c r="E308" s="39" t="s">
        <v>1584</v>
      </c>
      <c r="F308" s="39" t="s">
        <v>1585</v>
      </c>
      <c r="G308" s="39" t="s">
        <v>1586</v>
      </c>
      <c r="H308" s="223" t="s">
        <v>1128</v>
      </c>
    </row>
    <row r="309" customFormat="false" ht="18.75" hidden="false" customHeight="true" outlineLevel="0" collapsed="false">
      <c r="A309" s="39" t="str">
        <f aca="false">B309&amp;"-"&amp;C309</f>
        <v>XI - Servicios Profesionales-4</v>
      </c>
      <c r="B309" s="221" t="s">
        <v>968</v>
      </c>
      <c r="C309" s="222" t="n">
        <v>4</v>
      </c>
      <c r="D309" s="39" t="s">
        <v>85</v>
      </c>
      <c r="E309" s="39" t="s">
        <v>1587</v>
      </c>
      <c r="F309" s="39" t="s">
        <v>1133</v>
      </c>
      <c r="G309" s="39" t="s">
        <v>1134</v>
      </c>
      <c r="H309" s="223" t="s">
        <v>1128</v>
      </c>
    </row>
    <row r="310" customFormat="false" ht="18.75" hidden="false" customHeight="true" outlineLevel="0" collapsed="false">
      <c r="A310" s="39" t="str">
        <f aca="false">B310&amp;"-"&amp;C310</f>
        <v>XI - Servicios Profesionales-5</v>
      </c>
      <c r="B310" s="221" t="s">
        <v>968</v>
      </c>
      <c r="C310" s="222" t="n">
        <v>5</v>
      </c>
      <c r="D310" s="39" t="s">
        <v>88</v>
      </c>
      <c r="E310" s="39" t="s">
        <v>1588</v>
      </c>
      <c r="F310" s="39" t="s">
        <v>1136</v>
      </c>
      <c r="G310" s="39" t="s">
        <v>1137</v>
      </c>
      <c r="H310" s="223" t="s">
        <v>1138</v>
      </c>
    </row>
    <row r="311" customFormat="false" ht="18.75" hidden="false" customHeight="true" outlineLevel="0" collapsed="false">
      <c r="A311" s="39" t="str">
        <f aca="false">B311&amp;"-"&amp;C311</f>
        <v>XI - Servicios Profesionales-6</v>
      </c>
      <c r="B311" s="221" t="s">
        <v>968</v>
      </c>
      <c r="C311" s="222" t="n">
        <v>6</v>
      </c>
      <c r="D311" s="39" t="s">
        <v>91</v>
      </c>
      <c r="E311" s="39" t="s">
        <v>1589</v>
      </c>
      <c r="F311" s="39" t="s">
        <v>1590</v>
      </c>
      <c r="G311" s="39" t="s">
        <v>1591</v>
      </c>
      <c r="H311" s="223" t="s">
        <v>1138</v>
      </c>
    </row>
    <row r="312" customFormat="false" ht="18.75" hidden="false" customHeight="true" outlineLevel="0" collapsed="false">
      <c r="A312" s="39" t="str">
        <f aca="false">B312&amp;"-"&amp;C312</f>
        <v>XI - Servicios Profesionales-7</v>
      </c>
      <c r="B312" s="221" t="s">
        <v>968</v>
      </c>
      <c r="C312" s="222" t="n">
        <v>7</v>
      </c>
      <c r="D312" s="39" t="s">
        <v>94</v>
      </c>
      <c r="E312" s="39" t="s">
        <v>1142</v>
      </c>
      <c r="F312" s="39" t="s">
        <v>1143</v>
      </c>
      <c r="G312" s="39" t="s">
        <v>1144</v>
      </c>
      <c r="H312" s="223" t="s">
        <v>1138</v>
      </c>
    </row>
    <row r="313" customFormat="false" ht="18.75" hidden="false" customHeight="true" outlineLevel="0" collapsed="false">
      <c r="A313" s="39" t="str">
        <f aca="false">B313&amp;"-"&amp;C313</f>
        <v>XI - Servicios Profesionales-8</v>
      </c>
      <c r="B313" s="221" t="s">
        <v>968</v>
      </c>
      <c r="C313" s="222" t="n">
        <v>8</v>
      </c>
      <c r="D313" s="39" t="s">
        <v>96</v>
      </c>
      <c r="E313" s="39" t="s">
        <v>1592</v>
      </c>
      <c r="F313" s="39" t="s">
        <v>1146</v>
      </c>
      <c r="G313" s="39" t="s">
        <v>1147</v>
      </c>
      <c r="H313" s="223" t="s">
        <v>1138</v>
      </c>
    </row>
    <row r="314" customFormat="false" ht="18.75" hidden="false" customHeight="true" outlineLevel="0" collapsed="false">
      <c r="A314" s="39" t="str">
        <f aca="false">B314&amp;"-"&amp;C314</f>
        <v>XI - Servicios Profesionales-9</v>
      </c>
      <c r="B314" s="221" t="s">
        <v>968</v>
      </c>
      <c r="C314" s="222" t="n">
        <v>9</v>
      </c>
      <c r="D314" s="39" t="s">
        <v>98</v>
      </c>
      <c r="E314" s="39" t="s">
        <v>1148</v>
      </c>
      <c r="F314" s="39" t="s">
        <v>1149</v>
      </c>
      <c r="G314" s="39" t="s">
        <v>1150</v>
      </c>
      <c r="H314" s="223" t="s">
        <v>1138</v>
      </c>
    </row>
    <row r="315" customFormat="false" ht="18.75" hidden="false" customHeight="true" outlineLevel="0" collapsed="false">
      <c r="A315" s="39" t="str">
        <f aca="false">B315&amp;"-"&amp;C315</f>
        <v>XI - Servicios Profesionales-10</v>
      </c>
      <c r="B315" s="221" t="s">
        <v>968</v>
      </c>
      <c r="C315" s="222" t="n">
        <v>10</v>
      </c>
      <c r="D315" s="39" t="s">
        <v>100</v>
      </c>
      <c r="E315" s="39" t="s">
        <v>1151</v>
      </c>
      <c r="F315" s="39" t="s">
        <v>1152</v>
      </c>
      <c r="G315" s="39" t="s">
        <v>1153</v>
      </c>
      <c r="H315" s="223" t="s">
        <v>1138</v>
      </c>
    </row>
    <row r="316" customFormat="false" ht="18.75" hidden="false" customHeight="true" outlineLevel="0" collapsed="false">
      <c r="A316" s="39" t="str">
        <f aca="false">B316&amp;"-"&amp;C316</f>
        <v>XI - Servicios Profesionales-11</v>
      </c>
      <c r="B316" s="221" t="s">
        <v>968</v>
      </c>
      <c r="C316" s="222" t="n">
        <v>11</v>
      </c>
      <c r="D316" s="39" t="s">
        <v>102</v>
      </c>
      <c r="E316" s="39" t="s">
        <v>1154</v>
      </c>
      <c r="F316" s="39" t="s">
        <v>1155</v>
      </c>
      <c r="G316" s="39" t="s">
        <v>1156</v>
      </c>
      <c r="H316" s="223" t="s">
        <v>1138</v>
      </c>
    </row>
    <row r="317" customFormat="false" ht="18.75" hidden="false" customHeight="true" outlineLevel="0" collapsed="false">
      <c r="A317" s="39" t="str">
        <f aca="false">B317&amp;"-"&amp;C317</f>
        <v>XI - Servicios Profesionales-12</v>
      </c>
      <c r="B317" s="221" t="s">
        <v>968</v>
      </c>
      <c r="C317" s="222" t="n">
        <v>12</v>
      </c>
      <c r="D317" s="39" t="s">
        <v>105</v>
      </c>
      <c r="E317" s="39" t="s">
        <v>1157</v>
      </c>
      <c r="F317" s="39" t="s">
        <v>1158</v>
      </c>
      <c r="G317" s="39" t="s">
        <v>1159</v>
      </c>
      <c r="H317" s="223" t="s">
        <v>1138</v>
      </c>
    </row>
    <row r="318" customFormat="false" ht="18.75" hidden="false" customHeight="true" outlineLevel="0" collapsed="false">
      <c r="A318" s="39" t="str">
        <f aca="false">B318&amp;"-"&amp;C318</f>
        <v>XI - Servicios Profesionales-13</v>
      </c>
      <c r="B318" s="221" t="s">
        <v>968</v>
      </c>
      <c r="C318" s="222" t="n">
        <v>13</v>
      </c>
      <c r="D318" s="39" t="s">
        <v>107</v>
      </c>
      <c r="E318" s="39" t="s">
        <v>1593</v>
      </c>
      <c r="F318" s="39" t="s">
        <v>1161</v>
      </c>
      <c r="G318" s="39" t="s">
        <v>1594</v>
      </c>
      <c r="H318" s="223" t="s">
        <v>1124</v>
      </c>
    </row>
    <row r="319" customFormat="false" ht="18.75" hidden="false" customHeight="true" outlineLevel="0" collapsed="false">
      <c r="A319" s="39" t="str">
        <f aca="false">B319&amp;"-"&amp;C319</f>
        <v>XI - Servicios Profesionales-14</v>
      </c>
      <c r="B319" s="221" t="s">
        <v>968</v>
      </c>
      <c r="C319" s="222" t="n">
        <v>14</v>
      </c>
      <c r="D319" s="39" t="s">
        <v>109</v>
      </c>
      <c r="E319" s="39" t="s">
        <v>1595</v>
      </c>
      <c r="F319" s="39" t="s">
        <v>1596</v>
      </c>
      <c r="G319" s="39" t="s">
        <v>1597</v>
      </c>
      <c r="H319" s="223" t="s">
        <v>1138</v>
      </c>
    </row>
    <row r="320" customFormat="false" ht="18.75" hidden="false" customHeight="true" outlineLevel="0" collapsed="false">
      <c r="A320" s="39" t="str">
        <f aca="false">B320&amp;"-"&amp;C320</f>
        <v>XI - Servicios Profesionales-15</v>
      </c>
      <c r="B320" s="221" t="s">
        <v>968</v>
      </c>
      <c r="C320" s="222" t="n">
        <v>15</v>
      </c>
      <c r="D320" s="39" t="s">
        <v>112</v>
      </c>
      <c r="E320" s="39" t="s">
        <v>1598</v>
      </c>
      <c r="F320" s="39" t="s">
        <v>1599</v>
      </c>
      <c r="G320" s="39" t="s">
        <v>1600</v>
      </c>
      <c r="H320" s="223" t="s">
        <v>1138</v>
      </c>
    </row>
    <row r="321" customFormat="false" ht="18.75" hidden="false" customHeight="true" outlineLevel="0" collapsed="false">
      <c r="A321" s="39" t="str">
        <f aca="false">B321&amp;"-"&amp;C321</f>
        <v>XI - Servicios Profesionales-16</v>
      </c>
      <c r="B321" s="221" t="s">
        <v>968</v>
      </c>
      <c r="C321" s="222" t="n">
        <v>16</v>
      </c>
      <c r="D321" s="39" t="s">
        <v>114</v>
      </c>
      <c r="E321" s="39" t="s">
        <v>1169</v>
      </c>
      <c r="F321" s="39" t="s">
        <v>1170</v>
      </c>
      <c r="G321" s="39" t="s">
        <v>1171</v>
      </c>
      <c r="H321" s="223" t="s">
        <v>1138</v>
      </c>
    </row>
    <row r="322" customFormat="false" ht="18.75" hidden="false" customHeight="true" outlineLevel="0" collapsed="false">
      <c r="A322" s="39" t="str">
        <f aca="false">B322&amp;"-"&amp;C322</f>
        <v>XI - Servicios Profesionales-17</v>
      </c>
      <c r="B322" s="221" t="s">
        <v>968</v>
      </c>
      <c r="C322" s="222" t="n">
        <v>17</v>
      </c>
      <c r="D322" s="39" t="s">
        <v>116</v>
      </c>
      <c r="E322" s="39" t="s">
        <v>1601</v>
      </c>
      <c r="F322" s="39" t="s">
        <v>1173</v>
      </c>
      <c r="G322" s="39" t="s">
        <v>1602</v>
      </c>
      <c r="H322" s="223" t="s">
        <v>1124</v>
      </c>
    </row>
    <row r="323" customFormat="false" ht="18.75" hidden="false" customHeight="true" outlineLevel="0" collapsed="false">
      <c r="A323" s="39" t="str">
        <f aca="false">B323&amp;"-"&amp;C323</f>
        <v>XI - Servicios Profesionales-18</v>
      </c>
      <c r="B323" s="221" t="s">
        <v>968</v>
      </c>
      <c r="C323" s="222" t="n">
        <v>18</v>
      </c>
      <c r="D323" s="39" t="s">
        <v>119</v>
      </c>
      <c r="E323" s="39" t="s">
        <v>1175</v>
      </c>
      <c r="F323" s="39" t="s">
        <v>1176</v>
      </c>
      <c r="G323" s="39" t="s">
        <v>1603</v>
      </c>
      <c r="H323" s="223" t="s">
        <v>1138</v>
      </c>
    </row>
    <row r="324" customFormat="false" ht="18.75" hidden="false" customHeight="true" outlineLevel="0" collapsed="false">
      <c r="A324" s="39" t="str">
        <f aca="false">B324&amp;"-"&amp;C324</f>
        <v>XI - Servicios Profesionales-19</v>
      </c>
      <c r="B324" s="221" t="s">
        <v>968</v>
      </c>
      <c r="C324" s="222" t="n">
        <v>19</v>
      </c>
      <c r="D324" s="39" t="s">
        <v>122</v>
      </c>
      <c r="E324" s="39" t="s">
        <v>1178</v>
      </c>
      <c r="F324" s="39" t="s">
        <v>1179</v>
      </c>
      <c r="G324" s="39" t="s">
        <v>1180</v>
      </c>
      <c r="H324" s="223" t="s">
        <v>1138</v>
      </c>
    </row>
    <row r="325" customFormat="false" ht="18.75" hidden="false" customHeight="true" outlineLevel="0" collapsed="false">
      <c r="A325" s="39" t="str">
        <f aca="false">B325&amp;"-"&amp;C325</f>
        <v>XI - Servicios Profesionales-20</v>
      </c>
      <c r="B325" s="221" t="s">
        <v>968</v>
      </c>
      <c r="C325" s="222" t="n">
        <v>20</v>
      </c>
      <c r="D325" s="39" t="s">
        <v>124</v>
      </c>
      <c r="E325" s="39" t="s">
        <v>1604</v>
      </c>
      <c r="F325" s="39" t="s">
        <v>1605</v>
      </c>
      <c r="G325" s="39" t="s">
        <v>1606</v>
      </c>
      <c r="H325" s="223" t="s">
        <v>1124</v>
      </c>
    </row>
    <row r="326" customFormat="false" ht="18.75" hidden="false" customHeight="true" outlineLevel="0" collapsed="false">
      <c r="A326" s="39" t="str">
        <f aca="false">B326&amp;"-"&amp;C326</f>
        <v>XI - Servicios Profesionales-21</v>
      </c>
      <c r="B326" s="221" t="s">
        <v>968</v>
      </c>
      <c r="C326" s="222" t="n">
        <v>21</v>
      </c>
      <c r="D326" s="39" t="s">
        <v>126</v>
      </c>
      <c r="E326" s="39" t="s">
        <v>1607</v>
      </c>
      <c r="F326" s="39" t="s">
        <v>1608</v>
      </c>
      <c r="G326" s="39" t="s">
        <v>1609</v>
      </c>
      <c r="H326" s="223" t="s">
        <v>1124</v>
      </c>
    </row>
    <row r="327" customFormat="false" ht="18.75" hidden="false" customHeight="true" outlineLevel="0" collapsed="false">
      <c r="A327" s="39" t="str">
        <f aca="false">B327&amp;"-"&amp;C327</f>
        <v>XI - Servicios Profesionales-22</v>
      </c>
      <c r="B327" s="221" t="s">
        <v>968</v>
      </c>
      <c r="C327" s="222" t="n">
        <v>22</v>
      </c>
      <c r="D327" s="39" t="s">
        <v>128</v>
      </c>
      <c r="E327" s="39" t="s">
        <v>1610</v>
      </c>
      <c r="F327" s="39" t="s">
        <v>1611</v>
      </c>
      <c r="G327" s="39" t="s">
        <v>1612</v>
      </c>
      <c r="H327" s="223" t="s">
        <v>1138</v>
      </c>
    </row>
    <row r="328" customFormat="false" ht="18.75" hidden="false" customHeight="true" outlineLevel="0" collapsed="false">
      <c r="A328" s="39" t="str">
        <f aca="false">B328&amp;"-"&amp;C328</f>
        <v>XI - Servicios Profesionales-23</v>
      </c>
      <c r="B328" s="221" t="s">
        <v>968</v>
      </c>
      <c r="C328" s="222" t="n">
        <v>23</v>
      </c>
      <c r="D328" s="39" t="s">
        <v>131</v>
      </c>
      <c r="E328" s="39" t="s">
        <v>1190</v>
      </c>
      <c r="F328" s="39" t="s">
        <v>1191</v>
      </c>
      <c r="G328" s="39" t="s">
        <v>1192</v>
      </c>
      <c r="H328" s="223" t="s">
        <v>1128</v>
      </c>
    </row>
    <row r="329" customFormat="false" ht="18.75" hidden="false" customHeight="true" outlineLevel="0" collapsed="false">
      <c r="A329" s="39" t="str">
        <f aca="false">B329&amp;"-"&amp;C329</f>
        <v>XI - Servicios Profesionales-24</v>
      </c>
      <c r="B329" s="221" t="s">
        <v>968</v>
      </c>
      <c r="C329" s="222" t="n">
        <v>24</v>
      </c>
      <c r="D329" s="39" t="s">
        <v>133</v>
      </c>
      <c r="E329" s="39" t="s">
        <v>1613</v>
      </c>
      <c r="F329" s="39" t="s">
        <v>1194</v>
      </c>
      <c r="G329" s="39" t="s">
        <v>1614</v>
      </c>
      <c r="H329" s="223" t="s">
        <v>1128</v>
      </c>
    </row>
    <row r="330" customFormat="false" ht="18.75" hidden="false" customHeight="true" outlineLevel="0" collapsed="false">
      <c r="A330" s="39" t="str">
        <f aca="false">B330&amp;"-"&amp;C330</f>
        <v>XI - Servicios Profesionales-25</v>
      </c>
      <c r="B330" s="221" t="s">
        <v>968</v>
      </c>
      <c r="C330" s="222" t="n">
        <v>25</v>
      </c>
      <c r="D330" s="39" t="s">
        <v>135</v>
      </c>
      <c r="E330" s="39" t="s">
        <v>1615</v>
      </c>
      <c r="F330" s="39" t="s">
        <v>1197</v>
      </c>
      <c r="G330" s="39" t="s">
        <v>1198</v>
      </c>
      <c r="H330" s="223" t="s">
        <v>1128</v>
      </c>
    </row>
    <row r="331" customFormat="false" ht="18.75" hidden="false" customHeight="true" outlineLevel="0" collapsed="false">
      <c r="A331" s="39" t="str">
        <f aca="false">B331&amp;"-"&amp;C331</f>
        <v>XII - NOTARIOS: Transmisión de inmuebles-1</v>
      </c>
      <c r="B331" s="221" t="s">
        <v>976</v>
      </c>
      <c r="C331" s="222" t="n">
        <v>1</v>
      </c>
      <c r="D331" s="39" t="s">
        <v>77</v>
      </c>
      <c r="E331" s="39" t="s">
        <v>1338</v>
      </c>
      <c r="F331" s="39" t="s">
        <v>1339</v>
      </c>
      <c r="G331" s="39" t="s">
        <v>1340</v>
      </c>
      <c r="H331" s="223" t="s">
        <v>1124</v>
      </c>
    </row>
    <row r="332" customFormat="false" ht="18.75" hidden="false" customHeight="true" outlineLevel="0" collapsed="false">
      <c r="A332" s="39" t="str">
        <f aca="false">B332&amp;"-"&amp;C332</f>
        <v>XII - NOTARIOS: Transmisión de inmuebles-2</v>
      </c>
      <c r="B332" s="221" t="s">
        <v>976</v>
      </c>
      <c r="C332" s="222" t="n">
        <v>2</v>
      </c>
      <c r="D332" s="39" t="s">
        <v>81</v>
      </c>
      <c r="E332" s="39" t="s">
        <v>1341</v>
      </c>
      <c r="F332" s="39" t="s">
        <v>1342</v>
      </c>
      <c r="G332" s="39" t="s">
        <v>1343</v>
      </c>
      <c r="H332" s="223" t="s">
        <v>1128</v>
      </c>
    </row>
    <row r="333" customFormat="false" ht="18.75" hidden="false" customHeight="true" outlineLevel="0" collapsed="false">
      <c r="A333" s="39" t="str">
        <f aca="false">B333&amp;"-"&amp;C333</f>
        <v>XII - NOTARIOS: Transmisión de inmuebles-3</v>
      </c>
      <c r="B333" s="221" t="s">
        <v>976</v>
      </c>
      <c r="C333" s="222" t="n">
        <v>3</v>
      </c>
      <c r="D333" s="39" t="s">
        <v>83</v>
      </c>
      <c r="E333" s="39" t="s">
        <v>1616</v>
      </c>
      <c r="F333" s="39" t="s">
        <v>1617</v>
      </c>
      <c r="G333" s="39" t="s">
        <v>1618</v>
      </c>
      <c r="H333" s="223" t="s">
        <v>1128</v>
      </c>
    </row>
    <row r="334" customFormat="false" ht="18.75" hidden="false" customHeight="true" outlineLevel="0" collapsed="false">
      <c r="A334" s="39" t="str">
        <f aca="false">B334&amp;"-"&amp;C334</f>
        <v>XII - NOTARIOS: Transmisión de inmuebles-4</v>
      </c>
      <c r="B334" s="221" t="s">
        <v>976</v>
      </c>
      <c r="C334" s="222" t="n">
        <v>4</v>
      </c>
      <c r="D334" s="39" t="s">
        <v>85</v>
      </c>
      <c r="E334" s="39" t="s">
        <v>1619</v>
      </c>
      <c r="F334" s="39" t="s">
        <v>1133</v>
      </c>
      <c r="G334" s="39" t="s">
        <v>1134</v>
      </c>
      <c r="H334" s="223" t="s">
        <v>1128</v>
      </c>
    </row>
    <row r="335" customFormat="false" ht="18.75" hidden="false" customHeight="true" outlineLevel="0" collapsed="false">
      <c r="A335" s="39" t="str">
        <f aca="false">B335&amp;"-"&amp;C335</f>
        <v>XII - NOTARIOS: Transmisión de inmuebles-5</v>
      </c>
      <c r="B335" s="221" t="s">
        <v>976</v>
      </c>
      <c r="C335" s="222" t="n">
        <v>5</v>
      </c>
      <c r="D335" s="39" t="s">
        <v>88</v>
      </c>
      <c r="E335" s="39" t="s">
        <v>1620</v>
      </c>
      <c r="F335" s="39" t="s">
        <v>1136</v>
      </c>
      <c r="G335" s="39" t="s">
        <v>1137</v>
      </c>
      <c r="H335" s="223" t="s">
        <v>1138</v>
      </c>
    </row>
    <row r="336" customFormat="false" ht="18.75" hidden="false" customHeight="true" outlineLevel="0" collapsed="false">
      <c r="A336" s="39" t="str">
        <f aca="false">B336&amp;"-"&amp;C336</f>
        <v>XII - NOTARIOS: Transmisión de inmuebles-6</v>
      </c>
      <c r="B336" s="221" t="s">
        <v>976</v>
      </c>
      <c r="C336" s="222" t="n">
        <v>6</v>
      </c>
      <c r="D336" s="39" t="s">
        <v>91</v>
      </c>
      <c r="E336" s="39" t="s">
        <v>1621</v>
      </c>
      <c r="F336" s="39" t="s">
        <v>1622</v>
      </c>
      <c r="G336" s="39" t="s">
        <v>1623</v>
      </c>
      <c r="H336" s="223" t="s">
        <v>1138</v>
      </c>
    </row>
    <row r="337" customFormat="false" ht="18.75" hidden="false" customHeight="true" outlineLevel="0" collapsed="false">
      <c r="A337" s="39" t="str">
        <f aca="false">B337&amp;"-"&amp;C337</f>
        <v>XII - NOTARIOS: Transmisión de inmuebles-7</v>
      </c>
      <c r="B337" s="221" t="s">
        <v>976</v>
      </c>
      <c r="C337" s="222" t="n">
        <v>7</v>
      </c>
      <c r="D337" s="39" t="s">
        <v>94</v>
      </c>
      <c r="E337" s="39" t="s">
        <v>1142</v>
      </c>
      <c r="F337" s="39" t="s">
        <v>1143</v>
      </c>
      <c r="G337" s="39" t="s">
        <v>1144</v>
      </c>
      <c r="H337" s="223" t="s">
        <v>1138</v>
      </c>
    </row>
    <row r="338" customFormat="false" ht="18.75" hidden="false" customHeight="true" outlineLevel="0" collapsed="false">
      <c r="A338" s="39" t="str">
        <f aca="false">B338&amp;"-"&amp;C338</f>
        <v>XII - NOTARIOS: Transmisión de inmuebles-8</v>
      </c>
      <c r="B338" s="221" t="s">
        <v>976</v>
      </c>
      <c r="C338" s="222" t="n">
        <v>8</v>
      </c>
      <c r="D338" s="39" t="s">
        <v>96</v>
      </c>
      <c r="E338" s="39" t="s">
        <v>1624</v>
      </c>
      <c r="F338" s="39" t="s">
        <v>1146</v>
      </c>
      <c r="G338" s="39" t="s">
        <v>1147</v>
      </c>
      <c r="H338" s="223" t="s">
        <v>1138</v>
      </c>
    </row>
    <row r="339" customFormat="false" ht="18.75" hidden="false" customHeight="true" outlineLevel="0" collapsed="false">
      <c r="A339" s="39" t="str">
        <f aca="false">B339&amp;"-"&amp;C339</f>
        <v>XII - NOTARIOS: Transmisión de inmuebles-9</v>
      </c>
      <c r="B339" s="221" t="s">
        <v>976</v>
      </c>
      <c r="C339" s="222" t="n">
        <v>9</v>
      </c>
      <c r="D339" s="39" t="s">
        <v>98</v>
      </c>
      <c r="E339" s="39" t="s">
        <v>1148</v>
      </c>
      <c r="F339" s="39" t="s">
        <v>1149</v>
      </c>
      <c r="G339" s="39" t="s">
        <v>1150</v>
      </c>
      <c r="H339" s="223" t="s">
        <v>1138</v>
      </c>
    </row>
    <row r="340" customFormat="false" ht="18.75" hidden="false" customHeight="true" outlineLevel="0" collapsed="false">
      <c r="A340" s="39" t="str">
        <f aca="false">B340&amp;"-"&amp;C340</f>
        <v>XII - NOTARIOS: Transmisión de inmuebles-10</v>
      </c>
      <c r="B340" s="221" t="s">
        <v>976</v>
      </c>
      <c r="C340" s="222" t="n">
        <v>10</v>
      </c>
      <c r="D340" s="39" t="s">
        <v>100</v>
      </c>
      <c r="E340" s="39" t="s">
        <v>1151</v>
      </c>
      <c r="F340" s="39" t="s">
        <v>1152</v>
      </c>
      <c r="G340" s="39" t="s">
        <v>1153</v>
      </c>
      <c r="H340" s="223" t="s">
        <v>1138</v>
      </c>
    </row>
    <row r="341" customFormat="false" ht="18.75" hidden="false" customHeight="true" outlineLevel="0" collapsed="false">
      <c r="A341" s="39" t="str">
        <f aca="false">B341&amp;"-"&amp;C341</f>
        <v>XII - NOTARIOS: Transmisión de inmuebles-11</v>
      </c>
      <c r="B341" s="221" t="s">
        <v>976</v>
      </c>
      <c r="C341" s="222" t="n">
        <v>11</v>
      </c>
      <c r="D341" s="39" t="s">
        <v>102</v>
      </c>
      <c r="E341" s="39" t="s">
        <v>1154</v>
      </c>
      <c r="F341" s="39" t="s">
        <v>1155</v>
      </c>
      <c r="G341" s="39" t="s">
        <v>1156</v>
      </c>
      <c r="H341" s="223" t="s">
        <v>1138</v>
      </c>
    </row>
    <row r="342" customFormat="false" ht="18.75" hidden="false" customHeight="true" outlineLevel="0" collapsed="false">
      <c r="A342" s="39" t="str">
        <f aca="false">B342&amp;"-"&amp;C342</f>
        <v>XII - NOTARIOS: Transmisión de inmuebles-12</v>
      </c>
      <c r="B342" s="221" t="s">
        <v>976</v>
      </c>
      <c r="C342" s="222" t="n">
        <v>12</v>
      </c>
      <c r="D342" s="39" t="s">
        <v>105</v>
      </c>
      <c r="E342" s="39" t="s">
        <v>1157</v>
      </c>
      <c r="F342" s="39" t="s">
        <v>1158</v>
      </c>
      <c r="G342" s="39" t="s">
        <v>1159</v>
      </c>
      <c r="H342" s="223" t="s">
        <v>1138</v>
      </c>
    </row>
    <row r="343" customFormat="false" ht="18.75" hidden="false" customHeight="true" outlineLevel="0" collapsed="false">
      <c r="A343" s="39" t="str">
        <f aca="false">B343&amp;"-"&amp;C343</f>
        <v>XII - NOTARIOS: Transmisión de inmuebles-13</v>
      </c>
      <c r="B343" s="221" t="s">
        <v>976</v>
      </c>
      <c r="C343" s="222" t="n">
        <v>13</v>
      </c>
      <c r="D343" s="39" t="s">
        <v>107</v>
      </c>
      <c r="E343" s="39" t="s">
        <v>1625</v>
      </c>
      <c r="F343" s="39" t="s">
        <v>1161</v>
      </c>
      <c r="G343" s="39" t="s">
        <v>1626</v>
      </c>
      <c r="H343" s="223" t="s">
        <v>1124</v>
      </c>
    </row>
    <row r="344" customFormat="false" ht="18.75" hidden="false" customHeight="true" outlineLevel="0" collapsed="false">
      <c r="A344" s="39" t="str">
        <f aca="false">B344&amp;"-"&amp;C344</f>
        <v>XII - NOTARIOS: Transmisión de inmuebles-14</v>
      </c>
      <c r="B344" s="221" t="s">
        <v>976</v>
      </c>
      <c r="C344" s="222" t="n">
        <v>14</v>
      </c>
      <c r="D344" s="39" t="s">
        <v>109</v>
      </c>
      <c r="E344" s="39" t="s">
        <v>1627</v>
      </c>
      <c r="F344" s="39" t="s">
        <v>1628</v>
      </c>
      <c r="G344" s="39" t="s">
        <v>1629</v>
      </c>
      <c r="H344" s="223" t="s">
        <v>1138</v>
      </c>
    </row>
    <row r="345" customFormat="false" ht="18.75" hidden="false" customHeight="true" outlineLevel="0" collapsed="false">
      <c r="A345" s="39" t="str">
        <f aca="false">B345&amp;"-"&amp;C345</f>
        <v>XII - NOTARIOS: Transmisión de inmuebles-15</v>
      </c>
      <c r="B345" s="221" t="s">
        <v>976</v>
      </c>
      <c r="C345" s="222" t="n">
        <v>15</v>
      </c>
      <c r="D345" s="39" t="s">
        <v>112</v>
      </c>
      <c r="E345" s="39" t="s">
        <v>1630</v>
      </c>
      <c r="F345" s="39" t="s">
        <v>1631</v>
      </c>
      <c r="G345" s="39" t="s">
        <v>1632</v>
      </c>
      <c r="H345" s="223" t="s">
        <v>1138</v>
      </c>
    </row>
    <row r="346" customFormat="false" ht="18.75" hidden="false" customHeight="true" outlineLevel="0" collapsed="false">
      <c r="A346" s="39" t="str">
        <f aca="false">B346&amp;"-"&amp;C346</f>
        <v>XII - NOTARIOS: Transmisión de inmuebles-16</v>
      </c>
      <c r="B346" s="221" t="s">
        <v>976</v>
      </c>
      <c r="C346" s="222" t="n">
        <v>16</v>
      </c>
      <c r="D346" s="39" t="s">
        <v>114</v>
      </c>
      <c r="E346" s="39" t="s">
        <v>1169</v>
      </c>
      <c r="F346" s="39" t="s">
        <v>1170</v>
      </c>
      <c r="G346" s="39" t="s">
        <v>1171</v>
      </c>
      <c r="H346" s="223" t="s">
        <v>1138</v>
      </c>
    </row>
    <row r="347" customFormat="false" ht="18.75" hidden="false" customHeight="true" outlineLevel="0" collapsed="false">
      <c r="A347" s="39" t="str">
        <f aca="false">B347&amp;"-"&amp;C347</f>
        <v>XII - NOTARIOS: Transmisión de inmuebles-17</v>
      </c>
      <c r="B347" s="221" t="s">
        <v>976</v>
      </c>
      <c r="C347" s="222" t="n">
        <v>17</v>
      </c>
      <c r="D347" s="39" t="s">
        <v>116</v>
      </c>
      <c r="E347" s="39" t="s">
        <v>1633</v>
      </c>
      <c r="F347" s="39" t="s">
        <v>1173</v>
      </c>
      <c r="G347" s="39" t="s">
        <v>1634</v>
      </c>
      <c r="H347" s="223" t="s">
        <v>1124</v>
      </c>
    </row>
    <row r="348" customFormat="false" ht="18.75" hidden="false" customHeight="true" outlineLevel="0" collapsed="false">
      <c r="A348" s="39" t="str">
        <f aca="false">B348&amp;"-"&amp;C348</f>
        <v>XII - NOTARIOS: Transmisión de inmuebles-18</v>
      </c>
      <c r="B348" s="221" t="s">
        <v>976</v>
      </c>
      <c r="C348" s="222" t="n">
        <v>18</v>
      </c>
      <c r="D348" s="39" t="s">
        <v>119</v>
      </c>
      <c r="E348" s="39" t="s">
        <v>1175</v>
      </c>
      <c r="F348" s="39" t="s">
        <v>1176</v>
      </c>
      <c r="G348" s="39" t="s">
        <v>1635</v>
      </c>
      <c r="H348" s="223" t="s">
        <v>1138</v>
      </c>
    </row>
    <row r="349" customFormat="false" ht="18.75" hidden="false" customHeight="true" outlineLevel="0" collapsed="false">
      <c r="A349" s="39" t="str">
        <f aca="false">B349&amp;"-"&amp;C349</f>
        <v>XII - NOTARIOS: Transmisión de inmuebles-19</v>
      </c>
      <c r="B349" s="221" t="s">
        <v>976</v>
      </c>
      <c r="C349" s="222" t="n">
        <v>19</v>
      </c>
      <c r="D349" s="39" t="s">
        <v>122</v>
      </c>
      <c r="E349" s="39" t="s">
        <v>1178</v>
      </c>
      <c r="F349" s="39" t="s">
        <v>1179</v>
      </c>
      <c r="G349" s="39" t="s">
        <v>1180</v>
      </c>
      <c r="H349" s="223" t="s">
        <v>1138</v>
      </c>
    </row>
    <row r="350" customFormat="false" ht="18.75" hidden="false" customHeight="true" outlineLevel="0" collapsed="false">
      <c r="A350" s="39" t="str">
        <f aca="false">B350&amp;"-"&amp;C350</f>
        <v>XII - NOTARIOS: Transmisión de inmuebles-20</v>
      </c>
      <c r="B350" s="221" t="s">
        <v>976</v>
      </c>
      <c r="C350" s="222" t="n">
        <v>20</v>
      </c>
      <c r="D350" s="39" t="s">
        <v>124</v>
      </c>
      <c r="E350" s="39" t="s">
        <v>1636</v>
      </c>
      <c r="F350" s="39" t="s">
        <v>1637</v>
      </c>
      <c r="G350" s="39" t="s">
        <v>1638</v>
      </c>
      <c r="H350" s="223" t="s">
        <v>1124</v>
      </c>
    </row>
    <row r="351" customFormat="false" ht="18.75" hidden="false" customHeight="true" outlineLevel="0" collapsed="false">
      <c r="A351" s="39" t="str">
        <f aca="false">B351&amp;"-"&amp;C351</f>
        <v>XII - NOTARIOS: Transmisión de inmuebles-21</v>
      </c>
      <c r="B351" s="221" t="s">
        <v>976</v>
      </c>
      <c r="C351" s="222" t="n">
        <v>21</v>
      </c>
      <c r="D351" s="39" t="s">
        <v>126</v>
      </c>
      <c r="E351" s="39" t="s">
        <v>1639</v>
      </c>
      <c r="F351" s="39" t="s">
        <v>1640</v>
      </c>
      <c r="G351" s="39" t="s">
        <v>1641</v>
      </c>
      <c r="H351" s="223" t="s">
        <v>1124</v>
      </c>
    </row>
    <row r="352" customFormat="false" ht="18.75" hidden="false" customHeight="true" outlineLevel="0" collapsed="false">
      <c r="A352" s="39" t="str">
        <f aca="false">B352&amp;"-"&amp;C352</f>
        <v>XII - NOTARIOS: Transmisión de inmuebles-22</v>
      </c>
      <c r="B352" s="221" t="s">
        <v>976</v>
      </c>
      <c r="C352" s="222" t="n">
        <v>22</v>
      </c>
      <c r="D352" s="39" t="s">
        <v>128</v>
      </c>
      <c r="E352" s="39" t="s">
        <v>1642</v>
      </c>
      <c r="F352" s="39" t="s">
        <v>1643</v>
      </c>
      <c r="G352" s="39" t="s">
        <v>1644</v>
      </c>
      <c r="H352" s="223" t="s">
        <v>1138</v>
      </c>
    </row>
    <row r="353" customFormat="false" ht="18.75" hidden="false" customHeight="true" outlineLevel="0" collapsed="false">
      <c r="A353" s="39" t="str">
        <f aca="false">B353&amp;"-"&amp;C353</f>
        <v>XII - NOTARIOS: Transmisión de inmuebles-23</v>
      </c>
      <c r="B353" s="221" t="s">
        <v>976</v>
      </c>
      <c r="C353" s="222" t="n">
        <v>23</v>
      </c>
      <c r="D353" s="39" t="s">
        <v>131</v>
      </c>
      <c r="E353" s="39" t="s">
        <v>1190</v>
      </c>
      <c r="F353" s="39" t="s">
        <v>1191</v>
      </c>
      <c r="G353" s="39" t="s">
        <v>1192</v>
      </c>
      <c r="H353" s="223" t="s">
        <v>1128</v>
      </c>
    </row>
    <row r="354" customFormat="false" ht="18.75" hidden="false" customHeight="true" outlineLevel="0" collapsed="false">
      <c r="A354" s="39" t="str">
        <f aca="false">B354&amp;"-"&amp;C354</f>
        <v>XII - NOTARIOS: Transmisión de inmuebles-24</v>
      </c>
      <c r="B354" s="221" t="s">
        <v>976</v>
      </c>
      <c r="C354" s="222" t="n">
        <v>24</v>
      </c>
      <c r="D354" s="39" t="s">
        <v>133</v>
      </c>
      <c r="E354" s="39" t="s">
        <v>1645</v>
      </c>
      <c r="F354" s="39" t="s">
        <v>1194</v>
      </c>
      <c r="G354" s="39" t="s">
        <v>1374</v>
      </c>
      <c r="H354" s="223" t="s">
        <v>1128</v>
      </c>
    </row>
    <row r="355" customFormat="false" ht="18.75" hidden="false" customHeight="true" outlineLevel="0" collapsed="false">
      <c r="A355" s="39" t="str">
        <f aca="false">B355&amp;"-"&amp;C355</f>
        <v>XII - NOTARIOS: Transmisión de inmuebles-25</v>
      </c>
      <c r="B355" s="221" t="s">
        <v>976</v>
      </c>
      <c r="C355" s="222" t="n">
        <v>25</v>
      </c>
      <c r="D355" s="39" t="s">
        <v>135</v>
      </c>
      <c r="E355" s="39" t="s">
        <v>1646</v>
      </c>
      <c r="F355" s="39" t="s">
        <v>1197</v>
      </c>
      <c r="G355" s="39" t="s">
        <v>1198</v>
      </c>
      <c r="H355" s="223" t="s">
        <v>1128</v>
      </c>
    </row>
    <row r="356" customFormat="false" ht="18.75" hidden="false" customHeight="true" outlineLevel="0" collapsed="false">
      <c r="A356" s="39" t="str">
        <f aca="false">B356&amp;"-"&amp;C356</f>
        <v>XII - NOTARIOS: Poderes irrevocables-1</v>
      </c>
      <c r="B356" s="221" t="s">
        <v>984</v>
      </c>
      <c r="C356" s="222" t="n">
        <v>1</v>
      </c>
      <c r="D356" s="39" t="s">
        <v>77</v>
      </c>
      <c r="E356" s="39" t="s">
        <v>1647</v>
      </c>
      <c r="F356" s="39" t="s">
        <v>1648</v>
      </c>
      <c r="G356" s="39" t="s">
        <v>1649</v>
      </c>
      <c r="H356" s="223" t="s">
        <v>1124</v>
      </c>
    </row>
    <row r="357" customFormat="false" ht="18.75" hidden="false" customHeight="true" outlineLevel="0" collapsed="false">
      <c r="A357" s="39" t="str">
        <f aca="false">B357&amp;"-"&amp;C357</f>
        <v>XII - NOTARIOS: Poderes irrevocables-2</v>
      </c>
      <c r="B357" s="221" t="s">
        <v>984</v>
      </c>
      <c r="C357" s="222" t="n">
        <v>2</v>
      </c>
      <c r="D357" s="39" t="s">
        <v>81</v>
      </c>
      <c r="E357" s="39" t="s">
        <v>1650</v>
      </c>
      <c r="F357" s="39" t="s">
        <v>1651</v>
      </c>
      <c r="G357" s="39" t="s">
        <v>1652</v>
      </c>
      <c r="H357" s="223" t="s">
        <v>1128</v>
      </c>
    </row>
    <row r="358" customFormat="false" ht="18.75" hidden="false" customHeight="true" outlineLevel="0" collapsed="false">
      <c r="A358" s="39" t="str">
        <f aca="false">B358&amp;"-"&amp;C358</f>
        <v>XII - NOTARIOS: Poderes irrevocables-3</v>
      </c>
      <c r="B358" s="221" t="s">
        <v>984</v>
      </c>
      <c r="C358" s="222" t="n">
        <v>3</v>
      </c>
      <c r="D358" s="39" t="s">
        <v>83</v>
      </c>
      <c r="E358" s="39" t="s">
        <v>1653</v>
      </c>
      <c r="F358" s="39" t="s">
        <v>1654</v>
      </c>
      <c r="G358" s="39" t="s">
        <v>1655</v>
      </c>
      <c r="H358" s="223" t="s">
        <v>1128</v>
      </c>
    </row>
    <row r="359" customFormat="false" ht="18.75" hidden="false" customHeight="true" outlineLevel="0" collapsed="false">
      <c r="A359" s="39" t="str">
        <f aca="false">B359&amp;"-"&amp;C359</f>
        <v>XII - NOTARIOS: Poderes irrevocables-4</v>
      </c>
      <c r="B359" s="221" t="s">
        <v>984</v>
      </c>
      <c r="C359" s="222" t="n">
        <v>4</v>
      </c>
      <c r="D359" s="39" t="s">
        <v>85</v>
      </c>
      <c r="E359" s="39" t="s">
        <v>1656</v>
      </c>
      <c r="F359" s="39" t="s">
        <v>1133</v>
      </c>
      <c r="G359" s="39" t="s">
        <v>1134</v>
      </c>
      <c r="H359" s="223" t="s">
        <v>1128</v>
      </c>
    </row>
    <row r="360" customFormat="false" ht="18.75" hidden="false" customHeight="true" outlineLevel="0" collapsed="false">
      <c r="A360" s="39" t="str">
        <f aca="false">B360&amp;"-"&amp;C360</f>
        <v>XII - NOTARIOS: Poderes irrevocables-5</v>
      </c>
      <c r="B360" s="221" t="s">
        <v>984</v>
      </c>
      <c r="C360" s="222" t="n">
        <v>5</v>
      </c>
      <c r="D360" s="39" t="s">
        <v>88</v>
      </c>
      <c r="E360" s="39" t="s">
        <v>1657</v>
      </c>
      <c r="F360" s="39" t="s">
        <v>1136</v>
      </c>
      <c r="G360" s="39" t="s">
        <v>1137</v>
      </c>
      <c r="H360" s="223" t="s">
        <v>1138</v>
      </c>
    </row>
    <row r="361" customFormat="false" ht="18.75" hidden="false" customHeight="true" outlineLevel="0" collapsed="false">
      <c r="A361" s="39" t="str">
        <f aca="false">B361&amp;"-"&amp;C361</f>
        <v>XII - NOTARIOS: Poderes irrevocables-6</v>
      </c>
      <c r="B361" s="221" t="s">
        <v>984</v>
      </c>
      <c r="C361" s="222" t="n">
        <v>6</v>
      </c>
      <c r="D361" s="39" t="s">
        <v>91</v>
      </c>
      <c r="E361" s="39" t="s">
        <v>1658</v>
      </c>
      <c r="F361" s="39" t="s">
        <v>1659</v>
      </c>
      <c r="G361" s="39" t="s">
        <v>1660</v>
      </c>
      <c r="H361" s="223" t="s">
        <v>1138</v>
      </c>
    </row>
    <row r="362" customFormat="false" ht="18.75" hidden="false" customHeight="true" outlineLevel="0" collapsed="false">
      <c r="A362" s="39" t="str">
        <f aca="false">B362&amp;"-"&amp;C362</f>
        <v>XII - NOTARIOS: Poderes irrevocables-7</v>
      </c>
      <c r="B362" s="221" t="s">
        <v>984</v>
      </c>
      <c r="C362" s="222" t="n">
        <v>7</v>
      </c>
      <c r="D362" s="39" t="s">
        <v>94</v>
      </c>
      <c r="E362" s="39" t="s">
        <v>1142</v>
      </c>
      <c r="F362" s="39" t="s">
        <v>1143</v>
      </c>
      <c r="G362" s="39" t="s">
        <v>1144</v>
      </c>
      <c r="H362" s="223" t="s">
        <v>1138</v>
      </c>
    </row>
    <row r="363" customFormat="false" ht="18.75" hidden="false" customHeight="true" outlineLevel="0" collapsed="false">
      <c r="A363" s="39" t="str">
        <f aca="false">B363&amp;"-"&amp;C363</f>
        <v>XII - NOTARIOS: Poderes irrevocables-8</v>
      </c>
      <c r="B363" s="221" t="s">
        <v>984</v>
      </c>
      <c r="C363" s="222" t="n">
        <v>8</v>
      </c>
      <c r="D363" s="39" t="s">
        <v>96</v>
      </c>
      <c r="E363" s="39" t="s">
        <v>1661</v>
      </c>
      <c r="F363" s="39" t="s">
        <v>1146</v>
      </c>
      <c r="G363" s="39" t="s">
        <v>1147</v>
      </c>
      <c r="H363" s="223" t="s">
        <v>1138</v>
      </c>
    </row>
    <row r="364" customFormat="false" ht="18.75" hidden="false" customHeight="true" outlineLevel="0" collapsed="false">
      <c r="A364" s="39" t="str">
        <f aca="false">B364&amp;"-"&amp;C364</f>
        <v>XII - NOTARIOS: Poderes irrevocables-9</v>
      </c>
      <c r="B364" s="221" t="s">
        <v>984</v>
      </c>
      <c r="C364" s="222" t="n">
        <v>9</v>
      </c>
      <c r="D364" s="39" t="s">
        <v>98</v>
      </c>
      <c r="E364" s="39" t="s">
        <v>1148</v>
      </c>
      <c r="F364" s="39" t="s">
        <v>1149</v>
      </c>
      <c r="G364" s="39" t="s">
        <v>1150</v>
      </c>
      <c r="H364" s="223" t="s">
        <v>1138</v>
      </c>
    </row>
    <row r="365" customFormat="false" ht="18.75" hidden="false" customHeight="true" outlineLevel="0" collapsed="false">
      <c r="A365" s="39" t="str">
        <f aca="false">B365&amp;"-"&amp;C365</f>
        <v>XII - NOTARIOS: Poderes irrevocables-10</v>
      </c>
      <c r="B365" s="221" t="s">
        <v>984</v>
      </c>
      <c r="C365" s="222" t="n">
        <v>10</v>
      </c>
      <c r="D365" s="39" t="s">
        <v>100</v>
      </c>
      <c r="E365" s="39" t="s">
        <v>1151</v>
      </c>
      <c r="F365" s="39" t="s">
        <v>1152</v>
      </c>
      <c r="G365" s="39" t="s">
        <v>1153</v>
      </c>
      <c r="H365" s="223" t="s">
        <v>1138</v>
      </c>
    </row>
    <row r="366" customFormat="false" ht="18.75" hidden="false" customHeight="true" outlineLevel="0" collapsed="false">
      <c r="A366" s="39" t="str">
        <f aca="false">B366&amp;"-"&amp;C366</f>
        <v>XII - NOTARIOS: Poderes irrevocables-11</v>
      </c>
      <c r="B366" s="221" t="s">
        <v>984</v>
      </c>
      <c r="C366" s="222" t="n">
        <v>11</v>
      </c>
      <c r="D366" s="39" t="s">
        <v>102</v>
      </c>
      <c r="E366" s="39" t="s">
        <v>1154</v>
      </c>
      <c r="F366" s="39" t="s">
        <v>1155</v>
      </c>
      <c r="G366" s="39" t="s">
        <v>1156</v>
      </c>
      <c r="H366" s="223" t="s">
        <v>1138</v>
      </c>
    </row>
    <row r="367" customFormat="false" ht="18.75" hidden="false" customHeight="true" outlineLevel="0" collapsed="false">
      <c r="A367" s="39" t="str">
        <f aca="false">B367&amp;"-"&amp;C367</f>
        <v>XII - NOTARIOS: Poderes irrevocables-12</v>
      </c>
      <c r="B367" s="221" t="s">
        <v>984</v>
      </c>
      <c r="C367" s="222" t="n">
        <v>12</v>
      </c>
      <c r="D367" s="39" t="s">
        <v>105</v>
      </c>
      <c r="E367" s="39" t="s">
        <v>1157</v>
      </c>
      <c r="F367" s="39" t="s">
        <v>1158</v>
      </c>
      <c r="G367" s="39" t="s">
        <v>1159</v>
      </c>
      <c r="H367" s="223" t="s">
        <v>1138</v>
      </c>
    </row>
    <row r="368" customFormat="false" ht="18.75" hidden="false" customHeight="true" outlineLevel="0" collapsed="false">
      <c r="A368" s="39" t="str">
        <f aca="false">B368&amp;"-"&amp;C368</f>
        <v>XII - NOTARIOS: Poderes irrevocables-13</v>
      </c>
      <c r="B368" s="221" t="s">
        <v>984</v>
      </c>
      <c r="C368" s="222" t="n">
        <v>13</v>
      </c>
      <c r="D368" s="39" t="s">
        <v>107</v>
      </c>
      <c r="E368" s="39" t="s">
        <v>1662</v>
      </c>
      <c r="F368" s="39" t="s">
        <v>1161</v>
      </c>
      <c r="G368" s="39" t="s">
        <v>1663</v>
      </c>
      <c r="H368" s="223" t="s">
        <v>1124</v>
      </c>
    </row>
    <row r="369" customFormat="false" ht="18.75" hidden="false" customHeight="true" outlineLevel="0" collapsed="false">
      <c r="A369" s="39" t="str">
        <f aca="false">B369&amp;"-"&amp;C369</f>
        <v>XII - NOTARIOS: Poderes irrevocables-14</v>
      </c>
      <c r="B369" s="221" t="s">
        <v>984</v>
      </c>
      <c r="C369" s="222" t="n">
        <v>14</v>
      </c>
      <c r="D369" s="39" t="s">
        <v>109</v>
      </c>
      <c r="E369" s="39" t="s">
        <v>1664</v>
      </c>
      <c r="F369" s="39" t="s">
        <v>1665</v>
      </c>
      <c r="G369" s="39" t="s">
        <v>1666</v>
      </c>
      <c r="H369" s="223" t="s">
        <v>1138</v>
      </c>
    </row>
    <row r="370" customFormat="false" ht="18.75" hidden="false" customHeight="true" outlineLevel="0" collapsed="false">
      <c r="A370" s="39" t="str">
        <f aca="false">B370&amp;"-"&amp;C370</f>
        <v>XII - NOTARIOS: Poderes irrevocables-15</v>
      </c>
      <c r="B370" s="221" t="s">
        <v>984</v>
      </c>
      <c r="C370" s="222" t="n">
        <v>15</v>
      </c>
      <c r="D370" s="39" t="s">
        <v>112</v>
      </c>
      <c r="E370" s="39" t="s">
        <v>1667</v>
      </c>
      <c r="F370" s="39" t="s">
        <v>1668</v>
      </c>
      <c r="G370" s="39" t="s">
        <v>1669</v>
      </c>
      <c r="H370" s="223" t="s">
        <v>1138</v>
      </c>
    </row>
    <row r="371" customFormat="false" ht="18.75" hidden="false" customHeight="true" outlineLevel="0" collapsed="false">
      <c r="A371" s="39" t="str">
        <f aca="false">B371&amp;"-"&amp;C371</f>
        <v>XII - NOTARIOS: Poderes irrevocables-16</v>
      </c>
      <c r="B371" s="221" t="s">
        <v>984</v>
      </c>
      <c r="C371" s="222" t="n">
        <v>16</v>
      </c>
      <c r="D371" s="39" t="s">
        <v>114</v>
      </c>
      <c r="E371" s="39" t="s">
        <v>1169</v>
      </c>
      <c r="F371" s="39" t="s">
        <v>1170</v>
      </c>
      <c r="G371" s="39" t="s">
        <v>1171</v>
      </c>
      <c r="H371" s="223" t="s">
        <v>1138</v>
      </c>
    </row>
    <row r="372" customFormat="false" ht="18.75" hidden="false" customHeight="true" outlineLevel="0" collapsed="false">
      <c r="A372" s="39" t="str">
        <f aca="false">B372&amp;"-"&amp;C372</f>
        <v>XII - NOTARIOS: Poderes irrevocables-17</v>
      </c>
      <c r="B372" s="221" t="s">
        <v>984</v>
      </c>
      <c r="C372" s="222" t="n">
        <v>17</v>
      </c>
      <c r="D372" s="39" t="s">
        <v>116</v>
      </c>
      <c r="E372" s="39" t="s">
        <v>1670</v>
      </c>
      <c r="F372" s="39" t="s">
        <v>1173</v>
      </c>
      <c r="G372" s="39" t="s">
        <v>1671</v>
      </c>
      <c r="H372" s="223" t="s">
        <v>1124</v>
      </c>
    </row>
    <row r="373" customFormat="false" ht="18.75" hidden="false" customHeight="true" outlineLevel="0" collapsed="false">
      <c r="A373" s="39" t="str">
        <f aca="false">B373&amp;"-"&amp;C373</f>
        <v>XII - NOTARIOS: Poderes irrevocables-18</v>
      </c>
      <c r="B373" s="221" t="s">
        <v>984</v>
      </c>
      <c r="C373" s="222" t="n">
        <v>18</v>
      </c>
      <c r="D373" s="39" t="s">
        <v>119</v>
      </c>
      <c r="E373" s="39" t="s">
        <v>1175</v>
      </c>
      <c r="F373" s="39" t="s">
        <v>1176</v>
      </c>
      <c r="G373" s="39" t="s">
        <v>1672</v>
      </c>
      <c r="H373" s="223" t="s">
        <v>1138</v>
      </c>
    </row>
    <row r="374" customFormat="false" ht="18.75" hidden="false" customHeight="true" outlineLevel="0" collapsed="false">
      <c r="A374" s="39" t="str">
        <f aca="false">B374&amp;"-"&amp;C374</f>
        <v>XII - NOTARIOS: Poderes irrevocables-19</v>
      </c>
      <c r="B374" s="221" t="s">
        <v>984</v>
      </c>
      <c r="C374" s="222" t="n">
        <v>19</v>
      </c>
      <c r="D374" s="39" t="s">
        <v>122</v>
      </c>
      <c r="E374" s="39" t="s">
        <v>1178</v>
      </c>
      <c r="F374" s="39" t="s">
        <v>1179</v>
      </c>
      <c r="G374" s="39" t="s">
        <v>1180</v>
      </c>
      <c r="H374" s="223" t="s">
        <v>1138</v>
      </c>
    </row>
    <row r="375" customFormat="false" ht="18.75" hidden="false" customHeight="true" outlineLevel="0" collapsed="false">
      <c r="A375" s="39" t="str">
        <f aca="false">B375&amp;"-"&amp;C375</f>
        <v>XII - NOTARIOS: Poderes irrevocables-20</v>
      </c>
      <c r="B375" s="221" t="s">
        <v>984</v>
      </c>
      <c r="C375" s="222" t="n">
        <v>20</v>
      </c>
      <c r="D375" s="39" t="s">
        <v>124</v>
      </c>
      <c r="E375" s="39" t="s">
        <v>1673</v>
      </c>
      <c r="F375" s="39" t="s">
        <v>1674</v>
      </c>
      <c r="G375" s="39" t="s">
        <v>1675</v>
      </c>
      <c r="H375" s="223" t="s">
        <v>1124</v>
      </c>
    </row>
    <row r="376" customFormat="false" ht="18.75" hidden="false" customHeight="true" outlineLevel="0" collapsed="false">
      <c r="A376" s="39" t="str">
        <f aca="false">B376&amp;"-"&amp;C376</f>
        <v>XII - NOTARIOS: Poderes irrevocables-21</v>
      </c>
      <c r="B376" s="221" t="s">
        <v>984</v>
      </c>
      <c r="C376" s="222" t="n">
        <v>21</v>
      </c>
      <c r="D376" s="39" t="s">
        <v>126</v>
      </c>
      <c r="E376" s="39" t="s">
        <v>1676</v>
      </c>
      <c r="F376" s="39" t="s">
        <v>1677</v>
      </c>
      <c r="G376" s="39" t="s">
        <v>1678</v>
      </c>
      <c r="H376" s="223" t="s">
        <v>1124</v>
      </c>
    </row>
    <row r="377" customFormat="false" ht="18.75" hidden="false" customHeight="true" outlineLevel="0" collapsed="false">
      <c r="A377" s="39" t="str">
        <f aca="false">B377&amp;"-"&amp;C377</f>
        <v>XII - NOTARIOS: Poderes irrevocables-22</v>
      </c>
      <c r="B377" s="221" t="s">
        <v>984</v>
      </c>
      <c r="C377" s="222" t="n">
        <v>22</v>
      </c>
      <c r="D377" s="39" t="s">
        <v>128</v>
      </c>
      <c r="E377" s="39" t="s">
        <v>1679</v>
      </c>
      <c r="F377" s="39" t="s">
        <v>1680</v>
      </c>
      <c r="G377" s="39" t="s">
        <v>1681</v>
      </c>
      <c r="H377" s="223" t="s">
        <v>1138</v>
      </c>
    </row>
    <row r="378" customFormat="false" ht="18.75" hidden="false" customHeight="true" outlineLevel="0" collapsed="false">
      <c r="A378" s="39" t="str">
        <f aca="false">B378&amp;"-"&amp;C378</f>
        <v>XII - NOTARIOS: Poderes irrevocables-23</v>
      </c>
      <c r="B378" s="221" t="s">
        <v>984</v>
      </c>
      <c r="C378" s="222" t="n">
        <v>23</v>
      </c>
      <c r="D378" s="39" t="s">
        <v>131</v>
      </c>
      <c r="E378" s="39" t="s">
        <v>1190</v>
      </c>
      <c r="F378" s="39" t="s">
        <v>1191</v>
      </c>
      <c r="G378" s="39" t="s">
        <v>1192</v>
      </c>
      <c r="H378" s="223" t="s">
        <v>1128</v>
      </c>
    </row>
    <row r="379" customFormat="false" ht="18.75" hidden="false" customHeight="true" outlineLevel="0" collapsed="false">
      <c r="A379" s="39" t="str">
        <f aca="false">B379&amp;"-"&amp;C379</f>
        <v>XII - NOTARIOS: Poderes irrevocables-24</v>
      </c>
      <c r="B379" s="221" t="s">
        <v>984</v>
      </c>
      <c r="C379" s="222" t="n">
        <v>24</v>
      </c>
      <c r="D379" s="39" t="s">
        <v>133</v>
      </c>
      <c r="E379" s="39" t="s">
        <v>1682</v>
      </c>
      <c r="F379" s="39" t="s">
        <v>1194</v>
      </c>
      <c r="G379" s="39" t="s">
        <v>1683</v>
      </c>
      <c r="H379" s="223" t="s">
        <v>1128</v>
      </c>
    </row>
    <row r="380" customFormat="false" ht="18.75" hidden="false" customHeight="true" outlineLevel="0" collapsed="false">
      <c r="A380" s="39" t="str">
        <f aca="false">B380&amp;"-"&amp;C380</f>
        <v>XII - NOTARIOS: Poderes irrevocables-25</v>
      </c>
      <c r="B380" s="221" t="s">
        <v>984</v>
      </c>
      <c r="C380" s="222" t="n">
        <v>25</v>
      </c>
      <c r="D380" s="39" t="s">
        <v>135</v>
      </c>
      <c r="E380" s="39" t="s">
        <v>1684</v>
      </c>
      <c r="F380" s="39" t="s">
        <v>1197</v>
      </c>
      <c r="G380" s="39" t="s">
        <v>1198</v>
      </c>
      <c r="H380" s="223" t="s">
        <v>1128</v>
      </c>
    </row>
    <row r="381" customFormat="false" ht="18.75" hidden="false" customHeight="true" outlineLevel="0" collapsed="false">
      <c r="A381" s="39" t="str">
        <f aca="false">B381&amp;"-"&amp;C381</f>
        <v>XII - NOTARIOS: Const. o modif. patrimonial-1</v>
      </c>
      <c r="B381" s="221" t="s">
        <v>992</v>
      </c>
      <c r="C381" s="222" t="n">
        <v>1</v>
      </c>
      <c r="D381" s="39" t="s">
        <v>77</v>
      </c>
      <c r="E381" s="39" t="s">
        <v>1685</v>
      </c>
      <c r="F381" s="39" t="s">
        <v>1686</v>
      </c>
      <c r="G381" s="39" t="s">
        <v>1687</v>
      </c>
      <c r="H381" s="223" t="s">
        <v>1124</v>
      </c>
    </row>
    <row r="382" customFormat="false" ht="18.75" hidden="false" customHeight="true" outlineLevel="0" collapsed="false">
      <c r="A382" s="39" t="str">
        <f aca="false">B382&amp;"-"&amp;C382</f>
        <v>XII - NOTARIOS: Const. o modif. patrimonial-2</v>
      </c>
      <c r="B382" s="221" t="s">
        <v>992</v>
      </c>
      <c r="C382" s="222" t="n">
        <v>2</v>
      </c>
      <c r="D382" s="39" t="s">
        <v>81</v>
      </c>
      <c r="E382" s="39" t="s">
        <v>1688</v>
      </c>
      <c r="F382" s="39" t="s">
        <v>1689</v>
      </c>
      <c r="G382" s="39" t="s">
        <v>1690</v>
      </c>
      <c r="H382" s="223" t="s">
        <v>1128</v>
      </c>
    </row>
    <row r="383" customFormat="false" ht="18.75" hidden="false" customHeight="true" outlineLevel="0" collapsed="false">
      <c r="A383" s="39" t="str">
        <f aca="false">B383&amp;"-"&amp;C383</f>
        <v>XII - NOTARIOS: Const. o modif. patrimonial-3</v>
      </c>
      <c r="B383" s="221" t="s">
        <v>992</v>
      </c>
      <c r="C383" s="222" t="n">
        <v>3</v>
      </c>
      <c r="D383" s="39" t="s">
        <v>83</v>
      </c>
      <c r="E383" s="39" t="s">
        <v>1691</v>
      </c>
      <c r="F383" s="39" t="s">
        <v>1692</v>
      </c>
      <c r="G383" s="39" t="s">
        <v>1693</v>
      </c>
      <c r="H383" s="223" t="s">
        <v>1128</v>
      </c>
    </row>
    <row r="384" customFormat="false" ht="18.75" hidden="false" customHeight="true" outlineLevel="0" collapsed="false">
      <c r="A384" s="39" t="str">
        <f aca="false">B384&amp;"-"&amp;C384</f>
        <v>XII - NOTARIOS: Const. o modif. patrimonial-4</v>
      </c>
      <c r="B384" s="221" t="s">
        <v>992</v>
      </c>
      <c r="C384" s="222" t="n">
        <v>4</v>
      </c>
      <c r="D384" s="39" t="s">
        <v>85</v>
      </c>
      <c r="E384" s="39" t="s">
        <v>1694</v>
      </c>
      <c r="F384" s="39" t="s">
        <v>1133</v>
      </c>
      <c r="G384" s="39" t="s">
        <v>1134</v>
      </c>
      <c r="H384" s="223" t="s">
        <v>1128</v>
      </c>
    </row>
    <row r="385" customFormat="false" ht="18.75" hidden="false" customHeight="true" outlineLevel="0" collapsed="false">
      <c r="A385" s="39" t="str">
        <f aca="false">B385&amp;"-"&amp;C385</f>
        <v>XII - NOTARIOS: Const. o modif. patrimonial-5</v>
      </c>
      <c r="B385" s="221" t="s">
        <v>992</v>
      </c>
      <c r="C385" s="222" t="n">
        <v>5</v>
      </c>
      <c r="D385" s="39" t="s">
        <v>88</v>
      </c>
      <c r="E385" s="39" t="s">
        <v>1695</v>
      </c>
      <c r="F385" s="39" t="s">
        <v>1136</v>
      </c>
      <c r="G385" s="39" t="s">
        <v>1137</v>
      </c>
      <c r="H385" s="223" t="s">
        <v>1138</v>
      </c>
    </row>
    <row r="386" customFormat="false" ht="18.75" hidden="false" customHeight="true" outlineLevel="0" collapsed="false">
      <c r="A386" s="39" t="str">
        <f aca="false">B386&amp;"-"&amp;C386</f>
        <v>XII - NOTARIOS: Const. o modif. patrimonial-6</v>
      </c>
      <c r="B386" s="221" t="s">
        <v>992</v>
      </c>
      <c r="C386" s="222" t="n">
        <v>6</v>
      </c>
      <c r="D386" s="39" t="s">
        <v>91</v>
      </c>
      <c r="E386" s="39" t="s">
        <v>1696</v>
      </c>
      <c r="F386" s="39" t="s">
        <v>1697</v>
      </c>
      <c r="G386" s="39" t="s">
        <v>1698</v>
      </c>
      <c r="H386" s="223" t="s">
        <v>1138</v>
      </c>
    </row>
    <row r="387" customFormat="false" ht="18.75" hidden="false" customHeight="true" outlineLevel="0" collapsed="false">
      <c r="A387" s="39" t="str">
        <f aca="false">B387&amp;"-"&amp;C387</f>
        <v>XII - NOTARIOS: Const. o modif. patrimonial-7</v>
      </c>
      <c r="B387" s="221" t="s">
        <v>992</v>
      </c>
      <c r="C387" s="222" t="n">
        <v>7</v>
      </c>
      <c r="D387" s="39" t="s">
        <v>94</v>
      </c>
      <c r="E387" s="39" t="s">
        <v>1142</v>
      </c>
      <c r="F387" s="39" t="s">
        <v>1143</v>
      </c>
      <c r="G387" s="39" t="s">
        <v>1144</v>
      </c>
      <c r="H387" s="223" t="s">
        <v>1138</v>
      </c>
    </row>
    <row r="388" customFormat="false" ht="18.75" hidden="false" customHeight="true" outlineLevel="0" collapsed="false">
      <c r="A388" s="39" t="str">
        <f aca="false">B388&amp;"-"&amp;C388</f>
        <v>XII - NOTARIOS: Const. o modif. patrimonial-8</v>
      </c>
      <c r="B388" s="221" t="s">
        <v>992</v>
      </c>
      <c r="C388" s="222" t="n">
        <v>8</v>
      </c>
      <c r="D388" s="39" t="s">
        <v>96</v>
      </c>
      <c r="E388" s="39" t="s">
        <v>1699</v>
      </c>
      <c r="F388" s="39" t="s">
        <v>1146</v>
      </c>
      <c r="G388" s="39" t="s">
        <v>1147</v>
      </c>
      <c r="H388" s="223" t="s">
        <v>1138</v>
      </c>
    </row>
    <row r="389" customFormat="false" ht="18.75" hidden="false" customHeight="true" outlineLevel="0" collapsed="false">
      <c r="A389" s="39" t="str">
        <f aca="false">B389&amp;"-"&amp;C389</f>
        <v>XII - NOTARIOS: Const. o modif. patrimonial-9</v>
      </c>
      <c r="B389" s="221" t="s">
        <v>992</v>
      </c>
      <c r="C389" s="222" t="n">
        <v>9</v>
      </c>
      <c r="D389" s="39" t="s">
        <v>98</v>
      </c>
      <c r="E389" s="39" t="s">
        <v>1148</v>
      </c>
      <c r="F389" s="39" t="s">
        <v>1149</v>
      </c>
      <c r="G389" s="39" t="s">
        <v>1150</v>
      </c>
      <c r="H389" s="223" t="s">
        <v>1138</v>
      </c>
    </row>
    <row r="390" customFormat="false" ht="18.75" hidden="false" customHeight="true" outlineLevel="0" collapsed="false">
      <c r="A390" s="39" t="str">
        <f aca="false">B390&amp;"-"&amp;C390</f>
        <v>XII - NOTARIOS: Const. o modif. patrimonial-10</v>
      </c>
      <c r="B390" s="221" t="s">
        <v>992</v>
      </c>
      <c r="C390" s="222" t="n">
        <v>10</v>
      </c>
      <c r="D390" s="39" t="s">
        <v>100</v>
      </c>
      <c r="E390" s="39" t="s">
        <v>1151</v>
      </c>
      <c r="F390" s="39" t="s">
        <v>1152</v>
      </c>
      <c r="G390" s="39" t="s">
        <v>1153</v>
      </c>
      <c r="H390" s="223" t="s">
        <v>1138</v>
      </c>
    </row>
    <row r="391" customFormat="false" ht="18.75" hidden="false" customHeight="true" outlineLevel="0" collapsed="false">
      <c r="A391" s="39" t="str">
        <f aca="false">B391&amp;"-"&amp;C391</f>
        <v>XII - NOTARIOS: Const. o modif. patrimonial-11</v>
      </c>
      <c r="B391" s="221" t="s">
        <v>992</v>
      </c>
      <c r="C391" s="222" t="n">
        <v>11</v>
      </c>
      <c r="D391" s="39" t="s">
        <v>102</v>
      </c>
      <c r="E391" s="39" t="s">
        <v>1154</v>
      </c>
      <c r="F391" s="39" t="s">
        <v>1155</v>
      </c>
      <c r="G391" s="39" t="s">
        <v>1156</v>
      </c>
      <c r="H391" s="223" t="s">
        <v>1138</v>
      </c>
    </row>
    <row r="392" customFormat="false" ht="18.75" hidden="false" customHeight="true" outlineLevel="0" collapsed="false">
      <c r="A392" s="39" t="str">
        <f aca="false">B392&amp;"-"&amp;C392</f>
        <v>XII - NOTARIOS: Const. o modif. patrimonial-12</v>
      </c>
      <c r="B392" s="221" t="s">
        <v>992</v>
      </c>
      <c r="C392" s="222" t="n">
        <v>12</v>
      </c>
      <c r="D392" s="39" t="s">
        <v>105</v>
      </c>
      <c r="E392" s="39" t="s">
        <v>1157</v>
      </c>
      <c r="F392" s="39" t="s">
        <v>1158</v>
      </c>
      <c r="G392" s="39" t="s">
        <v>1159</v>
      </c>
      <c r="H392" s="223" t="s">
        <v>1138</v>
      </c>
    </row>
    <row r="393" customFormat="false" ht="18.75" hidden="false" customHeight="true" outlineLevel="0" collapsed="false">
      <c r="A393" s="39" t="str">
        <f aca="false">B393&amp;"-"&amp;C393</f>
        <v>XII - NOTARIOS: Const. o modif. patrimonial-13</v>
      </c>
      <c r="B393" s="221" t="s">
        <v>992</v>
      </c>
      <c r="C393" s="222" t="n">
        <v>13</v>
      </c>
      <c r="D393" s="39" t="s">
        <v>107</v>
      </c>
      <c r="E393" s="39" t="s">
        <v>1700</v>
      </c>
      <c r="F393" s="39" t="s">
        <v>1161</v>
      </c>
      <c r="G393" s="39" t="s">
        <v>1701</v>
      </c>
      <c r="H393" s="223" t="s">
        <v>1124</v>
      </c>
    </row>
    <row r="394" customFormat="false" ht="18.75" hidden="false" customHeight="true" outlineLevel="0" collapsed="false">
      <c r="A394" s="39" t="str">
        <f aca="false">B394&amp;"-"&amp;C394</f>
        <v>XII - NOTARIOS: Const. o modif. patrimonial-14</v>
      </c>
      <c r="B394" s="221" t="s">
        <v>992</v>
      </c>
      <c r="C394" s="222" t="n">
        <v>14</v>
      </c>
      <c r="D394" s="39" t="s">
        <v>109</v>
      </c>
      <c r="E394" s="39" t="s">
        <v>1702</v>
      </c>
      <c r="F394" s="39" t="s">
        <v>1703</v>
      </c>
      <c r="G394" s="39" t="s">
        <v>1704</v>
      </c>
      <c r="H394" s="223" t="s">
        <v>1138</v>
      </c>
    </row>
    <row r="395" customFormat="false" ht="18.75" hidden="false" customHeight="true" outlineLevel="0" collapsed="false">
      <c r="A395" s="39" t="str">
        <f aca="false">B395&amp;"-"&amp;C395</f>
        <v>XII - NOTARIOS: Const. o modif. patrimonial-15</v>
      </c>
      <c r="B395" s="221" t="s">
        <v>992</v>
      </c>
      <c r="C395" s="222" t="n">
        <v>15</v>
      </c>
      <c r="D395" s="39" t="s">
        <v>112</v>
      </c>
      <c r="E395" s="39" t="s">
        <v>1705</v>
      </c>
      <c r="F395" s="39" t="s">
        <v>1706</v>
      </c>
      <c r="G395" s="39" t="s">
        <v>1707</v>
      </c>
      <c r="H395" s="223" t="s">
        <v>1138</v>
      </c>
    </row>
    <row r="396" customFormat="false" ht="18.75" hidden="false" customHeight="true" outlineLevel="0" collapsed="false">
      <c r="A396" s="39" t="str">
        <f aca="false">B396&amp;"-"&amp;C396</f>
        <v>XII - NOTARIOS: Const. o modif. patrimonial-16</v>
      </c>
      <c r="B396" s="221" t="s">
        <v>992</v>
      </c>
      <c r="C396" s="222" t="n">
        <v>16</v>
      </c>
      <c r="D396" s="39" t="s">
        <v>114</v>
      </c>
      <c r="E396" s="39" t="s">
        <v>1169</v>
      </c>
      <c r="F396" s="39" t="s">
        <v>1170</v>
      </c>
      <c r="G396" s="39" t="s">
        <v>1171</v>
      </c>
      <c r="H396" s="223" t="s">
        <v>1138</v>
      </c>
    </row>
    <row r="397" customFormat="false" ht="18.75" hidden="false" customHeight="true" outlineLevel="0" collapsed="false">
      <c r="A397" s="39" t="str">
        <f aca="false">B397&amp;"-"&amp;C397</f>
        <v>XII - NOTARIOS: Const. o modif. patrimonial-17</v>
      </c>
      <c r="B397" s="221" t="s">
        <v>992</v>
      </c>
      <c r="C397" s="222" t="n">
        <v>17</v>
      </c>
      <c r="D397" s="39" t="s">
        <v>116</v>
      </c>
      <c r="E397" s="39" t="s">
        <v>1708</v>
      </c>
      <c r="F397" s="39" t="s">
        <v>1173</v>
      </c>
      <c r="G397" s="39" t="s">
        <v>1709</v>
      </c>
      <c r="H397" s="223" t="s">
        <v>1124</v>
      </c>
    </row>
    <row r="398" customFormat="false" ht="18.75" hidden="false" customHeight="true" outlineLevel="0" collapsed="false">
      <c r="A398" s="39" t="str">
        <f aca="false">B398&amp;"-"&amp;C398</f>
        <v>XII - NOTARIOS: Const. o modif. patrimonial-18</v>
      </c>
      <c r="B398" s="221" t="s">
        <v>992</v>
      </c>
      <c r="C398" s="222" t="n">
        <v>18</v>
      </c>
      <c r="D398" s="39" t="s">
        <v>119</v>
      </c>
      <c r="E398" s="39" t="s">
        <v>1175</v>
      </c>
      <c r="F398" s="39" t="s">
        <v>1176</v>
      </c>
      <c r="G398" s="39" t="s">
        <v>1710</v>
      </c>
      <c r="H398" s="223" t="s">
        <v>1138</v>
      </c>
    </row>
    <row r="399" customFormat="false" ht="18.75" hidden="false" customHeight="true" outlineLevel="0" collapsed="false">
      <c r="A399" s="39" t="str">
        <f aca="false">B399&amp;"-"&amp;C399</f>
        <v>XII - NOTARIOS: Const. o modif. patrimonial-19</v>
      </c>
      <c r="B399" s="221" t="s">
        <v>992</v>
      </c>
      <c r="C399" s="222" t="n">
        <v>19</v>
      </c>
      <c r="D399" s="39" t="s">
        <v>122</v>
      </c>
      <c r="E399" s="39" t="s">
        <v>1178</v>
      </c>
      <c r="F399" s="39" t="s">
        <v>1179</v>
      </c>
      <c r="G399" s="39" t="s">
        <v>1180</v>
      </c>
      <c r="H399" s="223" t="s">
        <v>1138</v>
      </c>
    </row>
    <row r="400" customFormat="false" ht="18.75" hidden="false" customHeight="true" outlineLevel="0" collapsed="false">
      <c r="A400" s="39" t="str">
        <f aca="false">B400&amp;"-"&amp;C400</f>
        <v>XII - NOTARIOS: Const. o modif. patrimonial-20</v>
      </c>
      <c r="B400" s="221" t="s">
        <v>992</v>
      </c>
      <c r="C400" s="222" t="n">
        <v>20</v>
      </c>
      <c r="D400" s="39" t="s">
        <v>124</v>
      </c>
      <c r="E400" s="39" t="s">
        <v>1711</v>
      </c>
      <c r="F400" s="39" t="s">
        <v>1712</v>
      </c>
      <c r="G400" s="39" t="s">
        <v>1713</v>
      </c>
      <c r="H400" s="223" t="s">
        <v>1124</v>
      </c>
    </row>
    <row r="401" customFormat="false" ht="18.75" hidden="false" customHeight="true" outlineLevel="0" collapsed="false">
      <c r="A401" s="39" t="str">
        <f aca="false">B401&amp;"-"&amp;C401</f>
        <v>XII - NOTARIOS: Const. o modif. patrimonial-21</v>
      </c>
      <c r="B401" s="221" t="s">
        <v>992</v>
      </c>
      <c r="C401" s="222" t="n">
        <v>21</v>
      </c>
      <c r="D401" s="39" t="s">
        <v>126</v>
      </c>
      <c r="E401" s="39" t="s">
        <v>1714</v>
      </c>
      <c r="F401" s="39" t="s">
        <v>1715</v>
      </c>
      <c r="G401" s="39" t="s">
        <v>1716</v>
      </c>
      <c r="H401" s="223" t="s">
        <v>1124</v>
      </c>
    </row>
    <row r="402" customFormat="false" ht="18.75" hidden="false" customHeight="true" outlineLevel="0" collapsed="false">
      <c r="A402" s="39" t="str">
        <f aca="false">B402&amp;"-"&amp;C402</f>
        <v>XII - NOTARIOS: Const. o modif. patrimonial-22</v>
      </c>
      <c r="B402" s="221" t="s">
        <v>992</v>
      </c>
      <c r="C402" s="222" t="n">
        <v>22</v>
      </c>
      <c r="D402" s="39" t="s">
        <v>128</v>
      </c>
      <c r="E402" s="39" t="s">
        <v>1717</v>
      </c>
      <c r="F402" s="39" t="s">
        <v>1718</v>
      </c>
      <c r="G402" s="39" t="s">
        <v>1719</v>
      </c>
      <c r="H402" s="223" t="s">
        <v>1138</v>
      </c>
    </row>
    <row r="403" customFormat="false" ht="18.75" hidden="false" customHeight="true" outlineLevel="0" collapsed="false">
      <c r="A403" s="39" t="str">
        <f aca="false">B403&amp;"-"&amp;C403</f>
        <v>XII - NOTARIOS: Const. o modif. patrimonial-23</v>
      </c>
      <c r="B403" s="221" t="s">
        <v>992</v>
      </c>
      <c r="C403" s="222" t="n">
        <v>23</v>
      </c>
      <c r="D403" s="39" t="s">
        <v>131</v>
      </c>
      <c r="E403" s="39" t="s">
        <v>1190</v>
      </c>
      <c r="F403" s="39" t="s">
        <v>1191</v>
      </c>
      <c r="G403" s="39" t="s">
        <v>1192</v>
      </c>
      <c r="H403" s="223" t="s">
        <v>1128</v>
      </c>
    </row>
    <row r="404" customFormat="false" ht="18.75" hidden="false" customHeight="true" outlineLevel="0" collapsed="false">
      <c r="A404" s="39" t="str">
        <f aca="false">B404&amp;"-"&amp;C404</f>
        <v>XII - NOTARIOS: Const. o modif. patrimonial-24</v>
      </c>
      <c r="B404" s="221" t="s">
        <v>992</v>
      </c>
      <c r="C404" s="222" t="n">
        <v>24</v>
      </c>
      <c r="D404" s="39" t="s">
        <v>133</v>
      </c>
      <c r="E404" s="39" t="s">
        <v>1720</v>
      </c>
      <c r="F404" s="39" t="s">
        <v>1194</v>
      </c>
      <c r="G404" s="39" t="s">
        <v>1721</v>
      </c>
      <c r="H404" s="223" t="s">
        <v>1128</v>
      </c>
    </row>
    <row r="405" customFormat="false" ht="18.75" hidden="false" customHeight="true" outlineLevel="0" collapsed="false">
      <c r="A405" s="39" t="str">
        <f aca="false">B405&amp;"-"&amp;C405</f>
        <v>XII - NOTARIOS: Const. o modif. patrimonial-25</v>
      </c>
      <c r="B405" s="221" t="s">
        <v>992</v>
      </c>
      <c r="C405" s="222" t="n">
        <v>25</v>
      </c>
      <c r="D405" s="39" t="s">
        <v>135</v>
      </c>
      <c r="E405" s="39" t="s">
        <v>1722</v>
      </c>
      <c r="F405" s="39" t="s">
        <v>1197</v>
      </c>
      <c r="G405" s="39" t="s">
        <v>1198</v>
      </c>
      <c r="H405" s="223" t="s">
        <v>1128</v>
      </c>
    </row>
    <row r="406" customFormat="false" ht="18.75" hidden="false" customHeight="true" outlineLevel="0" collapsed="false">
      <c r="A406" s="39" t="str">
        <f aca="false">B406&amp;"-"&amp;C406</f>
        <v>XII - NOTARIOS: Const. o modif. fideicomisos-1</v>
      </c>
      <c r="B406" s="221" t="s">
        <v>1000</v>
      </c>
      <c r="C406" s="222" t="n">
        <v>1</v>
      </c>
      <c r="D406" s="39" t="s">
        <v>77</v>
      </c>
      <c r="E406" s="39" t="s">
        <v>1723</v>
      </c>
      <c r="F406" s="39" t="s">
        <v>1724</v>
      </c>
      <c r="G406" s="39" t="s">
        <v>1725</v>
      </c>
      <c r="H406" s="223" t="s">
        <v>1124</v>
      </c>
    </row>
    <row r="407" customFormat="false" ht="18.75" hidden="false" customHeight="true" outlineLevel="0" collapsed="false">
      <c r="A407" s="39" t="str">
        <f aca="false">B407&amp;"-"&amp;C407</f>
        <v>XII - NOTARIOS: Const. o modif. fideicomisos-2</v>
      </c>
      <c r="B407" s="221" t="s">
        <v>1000</v>
      </c>
      <c r="C407" s="222" t="n">
        <v>2</v>
      </c>
      <c r="D407" s="39" t="s">
        <v>81</v>
      </c>
      <c r="E407" s="39" t="s">
        <v>1726</v>
      </c>
      <c r="F407" s="39" t="s">
        <v>1727</v>
      </c>
      <c r="G407" s="39" t="s">
        <v>1728</v>
      </c>
      <c r="H407" s="223" t="s">
        <v>1128</v>
      </c>
    </row>
    <row r="408" customFormat="false" ht="18.75" hidden="false" customHeight="true" outlineLevel="0" collapsed="false">
      <c r="A408" s="39" t="str">
        <f aca="false">B408&amp;"-"&amp;C408</f>
        <v>XII - NOTARIOS: Const. o modif. fideicomisos-3</v>
      </c>
      <c r="B408" s="221" t="s">
        <v>1000</v>
      </c>
      <c r="C408" s="222" t="n">
        <v>3</v>
      </c>
      <c r="D408" s="39" t="s">
        <v>83</v>
      </c>
      <c r="E408" s="39" t="s">
        <v>1729</v>
      </c>
      <c r="F408" s="39" t="s">
        <v>1730</v>
      </c>
      <c r="G408" s="39" t="s">
        <v>1731</v>
      </c>
      <c r="H408" s="223" t="s">
        <v>1128</v>
      </c>
    </row>
    <row r="409" customFormat="false" ht="18.75" hidden="false" customHeight="true" outlineLevel="0" collapsed="false">
      <c r="A409" s="39" t="str">
        <f aca="false">B409&amp;"-"&amp;C409</f>
        <v>XII - NOTARIOS: Const. o modif. fideicomisos-4</v>
      </c>
      <c r="B409" s="221" t="s">
        <v>1000</v>
      </c>
      <c r="C409" s="222" t="n">
        <v>4</v>
      </c>
      <c r="D409" s="39" t="s">
        <v>85</v>
      </c>
      <c r="E409" s="39" t="s">
        <v>1732</v>
      </c>
      <c r="F409" s="39" t="s">
        <v>1133</v>
      </c>
      <c r="G409" s="39" t="s">
        <v>1134</v>
      </c>
      <c r="H409" s="223" t="s">
        <v>1128</v>
      </c>
    </row>
    <row r="410" customFormat="false" ht="18.75" hidden="false" customHeight="true" outlineLevel="0" collapsed="false">
      <c r="A410" s="39" t="str">
        <f aca="false">B410&amp;"-"&amp;C410</f>
        <v>XII - NOTARIOS: Const. o modif. fideicomisos-5</v>
      </c>
      <c r="B410" s="221" t="s">
        <v>1000</v>
      </c>
      <c r="C410" s="222" t="n">
        <v>5</v>
      </c>
      <c r="D410" s="39" t="s">
        <v>88</v>
      </c>
      <c r="E410" s="39" t="s">
        <v>1733</v>
      </c>
      <c r="F410" s="39" t="s">
        <v>1136</v>
      </c>
      <c r="G410" s="39" t="s">
        <v>1137</v>
      </c>
      <c r="H410" s="223" t="s">
        <v>1138</v>
      </c>
    </row>
    <row r="411" customFormat="false" ht="18.75" hidden="false" customHeight="true" outlineLevel="0" collapsed="false">
      <c r="A411" s="39" t="str">
        <f aca="false">B411&amp;"-"&amp;C411</f>
        <v>XII - NOTARIOS: Const. o modif. fideicomisos-6</v>
      </c>
      <c r="B411" s="221" t="s">
        <v>1000</v>
      </c>
      <c r="C411" s="222" t="n">
        <v>6</v>
      </c>
      <c r="D411" s="39" t="s">
        <v>91</v>
      </c>
      <c r="E411" s="39" t="s">
        <v>1734</v>
      </c>
      <c r="F411" s="39" t="s">
        <v>1735</v>
      </c>
      <c r="G411" s="39" t="s">
        <v>1736</v>
      </c>
      <c r="H411" s="223" t="s">
        <v>1138</v>
      </c>
    </row>
    <row r="412" customFormat="false" ht="18.75" hidden="false" customHeight="true" outlineLevel="0" collapsed="false">
      <c r="A412" s="39" t="str">
        <f aca="false">B412&amp;"-"&amp;C412</f>
        <v>XII - NOTARIOS: Const. o modif. fideicomisos-7</v>
      </c>
      <c r="B412" s="221" t="s">
        <v>1000</v>
      </c>
      <c r="C412" s="222" t="n">
        <v>7</v>
      </c>
      <c r="D412" s="39" t="s">
        <v>94</v>
      </c>
      <c r="E412" s="39" t="s">
        <v>1142</v>
      </c>
      <c r="F412" s="39" t="s">
        <v>1143</v>
      </c>
      <c r="G412" s="39" t="s">
        <v>1144</v>
      </c>
      <c r="H412" s="223" t="s">
        <v>1138</v>
      </c>
    </row>
    <row r="413" customFormat="false" ht="18.75" hidden="false" customHeight="true" outlineLevel="0" collapsed="false">
      <c r="A413" s="39" t="str">
        <f aca="false">B413&amp;"-"&amp;C413</f>
        <v>XII - NOTARIOS: Const. o modif. fideicomisos-8</v>
      </c>
      <c r="B413" s="221" t="s">
        <v>1000</v>
      </c>
      <c r="C413" s="222" t="n">
        <v>8</v>
      </c>
      <c r="D413" s="39" t="s">
        <v>96</v>
      </c>
      <c r="E413" s="39" t="s">
        <v>1737</v>
      </c>
      <c r="F413" s="39" t="s">
        <v>1146</v>
      </c>
      <c r="G413" s="39" t="s">
        <v>1147</v>
      </c>
      <c r="H413" s="223" t="s">
        <v>1138</v>
      </c>
    </row>
    <row r="414" customFormat="false" ht="18.75" hidden="false" customHeight="true" outlineLevel="0" collapsed="false">
      <c r="A414" s="39" t="str">
        <f aca="false">B414&amp;"-"&amp;C414</f>
        <v>XII - NOTARIOS: Const. o modif. fideicomisos-9</v>
      </c>
      <c r="B414" s="221" t="s">
        <v>1000</v>
      </c>
      <c r="C414" s="222" t="n">
        <v>9</v>
      </c>
      <c r="D414" s="39" t="s">
        <v>98</v>
      </c>
      <c r="E414" s="39" t="s">
        <v>1148</v>
      </c>
      <c r="F414" s="39" t="s">
        <v>1149</v>
      </c>
      <c r="G414" s="39" t="s">
        <v>1150</v>
      </c>
      <c r="H414" s="223" t="s">
        <v>1138</v>
      </c>
    </row>
    <row r="415" customFormat="false" ht="18.75" hidden="false" customHeight="true" outlineLevel="0" collapsed="false">
      <c r="A415" s="39" t="str">
        <f aca="false">B415&amp;"-"&amp;C415</f>
        <v>XII - NOTARIOS: Const. o modif. fideicomisos-10</v>
      </c>
      <c r="B415" s="221" t="s">
        <v>1000</v>
      </c>
      <c r="C415" s="222" t="n">
        <v>10</v>
      </c>
      <c r="D415" s="39" t="s">
        <v>100</v>
      </c>
      <c r="E415" s="39" t="s">
        <v>1151</v>
      </c>
      <c r="F415" s="39" t="s">
        <v>1152</v>
      </c>
      <c r="G415" s="39" t="s">
        <v>1153</v>
      </c>
      <c r="H415" s="223" t="s">
        <v>1138</v>
      </c>
    </row>
    <row r="416" customFormat="false" ht="18.75" hidden="false" customHeight="true" outlineLevel="0" collapsed="false">
      <c r="A416" s="39" t="str">
        <f aca="false">B416&amp;"-"&amp;C416</f>
        <v>XII - NOTARIOS: Const. o modif. fideicomisos-11</v>
      </c>
      <c r="B416" s="221" t="s">
        <v>1000</v>
      </c>
      <c r="C416" s="222" t="n">
        <v>11</v>
      </c>
      <c r="D416" s="39" t="s">
        <v>102</v>
      </c>
      <c r="E416" s="39" t="s">
        <v>1154</v>
      </c>
      <c r="F416" s="39" t="s">
        <v>1155</v>
      </c>
      <c r="G416" s="39" t="s">
        <v>1156</v>
      </c>
      <c r="H416" s="223" t="s">
        <v>1138</v>
      </c>
    </row>
    <row r="417" customFormat="false" ht="18.75" hidden="false" customHeight="true" outlineLevel="0" collapsed="false">
      <c r="A417" s="39" t="str">
        <f aca="false">B417&amp;"-"&amp;C417</f>
        <v>XII - NOTARIOS: Const. o modif. fideicomisos-12</v>
      </c>
      <c r="B417" s="221" t="s">
        <v>1000</v>
      </c>
      <c r="C417" s="222" t="n">
        <v>12</v>
      </c>
      <c r="D417" s="39" t="s">
        <v>105</v>
      </c>
      <c r="E417" s="39" t="s">
        <v>1157</v>
      </c>
      <c r="F417" s="39" t="s">
        <v>1158</v>
      </c>
      <c r="G417" s="39" t="s">
        <v>1159</v>
      </c>
      <c r="H417" s="223" t="s">
        <v>1138</v>
      </c>
    </row>
    <row r="418" customFormat="false" ht="18.75" hidden="false" customHeight="true" outlineLevel="0" collapsed="false">
      <c r="A418" s="39" t="str">
        <f aca="false">B418&amp;"-"&amp;C418</f>
        <v>XII - NOTARIOS: Const. o modif. fideicomisos-13</v>
      </c>
      <c r="B418" s="221" t="s">
        <v>1000</v>
      </c>
      <c r="C418" s="222" t="n">
        <v>13</v>
      </c>
      <c r="D418" s="39" t="s">
        <v>107</v>
      </c>
      <c r="E418" s="39" t="s">
        <v>1738</v>
      </c>
      <c r="F418" s="39" t="s">
        <v>1161</v>
      </c>
      <c r="G418" s="39" t="s">
        <v>1739</v>
      </c>
      <c r="H418" s="223" t="s">
        <v>1124</v>
      </c>
    </row>
    <row r="419" customFormat="false" ht="18.75" hidden="false" customHeight="true" outlineLevel="0" collapsed="false">
      <c r="A419" s="39" t="str">
        <f aca="false">B419&amp;"-"&amp;C419</f>
        <v>XII - NOTARIOS: Const. o modif. fideicomisos-14</v>
      </c>
      <c r="B419" s="221" t="s">
        <v>1000</v>
      </c>
      <c r="C419" s="222" t="n">
        <v>14</v>
      </c>
      <c r="D419" s="39" t="s">
        <v>109</v>
      </c>
      <c r="E419" s="39" t="s">
        <v>1740</v>
      </c>
      <c r="F419" s="39" t="s">
        <v>1741</v>
      </c>
      <c r="G419" s="39" t="s">
        <v>1742</v>
      </c>
      <c r="H419" s="223" t="s">
        <v>1138</v>
      </c>
    </row>
    <row r="420" customFormat="false" ht="18.75" hidden="false" customHeight="true" outlineLevel="0" collapsed="false">
      <c r="A420" s="39" t="str">
        <f aca="false">B420&amp;"-"&amp;C420</f>
        <v>XII - NOTARIOS: Const. o modif. fideicomisos-15</v>
      </c>
      <c r="B420" s="221" t="s">
        <v>1000</v>
      </c>
      <c r="C420" s="222" t="n">
        <v>15</v>
      </c>
      <c r="D420" s="39" t="s">
        <v>112</v>
      </c>
      <c r="E420" s="39" t="s">
        <v>1743</v>
      </c>
      <c r="F420" s="39" t="s">
        <v>1744</v>
      </c>
      <c r="G420" s="39" t="s">
        <v>1745</v>
      </c>
      <c r="H420" s="223" t="s">
        <v>1138</v>
      </c>
    </row>
    <row r="421" customFormat="false" ht="18.75" hidden="false" customHeight="true" outlineLevel="0" collapsed="false">
      <c r="A421" s="39" t="str">
        <f aca="false">B421&amp;"-"&amp;C421</f>
        <v>XII - NOTARIOS: Const. o modif. fideicomisos-16</v>
      </c>
      <c r="B421" s="221" t="s">
        <v>1000</v>
      </c>
      <c r="C421" s="222" t="n">
        <v>16</v>
      </c>
      <c r="D421" s="39" t="s">
        <v>114</v>
      </c>
      <c r="E421" s="39" t="s">
        <v>1169</v>
      </c>
      <c r="F421" s="39" t="s">
        <v>1170</v>
      </c>
      <c r="G421" s="39" t="s">
        <v>1171</v>
      </c>
      <c r="H421" s="223" t="s">
        <v>1138</v>
      </c>
    </row>
    <row r="422" customFormat="false" ht="18.75" hidden="false" customHeight="true" outlineLevel="0" collapsed="false">
      <c r="A422" s="39" t="str">
        <f aca="false">B422&amp;"-"&amp;C422</f>
        <v>XII - NOTARIOS: Const. o modif. fideicomisos-17</v>
      </c>
      <c r="B422" s="221" t="s">
        <v>1000</v>
      </c>
      <c r="C422" s="222" t="n">
        <v>17</v>
      </c>
      <c r="D422" s="39" t="s">
        <v>116</v>
      </c>
      <c r="E422" s="39" t="s">
        <v>1746</v>
      </c>
      <c r="F422" s="39" t="s">
        <v>1173</v>
      </c>
      <c r="G422" s="39" t="s">
        <v>1747</v>
      </c>
      <c r="H422" s="223" t="s">
        <v>1124</v>
      </c>
    </row>
    <row r="423" customFormat="false" ht="18.75" hidden="false" customHeight="true" outlineLevel="0" collapsed="false">
      <c r="A423" s="39" t="str">
        <f aca="false">B423&amp;"-"&amp;C423</f>
        <v>XII - NOTARIOS: Const. o modif. fideicomisos-18</v>
      </c>
      <c r="B423" s="221" t="s">
        <v>1000</v>
      </c>
      <c r="C423" s="222" t="n">
        <v>18</v>
      </c>
      <c r="D423" s="39" t="s">
        <v>119</v>
      </c>
      <c r="E423" s="39" t="s">
        <v>1175</v>
      </c>
      <c r="F423" s="39" t="s">
        <v>1176</v>
      </c>
      <c r="G423" s="39" t="s">
        <v>1748</v>
      </c>
      <c r="H423" s="223" t="s">
        <v>1138</v>
      </c>
    </row>
    <row r="424" customFormat="false" ht="18.75" hidden="false" customHeight="true" outlineLevel="0" collapsed="false">
      <c r="A424" s="39" t="str">
        <f aca="false">B424&amp;"-"&amp;C424</f>
        <v>XII - NOTARIOS: Const. o modif. fideicomisos-19</v>
      </c>
      <c r="B424" s="221" t="s">
        <v>1000</v>
      </c>
      <c r="C424" s="222" t="n">
        <v>19</v>
      </c>
      <c r="D424" s="39" t="s">
        <v>122</v>
      </c>
      <c r="E424" s="39" t="s">
        <v>1178</v>
      </c>
      <c r="F424" s="39" t="s">
        <v>1179</v>
      </c>
      <c r="G424" s="39" t="s">
        <v>1180</v>
      </c>
      <c r="H424" s="223" t="s">
        <v>1138</v>
      </c>
    </row>
    <row r="425" customFormat="false" ht="18.75" hidden="false" customHeight="true" outlineLevel="0" collapsed="false">
      <c r="A425" s="39" t="str">
        <f aca="false">B425&amp;"-"&amp;C425</f>
        <v>XII - NOTARIOS: Const. o modif. fideicomisos-20</v>
      </c>
      <c r="B425" s="221" t="s">
        <v>1000</v>
      </c>
      <c r="C425" s="222" t="n">
        <v>20</v>
      </c>
      <c r="D425" s="39" t="s">
        <v>124</v>
      </c>
      <c r="E425" s="39" t="s">
        <v>1749</v>
      </c>
      <c r="F425" s="39" t="s">
        <v>1750</v>
      </c>
      <c r="G425" s="39" t="s">
        <v>1751</v>
      </c>
      <c r="H425" s="223" t="s">
        <v>1124</v>
      </c>
    </row>
    <row r="426" customFormat="false" ht="18.75" hidden="false" customHeight="true" outlineLevel="0" collapsed="false">
      <c r="A426" s="39" t="str">
        <f aca="false">B426&amp;"-"&amp;C426</f>
        <v>XII - NOTARIOS: Const. o modif. fideicomisos-21</v>
      </c>
      <c r="B426" s="221" t="s">
        <v>1000</v>
      </c>
      <c r="C426" s="222" t="n">
        <v>21</v>
      </c>
      <c r="D426" s="39" t="s">
        <v>126</v>
      </c>
      <c r="E426" s="39" t="s">
        <v>1752</v>
      </c>
      <c r="F426" s="39" t="s">
        <v>1753</v>
      </c>
      <c r="G426" s="39" t="s">
        <v>1754</v>
      </c>
      <c r="H426" s="223" t="s">
        <v>1124</v>
      </c>
    </row>
    <row r="427" customFormat="false" ht="18.75" hidden="false" customHeight="true" outlineLevel="0" collapsed="false">
      <c r="A427" s="39" t="str">
        <f aca="false">B427&amp;"-"&amp;C427</f>
        <v>XII - NOTARIOS: Const. o modif. fideicomisos-22</v>
      </c>
      <c r="B427" s="221" t="s">
        <v>1000</v>
      </c>
      <c r="C427" s="222" t="n">
        <v>22</v>
      </c>
      <c r="D427" s="39" t="s">
        <v>128</v>
      </c>
      <c r="E427" s="39" t="s">
        <v>1755</v>
      </c>
      <c r="F427" s="39" t="s">
        <v>1756</v>
      </c>
      <c r="G427" s="39" t="s">
        <v>1757</v>
      </c>
      <c r="H427" s="223" t="s">
        <v>1138</v>
      </c>
    </row>
    <row r="428" customFormat="false" ht="18.75" hidden="false" customHeight="true" outlineLevel="0" collapsed="false">
      <c r="A428" s="39" t="str">
        <f aca="false">B428&amp;"-"&amp;C428</f>
        <v>XII - NOTARIOS: Const. o modif. fideicomisos-23</v>
      </c>
      <c r="B428" s="221" t="s">
        <v>1000</v>
      </c>
      <c r="C428" s="222" t="n">
        <v>23</v>
      </c>
      <c r="D428" s="39" t="s">
        <v>131</v>
      </c>
      <c r="E428" s="39" t="s">
        <v>1190</v>
      </c>
      <c r="F428" s="39" t="s">
        <v>1191</v>
      </c>
      <c r="G428" s="39" t="s">
        <v>1192</v>
      </c>
      <c r="H428" s="223" t="s">
        <v>1128</v>
      </c>
    </row>
    <row r="429" customFormat="false" ht="18.75" hidden="false" customHeight="true" outlineLevel="0" collapsed="false">
      <c r="A429" s="39" t="str">
        <f aca="false">B429&amp;"-"&amp;C429</f>
        <v>XII - NOTARIOS: Const. o modif. fideicomisos-24</v>
      </c>
      <c r="B429" s="221" t="s">
        <v>1000</v>
      </c>
      <c r="C429" s="222" t="n">
        <v>24</v>
      </c>
      <c r="D429" s="39" t="s">
        <v>133</v>
      </c>
      <c r="E429" s="39" t="s">
        <v>1758</v>
      </c>
      <c r="F429" s="39" t="s">
        <v>1194</v>
      </c>
      <c r="G429" s="39" t="s">
        <v>1759</v>
      </c>
      <c r="H429" s="223" t="s">
        <v>1128</v>
      </c>
    </row>
    <row r="430" customFormat="false" ht="18.75" hidden="false" customHeight="true" outlineLevel="0" collapsed="false">
      <c r="A430" s="39" t="str">
        <f aca="false">B430&amp;"-"&amp;C430</f>
        <v>XII - NOTARIOS: Const. o modif. fideicomisos-25</v>
      </c>
      <c r="B430" s="221" t="s">
        <v>1000</v>
      </c>
      <c r="C430" s="222" t="n">
        <v>25</v>
      </c>
      <c r="D430" s="39" t="s">
        <v>135</v>
      </c>
      <c r="E430" s="39" t="s">
        <v>1760</v>
      </c>
      <c r="F430" s="39" t="s">
        <v>1197</v>
      </c>
      <c r="G430" s="39" t="s">
        <v>1198</v>
      </c>
      <c r="H430" s="223" t="s">
        <v>1128</v>
      </c>
    </row>
    <row r="431" customFormat="false" ht="18.75" hidden="false" customHeight="true" outlineLevel="0" collapsed="false">
      <c r="A431" s="39" t="str">
        <f aca="false">B431&amp;"-"&amp;C431</f>
        <v>XII - NOTARIOS: Mutuo con no financiero-1</v>
      </c>
      <c r="B431" s="221" t="s">
        <v>1008</v>
      </c>
      <c r="C431" s="222" t="n">
        <v>1</v>
      </c>
      <c r="D431" s="39" t="s">
        <v>77</v>
      </c>
      <c r="E431" s="39" t="s">
        <v>1761</v>
      </c>
      <c r="F431" s="39" t="s">
        <v>1762</v>
      </c>
      <c r="G431" s="39" t="s">
        <v>1763</v>
      </c>
      <c r="H431" s="223" t="s">
        <v>1124</v>
      </c>
    </row>
    <row r="432" customFormat="false" ht="18.75" hidden="false" customHeight="true" outlineLevel="0" collapsed="false">
      <c r="A432" s="39" t="str">
        <f aca="false">B432&amp;"-"&amp;C432</f>
        <v>XII - NOTARIOS: Mutuo con no financiero-2</v>
      </c>
      <c r="B432" s="221" t="s">
        <v>1008</v>
      </c>
      <c r="C432" s="222" t="n">
        <v>2</v>
      </c>
      <c r="D432" s="39" t="s">
        <v>81</v>
      </c>
      <c r="E432" s="39" t="s">
        <v>1764</v>
      </c>
      <c r="F432" s="39" t="s">
        <v>1765</v>
      </c>
      <c r="G432" s="39" t="s">
        <v>1766</v>
      </c>
      <c r="H432" s="223" t="s">
        <v>1128</v>
      </c>
    </row>
    <row r="433" customFormat="false" ht="18.75" hidden="false" customHeight="true" outlineLevel="0" collapsed="false">
      <c r="A433" s="39" t="str">
        <f aca="false">B433&amp;"-"&amp;C433</f>
        <v>XII - NOTARIOS: Mutuo con no financiero-3</v>
      </c>
      <c r="B433" s="221" t="s">
        <v>1008</v>
      </c>
      <c r="C433" s="222" t="n">
        <v>3</v>
      </c>
      <c r="D433" s="39" t="s">
        <v>83</v>
      </c>
      <c r="E433" s="39" t="s">
        <v>1767</v>
      </c>
      <c r="F433" s="39" t="s">
        <v>1768</v>
      </c>
      <c r="G433" s="39" t="s">
        <v>1769</v>
      </c>
      <c r="H433" s="223" t="s">
        <v>1128</v>
      </c>
    </row>
    <row r="434" customFormat="false" ht="18.75" hidden="false" customHeight="true" outlineLevel="0" collapsed="false">
      <c r="A434" s="39" t="str">
        <f aca="false">B434&amp;"-"&amp;C434</f>
        <v>XII - NOTARIOS: Mutuo con no financiero-4</v>
      </c>
      <c r="B434" s="221" t="s">
        <v>1008</v>
      </c>
      <c r="C434" s="222" t="n">
        <v>4</v>
      </c>
      <c r="D434" s="39" t="s">
        <v>85</v>
      </c>
      <c r="E434" s="39" t="s">
        <v>1770</v>
      </c>
      <c r="F434" s="39" t="s">
        <v>1133</v>
      </c>
      <c r="G434" s="39" t="s">
        <v>1134</v>
      </c>
      <c r="H434" s="223" t="s">
        <v>1128</v>
      </c>
    </row>
    <row r="435" customFormat="false" ht="18.75" hidden="false" customHeight="true" outlineLevel="0" collapsed="false">
      <c r="A435" s="39" t="str">
        <f aca="false">B435&amp;"-"&amp;C435</f>
        <v>XII - NOTARIOS: Mutuo con no financiero-5</v>
      </c>
      <c r="B435" s="221" t="s">
        <v>1008</v>
      </c>
      <c r="C435" s="222" t="n">
        <v>5</v>
      </c>
      <c r="D435" s="39" t="s">
        <v>88</v>
      </c>
      <c r="E435" s="39" t="s">
        <v>1771</v>
      </c>
      <c r="F435" s="39" t="s">
        <v>1136</v>
      </c>
      <c r="G435" s="39" t="s">
        <v>1137</v>
      </c>
      <c r="H435" s="223" t="s">
        <v>1138</v>
      </c>
    </row>
    <row r="436" customFormat="false" ht="18.75" hidden="false" customHeight="true" outlineLevel="0" collapsed="false">
      <c r="A436" s="39" t="str">
        <f aca="false">B436&amp;"-"&amp;C436</f>
        <v>XII - NOTARIOS: Mutuo con no financiero-6</v>
      </c>
      <c r="B436" s="221" t="s">
        <v>1008</v>
      </c>
      <c r="C436" s="222" t="n">
        <v>6</v>
      </c>
      <c r="D436" s="39" t="s">
        <v>91</v>
      </c>
      <c r="E436" s="39" t="s">
        <v>1772</v>
      </c>
      <c r="F436" s="39" t="s">
        <v>1773</v>
      </c>
      <c r="G436" s="39" t="s">
        <v>1774</v>
      </c>
      <c r="H436" s="223" t="s">
        <v>1138</v>
      </c>
    </row>
    <row r="437" customFormat="false" ht="18.75" hidden="false" customHeight="true" outlineLevel="0" collapsed="false">
      <c r="A437" s="39" t="str">
        <f aca="false">B437&amp;"-"&amp;C437</f>
        <v>XII - NOTARIOS: Mutuo con no financiero-7</v>
      </c>
      <c r="B437" s="221" t="s">
        <v>1008</v>
      </c>
      <c r="C437" s="222" t="n">
        <v>7</v>
      </c>
      <c r="D437" s="39" t="s">
        <v>94</v>
      </c>
      <c r="E437" s="39" t="s">
        <v>1142</v>
      </c>
      <c r="F437" s="39" t="s">
        <v>1143</v>
      </c>
      <c r="G437" s="39" t="s">
        <v>1144</v>
      </c>
      <c r="H437" s="223" t="s">
        <v>1138</v>
      </c>
    </row>
    <row r="438" customFormat="false" ht="18.75" hidden="false" customHeight="true" outlineLevel="0" collapsed="false">
      <c r="A438" s="39" t="str">
        <f aca="false">B438&amp;"-"&amp;C438</f>
        <v>XII - NOTARIOS: Mutuo con no financiero-8</v>
      </c>
      <c r="B438" s="221" t="s">
        <v>1008</v>
      </c>
      <c r="C438" s="222" t="n">
        <v>8</v>
      </c>
      <c r="D438" s="39" t="s">
        <v>96</v>
      </c>
      <c r="E438" s="39" t="s">
        <v>1775</v>
      </c>
      <c r="F438" s="39" t="s">
        <v>1146</v>
      </c>
      <c r="G438" s="39" t="s">
        <v>1147</v>
      </c>
      <c r="H438" s="223" t="s">
        <v>1138</v>
      </c>
    </row>
    <row r="439" customFormat="false" ht="18.75" hidden="false" customHeight="true" outlineLevel="0" collapsed="false">
      <c r="A439" s="39" t="str">
        <f aca="false">B439&amp;"-"&amp;C439</f>
        <v>XII - NOTARIOS: Mutuo con no financiero-9</v>
      </c>
      <c r="B439" s="221" t="s">
        <v>1008</v>
      </c>
      <c r="C439" s="222" t="n">
        <v>9</v>
      </c>
      <c r="D439" s="39" t="s">
        <v>98</v>
      </c>
      <c r="E439" s="39" t="s">
        <v>1148</v>
      </c>
      <c r="F439" s="39" t="s">
        <v>1149</v>
      </c>
      <c r="G439" s="39" t="s">
        <v>1150</v>
      </c>
      <c r="H439" s="223" t="s">
        <v>1138</v>
      </c>
    </row>
    <row r="440" customFormat="false" ht="18.75" hidden="false" customHeight="true" outlineLevel="0" collapsed="false">
      <c r="A440" s="39" t="str">
        <f aca="false">B440&amp;"-"&amp;C440</f>
        <v>XII - NOTARIOS: Mutuo con no financiero-10</v>
      </c>
      <c r="B440" s="221" t="s">
        <v>1008</v>
      </c>
      <c r="C440" s="222" t="n">
        <v>10</v>
      </c>
      <c r="D440" s="39" t="s">
        <v>100</v>
      </c>
      <c r="E440" s="39" t="s">
        <v>1151</v>
      </c>
      <c r="F440" s="39" t="s">
        <v>1152</v>
      </c>
      <c r="G440" s="39" t="s">
        <v>1153</v>
      </c>
      <c r="H440" s="223" t="s">
        <v>1138</v>
      </c>
    </row>
    <row r="441" customFormat="false" ht="18.75" hidden="false" customHeight="true" outlineLevel="0" collapsed="false">
      <c r="A441" s="39" t="str">
        <f aca="false">B441&amp;"-"&amp;C441</f>
        <v>XII - NOTARIOS: Mutuo con no financiero-11</v>
      </c>
      <c r="B441" s="221" t="s">
        <v>1008</v>
      </c>
      <c r="C441" s="222" t="n">
        <v>11</v>
      </c>
      <c r="D441" s="39" t="s">
        <v>102</v>
      </c>
      <c r="E441" s="39" t="s">
        <v>1154</v>
      </c>
      <c r="F441" s="39" t="s">
        <v>1155</v>
      </c>
      <c r="G441" s="39" t="s">
        <v>1156</v>
      </c>
      <c r="H441" s="223" t="s">
        <v>1138</v>
      </c>
    </row>
    <row r="442" customFormat="false" ht="18.75" hidden="false" customHeight="true" outlineLevel="0" collapsed="false">
      <c r="A442" s="39" t="str">
        <f aca="false">B442&amp;"-"&amp;C442</f>
        <v>XII - NOTARIOS: Mutuo con no financiero-12</v>
      </c>
      <c r="B442" s="221" t="s">
        <v>1008</v>
      </c>
      <c r="C442" s="222" t="n">
        <v>12</v>
      </c>
      <c r="D442" s="39" t="s">
        <v>105</v>
      </c>
      <c r="E442" s="39" t="s">
        <v>1157</v>
      </c>
      <c r="F442" s="39" t="s">
        <v>1158</v>
      </c>
      <c r="G442" s="39" t="s">
        <v>1159</v>
      </c>
      <c r="H442" s="223" t="s">
        <v>1138</v>
      </c>
    </row>
    <row r="443" customFormat="false" ht="18.75" hidden="false" customHeight="true" outlineLevel="0" collapsed="false">
      <c r="A443" s="39" t="str">
        <f aca="false">B443&amp;"-"&amp;C443</f>
        <v>XII - NOTARIOS: Mutuo con no financiero-13</v>
      </c>
      <c r="B443" s="221" t="s">
        <v>1008</v>
      </c>
      <c r="C443" s="222" t="n">
        <v>13</v>
      </c>
      <c r="D443" s="39" t="s">
        <v>107</v>
      </c>
      <c r="E443" s="39" t="s">
        <v>1776</v>
      </c>
      <c r="F443" s="39" t="s">
        <v>1161</v>
      </c>
      <c r="G443" s="39" t="s">
        <v>1777</v>
      </c>
      <c r="H443" s="223" t="s">
        <v>1124</v>
      </c>
    </row>
    <row r="444" customFormat="false" ht="18.75" hidden="false" customHeight="true" outlineLevel="0" collapsed="false">
      <c r="A444" s="39" t="str">
        <f aca="false">B444&amp;"-"&amp;C444</f>
        <v>XII - NOTARIOS: Mutuo con no financiero-14</v>
      </c>
      <c r="B444" s="221" t="s">
        <v>1008</v>
      </c>
      <c r="C444" s="222" t="n">
        <v>14</v>
      </c>
      <c r="D444" s="39" t="s">
        <v>109</v>
      </c>
      <c r="E444" s="39" t="s">
        <v>1778</v>
      </c>
      <c r="F444" s="39" t="s">
        <v>1779</v>
      </c>
      <c r="G444" s="39" t="s">
        <v>1780</v>
      </c>
      <c r="H444" s="223" t="s">
        <v>1138</v>
      </c>
    </row>
    <row r="445" customFormat="false" ht="18.75" hidden="false" customHeight="true" outlineLevel="0" collapsed="false">
      <c r="A445" s="39" t="str">
        <f aca="false">B445&amp;"-"&amp;C445</f>
        <v>XII - NOTARIOS: Mutuo con no financiero-15</v>
      </c>
      <c r="B445" s="221" t="s">
        <v>1008</v>
      </c>
      <c r="C445" s="222" t="n">
        <v>15</v>
      </c>
      <c r="D445" s="39" t="s">
        <v>112</v>
      </c>
      <c r="E445" s="39" t="s">
        <v>1781</v>
      </c>
      <c r="F445" s="39" t="s">
        <v>1782</v>
      </c>
      <c r="G445" s="39" t="s">
        <v>1783</v>
      </c>
      <c r="H445" s="223" t="s">
        <v>1138</v>
      </c>
    </row>
    <row r="446" customFormat="false" ht="18.75" hidden="false" customHeight="true" outlineLevel="0" collapsed="false">
      <c r="A446" s="39" t="str">
        <f aca="false">B446&amp;"-"&amp;C446</f>
        <v>XII - NOTARIOS: Mutuo con no financiero-16</v>
      </c>
      <c r="B446" s="221" t="s">
        <v>1008</v>
      </c>
      <c r="C446" s="222" t="n">
        <v>16</v>
      </c>
      <c r="D446" s="39" t="s">
        <v>114</v>
      </c>
      <c r="E446" s="39" t="s">
        <v>1169</v>
      </c>
      <c r="F446" s="39" t="s">
        <v>1170</v>
      </c>
      <c r="G446" s="39" t="s">
        <v>1171</v>
      </c>
      <c r="H446" s="223" t="s">
        <v>1138</v>
      </c>
    </row>
    <row r="447" customFormat="false" ht="18.75" hidden="false" customHeight="true" outlineLevel="0" collapsed="false">
      <c r="A447" s="39" t="str">
        <f aca="false">B447&amp;"-"&amp;C447</f>
        <v>XII - NOTARIOS: Mutuo con no financiero-17</v>
      </c>
      <c r="B447" s="221" t="s">
        <v>1008</v>
      </c>
      <c r="C447" s="222" t="n">
        <v>17</v>
      </c>
      <c r="D447" s="39" t="s">
        <v>116</v>
      </c>
      <c r="E447" s="39" t="s">
        <v>1784</v>
      </c>
      <c r="F447" s="39" t="s">
        <v>1173</v>
      </c>
      <c r="G447" s="39" t="s">
        <v>1785</v>
      </c>
      <c r="H447" s="223" t="s">
        <v>1124</v>
      </c>
    </row>
    <row r="448" customFormat="false" ht="18.75" hidden="false" customHeight="true" outlineLevel="0" collapsed="false">
      <c r="A448" s="39" t="str">
        <f aca="false">B448&amp;"-"&amp;C448</f>
        <v>XII - NOTARIOS: Mutuo con no financiero-18</v>
      </c>
      <c r="B448" s="221" t="s">
        <v>1008</v>
      </c>
      <c r="C448" s="222" t="n">
        <v>18</v>
      </c>
      <c r="D448" s="39" t="s">
        <v>119</v>
      </c>
      <c r="E448" s="39" t="s">
        <v>1175</v>
      </c>
      <c r="F448" s="39" t="s">
        <v>1176</v>
      </c>
      <c r="G448" s="39" t="s">
        <v>1786</v>
      </c>
      <c r="H448" s="223" t="s">
        <v>1138</v>
      </c>
    </row>
    <row r="449" customFormat="false" ht="18.75" hidden="false" customHeight="true" outlineLevel="0" collapsed="false">
      <c r="A449" s="39" t="str">
        <f aca="false">B449&amp;"-"&amp;C449</f>
        <v>XII - NOTARIOS: Mutuo con no financiero-19</v>
      </c>
      <c r="B449" s="221" t="s">
        <v>1008</v>
      </c>
      <c r="C449" s="222" t="n">
        <v>19</v>
      </c>
      <c r="D449" s="39" t="s">
        <v>122</v>
      </c>
      <c r="E449" s="39" t="s">
        <v>1178</v>
      </c>
      <c r="F449" s="39" t="s">
        <v>1179</v>
      </c>
      <c r="G449" s="39" t="s">
        <v>1180</v>
      </c>
      <c r="H449" s="223" t="s">
        <v>1138</v>
      </c>
    </row>
    <row r="450" customFormat="false" ht="18.75" hidden="false" customHeight="true" outlineLevel="0" collapsed="false">
      <c r="A450" s="39" t="str">
        <f aca="false">B450&amp;"-"&amp;C450</f>
        <v>XII - NOTARIOS: Mutuo con no financiero-20</v>
      </c>
      <c r="B450" s="221" t="s">
        <v>1008</v>
      </c>
      <c r="C450" s="222" t="n">
        <v>20</v>
      </c>
      <c r="D450" s="39" t="s">
        <v>124</v>
      </c>
      <c r="E450" s="39" t="s">
        <v>1787</v>
      </c>
      <c r="F450" s="39" t="s">
        <v>1788</v>
      </c>
      <c r="G450" s="39" t="s">
        <v>1789</v>
      </c>
      <c r="H450" s="223" t="s">
        <v>1124</v>
      </c>
    </row>
    <row r="451" customFormat="false" ht="18.75" hidden="false" customHeight="true" outlineLevel="0" collapsed="false">
      <c r="A451" s="39" t="str">
        <f aca="false">B451&amp;"-"&amp;C451</f>
        <v>XII - NOTARIOS: Mutuo con no financiero-21</v>
      </c>
      <c r="B451" s="221" t="s">
        <v>1008</v>
      </c>
      <c r="C451" s="222" t="n">
        <v>21</v>
      </c>
      <c r="D451" s="39" t="s">
        <v>126</v>
      </c>
      <c r="E451" s="39" t="s">
        <v>1790</v>
      </c>
      <c r="F451" s="39" t="s">
        <v>1791</v>
      </c>
      <c r="G451" s="39" t="s">
        <v>1792</v>
      </c>
      <c r="H451" s="223" t="s">
        <v>1124</v>
      </c>
    </row>
    <row r="452" customFormat="false" ht="18.75" hidden="false" customHeight="true" outlineLevel="0" collapsed="false">
      <c r="A452" s="39" t="str">
        <f aca="false">B452&amp;"-"&amp;C452</f>
        <v>XII - NOTARIOS: Mutuo con no financiero-22</v>
      </c>
      <c r="B452" s="221" t="s">
        <v>1008</v>
      </c>
      <c r="C452" s="222" t="n">
        <v>22</v>
      </c>
      <c r="D452" s="39" t="s">
        <v>128</v>
      </c>
      <c r="E452" s="39" t="s">
        <v>1642</v>
      </c>
      <c r="F452" s="39" t="s">
        <v>1643</v>
      </c>
      <c r="G452" s="39" t="s">
        <v>1644</v>
      </c>
      <c r="H452" s="223" t="s">
        <v>1138</v>
      </c>
    </row>
    <row r="453" customFormat="false" ht="18.75" hidden="false" customHeight="true" outlineLevel="0" collapsed="false">
      <c r="A453" s="39" t="str">
        <f aca="false">B453&amp;"-"&amp;C453</f>
        <v>XII - NOTARIOS: Mutuo con no financiero-23</v>
      </c>
      <c r="B453" s="221" t="s">
        <v>1008</v>
      </c>
      <c r="C453" s="222" t="n">
        <v>23</v>
      </c>
      <c r="D453" s="39" t="s">
        <v>131</v>
      </c>
      <c r="E453" s="39" t="s">
        <v>1190</v>
      </c>
      <c r="F453" s="39" t="s">
        <v>1191</v>
      </c>
      <c r="G453" s="39" t="s">
        <v>1192</v>
      </c>
      <c r="H453" s="223" t="s">
        <v>1128</v>
      </c>
    </row>
    <row r="454" customFormat="false" ht="18.75" hidden="false" customHeight="true" outlineLevel="0" collapsed="false">
      <c r="A454" s="39" t="str">
        <f aca="false">B454&amp;"-"&amp;C454</f>
        <v>XII - NOTARIOS: Mutuo con no financiero-24</v>
      </c>
      <c r="B454" s="221" t="s">
        <v>1008</v>
      </c>
      <c r="C454" s="222" t="n">
        <v>24</v>
      </c>
      <c r="D454" s="39" t="s">
        <v>133</v>
      </c>
      <c r="E454" s="39" t="s">
        <v>1793</v>
      </c>
      <c r="F454" s="39" t="s">
        <v>1194</v>
      </c>
      <c r="G454" s="39" t="s">
        <v>1794</v>
      </c>
      <c r="H454" s="223" t="s">
        <v>1128</v>
      </c>
    </row>
    <row r="455" customFormat="false" ht="18.75" hidden="false" customHeight="true" outlineLevel="0" collapsed="false">
      <c r="A455" s="39" t="str">
        <f aca="false">B455&amp;"-"&amp;C455</f>
        <v>XII - NOTARIOS: Mutuo con no financiero-25</v>
      </c>
      <c r="B455" s="221" t="s">
        <v>1008</v>
      </c>
      <c r="C455" s="222" t="n">
        <v>25</v>
      </c>
      <c r="D455" s="39" t="s">
        <v>135</v>
      </c>
      <c r="E455" s="39" t="s">
        <v>1795</v>
      </c>
      <c r="F455" s="39" t="s">
        <v>1197</v>
      </c>
      <c r="G455" s="39" t="s">
        <v>1198</v>
      </c>
      <c r="H455" s="223" t="s">
        <v>1128</v>
      </c>
    </row>
    <row r="456" customFormat="false" ht="18.75" hidden="false" customHeight="true" outlineLevel="0" collapsed="false">
      <c r="A456" s="39" t="str">
        <f aca="false">B456&amp;"-"&amp;C456</f>
        <v>XII - CORREDORES: Avalúos-1</v>
      </c>
      <c r="B456" s="221" t="s">
        <v>1016</v>
      </c>
      <c r="C456" s="222" t="n">
        <v>1</v>
      </c>
      <c r="D456" s="39" t="s">
        <v>77</v>
      </c>
      <c r="E456" s="39" t="s">
        <v>1796</v>
      </c>
      <c r="F456" s="39" t="s">
        <v>1797</v>
      </c>
      <c r="G456" s="39" t="s">
        <v>1798</v>
      </c>
      <c r="H456" s="223" t="s">
        <v>1124</v>
      </c>
    </row>
    <row r="457" customFormat="false" ht="18.75" hidden="false" customHeight="true" outlineLevel="0" collapsed="false">
      <c r="A457" s="39" t="str">
        <f aca="false">B457&amp;"-"&amp;C457</f>
        <v>XII - CORREDORES: Avalúos-2</v>
      </c>
      <c r="B457" s="221" t="s">
        <v>1016</v>
      </c>
      <c r="C457" s="222" t="n">
        <v>2</v>
      </c>
      <c r="D457" s="39" t="s">
        <v>81</v>
      </c>
      <c r="E457" s="39" t="s">
        <v>1799</v>
      </c>
      <c r="F457" s="39" t="s">
        <v>1800</v>
      </c>
      <c r="G457" s="39" t="s">
        <v>1801</v>
      </c>
      <c r="H457" s="223" t="s">
        <v>1128</v>
      </c>
    </row>
    <row r="458" customFormat="false" ht="18.75" hidden="false" customHeight="true" outlineLevel="0" collapsed="false">
      <c r="A458" s="39" t="str">
        <f aca="false">B458&amp;"-"&amp;C458</f>
        <v>XII - CORREDORES: Avalúos-3</v>
      </c>
      <c r="B458" s="221" t="s">
        <v>1016</v>
      </c>
      <c r="C458" s="222" t="n">
        <v>3</v>
      </c>
      <c r="D458" s="39" t="s">
        <v>83</v>
      </c>
      <c r="E458" s="39" t="s">
        <v>1802</v>
      </c>
      <c r="F458" s="39" t="s">
        <v>1803</v>
      </c>
      <c r="G458" s="39" t="s">
        <v>1804</v>
      </c>
      <c r="H458" s="223" t="s">
        <v>1128</v>
      </c>
    </row>
    <row r="459" customFormat="false" ht="18.75" hidden="false" customHeight="true" outlineLevel="0" collapsed="false">
      <c r="A459" s="39" t="str">
        <f aca="false">B459&amp;"-"&amp;C459</f>
        <v>XII - CORREDORES: Avalúos-4</v>
      </c>
      <c r="B459" s="221" t="s">
        <v>1016</v>
      </c>
      <c r="C459" s="222" t="n">
        <v>4</v>
      </c>
      <c r="D459" s="39" t="s">
        <v>85</v>
      </c>
      <c r="E459" s="39" t="s">
        <v>1805</v>
      </c>
      <c r="F459" s="39" t="s">
        <v>1133</v>
      </c>
      <c r="G459" s="39" t="s">
        <v>1134</v>
      </c>
      <c r="H459" s="223" t="s">
        <v>1128</v>
      </c>
    </row>
    <row r="460" customFormat="false" ht="18.75" hidden="false" customHeight="true" outlineLevel="0" collapsed="false">
      <c r="A460" s="39" t="str">
        <f aca="false">B460&amp;"-"&amp;C460</f>
        <v>XII - CORREDORES: Avalúos-5</v>
      </c>
      <c r="B460" s="221" t="s">
        <v>1016</v>
      </c>
      <c r="C460" s="222" t="n">
        <v>5</v>
      </c>
      <c r="D460" s="39" t="s">
        <v>88</v>
      </c>
      <c r="E460" s="39" t="s">
        <v>1806</v>
      </c>
      <c r="F460" s="39" t="s">
        <v>1136</v>
      </c>
      <c r="G460" s="39" t="s">
        <v>1137</v>
      </c>
      <c r="H460" s="223" t="s">
        <v>1138</v>
      </c>
    </row>
    <row r="461" customFormat="false" ht="18.75" hidden="false" customHeight="true" outlineLevel="0" collapsed="false">
      <c r="A461" s="39" t="str">
        <f aca="false">B461&amp;"-"&amp;C461</f>
        <v>XII - CORREDORES: Avalúos-6</v>
      </c>
      <c r="B461" s="221" t="s">
        <v>1016</v>
      </c>
      <c r="C461" s="222" t="n">
        <v>6</v>
      </c>
      <c r="D461" s="39" t="s">
        <v>91</v>
      </c>
      <c r="E461" s="39" t="s">
        <v>1807</v>
      </c>
      <c r="F461" s="39" t="s">
        <v>1808</v>
      </c>
      <c r="G461" s="39" t="s">
        <v>1809</v>
      </c>
      <c r="H461" s="223" t="s">
        <v>1138</v>
      </c>
    </row>
    <row r="462" customFormat="false" ht="18.75" hidden="false" customHeight="true" outlineLevel="0" collapsed="false">
      <c r="A462" s="39" t="str">
        <f aca="false">B462&amp;"-"&amp;C462</f>
        <v>XII - CORREDORES: Avalúos-7</v>
      </c>
      <c r="B462" s="221" t="s">
        <v>1016</v>
      </c>
      <c r="C462" s="222" t="n">
        <v>7</v>
      </c>
      <c r="D462" s="39" t="s">
        <v>94</v>
      </c>
      <c r="E462" s="39" t="s">
        <v>1142</v>
      </c>
      <c r="F462" s="39" t="s">
        <v>1143</v>
      </c>
      <c r="G462" s="39" t="s">
        <v>1144</v>
      </c>
      <c r="H462" s="223" t="s">
        <v>1138</v>
      </c>
    </row>
    <row r="463" customFormat="false" ht="18.75" hidden="false" customHeight="true" outlineLevel="0" collapsed="false">
      <c r="A463" s="39" t="str">
        <f aca="false">B463&amp;"-"&amp;C463</f>
        <v>XII - CORREDORES: Avalúos-8</v>
      </c>
      <c r="B463" s="221" t="s">
        <v>1016</v>
      </c>
      <c r="C463" s="222" t="n">
        <v>8</v>
      </c>
      <c r="D463" s="39" t="s">
        <v>96</v>
      </c>
      <c r="E463" s="39" t="s">
        <v>1810</v>
      </c>
      <c r="F463" s="39" t="s">
        <v>1146</v>
      </c>
      <c r="G463" s="39" t="s">
        <v>1147</v>
      </c>
      <c r="H463" s="223" t="s">
        <v>1138</v>
      </c>
    </row>
    <row r="464" customFormat="false" ht="18.75" hidden="false" customHeight="true" outlineLevel="0" collapsed="false">
      <c r="A464" s="39" t="str">
        <f aca="false">B464&amp;"-"&amp;C464</f>
        <v>XII - CORREDORES: Avalúos-9</v>
      </c>
      <c r="B464" s="221" t="s">
        <v>1016</v>
      </c>
      <c r="C464" s="222" t="n">
        <v>9</v>
      </c>
      <c r="D464" s="39" t="s">
        <v>98</v>
      </c>
      <c r="E464" s="39" t="s">
        <v>1148</v>
      </c>
      <c r="F464" s="39" t="s">
        <v>1149</v>
      </c>
      <c r="G464" s="39" t="s">
        <v>1150</v>
      </c>
      <c r="H464" s="223" t="s">
        <v>1138</v>
      </c>
    </row>
    <row r="465" customFormat="false" ht="18.75" hidden="false" customHeight="true" outlineLevel="0" collapsed="false">
      <c r="A465" s="39" t="str">
        <f aca="false">B465&amp;"-"&amp;C465</f>
        <v>XII - CORREDORES: Avalúos-10</v>
      </c>
      <c r="B465" s="221" t="s">
        <v>1016</v>
      </c>
      <c r="C465" s="222" t="n">
        <v>10</v>
      </c>
      <c r="D465" s="39" t="s">
        <v>100</v>
      </c>
      <c r="E465" s="39" t="s">
        <v>1151</v>
      </c>
      <c r="F465" s="39" t="s">
        <v>1152</v>
      </c>
      <c r="G465" s="39" t="s">
        <v>1153</v>
      </c>
      <c r="H465" s="223" t="s">
        <v>1138</v>
      </c>
    </row>
    <row r="466" customFormat="false" ht="18.75" hidden="false" customHeight="true" outlineLevel="0" collapsed="false">
      <c r="A466" s="39" t="str">
        <f aca="false">B466&amp;"-"&amp;C466</f>
        <v>XII - CORREDORES: Avalúos-11</v>
      </c>
      <c r="B466" s="221" t="s">
        <v>1016</v>
      </c>
      <c r="C466" s="222" t="n">
        <v>11</v>
      </c>
      <c r="D466" s="39" t="s">
        <v>102</v>
      </c>
      <c r="E466" s="39" t="s">
        <v>1154</v>
      </c>
      <c r="F466" s="39" t="s">
        <v>1155</v>
      </c>
      <c r="G466" s="39" t="s">
        <v>1156</v>
      </c>
      <c r="H466" s="223" t="s">
        <v>1138</v>
      </c>
    </row>
    <row r="467" customFormat="false" ht="18.75" hidden="false" customHeight="true" outlineLevel="0" collapsed="false">
      <c r="A467" s="39" t="str">
        <f aca="false">B467&amp;"-"&amp;C467</f>
        <v>XII - CORREDORES: Avalúos-12</v>
      </c>
      <c r="B467" s="221" t="s">
        <v>1016</v>
      </c>
      <c r="C467" s="222" t="n">
        <v>12</v>
      </c>
      <c r="D467" s="39" t="s">
        <v>105</v>
      </c>
      <c r="E467" s="39" t="s">
        <v>1157</v>
      </c>
      <c r="F467" s="39" t="s">
        <v>1158</v>
      </c>
      <c r="G467" s="39" t="s">
        <v>1159</v>
      </c>
      <c r="H467" s="223" t="s">
        <v>1138</v>
      </c>
    </row>
    <row r="468" customFormat="false" ht="18.75" hidden="false" customHeight="true" outlineLevel="0" collapsed="false">
      <c r="A468" s="39" t="str">
        <f aca="false">B468&amp;"-"&amp;C468</f>
        <v>XII - CORREDORES: Avalúos-13</v>
      </c>
      <c r="B468" s="221" t="s">
        <v>1016</v>
      </c>
      <c r="C468" s="222" t="n">
        <v>13</v>
      </c>
      <c r="D468" s="39" t="s">
        <v>107</v>
      </c>
      <c r="E468" s="39" t="s">
        <v>1811</v>
      </c>
      <c r="F468" s="39" t="s">
        <v>1161</v>
      </c>
      <c r="G468" s="39" t="s">
        <v>1812</v>
      </c>
      <c r="H468" s="223" t="s">
        <v>1124</v>
      </c>
    </row>
    <row r="469" customFormat="false" ht="18.75" hidden="false" customHeight="true" outlineLevel="0" collapsed="false">
      <c r="A469" s="39" t="str">
        <f aca="false">B469&amp;"-"&amp;C469</f>
        <v>XII - CORREDORES: Avalúos-14</v>
      </c>
      <c r="B469" s="221" t="s">
        <v>1016</v>
      </c>
      <c r="C469" s="222" t="n">
        <v>14</v>
      </c>
      <c r="D469" s="39" t="s">
        <v>109</v>
      </c>
      <c r="E469" s="39" t="s">
        <v>1813</v>
      </c>
      <c r="F469" s="39" t="s">
        <v>1814</v>
      </c>
      <c r="G469" s="39" t="s">
        <v>1815</v>
      </c>
      <c r="H469" s="223" t="s">
        <v>1138</v>
      </c>
    </row>
    <row r="470" customFormat="false" ht="18.75" hidden="false" customHeight="true" outlineLevel="0" collapsed="false">
      <c r="A470" s="39" t="str">
        <f aca="false">B470&amp;"-"&amp;C470</f>
        <v>XII - CORREDORES: Avalúos-15</v>
      </c>
      <c r="B470" s="221" t="s">
        <v>1016</v>
      </c>
      <c r="C470" s="222" t="n">
        <v>15</v>
      </c>
      <c r="D470" s="39" t="s">
        <v>112</v>
      </c>
      <c r="E470" s="39" t="s">
        <v>1816</v>
      </c>
      <c r="F470" s="39" t="s">
        <v>1817</v>
      </c>
      <c r="G470" s="39" t="s">
        <v>1818</v>
      </c>
      <c r="H470" s="223" t="s">
        <v>1138</v>
      </c>
    </row>
    <row r="471" customFormat="false" ht="18.75" hidden="false" customHeight="true" outlineLevel="0" collapsed="false">
      <c r="A471" s="39" t="str">
        <f aca="false">B471&amp;"-"&amp;C471</f>
        <v>XII - CORREDORES: Avalúos-16</v>
      </c>
      <c r="B471" s="221" t="s">
        <v>1016</v>
      </c>
      <c r="C471" s="222" t="n">
        <v>16</v>
      </c>
      <c r="D471" s="39" t="s">
        <v>114</v>
      </c>
      <c r="E471" s="39" t="s">
        <v>1169</v>
      </c>
      <c r="F471" s="39" t="s">
        <v>1170</v>
      </c>
      <c r="G471" s="39" t="s">
        <v>1171</v>
      </c>
      <c r="H471" s="223" t="s">
        <v>1138</v>
      </c>
    </row>
    <row r="472" customFormat="false" ht="18.75" hidden="false" customHeight="true" outlineLevel="0" collapsed="false">
      <c r="A472" s="39" t="str">
        <f aca="false">B472&amp;"-"&amp;C472</f>
        <v>XII - CORREDORES: Avalúos-17</v>
      </c>
      <c r="B472" s="221" t="s">
        <v>1016</v>
      </c>
      <c r="C472" s="222" t="n">
        <v>17</v>
      </c>
      <c r="D472" s="39" t="s">
        <v>116</v>
      </c>
      <c r="E472" s="39" t="s">
        <v>1819</v>
      </c>
      <c r="F472" s="39" t="s">
        <v>1173</v>
      </c>
      <c r="G472" s="39" t="s">
        <v>1820</v>
      </c>
      <c r="H472" s="223" t="s">
        <v>1124</v>
      </c>
    </row>
    <row r="473" customFormat="false" ht="18.75" hidden="false" customHeight="true" outlineLevel="0" collapsed="false">
      <c r="A473" s="39" t="str">
        <f aca="false">B473&amp;"-"&amp;C473</f>
        <v>XII - CORREDORES: Avalúos-18</v>
      </c>
      <c r="B473" s="221" t="s">
        <v>1016</v>
      </c>
      <c r="C473" s="222" t="n">
        <v>18</v>
      </c>
      <c r="D473" s="39" t="s">
        <v>119</v>
      </c>
      <c r="E473" s="39" t="s">
        <v>1175</v>
      </c>
      <c r="F473" s="39" t="s">
        <v>1176</v>
      </c>
      <c r="G473" s="39" t="s">
        <v>1821</v>
      </c>
      <c r="H473" s="223" t="s">
        <v>1138</v>
      </c>
    </row>
    <row r="474" customFormat="false" ht="18.75" hidden="false" customHeight="true" outlineLevel="0" collapsed="false">
      <c r="A474" s="39" t="str">
        <f aca="false">B474&amp;"-"&amp;C474</f>
        <v>XII - CORREDORES: Avalúos-19</v>
      </c>
      <c r="B474" s="221" t="s">
        <v>1016</v>
      </c>
      <c r="C474" s="222" t="n">
        <v>19</v>
      </c>
      <c r="D474" s="39" t="s">
        <v>122</v>
      </c>
      <c r="E474" s="39" t="s">
        <v>1178</v>
      </c>
      <c r="F474" s="39" t="s">
        <v>1179</v>
      </c>
      <c r="G474" s="39" t="s">
        <v>1180</v>
      </c>
      <c r="H474" s="223" t="s">
        <v>1138</v>
      </c>
    </row>
    <row r="475" customFormat="false" ht="18.75" hidden="false" customHeight="true" outlineLevel="0" collapsed="false">
      <c r="A475" s="39" t="str">
        <f aca="false">B475&amp;"-"&amp;C475</f>
        <v>XII - CORREDORES: Avalúos-20</v>
      </c>
      <c r="B475" s="221" t="s">
        <v>1016</v>
      </c>
      <c r="C475" s="222" t="n">
        <v>20</v>
      </c>
      <c r="D475" s="39" t="s">
        <v>124</v>
      </c>
      <c r="E475" s="39" t="s">
        <v>1822</v>
      </c>
      <c r="F475" s="39" t="s">
        <v>1823</v>
      </c>
      <c r="G475" s="39" t="s">
        <v>1824</v>
      </c>
      <c r="H475" s="223" t="s">
        <v>1124</v>
      </c>
    </row>
    <row r="476" customFormat="false" ht="18.75" hidden="false" customHeight="true" outlineLevel="0" collapsed="false">
      <c r="A476" s="39" t="str">
        <f aca="false">B476&amp;"-"&amp;C476</f>
        <v>XII - CORREDORES: Avalúos-21</v>
      </c>
      <c r="B476" s="221" t="s">
        <v>1016</v>
      </c>
      <c r="C476" s="222" t="n">
        <v>21</v>
      </c>
      <c r="D476" s="39" t="s">
        <v>126</v>
      </c>
      <c r="E476" s="39" t="s">
        <v>1825</v>
      </c>
      <c r="F476" s="39" t="s">
        <v>1826</v>
      </c>
      <c r="G476" s="39" t="s">
        <v>1827</v>
      </c>
      <c r="H476" s="223" t="s">
        <v>1124</v>
      </c>
    </row>
    <row r="477" customFormat="false" ht="18.75" hidden="false" customHeight="true" outlineLevel="0" collapsed="false">
      <c r="A477" s="39" t="str">
        <f aca="false">B477&amp;"-"&amp;C477</f>
        <v>XII - CORREDORES: Avalúos-22</v>
      </c>
      <c r="B477" s="221" t="s">
        <v>1016</v>
      </c>
      <c r="C477" s="222" t="n">
        <v>22</v>
      </c>
      <c r="D477" s="39" t="s">
        <v>128</v>
      </c>
      <c r="E477" s="39" t="s">
        <v>1828</v>
      </c>
      <c r="F477" s="39" t="s">
        <v>1829</v>
      </c>
      <c r="G477" s="39" t="s">
        <v>1830</v>
      </c>
      <c r="H477" s="223" t="s">
        <v>1138</v>
      </c>
    </row>
    <row r="478" customFormat="false" ht="18.75" hidden="false" customHeight="true" outlineLevel="0" collapsed="false">
      <c r="A478" s="39" t="str">
        <f aca="false">B478&amp;"-"&amp;C478</f>
        <v>XII - CORREDORES: Avalúos-23</v>
      </c>
      <c r="B478" s="221" t="s">
        <v>1016</v>
      </c>
      <c r="C478" s="222" t="n">
        <v>23</v>
      </c>
      <c r="D478" s="39" t="s">
        <v>131</v>
      </c>
      <c r="E478" s="39" t="s">
        <v>1190</v>
      </c>
      <c r="F478" s="39" t="s">
        <v>1191</v>
      </c>
      <c r="G478" s="39" t="s">
        <v>1192</v>
      </c>
      <c r="H478" s="223" t="s">
        <v>1128</v>
      </c>
    </row>
    <row r="479" customFormat="false" ht="18.75" hidden="false" customHeight="true" outlineLevel="0" collapsed="false">
      <c r="A479" s="39" t="str">
        <f aca="false">B479&amp;"-"&amp;C479</f>
        <v>XII - CORREDORES: Avalúos-24</v>
      </c>
      <c r="B479" s="221" t="s">
        <v>1016</v>
      </c>
      <c r="C479" s="222" t="n">
        <v>24</v>
      </c>
      <c r="D479" s="39" t="s">
        <v>133</v>
      </c>
      <c r="E479" s="39" t="s">
        <v>1831</v>
      </c>
      <c r="F479" s="39" t="s">
        <v>1194</v>
      </c>
      <c r="G479" s="39" t="s">
        <v>1832</v>
      </c>
      <c r="H479" s="223" t="s">
        <v>1128</v>
      </c>
    </row>
    <row r="480" customFormat="false" ht="18.75" hidden="false" customHeight="true" outlineLevel="0" collapsed="false">
      <c r="A480" s="39" t="str">
        <f aca="false">B480&amp;"-"&amp;C480</f>
        <v>XII - CORREDORES: Avalúos-25</v>
      </c>
      <c r="B480" s="221" t="s">
        <v>1016</v>
      </c>
      <c r="C480" s="222" t="n">
        <v>25</v>
      </c>
      <c r="D480" s="39" t="s">
        <v>135</v>
      </c>
      <c r="E480" s="39" t="s">
        <v>1833</v>
      </c>
      <c r="F480" s="39" t="s">
        <v>1197</v>
      </c>
      <c r="G480" s="39" t="s">
        <v>1198</v>
      </c>
      <c r="H480" s="223" t="s">
        <v>1128</v>
      </c>
    </row>
    <row r="481" customFormat="false" ht="18.75" hidden="false" customHeight="true" outlineLevel="0" collapsed="false">
      <c r="A481" s="39" t="str">
        <f aca="false">B481&amp;"-"&amp;C481</f>
        <v>XII - CORREDORES: Const. o modif. patrimonial-1</v>
      </c>
      <c r="B481" s="221" t="s">
        <v>1024</v>
      </c>
      <c r="C481" s="222" t="n">
        <v>1</v>
      </c>
      <c r="D481" s="39" t="s">
        <v>77</v>
      </c>
      <c r="E481" s="39" t="s">
        <v>1685</v>
      </c>
      <c r="F481" s="39" t="s">
        <v>1686</v>
      </c>
      <c r="G481" s="39" t="s">
        <v>1687</v>
      </c>
      <c r="H481" s="223" t="s">
        <v>1124</v>
      </c>
    </row>
    <row r="482" customFormat="false" ht="18.75" hidden="false" customHeight="true" outlineLevel="0" collapsed="false">
      <c r="A482" s="39" t="str">
        <f aca="false">B482&amp;"-"&amp;C482</f>
        <v>XII - CORREDORES: Const. o modif. patrimonial-2</v>
      </c>
      <c r="B482" s="221" t="s">
        <v>1024</v>
      </c>
      <c r="C482" s="222" t="n">
        <v>2</v>
      </c>
      <c r="D482" s="39" t="s">
        <v>81</v>
      </c>
      <c r="E482" s="39" t="s">
        <v>1688</v>
      </c>
      <c r="F482" s="39" t="s">
        <v>1689</v>
      </c>
      <c r="G482" s="39" t="s">
        <v>1690</v>
      </c>
      <c r="H482" s="223" t="s">
        <v>1128</v>
      </c>
    </row>
    <row r="483" customFormat="false" ht="18.75" hidden="false" customHeight="true" outlineLevel="0" collapsed="false">
      <c r="A483" s="39" t="str">
        <f aca="false">B483&amp;"-"&amp;C483</f>
        <v>XII - CORREDORES: Const. o modif. patrimonial-3</v>
      </c>
      <c r="B483" s="221" t="s">
        <v>1024</v>
      </c>
      <c r="C483" s="222" t="n">
        <v>3</v>
      </c>
      <c r="D483" s="39" t="s">
        <v>83</v>
      </c>
      <c r="E483" s="39" t="s">
        <v>1691</v>
      </c>
      <c r="F483" s="39" t="s">
        <v>1692</v>
      </c>
      <c r="G483" s="39" t="s">
        <v>1693</v>
      </c>
      <c r="H483" s="223" t="s">
        <v>1128</v>
      </c>
    </row>
    <row r="484" customFormat="false" ht="18.75" hidden="false" customHeight="true" outlineLevel="0" collapsed="false">
      <c r="A484" s="39" t="str">
        <f aca="false">B484&amp;"-"&amp;C484</f>
        <v>XII - CORREDORES: Const. o modif. patrimonial-4</v>
      </c>
      <c r="B484" s="221" t="s">
        <v>1024</v>
      </c>
      <c r="C484" s="222" t="n">
        <v>4</v>
      </c>
      <c r="D484" s="39" t="s">
        <v>85</v>
      </c>
      <c r="E484" s="39" t="s">
        <v>1694</v>
      </c>
      <c r="F484" s="39" t="s">
        <v>1133</v>
      </c>
      <c r="G484" s="39" t="s">
        <v>1134</v>
      </c>
      <c r="H484" s="223" t="s">
        <v>1128</v>
      </c>
    </row>
    <row r="485" customFormat="false" ht="18.75" hidden="false" customHeight="true" outlineLevel="0" collapsed="false">
      <c r="A485" s="39" t="str">
        <f aca="false">B485&amp;"-"&amp;C485</f>
        <v>XII - CORREDORES: Const. o modif. patrimonial-5</v>
      </c>
      <c r="B485" s="221" t="s">
        <v>1024</v>
      </c>
      <c r="C485" s="222" t="n">
        <v>5</v>
      </c>
      <c r="D485" s="39" t="s">
        <v>88</v>
      </c>
      <c r="E485" s="39" t="s">
        <v>1695</v>
      </c>
      <c r="F485" s="39" t="s">
        <v>1136</v>
      </c>
      <c r="G485" s="39" t="s">
        <v>1137</v>
      </c>
      <c r="H485" s="223" t="s">
        <v>1138</v>
      </c>
    </row>
    <row r="486" customFormat="false" ht="18.75" hidden="false" customHeight="true" outlineLevel="0" collapsed="false">
      <c r="A486" s="39" t="str">
        <f aca="false">B486&amp;"-"&amp;C486</f>
        <v>XII - CORREDORES: Const. o modif. patrimonial-6</v>
      </c>
      <c r="B486" s="221" t="s">
        <v>1024</v>
      </c>
      <c r="C486" s="222" t="n">
        <v>6</v>
      </c>
      <c r="D486" s="39" t="s">
        <v>91</v>
      </c>
      <c r="E486" s="39" t="s">
        <v>1696</v>
      </c>
      <c r="F486" s="39" t="s">
        <v>1697</v>
      </c>
      <c r="G486" s="39" t="s">
        <v>1698</v>
      </c>
      <c r="H486" s="223" t="s">
        <v>1138</v>
      </c>
    </row>
    <row r="487" customFormat="false" ht="18.75" hidden="false" customHeight="true" outlineLevel="0" collapsed="false">
      <c r="A487" s="39" t="str">
        <f aca="false">B487&amp;"-"&amp;C487</f>
        <v>XII - CORREDORES: Const. o modif. patrimonial-7</v>
      </c>
      <c r="B487" s="221" t="s">
        <v>1024</v>
      </c>
      <c r="C487" s="222" t="n">
        <v>7</v>
      </c>
      <c r="D487" s="39" t="s">
        <v>94</v>
      </c>
      <c r="E487" s="39" t="s">
        <v>1142</v>
      </c>
      <c r="F487" s="39" t="s">
        <v>1143</v>
      </c>
      <c r="G487" s="39" t="s">
        <v>1144</v>
      </c>
      <c r="H487" s="223" t="s">
        <v>1138</v>
      </c>
    </row>
    <row r="488" customFormat="false" ht="18.75" hidden="false" customHeight="true" outlineLevel="0" collapsed="false">
      <c r="A488" s="39" t="str">
        <f aca="false">B488&amp;"-"&amp;C488</f>
        <v>XII - CORREDORES: Const. o modif. patrimonial-8</v>
      </c>
      <c r="B488" s="221" t="s">
        <v>1024</v>
      </c>
      <c r="C488" s="222" t="n">
        <v>8</v>
      </c>
      <c r="D488" s="39" t="s">
        <v>96</v>
      </c>
      <c r="E488" s="39" t="s">
        <v>1699</v>
      </c>
      <c r="F488" s="39" t="s">
        <v>1146</v>
      </c>
      <c r="G488" s="39" t="s">
        <v>1147</v>
      </c>
      <c r="H488" s="223" t="s">
        <v>1138</v>
      </c>
    </row>
    <row r="489" customFormat="false" ht="18.75" hidden="false" customHeight="true" outlineLevel="0" collapsed="false">
      <c r="A489" s="39" t="str">
        <f aca="false">B489&amp;"-"&amp;C489</f>
        <v>XII - CORREDORES: Const. o modif. patrimonial-9</v>
      </c>
      <c r="B489" s="221" t="s">
        <v>1024</v>
      </c>
      <c r="C489" s="222" t="n">
        <v>9</v>
      </c>
      <c r="D489" s="39" t="s">
        <v>98</v>
      </c>
      <c r="E489" s="39" t="s">
        <v>1148</v>
      </c>
      <c r="F489" s="39" t="s">
        <v>1149</v>
      </c>
      <c r="G489" s="39" t="s">
        <v>1150</v>
      </c>
      <c r="H489" s="223" t="s">
        <v>1138</v>
      </c>
    </row>
    <row r="490" customFormat="false" ht="18.75" hidden="false" customHeight="true" outlineLevel="0" collapsed="false">
      <c r="A490" s="39" t="str">
        <f aca="false">B490&amp;"-"&amp;C490</f>
        <v>XII - CORREDORES: Const. o modif. patrimonial-10</v>
      </c>
      <c r="B490" s="221" t="s">
        <v>1024</v>
      </c>
      <c r="C490" s="222" t="n">
        <v>10</v>
      </c>
      <c r="D490" s="39" t="s">
        <v>100</v>
      </c>
      <c r="E490" s="39" t="s">
        <v>1151</v>
      </c>
      <c r="F490" s="39" t="s">
        <v>1152</v>
      </c>
      <c r="G490" s="39" t="s">
        <v>1153</v>
      </c>
      <c r="H490" s="223" t="s">
        <v>1138</v>
      </c>
    </row>
    <row r="491" customFormat="false" ht="18.75" hidden="false" customHeight="true" outlineLevel="0" collapsed="false">
      <c r="A491" s="39" t="str">
        <f aca="false">B491&amp;"-"&amp;C491</f>
        <v>XII - CORREDORES: Const. o modif. patrimonial-11</v>
      </c>
      <c r="B491" s="221" t="s">
        <v>1024</v>
      </c>
      <c r="C491" s="222" t="n">
        <v>11</v>
      </c>
      <c r="D491" s="39" t="s">
        <v>102</v>
      </c>
      <c r="E491" s="39" t="s">
        <v>1154</v>
      </c>
      <c r="F491" s="39" t="s">
        <v>1155</v>
      </c>
      <c r="G491" s="39" t="s">
        <v>1156</v>
      </c>
      <c r="H491" s="223" t="s">
        <v>1138</v>
      </c>
    </row>
    <row r="492" customFormat="false" ht="18.75" hidden="false" customHeight="true" outlineLevel="0" collapsed="false">
      <c r="A492" s="39" t="str">
        <f aca="false">B492&amp;"-"&amp;C492</f>
        <v>XII - CORREDORES: Const. o modif. patrimonial-12</v>
      </c>
      <c r="B492" s="221" t="s">
        <v>1024</v>
      </c>
      <c r="C492" s="222" t="n">
        <v>12</v>
      </c>
      <c r="D492" s="39" t="s">
        <v>105</v>
      </c>
      <c r="E492" s="39" t="s">
        <v>1157</v>
      </c>
      <c r="F492" s="39" t="s">
        <v>1158</v>
      </c>
      <c r="G492" s="39" t="s">
        <v>1159</v>
      </c>
      <c r="H492" s="223" t="s">
        <v>1138</v>
      </c>
    </row>
    <row r="493" customFormat="false" ht="18.75" hidden="false" customHeight="true" outlineLevel="0" collapsed="false">
      <c r="A493" s="39" t="str">
        <f aca="false">B493&amp;"-"&amp;C493</f>
        <v>XII - CORREDORES: Const. o modif. patrimonial-13</v>
      </c>
      <c r="B493" s="221" t="s">
        <v>1024</v>
      </c>
      <c r="C493" s="222" t="n">
        <v>13</v>
      </c>
      <c r="D493" s="39" t="s">
        <v>107</v>
      </c>
      <c r="E493" s="39" t="s">
        <v>1700</v>
      </c>
      <c r="F493" s="39" t="s">
        <v>1161</v>
      </c>
      <c r="G493" s="39" t="s">
        <v>1701</v>
      </c>
      <c r="H493" s="223" t="s">
        <v>1124</v>
      </c>
    </row>
    <row r="494" customFormat="false" ht="18.75" hidden="false" customHeight="true" outlineLevel="0" collapsed="false">
      <c r="A494" s="39" t="str">
        <f aca="false">B494&amp;"-"&amp;C494</f>
        <v>XII - CORREDORES: Const. o modif. patrimonial-14</v>
      </c>
      <c r="B494" s="221" t="s">
        <v>1024</v>
      </c>
      <c r="C494" s="222" t="n">
        <v>14</v>
      </c>
      <c r="D494" s="39" t="s">
        <v>109</v>
      </c>
      <c r="E494" s="39" t="s">
        <v>1702</v>
      </c>
      <c r="F494" s="39" t="s">
        <v>1703</v>
      </c>
      <c r="G494" s="39" t="s">
        <v>1704</v>
      </c>
      <c r="H494" s="223" t="s">
        <v>1138</v>
      </c>
    </row>
    <row r="495" customFormat="false" ht="18.75" hidden="false" customHeight="true" outlineLevel="0" collapsed="false">
      <c r="A495" s="39" t="str">
        <f aca="false">B495&amp;"-"&amp;C495</f>
        <v>XII - CORREDORES: Const. o modif. patrimonial-15</v>
      </c>
      <c r="B495" s="221" t="s">
        <v>1024</v>
      </c>
      <c r="C495" s="222" t="n">
        <v>15</v>
      </c>
      <c r="D495" s="39" t="s">
        <v>112</v>
      </c>
      <c r="E495" s="39" t="s">
        <v>1705</v>
      </c>
      <c r="F495" s="39" t="s">
        <v>1706</v>
      </c>
      <c r="G495" s="39" t="s">
        <v>1707</v>
      </c>
      <c r="H495" s="223" t="s">
        <v>1138</v>
      </c>
    </row>
    <row r="496" customFormat="false" ht="18.75" hidden="false" customHeight="true" outlineLevel="0" collapsed="false">
      <c r="A496" s="39" t="str">
        <f aca="false">B496&amp;"-"&amp;C496</f>
        <v>XII - CORREDORES: Const. o modif. patrimonial-16</v>
      </c>
      <c r="B496" s="221" t="s">
        <v>1024</v>
      </c>
      <c r="C496" s="222" t="n">
        <v>16</v>
      </c>
      <c r="D496" s="39" t="s">
        <v>114</v>
      </c>
      <c r="E496" s="39" t="s">
        <v>1169</v>
      </c>
      <c r="F496" s="39" t="s">
        <v>1170</v>
      </c>
      <c r="G496" s="39" t="s">
        <v>1171</v>
      </c>
      <c r="H496" s="223" t="s">
        <v>1138</v>
      </c>
    </row>
    <row r="497" customFormat="false" ht="18.75" hidden="false" customHeight="true" outlineLevel="0" collapsed="false">
      <c r="A497" s="39" t="str">
        <f aca="false">B497&amp;"-"&amp;C497</f>
        <v>XII - CORREDORES: Const. o modif. patrimonial-17</v>
      </c>
      <c r="B497" s="221" t="s">
        <v>1024</v>
      </c>
      <c r="C497" s="222" t="n">
        <v>17</v>
      </c>
      <c r="D497" s="39" t="s">
        <v>116</v>
      </c>
      <c r="E497" s="39" t="s">
        <v>1708</v>
      </c>
      <c r="F497" s="39" t="s">
        <v>1173</v>
      </c>
      <c r="G497" s="39" t="s">
        <v>1709</v>
      </c>
      <c r="H497" s="223" t="s">
        <v>1124</v>
      </c>
    </row>
    <row r="498" customFormat="false" ht="18.75" hidden="false" customHeight="true" outlineLevel="0" collapsed="false">
      <c r="A498" s="39" t="str">
        <f aca="false">B498&amp;"-"&amp;C498</f>
        <v>XII - CORREDORES: Const. o modif. patrimonial-18</v>
      </c>
      <c r="B498" s="221" t="s">
        <v>1024</v>
      </c>
      <c r="C498" s="222" t="n">
        <v>18</v>
      </c>
      <c r="D498" s="39" t="s">
        <v>119</v>
      </c>
      <c r="E498" s="39" t="s">
        <v>1175</v>
      </c>
      <c r="F498" s="39" t="s">
        <v>1176</v>
      </c>
      <c r="G498" s="39" t="s">
        <v>1710</v>
      </c>
      <c r="H498" s="223" t="s">
        <v>1138</v>
      </c>
    </row>
    <row r="499" customFormat="false" ht="18.75" hidden="false" customHeight="true" outlineLevel="0" collapsed="false">
      <c r="A499" s="39" t="str">
        <f aca="false">B499&amp;"-"&amp;C499</f>
        <v>XII - CORREDORES: Const. o modif. patrimonial-19</v>
      </c>
      <c r="B499" s="221" t="s">
        <v>1024</v>
      </c>
      <c r="C499" s="222" t="n">
        <v>19</v>
      </c>
      <c r="D499" s="39" t="s">
        <v>122</v>
      </c>
      <c r="E499" s="39" t="s">
        <v>1178</v>
      </c>
      <c r="F499" s="39" t="s">
        <v>1179</v>
      </c>
      <c r="G499" s="39" t="s">
        <v>1180</v>
      </c>
      <c r="H499" s="223" t="s">
        <v>1138</v>
      </c>
    </row>
    <row r="500" customFormat="false" ht="18.75" hidden="false" customHeight="true" outlineLevel="0" collapsed="false">
      <c r="A500" s="39" t="str">
        <f aca="false">B500&amp;"-"&amp;C500</f>
        <v>XII - CORREDORES: Const. o modif. patrimonial-20</v>
      </c>
      <c r="B500" s="221" t="s">
        <v>1024</v>
      </c>
      <c r="C500" s="222" t="n">
        <v>20</v>
      </c>
      <c r="D500" s="39" t="s">
        <v>124</v>
      </c>
      <c r="E500" s="39" t="s">
        <v>1711</v>
      </c>
      <c r="F500" s="39" t="s">
        <v>1712</v>
      </c>
      <c r="G500" s="39" t="s">
        <v>1713</v>
      </c>
      <c r="H500" s="223" t="s">
        <v>1124</v>
      </c>
    </row>
    <row r="501" customFormat="false" ht="18.75" hidden="false" customHeight="true" outlineLevel="0" collapsed="false">
      <c r="A501" s="39" t="str">
        <f aca="false">B501&amp;"-"&amp;C501</f>
        <v>XII - CORREDORES: Const. o modif. patrimonial-21</v>
      </c>
      <c r="B501" s="221" t="s">
        <v>1024</v>
      </c>
      <c r="C501" s="222" t="n">
        <v>21</v>
      </c>
      <c r="D501" s="39" t="s">
        <v>126</v>
      </c>
      <c r="E501" s="39" t="s">
        <v>1714</v>
      </c>
      <c r="F501" s="39" t="s">
        <v>1715</v>
      </c>
      <c r="G501" s="39" t="s">
        <v>1716</v>
      </c>
      <c r="H501" s="223" t="s">
        <v>1124</v>
      </c>
    </row>
    <row r="502" customFormat="false" ht="18.75" hidden="false" customHeight="true" outlineLevel="0" collapsed="false">
      <c r="A502" s="39" t="str">
        <f aca="false">B502&amp;"-"&amp;C502</f>
        <v>XII - CORREDORES: Const. o modif. patrimonial-22</v>
      </c>
      <c r="B502" s="221" t="s">
        <v>1024</v>
      </c>
      <c r="C502" s="222" t="n">
        <v>22</v>
      </c>
      <c r="D502" s="39" t="s">
        <v>128</v>
      </c>
      <c r="E502" s="39" t="s">
        <v>1717</v>
      </c>
      <c r="F502" s="39" t="s">
        <v>1718</v>
      </c>
      <c r="G502" s="39" t="s">
        <v>1719</v>
      </c>
      <c r="H502" s="223" t="s">
        <v>1138</v>
      </c>
    </row>
    <row r="503" customFormat="false" ht="18.75" hidden="false" customHeight="true" outlineLevel="0" collapsed="false">
      <c r="A503" s="39" t="str">
        <f aca="false">B503&amp;"-"&amp;C503</f>
        <v>XII - CORREDORES: Const. o modif. patrimonial-23</v>
      </c>
      <c r="B503" s="221" t="s">
        <v>1024</v>
      </c>
      <c r="C503" s="222" t="n">
        <v>23</v>
      </c>
      <c r="D503" s="39" t="s">
        <v>131</v>
      </c>
      <c r="E503" s="39" t="s">
        <v>1190</v>
      </c>
      <c r="F503" s="39" t="s">
        <v>1191</v>
      </c>
      <c r="G503" s="39" t="s">
        <v>1192</v>
      </c>
      <c r="H503" s="223" t="s">
        <v>1128</v>
      </c>
    </row>
    <row r="504" customFormat="false" ht="18.75" hidden="false" customHeight="true" outlineLevel="0" collapsed="false">
      <c r="A504" s="39" t="str">
        <f aca="false">B504&amp;"-"&amp;C504</f>
        <v>XII - CORREDORES: Const. o modif. patrimonial-24</v>
      </c>
      <c r="B504" s="221" t="s">
        <v>1024</v>
      </c>
      <c r="C504" s="222" t="n">
        <v>24</v>
      </c>
      <c r="D504" s="39" t="s">
        <v>133</v>
      </c>
      <c r="E504" s="39" t="s">
        <v>1720</v>
      </c>
      <c r="F504" s="39" t="s">
        <v>1194</v>
      </c>
      <c r="G504" s="39" t="s">
        <v>1721</v>
      </c>
      <c r="H504" s="223" t="s">
        <v>1128</v>
      </c>
    </row>
    <row r="505" customFormat="false" ht="18.75" hidden="false" customHeight="true" outlineLevel="0" collapsed="false">
      <c r="A505" s="39" t="str">
        <f aca="false">B505&amp;"-"&amp;C505</f>
        <v>XII - CORREDORES: Const. o modif. patrimonial-25</v>
      </c>
      <c r="B505" s="221" t="s">
        <v>1024</v>
      </c>
      <c r="C505" s="222" t="n">
        <v>25</v>
      </c>
      <c r="D505" s="39" t="s">
        <v>135</v>
      </c>
      <c r="E505" s="39" t="s">
        <v>1722</v>
      </c>
      <c r="F505" s="39" t="s">
        <v>1197</v>
      </c>
      <c r="G505" s="39" t="s">
        <v>1198</v>
      </c>
      <c r="H505" s="223" t="s">
        <v>1128</v>
      </c>
    </row>
    <row r="506" customFormat="false" ht="18.75" hidden="false" customHeight="true" outlineLevel="0" collapsed="false">
      <c r="A506" s="39" t="str">
        <f aca="false">B506&amp;"-"&amp;C506</f>
        <v>XII - CORREDORES: Modif. o cesión fideicomiso-1</v>
      </c>
      <c r="B506" s="221" t="s">
        <v>1032</v>
      </c>
      <c r="C506" s="222" t="n">
        <v>1</v>
      </c>
      <c r="D506" s="39" t="s">
        <v>77</v>
      </c>
      <c r="E506" s="39" t="s">
        <v>1834</v>
      </c>
      <c r="F506" s="39" t="s">
        <v>1835</v>
      </c>
      <c r="G506" s="39" t="s">
        <v>1836</v>
      </c>
      <c r="H506" s="223" t="s">
        <v>1124</v>
      </c>
    </row>
    <row r="507" customFormat="false" ht="18.75" hidden="false" customHeight="true" outlineLevel="0" collapsed="false">
      <c r="A507" s="39" t="str">
        <f aca="false">B507&amp;"-"&amp;C507</f>
        <v>XII - CORREDORES: Modif. o cesión fideicomiso-2</v>
      </c>
      <c r="B507" s="221" t="s">
        <v>1032</v>
      </c>
      <c r="C507" s="222" t="n">
        <v>2</v>
      </c>
      <c r="D507" s="39" t="s">
        <v>81</v>
      </c>
      <c r="E507" s="39" t="s">
        <v>1837</v>
      </c>
      <c r="F507" s="39" t="s">
        <v>1838</v>
      </c>
      <c r="G507" s="39" t="s">
        <v>1839</v>
      </c>
      <c r="H507" s="223" t="s">
        <v>1128</v>
      </c>
    </row>
    <row r="508" customFormat="false" ht="18.75" hidden="false" customHeight="true" outlineLevel="0" collapsed="false">
      <c r="A508" s="39" t="str">
        <f aca="false">B508&amp;"-"&amp;C508</f>
        <v>XII - CORREDORES: Modif. o cesión fideicomiso-3</v>
      </c>
      <c r="B508" s="221" t="s">
        <v>1032</v>
      </c>
      <c r="C508" s="222" t="n">
        <v>3</v>
      </c>
      <c r="D508" s="39" t="s">
        <v>83</v>
      </c>
      <c r="E508" s="39" t="s">
        <v>1840</v>
      </c>
      <c r="F508" s="39" t="s">
        <v>1841</v>
      </c>
      <c r="G508" s="39" t="s">
        <v>1842</v>
      </c>
      <c r="H508" s="223" t="s">
        <v>1128</v>
      </c>
    </row>
    <row r="509" customFormat="false" ht="18.75" hidden="false" customHeight="true" outlineLevel="0" collapsed="false">
      <c r="A509" s="39" t="str">
        <f aca="false">B509&amp;"-"&amp;C509</f>
        <v>XII - CORREDORES: Modif. o cesión fideicomiso-4</v>
      </c>
      <c r="B509" s="221" t="s">
        <v>1032</v>
      </c>
      <c r="C509" s="222" t="n">
        <v>4</v>
      </c>
      <c r="D509" s="39" t="s">
        <v>85</v>
      </c>
      <c r="E509" s="39" t="s">
        <v>1843</v>
      </c>
      <c r="F509" s="39" t="s">
        <v>1133</v>
      </c>
      <c r="G509" s="39" t="s">
        <v>1134</v>
      </c>
      <c r="H509" s="223" t="s">
        <v>1128</v>
      </c>
    </row>
    <row r="510" customFormat="false" ht="18.75" hidden="false" customHeight="true" outlineLevel="0" collapsed="false">
      <c r="A510" s="39" t="str">
        <f aca="false">B510&amp;"-"&amp;C510</f>
        <v>XII - CORREDORES: Modif. o cesión fideicomiso-5</v>
      </c>
      <c r="B510" s="221" t="s">
        <v>1032</v>
      </c>
      <c r="C510" s="222" t="n">
        <v>5</v>
      </c>
      <c r="D510" s="39" t="s">
        <v>88</v>
      </c>
      <c r="E510" s="39" t="s">
        <v>1844</v>
      </c>
      <c r="F510" s="39" t="s">
        <v>1136</v>
      </c>
      <c r="G510" s="39" t="s">
        <v>1137</v>
      </c>
      <c r="H510" s="223" t="s">
        <v>1138</v>
      </c>
    </row>
    <row r="511" customFormat="false" ht="18.75" hidden="false" customHeight="true" outlineLevel="0" collapsed="false">
      <c r="A511" s="39" t="str">
        <f aca="false">B511&amp;"-"&amp;C511</f>
        <v>XII - CORREDORES: Modif. o cesión fideicomiso-6</v>
      </c>
      <c r="B511" s="221" t="s">
        <v>1032</v>
      </c>
      <c r="C511" s="222" t="n">
        <v>6</v>
      </c>
      <c r="D511" s="39" t="s">
        <v>91</v>
      </c>
      <c r="E511" s="39" t="s">
        <v>1845</v>
      </c>
      <c r="F511" s="39" t="s">
        <v>1846</v>
      </c>
      <c r="G511" s="39" t="s">
        <v>1847</v>
      </c>
      <c r="H511" s="223" t="s">
        <v>1138</v>
      </c>
    </row>
    <row r="512" customFormat="false" ht="18.75" hidden="false" customHeight="true" outlineLevel="0" collapsed="false">
      <c r="A512" s="39" t="str">
        <f aca="false">B512&amp;"-"&amp;C512</f>
        <v>XII - CORREDORES: Modif. o cesión fideicomiso-7</v>
      </c>
      <c r="B512" s="221" t="s">
        <v>1032</v>
      </c>
      <c r="C512" s="222" t="n">
        <v>7</v>
      </c>
      <c r="D512" s="39" t="s">
        <v>94</v>
      </c>
      <c r="E512" s="39" t="s">
        <v>1142</v>
      </c>
      <c r="F512" s="39" t="s">
        <v>1143</v>
      </c>
      <c r="G512" s="39" t="s">
        <v>1144</v>
      </c>
      <c r="H512" s="223" t="s">
        <v>1138</v>
      </c>
    </row>
    <row r="513" customFormat="false" ht="18.75" hidden="false" customHeight="true" outlineLevel="0" collapsed="false">
      <c r="A513" s="39" t="str">
        <f aca="false">B513&amp;"-"&amp;C513</f>
        <v>XII - CORREDORES: Modif. o cesión fideicomiso-8</v>
      </c>
      <c r="B513" s="221" t="s">
        <v>1032</v>
      </c>
      <c r="C513" s="222" t="n">
        <v>8</v>
      </c>
      <c r="D513" s="39" t="s">
        <v>96</v>
      </c>
      <c r="E513" s="39" t="s">
        <v>1848</v>
      </c>
      <c r="F513" s="39" t="s">
        <v>1146</v>
      </c>
      <c r="G513" s="39" t="s">
        <v>1147</v>
      </c>
      <c r="H513" s="223" t="s">
        <v>1138</v>
      </c>
    </row>
    <row r="514" customFormat="false" ht="18.75" hidden="false" customHeight="true" outlineLevel="0" collapsed="false">
      <c r="A514" s="39" t="str">
        <f aca="false">B514&amp;"-"&amp;C514</f>
        <v>XII - CORREDORES: Modif. o cesión fideicomiso-9</v>
      </c>
      <c r="B514" s="221" t="s">
        <v>1032</v>
      </c>
      <c r="C514" s="222" t="n">
        <v>9</v>
      </c>
      <c r="D514" s="39" t="s">
        <v>98</v>
      </c>
      <c r="E514" s="39" t="s">
        <v>1148</v>
      </c>
      <c r="F514" s="39" t="s">
        <v>1149</v>
      </c>
      <c r="G514" s="39" t="s">
        <v>1150</v>
      </c>
      <c r="H514" s="223" t="s">
        <v>1138</v>
      </c>
    </row>
    <row r="515" customFormat="false" ht="18.75" hidden="false" customHeight="true" outlineLevel="0" collapsed="false">
      <c r="A515" s="39" t="str">
        <f aca="false">B515&amp;"-"&amp;C515</f>
        <v>XII - CORREDORES: Modif. o cesión fideicomiso-10</v>
      </c>
      <c r="B515" s="221" t="s">
        <v>1032</v>
      </c>
      <c r="C515" s="222" t="n">
        <v>10</v>
      </c>
      <c r="D515" s="39" t="s">
        <v>100</v>
      </c>
      <c r="E515" s="39" t="s">
        <v>1151</v>
      </c>
      <c r="F515" s="39" t="s">
        <v>1152</v>
      </c>
      <c r="G515" s="39" t="s">
        <v>1153</v>
      </c>
      <c r="H515" s="223" t="s">
        <v>1138</v>
      </c>
    </row>
    <row r="516" customFormat="false" ht="18.75" hidden="false" customHeight="true" outlineLevel="0" collapsed="false">
      <c r="A516" s="39" t="str">
        <f aca="false">B516&amp;"-"&amp;C516</f>
        <v>XII - CORREDORES: Modif. o cesión fideicomiso-11</v>
      </c>
      <c r="B516" s="221" t="s">
        <v>1032</v>
      </c>
      <c r="C516" s="222" t="n">
        <v>11</v>
      </c>
      <c r="D516" s="39" t="s">
        <v>102</v>
      </c>
      <c r="E516" s="39" t="s">
        <v>1154</v>
      </c>
      <c r="F516" s="39" t="s">
        <v>1155</v>
      </c>
      <c r="G516" s="39" t="s">
        <v>1156</v>
      </c>
      <c r="H516" s="223" t="s">
        <v>1138</v>
      </c>
    </row>
    <row r="517" customFormat="false" ht="18.75" hidden="false" customHeight="true" outlineLevel="0" collapsed="false">
      <c r="A517" s="39" t="str">
        <f aca="false">B517&amp;"-"&amp;C517</f>
        <v>XII - CORREDORES: Modif. o cesión fideicomiso-12</v>
      </c>
      <c r="B517" s="221" t="s">
        <v>1032</v>
      </c>
      <c r="C517" s="222" t="n">
        <v>12</v>
      </c>
      <c r="D517" s="39" t="s">
        <v>105</v>
      </c>
      <c r="E517" s="39" t="s">
        <v>1157</v>
      </c>
      <c r="F517" s="39" t="s">
        <v>1158</v>
      </c>
      <c r="G517" s="39" t="s">
        <v>1159</v>
      </c>
      <c r="H517" s="223" t="s">
        <v>1138</v>
      </c>
    </row>
    <row r="518" customFormat="false" ht="18.75" hidden="false" customHeight="true" outlineLevel="0" collapsed="false">
      <c r="A518" s="39" t="str">
        <f aca="false">B518&amp;"-"&amp;C518</f>
        <v>XII - CORREDORES: Modif. o cesión fideicomiso-13</v>
      </c>
      <c r="B518" s="221" t="s">
        <v>1032</v>
      </c>
      <c r="C518" s="222" t="n">
        <v>13</v>
      </c>
      <c r="D518" s="39" t="s">
        <v>107</v>
      </c>
      <c r="E518" s="39" t="s">
        <v>1849</v>
      </c>
      <c r="F518" s="39" t="s">
        <v>1161</v>
      </c>
      <c r="G518" s="39" t="s">
        <v>1850</v>
      </c>
      <c r="H518" s="223" t="s">
        <v>1124</v>
      </c>
    </row>
    <row r="519" customFormat="false" ht="18.75" hidden="false" customHeight="true" outlineLevel="0" collapsed="false">
      <c r="A519" s="39" t="str">
        <f aca="false">B519&amp;"-"&amp;C519</f>
        <v>XII - CORREDORES: Modif. o cesión fideicomiso-14</v>
      </c>
      <c r="B519" s="221" t="s">
        <v>1032</v>
      </c>
      <c r="C519" s="222" t="n">
        <v>14</v>
      </c>
      <c r="D519" s="39" t="s">
        <v>109</v>
      </c>
      <c r="E519" s="39" t="s">
        <v>1851</v>
      </c>
      <c r="F519" s="39" t="s">
        <v>1852</v>
      </c>
      <c r="G519" s="39" t="s">
        <v>1853</v>
      </c>
      <c r="H519" s="223" t="s">
        <v>1138</v>
      </c>
    </row>
    <row r="520" customFormat="false" ht="18.75" hidden="false" customHeight="true" outlineLevel="0" collapsed="false">
      <c r="A520" s="39" t="str">
        <f aca="false">B520&amp;"-"&amp;C520</f>
        <v>XII - CORREDORES: Modif. o cesión fideicomiso-15</v>
      </c>
      <c r="B520" s="221" t="s">
        <v>1032</v>
      </c>
      <c r="C520" s="222" t="n">
        <v>15</v>
      </c>
      <c r="D520" s="39" t="s">
        <v>112</v>
      </c>
      <c r="E520" s="39" t="s">
        <v>1854</v>
      </c>
      <c r="F520" s="39" t="s">
        <v>1855</v>
      </c>
      <c r="G520" s="39" t="s">
        <v>1856</v>
      </c>
      <c r="H520" s="223" t="s">
        <v>1138</v>
      </c>
    </row>
    <row r="521" customFormat="false" ht="18.75" hidden="false" customHeight="true" outlineLevel="0" collapsed="false">
      <c r="A521" s="39" t="str">
        <f aca="false">B521&amp;"-"&amp;C521</f>
        <v>XII - CORREDORES: Modif. o cesión fideicomiso-16</v>
      </c>
      <c r="B521" s="221" t="s">
        <v>1032</v>
      </c>
      <c r="C521" s="222" t="n">
        <v>16</v>
      </c>
      <c r="D521" s="39" t="s">
        <v>114</v>
      </c>
      <c r="E521" s="39" t="s">
        <v>1169</v>
      </c>
      <c r="F521" s="39" t="s">
        <v>1170</v>
      </c>
      <c r="G521" s="39" t="s">
        <v>1171</v>
      </c>
      <c r="H521" s="223" t="s">
        <v>1138</v>
      </c>
    </row>
    <row r="522" customFormat="false" ht="18.75" hidden="false" customHeight="true" outlineLevel="0" collapsed="false">
      <c r="A522" s="39" t="str">
        <f aca="false">B522&amp;"-"&amp;C522</f>
        <v>XII - CORREDORES: Modif. o cesión fideicomiso-17</v>
      </c>
      <c r="B522" s="221" t="s">
        <v>1032</v>
      </c>
      <c r="C522" s="222" t="n">
        <v>17</v>
      </c>
      <c r="D522" s="39" t="s">
        <v>116</v>
      </c>
      <c r="E522" s="39" t="s">
        <v>1857</v>
      </c>
      <c r="F522" s="39" t="s">
        <v>1173</v>
      </c>
      <c r="G522" s="39" t="s">
        <v>1858</v>
      </c>
      <c r="H522" s="223" t="s">
        <v>1124</v>
      </c>
    </row>
    <row r="523" customFormat="false" ht="18.75" hidden="false" customHeight="true" outlineLevel="0" collapsed="false">
      <c r="A523" s="39" t="str">
        <f aca="false">B523&amp;"-"&amp;C523</f>
        <v>XII - CORREDORES: Modif. o cesión fideicomiso-18</v>
      </c>
      <c r="B523" s="221" t="s">
        <v>1032</v>
      </c>
      <c r="C523" s="222" t="n">
        <v>18</v>
      </c>
      <c r="D523" s="39" t="s">
        <v>119</v>
      </c>
      <c r="E523" s="39" t="s">
        <v>1175</v>
      </c>
      <c r="F523" s="39" t="s">
        <v>1176</v>
      </c>
      <c r="G523" s="39" t="s">
        <v>1859</v>
      </c>
      <c r="H523" s="223" t="s">
        <v>1138</v>
      </c>
    </row>
    <row r="524" customFormat="false" ht="18.75" hidden="false" customHeight="true" outlineLevel="0" collapsed="false">
      <c r="A524" s="39" t="str">
        <f aca="false">B524&amp;"-"&amp;C524</f>
        <v>XII - CORREDORES: Modif. o cesión fideicomiso-19</v>
      </c>
      <c r="B524" s="221" t="s">
        <v>1032</v>
      </c>
      <c r="C524" s="222" t="n">
        <v>19</v>
      </c>
      <c r="D524" s="39" t="s">
        <v>122</v>
      </c>
      <c r="E524" s="39" t="s">
        <v>1178</v>
      </c>
      <c r="F524" s="39" t="s">
        <v>1179</v>
      </c>
      <c r="G524" s="39" t="s">
        <v>1180</v>
      </c>
      <c r="H524" s="223" t="s">
        <v>1138</v>
      </c>
    </row>
    <row r="525" customFormat="false" ht="18.75" hidden="false" customHeight="true" outlineLevel="0" collapsed="false">
      <c r="A525" s="39" t="str">
        <f aca="false">B525&amp;"-"&amp;C525</f>
        <v>XII - CORREDORES: Modif. o cesión fideicomiso-20</v>
      </c>
      <c r="B525" s="221" t="s">
        <v>1032</v>
      </c>
      <c r="C525" s="222" t="n">
        <v>20</v>
      </c>
      <c r="D525" s="39" t="s">
        <v>124</v>
      </c>
      <c r="E525" s="39" t="s">
        <v>1860</v>
      </c>
      <c r="F525" s="39" t="s">
        <v>1861</v>
      </c>
      <c r="G525" s="39" t="s">
        <v>1862</v>
      </c>
      <c r="H525" s="223" t="s">
        <v>1124</v>
      </c>
    </row>
    <row r="526" customFormat="false" ht="18.75" hidden="false" customHeight="true" outlineLevel="0" collapsed="false">
      <c r="A526" s="39" t="str">
        <f aca="false">B526&amp;"-"&amp;C526</f>
        <v>XII - CORREDORES: Modif. o cesión fideicomiso-21</v>
      </c>
      <c r="B526" s="221" t="s">
        <v>1032</v>
      </c>
      <c r="C526" s="222" t="n">
        <v>21</v>
      </c>
      <c r="D526" s="39" t="s">
        <v>126</v>
      </c>
      <c r="E526" s="39" t="s">
        <v>1863</v>
      </c>
      <c r="F526" s="39" t="s">
        <v>1864</v>
      </c>
      <c r="G526" s="39" t="s">
        <v>1865</v>
      </c>
      <c r="H526" s="223" t="s">
        <v>1124</v>
      </c>
    </row>
    <row r="527" customFormat="false" ht="18.75" hidden="false" customHeight="true" outlineLevel="0" collapsed="false">
      <c r="A527" s="39" t="str">
        <f aca="false">B527&amp;"-"&amp;C527</f>
        <v>XII - CORREDORES: Modif. o cesión fideicomiso-22</v>
      </c>
      <c r="B527" s="221" t="s">
        <v>1032</v>
      </c>
      <c r="C527" s="222" t="n">
        <v>22</v>
      </c>
      <c r="D527" s="39" t="s">
        <v>128</v>
      </c>
      <c r="E527" s="39" t="s">
        <v>1866</v>
      </c>
      <c r="F527" s="39" t="s">
        <v>1867</v>
      </c>
      <c r="G527" s="39" t="s">
        <v>1868</v>
      </c>
      <c r="H527" s="223" t="s">
        <v>1138</v>
      </c>
    </row>
    <row r="528" customFormat="false" ht="18.75" hidden="false" customHeight="true" outlineLevel="0" collapsed="false">
      <c r="A528" s="39" t="str">
        <f aca="false">B528&amp;"-"&amp;C528</f>
        <v>XII - CORREDORES: Modif. o cesión fideicomiso-23</v>
      </c>
      <c r="B528" s="221" t="s">
        <v>1032</v>
      </c>
      <c r="C528" s="222" t="n">
        <v>23</v>
      </c>
      <c r="D528" s="39" t="s">
        <v>131</v>
      </c>
      <c r="E528" s="39" t="s">
        <v>1190</v>
      </c>
      <c r="F528" s="39" t="s">
        <v>1191</v>
      </c>
      <c r="G528" s="39" t="s">
        <v>1192</v>
      </c>
      <c r="H528" s="223" t="s">
        <v>1128</v>
      </c>
    </row>
    <row r="529" customFormat="false" ht="18.75" hidden="false" customHeight="true" outlineLevel="0" collapsed="false">
      <c r="A529" s="39" t="str">
        <f aca="false">B529&amp;"-"&amp;C529</f>
        <v>XII - CORREDORES: Modif. o cesión fideicomiso-24</v>
      </c>
      <c r="B529" s="221" t="s">
        <v>1032</v>
      </c>
      <c r="C529" s="222" t="n">
        <v>24</v>
      </c>
      <c r="D529" s="39" t="s">
        <v>133</v>
      </c>
      <c r="E529" s="39" t="s">
        <v>1869</v>
      </c>
      <c r="F529" s="39" t="s">
        <v>1194</v>
      </c>
      <c r="G529" s="39" t="s">
        <v>1870</v>
      </c>
      <c r="H529" s="223" t="s">
        <v>1128</v>
      </c>
    </row>
    <row r="530" customFormat="false" ht="18.75" hidden="false" customHeight="true" outlineLevel="0" collapsed="false">
      <c r="A530" s="39" t="str">
        <f aca="false">B530&amp;"-"&amp;C530</f>
        <v>XII - CORREDORES: Modif. o cesión fideicomiso-25</v>
      </c>
      <c r="B530" s="221" t="s">
        <v>1032</v>
      </c>
      <c r="C530" s="222" t="n">
        <v>25</v>
      </c>
      <c r="D530" s="39" t="s">
        <v>135</v>
      </c>
      <c r="E530" s="39" t="s">
        <v>1871</v>
      </c>
      <c r="F530" s="39" t="s">
        <v>1197</v>
      </c>
      <c r="G530" s="39" t="s">
        <v>1198</v>
      </c>
      <c r="H530" s="223" t="s">
        <v>1128</v>
      </c>
    </row>
    <row r="531" customFormat="false" ht="18.75" hidden="false" customHeight="true" outlineLevel="0" collapsed="false">
      <c r="A531" s="39" t="str">
        <f aca="false">B531&amp;"-"&amp;C531</f>
        <v>XII - CORREDORES: Mutuo mercantil-1</v>
      </c>
      <c r="B531" s="221" t="s">
        <v>1040</v>
      </c>
      <c r="C531" s="222" t="n">
        <v>1</v>
      </c>
      <c r="D531" s="39" t="s">
        <v>77</v>
      </c>
      <c r="E531" s="39" t="s">
        <v>1872</v>
      </c>
      <c r="F531" s="39" t="s">
        <v>1873</v>
      </c>
      <c r="G531" s="39" t="s">
        <v>1874</v>
      </c>
      <c r="H531" s="223" t="s">
        <v>1124</v>
      </c>
    </row>
    <row r="532" customFormat="false" ht="18.75" hidden="false" customHeight="true" outlineLevel="0" collapsed="false">
      <c r="A532" s="39" t="str">
        <f aca="false">B532&amp;"-"&amp;C532</f>
        <v>XII - CORREDORES: Mutuo mercantil-2</v>
      </c>
      <c r="B532" s="221" t="s">
        <v>1040</v>
      </c>
      <c r="C532" s="222" t="n">
        <v>2</v>
      </c>
      <c r="D532" s="39" t="s">
        <v>81</v>
      </c>
      <c r="E532" s="39" t="s">
        <v>1875</v>
      </c>
      <c r="F532" s="39" t="s">
        <v>1876</v>
      </c>
      <c r="G532" s="39" t="s">
        <v>1877</v>
      </c>
      <c r="H532" s="223" t="s">
        <v>1128</v>
      </c>
    </row>
    <row r="533" customFormat="false" ht="18.75" hidden="false" customHeight="true" outlineLevel="0" collapsed="false">
      <c r="A533" s="39" t="str">
        <f aca="false">B533&amp;"-"&amp;C533</f>
        <v>XII - CORREDORES: Mutuo mercantil-3</v>
      </c>
      <c r="B533" s="221" t="s">
        <v>1040</v>
      </c>
      <c r="C533" s="222" t="n">
        <v>3</v>
      </c>
      <c r="D533" s="39" t="s">
        <v>83</v>
      </c>
      <c r="E533" s="39" t="s">
        <v>1767</v>
      </c>
      <c r="F533" s="39" t="s">
        <v>1768</v>
      </c>
      <c r="G533" s="39" t="s">
        <v>1769</v>
      </c>
      <c r="H533" s="223" t="s">
        <v>1128</v>
      </c>
    </row>
    <row r="534" customFormat="false" ht="18.75" hidden="false" customHeight="true" outlineLevel="0" collapsed="false">
      <c r="A534" s="39" t="str">
        <f aca="false">B534&amp;"-"&amp;C534</f>
        <v>XII - CORREDORES: Mutuo mercantil-4</v>
      </c>
      <c r="B534" s="221" t="s">
        <v>1040</v>
      </c>
      <c r="C534" s="222" t="n">
        <v>4</v>
      </c>
      <c r="D534" s="39" t="s">
        <v>85</v>
      </c>
      <c r="E534" s="39" t="s">
        <v>1770</v>
      </c>
      <c r="F534" s="39" t="s">
        <v>1133</v>
      </c>
      <c r="G534" s="39" t="s">
        <v>1134</v>
      </c>
      <c r="H534" s="223" t="s">
        <v>1128</v>
      </c>
    </row>
    <row r="535" customFormat="false" ht="18.75" hidden="false" customHeight="true" outlineLevel="0" collapsed="false">
      <c r="A535" s="39" t="str">
        <f aca="false">B535&amp;"-"&amp;C535</f>
        <v>XII - CORREDORES: Mutuo mercantil-5</v>
      </c>
      <c r="B535" s="221" t="s">
        <v>1040</v>
      </c>
      <c r="C535" s="222" t="n">
        <v>5</v>
      </c>
      <c r="D535" s="39" t="s">
        <v>88</v>
      </c>
      <c r="E535" s="39" t="s">
        <v>1771</v>
      </c>
      <c r="F535" s="39" t="s">
        <v>1136</v>
      </c>
      <c r="G535" s="39" t="s">
        <v>1137</v>
      </c>
      <c r="H535" s="223" t="s">
        <v>1138</v>
      </c>
    </row>
    <row r="536" customFormat="false" ht="18.75" hidden="false" customHeight="true" outlineLevel="0" collapsed="false">
      <c r="A536" s="39" t="str">
        <f aca="false">B536&amp;"-"&amp;C536</f>
        <v>XII - CORREDORES: Mutuo mercantil-6</v>
      </c>
      <c r="B536" s="221" t="s">
        <v>1040</v>
      </c>
      <c r="C536" s="222" t="n">
        <v>6</v>
      </c>
      <c r="D536" s="39" t="s">
        <v>91</v>
      </c>
      <c r="E536" s="39" t="s">
        <v>1772</v>
      </c>
      <c r="F536" s="39" t="s">
        <v>1773</v>
      </c>
      <c r="G536" s="39" t="s">
        <v>1774</v>
      </c>
      <c r="H536" s="223" t="s">
        <v>1138</v>
      </c>
    </row>
    <row r="537" customFormat="false" ht="18.75" hidden="false" customHeight="true" outlineLevel="0" collapsed="false">
      <c r="A537" s="39" t="str">
        <f aca="false">B537&amp;"-"&amp;C537</f>
        <v>XII - CORREDORES: Mutuo mercantil-7</v>
      </c>
      <c r="B537" s="221" t="s">
        <v>1040</v>
      </c>
      <c r="C537" s="222" t="n">
        <v>7</v>
      </c>
      <c r="D537" s="39" t="s">
        <v>94</v>
      </c>
      <c r="E537" s="39" t="s">
        <v>1142</v>
      </c>
      <c r="F537" s="39" t="s">
        <v>1143</v>
      </c>
      <c r="G537" s="39" t="s">
        <v>1144</v>
      </c>
      <c r="H537" s="223" t="s">
        <v>1138</v>
      </c>
    </row>
    <row r="538" customFormat="false" ht="18.75" hidden="false" customHeight="true" outlineLevel="0" collapsed="false">
      <c r="A538" s="39" t="str">
        <f aca="false">B538&amp;"-"&amp;C538</f>
        <v>XII - CORREDORES: Mutuo mercantil-8</v>
      </c>
      <c r="B538" s="221" t="s">
        <v>1040</v>
      </c>
      <c r="C538" s="222" t="n">
        <v>8</v>
      </c>
      <c r="D538" s="39" t="s">
        <v>96</v>
      </c>
      <c r="E538" s="39" t="s">
        <v>1775</v>
      </c>
      <c r="F538" s="39" t="s">
        <v>1146</v>
      </c>
      <c r="G538" s="39" t="s">
        <v>1147</v>
      </c>
      <c r="H538" s="223" t="s">
        <v>1138</v>
      </c>
    </row>
    <row r="539" customFormat="false" ht="18.75" hidden="false" customHeight="true" outlineLevel="0" collapsed="false">
      <c r="A539" s="39" t="str">
        <f aca="false">B539&amp;"-"&amp;C539</f>
        <v>XII - CORREDORES: Mutuo mercantil-9</v>
      </c>
      <c r="B539" s="221" t="s">
        <v>1040</v>
      </c>
      <c r="C539" s="222" t="n">
        <v>9</v>
      </c>
      <c r="D539" s="39" t="s">
        <v>98</v>
      </c>
      <c r="E539" s="39" t="s">
        <v>1148</v>
      </c>
      <c r="F539" s="39" t="s">
        <v>1149</v>
      </c>
      <c r="G539" s="39" t="s">
        <v>1150</v>
      </c>
      <c r="H539" s="223" t="s">
        <v>1138</v>
      </c>
    </row>
    <row r="540" customFormat="false" ht="18.75" hidden="false" customHeight="true" outlineLevel="0" collapsed="false">
      <c r="A540" s="39" t="str">
        <f aca="false">B540&amp;"-"&amp;C540</f>
        <v>XII - CORREDORES: Mutuo mercantil-10</v>
      </c>
      <c r="B540" s="221" t="s">
        <v>1040</v>
      </c>
      <c r="C540" s="222" t="n">
        <v>10</v>
      </c>
      <c r="D540" s="39" t="s">
        <v>100</v>
      </c>
      <c r="E540" s="39" t="s">
        <v>1151</v>
      </c>
      <c r="F540" s="39" t="s">
        <v>1152</v>
      </c>
      <c r="G540" s="39" t="s">
        <v>1153</v>
      </c>
      <c r="H540" s="223" t="s">
        <v>1138</v>
      </c>
    </row>
    <row r="541" customFormat="false" ht="18.75" hidden="false" customHeight="true" outlineLevel="0" collapsed="false">
      <c r="A541" s="39" t="str">
        <f aca="false">B541&amp;"-"&amp;C541</f>
        <v>XII - CORREDORES: Mutuo mercantil-11</v>
      </c>
      <c r="B541" s="221" t="s">
        <v>1040</v>
      </c>
      <c r="C541" s="222" t="n">
        <v>11</v>
      </c>
      <c r="D541" s="39" t="s">
        <v>102</v>
      </c>
      <c r="E541" s="39" t="s">
        <v>1154</v>
      </c>
      <c r="F541" s="39" t="s">
        <v>1155</v>
      </c>
      <c r="G541" s="39" t="s">
        <v>1156</v>
      </c>
      <c r="H541" s="223" t="s">
        <v>1138</v>
      </c>
    </row>
    <row r="542" customFormat="false" ht="18.75" hidden="false" customHeight="true" outlineLevel="0" collapsed="false">
      <c r="A542" s="39" t="str">
        <f aca="false">B542&amp;"-"&amp;C542</f>
        <v>XII - CORREDORES: Mutuo mercantil-12</v>
      </c>
      <c r="B542" s="221" t="s">
        <v>1040</v>
      </c>
      <c r="C542" s="222" t="n">
        <v>12</v>
      </c>
      <c r="D542" s="39" t="s">
        <v>105</v>
      </c>
      <c r="E542" s="39" t="s">
        <v>1157</v>
      </c>
      <c r="F542" s="39" t="s">
        <v>1158</v>
      </c>
      <c r="G542" s="39" t="s">
        <v>1159</v>
      </c>
      <c r="H542" s="223" t="s">
        <v>1138</v>
      </c>
    </row>
    <row r="543" customFormat="false" ht="18.75" hidden="false" customHeight="true" outlineLevel="0" collapsed="false">
      <c r="A543" s="39" t="str">
        <f aca="false">B543&amp;"-"&amp;C543</f>
        <v>XII - CORREDORES: Mutuo mercantil-13</v>
      </c>
      <c r="B543" s="221" t="s">
        <v>1040</v>
      </c>
      <c r="C543" s="222" t="n">
        <v>13</v>
      </c>
      <c r="D543" s="39" t="s">
        <v>107</v>
      </c>
      <c r="E543" s="39" t="s">
        <v>1776</v>
      </c>
      <c r="F543" s="39" t="s">
        <v>1161</v>
      </c>
      <c r="G543" s="39" t="s">
        <v>1777</v>
      </c>
      <c r="H543" s="223" t="s">
        <v>1124</v>
      </c>
    </row>
    <row r="544" customFormat="false" ht="18.75" hidden="false" customHeight="true" outlineLevel="0" collapsed="false">
      <c r="A544" s="39" t="str">
        <f aca="false">B544&amp;"-"&amp;C544</f>
        <v>XII - CORREDORES: Mutuo mercantil-14</v>
      </c>
      <c r="B544" s="221" t="s">
        <v>1040</v>
      </c>
      <c r="C544" s="222" t="n">
        <v>14</v>
      </c>
      <c r="D544" s="39" t="s">
        <v>109</v>
      </c>
      <c r="E544" s="39" t="s">
        <v>1778</v>
      </c>
      <c r="F544" s="39" t="s">
        <v>1779</v>
      </c>
      <c r="G544" s="39" t="s">
        <v>1780</v>
      </c>
      <c r="H544" s="223" t="s">
        <v>1138</v>
      </c>
    </row>
    <row r="545" customFormat="false" ht="18.75" hidden="false" customHeight="true" outlineLevel="0" collapsed="false">
      <c r="A545" s="39" t="str">
        <f aca="false">B545&amp;"-"&amp;C545</f>
        <v>XII - CORREDORES: Mutuo mercantil-15</v>
      </c>
      <c r="B545" s="221" t="s">
        <v>1040</v>
      </c>
      <c r="C545" s="222" t="n">
        <v>15</v>
      </c>
      <c r="D545" s="39" t="s">
        <v>112</v>
      </c>
      <c r="E545" s="39" t="s">
        <v>1781</v>
      </c>
      <c r="F545" s="39" t="s">
        <v>1782</v>
      </c>
      <c r="G545" s="39" t="s">
        <v>1783</v>
      </c>
      <c r="H545" s="223" t="s">
        <v>1138</v>
      </c>
    </row>
    <row r="546" customFormat="false" ht="18.75" hidden="false" customHeight="true" outlineLevel="0" collapsed="false">
      <c r="A546" s="39" t="str">
        <f aca="false">B546&amp;"-"&amp;C546</f>
        <v>XII - CORREDORES: Mutuo mercantil-16</v>
      </c>
      <c r="B546" s="221" t="s">
        <v>1040</v>
      </c>
      <c r="C546" s="222" t="n">
        <v>16</v>
      </c>
      <c r="D546" s="39" t="s">
        <v>114</v>
      </c>
      <c r="E546" s="39" t="s">
        <v>1169</v>
      </c>
      <c r="F546" s="39" t="s">
        <v>1170</v>
      </c>
      <c r="G546" s="39" t="s">
        <v>1171</v>
      </c>
      <c r="H546" s="223" t="s">
        <v>1138</v>
      </c>
    </row>
    <row r="547" customFormat="false" ht="18.75" hidden="false" customHeight="true" outlineLevel="0" collapsed="false">
      <c r="A547" s="39" t="str">
        <f aca="false">B547&amp;"-"&amp;C547</f>
        <v>XII - CORREDORES: Mutuo mercantil-17</v>
      </c>
      <c r="B547" s="221" t="s">
        <v>1040</v>
      </c>
      <c r="C547" s="222" t="n">
        <v>17</v>
      </c>
      <c r="D547" s="39" t="s">
        <v>116</v>
      </c>
      <c r="E547" s="39" t="s">
        <v>1784</v>
      </c>
      <c r="F547" s="39" t="s">
        <v>1173</v>
      </c>
      <c r="G547" s="39" t="s">
        <v>1785</v>
      </c>
      <c r="H547" s="223" t="s">
        <v>1124</v>
      </c>
    </row>
    <row r="548" customFormat="false" ht="18.75" hidden="false" customHeight="true" outlineLevel="0" collapsed="false">
      <c r="A548" s="39" t="str">
        <f aca="false">B548&amp;"-"&amp;C548</f>
        <v>XII - CORREDORES: Mutuo mercantil-18</v>
      </c>
      <c r="B548" s="221" t="s">
        <v>1040</v>
      </c>
      <c r="C548" s="222" t="n">
        <v>18</v>
      </c>
      <c r="D548" s="39" t="s">
        <v>119</v>
      </c>
      <c r="E548" s="39" t="s">
        <v>1175</v>
      </c>
      <c r="F548" s="39" t="s">
        <v>1176</v>
      </c>
      <c r="G548" s="39" t="s">
        <v>1786</v>
      </c>
      <c r="H548" s="223" t="s">
        <v>1138</v>
      </c>
    </row>
    <row r="549" customFormat="false" ht="18.75" hidden="false" customHeight="true" outlineLevel="0" collapsed="false">
      <c r="A549" s="39" t="str">
        <f aca="false">B549&amp;"-"&amp;C549</f>
        <v>XII - CORREDORES: Mutuo mercantil-19</v>
      </c>
      <c r="B549" s="221" t="s">
        <v>1040</v>
      </c>
      <c r="C549" s="222" t="n">
        <v>19</v>
      </c>
      <c r="D549" s="39" t="s">
        <v>122</v>
      </c>
      <c r="E549" s="39" t="s">
        <v>1178</v>
      </c>
      <c r="F549" s="39" t="s">
        <v>1179</v>
      </c>
      <c r="G549" s="39" t="s">
        <v>1180</v>
      </c>
      <c r="H549" s="223" t="s">
        <v>1138</v>
      </c>
    </row>
    <row r="550" customFormat="false" ht="18.75" hidden="false" customHeight="true" outlineLevel="0" collapsed="false">
      <c r="A550" s="39" t="str">
        <f aca="false">B550&amp;"-"&amp;C550</f>
        <v>XII - CORREDORES: Mutuo mercantil-20</v>
      </c>
      <c r="B550" s="221" t="s">
        <v>1040</v>
      </c>
      <c r="C550" s="222" t="n">
        <v>20</v>
      </c>
      <c r="D550" s="39" t="s">
        <v>124</v>
      </c>
      <c r="E550" s="39" t="s">
        <v>1787</v>
      </c>
      <c r="F550" s="39" t="s">
        <v>1788</v>
      </c>
      <c r="G550" s="39" t="s">
        <v>1789</v>
      </c>
      <c r="H550" s="223" t="s">
        <v>1124</v>
      </c>
    </row>
    <row r="551" customFormat="false" ht="18.75" hidden="false" customHeight="true" outlineLevel="0" collapsed="false">
      <c r="A551" s="39" t="str">
        <f aca="false">B551&amp;"-"&amp;C551</f>
        <v>XII - CORREDORES: Mutuo mercantil-21</v>
      </c>
      <c r="B551" s="221" t="s">
        <v>1040</v>
      </c>
      <c r="C551" s="222" t="n">
        <v>21</v>
      </c>
      <c r="D551" s="39" t="s">
        <v>126</v>
      </c>
      <c r="E551" s="39" t="s">
        <v>1790</v>
      </c>
      <c r="F551" s="39" t="s">
        <v>1791</v>
      </c>
      <c r="G551" s="39" t="s">
        <v>1792</v>
      </c>
      <c r="H551" s="223" t="s">
        <v>1124</v>
      </c>
    </row>
    <row r="552" customFormat="false" ht="18.75" hidden="false" customHeight="true" outlineLevel="0" collapsed="false">
      <c r="A552" s="39" t="str">
        <f aca="false">B552&amp;"-"&amp;C552</f>
        <v>XII - CORREDORES: Mutuo mercantil-22</v>
      </c>
      <c r="B552" s="221" t="s">
        <v>1040</v>
      </c>
      <c r="C552" s="222" t="n">
        <v>22</v>
      </c>
      <c r="D552" s="39" t="s">
        <v>128</v>
      </c>
      <c r="E552" s="39" t="s">
        <v>1642</v>
      </c>
      <c r="F552" s="39" t="s">
        <v>1643</v>
      </c>
      <c r="G552" s="39" t="s">
        <v>1644</v>
      </c>
      <c r="H552" s="223" t="s">
        <v>1138</v>
      </c>
    </row>
    <row r="553" customFormat="false" ht="18.75" hidden="false" customHeight="true" outlineLevel="0" collapsed="false">
      <c r="A553" s="39" t="str">
        <f aca="false">B553&amp;"-"&amp;C553</f>
        <v>XII - CORREDORES: Mutuo mercantil-23</v>
      </c>
      <c r="B553" s="221" t="s">
        <v>1040</v>
      </c>
      <c r="C553" s="222" t="n">
        <v>23</v>
      </c>
      <c r="D553" s="39" t="s">
        <v>131</v>
      </c>
      <c r="E553" s="39" t="s">
        <v>1190</v>
      </c>
      <c r="F553" s="39" t="s">
        <v>1191</v>
      </c>
      <c r="G553" s="39" t="s">
        <v>1192</v>
      </c>
      <c r="H553" s="223" t="s">
        <v>1128</v>
      </c>
    </row>
    <row r="554" customFormat="false" ht="18.75" hidden="false" customHeight="true" outlineLevel="0" collapsed="false">
      <c r="A554" s="39" t="str">
        <f aca="false">B554&amp;"-"&amp;C554</f>
        <v>XII - CORREDORES: Mutuo mercantil-24</v>
      </c>
      <c r="B554" s="221" t="s">
        <v>1040</v>
      </c>
      <c r="C554" s="222" t="n">
        <v>24</v>
      </c>
      <c r="D554" s="39" t="s">
        <v>133</v>
      </c>
      <c r="E554" s="39" t="s">
        <v>1878</v>
      </c>
      <c r="F554" s="39" t="s">
        <v>1194</v>
      </c>
      <c r="G554" s="39" t="s">
        <v>1879</v>
      </c>
      <c r="H554" s="223" t="s">
        <v>1128</v>
      </c>
    </row>
    <row r="555" customFormat="false" ht="18.75" hidden="false" customHeight="true" outlineLevel="0" collapsed="false">
      <c r="A555" s="39" t="str">
        <f aca="false">B555&amp;"-"&amp;C555</f>
        <v>XII - CORREDORES: Mutuo mercantil-25</v>
      </c>
      <c r="B555" s="221" t="s">
        <v>1040</v>
      </c>
      <c r="C555" s="222" t="n">
        <v>25</v>
      </c>
      <c r="D555" s="39" t="s">
        <v>135</v>
      </c>
      <c r="E555" s="39" t="s">
        <v>1795</v>
      </c>
      <c r="F555" s="39" t="s">
        <v>1197</v>
      </c>
      <c r="G555" s="39" t="s">
        <v>1198</v>
      </c>
      <c r="H555" s="223" t="s">
        <v>1128</v>
      </c>
    </row>
    <row r="556" customFormat="false" ht="18.75" hidden="false" customHeight="true" outlineLevel="0" collapsed="false">
      <c r="A556" s="39" t="str">
        <f aca="false">B556&amp;"-"&amp;C556</f>
        <v>XII - FACILITADORES: Solución de controversias-1</v>
      </c>
      <c r="B556" s="221" t="s">
        <v>1048</v>
      </c>
      <c r="C556" s="222" t="n">
        <v>1</v>
      </c>
      <c r="D556" s="39" t="s">
        <v>77</v>
      </c>
      <c r="E556" s="39" t="s">
        <v>1880</v>
      </c>
      <c r="F556" s="39" t="s">
        <v>1881</v>
      </c>
      <c r="G556" s="39" t="s">
        <v>1882</v>
      </c>
      <c r="H556" s="223" t="s">
        <v>1124</v>
      </c>
    </row>
    <row r="557" customFormat="false" ht="18.75" hidden="false" customHeight="true" outlineLevel="0" collapsed="false">
      <c r="A557" s="39" t="str">
        <f aca="false">B557&amp;"-"&amp;C557</f>
        <v>XII - FACILITADORES: Solución de controversias-2</v>
      </c>
      <c r="B557" s="221" t="s">
        <v>1048</v>
      </c>
      <c r="C557" s="222" t="n">
        <v>2</v>
      </c>
      <c r="D557" s="39" t="s">
        <v>81</v>
      </c>
      <c r="E557" s="39" t="s">
        <v>1883</v>
      </c>
      <c r="F557" s="39" t="s">
        <v>1884</v>
      </c>
      <c r="G557" s="39" t="s">
        <v>1885</v>
      </c>
      <c r="H557" s="223" t="s">
        <v>1128</v>
      </c>
    </row>
    <row r="558" customFormat="false" ht="18.75" hidden="false" customHeight="true" outlineLevel="0" collapsed="false">
      <c r="A558" s="39" t="str">
        <f aca="false">B558&amp;"-"&amp;C558</f>
        <v>XII - FACILITADORES: Solución de controversias-3</v>
      </c>
      <c r="B558" s="221" t="s">
        <v>1048</v>
      </c>
      <c r="C558" s="222" t="n">
        <v>3</v>
      </c>
      <c r="D558" s="39" t="s">
        <v>83</v>
      </c>
      <c r="E558" s="39" t="s">
        <v>1886</v>
      </c>
      <c r="F558" s="39" t="s">
        <v>1887</v>
      </c>
      <c r="G558" s="39" t="s">
        <v>1888</v>
      </c>
      <c r="H558" s="223" t="s">
        <v>1128</v>
      </c>
    </row>
    <row r="559" customFormat="false" ht="18.75" hidden="false" customHeight="true" outlineLevel="0" collapsed="false">
      <c r="A559" s="39" t="str">
        <f aca="false">B559&amp;"-"&amp;C559</f>
        <v>XII - FACILITADORES: Solución de controversias-4</v>
      </c>
      <c r="B559" s="221" t="s">
        <v>1048</v>
      </c>
      <c r="C559" s="222" t="n">
        <v>4</v>
      </c>
      <c r="D559" s="39" t="s">
        <v>85</v>
      </c>
      <c r="E559" s="39" t="s">
        <v>1889</v>
      </c>
      <c r="F559" s="39" t="s">
        <v>1133</v>
      </c>
      <c r="G559" s="39" t="s">
        <v>1134</v>
      </c>
      <c r="H559" s="223" t="s">
        <v>1128</v>
      </c>
    </row>
    <row r="560" customFormat="false" ht="18.75" hidden="false" customHeight="true" outlineLevel="0" collapsed="false">
      <c r="A560" s="39" t="str">
        <f aca="false">B560&amp;"-"&amp;C560</f>
        <v>XII - FACILITADORES: Solución de controversias-5</v>
      </c>
      <c r="B560" s="221" t="s">
        <v>1048</v>
      </c>
      <c r="C560" s="222" t="n">
        <v>5</v>
      </c>
      <c r="D560" s="39" t="s">
        <v>88</v>
      </c>
      <c r="E560" s="39" t="s">
        <v>1890</v>
      </c>
      <c r="F560" s="39" t="s">
        <v>1136</v>
      </c>
      <c r="G560" s="39" t="s">
        <v>1137</v>
      </c>
      <c r="H560" s="223" t="s">
        <v>1138</v>
      </c>
    </row>
    <row r="561" customFormat="false" ht="18.75" hidden="false" customHeight="true" outlineLevel="0" collapsed="false">
      <c r="A561" s="39" t="str">
        <f aca="false">B561&amp;"-"&amp;C561</f>
        <v>XII - FACILITADORES: Solución de controversias-6</v>
      </c>
      <c r="B561" s="221" t="s">
        <v>1048</v>
      </c>
      <c r="C561" s="222" t="n">
        <v>6</v>
      </c>
      <c r="D561" s="39" t="s">
        <v>91</v>
      </c>
      <c r="E561" s="39" t="s">
        <v>1891</v>
      </c>
      <c r="F561" s="39" t="s">
        <v>1892</v>
      </c>
      <c r="G561" s="39" t="s">
        <v>1893</v>
      </c>
      <c r="H561" s="223" t="s">
        <v>1138</v>
      </c>
    </row>
    <row r="562" customFormat="false" ht="18.75" hidden="false" customHeight="true" outlineLevel="0" collapsed="false">
      <c r="A562" s="39" t="str">
        <f aca="false">B562&amp;"-"&amp;C562</f>
        <v>XII - FACILITADORES: Solución de controversias-7</v>
      </c>
      <c r="B562" s="221" t="s">
        <v>1048</v>
      </c>
      <c r="C562" s="222" t="n">
        <v>7</v>
      </c>
      <c r="D562" s="39" t="s">
        <v>94</v>
      </c>
      <c r="E562" s="39" t="s">
        <v>1142</v>
      </c>
      <c r="F562" s="39" t="s">
        <v>1143</v>
      </c>
      <c r="G562" s="39" t="s">
        <v>1144</v>
      </c>
      <c r="H562" s="223" t="s">
        <v>1138</v>
      </c>
    </row>
    <row r="563" customFormat="false" ht="18.75" hidden="false" customHeight="true" outlineLevel="0" collapsed="false">
      <c r="A563" s="39" t="str">
        <f aca="false">B563&amp;"-"&amp;C563</f>
        <v>XII - FACILITADORES: Solución de controversias-8</v>
      </c>
      <c r="B563" s="221" t="s">
        <v>1048</v>
      </c>
      <c r="C563" s="222" t="n">
        <v>8</v>
      </c>
      <c r="D563" s="39" t="s">
        <v>96</v>
      </c>
      <c r="E563" s="39" t="s">
        <v>1894</v>
      </c>
      <c r="F563" s="39" t="s">
        <v>1146</v>
      </c>
      <c r="G563" s="39" t="s">
        <v>1147</v>
      </c>
      <c r="H563" s="223" t="s">
        <v>1138</v>
      </c>
    </row>
    <row r="564" customFormat="false" ht="18.75" hidden="false" customHeight="true" outlineLevel="0" collapsed="false">
      <c r="A564" s="39" t="str">
        <f aca="false">B564&amp;"-"&amp;C564</f>
        <v>XII - FACILITADORES: Solución de controversias-9</v>
      </c>
      <c r="B564" s="221" t="s">
        <v>1048</v>
      </c>
      <c r="C564" s="222" t="n">
        <v>9</v>
      </c>
      <c r="D564" s="39" t="s">
        <v>98</v>
      </c>
      <c r="E564" s="39" t="s">
        <v>1148</v>
      </c>
      <c r="F564" s="39" t="s">
        <v>1149</v>
      </c>
      <c r="G564" s="39" t="s">
        <v>1150</v>
      </c>
      <c r="H564" s="223" t="s">
        <v>1138</v>
      </c>
    </row>
    <row r="565" customFormat="false" ht="18.75" hidden="false" customHeight="true" outlineLevel="0" collapsed="false">
      <c r="A565" s="39" t="str">
        <f aca="false">B565&amp;"-"&amp;C565</f>
        <v>XII - FACILITADORES: Solución de controversias-10</v>
      </c>
      <c r="B565" s="221" t="s">
        <v>1048</v>
      </c>
      <c r="C565" s="222" t="n">
        <v>10</v>
      </c>
      <c r="D565" s="39" t="s">
        <v>100</v>
      </c>
      <c r="E565" s="39" t="s">
        <v>1151</v>
      </c>
      <c r="F565" s="39" t="s">
        <v>1152</v>
      </c>
      <c r="G565" s="39" t="s">
        <v>1153</v>
      </c>
      <c r="H565" s="223" t="s">
        <v>1138</v>
      </c>
    </row>
    <row r="566" customFormat="false" ht="18.75" hidden="false" customHeight="true" outlineLevel="0" collapsed="false">
      <c r="A566" s="39" t="str">
        <f aca="false">B566&amp;"-"&amp;C566</f>
        <v>XII - FACILITADORES: Solución de controversias-11</v>
      </c>
      <c r="B566" s="221" t="s">
        <v>1048</v>
      </c>
      <c r="C566" s="222" t="n">
        <v>11</v>
      </c>
      <c r="D566" s="39" t="s">
        <v>102</v>
      </c>
      <c r="E566" s="39" t="s">
        <v>1154</v>
      </c>
      <c r="F566" s="39" t="s">
        <v>1155</v>
      </c>
      <c r="G566" s="39" t="s">
        <v>1156</v>
      </c>
      <c r="H566" s="223" t="s">
        <v>1138</v>
      </c>
    </row>
    <row r="567" customFormat="false" ht="18.75" hidden="false" customHeight="true" outlineLevel="0" collapsed="false">
      <c r="A567" s="39" t="str">
        <f aca="false">B567&amp;"-"&amp;C567</f>
        <v>XII - FACILITADORES: Solución de controversias-12</v>
      </c>
      <c r="B567" s="221" t="s">
        <v>1048</v>
      </c>
      <c r="C567" s="222" t="n">
        <v>12</v>
      </c>
      <c r="D567" s="39" t="s">
        <v>105</v>
      </c>
      <c r="E567" s="39" t="s">
        <v>1157</v>
      </c>
      <c r="F567" s="39" t="s">
        <v>1158</v>
      </c>
      <c r="G567" s="39" t="s">
        <v>1159</v>
      </c>
      <c r="H567" s="223" t="s">
        <v>1138</v>
      </c>
    </row>
    <row r="568" customFormat="false" ht="18.75" hidden="false" customHeight="true" outlineLevel="0" collapsed="false">
      <c r="A568" s="39" t="str">
        <f aca="false">B568&amp;"-"&amp;C568</f>
        <v>XII - FACILITADORES: Solución de controversias-13</v>
      </c>
      <c r="B568" s="221" t="s">
        <v>1048</v>
      </c>
      <c r="C568" s="222" t="n">
        <v>13</v>
      </c>
      <c r="D568" s="39" t="s">
        <v>107</v>
      </c>
      <c r="E568" s="39" t="s">
        <v>1895</v>
      </c>
      <c r="F568" s="39" t="s">
        <v>1161</v>
      </c>
      <c r="G568" s="39" t="s">
        <v>1896</v>
      </c>
      <c r="H568" s="223" t="s">
        <v>1124</v>
      </c>
    </row>
    <row r="569" customFormat="false" ht="18.75" hidden="false" customHeight="true" outlineLevel="0" collapsed="false">
      <c r="A569" s="39" t="str">
        <f aca="false">B569&amp;"-"&amp;C569</f>
        <v>XII - FACILITADORES: Solución de controversias-14</v>
      </c>
      <c r="B569" s="221" t="s">
        <v>1048</v>
      </c>
      <c r="C569" s="222" t="n">
        <v>14</v>
      </c>
      <c r="D569" s="39" t="s">
        <v>109</v>
      </c>
      <c r="E569" s="39" t="s">
        <v>1897</v>
      </c>
      <c r="F569" s="39" t="s">
        <v>1898</v>
      </c>
      <c r="G569" s="39" t="s">
        <v>1899</v>
      </c>
      <c r="H569" s="223" t="s">
        <v>1138</v>
      </c>
    </row>
    <row r="570" customFormat="false" ht="18.75" hidden="false" customHeight="true" outlineLevel="0" collapsed="false">
      <c r="A570" s="39" t="str">
        <f aca="false">B570&amp;"-"&amp;C570</f>
        <v>XII - FACILITADORES: Solución de controversias-15</v>
      </c>
      <c r="B570" s="221" t="s">
        <v>1048</v>
      </c>
      <c r="C570" s="222" t="n">
        <v>15</v>
      </c>
      <c r="D570" s="39" t="s">
        <v>112</v>
      </c>
      <c r="E570" s="39" t="s">
        <v>1900</v>
      </c>
      <c r="F570" s="39" t="s">
        <v>1901</v>
      </c>
      <c r="G570" s="39" t="s">
        <v>1902</v>
      </c>
      <c r="H570" s="223" t="s">
        <v>1138</v>
      </c>
    </row>
    <row r="571" customFormat="false" ht="18.75" hidden="false" customHeight="true" outlineLevel="0" collapsed="false">
      <c r="A571" s="39" t="str">
        <f aca="false">B571&amp;"-"&amp;C571</f>
        <v>XII - FACILITADORES: Solución de controversias-16</v>
      </c>
      <c r="B571" s="221" t="s">
        <v>1048</v>
      </c>
      <c r="C571" s="222" t="n">
        <v>16</v>
      </c>
      <c r="D571" s="39" t="s">
        <v>114</v>
      </c>
      <c r="E571" s="39" t="s">
        <v>1169</v>
      </c>
      <c r="F571" s="39" t="s">
        <v>1170</v>
      </c>
      <c r="G571" s="39" t="s">
        <v>1171</v>
      </c>
      <c r="H571" s="223" t="s">
        <v>1138</v>
      </c>
    </row>
    <row r="572" customFormat="false" ht="18.75" hidden="false" customHeight="true" outlineLevel="0" collapsed="false">
      <c r="A572" s="39" t="str">
        <f aca="false">B572&amp;"-"&amp;C572</f>
        <v>XII - FACILITADORES: Solución de controversias-17</v>
      </c>
      <c r="B572" s="221" t="s">
        <v>1048</v>
      </c>
      <c r="C572" s="222" t="n">
        <v>17</v>
      </c>
      <c r="D572" s="39" t="s">
        <v>116</v>
      </c>
      <c r="E572" s="39" t="s">
        <v>1903</v>
      </c>
      <c r="F572" s="39" t="s">
        <v>1173</v>
      </c>
      <c r="G572" s="39" t="s">
        <v>1904</v>
      </c>
      <c r="H572" s="223" t="s">
        <v>1124</v>
      </c>
    </row>
    <row r="573" customFormat="false" ht="18.75" hidden="false" customHeight="true" outlineLevel="0" collapsed="false">
      <c r="A573" s="39" t="str">
        <f aca="false">B573&amp;"-"&amp;C573</f>
        <v>XII - FACILITADORES: Solución de controversias-18</v>
      </c>
      <c r="B573" s="221" t="s">
        <v>1048</v>
      </c>
      <c r="C573" s="222" t="n">
        <v>18</v>
      </c>
      <c r="D573" s="39" t="s">
        <v>119</v>
      </c>
      <c r="E573" s="39" t="s">
        <v>1175</v>
      </c>
      <c r="F573" s="39" t="s">
        <v>1176</v>
      </c>
      <c r="G573" s="39" t="s">
        <v>1905</v>
      </c>
      <c r="H573" s="223" t="s">
        <v>1138</v>
      </c>
    </row>
    <row r="574" customFormat="false" ht="18.75" hidden="false" customHeight="true" outlineLevel="0" collapsed="false">
      <c r="A574" s="39" t="str">
        <f aca="false">B574&amp;"-"&amp;C574</f>
        <v>XII - FACILITADORES: Solución de controversias-19</v>
      </c>
      <c r="B574" s="221" t="s">
        <v>1048</v>
      </c>
      <c r="C574" s="222" t="n">
        <v>19</v>
      </c>
      <c r="D574" s="39" t="s">
        <v>122</v>
      </c>
      <c r="E574" s="39" t="s">
        <v>1178</v>
      </c>
      <c r="F574" s="39" t="s">
        <v>1179</v>
      </c>
      <c r="G574" s="39" t="s">
        <v>1180</v>
      </c>
      <c r="H574" s="223" t="s">
        <v>1138</v>
      </c>
    </row>
    <row r="575" customFormat="false" ht="18.75" hidden="false" customHeight="true" outlineLevel="0" collapsed="false">
      <c r="A575" s="39" t="str">
        <f aca="false">B575&amp;"-"&amp;C575</f>
        <v>XII - FACILITADORES: Solución de controversias-20</v>
      </c>
      <c r="B575" s="221" t="s">
        <v>1048</v>
      </c>
      <c r="C575" s="222" t="n">
        <v>20</v>
      </c>
      <c r="D575" s="39" t="s">
        <v>124</v>
      </c>
      <c r="E575" s="39" t="s">
        <v>1906</v>
      </c>
      <c r="F575" s="39" t="s">
        <v>1907</v>
      </c>
      <c r="G575" s="39" t="s">
        <v>1908</v>
      </c>
      <c r="H575" s="223" t="s">
        <v>1124</v>
      </c>
    </row>
    <row r="576" customFormat="false" ht="18.75" hidden="false" customHeight="true" outlineLevel="0" collapsed="false">
      <c r="A576" s="39" t="str">
        <f aca="false">B576&amp;"-"&amp;C576</f>
        <v>XII - FACILITADORES: Solución de controversias-21</v>
      </c>
      <c r="B576" s="221" t="s">
        <v>1048</v>
      </c>
      <c r="C576" s="222" t="n">
        <v>21</v>
      </c>
      <c r="D576" s="39" t="s">
        <v>126</v>
      </c>
      <c r="E576" s="39" t="s">
        <v>1909</v>
      </c>
      <c r="F576" s="39" t="s">
        <v>1910</v>
      </c>
      <c r="G576" s="39" t="s">
        <v>1911</v>
      </c>
      <c r="H576" s="223" t="s">
        <v>1124</v>
      </c>
    </row>
    <row r="577" customFormat="false" ht="18.75" hidden="false" customHeight="true" outlineLevel="0" collapsed="false">
      <c r="A577" s="39" t="str">
        <f aca="false">B577&amp;"-"&amp;C577</f>
        <v>XII - FACILITADORES: Solución de controversias-22</v>
      </c>
      <c r="B577" s="221" t="s">
        <v>1048</v>
      </c>
      <c r="C577" s="222" t="n">
        <v>22</v>
      </c>
      <c r="D577" s="39" t="s">
        <v>128</v>
      </c>
      <c r="E577" s="39" t="s">
        <v>1912</v>
      </c>
      <c r="F577" s="39" t="s">
        <v>1913</v>
      </c>
      <c r="G577" s="39" t="s">
        <v>1914</v>
      </c>
      <c r="H577" s="223" t="s">
        <v>1138</v>
      </c>
    </row>
    <row r="578" customFormat="false" ht="18.75" hidden="false" customHeight="true" outlineLevel="0" collapsed="false">
      <c r="A578" s="39" t="str">
        <f aca="false">B578&amp;"-"&amp;C578</f>
        <v>XII - FACILITADORES: Solución de controversias-23</v>
      </c>
      <c r="B578" s="221" t="s">
        <v>1048</v>
      </c>
      <c r="C578" s="222" t="n">
        <v>23</v>
      </c>
      <c r="D578" s="39" t="s">
        <v>131</v>
      </c>
      <c r="E578" s="39" t="s">
        <v>1190</v>
      </c>
      <c r="F578" s="39" t="s">
        <v>1191</v>
      </c>
      <c r="G578" s="39" t="s">
        <v>1192</v>
      </c>
      <c r="H578" s="223" t="s">
        <v>1128</v>
      </c>
    </row>
    <row r="579" customFormat="false" ht="18.75" hidden="false" customHeight="true" outlineLevel="0" collapsed="false">
      <c r="A579" s="39" t="str">
        <f aca="false">B579&amp;"-"&amp;C579</f>
        <v>XII - FACILITADORES: Solución de controversias-24</v>
      </c>
      <c r="B579" s="221" t="s">
        <v>1048</v>
      </c>
      <c r="C579" s="222" t="n">
        <v>24</v>
      </c>
      <c r="D579" s="39" t="s">
        <v>133</v>
      </c>
      <c r="E579" s="39" t="s">
        <v>1915</v>
      </c>
      <c r="F579" s="39" t="s">
        <v>1194</v>
      </c>
      <c r="G579" s="39" t="s">
        <v>1916</v>
      </c>
      <c r="H579" s="223" t="s">
        <v>1128</v>
      </c>
    </row>
    <row r="580" customFormat="false" ht="18.75" hidden="false" customHeight="true" outlineLevel="0" collapsed="false">
      <c r="A580" s="39" t="str">
        <f aca="false">B580&amp;"-"&amp;C580</f>
        <v>XII - FACILITADORES: Solución de controversias-25</v>
      </c>
      <c r="B580" s="221" t="s">
        <v>1048</v>
      </c>
      <c r="C580" s="222" t="n">
        <v>25</v>
      </c>
      <c r="D580" s="39" t="s">
        <v>135</v>
      </c>
      <c r="E580" s="39" t="s">
        <v>1917</v>
      </c>
      <c r="F580" s="39" t="s">
        <v>1197</v>
      </c>
      <c r="G580" s="39" t="s">
        <v>1198</v>
      </c>
      <c r="H580" s="223" t="s">
        <v>1128</v>
      </c>
    </row>
    <row r="581" customFormat="false" ht="18.75" hidden="false" customHeight="true" outlineLevel="0" collapsed="false">
      <c r="A581" s="39" t="str">
        <f aca="false">B581&amp;"-"&amp;C581</f>
        <v>XIII - Recepción de donativos-1</v>
      </c>
      <c r="B581" s="221" t="s">
        <v>1056</v>
      </c>
      <c r="C581" s="222" t="n">
        <v>1</v>
      </c>
      <c r="D581" s="39" t="s">
        <v>77</v>
      </c>
      <c r="E581" s="39" t="s">
        <v>1918</v>
      </c>
      <c r="F581" s="39" t="s">
        <v>1919</v>
      </c>
      <c r="G581" s="39" t="s">
        <v>1920</v>
      </c>
      <c r="H581" s="223" t="s">
        <v>1124</v>
      </c>
    </row>
    <row r="582" customFormat="false" ht="18.75" hidden="false" customHeight="true" outlineLevel="0" collapsed="false">
      <c r="A582" s="39" t="str">
        <f aca="false">B582&amp;"-"&amp;C582</f>
        <v>XIII - Recepción de donativos-2</v>
      </c>
      <c r="B582" s="221" t="s">
        <v>1056</v>
      </c>
      <c r="C582" s="222" t="n">
        <v>2</v>
      </c>
      <c r="D582" s="39" t="s">
        <v>81</v>
      </c>
      <c r="E582" s="39" t="s">
        <v>1921</v>
      </c>
      <c r="F582" s="39" t="s">
        <v>1922</v>
      </c>
      <c r="G582" s="39" t="s">
        <v>1923</v>
      </c>
      <c r="H582" s="223" t="s">
        <v>1128</v>
      </c>
    </row>
    <row r="583" customFormat="false" ht="18.75" hidden="false" customHeight="true" outlineLevel="0" collapsed="false">
      <c r="A583" s="39" t="str">
        <f aca="false">B583&amp;"-"&amp;C583</f>
        <v>XIII - Recepción de donativos-3</v>
      </c>
      <c r="B583" s="221" t="s">
        <v>1056</v>
      </c>
      <c r="C583" s="222" t="n">
        <v>3</v>
      </c>
      <c r="D583" s="39" t="s">
        <v>83</v>
      </c>
      <c r="E583" s="39" t="s">
        <v>1924</v>
      </c>
      <c r="F583" s="39" t="s">
        <v>1925</v>
      </c>
      <c r="G583" s="39" t="s">
        <v>1926</v>
      </c>
      <c r="H583" s="223" t="s">
        <v>1128</v>
      </c>
    </row>
    <row r="584" customFormat="false" ht="18.75" hidden="false" customHeight="true" outlineLevel="0" collapsed="false">
      <c r="A584" s="39" t="str">
        <f aca="false">B584&amp;"-"&amp;C584</f>
        <v>XIII - Recepción de donativos-4</v>
      </c>
      <c r="B584" s="221" t="s">
        <v>1056</v>
      </c>
      <c r="C584" s="222" t="n">
        <v>4</v>
      </c>
      <c r="D584" s="39" t="s">
        <v>85</v>
      </c>
      <c r="E584" s="39" t="s">
        <v>1927</v>
      </c>
      <c r="F584" s="39" t="s">
        <v>1133</v>
      </c>
      <c r="G584" s="39" t="s">
        <v>1134</v>
      </c>
      <c r="H584" s="223" t="s">
        <v>1128</v>
      </c>
    </row>
    <row r="585" customFormat="false" ht="18.75" hidden="false" customHeight="true" outlineLevel="0" collapsed="false">
      <c r="A585" s="39" t="str">
        <f aca="false">B585&amp;"-"&amp;C585</f>
        <v>XIII - Recepción de donativos-5</v>
      </c>
      <c r="B585" s="221" t="s">
        <v>1056</v>
      </c>
      <c r="C585" s="222" t="n">
        <v>5</v>
      </c>
      <c r="D585" s="39" t="s">
        <v>88</v>
      </c>
      <c r="E585" s="39" t="s">
        <v>1928</v>
      </c>
      <c r="F585" s="39" t="s">
        <v>1136</v>
      </c>
      <c r="G585" s="39" t="s">
        <v>1137</v>
      </c>
      <c r="H585" s="223" t="s">
        <v>1138</v>
      </c>
    </row>
    <row r="586" customFormat="false" ht="18.75" hidden="false" customHeight="true" outlineLevel="0" collapsed="false">
      <c r="A586" s="39" t="str">
        <f aca="false">B586&amp;"-"&amp;C586</f>
        <v>XIII - Recepción de donativos-6</v>
      </c>
      <c r="B586" s="221" t="s">
        <v>1056</v>
      </c>
      <c r="C586" s="222" t="n">
        <v>6</v>
      </c>
      <c r="D586" s="39" t="s">
        <v>91</v>
      </c>
      <c r="E586" s="39" t="s">
        <v>1929</v>
      </c>
      <c r="F586" s="39" t="s">
        <v>1930</v>
      </c>
      <c r="G586" s="39" t="s">
        <v>1931</v>
      </c>
      <c r="H586" s="223" t="s">
        <v>1138</v>
      </c>
    </row>
    <row r="587" customFormat="false" ht="18.75" hidden="false" customHeight="true" outlineLevel="0" collapsed="false">
      <c r="A587" s="39" t="str">
        <f aca="false">B587&amp;"-"&amp;C587</f>
        <v>XIII - Recepción de donativos-7</v>
      </c>
      <c r="B587" s="221" t="s">
        <v>1056</v>
      </c>
      <c r="C587" s="222" t="n">
        <v>7</v>
      </c>
      <c r="D587" s="39" t="s">
        <v>94</v>
      </c>
      <c r="E587" s="39" t="s">
        <v>1142</v>
      </c>
      <c r="F587" s="39" t="s">
        <v>1143</v>
      </c>
      <c r="G587" s="39" t="s">
        <v>1144</v>
      </c>
      <c r="H587" s="223" t="s">
        <v>1138</v>
      </c>
    </row>
    <row r="588" customFormat="false" ht="18.75" hidden="false" customHeight="true" outlineLevel="0" collapsed="false">
      <c r="A588" s="39" t="str">
        <f aca="false">B588&amp;"-"&amp;C588</f>
        <v>XIII - Recepción de donativos-8</v>
      </c>
      <c r="B588" s="221" t="s">
        <v>1056</v>
      </c>
      <c r="C588" s="222" t="n">
        <v>8</v>
      </c>
      <c r="D588" s="39" t="s">
        <v>96</v>
      </c>
      <c r="E588" s="39" t="s">
        <v>1932</v>
      </c>
      <c r="F588" s="39" t="s">
        <v>1146</v>
      </c>
      <c r="G588" s="39" t="s">
        <v>1147</v>
      </c>
      <c r="H588" s="223" t="s">
        <v>1138</v>
      </c>
    </row>
    <row r="589" customFormat="false" ht="18.75" hidden="false" customHeight="true" outlineLevel="0" collapsed="false">
      <c r="A589" s="39" t="str">
        <f aca="false">B589&amp;"-"&amp;C589</f>
        <v>XIII - Recepción de donativos-9</v>
      </c>
      <c r="B589" s="221" t="s">
        <v>1056</v>
      </c>
      <c r="C589" s="222" t="n">
        <v>9</v>
      </c>
      <c r="D589" s="39" t="s">
        <v>98</v>
      </c>
      <c r="E589" s="39" t="s">
        <v>1148</v>
      </c>
      <c r="F589" s="39" t="s">
        <v>1149</v>
      </c>
      <c r="G589" s="39" t="s">
        <v>1150</v>
      </c>
      <c r="H589" s="223" t="s">
        <v>1138</v>
      </c>
    </row>
    <row r="590" customFormat="false" ht="18.75" hidden="false" customHeight="true" outlineLevel="0" collapsed="false">
      <c r="A590" s="39" t="str">
        <f aca="false">B590&amp;"-"&amp;C590</f>
        <v>XIII - Recepción de donativos-10</v>
      </c>
      <c r="B590" s="221" t="s">
        <v>1056</v>
      </c>
      <c r="C590" s="222" t="n">
        <v>10</v>
      </c>
      <c r="D590" s="39" t="s">
        <v>100</v>
      </c>
      <c r="E590" s="39" t="s">
        <v>1151</v>
      </c>
      <c r="F590" s="39" t="s">
        <v>1152</v>
      </c>
      <c r="G590" s="39" t="s">
        <v>1153</v>
      </c>
      <c r="H590" s="223" t="s">
        <v>1138</v>
      </c>
    </row>
    <row r="591" customFormat="false" ht="18.75" hidden="false" customHeight="true" outlineLevel="0" collapsed="false">
      <c r="A591" s="39" t="str">
        <f aca="false">B591&amp;"-"&amp;C591</f>
        <v>XIII - Recepción de donativos-11</v>
      </c>
      <c r="B591" s="221" t="s">
        <v>1056</v>
      </c>
      <c r="C591" s="222" t="n">
        <v>11</v>
      </c>
      <c r="D591" s="39" t="s">
        <v>102</v>
      </c>
      <c r="E591" s="39" t="s">
        <v>1154</v>
      </c>
      <c r="F591" s="39" t="s">
        <v>1155</v>
      </c>
      <c r="G591" s="39" t="s">
        <v>1156</v>
      </c>
      <c r="H591" s="223" t="s">
        <v>1138</v>
      </c>
    </row>
    <row r="592" customFormat="false" ht="18.75" hidden="false" customHeight="true" outlineLevel="0" collapsed="false">
      <c r="A592" s="39" t="str">
        <f aca="false">B592&amp;"-"&amp;C592</f>
        <v>XIII - Recepción de donativos-12</v>
      </c>
      <c r="B592" s="221" t="s">
        <v>1056</v>
      </c>
      <c r="C592" s="222" t="n">
        <v>12</v>
      </c>
      <c r="D592" s="39" t="s">
        <v>105</v>
      </c>
      <c r="E592" s="39" t="s">
        <v>1157</v>
      </c>
      <c r="F592" s="39" t="s">
        <v>1158</v>
      </c>
      <c r="G592" s="39" t="s">
        <v>1159</v>
      </c>
      <c r="H592" s="223" t="s">
        <v>1138</v>
      </c>
    </row>
    <row r="593" customFormat="false" ht="18.75" hidden="false" customHeight="true" outlineLevel="0" collapsed="false">
      <c r="A593" s="39" t="str">
        <f aca="false">B593&amp;"-"&amp;C593</f>
        <v>XIII - Recepción de donativos-13</v>
      </c>
      <c r="B593" s="221" t="s">
        <v>1056</v>
      </c>
      <c r="C593" s="222" t="n">
        <v>13</v>
      </c>
      <c r="D593" s="39" t="s">
        <v>107</v>
      </c>
      <c r="E593" s="39" t="s">
        <v>1933</v>
      </c>
      <c r="F593" s="39" t="s">
        <v>1161</v>
      </c>
      <c r="G593" s="39" t="s">
        <v>1934</v>
      </c>
      <c r="H593" s="223" t="s">
        <v>1124</v>
      </c>
    </row>
    <row r="594" customFormat="false" ht="18.75" hidden="false" customHeight="true" outlineLevel="0" collapsed="false">
      <c r="A594" s="39" t="str">
        <f aca="false">B594&amp;"-"&amp;C594</f>
        <v>XIII - Recepción de donativos-14</v>
      </c>
      <c r="B594" s="221" t="s">
        <v>1056</v>
      </c>
      <c r="C594" s="222" t="n">
        <v>14</v>
      </c>
      <c r="D594" s="39" t="s">
        <v>109</v>
      </c>
      <c r="E594" s="39" t="s">
        <v>1935</v>
      </c>
      <c r="F594" s="39" t="s">
        <v>1936</v>
      </c>
      <c r="G594" s="39" t="s">
        <v>1937</v>
      </c>
      <c r="H594" s="223" t="s">
        <v>1138</v>
      </c>
    </row>
    <row r="595" customFormat="false" ht="18.75" hidden="false" customHeight="true" outlineLevel="0" collapsed="false">
      <c r="A595" s="39" t="str">
        <f aca="false">B595&amp;"-"&amp;C595</f>
        <v>XIII - Recepción de donativos-15</v>
      </c>
      <c r="B595" s="221" t="s">
        <v>1056</v>
      </c>
      <c r="C595" s="222" t="n">
        <v>15</v>
      </c>
      <c r="D595" s="39" t="s">
        <v>112</v>
      </c>
      <c r="E595" s="39" t="s">
        <v>1938</v>
      </c>
      <c r="F595" s="39" t="s">
        <v>1939</v>
      </c>
      <c r="G595" s="39" t="s">
        <v>1940</v>
      </c>
      <c r="H595" s="223" t="s">
        <v>1138</v>
      </c>
    </row>
    <row r="596" customFormat="false" ht="18.75" hidden="false" customHeight="true" outlineLevel="0" collapsed="false">
      <c r="A596" s="39" t="str">
        <f aca="false">B596&amp;"-"&amp;C596</f>
        <v>XIII - Recepción de donativos-16</v>
      </c>
      <c r="B596" s="221" t="s">
        <v>1056</v>
      </c>
      <c r="C596" s="222" t="n">
        <v>16</v>
      </c>
      <c r="D596" s="39" t="s">
        <v>114</v>
      </c>
      <c r="E596" s="39" t="s">
        <v>1169</v>
      </c>
      <c r="F596" s="39" t="s">
        <v>1170</v>
      </c>
      <c r="G596" s="39" t="s">
        <v>1171</v>
      </c>
      <c r="H596" s="223" t="s">
        <v>1138</v>
      </c>
    </row>
    <row r="597" customFormat="false" ht="18.75" hidden="false" customHeight="true" outlineLevel="0" collapsed="false">
      <c r="A597" s="39" t="str">
        <f aca="false">B597&amp;"-"&amp;C597</f>
        <v>XIII - Recepción de donativos-17</v>
      </c>
      <c r="B597" s="221" t="s">
        <v>1056</v>
      </c>
      <c r="C597" s="222" t="n">
        <v>17</v>
      </c>
      <c r="D597" s="39" t="s">
        <v>116</v>
      </c>
      <c r="E597" s="39" t="s">
        <v>1941</v>
      </c>
      <c r="F597" s="39" t="s">
        <v>1173</v>
      </c>
      <c r="G597" s="39" t="s">
        <v>1942</v>
      </c>
      <c r="H597" s="223" t="s">
        <v>1124</v>
      </c>
    </row>
    <row r="598" customFormat="false" ht="18.75" hidden="false" customHeight="true" outlineLevel="0" collapsed="false">
      <c r="A598" s="39" t="str">
        <f aca="false">B598&amp;"-"&amp;C598</f>
        <v>XIII - Recepción de donativos-18</v>
      </c>
      <c r="B598" s="221" t="s">
        <v>1056</v>
      </c>
      <c r="C598" s="222" t="n">
        <v>18</v>
      </c>
      <c r="D598" s="39" t="s">
        <v>119</v>
      </c>
      <c r="E598" s="39" t="s">
        <v>1175</v>
      </c>
      <c r="F598" s="39" t="s">
        <v>1176</v>
      </c>
      <c r="G598" s="39" t="s">
        <v>1943</v>
      </c>
      <c r="H598" s="223" t="s">
        <v>1138</v>
      </c>
    </row>
    <row r="599" customFormat="false" ht="18.75" hidden="false" customHeight="true" outlineLevel="0" collapsed="false">
      <c r="A599" s="39" t="str">
        <f aca="false">B599&amp;"-"&amp;C599</f>
        <v>XIII - Recepción de donativos-19</v>
      </c>
      <c r="B599" s="221" t="s">
        <v>1056</v>
      </c>
      <c r="C599" s="222" t="n">
        <v>19</v>
      </c>
      <c r="D599" s="39" t="s">
        <v>122</v>
      </c>
      <c r="E599" s="39" t="s">
        <v>1178</v>
      </c>
      <c r="F599" s="39" t="s">
        <v>1179</v>
      </c>
      <c r="G599" s="39" t="s">
        <v>1180</v>
      </c>
      <c r="H599" s="223" t="s">
        <v>1138</v>
      </c>
    </row>
    <row r="600" customFormat="false" ht="18.75" hidden="false" customHeight="true" outlineLevel="0" collapsed="false">
      <c r="A600" s="39" t="str">
        <f aca="false">B600&amp;"-"&amp;C600</f>
        <v>XIII - Recepción de donativos-20</v>
      </c>
      <c r="B600" s="221" t="s">
        <v>1056</v>
      </c>
      <c r="C600" s="222" t="n">
        <v>20</v>
      </c>
      <c r="D600" s="39" t="s">
        <v>124</v>
      </c>
      <c r="E600" s="39" t="s">
        <v>1944</v>
      </c>
      <c r="F600" s="39" t="s">
        <v>1945</v>
      </c>
      <c r="G600" s="39" t="s">
        <v>1946</v>
      </c>
      <c r="H600" s="223" t="s">
        <v>1124</v>
      </c>
    </row>
    <row r="601" customFormat="false" ht="18.75" hidden="false" customHeight="true" outlineLevel="0" collapsed="false">
      <c r="A601" s="39" t="str">
        <f aca="false">B601&amp;"-"&amp;C601</f>
        <v>XIII - Recepción de donativos-21</v>
      </c>
      <c r="B601" s="221" t="s">
        <v>1056</v>
      </c>
      <c r="C601" s="222" t="n">
        <v>21</v>
      </c>
      <c r="D601" s="39" t="s">
        <v>126</v>
      </c>
      <c r="E601" s="39" t="s">
        <v>1947</v>
      </c>
      <c r="F601" s="39" t="s">
        <v>1948</v>
      </c>
      <c r="G601" s="39" t="s">
        <v>1949</v>
      </c>
      <c r="H601" s="223" t="s">
        <v>1124</v>
      </c>
    </row>
    <row r="602" customFormat="false" ht="18.75" hidden="false" customHeight="true" outlineLevel="0" collapsed="false">
      <c r="A602" s="39" t="str">
        <f aca="false">B602&amp;"-"&amp;C602</f>
        <v>XIII - Recepción de donativos-22</v>
      </c>
      <c r="B602" s="221" t="s">
        <v>1056</v>
      </c>
      <c r="C602" s="222" t="n">
        <v>22</v>
      </c>
      <c r="D602" s="39" t="s">
        <v>128</v>
      </c>
      <c r="E602" s="39" t="s">
        <v>1950</v>
      </c>
      <c r="F602" s="39" t="s">
        <v>1951</v>
      </c>
      <c r="G602" s="39" t="s">
        <v>1952</v>
      </c>
      <c r="H602" s="223" t="s">
        <v>1138</v>
      </c>
    </row>
    <row r="603" customFormat="false" ht="18.75" hidden="false" customHeight="true" outlineLevel="0" collapsed="false">
      <c r="A603" s="39" t="str">
        <f aca="false">B603&amp;"-"&amp;C603</f>
        <v>XIII - Recepción de donativos-23</v>
      </c>
      <c r="B603" s="221" t="s">
        <v>1056</v>
      </c>
      <c r="C603" s="222" t="n">
        <v>23</v>
      </c>
      <c r="D603" s="39" t="s">
        <v>131</v>
      </c>
      <c r="E603" s="39" t="s">
        <v>1190</v>
      </c>
      <c r="F603" s="39" t="s">
        <v>1191</v>
      </c>
      <c r="G603" s="39" t="s">
        <v>1192</v>
      </c>
      <c r="H603" s="223" t="s">
        <v>1128</v>
      </c>
    </row>
    <row r="604" customFormat="false" ht="18.75" hidden="false" customHeight="true" outlineLevel="0" collapsed="false">
      <c r="A604" s="39" t="str">
        <f aca="false">B604&amp;"-"&amp;C604</f>
        <v>XIII - Recepción de donativos-24</v>
      </c>
      <c r="B604" s="221" t="s">
        <v>1056</v>
      </c>
      <c r="C604" s="222" t="n">
        <v>24</v>
      </c>
      <c r="D604" s="39" t="s">
        <v>133</v>
      </c>
      <c r="E604" s="39" t="s">
        <v>1953</v>
      </c>
      <c r="F604" s="39" t="s">
        <v>1194</v>
      </c>
      <c r="G604" s="39" t="s">
        <v>1954</v>
      </c>
      <c r="H604" s="223" t="s">
        <v>1128</v>
      </c>
    </row>
    <row r="605" customFormat="false" ht="18.75" hidden="false" customHeight="true" outlineLevel="0" collapsed="false">
      <c r="A605" s="39" t="str">
        <f aca="false">B605&amp;"-"&amp;C605</f>
        <v>XIII - Recepción de donativos-25</v>
      </c>
      <c r="B605" s="221" t="s">
        <v>1056</v>
      </c>
      <c r="C605" s="222" t="n">
        <v>25</v>
      </c>
      <c r="D605" s="39" t="s">
        <v>135</v>
      </c>
      <c r="E605" s="39" t="s">
        <v>1955</v>
      </c>
      <c r="F605" s="39" t="s">
        <v>1197</v>
      </c>
      <c r="G605" s="39" t="s">
        <v>1198</v>
      </c>
      <c r="H605" s="223" t="s">
        <v>1128</v>
      </c>
    </row>
    <row r="606" customFormat="false" ht="18.75" hidden="false" customHeight="true" outlineLevel="0" collapsed="false">
      <c r="A606" s="39" t="str">
        <f aca="false">B606&amp;"-"&amp;C606</f>
        <v>XIV - CEXT: Joyas, metales, piedras preciosas-1</v>
      </c>
      <c r="B606" s="221" t="s">
        <v>1064</v>
      </c>
      <c r="C606" s="222" t="n">
        <v>1</v>
      </c>
      <c r="D606" s="39" t="s">
        <v>77</v>
      </c>
      <c r="E606" s="39" t="s">
        <v>1414</v>
      </c>
      <c r="F606" s="39" t="s">
        <v>1415</v>
      </c>
      <c r="G606" s="39" t="s">
        <v>1416</v>
      </c>
      <c r="H606" s="223" t="s">
        <v>1124</v>
      </c>
    </row>
    <row r="607" customFormat="false" ht="18.75" hidden="false" customHeight="true" outlineLevel="0" collapsed="false">
      <c r="A607" s="39" t="str">
        <f aca="false">B607&amp;"-"&amp;C607</f>
        <v>XIV - CEXT: Joyas, metales, piedras preciosas-2</v>
      </c>
      <c r="B607" s="221" t="s">
        <v>1064</v>
      </c>
      <c r="C607" s="222" t="n">
        <v>2</v>
      </c>
      <c r="D607" s="39" t="s">
        <v>81</v>
      </c>
      <c r="E607" s="39" t="s">
        <v>1417</v>
      </c>
      <c r="F607" s="39" t="s">
        <v>1418</v>
      </c>
      <c r="G607" s="39" t="s">
        <v>1419</v>
      </c>
      <c r="H607" s="223" t="s">
        <v>1128</v>
      </c>
    </row>
    <row r="608" customFormat="false" ht="18.75" hidden="false" customHeight="true" outlineLevel="0" collapsed="false">
      <c r="A608" s="39" t="str">
        <f aca="false">B608&amp;"-"&amp;C608</f>
        <v>XIV - CEXT: Joyas, metales, piedras preciosas-3</v>
      </c>
      <c r="B608" s="221" t="s">
        <v>1064</v>
      </c>
      <c r="C608" s="222" t="n">
        <v>3</v>
      </c>
      <c r="D608" s="39" t="s">
        <v>83</v>
      </c>
      <c r="E608" s="39" t="s">
        <v>1956</v>
      </c>
      <c r="F608" s="39" t="s">
        <v>1345</v>
      </c>
      <c r="G608" s="39" t="s">
        <v>1346</v>
      </c>
      <c r="H608" s="223" t="s">
        <v>1128</v>
      </c>
    </row>
    <row r="609" customFormat="false" ht="18.75" hidden="false" customHeight="true" outlineLevel="0" collapsed="false">
      <c r="A609" s="39" t="str">
        <f aca="false">B609&amp;"-"&amp;C609</f>
        <v>XIV - CEXT: Joyas, metales, piedras preciosas-4</v>
      </c>
      <c r="B609" s="221" t="s">
        <v>1064</v>
      </c>
      <c r="C609" s="222" t="n">
        <v>4</v>
      </c>
      <c r="D609" s="39" t="s">
        <v>85</v>
      </c>
      <c r="E609" s="39" t="s">
        <v>1957</v>
      </c>
      <c r="F609" s="39" t="s">
        <v>1133</v>
      </c>
      <c r="G609" s="39" t="s">
        <v>1134</v>
      </c>
      <c r="H609" s="223" t="s">
        <v>1128</v>
      </c>
    </row>
    <row r="610" customFormat="false" ht="18.75" hidden="false" customHeight="true" outlineLevel="0" collapsed="false">
      <c r="A610" s="39" t="str">
        <f aca="false">B610&amp;"-"&amp;C610</f>
        <v>XIV - CEXT: Joyas, metales, piedras preciosas-5</v>
      </c>
      <c r="B610" s="221" t="s">
        <v>1064</v>
      </c>
      <c r="C610" s="222" t="n">
        <v>5</v>
      </c>
      <c r="D610" s="39" t="s">
        <v>88</v>
      </c>
      <c r="E610" s="39" t="s">
        <v>1348</v>
      </c>
      <c r="F610" s="39" t="s">
        <v>1136</v>
      </c>
      <c r="G610" s="39" t="s">
        <v>1137</v>
      </c>
      <c r="H610" s="223" t="s">
        <v>1138</v>
      </c>
    </row>
    <row r="611" customFormat="false" ht="18.75" hidden="false" customHeight="true" outlineLevel="0" collapsed="false">
      <c r="A611" s="39" t="str">
        <f aca="false">B611&amp;"-"&amp;C611</f>
        <v>XIV - CEXT: Joyas, metales, piedras preciosas-6</v>
      </c>
      <c r="B611" s="221" t="s">
        <v>1064</v>
      </c>
      <c r="C611" s="222" t="n">
        <v>6</v>
      </c>
      <c r="D611" s="39" t="s">
        <v>91</v>
      </c>
      <c r="E611" s="39" t="s">
        <v>1422</v>
      </c>
      <c r="F611" s="39" t="s">
        <v>1423</v>
      </c>
      <c r="G611" s="39" t="s">
        <v>1424</v>
      </c>
      <c r="H611" s="223" t="s">
        <v>1138</v>
      </c>
    </row>
    <row r="612" customFormat="false" ht="18.75" hidden="false" customHeight="true" outlineLevel="0" collapsed="false">
      <c r="A612" s="39" t="str">
        <f aca="false">B612&amp;"-"&amp;C612</f>
        <v>XIV - CEXT: Joyas, metales, piedras preciosas-7</v>
      </c>
      <c r="B612" s="221" t="s">
        <v>1064</v>
      </c>
      <c r="C612" s="222" t="n">
        <v>7</v>
      </c>
      <c r="D612" s="39" t="s">
        <v>94</v>
      </c>
      <c r="E612" s="39" t="s">
        <v>1142</v>
      </c>
      <c r="F612" s="39" t="s">
        <v>1143</v>
      </c>
      <c r="G612" s="39" t="s">
        <v>1144</v>
      </c>
      <c r="H612" s="223" t="s">
        <v>1138</v>
      </c>
    </row>
    <row r="613" customFormat="false" ht="18.75" hidden="false" customHeight="true" outlineLevel="0" collapsed="false">
      <c r="A613" s="39" t="str">
        <f aca="false">B613&amp;"-"&amp;C613</f>
        <v>XIV - CEXT: Joyas, metales, piedras preciosas-8</v>
      </c>
      <c r="B613" s="221" t="s">
        <v>1064</v>
      </c>
      <c r="C613" s="222" t="n">
        <v>8</v>
      </c>
      <c r="D613" s="39" t="s">
        <v>96</v>
      </c>
      <c r="E613" s="39" t="s">
        <v>1352</v>
      </c>
      <c r="F613" s="39" t="s">
        <v>1146</v>
      </c>
      <c r="G613" s="39" t="s">
        <v>1147</v>
      </c>
      <c r="H613" s="223" t="s">
        <v>1138</v>
      </c>
    </row>
    <row r="614" customFormat="false" ht="18.75" hidden="false" customHeight="true" outlineLevel="0" collapsed="false">
      <c r="A614" s="39" t="str">
        <f aca="false">B614&amp;"-"&amp;C614</f>
        <v>XIV - CEXT: Joyas, metales, piedras preciosas-9</v>
      </c>
      <c r="B614" s="221" t="s">
        <v>1064</v>
      </c>
      <c r="C614" s="222" t="n">
        <v>9</v>
      </c>
      <c r="D614" s="39" t="s">
        <v>98</v>
      </c>
      <c r="E614" s="39" t="s">
        <v>1148</v>
      </c>
      <c r="F614" s="39" t="s">
        <v>1149</v>
      </c>
      <c r="G614" s="39" t="s">
        <v>1150</v>
      </c>
      <c r="H614" s="223" t="s">
        <v>1138</v>
      </c>
    </row>
    <row r="615" customFormat="false" ht="18.75" hidden="false" customHeight="true" outlineLevel="0" collapsed="false">
      <c r="A615" s="39" t="str">
        <f aca="false">B615&amp;"-"&amp;C615</f>
        <v>XIV - CEXT: Joyas, metales, piedras preciosas-10</v>
      </c>
      <c r="B615" s="221" t="s">
        <v>1064</v>
      </c>
      <c r="C615" s="222" t="n">
        <v>10</v>
      </c>
      <c r="D615" s="39" t="s">
        <v>100</v>
      </c>
      <c r="E615" s="39" t="s">
        <v>1151</v>
      </c>
      <c r="F615" s="39" t="s">
        <v>1152</v>
      </c>
      <c r="G615" s="39" t="s">
        <v>1153</v>
      </c>
      <c r="H615" s="223" t="s">
        <v>1138</v>
      </c>
    </row>
    <row r="616" customFormat="false" ht="18.75" hidden="false" customHeight="true" outlineLevel="0" collapsed="false">
      <c r="A616" s="39" t="str">
        <f aca="false">B616&amp;"-"&amp;C616</f>
        <v>XIV - CEXT: Joyas, metales, piedras preciosas-11</v>
      </c>
      <c r="B616" s="221" t="s">
        <v>1064</v>
      </c>
      <c r="C616" s="222" t="n">
        <v>11</v>
      </c>
      <c r="D616" s="39" t="s">
        <v>102</v>
      </c>
      <c r="E616" s="39" t="s">
        <v>1154</v>
      </c>
      <c r="F616" s="39" t="s">
        <v>1155</v>
      </c>
      <c r="G616" s="39" t="s">
        <v>1156</v>
      </c>
      <c r="H616" s="223" t="s">
        <v>1138</v>
      </c>
    </row>
    <row r="617" customFormat="false" ht="18.75" hidden="false" customHeight="true" outlineLevel="0" collapsed="false">
      <c r="A617" s="39" t="str">
        <f aca="false">B617&amp;"-"&amp;C617</f>
        <v>XIV - CEXT: Joyas, metales, piedras preciosas-12</v>
      </c>
      <c r="B617" s="221" t="s">
        <v>1064</v>
      </c>
      <c r="C617" s="222" t="n">
        <v>12</v>
      </c>
      <c r="D617" s="39" t="s">
        <v>105</v>
      </c>
      <c r="E617" s="39" t="s">
        <v>1157</v>
      </c>
      <c r="F617" s="39" t="s">
        <v>1158</v>
      </c>
      <c r="G617" s="39" t="s">
        <v>1159</v>
      </c>
      <c r="H617" s="223" t="s">
        <v>1138</v>
      </c>
    </row>
    <row r="618" customFormat="false" ht="18.75" hidden="false" customHeight="true" outlineLevel="0" collapsed="false">
      <c r="A618" s="39" t="str">
        <f aca="false">B618&amp;"-"&amp;C618</f>
        <v>XIV - CEXT: Joyas, metales, piedras preciosas-13</v>
      </c>
      <c r="B618" s="221" t="s">
        <v>1064</v>
      </c>
      <c r="C618" s="222" t="n">
        <v>13</v>
      </c>
      <c r="D618" s="39" t="s">
        <v>107</v>
      </c>
      <c r="E618" s="39" t="s">
        <v>1353</v>
      </c>
      <c r="F618" s="39" t="s">
        <v>1161</v>
      </c>
      <c r="G618" s="39" t="s">
        <v>1354</v>
      </c>
      <c r="H618" s="223" t="s">
        <v>1124</v>
      </c>
    </row>
    <row r="619" customFormat="false" ht="18.75" hidden="false" customHeight="true" outlineLevel="0" collapsed="false">
      <c r="A619" s="39" t="str">
        <f aca="false">B619&amp;"-"&amp;C619</f>
        <v>XIV - CEXT: Joyas, metales, piedras preciosas-14</v>
      </c>
      <c r="B619" s="221" t="s">
        <v>1064</v>
      </c>
      <c r="C619" s="222" t="n">
        <v>14</v>
      </c>
      <c r="D619" s="39" t="s">
        <v>109</v>
      </c>
      <c r="E619" s="39" t="s">
        <v>1958</v>
      </c>
      <c r="F619" s="39" t="s">
        <v>1959</v>
      </c>
      <c r="G619" s="39" t="s">
        <v>1960</v>
      </c>
      <c r="H619" s="223" t="s">
        <v>1138</v>
      </c>
    </row>
    <row r="620" customFormat="false" ht="18.75" hidden="false" customHeight="true" outlineLevel="0" collapsed="false">
      <c r="A620" s="39" t="str">
        <f aca="false">B620&amp;"-"&amp;C620</f>
        <v>XIV - CEXT: Joyas, metales, piedras preciosas-15</v>
      </c>
      <c r="B620" s="221" t="s">
        <v>1064</v>
      </c>
      <c r="C620" s="222" t="n">
        <v>15</v>
      </c>
      <c r="D620" s="39" t="s">
        <v>112</v>
      </c>
      <c r="E620" s="39" t="s">
        <v>1961</v>
      </c>
      <c r="F620" s="39" t="s">
        <v>1962</v>
      </c>
      <c r="G620" s="39" t="s">
        <v>1963</v>
      </c>
      <c r="H620" s="223" t="s">
        <v>1138</v>
      </c>
    </row>
    <row r="621" customFormat="false" ht="18.75" hidden="false" customHeight="true" outlineLevel="0" collapsed="false">
      <c r="A621" s="39" t="str">
        <f aca="false">B621&amp;"-"&amp;C621</f>
        <v>XIV - CEXT: Joyas, metales, piedras preciosas-16</v>
      </c>
      <c r="B621" s="221" t="s">
        <v>1064</v>
      </c>
      <c r="C621" s="222" t="n">
        <v>16</v>
      </c>
      <c r="D621" s="39" t="s">
        <v>114</v>
      </c>
      <c r="E621" s="39" t="s">
        <v>1169</v>
      </c>
      <c r="F621" s="39" t="s">
        <v>1170</v>
      </c>
      <c r="G621" s="39" t="s">
        <v>1171</v>
      </c>
      <c r="H621" s="223" t="s">
        <v>1138</v>
      </c>
    </row>
    <row r="622" customFormat="false" ht="18.75" hidden="false" customHeight="true" outlineLevel="0" collapsed="false">
      <c r="A622" s="39" t="str">
        <f aca="false">B622&amp;"-"&amp;C622</f>
        <v>XIV - CEXT: Joyas, metales, piedras preciosas-17</v>
      </c>
      <c r="B622" s="221" t="s">
        <v>1064</v>
      </c>
      <c r="C622" s="222" t="n">
        <v>17</v>
      </c>
      <c r="D622" s="39" t="s">
        <v>116</v>
      </c>
      <c r="E622" s="39" t="s">
        <v>1964</v>
      </c>
      <c r="F622" s="39" t="s">
        <v>1173</v>
      </c>
      <c r="G622" s="39" t="s">
        <v>1965</v>
      </c>
      <c r="H622" s="223" t="s">
        <v>1124</v>
      </c>
    </row>
    <row r="623" customFormat="false" ht="18.75" hidden="false" customHeight="true" outlineLevel="0" collapsed="false">
      <c r="A623" s="39" t="str">
        <f aca="false">B623&amp;"-"&amp;C623</f>
        <v>XIV - CEXT: Joyas, metales, piedras preciosas-18</v>
      </c>
      <c r="B623" s="221" t="s">
        <v>1064</v>
      </c>
      <c r="C623" s="222" t="n">
        <v>18</v>
      </c>
      <c r="D623" s="39" t="s">
        <v>119</v>
      </c>
      <c r="E623" s="39" t="s">
        <v>1175</v>
      </c>
      <c r="F623" s="39" t="s">
        <v>1176</v>
      </c>
      <c r="G623" s="39" t="s">
        <v>1363</v>
      </c>
      <c r="H623" s="223" t="s">
        <v>1138</v>
      </c>
    </row>
    <row r="624" customFormat="false" ht="18.75" hidden="false" customHeight="true" outlineLevel="0" collapsed="false">
      <c r="A624" s="39" t="str">
        <f aca="false">B624&amp;"-"&amp;C624</f>
        <v>XIV - CEXT: Joyas, metales, piedras preciosas-19</v>
      </c>
      <c r="B624" s="221" t="s">
        <v>1064</v>
      </c>
      <c r="C624" s="222" t="n">
        <v>19</v>
      </c>
      <c r="D624" s="39" t="s">
        <v>122</v>
      </c>
      <c r="E624" s="39" t="s">
        <v>1178</v>
      </c>
      <c r="F624" s="39" t="s">
        <v>1179</v>
      </c>
      <c r="G624" s="39" t="s">
        <v>1180</v>
      </c>
      <c r="H624" s="223" t="s">
        <v>1138</v>
      </c>
    </row>
    <row r="625" customFormat="false" ht="18.75" hidden="false" customHeight="true" outlineLevel="0" collapsed="false">
      <c r="A625" s="39" t="str">
        <f aca="false">B625&amp;"-"&amp;C625</f>
        <v>XIV - CEXT: Joyas, metales, piedras preciosas-20</v>
      </c>
      <c r="B625" s="221" t="s">
        <v>1064</v>
      </c>
      <c r="C625" s="222" t="n">
        <v>20</v>
      </c>
      <c r="D625" s="39" t="s">
        <v>124</v>
      </c>
      <c r="E625" s="39" t="s">
        <v>1966</v>
      </c>
      <c r="F625" s="39" t="s">
        <v>1967</v>
      </c>
      <c r="G625" s="39" t="s">
        <v>1968</v>
      </c>
      <c r="H625" s="223" t="s">
        <v>1124</v>
      </c>
    </row>
    <row r="626" customFormat="false" ht="18.75" hidden="false" customHeight="true" outlineLevel="0" collapsed="false">
      <c r="A626" s="39" t="str">
        <f aca="false">B626&amp;"-"&amp;C626</f>
        <v>XIV - CEXT: Joyas, metales, piedras preciosas-21</v>
      </c>
      <c r="B626" s="221" t="s">
        <v>1064</v>
      </c>
      <c r="C626" s="222" t="n">
        <v>21</v>
      </c>
      <c r="D626" s="39" t="s">
        <v>126</v>
      </c>
      <c r="E626" s="39" t="s">
        <v>1367</v>
      </c>
      <c r="F626" s="39" t="s">
        <v>1368</v>
      </c>
      <c r="G626" s="39" t="s">
        <v>1369</v>
      </c>
      <c r="H626" s="223" t="s">
        <v>1124</v>
      </c>
    </row>
    <row r="627" customFormat="false" ht="18.75" hidden="false" customHeight="true" outlineLevel="0" collapsed="false">
      <c r="A627" s="39" t="str">
        <f aca="false">B627&amp;"-"&amp;C627</f>
        <v>XIV - CEXT: Joyas, metales, piedras preciosas-22</v>
      </c>
      <c r="B627" s="221" t="s">
        <v>1064</v>
      </c>
      <c r="C627" s="222" t="n">
        <v>22</v>
      </c>
      <c r="D627" s="39" t="s">
        <v>128</v>
      </c>
      <c r="E627" s="39" t="s">
        <v>1370</v>
      </c>
      <c r="F627" s="39" t="s">
        <v>1371</v>
      </c>
      <c r="G627" s="39" t="s">
        <v>1372</v>
      </c>
      <c r="H627" s="223" t="s">
        <v>1138</v>
      </c>
    </row>
    <row r="628" customFormat="false" ht="18.75" hidden="false" customHeight="true" outlineLevel="0" collapsed="false">
      <c r="A628" s="39" t="str">
        <f aca="false">B628&amp;"-"&amp;C628</f>
        <v>XIV - CEXT: Joyas, metales, piedras preciosas-23</v>
      </c>
      <c r="B628" s="221" t="s">
        <v>1064</v>
      </c>
      <c r="C628" s="222" t="n">
        <v>23</v>
      </c>
      <c r="D628" s="39" t="s">
        <v>131</v>
      </c>
      <c r="E628" s="39" t="s">
        <v>1190</v>
      </c>
      <c r="F628" s="39" t="s">
        <v>1191</v>
      </c>
      <c r="G628" s="39" t="s">
        <v>1192</v>
      </c>
      <c r="H628" s="223" t="s">
        <v>1128</v>
      </c>
    </row>
    <row r="629" customFormat="false" ht="18.75" hidden="false" customHeight="true" outlineLevel="0" collapsed="false">
      <c r="A629" s="39" t="str">
        <f aca="false">B629&amp;"-"&amp;C629</f>
        <v>XIV - CEXT: Joyas, metales, piedras preciosas-24</v>
      </c>
      <c r="B629" s="221" t="s">
        <v>1064</v>
      </c>
      <c r="C629" s="222" t="n">
        <v>24</v>
      </c>
      <c r="D629" s="39" t="s">
        <v>133</v>
      </c>
      <c r="E629" s="39" t="s">
        <v>1436</v>
      </c>
      <c r="F629" s="39" t="s">
        <v>1194</v>
      </c>
      <c r="G629" s="39" t="s">
        <v>1437</v>
      </c>
      <c r="H629" s="223" t="s">
        <v>1128</v>
      </c>
    </row>
    <row r="630" customFormat="false" ht="18.75" hidden="false" customHeight="true" outlineLevel="0" collapsed="false">
      <c r="A630" s="39" t="str">
        <f aca="false">B630&amp;"-"&amp;C630</f>
        <v>XIV - CEXT: Joyas, metales, piedras preciosas-25</v>
      </c>
      <c r="B630" s="221" t="s">
        <v>1064</v>
      </c>
      <c r="C630" s="222" t="n">
        <v>25</v>
      </c>
      <c r="D630" s="39" t="s">
        <v>135</v>
      </c>
      <c r="E630" s="39" t="s">
        <v>1969</v>
      </c>
      <c r="F630" s="39" t="s">
        <v>1197</v>
      </c>
      <c r="G630" s="39" t="s">
        <v>1198</v>
      </c>
      <c r="H630" s="223" t="s">
        <v>1128</v>
      </c>
    </row>
    <row r="631" customFormat="false" ht="18.75" hidden="false" customHeight="true" outlineLevel="0" collapsed="false">
      <c r="A631" s="39" t="str">
        <f aca="false">B631&amp;"-"&amp;C631</f>
        <v>XIV - CEXT: Obras de arte-1</v>
      </c>
      <c r="B631" s="221" t="s">
        <v>1072</v>
      </c>
      <c r="C631" s="222" t="n">
        <v>1</v>
      </c>
      <c r="D631" s="39" t="s">
        <v>77</v>
      </c>
      <c r="E631" s="39" t="s">
        <v>1439</v>
      </c>
      <c r="F631" s="39" t="s">
        <v>1440</v>
      </c>
      <c r="G631" s="39" t="s">
        <v>1441</v>
      </c>
      <c r="H631" s="223" t="s">
        <v>1124</v>
      </c>
    </row>
    <row r="632" customFormat="false" ht="18.75" hidden="false" customHeight="true" outlineLevel="0" collapsed="false">
      <c r="A632" s="39" t="str">
        <f aca="false">B632&amp;"-"&amp;C632</f>
        <v>XIV - CEXT: Obras de arte-2</v>
      </c>
      <c r="B632" s="221" t="s">
        <v>1072</v>
      </c>
      <c r="C632" s="222" t="n">
        <v>2</v>
      </c>
      <c r="D632" s="39" t="s">
        <v>81</v>
      </c>
      <c r="E632" s="39" t="s">
        <v>1442</v>
      </c>
      <c r="F632" s="39" t="s">
        <v>1443</v>
      </c>
      <c r="G632" s="39" t="s">
        <v>1444</v>
      </c>
      <c r="H632" s="223" t="s">
        <v>1128</v>
      </c>
    </row>
    <row r="633" customFormat="false" ht="18.75" hidden="false" customHeight="true" outlineLevel="0" collapsed="false">
      <c r="A633" s="39" t="str">
        <f aca="false">B633&amp;"-"&amp;C633</f>
        <v>XIV - CEXT: Obras de arte-3</v>
      </c>
      <c r="B633" s="221" t="s">
        <v>1072</v>
      </c>
      <c r="C633" s="222" t="n">
        <v>3</v>
      </c>
      <c r="D633" s="39" t="s">
        <v>83</v>
      </c>
      <c r="E633" s="39" t="s">
        <v>1956</v>
      </c>
      <c r="F633" s="39" t="s">
        <v>1345</v>
      </c>
      <c r="G633" s="39" t="s">
        <v>1346</v>
      </c>
      <c r="H633" s="223" t="s">
        <v>1128</v>
      </c>
    </row>
    <row r="634" customFormat="false" ht="18.75" hidden="false" customHeight="true" outlineLevel="0" collapsed="false">
      <c r="A634" s="39" t="str">
        <f aca="false">B634&amp;"-"&amp;C634</f>
        <v>XIV - CEXT: Obras de arte-4</v>
      </c>
      <c r="B634" s="221" t="s">
        <v>1072</v>
      </c>
      <c r="C634" s="222" t="n">
        <v>4</v>
      </c>
      <c r="D634" s="39" t="s">
        <v>85</v>
      </c>
      <c r="E634" s="39" t="s">
        <v>1957</v>
      </c>
      <c r="F634" s="39" t="s">
        <v>1133</v>
      </c>
      <c r="G634" s="39" t="s">
        <v>1134</v>
      </c>
      <c r="H634" s="223" t="s">
        <v>1128</v>
      </c>
    </row>
    <row r="635" customFormat="false" ht="18.75" hidden="false" customHeight="true" outlineLevel="0" collapsed="false">
      <c r="A635" s="39" t="str">
        <f aca="false">B635&amp;"-"&amp;C635</f>
        <v>XIV - CEXT: Obras de arte-5</v>
      </c>
      <c r="B635" s="221" t="s">
        <v>1072</v>
      </c>
      <c r="C635" s="222" t="n">
        <v>5</v>
      </c>
      <c r="D635" s="39" t="s">
        <v>88</v>
      </c>
      <c r="E635" s="39" t="s">
        <v>1348</v>
      </c>
      <c r="F635" s="39" t="s">
        <v>1136</v>
      </c>
      <c r="G635" s="39" t="s">
        <v>1137</v>
      </c>
      <c r="H635" s="223" t="s">
        <v>1138</v>
      </c>
    </row>
    <row r="636" customFormat="false" ht="18.75" hidden="false" customHeight="true" outlineLevel="0" collapsed="false">
      <c r="A636" s="39" t="str">
        <f aca="false">B636&amp;"-"&amp;C636</f>
        <v>XIV - CEXT: Obras de arte-6</v>
      </c>
      <c r="B636" s="221" t="s">
        <v>1072</v>
      </c>
      <c r="C636" s="222" t="n">
        <v>6</v>
      </c>
      <c r="D636" s="39" t="s">
        <v>91</v>
      </c>
      <c r="E636" s="39" t="s">
        <v>1970</v>
      </c>
      <c r="F636" s="39" t="s">
        <v>1971</v>
      </c>
      <c r="G636" s="39" t="s">
        <v>1972</v>
      </c>
      <c r="H636" s="223" t="s">
        <v>1138</v>
      </c>
    </row>
    <row r="637" customFormat="false" ht="18.75" hidden="false" customHeight="true" outlineLevel="0" collapsed="false">
      <c r="A637" s="39" t="str">
        <f aca="false">B637&amp;"-"&amp;C637</f>
        <v>XIV - CEXT: Obras de arte-7</v>
      </c>
      <c r="B637" s="221" t="s">
        <v>1072</v>
      </c>
      <c r="C637" s="222" t="n">
        <v>7</v>
      </c>
      <c r="D637" s="39" t="s">
        <v>94</v>
      </c>
      <c r="E637" s="39" t="s">
        <v>1142</v>
      </c>
      <c r="F637" s="39" t="s">
        <v>1143</v>
      </c>
      <c r="G637" s="39" t="s">
        <v>1144</v>
      </c>
      <c r="H637" s="223" t="s">
        <v>1138</v>
      </c>
    </row>
    <row r="638" customFormat="false" ht="18.75" hidden="false" customHeight="true" outlineLevel="0" collapsed="false">
      <c r="A638" s="39" t="str">
        <f aca="false">B638&amp;"-"&amp;C638</f>
        <v>XIV - CEXT: Obras de arte-8</v>
      </c>
      <c r="B638" s="221" t="s">
        <v>1072</v>
      </c>
      <c r="C638" s="222" t="n">
        <v>8</v>
      </c>
      <c r="D638" s="39" t="s">
        <v>96</v>
      </c>
      <c r="E638" s="39" t="s">
        <v>1352</v>
      </c>
      <c r="F638" s="39" t="s">
        <v>1146</v>
      </c>
      <c r="G638" s="39" t="s">
        <v>1147</v>
      </c>
      <c r="H638" s="223" t="s">
        <v>1138</v>
      </c>
    </row>
    <row r="639" customFormat="false" ht="18.75" hidden="false" customHeight="true" outlineLevel="0" collapsed="false">
      <c r="A639" s="39" t="str">
        <f aca="false">B639&amp;"-"&amp;C639</f>
        <v>XIV - CEXT: Obras de arte-9</v>
      </c>
      <c r="B639" s="221" t="s">
        <v>1072</v>
      </c>
      <c r="C639" s="222" t="n">
        <v>9</v>
      </c>
      <c r="D639" s="39" t="s">
        <v>98</v>
      </c>
      <c r="E639" s="39" t="s">
        <v>1148</v>
      </c>
      <c r="F639" s="39" t="s">
        <v>1149</v>
      </c>
      <c r="G639" s="39" t="s">
        <v>1150</v>
      </c>
      <c r="H639" s="223" t="s">
        <v>1138</v>
      </c>
    </row>
    <row r="640" customFormat="false" ht="18.75" hidden="false" customHeight="true" outlineLevel="0" collapsed="false">
      <c r="A640" s="39" t="str">
        <f aca="false">B640&amp;"-"&amp;C640</f>
        <v>XIV - CEXT: Obras de arte-10</v>
      </c>
      <c r="B640" s="221" t="s">
        <v>1072</v>
      </c>
      <c r="C640" s="222" t="n">
        <v>10</v>
      </c>
      <c r="D640" s="39" t="s">
        <v>100</v>
      </c>
      <c r="E640" s="39" t="s">
        <v>1151</v>
      </c>
      <c r="F640" s="39" t="s">
        <v>1152</v>
      </c>
      <c r="G640" s="39" t="s">
        <v>1153</v>
      </c>
      <c r="H640" s="223" t="s">
        <v>1138</v>
      </c>
    </row>
    <row r="641" customFormat="false" ht="18.75" hidden="false" customHeight="true" outlineLevel="0" collapsed="false">
      <c r="A641" s="39" t="str">
        <f aca="false">B641&amp;"-"&amp;C641</f>
        <v>XIV - CEXT: Obras de arte-11</v>
      </c>
      <c r="B641" s="221" t="s">
        <v>1072</v>
      </c>
      <c r="C641" s="222" t="n">
        <v>11</v>
      </c>
      <c r="D641" s="39" t="s">
        <v>102</v>
      </c>
      <c r="E641" s="39" t="s">
        <v>1154</v>
      </c>
      <c r="F641" s="39" t="s">
        <v>1155</v>
      </c>
      <c r="G641" s="39" t="s">
        <v>1156</v>
      </c>
      <c r="H641" s="223" t="s">
        <v>1138</v>
      </c>
    </row>
    <row r="642" customFormat="false" ht="18.75" hidden="false" customHeight="true" outlineLevel="0" collapsed="false">
      <c r="A642" s="39" t="str">
        <f aca="false">B642&amp;"-"&amp;C642</f>
        <v>XIV - CEXT: Obras de arte-12</v>
      </c>
      <c r="B642" s="221" t="s">
        <v>1072</v>
      </c>
      <c r="C642" s="222" t="n">
        <v>12</v>
      </c>
      <c r="D642" s="39" t="s">
        <v>105</v>
      </c>
      <c r="E642" s="39" t="s">
        <v>1157</v>
      </c>
      <c r="F642" s="39" t="s">
        <v>1158</v>
      </c>
      <c r="G642" s="39" t="s">
        <v>1159</v>
      </c>
      <c r="H642" s="223" t="s">
        <v>1138</v>
      </c>
    </row>
    <row r="643" customFormat="false" ht="18.75" hidden="false" customHeight="true" outlineLevel="0" collapsed="false">
      <c r="A643" s="39" t="str">
        <f aca="false">B643&amp;"-"&amp;C643</f>
        <v>XIV - CEXT: Obras de arte-13</v>
      </c>
      <c r="B643" s="221" t="s">
        <v>1072</v>
      </c>
      <c r="C643" s="222" t="n">
        <v>13</v>
      </c>
      <c r="D643" s="39" t="s">
        <v>107</v>
      </c>
      <c r="E643" s="39" t="s">
        <v>1353</v>
      </c>
      <c r="F643" s="39" t="s">
        <v>1161</v>
      </c>
      <c r="G643" s="39" t="s">
        <v>1354</v>
      </c>
      <c r="H643" s="223" t="s">
        <v>1124</v>
      </c>
    </row>
    <row r="644" customFormat="false" ht="18.75" hidden="false" customHeight="true" outlineLevel="0" collapsed="false">
      <c r="A644" s="39" t="str">
        <f aca="false">B644&amp;"-"&amp;C644</f>
        <v>XIV - CEXT: Obras de arte-14</v>
      </c>
      <c r="B644" s="221" t="s">
        <v>1072</v>
      </c>
      <c r="C644" s="222" t="n">
        <v>14</v>
      </c>
      <c r="D644" s="39" t="s">
        <v>109</v>
      </c>
      <c r="E644" s="39" t="s">
        <v>1958</v>
      </c>
      <c r="F644" s="39" t="s">
        <v>1959</v>
      </c>
      <c r="G644" s="39" t="s">
        <v>1960</v>
      </c>
      <c r="H644" s="223" t="s">
        <v>1138</v>
      </c>
    </row>
    <row r="645" customFormat="false" ht="18.75" hidden="false" customHeight="true" outlineLevel="0" collapsed="false">
      <c r="A645" s="39" t="str">
        <f aca="false">B645&amp;"-"&amp;C645</f>
        <v>XIV - CEXT: Obras de arte-15</v>
      </c>
      <c r="B645" s="221" t="s">
        <v>1072</v>
      </c>
      <c r="C645" s="222" t="n">
        <v>15</v>
      </c>
      <c r="D645" s="39" t="s">
        <v>112</v>
      </c>
      <c r="E645" s="39" t="s">
        <v>1961</v>
      </c>
      <c r="F645" s="39" t="s">
        <v>1962</v>
      </c>
      <c r="G645" s="39" t="s">
        <v>1963</v>
      </c>
      <c r="H645" s="223" t="s">
        <v>1138</v>
      </c>
    </row>
    <row r="646" customFormat="false" ht="18.75" hidden="false" customHeight="true" outlineLevel="0" collapsed="false">
      <c r="A646" s="39" t="str">
        <f aca="false">B646&amp;"-"&amp;C646</f>
        <v>XIV - CEXT: Obras de arte-16</v>
      </c>
      <c r="B646" s="221" t="s">
        <v>1072</v>
      </c>
      <c r="C646" s="222" t="n">
        <v>16</v>
      </c>
      <c r="D646" s="39" t="s">
        <v>114</v>
      </c>
      <c r="E646" s="39" t="s">
        <v>1169</v>
      </c>
      <c r="F646" s="39" t="s">
        <v>1170</v>
      </c>
      <c r="G646" s="39" t="s">
        <v>1171</v>
      </c>
      <c r="H646" s="223" t="s">
        <v>1138</v>
      </c>
    </row>
    <row r="647" customFormat="false" ht="18.75" hidden="false" customHeight="true" outlineLevel="0" collapsed="false">
      <c r="A647" s="39" t="str">
        <f aca="false">B647&amp;"-"&amp;C647</f>
        <v>XIV - CEXT: Obras de arte-17</v>
      </c>
      <c r="B647" s="221" t="s">
        <v>1072</v>
      </c>
      <c r="C647" s="222" t="n">
        <v>17</v>
      </c>
      <c r="D647" s="39" t="s">
        <v>116</v>
      </c>
      <c r="E647" s="39" t="s">
        <v>1964</v>
      </c>
      <c r="F647" s="39" t="s">
        <v>1173</v>
      </c>
      <c r="G647" s="39" t="s">
        <v>1965</v>
      </c>
      <c r="H647" s="223" t="s">
        <v>1124</v>
      </c>
    </row>
    <row r="648" customFormat="false" ht="18.75" hidden="false" customHeight="true" outlineLevel="0" collapsed="false">
      <c r="A648" s="39" t="str">
        <f aca="false">B648&amp;"-"&amp;C648</f>
        <v>XIV - CEXT: Obras de arte-18</v>
      </c>
      <c r="B648" s="221" t="s">
        <v>1072</v>
      </c>
      <c r="C648" s="222" t="n">
        <v>18</v>
      </c>
      <c r="D648" s="39" t="s">
        <v>119</v>
      </c>
      <c r="E648" s="39" t="s">
        <v>1175</v>
      </c>
      <c r="F648" s="39" t="s">
        <v>1176</v>
      </c>
      <c r="G648" s="39" t="s">
        <v>1363</v>
      </c>
      <c r="H648" s="223" t="s">
        <v>1138</v>
      </c>
    </row>
    <row r="649" customFormat="false" ht="18.75" hidden="false" customHeight="true" outlineLevel="0" collapsed="false">
      <c r="A649" s="39" t="str">
        <f aca="false">B649&amp;"-"&amp;C649</f>
        <v>XIV - CEXT: Obras de arte-19</v>
      </c>
      <c r="B649" s="221" t="s">
        <v>1072</v>
      </c>
      <c r="C649" s="222" t="n">
        <v>19</v>
      </c>
      <c r="D649" s="39" t="s">
        <v>122</v>
      </c>
      <c r="E649" s="39" t="s">
        <v>1178</v>
      </c>
      <c r="F649" s="39" t="s">
        <v>1179</v>
      </c>
      <c r="G649" s="39" t="s">
        <v>1180</v>
      </c>
      <c r="H649" s="223" t="s">
        <v>1138</v>
      </c>
    </row>
    <row r="650" customFormat="false" ht="18.75" hidden="false" customHeight="true" outlineLevel="0" collapsed="false">
      <c r="A650" s="39" t="str">
        <f aca="false">B650&amp;"-"&amp;C650</f>
        <v>XIV - CEXT: Obras de arte-20</v>
      </c>
      <c r="B650" s="221" t="s">
        <v>1072</v>
      </c>
      <c r="C650" s="222" t="n">
        <v>20</v>
      </c>
      <c r="D650" s="39" t="s">
        <v>124</v>
      </c>
      <c r="E650" s="39" t="s">
        <v>1966</v>
      </c>
      <c r="F650" s="39" t="s">
        <v>1967</v>
      </c>
      <c r="G650" s="39" t="s">
        <v>1968</v>
      </c>
      <c r="H650" s="223" t="s">
        <v>1124</v>
      </c>
    </row>
    <row r="651" customFormat="false" ht="18.75" hidden="false" customHeight="true" outlineLevel="0" collapsed="false">
      <c r="A651" s="39" t="str">
        <f aca="false">B651&amp;"-"&amp;C651</f>
        <v>XIV - CEXT: Obras de arte-21</v>
      </c>
      <c r="B651" s="221" t="s">
        <v>1072</v>
      </c>
      <c r="C651" s="222" t="n">
        <v>21</v>
      </c>
      <c r="D651" s="39" t="s">
        <v>126</v>
      </c>
      <c r="E651" s="39" t="s">
        <v>1367</v>
      </c>
      <c r="F651" s="39" t="s">
        <v>1368</v>
      </c>
      <c r="G651" s="39" t="s">
        <v>1369</v>
      </c>
      <c r="H651" s="223" t="s">
        <v>1124</v>
      </c>
    </row>
    <row r="652" customFormat="false" ht="18.75" hidden="false" customHeight="true" outlineLevel="0" collapsed="false">
      <c r="A652" s="39" t="str">
        <f aca="false">B652&amp;"-"&amp;C652</f>
        <v>XIV - CEXT: Obras de arte-22</v>
      </c>
      <c r="B652" s="221" t="s">
        <v>1072</v>
      </c>
      <c r="C652" s="222" t="n">
        <v>22</v>
      </c>
      <c r="D652" s="39" t="s">
        <v>128</v>
      </c>
      <c r="E652" s="39" t="s">
        <v>1370</v>
      </c>
      <c r="F652" s="39" t="s">
        <v>1371</v>
      </c>
      <c r="G652" s="39" t="s">
        <v>1372</v>
      </c>
      <c r="H652" s="223" t="s">
        <v>1138</v>
      </c>
    </row>
    <row r="653" customFormat="false" ht="18.75" hidden="false" customHeight="true" outlineLevel="0" collapsed="false">
      <c r="A653" s="39" t="str">
        <f aca="false">B653&amp;"-"&amp;C653</f>
        <v>XIV - CEXT: Obras de arte-23</v>
      </c>
      <c r="B653" s="221" t="s">
        <v>1072</v>
      </c>
      <c r="C653" s="222" t="n">
        <v>23</v>
      </c>
      <c r="D653" s="39" t="s">
        <v>131</v>
      </c>
      <c r="E653" s="39" t="s">
        <v>1190</v>
      </c>
      <c r="F653" s="39" t="s">
        <v>1191</v>
      </c>
      <c r="G653" s="39" t="s">
        <v>1192</v>
      </c>
      <c r="H653" s="223" t="s">
        <v>1128</v>
      </c>
    </row>
    <row r="654" customFormat="false" ht="18.75" hidden="false" customHeight="true" outlineLevel="0" collapsed="false">
      <c r="A654" s="39" t="str">
        <f aca="false">B654&amp;"-"&amp;C654</f>
        <v>XIV - CEXT: Obras de arte-24</v>
      </c>
      <c r="B654" s="221" t="s">
        <v>1072</v>
      </c>
      <c r="C654" s="222" t="n">
        <v>24</v>
      </c>
      <c r="D654" s="39" t="s">
        <v>133</v>
      </c>
      <c r="E654" s="39" t="s">
        <v>1973</v>
      </c>
      <c r="F654" s="39" t="s">
        <v>1194</v>
      </c>
      <c r="G654" s="39" t="s">
        <v>1475</v>
      </c>
      <c r="H654" s="223" t="s">
        <v>1128</v>
      </c>
    </row>
    <row r="655" customFormat="false" ht="18.75" hidden="false" customHeight="true" outlineLevel="0" collapsed="false">
      <c r="A655" s="39" t="str">
        <f aca="false">B655&amp;"-"&amp;C655</f>
        <v>XIV - CEXT: Obras de arte-25</v>
      </c>
      <c r="B655" s="221" t="s">
        <v>1072</v>
      </c>
      <c r="C655" s="222" t="n">
        <v>25</v>
      </c>
      <c r="D655" s="39" t="s">
        <v>135</v>
      </c>
      <c r="E655" s="39" t="s">
        <v>1969</v>
      </c>
      <c r="F655" s="39" t="s">
        <v>1197</v>
      </c>
      <c r="G655" s="39" t="s">
        <v>1198</v>
      </c>
      <c r="H655" s="223" t="s">
        <v>1128</v>
      </c>
    </row>
    <row r="656" customFormat="false" ht="18.75" hidden="false" customHeight="true" outlineLevel="0" collapsed="false">
      <c r="A656" s="39" t="str">
        <f aca="false">B656&amp;"-"&amp;C656</f>
        <v>XIV - CEXT: Vehículos, máquinas, blindaje, etc.-1</v>
      </c>
      <c r="B656" s="221" t="s">
        <v>1080</v>
      </c>
      <c r="C656" s="222" t="n">
        <v>1</v>
      </c>
      <c r="D656" s="39" t="s">
        <v>77</v>
      </c>
      <c r="E656" s="39" t="s">
        <v>1974</v>
      </c>
      <c r="F656" s="39" t="s">
        <v>1975</v>
      </c>
      <c r="G656" s="39" t="s">
        <v>1976</v>
      </c>
      <c r="H656" s="223" t="s">
        <v>1124</v>
      </c>
    </row>
    <row r="657" customFormat="false" ht="18.75" hidden="false" customHeight="true" outlineLevel="0" collapsed="false">
      <c r="A657" s="39" t="str">
        <f aca="false">B657&amp;"-"&amp;C657</f>
        <v>XIV - CEXT: Vehículos, máquinas, blindaje, etc.-2</v>
      </c>
      <c r="B657" s="221" t="s">
        <v>1080</v>
      </c>
      <c r="C657" s="222" t="n">
        <v>2</v>
      </c>
      <c r="D657" s="39" t="s">
        <v>81</v>
      </c>
      <c r="E657" s="39" t="s">
        <v>1977</v>
      </c>
      <c r="F657" s="39" t="s">
        <v>1978</v>
      </c>
      <c r="G657" s="39" t="s">
        <v>1979</v>
      </c>
      <c r="H657" s="223" t="s">
        <v>1128</v>
      </c>
    </row>
    <row r="658" customFormat="false" ht="18.75" hidden="false" customHeight="true" outlineLevel="0" collapsed="false">
      <c r="A658" s="39" t="str">
        <f aca="false">B658&amp;"-"&amp;C658</f>
        <v>XIV - CEXT: Vehículos, máquinas, blindaje, etc.-3</v>
      </c>
      <c r="B658" s="221" t="s">
        <v>1080</v>
      </c>
      <c r="C658" s="222" t="n">
        <v>3</v>
      </c>
      <c r="D658" s="39" t="s">
        <v>83</v>
      </c>
      <c r="E658" s="39" t="s">
        <v>1956</v>
      </c>
      <c r="F658" s="39" t="s">
        <v>1244</v>
      </c>
      <c r="G658" s="39" t="s">
        <v>1245</v>
      </c>
      <c r="H658" s="223" t="s">
        <v>1128</v>
      </c>
    </row>
    <row r="659" customFormat="false" ht="18.75" hidden="false" customHeight="true" outlineLevel="0" collapsed="false">
      <c r="A659" s="39" t="str">
        <f aca="false">B659&amp;"-"&amp;C659</f>
        <v>XIV - CEXT: Vehículos, máquinas, blindaje, etc.-4</v>
      </c>
      <c r="B659" s="221" t="s">
        <v>1080</v>
      </c>
      <c r="C659" s="222" t="n">
        <v>4</v>
      </c>
      <c r="D659" s="39" t="s">
        <v>85</v>
      </c>
      <c r="E659" s="39" t="s">
        <v>1957</v>
      </c>
      <c r="F659" s="39" t="s">
        <v>1133</v>
      </c>
      <c r="G659" s="39" t="s">
        <v>1134</v>
      </c>
      <c r="H659" s="223" t="s">
        <v>1128</v>
      </c>
    </row>
    <row r="660" customFormat="false" ht="18.75" hidden="false" customHeight="true" outlineLevel="0" collapsed="false">
      <c r="A660" s="39" t="str">
        <f aca="false">B660&amp;"-"&amp;C660</f>
        <v>XIV - CEXT: Vehículos, máquinas, blindaje, etc.-5</v>
      </c>
      <c r="B660" s="221" t="s">
        <v>1080</v>
      </c>
      <c r="C660" s="222" t="n">
        <v>5</v>
      </c>
      <c r="D660" s="39" t="s">
        <v>88</v>
      </c>
      <c r="E660" s="39" t="s">
        <v>1247</v>
      </c>
      <c r="F660" s="39" t="s">
        <v>1136</v>
      </c>
      <c r="G660" s="39" t="s">
        <v>1137</v>
      </c>
      <c r="H660" s="223" t="s">
        <v>1138</v>
      </c>
    </row>
    <row r="661" customFormat="false" ht="18.75" hidden="false" customHeight="true" outlineLevel="0" collapsed="false">
      <c r="A661" s="39" t="str">
        <f aca="false">B661&amp;"-"&amp;C661</f>
        <v>XIV - CEXT: Vehículos, máquinas, blindaje, etc.-6</v>
      </c>
      <c r="B661" s="221" t="s">
        <v>1080</v>
      </c>
      <c r="C661" s="222" t="n">
        <v>6</v>
      </c>
      <c r="D661" s="39" t="s">
        <v>91</v>
      </c>
      <c r="E661" s="39" t="s">
        <v>1980</v>
      </c>
      <c r="F661" s="39" t="s">
        <v>1981</v>
      </c>
      <c r="G661" s="39" t="s">
        <v>1982</v>
      </c>
      <c r="H661" s="223" t="s">
        <v>1138</v>
      </c>
    </row>
    <row r="662" customFormat="false" ht="18.75" hidden="false" customHeight="true" outlineLevel="0" collapsed="false">
      <c r="A662" s="39" t="str">
        <f aca="false">B662&amp;"-"&amp;C662</f>
        <v>XIV - CEXT: Vehículos, máquinas, blindaje, etc.-7</v>
      </c>
      <c r="B662" s="221" t="s">
        <v>1080</v>
      </c>
      <c r="C662" s="222" t="n">
        <v>7</v>
      </c>
      <c r="D662" s="39" t="s">
        <v>94</v>
      </c>
      <c r="E662" s="39" t="s">
        <v>1142</v>
      </c>
      <c r="F662" s="39" t="s">
        <v>1143</v>
      </c>
      <c r="G662" s="39" t="s">
        <v>1144</v>
      </c>
      <c r="H662" s="223" t="s">
        <v>1138</v>
      </c>
    </row>
    <row r="663" customFormat="false" ht="18.75" hidden="false" customHeight="true" outlineLevel="0" collapsed="false">
      <c r="A663" s="39" t="str">
        <f aca="false">B663&amp;"-"&amp;C663</f>
        <v>XIV - CEXT: Vehículos, máquinas, blindaje, etc.-8</v>
      </c>
      <c r="B663" s="221" t="s">
        <v>1080</v>
      </c>
      <c r="C663" s="222" t="n">
        <v>8</v>
      </c>
      <c r="D663" s="39" t="s">
        <v>96</v>
      </c>
      <c r="E663" s="39" t="s">
        <v>1251</v>
      </c>
      <c r="F663" s="39" t="s">
        <v>1146</v>
      </c>
      <c r="G663" s="39" t="s">
        <v>1147</v>
      </c>
      <c r="H663" s="223" t="s">
        <v>1138</v>
      </c>
    </row>
    <row r="664" customFormat="false" ht="18.75" hidden="false" customHeight="true" outlineLevel="0" collapsed="false">
      <c r="A664" s="39" t="str">
        <f aca="false">B664&amp;"-"&amp;C664</f>
        <v>XIV - CEXT: Vehículos, máquinas, blindaje, etc.-9</v>
      </c>
      <c r="B664" s="221" t="s">
        <v>1080</v>
      </c>
      <c r="C664" s="222" t="n">
        <v>9</v>
      </c>
      <c r="D664" s="39" t="s">
        <v>98</v>
      </c>
      <c r="E664" s="39" t="s">
        <v>1148</v>
      </c>
      <c r="F664" s="39" t="s">
        <v>1149</v>
      </c>
      <c r="G664" s="39" t="s">
        <v>1150</v>
      </c>
      <c r="H664" s="223" t="s">
        <v>1138</v>
      </c>
    </row>
    <row r="665" customFormat="false" ht="18.75" hidden="false" customHeight="true" outlineLevel="0" collapsed="false">
      <c r="A665" s="39" t="str">
        <f aca="false">B665&amp;"-"&amp;C665</f>
        <v>XIV - CEXT: Vehículos, máquinas, blindaje, etc.-10</v>
      </c>
      <c r="B665" s="221" t="s">
        <v>1080</v>
      </c>
      <c r="C665" s="222" t="n">
        <v>10</v>
      </c>
      <c r="D665" s="39" t="s">
        <v>100</v>
      </c>
      <c r="E665" s="39" t="s">
        <v>1151</v>
      </c>
      <c r="F665" s="39" t="s">
        <v>1152</v>
      </c>
      <c r="G665" s="39" t="s">
        <v>1153</v>
      </c>
      <c r="H665" s="223" t="s">
        <v>1138</v>
      </c>
    </row>
    <row r="666" customFormat="false" ht="18.75" hidden="false" customHeight="true" outlineLevel="0" collapsed="false">
      <c r="A666" s="39" t="str">
        <f aca="false">B666&amp;"-"&amp;C666</f>
        <v>XIV - CEXT: Vehículos, máquinas, blindaje, etc.-11</v>
      </c>
      <c r="B666" s="221" t="s">
        <v>1080</v>
      </c>
      <c r="C666" s="222" t="n">
        <v>11</v>
      </c>
      <c r="D666" s="39" t="s">
        <v>102</v>
      </c>
      <c r="E666" s="39" t="s">
        <v>1154</v>
      </c>
      <c r="F666" s="39" t="s">
        <v>1155</v>
      </c>
      <c r="G666" s="39" t="s">
        <v>1156</v>
      </c>
      <c r="H666" s="223" t="s">
        <v>1138</v>
      </c>
    </row>
    <row r="667" customFormat="false" ht="18.75" hidden="false" customHeight="true" outlineLevel="0" collapsed="false">
      <c r="A667" s="39" t="str">
        <f aca="false">B667&amp;"-"&amp;C667</f>
        <v>XIV - CEXT: Vehículos, máquinas, blindaje, etc.-12</v>
      </c>
      <c r="B667" s="221" t="s">
        <v>1080</v>
      </c>
      <c r="C667" s="222" t="n">
        <v>12</v>
      </c>
      <c r="D667" s="39" t="s">
        <v>105</v>
      </c>
      <c r="E667" s="39" t="s">
        <v>1157</v>
      </c>
      <c r="F667" s="39" t="s">
        <v>1158</v>
      </c>
      <c r="G667" s="39" t="s">
        <v>1159</v>
      </c>
      <c r="H667" s="223" t="s">
        <v>1138</v>
      </c>
    </row>
    <row r="668" customFormat="false" ht="18.75" hidden="false" customHeight="true" outlineLevel="0" collapsed="false">
      <c r="A668" s="39" t="str">
        <f aca="false">B668&amp;"-"&amp;C668</f>
        <v>XIV - CEXT: Vehículos, máquinas, blindaje, etc.-13</v>
      </c>
      <c r="B668" s="221" t="s">
        <v>1080</v>
      </c>
      <c r="C668" s="222" t="n">
        <v>13</v>
      </c>
      <c r="D668" s="39" t="s">
        <v>107</v>
      </c>
      <c r="E668" s="39" t="s">
        <v>1252</v>
      </c>
      <c r="F668" s="39" t="s">
        <v>1161</v>
      </c>
      <c r="G668" s="39" t="s">
        <v>1253</v>
      </c>
      <c r="H668" s="223" t="s">
        <v>1124</v>
      </c>
    </row>
    <row r="669" customFormat="false" ht="18.75" hidden="false" customHeight="true" outlineLevel="0" collapsed="false">
      <c r="A669" s="39" t="str">
        <f aca="false">B669&amp;"-"&amp;C669</f>
        <v>XIV - CEXT: Vehículos, máquinas, blindaje, etc.-14</v>
      </c>
      <c r="B669" s="221" t="s">
        <v>1080</v>
      </c>
      <c r="C669" s="222" t="n">
        <v>14</v>
      </c>
      <c r="D669" s="39" t="s">
        <v>109</v>
      </c>
      <c r="E669" s="39" t="s">
        <v>1958</v>
      </c>
      <c r="F669" s="39" t="s">
        <v>1959</v>
      </c>
      <c r="G669" s="39" t="s">
        <v>1960</v>
      </c>
      <c r="H669" s="223" t="s">
        <v>1138</v>
      </c>
    </row>
    <row r="670" customFormat="false" ht="18.75" hidden="false" customHeight="true" outlineLevel="0" collapsed="false">
      <c r="A670" s="39" t="str">
        <f aca="false">B670&amp;"-"&amp;C670</f>
        <v>XIV - CEXT: Vehículos, máquinas, blindaje, etc.-15</v>
      </c>
      <c r="B670" s="221" t="s">
        <v>1080</v>
      </c>
      <c r="C670" s="222" t="n">
        <v>15</v>
      </c>
      <c r="D670" s="39" t="s">
        <v>112</v>
      </c>
      <c r="E670" s="39" t="s">
        <v>1961</v>
      </c>
      <c r="F670" s="39" t="s">
        <v>1962</v>
      </c>
      <c r="G670" s="39" t="s">
        <v>1963</v>
      </c>
      <c r="H670" s="223" t="s">
        <v>1138</v>
      </c>
    </row>
    <row r="671" customFormat="false" ht="18.75" hidden="false" customHeight="true" outlineLevel="0" collapsed="false">
      <c r="A671" s="39" t="str">
        <f aca="false">B671&amp;"-"&amp;C671</f>
        <v>XIV - CEXT: Vehículos, máquinas, blindaje, etc.-16</v>
      </c>
      <c r="B671" s="221" t="s">
        <v>1080</v>
      </c>
      <c r="C671" s="222" t="n">
        <v>16</v>
      </c>
      <c r="D671" s="39" t="s">
        <v>114</v>
      </c>
      <c r="E671" s="39" t="s">
        <v>1169</v>
      </c>
      <c r="F671" s="39" t="s">
        <v>1170</v>
      </c>
      <c r="G671" s="39" t="s">
        <v>1171</v>
      </c>
      <c r="H671" s="223" t="s">
        <v>1138</v>
      </c>
    </row>
    <row r="672" customFormat="false" ht="18.75" hidden="false" customHeight="true" outlineLevel="0" collapsed="false">
      <c r="A672" s="39" t="str">
        <f aca="false">B672&amp;"-"&amp;C672</f>
        <v>XIV - CEXT: Vehículos, máquinas, blindaje, etc.-17</v>
      </c>
      <c r="B672" s="221" t="s">
        <v>1080</v>
      </c>
      <c r="C672" s="222" t="n">
        <v>17</v>
      </c>
      <c r="D672" s="39" t="s">
        <v>116</v>
      </c>
      <c r="E672" s="39" t="s">
        <v>1983</v>
      </c>
      <c r="F672" s="39" t="s">
        <v>1173</v>
      </c>
      <c r="G672" s="39" t="s">
        <v>1984</v>
      </c>
      <c r="H672" s="223" t="s">
        <v>1124</v>
      </c>
    </row>
    <row r="673" customFormat="false" ht="18.75" hidden="false" customHeight="true" outlineLevel="0" collapsed="false">
      <c r="A673" s="39" t="str">
        <f aca="false">B673&amp;"-"&amp;C673</f>
        <v>XIV - CEXT: Vehículos, máquinas, blindaje, etc.-18</v>
      </c>
      <c r="B673" s="221" t="s">
        <v>1080</v>
      </c>
      <c r="C673" s="222" t="n">
        <v>18</v>
      </c>
      <c r="D673" s="39" t="s">
        <v>119</v>
      </c>
      <c r="E673" s="39" t="s">
        <v>1175</v>
      </c>
      <c r="F673" s="39" t="s">
        <v>1176</v>
      </c>
      <c r="G673" s="39" t="s">
        <v>1262</v>
      </c>
      <c r="H673" s="223" t="s">
        <v>1138</v>
      </c>
    </row>
    <row r="674" customFormat="false" ht="18.75" hidden="false" customHeight="true" outlineLevel="0" collapsed="false">
      <c r="A674" s="39" t="str">
        <f aca="false">B674&amp;"-"&amp;C674</f>
        <v>XIV - CEXT: Vehículos, máquinas, blindaje, etc.-19</v>
      </c>
      <c r="B674" s="221" t="s">
        <v>1080</v>
      </c>
      <c r="C674" s="222" t="n">
        <v>19</v>
      </c>
      <c r="D674" s="39" t="s">
        <v>122</v>
      </c>
      <c r="E674" s="39" t="s">
        <v>1178</v>
      </c>
      <c r="F674" s="39" t="s">
        <v>1179</v>
      </c>
      <c r="G674" s="39" t="s">
        <v>1180</v>
      </c>
      <c r="H674" s="223" t="s">
        <v>1138</v>
      </c>
    </row>
    <row r="675" customFormat="false" ht="18.75" hidden="false" customHeight="true" outlineLevel="0" collapsed="false">
      <c r="A675" s="39" t="str">
        <f aca="false">B675&amp;"-"&amp;C675</f>
        <v>XIV - CEXT: Vehículos, máquinas, blindaje, etc.-20</v>
      </c>
      <c r="B675" s="221" t="s">
        <v>1080</v>
      </c>
      <c r="C675" s="222" t="n">
        <v>20</v>
      </c>
      <c r="D675" s="39" t="s">
        <v>124</v>
      </c>
      <c r="E675" s="39" t="s">
        <v>1966</v>
      </c>
      <c r="F675" s="39" t="s">
        <v>1967</v>
      </c>
      <c r="G675" s="39" t="s">
        <v>1968</v>
      </c>
      <c r="H675" s="223" t="s">
        <v>1124</v>
      </c>
    </row>
    <row r="676" customFormat="false" ht="18.75" hidden="false" customHeight="true" outlineLevel="0" collapsed="false">
      <c r="A676" s="39" t="str">
        <f aca="false">B676&amp;"-"&amp;C676</f>
        <v>XIV - CEXT: Vehículos, máquinas, blindaje, etc.-21</v>
      </c>
      <c r="B676" s="221" t="s">
        <v>1080</v>
      </c>
      <c r="C676" s="222" t="n">
        <v>21</v>
      </c>
      <c r="D676" s="39" t="s">
        <v>126</v>
      </c>
      <c r="E676" s="39" t="s">
        <v>1266</v>
      </c>
      <c r="F676" s="39" t="s">
        <v>1267</v>
      </c>
      <c r="G676" s="39" t="s">
        <v>1268</v>
      </c>
      <c r="H676" s="223" t="s">
        <v>1124</v>
      </c>
    </row>
    <row r="677" customFormat="false" ht="18.75" hidden="false" customHeight="true" outlineLevel="0" collapsed="false">
      <c r="A677" s="39" t="str">
        <f aca="false">B677&amp;"-"&amp;C677</f>
        <v>XIV - CEXT: Vehículos, máquinas, blindaje, etc.-22</v>
      </c>
      <c r="B677" s="221" t="s">
        <v>1080</v>
      </c>
      <c r="C677" s="222" t="n">
        <v>22</v>
      </c>
      <c r="D677" s="39" t="s">
        <v>128</v>
      </c>
      <c r="E677" s="39" t="s">
        <v>1269</v>
      </c>
      <c r="F677" s="39" t="s">
        <v>1270</v>
      </c>
      <c r="G677" s="39" t="s">
        <v>1271</v>
      </c>
      <c r="H677" s="223" t="s">
        <v>1138</v>
      </c>
    </row>
    <row r="678" customFormat="false" ht="18.75" hidden="false" customHeight="true" outlineLevel="0" collapsed="false">
      <c r="A678" s="39" t="str">
        <f aca="false">B678&amp;"-"&amp;C678</f>
        <v>XIV - CEXT: Vehículos, máquinas, blindaje, etc.-23</v>
      </c>
      <c r="B678" s="221" t="s">
        <v>1080</v>
      </c>
      <c r="C678" s="222" t="n">
        <v>23</v>
      </c>
      <c r="D678" s="39" t="s">
        <v>131</v>
      </c>
      <c r="E678" s="39" t="s">
        <v>1190</v>
      </c>
      <c r="F678" s="39" t="s">
        <v>1191</v>
      </c>
      <c r="G678" s="39" t="s">
        <v>1192</v>
      </c>
      <c r="H678" s="223" t="s">
        <v>1128</v>
      </c>
    </row>
    <row r="679" customFormat="false" ht="18.75" hidden="false" customHeight="true" outlineLevel="0" collapsed="false">
      <c r="A679" s="39" t="str">
        <f aca="false">B679&amp;"-"&amp;C679</f>
        <v>XIV - CEXT: Vehículos, máquinas, blindaje, etc.-24</v>
      </c>
      <c r="B679" s="221" t="s">
        <v>1080</v>
      </c>
      <c r="C679" s="222" t="n">
        <v>24</v>
      </c>
      <c r="D679" s="39" t="s">
        <v>133</v>
      </c>
      <c r="E679" s="39" t="s">
        <v>1985</v>
      </c>
      <c r="F679" s="39" t="s">
        <v>1194</v>
      </c>
      <c r="G679" s="39" t="s">
        <v>1986</v>
      </c>
      <c r="H679" s="223" t="s">
        <v>1128</v>
      </c>
    </row>
    <row r="680" customFormat="false" ht="18.75" hidden="false" customHeight="true" outlineLevel="0" collapsed="false">
      <c r="A680" s="39" t="str">
        <f aca="false">B680&amp;"-"&amp;C680</f>
        <v>XIV - CEXT: Vehículos, máquinas, blindaje, etc.-25</v>
      </c>
      <c r="B680" s="221" t="s">
        <v>1080</v>
      </c>
      <c r="C680" s="222" t="n">
        <v>25</v>
      </c>
      <c r="D680" s="39" t="s">
        <v>135</v>
      </c>
      <c r="E680" s="39" t="s">
        <v>1969</v>
      </c>
      <c r="F680" s="39" t="s">
        <v>1197</v>
      </c>
      <c r="G680" s="39" t="s">
        <v>1198</v>
      </c>
      <c r="H680" s="223" t="s">
        <v>1128</v>
      </c>
    </row>
    <row r="681" customFormat="false" ht="18.75" hidden="false" customHeight="true" outlineLevel="0" collapsed="false">
      <c r="A681" s="39" t="str">
        <f aca="false">B681&amp;"-"&amp;C681</f>
        <v>XV - Arrendamiento de bienes inmuebles (uso o goce)-1</v>
      </c>
      <c r="B681" s="221" t="s">
        <v>1089</v>
      </c>
      <c r="C681" s="222" t="n">
        <v>1</v>
      </c>
      <c r="D681" s="39" t="s">
        <v>77</v>
      </c>
      <c r="E681" s="39" t="s">
        <v>1987</v>
      </c>
      <c r="F681" s="39" t="s">
        <v>1988</v>
      </c>
      <c r="G681" s="39" t="s">
        <v>1989</v>
      </c>
      <c r="H681" s="223" t="s">
        <v>1124</v>
      </c>
    </row>
    <row r="682" customFormat="false" ht="18.75" hidden="false" customHeight="true" outlineLevel="0" collapsed="false">
      <c r="A682" s="39" t="str">
        <f aca="false">B682&amp;"-"&amp;C682</f>
        <v>XV - Arrendamiento de bienes inmuebles (uso o goce)-2</v>
      </c>
      <c r="B682" s="221" t="s">
        <v>1089</v>
      </c>
      <c r="C682" s="222" t="n">
        <v>2</v>
      </c>
      <c r="D682" s="39" t="s">
        <v>81</v>
      </c>
      <c r="E682" s="39" t="s">
        <v>1990</v>
      </c>
      <c r="F682" s="39" t="s">
        <v>1991</v>
      </c>
      <c r="G682" s="39" t="s">
        <v>1992</v>
      </c>
      <c r="H682" s="223" t="s">
        <v>1128</v>
      </c>
    </row>
    <row r="683" customFormat="false" ht="18.75" hidden="false" customHeight="true" outlineLevel="0" collapsed="false">
      <c r="A683" s="39" t="str">
        <f aca="false">B683&amp;"-"&amp;C683</f>
        <v>XV - Arrendamiento de bienes inmuebles (uso o goce)-3</v>
      </c>
      <c r="B683" s="221" t="s">
        <v>1089</v>
      </c>
      <c r="C683" s="222" t="n">
        <v>3</v>
      </c>
      <c r="D683" s="39" t="s">
        <v>83</v>
      </c>
      <c r="E683" s="39" t="s">
        <v>1993</v>
      </c>
      <c r="F683" s="39" t="s">
        <v>1994</v>
      </c>
      <c r="G683" s="39" t="s">
        <v>1995</v>
      </c>
      <c r="H683" s="223" t="s">
        <v>1128</v>
      </c>
    </row>
    <row r="684" customFormat="false" ht="18.75" hidden="false" customHeight="true" outlineLevel="0" collapsed="false">
      <c r="A684" s="39" t="str">
        <f aca="false">B684&amp;"-"&amp;C684</f>
        <v>XV - Arrendamiento de bienes inmuebles (uso o goce)-4</v>
      </c>
      <c r="B684" s="221" t="s">
        <v>1089</v>
      </c>
      <c r="C684" s="222" t="n">
        <v>4</v>
      </c>
      <c r="D684" s="39" t="s">
        <v>85</v>
      </c>
      <c r="E684" s="39" t="s">
        <v>1996</v>
      </c>
      <c r="F684" s="39" t="s">
        <v>1133</v>
      </c>
      <c r="G684" s="39" t="s">
        <v>1134</v>
      </c>
      <c r="H684" s="223" t="s">
        <v>1128</v>
      </c>
    </row>
    <row r="685" customFormat="false" ht="18.75" hidden="false" customHeight="true" outlineLevel="0" collapsed="false">
      <c r="A685" s="39" t="str">
        <f aca="false">B685&amp;"-"&amp;C685</f>
        <v>XV - Arrendamiento de bienes inmuebles (uso o goce)-5</v>
      </c>
      <c r="B685" s="221" t="s">
        <v>1089</v>
      </c>
      <c r="C685" s="222" t="n">
        <v>5</v>
      </c>
      <c r="D685" s="39" t="s">
        <v>88</v>
      </c>
      <c r="E685" s="39" t="s">
        <v>1997</v>
      </c>
      <c r="F685" s="39" t="s">
        <v>1136</v>
      </c>
      <c r="G685" s="39" t="s">
        <v>1137</v>
      </c>
      <c r="H685" s="223" t="s">
        <v>1138</v>
      </c>
    </row>
    <row r="686" customFormat="false" ht="18.75" hidden="false" customHeight="true" outlineLevel="0" collapsed="false">
      <c r="A686" s="39" t="str">
        <f aca="false">B686&amp;"-"&amp;C686</f>
        <v>XV - Arrendamiento de bienes inmuebles (uso o goce)-6</v>
      </c>
      <c r="B686" s="221" t="s">
        <v>1089</v>
      </c>
      <c r="C686" s="222" t="n">
        <v>6</v>
      </c>
      <c r="D686" s="39" t="s">
        <v>91</v>
      </c>
      <c r="E686" s="39" t="s">
        <v>1998</v>
      </c>
      <c r="F686" s="39" t="s">
        <v>1999</v>
      </c>
      <c r="G686" s="39" t="s">
        <v>2000</v>
      </c>
      <c r="H686" s="223" t="s">
        <v>1138</v>
      </c>
    </row>
    <row r="687" customFormat="false" ht="18.75" hidden="false" customHeight="true" outlineLevel="0" collapsed="false">
      <c r="A687" s="39" t="str">
        <f aca="false">B687&amp;"-"&amp;C687</f>
        <v>XV - Arrendamiento de bienes inmuebles (uso o goce)-7</v>
      </c>
      <c r="B687" s="221" t="s">
        <v>1089</v>
      </c>
      <c r="C687" s="222" t="n">
        <v>7</v>
      </c>
      <c r="D687" s="39" t="s">
        <v>94</v>
      </c>
      <c r="E687" s="39" t="s">
        <v>1142</v>
      </c>
      <c r="F687" s="39" t="s">
        <v>1143</v>
      </c>
      <c r="G687" s="39" t="s">
        <v>1144</v>
      </c>
      <c r="H687" s="223" t="s">
        <v>1138</v>
      </c>
    </row>
    <row r="688" customFormat="false" ht="18.75" hidden="false" customHeight="true" outlineLevel="0" collapsed="false">
      <c r="A688" s="39" t="str">
        <f aca="false">B688&amp;"-"&amp;C688</f>
        <v>XV - Arrendamiento de bienes inmuebles (uso o goce)-8</v>
      </c>
      <c r="B688" s="221" t="s">
        <v>1089</v>
      </c>
      <c r="C688" s="222" t="n">
        <v>8</v>
      </c>
      <c r="D688" s="39" t="s">
        <v>96</v>
      </c>
      <c r="E688" s="39" t="s">
        <v>2001</v>
      </c>
      <c r="F688" s="39" t="s">
        <v>1146</v>
      </c>
      <c r="G688" s="39" t="s">
        <v>1147</v>
      </c>
      <c r="H688" s="223" t="s">
        <v>1138</v>
      </c>
    </row>
    <row r="689" customFormat="false" ht="18.75" hidden="false" customHeight="true" outlineLevel="0" collapsed="false">
      <c r="A689" s="39" t="str">
        <f aca="false">B689&amp;"-"&amp;C689</f>
        <v>XV - Arrendamiento de bienes inmuebles (uso o goce)-9</v>
      </c>
      <c r="B689" s="221" t="s">
        <v>1089</v>
      </c>
      <c r="C689" s="222" t="n">
        <v>9</v>
      </c>
      <c r="D689" s="39" t="s">
        <v>98</v>
      </c>
      <c r="E689" s="39" t="s">
        <v>1148</v>
      </c>
      <c r="F689" s="39" t="s">
        <v>1149</v>
      </c>
      <c r="G689" s="39" t="s">
        <v>1150</v>
      </c>
      <c r="H689" s="223" t="s">
        <v>1138</v>
      </c>
    </row>
    <row r="690" customFormat="false" ht="18.75" hidden="false" customHeight="true" outlineLevel="0" collapsed="false">
      <c r="A690" s="39" t="str">
        <f aca="false">B690&amp;"-"&amp;C690</f>
        <v>XV - Arrendamiento de bienes inmuebles (uso o goce)-10</v>
      </c>
      <c r="B690" s="221" t="s">
        <v>1089</v>
      </c>
      <c r="C690" s="222" t="n">
        <v>10</v>
      </c>
      <c r="D690" s="39" t="s">
        <v>100</v>
      </c>
      <c r="E690" s="39" t="s">
        <v>1151</v>
      </c>
      <c r="F690" s="39" t="s">
        <v>1152</v>
      </c>
      <c r="G690" s="39" t="s">
        <v>1153</v>
      </c>
      <c r="H690" s="223" t="s">
        <v>1138</v>
      </c>
    </row>
    <row r="691" customFormat="false" ht="18.75" hidden="false" customHeight="true" outlineLevel="0" collapsed="false">
      <c r="A691" s="39" t="str">
        <f aca="false">B691&amp;"-"&amp;C691</f>
        <v>XV - Arrendamiento de bienes inmuebles (uso o goce)-11</v>
      </c>
      <c r="B691" s="221" t="s">
        <v>1089</v>
      </c>
      <c r="C691" s="222" t="n">
        <v>11</v>
      </c>
      <c r="D691" s="39" t="s">
        <v>102</v>
      </c>
      <c r="E691" s="39" t="s">
        <v>1154</v>
      </c>
      <c r="F691" s="39" t="s">
        <v>1155</v>
      </c>
      <c r="G691" s="39" t="s">
        <v>1156</v>
      </c>
      <c r="H691" s="223" t="s">
        <v>1138</v>
      </c>
    </row>
    <row r="692" customFormat="false" ht="18.75" hidden="false" customHeight="true" outlineLevel="0" collapsed="false">
      <c r="A692" s="39" t="str">
        <f aca="false">B692&amp;"-"&amp;C692</f>
        <v>XV - Arrendamiento de bienes inmuebles (uso o goce)-12</v>
      </c>
      <c r="B692" s="221" t="s">
        <v>1089</v>
      </c>
      <c r="C692" s="222" t="n">
        <v>12</v>
      </c>
      <c r="D692" s="39" t="s">
        <v>105</v>
      </c>
      <c r="E692" s="39" t="s">
        <v>1157</v>
      </c>
      <c r="F692" s="39" t="s">
        <v>1158</v>
      </c>
      <c r="G692" s="39" t="s">
        <v>1159</v>
      </c>
      <c r="H692" s="223" t="s">
        <v>1138</v>
      </c>
    </row>
    <row r="693" customFormat="false" ht="18.75" hidden="false" customHeight="true" outlineLevel="0" collapsed="false">
      <c r="A693" s="39" t="str">
        <f aca="false">B693&amp;"-"&amp;C693</f>
        <v>XV - Arrendamiento de bienes inmuebles (uso o goce)-13</v>
      </c>
      <c r="B693" s="221" t="s">
        <v>1089</v>
      </c>
      <c r="C693" s="222" t="n">
        <v>13</v>
      </c>
      <c r="D693" s="39" t="s">
        <v>107</v>
      </c>
      <c r="E693" s="39" t="s">
        <v>2002</v>
      </c>
      <c r="F693" s="39" t="s">
        <v>1161</v>
      </c>
      <c r="G693" s="39" t="s">
        <v>2003</v>
      </c>
      <c r="H693" s="223" t="s">
        <v>1124</v>
      </c>
    </row>
    <row r="694" customFormat="false" ht="18.75" hidden="false" customHeight="true" outlineLevel="0" collapsed="false">
      <c r="A694" s="39" t="str">
        <f aca="false">B694&amp;"-"&amp;C694</f>
        <v>XV - Arrendamiento de bienes inmuebles (uso o goce)-14</v>
      </c>
      <c r="B694" s="221" t="s">
        <v>1089</v>
      </c>
      <c r="C694" s="222" t="n">
        <v>14</v>
      </c>
      <c r="D694" s="39" t="s">
        <v>109</v>
      </c>
      <c r="E694" s="39" t="s">
        <v>2004</v>
      </c>
      <c r="F694" s="39" t="s">
        <v>2005</v>
      </c>
      <c r="G694" s="39" t="s">
        <v>2006</v>
      </c>
      <c r="H694" s="223" t="s">
        <v>1138</v>
      </c>
    </row>
    <row r="695" customFormat="false" ht="18.75" hidden="false" customHeight="true" outlineLevel="0" collapsed="false">
      <c r="A695" s="39" t="str">
        <f aca="false">B695&amp;"-"&amp;C695</f>
        <v>XV - Arrendamiento de bienes inmuebles (uso o goce)-15</v>
      </c>
      <c r="B695" s="221" t="s">
        <v>1089</v>
      </c>
      <c r="C695" s="222" t="n">
        <v>15</v>
      </c>
      <c r="D695" s="39" t="s">
        <v>112</v>
      </c>
      <c r="E695" s="39" t="s">
        <v>2007</v>
      </c>
      <c r="F695" s="39" t="s">
        <v>2008</v>
      </c>
      <c r="G695" s="39" t="s">
        <v>2009</v>
      </c>
      <c r="H695" s="223" t="s">
        <v>1138</v>
      </c>
    </row>
    <row r="696" customFormat="false" ht="18.75" hidden="false" customHeight="true" outlineLevel="0" collapsed="false">
      <c r="A696" s="39" t="str">
        <f aca="false">B696&amp;"-"&amp;C696</f>
        <v>XV - Arrendamiento de bienes inmuebles (uso o goce)-16</v>
      </c>
      <c r="B696" s="221" t="s">
        <v>1089</v>
      </c>
      <c r="C696" s="222" t="n">
        <v>16</v>
      </c>
      <c r="D696" s="39" t="s">
        <v>114</v>
      </c>
      <c r="E696" s="39" t="s">
        <v>1169</v>
      </c>
      <c r="F696" s="39" t="s">
        <v>1170</v>
      </c>
      <c r="G696" s="39" t="s">
        <v>1171</v>
      </c>
      <c r="H696" s="223" t="s">
        <v>1138</v>
      </c>
    </row>
    <row r="697" customFormat="false" ht="18.75" hidden="false" customHeight="true" outlineLevel="0" collapsed="false">
      <c r="A697" s="39" t="str">
        <f aca="false">B697&amp;"-"&amp;C697</f>
        <v>XV - Arrendamiento de bienes inmuebles (uso o goce)-17</v>
      </c>
      <c r="B697" s="221" t="s">
        <v>1089</v>
      </c>
      <c r="C697" s="222" t="n">
        <v>17</v>
      </c>
      <c r="D697" s="39" t="s">
        <v>116</v>
      </c>
      <c r="E697" s="39" t="s">
        <v>2010</v>
      </c>
      <c r="F697" s="39" t="s">
        <v>1173</v>
      </c>
      <c r="G697" s="39" t="s">
        <v>2011</v>
      </c>
      <c r="H697" s="223" t="s">
        <v>1124</v>
      </c>
    </row>
    <row r="698" customFormat="false" ht="18.75" hidden="false" customHeight="true" outlineLevel="0" collapsed="false">
      <c r="A698" s="39" t="str">
        <f aca="false">B698&amp;"-"&amp;C698</f>
        <v>XV - Arrendamiento de bienes inmuebles (uso o goce)-18</v>
      </c>
      <c r="B698" s="221" t="s">
        <v>1089</v>
      </c>
      <c r="C698" s="222" t="n">
        <v>18</v>
      </c>
      <c r="D698" s="39" t="s">
        <v>119</v>
      </c>
      <c r="E698" s="39" t="s">
        <v>1175</v>
      </c>
      <c r="F698" s="39" t="s">
        <v>1176</v>
      </c>
      <c r="G698" s="39" t="s">
        <v>2012</v>
      </c>
      <c r="H698" s="223" t="s">
        <v>1138</v>
      </c>
    </row>
    <row r="699" customFormat="false" ht="18.75" hidden="false" customHeight="true" outlineLevel="0" collapsed="false">
      <c r="A699" s="39" t="str">
        <f aca="false">B699&amp;"-"&amp;C699</f>
        <v>XV - Arrendamiento de bienes inmuebles (uso o goce)-19</v>
      </c>
      <c r="B699" s="221" t="s">
        <v>1089</v>
      </c>
      <c r="C699" s="222" t="n">
        <v>19</v>
      </c>
      <c r="D699" s="39" t="s">
        <v>122</v>
      </c>
      <c r="E699" s="39" t="s">
        <v>1178</v>
      </c>
      <c r="F699" s="39" t="s">
        <v>1179</v>
      </c>
      <c r="G699" s="39" t="s">
        <v>1180</v>
      </c>
      <c r="H699" s="223" t="s">
        <v>1138</v>
      </c>
    </row>
    <row r="700" customFormat="false" ht="18.75" hidden="false" customHeight="true" outlineLevel="0" collapsed="false">
      <c r="A700" s="39" t="str">
        <f aca="false">B700&amp;"-"&amp;C700</f>
        <v>XV - Arrendamiento de bienes inmuebles (uso o goce)-20</v>
      </c>
      <c r="B700" s="221" t="s">
        <v>1089</v>
      </c>
      <c r="C700" s="222" t="n">
        <v>20</v>
      </c>
      <c r="D700" s="39" t="s">
        <v>124</v>
      </c>
      <c r="E700" s="39" t="s">
        <v>2013</v>
      </c>
      <c r="F700" s="39" t="s">
        <v>2014</v>
      </c>
      <c r="G700" s="39" t="s">
        <v>2015</v>
      </c>
      <c r="H700" s="223" t="s">
        <v>1124</v>
      </c>
    </row>
    <row r="701" customFormat="false" ht="18.75" hidden="false" customHeight="true" outlineLevel="0" collapsed="false">
      <c r="A701" s="39" t="str">
        <f aca="false">B701&amp;"-"&amp;C701</f>
        <v>XV - Arrendamiento de bienes inmuebles (uso o goce)-21</v>
      </c>
      <c r="B701" s="221" t="s">
        <v>1089</v>
      </c>
      <c r="C701" s="222" t="n">
        <v>21</v>
      </c>
      <c r="D701" s="39" t="s">
        <v>126</v>
      </c>
      <c r="E701" s="39" t="s">
        <v>2016</v>
      </c>
      <c r="F701" s="39" t="s">
        <v>2017</v>
      </c>
      <c r="G701" s="39" t="s">
        <v>2018</v>
      </c>
      <c r="H701" s="223" t="s">
        <v>1124</v>
      </c>
    </row>
    <row r="702" customFormat="false" ht="18.75" hidden="false" customHeight="true" outlineLevel="0" collapsed="false">
      <c r="A702" s="39" t="str">
        <f aca="false">B702&amp;"-"&amp;C702</f>
        <v>XV - Arrendamiento de bienes inmuebles (uso o goce)-22</v>
      </c>
      <c r="B702" s="221" t="s">
        <v>1089</v>
      </c>
      <c r="C702" s="222" t="n">
        <v>22</v>
      </c>
      <c r="D702" s="39" t="s">
        <v>128</v>
      </c>
      <c r="E702" s="39" t="s">
        <v>2019</v>
      </c>
      <c r="F702" s="39" t="s">
        <v>2020</v>
      </c>
      <c r="G702" s="39" t="s">
        <v>2021</v>
      </c>
      <c r="H702" s="223" t="s">
        <v>1138</v>
      </c>
    </row>
    <row r="703" customFormat="false" ht="18.75" hidden="false" customHeight="true" outlineLevel="0" collapsed="false">
      <c r="A703" s="39" t="str">
        <f aca="false">B703&amp;"-"&amp;C703</f>
        <v>XV - Arrendamiento de bienes inmuebles (uso o goce)-23</v>
      </c>
      <c r="B703" s="221" t="s">
        <v>1089</v>
      </c>
      <c r="C703" s="222" t="n">
        <v>23</v>
      </c>
      <c r="D703" s="39" t="s">
        <v>131</v>
      </c>
      <c r="E703" s="39" t="s">
        <v>1190</v>
      </c>
      <c r="F703" s="39" t="s">
        <v>1191</v>
      </c>
      <c r="G703" s="39" t="s">
        <v>1192</v>
      </c>
      <c r="H703" s="223" t="s">
        <v>1128</v>
      </c>
    </row>
    <row r="704" customFormat="false" ht="18.75" hidden="false" customHeight="true" outlineLevel="0" collapsed="false">
      <c r="A704" s="39" t="str">
        <f aca="false">B704&amp;"-"&amp;C704</f>
        <v>XV - Arrendamiento de bienes inmuebles (uso o goce)-24</v>
      </c>
      <c r="B704" s="221" t="s">
        <v>1089</v>
      </c>
      <c r="C704" s="222" t="n">
        <v>24</v>
      </c>
      <c r="D704" s="39" t="s">
        <v>133</v>
      </c>
      <c r="E704" s="39" t="s">
        <v>2022</v>
      </c>
      <c r="F704" s="39" t="s">
        <v>1194</v>
      </c>
      <c r="G704" s="39" t="s">
        <v>2023</v>
      </c>
      <c r="H704" s="223" t="s">
        <v>1128</v>
      </c>
    </row>
    <row r="705" customFormat="false" ht="18.75" hidden="false" customHeight="true" outlineLevel="0" collapsed="false">
      <c r="A705" s="39" t="str">
        <f aca="false">B705&amp;"-"&amp;C705</f>
        <v>XV - Arrendamiento de bienes inmuebles (uso o goce)-25</v>
      </c>
      <c r="B705" s="221" t="s">
        <v>1089</v>
      </c>
      <c r="C705" s="222" t="n">
        <v>25</v>
      </c>
      <c r="D705" s="39" t="s">
        <v>135</v>
      </c>
      <c r="E705" s="39" t="s">
        <v>2024</v>
      </c>
      <c r="F705" s="39" t="s">
        <v>1197</v>
      </c>
      <c r="G705" s="39" t="s">
        <v>1198</v>
      </c>
      <c r="H705" s="223" t="s">
        <v>1128</v>
      </c>
    </row>
    <row r="706" customFormat="false" ht="18.75" hidden="false" customHeight="true" outlineLevel="0" collapsed="false">
      <c r="A706" s="39" t="str">
        <f aca="false">B706&amp;"-"&amp;C706</f>
        <v>XVI - Activos virtuales (PSAV): operación de intercambio/transferencia-1</v>
      </c>
      <c r="B706" s="221" t="s">
        <v>1098</v>
      </c>
      <c r="C706" s="222" t="n">
        <v>1</v>
      </c>
      <c r="D706" s="39" t="s">
        <v>77</v>
      </c>
      <c r="E706" s="39" t="s">
        <v>2025</v>
      </c>
      <c r="F706" s="39" t="s">
        <v>2026</v>
      </c>
      <c r="G706" s="39" t="s">
        <v>2027</v>
      </c>
      <c r="H706" s="223" t="s">
        <v>1124</v>
      </c>
    </row>
    <row r="707" customFormat="false" ht="18.75" hidden="false" customHeight="true" outlineLevel="0" collapsed="false">
      <c r="A707" s="39" t="str">
        <f aca="false">B707&amp;"-"&amp;C707</f>
        <v>XVI - Activos virtuales (PSAV): operación de intercambio/transferencia-2</v>
      </c>
      <c r="B707" s="221" t="s">
        <v>1098</v>
      </c>
      <c r="C707" s="222" t="n">
        <v>2</v>
      </c>
      <c r="D707" s="39" t="s">
        <v>81</v>
      </c>
      <c r="E707" s="39" t="s">
        <v>2028</v>
      </c>
      <c r="F707" s="39" t="s">
        <v>2029</v>
      </c>
      <c r="G707" s="39" t="s">
        <v>2030</v>
      </c>
      <c r="H707" s="223" t="s">
        <v>1128</v>
      </c>
    </row>
    <row r="708" customFormat="false" ht="18.75" hidden="false" customHeight="true" outlineLevel="0" collapsed="false">
      <c r="A708" s="39" t="str">
        <f aca="false">B708&amp;"-"&amp;C708</f>
        <v>XVI - Activos virtuales (PSAV): operación de intercambio/transferencia-3</v>
      </c>
      <c r="B708" s="221" t="s">
        <v>1098</v>
      </c>
      <c r="C708" s="222" t="n">
        <v>3</v>
      </c>
      <c r="D708" s="39" t="s">
        <v>83</v>
      </c>
      <c r="E708" s="39" t="s">
        <v>2031</v>
      </c>
      <c r="F708" s="39" t="s">
        <v>2032</v>
      </c>
      <c r="G708" s="39" t="s">
        <v>2033</v>
      </c>
      <c r="H708" s="223" t="s">
        <v>1128</v>
      </c>
    </row>
    <row r="709" customFormat="false" ht="18.75" hidden="false" customHeight="true" outlineLevel="0" collapsed="false">
      <c r="A709" s="39" t="str">
        <f aca="false">B709&amp;"-"&amp;C709</f>
        <v>XVI - Activos virtuales (PSAV): operación de intercambio/transferencia-4</v>
      </c>
      <c r="B709" s="221" t="s">
        <v>1098</v>
      </c>
      <c r="C709" s="222" t="n">
        <v>4</v>
      </c>
      <c r="D709" s="39" t="s">
        <v>85</v>
      </c>
      <c r="E709" s="39" t="s">
        <v>2034</v>
      </c>
      <c r="F709" s="39" t="s">
        <v>1133</v>
      </c>
      <c r="G709" s="39" t="s">
        <v>1134</v>
      </c>
      <c r="H709" s="223" t="s">
        <v>1128</v>
      </c>
    </row>
    <row r="710" customFormat="false" ht="18.75" hidden="false" customHeight="true" outlineLevel="0" collapsed="false">
      <c r="A710" s="39" t="str">
        <f aca="false">B710&amp;"-"&amp;C710</f>
        <v>XVI - Activos virtuales (PSAV): operación de intercambio/transferencia-5</v>
      </c>
      <c r="B710" s="221" t="s">
        <v>1098</v>
      </c>
      <c r="C710" s="222" t="n">
        <v>5</v>
      </c>
      <c r="D710" s="39" t="s">
        <v>88</v>
      </c>
      <c r="E710" s="39" t="s">
        <v>2035</v>
      </c>
      <c r="F710" s="39" t="s">
        <v>1136</v>
      </c>
      <c r="G710" s="39" t="s">
        <v>1137</v>
      </c>
      <c r="H710" s="223" t="s">
        <v>1138</v>
      </c>
    </row>
    <row r="711" customFormat="false" ht="18.75" hidden="false" customHeight="true" outlineLevel="0" collapsed="false">
      <c r="A711" s="39" t="str">
        <f aca="false">B711&amp;"-"&amp;C711</f>
        <v>XVI - Activos virtuales (PSAV): operación de intercambio/transferencia-6</v>
      </c>
      <c r="B711" s="221" t="s">
        <v>1098</v>
      </c>
      <c r="C711" s="222" t="n">
        <v>6</v>
      </c>
      <c r="D711" s="39" t="s">
        <v>91</v>
      </c>
      <c r="E711" s="39" t="s">
        <v>2036</v>
      </c>
      <c r="F711" s="39" t="s">
        <v>1552</v>
      </c>
      <c r="G711" s="39" t="s">
        <v>2037</v>
      </c>
      <c r="H711" s="223" t="s">
        <v>1138</v>
      </c>
    </row>
    <row r="712" customFormat="false" ht="18.75" hidden="false" customHeight="true" outlineLevel="0" collapsed="false">
      <c r="A712" s="39" t="str">
        <f aca="false">B712&amp;"-"&amp;C712</f>
        <v>XVI - Activos virtuales (PSAV): operación de intercambio/transferencia-7</v>
      </c>
      <c r="B712" s="221" t="s">
        <v>1098</v>
      </c>
      <c r="C712" s="222" t="n">
        <v>7</v>
      </c>
      <c r="D712" s="39" t="s">
        <v>94</v>
      </c>
      <c r="E712" s="39" t="s">
        <v>1142</v>
      </c>
      <c r="F712" s="39" t="s">
        <v>1143</v>
      </c>
      <c r="G712" s="39" t="s">
        <v>1144</v>
      </c>
      <c r="H712" s="223" t="s">
        <v>1138</v>
      </c>
    </row>
    <row r="713" customFormat="false" ht="18.75" hidden="false" customHeight="true" outlineLevel="0" collapsed="false">
      <c r="A713" s="39" t="str">
        <f aca="false">B713&amp;"-"&amp;C713</f>
        <v>XVI - Activos virtuales (PSAV): operación de intercambio/transferencia-8</v>
      </c>
      <c r="B713" s="221" t="s">
        <v>1098</v>
      </c>
      <c r="C713" s="222" t="n">
        <v>8</v>
      </c>
      <c r="D713" s="39" t="s">
        <v>96</v>
      </c>
      <c r="E713" s="39" t="s">
        <v>2038</v>
      </c>
      <c r="F713" s="39" t="s">
        <v>1146</v>
      </c>
      <c r="G713" s="39" t="s">
        <v>1147</v>
      </c>
      <c r="H713" s="223" t="s">
        <v>1138</v>
      </c>
    </row>
    <row r="714" customFormat="false" ht="18.75" hidden="false" customHeight="true" outlineLevel="0" collapsed="false">
      <c r="A714" s="39" t="str">
        <f aca="false">B714&amp;"-"&amp;C714</f>
        <v>XVI - Activos virtuales (PSAV): operación de intercambio/transferencia-9</v>
      </c>
      <c r="B714" s="221" t="s">
        <v>1098</v>
      </c>
      <c r="C714" s="222" t="n">
        <v>9</v>
      </c>
      <c r="D714" s="39" t="s">
        <v>98</v>
      </c>
      <c r="E714" s="39" t="s">
        <v>1148</v>
      </c>
      <c r="F714" s="39" t="s">
        <v>1149</v>
      </c>
      <c r="G714" s="39" t="s">
        <v>1150</v>
      </c>
      <c r="H714" s="223" t="s">
        <v>1138</v>
      </c>
    </row>
    <row r="715" customFormat="false" ht="18.75" hidden="false" customHeight="true" outlineLevel="0" collapsed="false">
      <c r="A715" s="39" t="str">
        <f aca="false">B715&amp;"-"&amp;C715</f>
        <v>XVI - Activos virtuales (PSAV): operación de intercambio/transferencia-10</v>
      </c>
      <c r="B715" s="221" t="s">
        <v>1098</v>
      </c>
      <c r="C715" s="222" t="n">
        <v>10</v>
      </c>
      <c r="D715" s="39" t="s">
        <v>100</v>
      </c>
      <c r="E715" s="39" t="s">
        <v>1151</v>
      </c>
      <c r="F715" s="39" t="s">
        <v>1152</v>
      </c>
      <c r="G715" s="39" t="s">
        <v>1153</v>
      </c>
      <c r="H715" s="223" t="s">
        <v>1138</v>
      </c>
    </row>
    <row r="716" customFormat="false" ht="18.75" hidden="false" customHeight="true" outlineLevel="0" collapsed="false">
      <c r="A716" s="39" t="str">
        <f aca="false">B716&amp;"-"&amp;C716</f>
        <v>XVI - Activos virtuales (PSAV): operación de intercambio/transferencia-11</v>
      </c>
      <c r="B716" s="221" t="s">
        <v>1098</v>
      </c>
      <c r="C716" s="222" t="n">
        <v>11</v>
      </c>
      <c r="D716" s="39" t="s">
        <v>102</v>
      </c>
      <c r="E716" s="39" t="s">
        <v>1154</v>
      </c>
      <c r="F716" s="39" t="s">
        <v>1155</v>
      </c>
      <c r="G716" s="39" t="s">
        <v>1156</v>
      </c>
      <c r="H716" s="223" t="s">
        <v>1138</v>
      </c>
    </row>
    <row r="717" customFormat="false" ht="18.75" hidden="false" customHeight="true" outlineLevel="0" collapsed="false">
      <c r="A717" s="39" t="str">
        <f aca="false">B717&amp;"-"&amp;C717</f>
        <v>XVI - Activos virtuales (PSAV): operación de intercambio/transferencia-12</v>
      </c>
      <c r="B717" s="221" t="s">
        <v>1098</v>
      </c>
      <c r="C717" s="222" t="n">
        <v>12</v>
      </c>
      <c r="D717" s="39" t="s">
        <v>105</v>
      </c>
      <c r="E717" s="39" t="s">
        <v>1157</v>
      </c>
      <c r="F717" s="39" t="s">
        <v>1158</v>
      </c>
      <c r="G717" s="39" t="s">
        <v>1159</v>
      </c>
      <c r="H717" s="223" t="s">
        <v>1138</v>
      </c>
    </row>
    <row r="718" customFormat="false" ht="18.75" hidden="false" customHeight="true" outlineLevel="0" collapsed="false">
      <c r="A718" s="39" t="str">
        <f aca="false">B718&amp;"-"&amp;C718</f>
        <v>XVI - Activos virtuales (PSAV): operación de intercambio/transferencia-13</v>
      </c>
      <c r="B718" s="221" t="s">
        <v>1098</v>
      </c>
      <c r="C718" s="222" t="n">
        <v>13</v>
      </c>
      <c r="D718" s="39" t="s">
        <v>107</v>
      </c>
      <c r="E718" s="39" t="s">
        <v>2039</v>
      </c>
      <c r="F718" s="39" t="s">
        <v>1161</v>
      </c>
      <c r="G718" s="39" t="s">
        <v>2040</v>
      </c>
      <c r="H718" s="223" t="s">
        <v>1124</v>
      </c>
    </row>
    <row r="719" customFormat="false" ht="18.75" hidden="false" customHeight="true" outlineLevel="0" collapsed="false">
      <c r="A719" s="39" t="str">
        <f aca="false">B719&amp;"-"&amp;C719</f>
        <v>XVI - Activos virtuales (PSAV): operación de intercambio/transferencia-14</v>
      </c>
      <c r="B719" s="221" t="s">
        <v>1098</v>
      </c>
      <c r="C719" s="222" t="n">
        <v>14</v>
      </c>
      <c r="D719" s="39" t="s">
        <v>109</v>
      </c>
      <c r="E719" s="39" t="s">
        <v>2041</v>
      </c>
      <c r="F719" s="39" t="s">
        <v>2042</v>
      </c>
      <c r="G719" s="39" t="s">
        <v>2043</v>
      </c>
      <c r="H719" s="223" t="s">
        <v>1138</v>
      </c>
    </row>
    <row r="720" customFormat="false" ht="18.75" hidden="false" customHeight="true" outlineLevel="0" collapsed="false">
      <c r="A720" s="39" t="str">
        <f aca="false">B720&amp;"-"&amp;C720</f>
        <v>XVI - Activos virtuales (PSAV): operación de intercambio/transferencia-15</v>
      </c>
      <c r="B720" s="221" t="s">
        <v>1098</v>
      </c>
      <c r="C720" s="222" t="n">
        <v>15</v>
      </c>
      <c r="D720" s="39" t="s">
        <v>112</v>
      </c>
      <c r="E720" s="39" t="s">
        <v>2044</v>
      </c>
      <c r="F720" s="39" t="s">
        <v>2045</v>
      </c>
      <c r="G720" s="39" t="s">
        <v>2046</v>
      </c>
      <c r="H720" s="223" t="s">
        <v>1138</v>
      </c>
    </row>
    <row r="721" customFormat="false" ht="18.75" hidden="false" customHeight="true" outlineLevel="0" collapsed="false">
      <c r="A721" s="39" t="str">
        <f aca="false">B721&amp;"-"&amp;C721</f>
        <v>XVI - Activos virtuales (PSAV): operación de intercambio/transferencia-16</v>
      </c>
      <c r="B721" s="221" t="s">
        <v>1098</v>
      </c>
      <c r="C721" s="222" t="n">
        <v>16</v>
      </c>
      <c r="D721" s="39" t="s">
        <v>114</v>
      </c>
      <c r="E721" s="39" t="s">
        <v>1169</v>
      </c>
      <c r="F721" s="39" t="s">
        <v>1170</v>
      </c>
      <c r="G721" s="39" t="s">
        <v>1171</v>
      </c>
      <c r="H721" s="223" t="s">
        <v>1138</v>
      </c>
    </row>
    <row r="722" customFormat="false" ht="18.75" hidden="false" customHeight="true" outlineLevel="0" collapsed="false">
      <c r="A722" s="39" t="str">
        <f aca="false">B722&amp;"-"&amp;C722</f>
        <v>XVI - Activos virtuales (PSAV): operación de intercambio/transferencia-17</v>
      </c>
      <c r="B722" s="221" t="s">
        <v>1098</v>
      </c>
      <c r="C722" s="222" t="n">
        <v>17</v>
      </c>
      <c r="D722" s="39" t="s">
        <v>116</v>
      </c>
      <c r="E722" s="39" t="s">
        <v>2047</v>
      </c>
      <c r="F722" s="39" t="s">
        <v>1173</v>
      </c>
      <c r="G722" s="39" t="s">
        <v>2048</v>
      </c>
      <c r="H722" s="223" t="s">
        <v>1124</v>
      </c>
    </row>
    <row r="723" customFormat="false" ht="18.75" hidden="false" customHeight="true" outlineLevel="0" collapsed="false">
      <c r="A723" s="39" t="str">
        <f aca="false">B723&amp;"-"&amp;C723</f>
        <v>XVI - Activos virtuales (PSAV): operación de intercambio/transferencia-18</v>
      </c>
      <c r="B723" s="221" t="s">
        <v>1098</v>
      </c>
      <c r="C723" s="222" t="n">
        <v>18</v>
      </c>
      <c r="D723" s="39" t="s">
        <v>119</v>
      </c>
      <c r="E723" s="39" t="s">
        <v>1175</v>
      </c>
      <c r="F723" s="39" t="s">
        <v>1176</v>
      </c>
      <c r="G723" s="39" t="s">
        <v>2049</v>
      </c>
      <c r="H723" s="223" t="s">
        <v>1138</v>
      </c>
    </row>
    <row r="724" customFormat="false" ht="18.75" hidden="false" customHeight="true" outlineLevel="0" collapsed="false">
      <c r="A724" s="39" t="str">
        <f aca="false">B724&amp;"-"&amp;C724</f>
        <v>XVI - Activos virtuales (PSAV): operación de intercambio/transferencia-19</v>
      </c>
      <c r="B724" s="221" t="s">
        <v>1098</v>
      </c>
      <c r="C724" s="222" t="n">
        <v>19</v>
      </c>
      <c r="D724" s="39" t="s">
        <v>122</v>
      </c>
      <c r="E724" s="39" t="s">
        <v>1178</v>
      </c>
      <c r="F724" s="39" t="s">
        <v>1179</v>
      </c>
      <c r="G724" s="39" t="s">
        <v>1180</v>
      </c>
      <c r="H724" s="223" t="s">
        <v>1138</v>
      </c>
    </row>
    <row r="725" customFormat="false" ht="18.75" hidden="false" customHeight="true" outlineLevel="0" collapsed="false">
      <c r="A725" s="39" t="str">
        <f aca="false">B725&amp;"-"&amp;C725</f>
        <v>XVI - Activos virtuales (PSAV): operación de intercambio/transferencia-20</v>
      </c>
      <c r="B725" s="221" t="s">
        <v>1098</v>
      </c>
      <c r="C725" s="222" t="n">
        <v>20</v>
      </c>
      <c r="D725" s="39" t="s">
        <v>124</v>
      </c>
      <c r="E725" s="39" t="s">
        <v>2050</v>
      </c>
      <c r="F725" s="39" t="s">
        <v>2051</v>
      </c>
      <c r="G725" s="39" t="s">
        <v>2052</v>
      </c>
      <c r="H725" s="223" t="s">
        <v>1124</v>
      </c>
    </row>
    <row r="726" customFormat="false" ht="18.75" hidden="false" customHeight="true" outlineLevel="0" collapsed="false">
      <c r="A726" s="39" t="str">
        <f aca="false">B726&amp;"-"&amp;C726</f>
        <v>XVI - Activos virtuales (PSAV): operación de intercambio/transferencia-21</v>
      </c>
      <c r="B726" s="221" t="s">
        <v>1098</v>
      </c>
      <c r="C726" s="222" t="n">
        <v>21</v>
      </c>
      <c r="D726" s="39" t="s">
        <v>126</v>
      </c>
      <c r="E726" s="39" t="s">
        <v>2053</v>
      </c>
      <c r="F726" s="39" t="s">
        <v>2054</v>
      </c>
      <c r="G726" s="39" t="s">
        <v>2055</v>
      </c>
      <c r="H726" s="223" t="s">
        <v>1124</v>
      </c>
    </row>
    <row r="727" customFormat="false" ht="18.75" hidden="false" customHeight="true" outlineLevel="0" collapsed="false">
      <c r="A727" s="39" t="str">
        <f aca="false">B727&amp;"-"&amp;C727</f>
        <v>XVI - Activos virtuales (PSAV): operación de intercambio/transferencia-22</v>
      </c>
      <c r="B727" s="221" t="s">
        <v>1098</v>
      </c>
      <c r="C727" s="222" t="n">
        <v>22</v>
      </c>
      <c r="D727" s="39" t="s">
        <v>128</v>
      </c>
      <c r="E727" s="39" t="s">
        <v>1572</v>
      </c>
      <c r="F727" s="39" t="s">
        <v>1573</v>
      </c>
      <c r="G727" s="39" t="s">
        <v>1574</v>
      </c>
      <c r="H727" s="223" t="s">
        <v>1138</v>
      </c>
    </row>
    <row r="728" customFormat="false" ht="18.75" hidden="false" customHeight="true" outlineLevel="0" collapsed="false">
      <c r="A728" s="39" t="str">
        <f aca="false">B728&amp;"-"&amp;C728</f>
        <v>XVI - Activos virtuales (PSAV): operación de intercambio/transferencia-23</v>
      </c>
      <c r="B728" s="221" t="s">
        <v>1098</v>
      </c>
      <c r="C728" s="222" t="n">
        <v>23</v>
      </c>
      <c r="D728" s="39" t="s">
        <v>131</v>
      </c>
      <c r="E728" s="39" t="s">
        <v>1190</v>
      </c>
      <c r="F728" s="39" t="s">
        <v>1191</v>
      </c>
      <c r="G728" s="39" t="s">
        <v>1192</v>
      </c>
      <c r="H728" s="223" t="s">
        <v>1128</v>
      </c>
    </row>
    <row r="729" customFormat="false" ht="18.75" hidden="false" customHeight="true" outlineLevel="0" collapsed="false">
      <c r="A729" s="39" t="str">
        <f aca="false">B729&amp;"-"&amp;C729</f>
        <v>XVI - Activos virtuales (PSAV): operación de intercambio/transferencia-24</v>
      </c>
      <c r="B729" s="221" t="s">
        <v>1098</v>
      </c>
      <c r="C729" s="222" t="n">
        <v>24</v>
      </c>
      <c r="D729" s="39" t="s">
        <v>133</v>
      </c>
      <c r="E729" s="39" t="s">
        <v>2056</v>
      </c>
      <c r="F729" s="39" t="s">
        <v>1194</v>
      </c>
      <c r="G729" s="39" t="s">
        <v>2057</v>
      </c>
      <c r="H729" s="223" t="s">
        <v>1128</v>
      </c>
    </row>
    <row r="730" customFormat="false" ht="18.75" hidden="false" customHeight="true" outlineLevel="0" collapsed="false">
      <c r="A730" s="39" t="str">
        <f aca="false">B730&amp;"-"&amp;C730</f>
        <v>XVI - Activos virtuales (PSAV): operación de intercambio/transferencia-25</v>
      </c>
      <c r="B730" s="221" t="s">
        <v>1098</v>
      </c>
      <c r="C730" s="222" t="n">
        <v>25</v>
      </c>
      <c r="D730" s="39" t="s">
        <v>135</v>
      </c>
      <c r="E730" s="39" t="s">
        <v>2058</v>
      </c>
      <c r="F730" s="39" t="s">
        <v>1197</v>
      </c>
      <c r="G730" s="39" t="s">
        <v>1198</v>
      </c>
      <c r="H730" s="223" t="s">
        <v>1128</v>
      </c>
    </row>
    <row r="731" customFormat="false" ht="18.75" hidden="false" customHeight="true" outlineLevel="0" collapsed="false">
      <c r="A731" s="39" t="str">
        <f aca="false">B731&amp;"-"&amp;C731</f>
        <v>XVI - Activos virtuales (PSAV): cobro de contraprestación (comisión) por el servicio-1</v>
      </c>
      <c r="B731" s="221" t="s">
        <v>1106</v>
      </c>
      <c r="C731" s="222" t="n">
        <v>1</v>
      </c>
      <c r="D731" s="39" t="s">
        <v>77</v>
      </c>
      <c r="E731" s="39" t="s">
        <v>2059</v>
      </c>
      <c r="F731" s="39" t="s">
        <v>2060</v>
      </c>
      <c r="G731" s="39" t="s">
        <v>2061</v>
      </c>
      <c r="H731" s="223" t="s">
        <v>1124</v>
      </c>
    </row>
    <row r="732" customFormat="false" ht="18.75" hidden="false" customHeight="true" outlineLevel="0" collapsed="false">
      <c r="A732" s="39" t="str">
        <f aca="false">B732&amp;"-"&amp;C732</f>
        <v>XVI - Activos virtuales (PSAV): cobro de contraprestación (comisión) por el servicio-2</v>
      </c>
      <c r="B732" s="221" t="s">
        <v>1106</v>
      </c>
      <c r="C732" s="222" t="n">
        <v>2</v>
      </c>
      <c r="D732" s="39" t="s">
        <v>81</v>
      </c>
      <c r="E732" s="39" t="s">
        <v>2062</v>
      </c>
      <c r="F732" s="39" t="s">
        <v>2063</v>
      </c>
      <c r="G732" s="39" t="s">
        <v>2064</v>
      </c>
      <c r="H732" s="223" t="s">
        <v>1128</v>
      </c>
    </row>
    <row r="733" customFormat="false" ht="18.75" hidden="false" customHeight="true" outlineLevel="0" collapsed="false">
      <c r="A733" s="39" t="str">
        <f aca="false">B733&amp;"-"&amp;C733</f>
        <v>XVI - Activos virtuales (PSAV): cobro de contraprestación (comisión) por el servicio-3</v>
      </c>
      <c r="B733" s="221" t="s">
        <v>1106</v>
      </c>
      <c r="C733" s="222" t="n">
        <v>3</v>
      </c>
      <c r="D733" s="39" t="s">
        <v>83</v>
      </c>
      <c r="E733" s="39" t="s">
        <v>2065</v>
      </c>
      <c r="F733" s="39" t="s">
        <v>2032</v>
      </c>
      <c r="G733" s="39" t="s">
        <v>2033</v>
      </c>
      <c r="H733" s="223" t="s">
        <v>1128</v>
      </c>
    </row>
    <row r="734" customFormat="false" ht="18.75" hidden="false" customHeight="true" outlineLevel="0" collapsed="false">
      <c r="A734" s="39" t="str">
        <f aca="false">B734&amp;"-"&amp;C734</f>
        <v>XVI - Activos virtuales (PSAV): cobro de contraprestación (comisión) por el servicio-4</v>
      </c>
      <c r="B734" s="221" t="s">
        <v>1106</v>
      </c>
      <c r="C734" s="222" t="n">
        <v>4</v>
      </c>
      <c r="D734" s="39" t="s">
        <v>85</v>
      </c>
      <c r="E734" s="39" t="s">
        <v>2066</v>
      </c>
      <c r="F734" s="39" t="s">
        <v>1133</v>
      </c>
      <c r="G734" s="39" t="s">
        <v>1134</v>
      </c>
      <c r="H734" s="223" t="s">
        <v>1128</v>
      </c>
    </row>
    <row r="735" customFormat="false" ht="18.75" hidden="false" customHeight="true" outlineLevel="0" collapsed="false">
      <c r="A735" s="39" t="str">
        <f aca="false">B735&amp;"-"&amp;C735</f>
        <v>XVI - Activos virtuales (PSAV): cobro de contraprestación (comisión) por el servicio-5</v>
      </c>
      <c r="B735" s="221" t="s">
        <v>1106</v>
      </c>
      <c r="C735" s="222" t="n">
        <v>5</v>
      </c>
      <c r="D735" s="39" t="s">
        <v>88</v>
      </c>
      <c r="E735" s="39" t="s">
        <v>2035</v>
      </c>
      <c r="F735" s="39" t="s">
        <v>1136</v>
      </c>
      <c r="G735" s="39" t="s">
        <v>1137</v>
      </c>
      <c r="H735" s="223" t="s">
        <v>1138</v>
      </c>
    </row>
    <row r="736" customFormat="false" ht="18.75" hidden="false" customHeight="true" outlineLevel="0" collapsed="false">
      <c r="A736" s="39" t="str">
        <f aca="false">B736&amp;"-"&amp;C736</f>
        <v>XVI - Activos virtuales (PSAV): cobro de contraprestación (comisión) por el servicio-6</v>
      </c>
      <c r="B736" s="221" t="s">
        <v>1106</v>
      </c>
      <c r="C736" s="222" t="n">
        <v>6</v>
      </c>
      <c r="D736" s="39" t="s">
        <v>91</v>
      </c>
      <c r="E736" s="39" t="s">
        <v>2067</v>
      </c>
      <c r="F736" s="39" t="s">
        <v>1552</v>
      </c>
      <c r="G736" s="39" t="s">
        <v>2068</v>
      </c>
      <c r="H736" s="223" t="s">
        <v>1138</v>
      </c>
    </row>
    <row r="737" customFormat="false" ht="18.75" hidden="false" customHeight="true" outlineLevel="0" collapsed="false">
      <c r="A737" s="39" t="str">
        <f aca="false">B737&amp;"-"&amp;C737</f>
        <v>XVI - Activos virtuales (PSAV): cobro de contraprestación (comisión) por el servicio-7</v>
      </c>
      <c r="B737" s="221" t="s">
        <v>1106</v>
      </c>
      <c r="C737" s="222" t="n">
        <v>7</v>
      </c>
      <c r="D737" s="39" t="s">
        <v>94</v>
      </c>
      <c r="E737" s="39" t="s">
        <v>1142</v>
      </c>
      <c r="F737" s="39" t="s">
        <v>1143</v>
      </c>
      <c r="G737" s="39" t="s">
        <v>1144</v>
      </c>
      <c r="H737" s="223" t="s">
        <v>1138</v>
      </c>
    </row>
    <row r="738" customFormat="false" ht="18.75" hidden="false" customHeight="true" outlineLevel="0" collapsed="false">
      <c r="A738" s="39" t="str">
        <f aca="false">B738&amp;"-"&amp;C738</f>
        <v>XVI - Activos virtuales (PSAV): cobro de contraprestación (comisión) por el servicio-8</v>
      </c>
      <c r="B738" s="221" t="s">
        <v>1106</v>
      </c>
      <c r="C738" s="222" t="n">
        <v>8</v>
      </c>
      <c r="D738" s="39" t="s">
        <v>96</v>
      </c>
      <c r="E738" s="39" t="s">
        <v>2038</v>
      </c>
      <c r="F738" s="39" t="s">
        <v>1146</v>
      </c>
      <c r="G738" s="39" t="s">
        <v>1147</v>
      </c>
      <c r="H738" s="223" t="s">
        <v>1138</v>
      </c>
    </row>
    <row r="739" customFormat="false" ht="18.75" hidden="false" customHeight="true" outlineLevel="0" collapsed="false">
      <c r="A739" s="39" t="str">
        <f aca="false">B739&amp;"-"&amp;C739</f>
        <v>XVI - Activos virtuales (PSAV): cobro de contraprestación (comisión) por el servicio-9</v>
      </c>
      <c r="B739" s="221" t="s">
        <v>1106</v>
      </c>
      <c r="C739" s="222" t="n">
        <v>9</v>
      </c>
      <c r="D739" s="39" t="s">
        <v>98</v>
      </c>
      <c r="E739" s="39" t="s">
        <v>1148</v>
      </c>
      <c r="F739" s="39" t="s">
        <v>1149</v>
      </c>
      <c r="G739" s="39" t="s">
        <v>1150</v>
      </c>
      <c r="H739" s="223" t="s">
        <v>1138</v>
      </c>
    </row>
    <row r="740" customFormat="false" ht="18.75" hidden="false" customHeight="true" outlineLevel="0" collapsed="false">
      <c r="A740" s="39" t="str">
        <f aca="false">B740&amp;"-"&amp;C740</f>
        <v>XVI - Activos virtuales (PSAV): cobro de contraprestación (comisión) por el servicio-10</v>
      </c>
      <c r="B740" s="221" t="s">
        <v>1106</v>
      </c>
      <c r="C740" s="222" t="n">
        <v>10</v>
      </c>
      <c r="D740" s="39" t="s">
        <v>100</v>
      </c>
      <c r="E740" s="39" t="s">
        <v>1151</v>
      </c>
      <c r="F740" s="39" t="s">
        <v>1152</v>
      </c>
      <c r="G740" s="39" t="s">
        <v>1153</v>
      </c>
      <c r="H740" s="223" t="s">
        <v>1138</v>
      </c>
    </row>
    <row r="741" customFormat="false" ht="18.75" hidden="false" customHeight="true" outlineLevel="0" collapsed="false">
      <c r="A741" s="39" t="str">
        <f aca="false">B741&amp;"-"&amp;C741</f>
        <v>XVI - Activos virtuales (PSAV): cobro de contraprestación (comisión) por el servicio-11</v>
      </c>
      <c r="B741" s="221" t="s">
        <v>1106</v>
      </c>
      <c r="C741" s="222" t="n">
        <v>11</v>
      </c>
      <c r="D741" s="39" t="s">
        <v>102</v>
      </c>
      <c r="E741" s="39" t="s">
        <v>1154</v>
      </c>
      <c r="F741" s="39" t="s">
        <v>1155</v>
      </c>
      <c r="G741" s="39" t="s">
        <v>1156</v>
      </c>
      <c r="H741" s="223" t="s">
        <v>1138</v>
      </c>
    </row>
    <row r="742" customFormat="false" ht="18.75" hidden="false" customHeight="true" outlineLevel="0" collapsed="false">
      <c r="A742" s="39" t="str">
        <f aca="false">B742&amp;"-"&amp;C742</f>
        <v>XVI - Activos virtuales (PSAV): cobro de contraprestación (comisión) por el servicio-12</v>
      </c>
      <c r="B742" s="221" t="s">
        <v>1106</v>
      </c>
      <c r="C742" s="222" t="n">
        <v>12</v>
      </c>
      <c r="D742" s="39" t="s">
        <v>105</v>
      </c>
      <c r="E742" s="39" t="s">
        <v>1157</v>
      </c>
      <c r="F742" s="39" t="s">
        <v>1158</v>
      </c>
      <c r="G742" s="39" t="s">
        <v>1159</v>
      </c>
      <c r="H742" s="223" t="s">
        <v>1138</v>
      </c>
    </row>
    <row r="743" customFormat="false" ht="18.75" hidden="false" customHeight="true" outlineLevel="0" collapsed="false">
      <c r="A743" s="39" t="str">
        <f aca="false">B743&amp;"-"&amp;C743</f>
        <v>XVI - Activos virtuales (PSAV): cobro de contraprestación (comisión) por el servicio-13</v>
      </c>
      <c r="B743" s="221" t="s">
        <v>1106</v>
      </c>
      <c r="C743" s="222" t="n">
        <v>13</v>
      </c>
      <c r="D743" s="39" t="s">
        <v>107</v>
      </c>
      <c r="E743" s="39" t="s">
        <v>2039</v>
      </c>
      <c r="F743" s="39" t="s">
        <v>1161</v>
      </c>
      <c r="G743" s="39" t="s">
        <v>2040</v>
      </c>
      <c r="H743" s="223" t="s">
        <v>1124</v>
      </c>
    </row>
    <row r="744" customFormat="false" ht="18.75" hidden="false" customHeight="true" outlineLevel="0" collapsed="false">
      <c r="A744" s="39" t="str">
        <f aca="false">B744&amp;"-"&amp;C744</f>
        <v>XVI - Activos virtuales (PSAV): cobro de contraprestación (comisión) por el servicio-14</v>
      </c>
      <c r="B744" s="221" t="s">
        <v>1106</v>
      </c>
      <c r="C744" s="222" t="n">
        <v>14</v>
      </c>
      <c r="D744" s="39" t="s">
        <v>109</v>
      </c>
      <c r="E744" s="39" t="s">
        <v>2069</v>
      </c>
      <c r="F744" s="39" t="s">
        <v>2070</v>
      </c>
      <c r="G744" s="39" t="s">
        <v>2071</v>
      </c>
      <c r="H744" s="223" t="s">
        <v>1138</v>
      </c>
    </row>
    <row r="745" customFormat="false" ht="18.75" hidden="false" customHeight="true" outlineLevel="0" collapsed="false">
      <c r="A745" s="39" t="str">
        <f aca="false">B745&amp;"-"&amp;C745</f>
        <v>XVI - Activos virtuales (PSAV): cobro de contraprestación (comisión) por el servicio-15</v>
      </c>
      <c r="B745" s="221" t="s">
        <v>1106</v>
      </c>
      <c r="C745" s="222" t="n">
        <v>15</v>
      </c>
      <c r="D745" s="39" t="s">
        <v>112</v>
      </c>
      <c r="E745" s="39" t="s">
        <v>2072</v>
      </c>
      <c r="F745" s="39" t="s">
        <v>2073</v>
      </c>
      <c r="G745" s="39" t="s">
        <v>2074</v>
      </c>
      <c r="H745" s="223" t="s">
        <v>1138</v>
      </c>
    </row>
    <row r="746" customFormat="false" ht="18.75" hidden="false" customHeight="true" outlineLevel="0" collapsed="false">
      <c r="A746" s="39" t="str">
        <f aca="false">B746&amp;"-"&amp;C746</f>
        <v>XVI - Activos virtuales (PSAV): cobro de contraprestación (comisión) por el servicio-16</v>
      </c>
      <c r="B746" s="221" t="s">
        <v>1106</v>
      </c>
      <c r="C746" s="222" t="n">
        <v>16</v>
      </c>
      <c r="D746" s="39" t="s">
        <v>114</v>
      </c>
      <c r="E746" s="39" t="s">
        <v>1169</v>
      </c>
      <c r="F746" s="39" t="s">
        <v>1170</v>
      </c>
      <c r="G746" s="39" t="s">
        <v>1171</v>
      </c>
      <c r="H746" s="223" t="s">
        <v>1138</v>
      </c>
    </row>
    <row r="747" customFormat="false" ht="18.75" hidden="false" customHeight="true" outlineLevel="0" collapsed="false">
      <c r="A747" s="39" t="str">
        <f aca="false">B747&amp;"-"&amp;C747</f>
        <v>XVI - Activos virtuales (PSAV): cobro de contraprestación (comisión) por el servicio-17</v>
      </c>
      <c r="B747" s="221" t="s">
        <v>1106</v>
      </c>
      <c r="C747" s="222" t="n">
        <v>17</v>
      </c>
      <c r="D747" s="39" t="s">
        <v>116</v>
      </c>
      <c r="E747" s="39" t="s">
        <v>2075</v>
      </c>
      <c r="F747" s="39" t="s">
        <v>1173</v>
      </c>
      <c r="G747" s="39" t="s">
        <v>2076</v>
      </c>
      <c r="H747" s="223" t="s">
        <v>1124</v>
      </c>
    </row>
    <row r="748" customFormat="false" ht="18.75" hidden="false" customHeight="true" outlineLevel="0" collapsed="false">
      <c r="A748" s="39" t="str">
        <f aca="false">B748&amp;"-"&amp;C748</f>
        <v>XVI - Activos virtuales (PSAV): cobro de contraprestación (comisión) por el servicio-18</v>
      </c>
      <c r="B748" s="221" t="s">
        <v>1106</v>
      </c>
      <c r="C748" s="222" t="n">
        <v>18</v>
      </c>
      <c r="D748" s="39" t="s">
        <v>119</v>
      </c>
      <c r="E748" s="39" t="s">
        <v>1175</v>
      </c>
      <c r="F748" s="39" t="s">
        <v>1176</v>
      </c>
      <c r="G748" s="39" t="s">
        <v>2049</v>
      </c>
      <c r="H748" s="223" t="s">
        <v>1138</v>
      </c>
    </row>
    <row r="749" customFormat="false" ht="18.75" hidden="false" customHeight="true" outlineLevel="0" collapsed="false">
      <c r="A749" s="39" t="str">
        <f aca="false">B749&amp;"-"&amp;C749</f>
        <v>XVI - Activos virtuales (PSAV): cobro de contraprestación (comisión) por el servicio-19</v>
      </c>
      <c r="B749" s="221" t="s">
        <v>1106</v>
      </c>
      <c r="C749" s="222" t="n">
        <v>19</v>
      </c>
      <c r="D749" s="39" t="s">
        <v>122</v>
      </c>
      <c r="E749" s="39" t="s">
        <v>1178</v>
      </c>
      <c r="F749" s="39" t="s">
        <v>1179</v>
      </c>
      <c r="G749" s="39" t="s">
        <v>1180</v>
      </c>
      <c r="H749" s="223" t="s">
        <v>1138</v>
      </c>
    </row>
    <row r="750" customFormat="false" ht="18.75" hidden="false" customHeight="true" outlineLevel="0" collapsed="false">
      <c r="A750" s="39" t="str">
        <f aca="false">B750&amp;"-"&amp;C750</f>
        <v>XVI - Activos virtuales (PSAV): cobro de contraprestación (comisión) por el servicio-20</v>
      </c>
      <c r="B750" s="221" t="s">
        <v>1106</v>
      </c>
      <c r="C750" s="222" t="n">
        <v>20</v>
      </c>
      <c r="D750" s="39" t="s">
        <v>124</v>
      </c>
      <c r="E750" s="39" t="s">
        <v>2077</v>
      </c>
      <c r="F750" s="39" t="s">
        <v>2078</v>
      </c>
      <c r="G750" s="39" t="s">
        <v>2079</v>
      </c>
      <c r="H750" s="223" t="s">
        <v>1124</v>
      </c>
    </row>
    <row r="751" customFormat="false" ht="18.75" hidden="false" customHeight="true" outlineLevel="0" collapsed="false">
      <c r="A751" s="39" t="str">
        <f aca="false">B751&amp;"-"&amp;C751</f>
        <v>XVI - Activos virtuales (PSAV): cobro de contraprestación (comisión) por el servicio-21</v>
      </c>
      <c r="B751" s="221" t="s">
        <v>1106</v>
      </c>
      <c r="C751" s="222" t="n">
        <v>21</v>
      </c>
      <c r="D751" s="39" t="s">
        <v>126</v>
      </c>
      <c r="E751" s="39" t="s">
        <v>2053</v>
      </c>
      <c r="F751" s="39" t="s">
        <v>2054</v>
      </c>
      <c r="G751" s="39" t="s">
        <v>2055</v>
      </c>
      <c r="H751" s="223" t="s">
        <v>1124</v>
      </c>
    </row>
    <row r="752" customFormat="false" ht="18.75" hidden="false" customHeight="true" outlineLevel="0" collapsed="false">
      <c r="A752" s="39" t="str">
        <f aca="false">B752&amp;"-"&amp;C752</f>
        <v>XVI - Activos virtuales (PSAV): cobro de contraprestación (comisión) por el servicio-22</v>
      </c>
      <c r="B752" s="221" t="s">
        <v>1106</v>
      </c>
      <c r="C752" s="222" t="n">
        <v>22</v>
      </c>
      <c r="D752" s="39" t="s">
        <v>128</v>
      </c>
      <c r="E752" s="39" t="s">
        <v>1572</v>
      </c>
      <c r="F752" s="39" t="s">
        <v>1573</v>
      </c>
      <c r="G752" s="39" t="s">
        <v>1574</v>
      </c>
      <c r="H752" s="223" t="s">
        <v>1138</v>
      </c>
    </row>
    <row r="753" customFormat="false" ht="18.75" hidden="false" customHeight="true" outlineLevel="0" collapsed="false">
      <c r="A753" s="39" t="str">
        <f aca="false">B753&amp;"-"&amp;C753</f>
        <v>XVI - Activos virtuales (PSAV): cobro de contraprestación (comisión) por el servicio-23</v>
      </c>
      <c r="B753" s="221" t="s">
        <v>1106</v>
      </c>
      <c r="C753" s="222" t="n">
        <v>23</v>
      </c>
      <c r="D753" s="39" t="s">
        <v>131</v>
      </c>
      <c r="E753" s="39" t="s">
        <v>1190</v>
      </c>
      <c r="F753" s="39" t="s">
        <v>1191</v>
      </c>
      <c r="G753" s="39" t="s">
        <v>1192</v>
      </c>
      <c r="H753" s="223" t="s">
        <v>1128</v>
      </c>
    </row>
    <row r="754" customFormat="false" ht="18.75" hidden="false" customHeight="true" outlineLevel="0" collapsed="false">
      <c r="A754" s="39" t="str">
        <f aca="false">B754&amp;"-"&amp;C754</f>
        <v>XVI - Activos virtuales (PSAV): cobro de contraprestación (comisión) por el servicio-24</v>
      </c>
      <c r="B754" s="221" t="s">
        <v>1106</v>
      </c>
      <c r="C754" s="222" t="n">
        <v>24</v>
      </c>
      <c r="D754" s="39" t="s">
        <v>133</v>
      </c>
      <c r="E754" s="39" t="s">
        <v>2080</v>
      </c>
      <c r="F754" s="39" t="s">
        <v>1194</v>
      </c>
      <c r="G754" s="39" t="s">
        <v>2081</v>
      </c>
      <c r="H754" s="223" t="s">
        <v>1128</v>
      </c>
    </row>
    <row r="755" customFormat="false" ht="18.75" hidden="false" customHeight="true" outlineLevel="0" collapsed="false">
      <c r="A755" s="39" t="str">
        <f aca="false">B755&amp;"-"&amp;C755</f>
        <v>XVI - Activos virtuales (PSAV): cobro de contraprestación (comisión) por el servicio-25</v>
      </c>
      <c r="B755" s="221" t="s">
        <v>1106</v>
      </c>
      <c r="C755" s="222" t="n">
        <v>25</v>
      </c>
      <c r="D755" s="39" t="s">
        <v>135</v>
      </c>
      <c r="E755" s="39" t="s">
        <v>2082</v>
      </c>
      <c r="F755" s="39" t="s">
        <v>1197</v>
      </c>
      <c r="G755" s="39" t="s">
        <v>1198</v>
      </c>
      <c r="H755" s="223" t="s">
        <v>1128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2026-07-24T05:45:57Z</dcterms:created>
  <dc:creator>openpyxl</dc:creator>
  <dc:description/>
  <dc:language>en-US</dc:language>
  <cp:lastModifiedBy/>
  <dcterms:modified xsi:type="dcterms:W3CDTF">2026-09-01T16:54:37Z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