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ICIO" sheetId="1" state="visible" r:id="rId1"/>
    <sheet xmlns:r="http://schemas.openxmlformats.org/officeDocument/2006/relationships" name="A1 EXPOSICION" sheetId="2" state="visible" r:id="rId2"/>
    <sheet xmlns:r="http://schemas.openxmlformats.org/officeDocument/2006/relationships" name="A2 CONSECUENCIAS" sheetId="3" state="visible" r:id="rId3"/>
    <sheet xmlns:r="http://schemas.openxmlformats.org/officeDocument/2006/relationships" name="A3 INHERENTE" sheetId="4" state="visible" r:id="rId4"/>
    <sheet xmlns:r="http://schemas.openxmlformats.org/officeDocument/2006/relationships" name="A4 CONTROLES MINIMOS" sheetId="5" state="visible" r:id="rId5"/>
    <sheet xmlns:r="http://schemas.openxmlformats.org/officeDocument/2006/relationships" name="A4 BIS ADICIONALES" sheetId="6" state="visible" r:id="rId6"/>
    <sheet xmlns:r="http://schemas.openxmlformats.org/officeDocument/2006/relationships" name="A5 RESIDUAL" sheetId="7" state="visible" r:id="rId7"/>
    <sheet xmlns:r="http://schemas.openxmlformats.org/officeDocument/2006/relationships" name="A6 TABLERO" sheetId="8" state="visible" r:id="rId8"/>
    <sheet xmlns:r="http://schemas.openxmlformats.org/officeDocument/2006/relationships" name="A7 NUEVOS PRODUCTOS" sheetId="9" state="visible" r:id="rId9"/>
    <sheet xmlns:r="http://schemas.openxmlformats.org/officeDocument/2006/relationships" name="A8 TOLERANCIA" sheetId="10" state="visible" r:id="rId10"/>
    <sheet xmlns:r="http://schemas.openxmlformats.org/officeDocument/2006/relationships" name="A9 CONSTANCIA Y FUENTES" sheetId="11" state="visible" r:id="rId11"/>
    <sheet xmlns:r="http://schemas.openxmlformats.org/officeDocument/2006/relationships" name="PRODUCTOS" sheetId="12" state="visible" r:id="rId12"/>
    <sheet xmlns:r="http://schemas.openxmlformats.org/officeDocument/2006/relationships" name="VARIABLES" sheetId="13" state="visible" r:id="rId13"/>
    <sheet xmlns:r="http://schemas.openxmlformats.org/officeDocument/2006/relationships" name="B CLIENTE" sheetId="14" state="visible" r:id="rId14"/>
    <sheet xmlns:r="http://schemas.openxmlformats.org/officeDocument/2006/relationships" name="PARAMETROS" sheetId="15" state="visible" r:id="rId15"/>
    <sheet xmlns:r="http://schemas.openxmlformats.org/officeDocument/2006/relationships" name="CATALOGO" sheetId="16" state="visible" r:id="rId16"/>
    <sheet xmlns:r="http://schemas.openxmlformats.org/officeDocument/2006/relationships" name="BASE" sheetId="17" state="visible" r:id="rId17"/>
  </sheets>
  <definedNames>
    <definedName name="V_F01">'VARIABLES'!$E$8:$E$13</definedName>
    <definedName name="V_F02">'VARIABLES'!$E$14:$E$20</definedName>
    <definedName name="V_F03">'VARIABLES'!$E$21:$E$28</definedName>
    <definedName name="V_F04">'VARIABLES'!$E$29:$E$32</definedName>
    <definedName name="V_F05">'VARIABLES'!$E$33:$E$37</definedName>
    <definedName name="V_F06">'VARIABLES'!$E$38:$E$43</definedName>
    <definedName name="V_F07">'VARIABLES'!$E$44:$E$47</definedName>
    <definedName name="V_F08">'VARIABLES'!$E$48:$E$52</definedName>
    <definedName name="V_F09">'VARIABLES'!$E$53:$E$56</definedName>
    <definedName name="V_F10">'VARIABLES'!$E$57:$E$60</definedName>
    <definedName name="V_F12">'VARIABLES'!$E$61:$E$65</definedName>
    <definedName name="V_F13">'VARIABLES'!$E$66:$E$69</definedName>
    <definedName name="V_F14">'VARIABLES'!$E$70:$E$72</definedName>
    <definedName name="V_F15">'VARIABLES'!$E$73:$E$76</definedName>
    <definedName name="V_F16">'VARIABLES'!$E$77:$E$82</definedName>
    <definedName name="V_F17">'VARIABLES'!$E$83:$E$86</definedName>
    <definedName name="V_F18">'VARIABLES'!$E$87:$E$91</definedName>
    <definedName name="V_F19">'VARIABLES'!$E$92:$E$95</definedName>
    <definedName name="V_F20">'VARIABLES'!$E$96:$E$100</definedName>
    <definedName name="V_F21">'VARIABLES'!$E$101:$E$103</definedName>
    <definedName name="V_F22">'VARIABLES'!$E$104:$E$106</definedName>
    <definedName name="V_F23">'VARIABLES'!$E$107:$E$110</definedName>
    <definedName name="V_F11">'PRODUCTOS'!$C$8:$C$13</definedName>
  </definedNames>
  <calcPr calcId="124519" fullCalcOnLoad="1" refMode="A1" iterate="0" iterateCount="100" iterateDelta="0.0001"/>
</workbook>
</file>

<file path=xl/styles.xml><?xml version="1.0" encoding="utf-8"?>
<styleSheet xmlns="http://schemas.openxmlformats.org/spreadsheetml/2006/main">
  <numFmts count="8">
    <numFmt numFmtId="164" formatCode="dd/mm/yyyy"/>
    <numFmt numFmtId="165" formatCode="\$#,##0"/>
    <numFmt numFmtId="166" formatCode="0.0%"/>
    <numFmt numFmtId="167" formatCode="0.0"/>
    <numFmt numFmtId="168" formatCode="0.00000"/>
    <numFmt numFmtId="169" formatCode="yyyy\-mm\-dd"/>
    <numFmt numFmtId="170" formatCode="yyyy-mm-dd h:mm:ss"/>
    <numFmt numFmtId="171" formatCode="0 %"/>
  </numFmts>
  <fonts count="70">
    <font>
      <name val="Calibri"/>
      <charset val="1"/>
      <family val="2"/>
      <color theme="1"/>
      <sz val="11"/>
    </font>
    <font>
      <name val="Arial"/>
      <family val="0"/>
      <sz val="10"/>
    </font>
    <font>
      <name val="Arial"/>
      <family val="0"/>
      <sz val="10"/>
    </font>
    <font>
      <name val="Arial"/>
      <family val="0"/>
      <sz val="10"/>
    </font>
    <font>
      <name val="Arial"/>
      <charset val="1"/>
      <family val="0"/>
      <b val="1"/>
      <color rgb="FF1F4E78"/>
      <sz val="15"/>
    </font>
    <font>
      <name val="Arial"/>
      <charset val="1"/>
      <family val="0"/>
      <i val="1"/>
      <color rgb="FF555555"/>
      <sz val="9"/>
    </font>
    <font>
      <name val="Arial"/>
      <charset val="1"/>
      <family val="0"/>
      <b val="1"/>
      <color rgb="FFC00000"/>
      <sz val="10"/>
    </font>
    <font>
      <name val="Arial"/>
      <charset val="1"/>
      <family val="0"/>
      <i val="1"/>
      <color rgb="FF1F4E79"/>
      <sz val="9"/>
    </font>
    <font>
      <name val="Arial"/>
      <charset val="1"/>
      <family val="0"/>
      <b val="1"/>
      <color rgb="FFFFFFFF"/>
      <sz val="10"/>
    </font>
    <font>
      <name val="Arial"/>
      <charset val="1"/>
      <family val="0"/>
      <sz val="9"/>
    </font>
    <font>
      <name val="Arial"/>
      <charset val="1"/>
      <family val="0"/>
      <color rgb="FF0000FF"/>
      <sz val="10"/>
    </font>
    <font>
      <name val="Arial"/>
      <charset val="1"/>
      <family val="0"/>
      <color rgb="FF006100"/>
      <sz val="10"/>
    </font>
    <font>
      <name val="Arial"/>
      <charset val="1"/>
      <family val="0"/>
      <color rgb="FF000000"/>
      <sz val="10"/>
    </font>
    <font>
      <name val="Arial"/>
      <charset val="1"/>
      <family val="0"/>
      <color rgb="FF0000FF"/>
      <sz val="9"/>
    </font>
    <font>
      <name val="Arial"/>
      <charset val="1"/>
      <family val="0"/>
      <color rgb="FFC00000"/>
      <sz val="9"/>
    </font>
    <font>
      <name val="Arial"/>
      <charset val="1"/>
      <family val="0"/>
      <b val="1"/>
      <color rgb="FF000000"/>
      <sz val="10"/>
    </font>
    <font>
      <name val="Arial"/>
      <charset val="1"/>
      <family val="0"/>
      <b val="1"/>
      <sz val="10"/>
    </font>
    <font>
      <name val="Arial"/>
      <charset val="1"/>
      <family val="0"/>
      <b val="1"/>
      <color rgb="FFFFFFFF"/>
      <sz val="9"/>
    </font>
    <font>
      <name val="Arial"/>
      <charset val="1"/>
      <family val="0"/>
      <sz val="10"/>
    </font>
    <font>
      <name val="Arial"/>
      <charset val="1"/>
      <family val="0"/>
      <b val="1"/>
      <color rgb="FFC00000"/>
      <sz val="9"/>
    </font>
    <font>
      <name val="Arial"/>
      <charset val="1"/>
      <family val="0"/>
      <color rgb="FF555555"/>
      <sz val="9"/>
    </font>
    <font>
      <name val="Arial"/>
      <charset val="1"/>
      <family val="0"/>
      <b val="1"/>
      <sz val="9"/>
    </font>
    <font>
      <name val="Arial"/>
      <charset val="1"/>
      <family val="0"/>
      <b val="1"/>
      <sz val="8"/>
    </font>
    <font>
      <name val="Arial"/>
      <charset val="1"/>
      <family val="0"/>
      <sz val="8"/>
    </font>
    <font>
      <name val="Arial"/>
      <charset val="1"/>
      <family val="0"/>
      <b val="1"/>
      <color rgb="FF0000FF"/>
      <sz val="9"/>
    </font>
    <font>
      <name val="Arial"/>
      <charset val="1"/>
      <family val="0"/>
      <color rgb="FF0000FF"/>
      <sz val="8"/>
    </font>
    <font>
      <name val="Arial"/>
      <charset val="1"/>
      <family val="0"/>
      <b val="1"/>
      <color rgb="FFFFFFFF"/>
      <sz val="11"/>
    </font>
    <font>
      <name val="Arial"/>
      <charset val="1"/>
      <family val="0"/>
      <b val="1"/>
      <color rgb="FF1F4E78"/>
      <sz val="10"/>
    </font>
    <font>
      <name val="Arial"/>
      <charset val="1"/>
      <family val="0"/>
      <i val="1"/>
      <color rgb="FF595959"/>
      <sz val="8"/>
    </font>
    <font>
      <name val="Arial"/>
      <charset val="1"/>
      <family val="0"/>
      <b val="1"/>
      <color rgb="FF1F4E79"/>
      <sz val="14"/>
    </font>
    <font>
      <name val="Arial"/>
      <charset val="1"/>
      <family val="0"/>
      <i val="1"/>
      <color rgb="FF595959"/>
      <sz val="9"/>
    </font>
    <font>
      <name val="Arial"/>
      <charset val="1"/>
      <family val="0"/>
      <color rgb="FF000000"/>
      <sz val="9"/>
    </font>
    <font>
      <name val="Arial"/>
      <charset val="1"/>
      <family val="0"/>
      <b val="1"/>
      <color rgb="FF1F4E78"/>
      <sz val="11"/>
    </font>
    <font>
      <name val="Arial"/>
      <charset val="1"/>
      <family val="0"/>
      <color rgb="FFBFBFBF"/>
      <sz val="7"/>
    </font>
    <font>
      <name val="Arial"/>
      <charset val="1"/>
      <family val="0"/>
      <b val="1"/>
      <color rgb="FF000000"/>
      <sz val="20"/>
    </font>
    <font>
      <name val="Arial"/>
      <charset val="1"/>
      <family val="0"/>
      <b val="1"/>
      <sz val="12"/>
    </font>
    <font>
      <name val="Arial"/>
      <charset val="1"/>
      <family val="0"/>
      <color rgb="FF555555"/>
      <sz val="8"/>
    </font>
    <font>
      <name val="Arial"/>
      <charset val="1"/>
      <family val="0"/>
      <i val="1"/>
      <color rgb="FF000000"/>
      <sz val="9"/>
    </font>
    <font>
      <name val="Arial"/>
      <charset val="1"/>
      <family val="0"/>
      <b val="1"/>
      <color rgb="FF000000"/>
      <sz val="11"/>
    </font>
    <font>
      <name val="Arial"/>
      <charset val="1"/>
      <family val="0"/>
      <b val="1"/>
      <color rgb="FF000000"/>
      <sz val="22"/>
    </font>
    <font>
      <name val="Arial"/>
      <sz val="10"/>
    </font>
    <font>
      <name val="Arial"/>
      <color rgb="FF0000FF"/>
      <sz val="10"/>
    </font>
    <font>
      <name val="Arial"/>
      <color rgb="FF555555"/>
      <sz val="9"/>
    </font>
    <font>
      <name val="Georgia"/>
      <b val="1"/>
      <color rgb="001F4E78"/>
      <sz val="14"/>
    </font>
    <font>
      <name val="Arial"/>
      <color rgb="00595959"/>
      <sz val="9"/>
    </font>
    <font>
      <name val="Arial"/>
      <i val="1"/>
      <color rgb="00808080"/>
      <sz val="9"/>
    </font>
    <font>
      <name val="Arial"/>
      <b val="1"/>
      <color rgb="00FFFFFF"/>
      <sz val="10"/>
    </font>
    <font>
      <name val="Arial"/>
      <color rgb="00000000"/>
      <sz val="10"/>
    </font>
    <font>
      <name val="Arial"/>
      <color rgb="000000FF"/>
      <sz val="10"/>
    </font>
    <font>
      <name val="Arial"/>
      <b val="1"/>
      <color rgb="00FFFFFF"/>
      <sz val="9"/>
    </font>
    <font>
      <name val="Arial"/>
      <b val="1"/>
      <color rgb="001F4E78"/>
      <sz val="9"/>
    </font>
    <font>
      <name val="Arial"/>
      <color rgb="00000000"/>
      <sz val="9"/>
    </font>
    <font>
      <name val="Arial"/>
      <color rgb="000000FF"/>
      <sz val="9"/>
    </font>
    <font>
      <name val="Arial"/>
      <color rgb="00808080"/>
      <sz val="8"/>
    </font>
    <font>
      <name val="Arial"/>
      <b val="1"/>
      <color rgb="00000000"/>
      <sz val="9"/>
    </font>
    <font>
      <name val="Georgia"/>
      <b val="1"/>
      <color rgb="00FFFFFF"/>
      <sz val="12"/>
    </font>
    <font>
      <name val="Georgia"/>
      <b val="1"/>
      <color rgb="001F4E78"/>
      <sz val="22"/>
    </font>
    <font>
      <name val="Arial"/>
      <color rgb="00008000"/>
      <sz val="10"/>
    </font>
    <font>
      <name val="Arial"/>
      <i val="1"/>
      <color rgb="00595959"/>
      <sz val="8"/>
    </font>
    <font>
      <name val="Arial"/>
      <b val="1"/>
      <color rgb="001F4E78"/>
      <sz val="8"/>
    </font>
    <font>
      <name val="Arial"/>
      <color rgb="00000000"/>
      <sz val="8"/>
    </font>
    <font>
      <name val="Arial"/>
      <color rgb="00BFBFBF"/>
      <sz val="7"/>
    </font>
    <font>
      <name val="Georgia"/>
      <b val="1"/>
      <color rgb="001F4E78"/>
      <sz val="15"/>
    </font>
    <font>
      <name val="Arial"/>
      <color rgb="001F4E78"/>
      <sz val="8"/>
    </font>
    <font>
      <name val="Arial"/>
      <color rgb="002E75B6"/>
      <sz val="8"/>
    </font>
    <font>
      <name val="Arial"/>
      <b val="1"/>
      <color rgb="001F4E78"/>
      <sz val="12"/>
    </font>
    <font>
      <name val="Arial"/>
      <b val="1"/>
      <color rgb="00000000"/>
      <sz val="10"/>
    </font>
    <font>
      <name val="Arial"/>
      <sz val="9"/>
    </font>
    <font>
      <name val="Arial"/>
      <b val="1"/>
      <color rgb="00B23B2E"/>
      <sz val="10"/>
    </font>
    <font>
      <name val="Arial"/>
      <b val="1"/>
      <color rgb="00B23B2E"/>
      <sz val="9"/>
    </font>
  </fonts>
  <fills count="23">
    <fill>
      <patternFill/>
    </fill>
    <fill>
      <patternFill patternType="gray125"/>
    </fill>
    <fill>
      <patternFill patternType="solid">
        <fgColor rgb="FF1F4E78"/>
        <bgColor rgb="FF1F4E79"/>
      </patternFill>
    </fill>
    <fill>
      <patternFill patternType="solid">
        <fgColor rgb="FFFFF2CC"/>
        <bgColor rgb="FFFCE4D6"/>
      </patternFill>
    </fill>
    <fill>
      <patternFill patternType="solid">
        <fgColor rgb="FF1F4E79"/>
        <bgColor rgb="FF1F4E78"/>
      </patternFill>
    </fill>
    <fill>
      <patternFill patternType="solid">
        <fgColor rgb="FFBDD7EE"/>
        <bgColor rgb="FFC6EFCE"/>
      </patternFill>
    </fill>
    <fill>
      <patternFill patternType="solid">
        <fgColor rgb="FFFFFFFF"/>
        <bgColor rgb="FFF2F2F2"/>
      </patternFill>
    </fill>
    <fill>
      <patternFill patternType="solid">
        <fgColor rgb="FFF2F2F2"/>
        <bgColor rgb="FFFFFFFF"/>
      </patternFill>
    </fill>
    <fill>
      <patternFill patternType="solid">
        <fgColor rgb="FF63BE7B"/>
        <bgColor rgb="FF339966"/>
      </patternFill>
    </fill>
    <fill>
      <patternFill patternType="solid">
        <fgColor rgb="FFFFD966"/>
        <bgColor rgb="FFFFE699"/>
      </patternFill>
    </fill>
    <fill>
      <patternFill patternType="solid">
        <fgColor rgb="FFF4B183"/>
        <bgColor rgb="FFFFC7CE"/>
      </patternFill>
    </fill>
    <fill>
      <patternFill patternType="solid">
        <fgColor rgb="FFFF7C80"/>
        <bgColor rgb="FFF4B183"/>
      </patternFill>
    </fill>
    <fill>
      <patternFill patternType="solid">
        <fgColor rgb="FFA9D08E"/>
        <bgColor rgb="FFBFBFBF"/>
      </patternFill>
    </fill>
    <fill>
      <patternFill patternType="solid">
        <fgColor rgb="FF2E75B6"/>
        <bgColor rgb="FF0066CC"/>
      </patternFill>
    </fill>
    <fill>
      <patternFill patternType="solid">
        <fgColor rgb="FFFCE4D6"/>
        <bgColor rgb="FFFFF2CC"/>
      </patternFill>
    </fill>
    <fill>
      <patternFill patternType="solid">
        <fgColor rgb="FFFFF2CC"/>
      </patternFill>
    </fill>
    <fill>
      <patternFill patternType="solid">
        <fgColor rgb="001F4E78"/>
      </patternFill>
    </fill>
    <fill>
      <patternFill patternType="solid">
        <fgColor rgb="00FFF2CC"/>
      </patternFill>
    </fill>
    <fill>
      <patternFill patternType="solid">
        <fgColor rgb="002E75B6"/>
      </patternFill>
    </fill>
    <fill>
      <patternFill patternType="solid">
        <fgColor rgb="00F2F5F9"/>
      </patternFill>
    </fill>
    <fill>
      <patternFill patternType="solid">
        <fgColor rgb="00FAFBFC"/>
      </patternFill>
    </fill>
    <fill>
      <patternFill patternType="solid">
        <fgColor rgb="00FFFFFF"/>
      </patternFill>
    </fill>
    <fill>
      <patternFill patternType="solid">
        <fgColor rgb="00DDEBF7"/>
      </patternFill>
    </fill>
  </fills>
  <borders count="2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border>
      <left style="thin">
        <color rgb="FFBFBFBF"/>
      </left>
      <right style="thin">
        <color rgb="FFBFBFBF"/>
      </right>
      <top style="thin">
        <color rgb="FFBFBFBF"/>
      </top>
      <bottom style="thin">
        <color rgb="FFBFBFBF"/>
      </bottom>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9" fillId="0" borderId="1" applyAlignment="1" pivotButton="0" quotePrefix="0" xfId="0">
      <alignment horizontal="left" vertical="center" wrapText="1"/>
    </xf>
    <xf numFmtId="0" fontId="10" fillId="3" borderId="1" applyAlignment="1" pivotButton="0" quotePrefix="0" xfId="0">
      <alignment horizontal="left"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1" applyAlignment="1" pivotButton="0" quotePrefix="0" xfId="0">
      <alignment horizontal="left" vertical="center" wrapText="1"/>
    </xf>
    <xf numFmtId="0" fontId="11" fillId="0" borderId="1" applyAlignment="1" pivotButton="0" quotePrefix="0" xfId="0">
      <alignment horizontal="general" vertical="bottom"/>
    </xf>
    <xf numFmtId="3" fontId="11" fillId="0" borderId="1" applyAlignment="1" pivotButton="0" quotePrefix="0" xfId="0">
      <alignment horizontal="general" vertical="bottom"/>
    </xf>
    <xf numFmtId="4" fontId="11" fillId="0" borderId="1" applyAlignment="1" pivotButton="0" quotePrefix="0" xfId="0">
      <alignment horizontal="general" vertical="bottom"/>
    </xf>
    <xf numFmtId="164" fontId="10" fillId="3" borderId="1" applyAlignment="1" pivotButton="0" quotePrefix="0" xfId="0">
      <alignment horizontal="left" vertical="center"/>
    </xf>
    <xf numFmtId="3" fontId="10" fillId="3" borderId="1" applyAlignment="1" pivotButton="0" quotePrefix="0" xfId="0">
      <alignment horizontal="center" vertical="center" wrapText="1"/>
    </xf>
    <xf numFmtId="165" fontId="10" fillId="3" borderId="1" applyAlignment="1" pivotButton="0" quotePrefix="0" xfId="0">
      <alignment horizontal="center" vertical="center" wrapText="1"/>
    </xf>
    <xf numFmtId="0" fontId="5" fillId="0" borderId="0" applyAlignment="1" pivotButton="0" quotePrefix="0" xfId="0">
      <alignment horizontal="left" vertical="center"/>
    </xf>
    <xf numFmtId="0" fontId="16" fillId="0" borderId="0" applyAlignment="1" pivotButton="0" quotePrefix="0" xfId="0">
      <alignment horizontal="general" vertical="bottom"/>
    </xf>
    <xf numFmtId="0" fontId="17" fillId="4" borderId="1" applyAlignment="1" pivotButton="0" quotePrefix="0" xfId="0">
      <alignment horizontal="general" vertical="bottom"/>
    </xf>
    <xf numFmtId="0" fontId="18" fillId="0" borderId="0" applyAlignment="1" pivotButton="0" quotePrefix="0" xfId="0">
      <alignment horizontal="general" vertical="bottom"/>
    </xf>
    <xf numFmtId="1" fontId="16" fillId="0" borderId="1" applyAlignment="1" pivotButton="0" quotePrefix="0" xfId="0">
      <alignment horizontal="center" vertical="center"/>
    </xf>
    <xf numFmtId="0" fontId="16" fillId="0" borderId="1" applyAlignment="1" pivotButton="0" quotePrefix="0" xfId="0">
      <alignment horizontal="center" vertical="center"/>
    </xf>
    <xf numFmtId="9" fontId="16" fillId="0" borderId="1" applyAlignment="1" pivotButton="0" quotePrefix="0" xfId="0">
      <alignment horizontal="center" vertical="center"/>
    </xf>
    <xf numFmtId="0" fontId="19" fillId="0" borderId="0" applyAlignment="1" pivotButton="0" quotePrefix="0" xfId="0">
      <alignment horizontal="general" vertical="top" wrapText="1"/>
    </xf>
    <xf numFmtId="0" fontId="4" fillId="0" borderId="0" applyAlignment="1" pivotButton="0" quotePrefix="0" xfId="0">
      <alignment horizontal="general" vertical="bottom"/>
    </xf>
    <xf numFmtId="0" fontId="20" fillId="0" borderId="0" applyAlignment="1" pivotButton="0" quotePrefix="0" xfId="0">
      <alignment horizontal="general" vertical="center"/>
    </xf>
    <xf numFmtId="0" fontId="21" fillId="5" borderId="1" applyAlignment="1" pivotButton="0" quotePrefix="0" xfId="0">
      <alignment horizontal="center" vertical="top"/>
    </xf>
    <xf numFmtId="0" fontId="22" fillId="0" borderId="1" applyAlignment="1" pivotButton="0" quotePrefix="0" xfId="0">
      <alignment horizontal="center" vertical="top"/>
    </xf>
    <xf numFmtId="0" fontId="9" fillId="0" borderId="1" applyAlignment="1" pivotButton="0" quotePrefix="0" xfId="0">
      <alignment horizontal="left" vertical="top" wrapText="1"/>
    </xf>
    <xf numFmtId="0" fontId="23" fillId="0" borderId="1" applyAlignment="1" pivotButton="0" quotePrefix="0" xfId="0">
      <alignment horizontal="center" vertical="top"/>
    </xf>
    <xf numFmtId="0" fontId="24" fillId="3" borderId="1" applyAlignment="1" pivotButton="0" quotePrefix="0" xfId="0">
      <alignment horizontal="center" vertical="top"/>
    </xf>
    <xf numFmtId="0" fontId="23" fillId="0" borderId="1" applyAlignment="1" pivotButton="0" quotePrefix="0" xfId="0">
      <alignment horizontal="left" vertical="top" wrapText="1"/>
    </xf>
    <xf numFmtId="9" fontId="10" fillId="3" borderId="1" applyAlignment="1" pivotButton="0" quotePrefix="0" xfId="0">
      <alignment horizontal="center" vertical="top"/>
    </xf>
    <xf numFmtId="9" fontId="9" fillId="0" borderId="1" applyAlignment="1" pivotButton="0" quotePrefix="0" xfId="0">
      <alignment horizontal="center" vertical="top"/>
    </xf>
    <xf numFmtId="0" fontId="9" fillId="0" borderId="1" applyAlignment="1" pivotButton="0" quotePrefix="0" xfId="0">
      <alignment horizontal="center" vertical="top"/>
    </xf>
    <xf numFmtId="0" fontId="25" fillId="6" borderId="1" applyAlignment="1" pivotButton="0" quotePrefix="0" xfId="0">
      <alignment horizontal="left" vertical="top" wrapText="1"/>
    </xf>
    <xf numFmtId="0" fontId="22" fillId="7" borderId="1" applyAlignment="1" pivotButton="0" quotePrefix="0" xfId="0">
      <alignment horizontal="center" vertical="top"/>
    </xf>
    <xf numFmtId="0" fontId="24" fillId="7" borderId="1" applyAlignment="1" pivotButton="0" quotePrefix="0" xfId="0">
      <alignment horizontal="center" vertical="top"/>
    </xf>
    <xf numFmtId="0" fontId="22" fillId="3" borderId="1" applyAlignment="1" pivotButton="0" quotePrefix="0" xfId="0">
      <alignment horizontal="center" vertical="top"/>
    </xf>
    <xf numFmtId="0" fontId="26" fillId="2" borderId="0" applyAlignment="1" pivotButton="0" quotePrefix="0" xfId="0">
      <alignment horizontal="left" vertical="center"/>
    </xf>
    <xf numFmtId="0" fontId="21" fillId="0" borderId="1" applyAlignment="1" pivotButton="0" quotePrefix="0" xfId="0">
      <alignment horizontal="left" vertical="center"/>
    </xf>
    <xf numFmtId="9" fontId="10" fillId="3" borderId="1" applyAlignment="1" pivotButton="0" quotePrefix="0" xfId="0">
      <alignment horizontal="center" vertical="center"/>
    </xf>
    <xf numFmtId="2" fontId="9" fillId="0"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center" vertical="center"/>
    </xf>
    <xf numFmtId="0" fontId="25" fillId="3" borderId="1" applyAlignment="1" pivotButton="0" quotePrefix="0" xfId="0">
      <alignment horizontal="left" vertical="center" wrapText="1"/>
    </xf>
    <xf numFmtId="0" fontId="27" fillId="5" borderId="1" applyAlignment="1" pivotButton="0" quotePrefix="0" xfId="0">
      <alignment horizontal="left" vertical="center"/>
    </xf>
    <xf numFmtId="9" fontId="21" fillId="5" borderId="1" applyAlignment="1" pivotButton="0" quotePrefix="0" xfId="0">
      <alignment horizontal="center" vertical="center"/>
    </xf>
    <xf numFmtId="2"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left" vertical="center" wrapText="1"/>
    </xf>
    <xf numFmtId="0" fontId="21" fillId="0" borderId="1" applyAlignment="1" pivotButton="0" quotePrefix="0" xfId="0">
      <alignment horizontal="left" vertical="center" wrapText="1"/>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9" fillId="0" borderId="0" applyAlignment="1" pivotButton="0" quotePrefix="0" xfId="0">
      <alignment horizontal="general" vertical="bottom"/>
    </xf>
    <xf numFmtId="0" fontId="10" fillId="3" borderId="1" applyAlignment="1" pivotButton="0" quotePrefix="0" xfId="0">
      <alignment horizontal="left" vertical="top" wrapText="1"/>
    </xf>
    <xf numFmtId="0" fontId="10" fillId="3" borderId="1" applyAlignment="1" pivotButton="0" quotePrefix="0" xfId="0">
      <alignment horizontal="center" vertical="center" wrapText="1"/>
    </xf>
    <xf numFmtId="0" fontId="9" fillId="0" borderId="1" applyAlignment="1" pivotButton="0" quotePrefix="0" xfId="0">
      <alignment horizontal="left" vertical="center"/>
    </xf>
    <xf numFmtId="2" fontId="21" fillId="0" borderId="1" applyAlignment="1" pivotButton="0" quotePrefix="0" xfId="0">
      <alignment horizontal="center" vertical="center"/>
    </xf>
    <xf numFmtId="0" fontId="21" fillId="0" borderId="1" applyAlignment="1" pivotButton="0" quotePrefix="0" xfId="0">
      <alignment horizontal="center" vertical="center"/>
    </xf>
    <xf numFmtId="0" fontId="21" fillId="5" borderId="1" applyAlignment="1" pivotButton="0" quotePrefix="0" xfId="0">
      <alignment horizontal="left" vertical="center"/>
    </xf>
    <xf numFmtId="0" fontId="28" fillId="0" borderId="0" applyAlignment="1" pivotButton="0" quotePrefix="0" xfId="0">
      <alignment horizontal="general" vertical="top" wrapText="1"/>
    </xf>
    <xf numFmtId="0" fontId="21" fillId="0" borderId="1" applyAlignment="1" pivotButton="0" quotePrefix="0" xfId="0">
      <alignment horizontal="center" vertical="bottom"/>
    </xf>
    <xf numFmtId="0" fontId="9" fillId="8" borderId="1" applyAlignment="1" pivotButton="0" quotePrefix="0" xfId="0">
      <alignment horizontal="center" vertical="bottom"/>
    </xf>
    <xf numFmtId="0" fontId="9" fillId="9" borderId="1" applyAlignment="1" pivotButton="0" quotePrefix="0" xfId="0">
      <alignment horizontal="center" vertical="bottom"/>
    </xf>
    <xf numFmtId="0" fontId="9" fillId="10" borderId="1" applyAlignment="1" pivotButton="0" quotePrefix="0" xfId="0">
      <alignment horizontal="center" vertical="bottom"/>
    </xf>
    <xf numFmtId="0" fontId="9" fillId="11" borderId="1" applyAlignment="1" pivotButton="0" quotePrefix="0" xfId="0">
      <alignment horizontal="center" vertical="bottom"/>
    </xf>
    <xf numFmtId="0" fontId="9" fillId="12" borderId="1" applyAlignment="1" pivotButton="0" quotePrefix="0" xfId="0">
      <alignment horizontal="center" vertical="bottom"/>
    </xf>
    <xf numFmtId="0" fontId="21" fillId="0" borderId="0" applyAlignment="1" pivotButton="0" quotePrefix="0" xfId="0">
      <alignment horizontal="general" vertical="bottom"/>
    </xf>
    <xf numFmtId="0" fontId="21" fillId="0" borderId="0" applyAlignment="1" pivotButton="0" quotePrefix="0" xfId="0">
      <alignment horizontal="center" vertical="bottom"/>
    </xf>
    <xf numFmtId="0" fontId="29" fillId="0" borderId="0" applyAlignment="1" pivotButton="0" quotePrefix="0" xfId="0">
      <alignment horizontal="general" vertical="bottom"/>
    </xf>
    <xf numFmtId="0" fontId="30" fillId="0" borderId="0" applyAlignment="1" pivotButton="0" quotePrefix="0" xfId="0">
      <alignment horizontal="general" vertical="top" wrapText="1"/>
    </xf>
    <xf numFmtId="0" fontId="7" fillId="0" borderId="0" applyAlignment="1" pivotButton="0" quotePrefix="0" xfId="0">
      <alignment horizontal="general" vertical="bottom"/>
    </xf>
    <xf numFmtId="0" fontId="17" fillId="4"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7" borderId="1" applyAlignment="1" pivotButton="0" quotePrefix="0" xfId="0">
      <alignment horizontal="general" vertical="top" wrapText="1"/>
    </xf>
    <xf numFmtId="0" fontId="9" fillId="7" borderId="1" applyAlignment="1" pivotButton="0" quotePrefix="0" xfId="0">
      <alignment horizontal="center" vertical="center" wrapText="1"/>
    </xf>
    <xf numFmtId="0" fontId="13" fillId="3" borderId="1" applyAlignment="1" pivotButton="0" quotePrefix="0" xfId="0">
      <alignment horizontal="general" vertical="top" wrapText="1"/>
    </xf>
    <xf numFmtId="9" fontId="16" fillId="0" borderId="1" applyAlignment="1" pivotButton="0" quotePrefix="0" xfId="0">
      <alignment horizontal="center" vertical="center" wrapText="1"/>
    </xf>
    <xf numFmtId="0" fontId="19" fillId="0" borderId="1" applyAlignment="1" pivotButton="0" quotePrefix="0" xfId="0">
      <alignment horizontal="general" vertical="top" wrapText="1"/>
    </xf>
    <xf numFmtId="0" fontId="16" fillId="0" borderId="0" applyAlignment="1" pivotButton="0" quotePrefix="0" xfId="0">
      <alignment horizontal="general" vertical="bottom"/>
    </xf>
    <xf numFmtId="0" fontId="18" fillId="0" borderId="0" applyAlignment="1" pivotButton="0" quotePrefix="0" xfId="0">
      <alignment horizontal="general" vertical="bottom"/>
    </xf>
    <xf numFmtId="1"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166" fontId="16" fillId="5" borderId="1" applyAlignment="1" pivotButton="0" quotePrefix="0" xfId="0">
      <alignment horizontal="center" vertical="center" wrapText="1"/>
    </xf>
    <xf numFmtId="9" fontId="16" fillId="5" borderId="1" applyAlignment="1" pivotButton="0" quotePrefix="0" xfId="0">
      <alignment horizontal="center" vertical="center" wrapText="1"/>
    </xf>
    <xf numFmtId="1" fontId="16" fillId="3" borderId="1" applyAlignment="1" pivotButton="0" quotePrefix="0" xfId="0">
      <alignment horizontal="center" vertical="center" wrapText="1"/>
    </xf>
    <xf numFmtId="0" fontId="29" fillId="0" borderId="0" applyAlignment="1" pivotButton="0" quotePrefix="0" xfId="0">
      <alignment horizontal="left" vertical="center"/>
    </xf>
    <xf numFmtId="0" fontId="20" fillId="0" borderId="0" applyAlignment="1" pivotButton="0" quotePrefix="0" xfId="0">
      <alignment horizontal="general" vertical="top" wrapText="1"/>
    </xf>
    <xf numFmtId="0" fontId="31" fillId="0" borderId="1" applyAlignment="1" pivotButton="0" quotePrefix="0" xfId="0">
      <alignment horizontal="center" vertical="center" wrapText="1"/>
    </xf>
    <xf numFmtId="9" fontId="21" fillId="0" borderId="1" applyAlignment="1" pivotButton="0" quotePrefix="0" xfId="0">
      <alignment horizontal="center" vertical="center"/>
    </xf>
    <xf numFmtId="0" fontId="25" fillId="3" borderId="1" applyAlignment="1" pivotButton="0" quotePrefix="0" xfId="0">
      <alignment horizontal="left" vertical="top" wrapText="1"/>
    </xf>
    <xf numFmtId="0" fontId="16" fillId="2" borderId="0" applyAlignment="1" pivotButton="0" quotePrefix="0" xfId="0">
      <alignment horizontal="left" vertical="center"/>
    </xf>
    <xf numFmtId="0" fontId="28" fillId="0" borderId="0" applyAlignment="1" pivotButton="0" quotePrefix="0" xfId="0">
      <alignment horizontal="general" vertical="top" wrapText="1"/>
    </xf>
    <xf numFmtId="0" fontId="9" fillId="0" borderId="0" applyAlignment="1" pivotButton="0" quotePrefix="0" xfId="0">
      <alignment horizontal="general" vertical="center"/>
    </xf>
    <xf numFmtId="0" fontId="21" fillId="0" borderId="0" applyAlignment="1" pivotButton="0" quotePrefix="0" xfId="0">
      <alignment horizontal="general" vertical="center"/>
    </xf>
    <xf numFmtId="9" fontId="32" fillId="5" borderId="1" applyAlignment="1" pivotButton="0" quotePrefix="0" xfId="0">
      <alignment horizontal="center" vertical="center"/>
    </xf>
    <xf numFmtId="167" fontId="15" fillId="0" borderId="0" applyAlignment="1" pivotButton="0" quotePrefix="0" xfId="0">
      <alignment horizontal="center" vertical="center" wrapText="1"/>
    </xf>
    <xf numFmtId="0" fontId="9" fillId="0" borderId="0" applyAlignment="1" pivotButton="0" quotePrefix="0" xfId="0">
      <alignment horizontal="left" vertical="center"/>
    </xf>
    <xf numFmtId="166" fontId="21" fillId="0" borderId="1" applyAlignment="1" pivotButton="0" quotePrefix="0" xfId="0">
      <alignment horizontal="center" vertical="center"/>
    </xf>
    <xf numFmtId="0" fontId="21" fillId="0" borderId="0" applyAlignment="1" pivotButton="0" quotePrefix="0" xfId="0">
      <alignment horizontal="left" vertical="center"/>
    </xf>
    <xf numFmtId="0" fontId="16" fillId="5" borderId="1" applyAlignment="1" pivotButton="0" quotePrefix="0" xfId="0">
      <alignment horizontal="center" vertical="center"/>
    </xf>
    <xf numFmtId="2" fontId="16" fillId="5" borderId="1" applyAlignment="1" pivotButton="0" quotePrefix="0" xfId="0">
      <alignment horizontal="center" vertical="center"/>
    </xf>
    <xf numFmtId="9" fontId="16" fillId="5" borderId="1" applyAlignment="1" pivotButton="0" quotePrefix="0" xfId="0">
      <alignment horizontal="center" vertical="center"/>
    </xf>
    <xf numFmtId="0" fontId="9" fillId="5" borderId="1" applyAlignment="1" pivotButton="0" quotePrefix="0" xfId="0">
      <alignment horizontal="left" vertical="center"/>
    </xf>
    <xf numFmtId="168" fontId="33" fillId="0" borderId="1" applyAlignment="1" pivotButton="0" quotePrefix="0" xfId="0">
      <alignment horizontal="center" vertical="center"/>
    </xf>
    <xf numFmtId="0" fontId="11" fillId="0" borderId="1" applyAlignment="1" pivotButton="0" quotePrefix="0" xfId="0">
      <alignment horizontal="left" vertical="center" wrapText="1"/>
    </xf>
    <xf numFmtId="164" fontId="11" fillId="0" borderId="1" applyAlignment="1" pivotButton="0" quotePrefix="0" xfId="0">
      <alignment horizontal="left" vertical="center" wrapText="1"/>
    </xf>
    <xf numFmtId="0" fontId="34" fillId="0" borderId="1" applyAlignment="1" pivotButton="0" quotePrefix="0" xfId="0">
      <alignment horizontal="center" vertical="center" wrapText="1"/>
    </xf>
    <xf numFmtId="0" fontId="8" fillId="13" borderId="1" applyAlignment="1" pivotButton="0" quotePrefix="0" xfId="0">
      <alignment horizontal="center" vertical="center" wrapText="1"/>
    </xf>
    <xf numFmtId="0" fontId="12"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1" fillId="0" borderId="0" applyAlignment="1" pivotButton="0" quotePrefix="0" xfId="0">
      <alignment horizontal="general" vertical="center" wrapText="1"/>
    </xf>
    <xf numFmtId="0" fontId="9" fillId="0" borderId="0" applyAlignment="1" pivotButton="0" quotePrefix="0" xfId="0">
      <alignment horizontal="general" vertical="center" wrapText="1"/>
    </xf>
    <xf numFmtId="166" fontId="16" fillId="5" borderId="1" applyAlignment="1" pivotButton="0" quotePrefix="0" xfId="0">
      <alignment horizontal="center" vertical="center"/>
    </xf>
    <xf numFmtId="1" fontId="16" fillId="5" borderId="1" applyAlignment="1" pivotButton="0" quotePrefix="0" xfId="0">
      <alignment horizontal="center" vertical="center"/>
    </xf>
    <xf numFmtId="0" fontId="9" fillId="3" borderId="1" applyAlignment="1" pivotButton="0" quotePrefix="0" xfId="0">
      <alignment horizontal="left" vertical="top" wrapText="1"/>
    </xf>
    <xf numFmtId="169" fontId="9" fillId="3" borderId="1" applyAlignment="1" pivotButton="0" quotePrefix="0" xfId="0">
      <alignment horizontal="center" vertical="top"/>
    </xf>
    <xf numFmtId="0" fontId="9" fillId="3" borderId="1" applyAlignment="1" pivotButton="0" quotePrefix="0" xfId="0">
      <alignment horizontal="center" vertical="top"/>
    </xf>
    <xf numFmtId="0" fontId="9" fillId="3" borderId="1" applyAlignment="1" pivotButton="0" quotePrefix="0" xfId="0">
      <alignment horizontal="left" vertical="top"/>
    </xf>
    <xf numFmtId="164" fontId="21" fillId="0" borderId="1" applyAlignment="1" pivotButton="0" quotePrefix="0" xfId="0">
      <alignment horizontal="center" vertical="center"/>
    </xf>
    <xf numFmtId="0" fontId="21" fillId="0" borderId="2" applyAlignment="1" pivotButton="0" quotePrefix="0" xfId="0">
      <alignment horizontal="left" vertical="center" wrapText="1"/>
    </xf>
    <xf numFmtId="0" fontId="21" fillId="0" borderId="0" applyAlignment="1" pivotButton="0" quotePrefix="0" xfId="0">
      <alignment horizontal="general" vertical="center"/>
    </xf>
    <xf numFmtId="0" fontId="35" fillId="0" borderId="1" applyAlignment="1" pivotButton="0" quotePrefix="0" xfId="0">
      <alignment horizontal="center" vertical="center"/>
    </xf>
    <xf numFmtId="0" fontId="9" fillId="0" borderId="0" applyAlignment="1" pivotButton="0" quotePrefix="0" xfId="0">
      <alignment horizontal="general" vertical="center"/>
    </xf>
    <xf numFmtId="0" fontId="13" fillId="3" borderId="1" applyAlignment="1" pivotButton="0" quotePrefix="0" xfId="0">
      <alignment horizontal="center" vertical="center"/>
    </xf>
    <xf numFmtId="164" fontId="13" fillId="3" borderId="1" applyAlignment="1" pivotButton="0" quotePrefix="0" xfId="0">
      <alignment horizontal="center" vertical="center"/>
    </xf>
    <xf numFmtId="0" fontId="13" fillId="3" borderId="1" applyAlignment="1" pivotButton="0" quotePrefix="0" xfId="0">
      <alignment horizontal="left" vertical="center" wrapText="1"/>
    </xf>
    <xf numFmtId="0" fontId="9" fillId="0" borderId="0" applyAlignment="1" pivotButton="0" quotePrefix="0" xfId="0">
      <alignment horizontal="left" vertical="center" wrapText="1"/>
    </xf>
    <xf numFmtId="3" fontId="21" fillId="0" borderId="1" applyAlignment="1" pivotButton="0" quotePrefix="0" xfId="0">
      <alignment horizontal="center" vertical="center"/>
    </xf>
    <xf numFmtId="3" fontId="13" fillId="3" borderId="1" applyAlignment="1" pivotButton="0" quotePrefix="0" xfId="0">
      <alignment horizontal="center" vertical="center"/>
    </xf>
    <xf numFmtId="165" fontId="21" fillId="0" borderId="1" applyAlignment="1" pivotButton="0" quotePrefix="0" xfId="0">
      <alignment horizontal="center" vertical="center"/>
    </xf>
    <xf numFmtId="165" fontId="13" fillId="3" borderId="1" applyAlignment="1" pivotButton="0" quotePrefix="0" xfId="0">
      <alignment horizontal="center" vertical="center"/>
    </xf>
    <xf numFmtId="0" fontId="23" fillId="0" borderId="1" applyAlignment="1" pivotButton="0" quotePrefix="0" xfId="0">
      <alignment horizontal="left" vertical="center" wrapText="1"/>
    </xf>
    <xf numFmtId="0" fontId="36" fillId="0" borderId="1" applyAlignment="1" pivotButton="0" quotePrefix="0" xfId="0">
      <alignment horizontal="center" vertical="center" wrapText="1"/>
    </xf>
    <xf numFmtId="0" fontId="13" fillId="3" borderId="1" applyAlignment="1" pivotButton="0" quotePrefix="0" xfId="0">
      <alignment horizontal="center" vertical="center" wrapText="1"/>
    </xf>
    <xf numFmtId="0" fontId="16" fillId="3" borderId="1" applyAlignment="1" pivotButton="0" quotePrefix="0" xfId="0">
      <alignment horizontal="center" vertical="center"/>
    </xf>
    <xf numFmtId="0" fontId="18" fillId="3" borderId="1" applyAlignment="1" pivotButton="0" quotePrefix="0" xfId="0">
      <alignment horizontal="center" vertical="center"/>
    </xf>
    <xf numFmtId="164" fontId="10" fillId="3" borderId="1" applyAlignment="1" pivotButton="0" quotePrefix="0" xfId="0">
      <alignment horizontal="center" vertical="center"/>
    </xf>
    <xf numFmtId="0" fontId="19" fillId="3" borderId="1" applyAlignment="1" pivotButton="0" quotePrefix="0" xfId="0">
      <alignment horizontal="general" vertical="top" wrapText="1"/>
    </xf>
    <xf numFmtId="0" fontId="10" fillId="3" borderId="1" applyAlignment="1" pivotButton="0" quotePrefix="0" xfId="0">
      <alignment horizontal="general" vertical="bottom"/>
    </xf>
    <xf numFmtId="0" fontId="10" fillId="3" borderId="1" applyAlignment="1" pivotButton="0" quotePrefix="0" xfId="0">
      <alignment horizontal="left" vertical="center" wrapText="1"/>
    </xf>
    <xf numFmtId="0" fontId="37" fillId="5" borderId="1" applyAlignment="1" pivotButton="0" quotePrefix="0" xfId="0">
      <alignment horizontal="center" vertical="center" wrapText="1"/>
    </xf>
    <xf numFmtId="9" fontId="10" fillId="3" borderId="1" applyAlignment="1" pivotButton="0" quotePrefix="0" xfId="0">
      <alignment horizontal="center" vertical="center" wrapText="1"/>
    </xf>
    <xf numFmtId="0" fontId="37" fillId="14" borderId="1" applyAlignment="1" pivotButton="0" quotePrefix="0" xfId="0">
      <alignment horizontal="center" vertical="center" wrapText="1"/>
    </xf>
    <xf numFmtId="2" fontId="38"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31" fillId="0" borderId="1" applyAlignment="1" pivotButton="0" quotePrefix="0" xfId="0">
      <alignment horizontal="left" vertical="center" wrapText="1"/>
    </xf>
    <xf numFmtId="0" fontId="39" fillId="0" borderId="1" applyAlignment="1" pivotButton="0" quotePrefix="0" xfId="0">
      <alignment horizontal="center" vertical="center" wrapText="1"/>
    </xf>
    <xf numFmtId="0" fontId="31" fillId="0" borderId="1" applyAlignment="1" pivotButton="0" quotePrefix="0" xfId="0">
      <alignment horizontal="left" vertical="center"/>
    </xf>
    <xf numFmtId="0" fontId="15" fillId="0" borderId="1" applyAlignment="1" pivotButton="0" quotePrefix="0" xfId="0">
      <alignment horizontal="center" vertical="center" wrapText="1"/>
    </xf>
    <xf numFmtId="0" fontId="16" fillId="2" borderId="1" applyAlignment="1" pivotButton="0" quotePrefix="0" xfId="0">
      <alignment horizontal="center" vertical="center" wrapText="1"/>
    </xf>
    <xf numFmtId="0" fontId="12" fillId="8" borderId="1" applyAlignment="1" pivotButton="0" quotePrefix="0" xfId="0">
      <alignment horizontal="left" vertical="center" wrapText="1"/>
    </xf>
    <xf numFmtId="0" fontId="18" fillId="0" borderId="1" applyAlignment="1" pivotButton="0" quotePrefix="0" xfId="0">
      <alignment horizontal="left" vertical="center" wrapText="1"/>
    </xf>
    <xf numFmtId="9" fontId="18" fillId="3" borderId="1" applyAlignment="1" pivotButton="0" quotePrefix="0" xfId="0">
      <alignment horizontal="center" vertical="center"/>
    </xf>
    <xf numFmtId="0" fontId="28" fillId="0" borderId="1" applyAlignment="1" pivotButton="0" quotePrefix="0" xfId="0">
      <alignment horizontal="general" vertical="top" wrapText="1"/>
    </xf>
    <xf numFmtId="0" fontId="12" fillId="12" borderId="1" applyAlignment="1" pivotButton="0" quotePrefix="0" xfId="0">
      <alignment horizontal="left" vertical="center" wrapText="1"/>
    </xf>
    <xf numFmtId="0" fontId="12" fillId="9" borderId="1" applyAlignment="1" pivotButton="0" quotePrefix="0" xfId="0">
      <alignment horizontal="left" vertical="center" wrapText="1"/>
    </xf>
    <xf numFmtId="0" fontId="12" fillId="10" borderId="1" applyAlignment="1" pivotButton="0" quotePrefix="0" xfId="0">
      <alignment horizontal="left" vertical="center" wrapText="1"/>
    </xf>
    <xf numFmtId="0" fontId="12" fillId="11" borderId="1" applyAlignment="1" pivotButton="0" quotePrefix="0" xfId="0">
      <alignment horizontal="left" vertical="center" wrapText="1"/>
    </xf>
    <xf numFmtId="4" fontId="10" fillId="3" borderId="1" applyAlignment="1" pivotButton="0" quotePrefix="0" xfId="0">
      <alignment horizontal="center" vertical="center" wrapText="1"/>
    </xf>
    <xf numFmtId="0" fontId="31" fillId="0" borderId="1" applyAlignment="1" pivotButton="0" quotePrefix="0" xfId="0">
      <alignment horizontal="left" vertical="top" wrapText="1"/>
    </xf>
    <xf numFmtId="3" fontId="31" fillId="0" borderId="1" applyAlignment="1" pivotButton="0" quotePrefix="0" xfId="0">
      <alignment horizontal="center" vertical="center" wrapText="1"/>
    </xf>
    <xf numFmtId="4" fontId="31" fillId="0" borderId="1" applyAlignment="1" pivotButton="0" quotePrefix="0" xfId="0">
      <alignment horizontal="center" vertical="center" wrapText="1"/>
    </xf>
    <xf numFmtId="0" fontId="7" fillId="0" borderId="0" applyAlignment="1" pivotButton="0" quotePrefix="0" xfId="0">
      <alignment horizontal="general" vertical="center"/>
    </xf>
    <xf numFmtId="0" fontId="22" fillId="5" borderId="1" applyAlignment="1" pivotButton="0" quotePrefix="0" xfId="0">
      <alignment horizontal="left" vertical="top" wrapText="1"/>
    </xf>
    <xf numFmtId="0" fontId="22"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0" fillId="0" borderId="5" pivotButton="0" quotePrefix="0" xfId="0"/>
    <xf numFmtId="0" fontId="0" fillId="0" borderId="6" pivotButton="0" quotePrefix="0" xfId="0"/>
    <xf numFmtId="0" fontId="9" fillId="0" borderId="1" applyAlignment="1" pivotButton="0" quotePrefix="0" xfId="0">
      <alignment horizontal="left" vertical="center" wrapText="1"/>
    </xf>
    <xf numFmtId="0" fontId="10" fillId="3" borderId="1" applyAlignment="1" pivotButton="0" quotePrefix="0" xfId="0">
      <alignment horizontal="left"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1" applyAlignment="1" pivotButton="0" quotePrefix="0" xfId="0">
      <alignment horizontal="left" vertical="center" wrapText="1"/>
    </xf>
    <xf numFmtId="0" fontId="11" fillId="0" borderId="1" applyAlignment="1" pivotButton="0" quotePrefix="0" xfId="0">
      <alignment horizontal="general" vertical="bottom"/>
    </xf>
    <xf numFmtId="3" fontId="11" fillId="0" borderId="1" applyAlignment="1" pivotButton="0" quotePrefix="0" xfId="0">
      <alignment horizontal="general" vertical="bottom"/>
    </xf>
    <xf numFmtId="4" fontId="11" fillId="0" borderId="1" applyAlignment="1" pivotButton="0" quotePrefix="0" xfId="0">
      <alignment horizontal="general" vertical="bottom"/>
    </xf>
    <xf numFmtId="164" fontId="10" fillId="3" borderId="1" applyAlignment="1" pivotButton="0" quotePrefix="0" xfId="0">
      <alignment horizontal="left" vertical="center"/>
    </xf>
    <xf numFmtId="3" fontId="10" fillId="3" borderId="1" applyAlignment="1" pivotButton="0" quotePrefix="0" xfId="0">
      <alignment horizontal="center" vertical="center" wrapText="1"/>
    </xf>
    <xf numFmtId="165" fontId="10" fillId="3" borderId="1" applyAlignment="1" pivotButton="0" quotePrefix="0" xfId="0">
      <alignment horizontal="center" vertical="center" wrapText="1"/>
    </xf>
    <xf numFmtId="0" fontId="16" fillId="0" borderId="0" applyAlignment="1" pivotButton="0" quotePrefix="0" xfId="0">
      <alignment horizontal="general" vertical="bottom"/>
    </xf>
    <xf numFmtId="0" fontId="17" fillId="4" borderId="1" applyAlignment="1" pivotButton="0" quotePrefix="0" xfId="0">
      <alignment horizontal="general" vertical="bottom"/>
    </xf>
    <xf numFmtId="0" fontId="18" fillId="0" borderId="0" applyAlignment="1" pivotButton="0" quotePrefix="0" xfId="0">
      <alignment horizontal="general" vertical="bottom"/>
    </xf>
    <xf numFmtId="1" fontId="16" fillId="0" borderId="1" applyAlignment="1" pivotButton="0" quotePrefix="0" xfId="0">
      <alignment horizontal="center" vertical="center"/>
    </xf>
    <xf numFmtId="0" fontId="16" fillId="0" borderId="1" applyAlignment="1" pivotButton="0" quotePrefix="0" xfId="0">
      <alignment horizontal="center" vertical="center"/>
    </xf>
    <xf numFmtId="9" fontId="16" fillId="0" borderId="1" applyAlignment="1" pivotButton="0" quotePrefix="0" xfId="0">
      <alignment horizontal="center" vertical="center"/>
    </xf>
    <xf numFmtId="0" fontId="19" fillId="0" borderId="0" applyAlignment="1" pivotButton="0" quotePrefix="0" xfId="0">
      <alignment horizontal="general" vertical="top" wrapText="1"/>
    </xf>
    <xf numFmtId="0" fontId="4" fillId="0" borderId="0" applyAlignment="1" pivotButton="0" quotePrefix="0" xfId="0">
      <alignment horizontal="general" vertical="bottom"/>
    </xf>
    <xf numFmtId="0" fontId="20" fillId="0" borderId="0" applyAlignment="1" pivotButton="0" quotePrefix="0" xfId="0">
      <alignment horizontal="general" vertical="center"/>
    </xf>
    <xf numFmtId="0" fontId="21" fillId="5" borderId="1" applyAlignment="1" pivotButton="0" quotePrefix="0" xfId="0">
      <alignment horizontal="center" vertical="top"/>
    </xf>
    <xf numFmtId="0" fontId="22" fillId="0" borderId="1" applyAlignment="1" pivotButton="0" quotePrefix="0" xfId="0">
      <alignment horizontal="center" vertical="top"/>
    </xf>
    <xf numFmtId="0" fontId="9" fillId="0" borderId="1" applyAlignment="1" pivotButton="0" quotePrefix="0" xfId="0">
      <alignment horizontal="left" vertical="top" wrapText="1"/>
    </xf>
    <xf numFmtId="0" fontId="23" fillId="0" borderId="1" applyAlignment="1" pivotButton="0" quotePrefix="0" xfId="0">
      <alignment horizontal="center" vertical="top"/>
    </xf>
    <xf numFmtId="0" fontId="24" fillId="3" borderId="1" applyAlignment="1" pivotButton="0" quotePrefix="0" xfId="0">
      <alignment horizontal="center" vertical="top"/>
    </xf>
    <xf numFmtId="0" fontId="23" fillId="0" borderId="1" applyAlignment="1" pivotButton="0" quotePrefix="0" xfId="0">
      <alignment horizontal="left" vertical="top" wrapText="1"/>
    </xf>
    <xf numFmtId="9" fontId="10" fillId="3" borderId="1" applyAlignment="1" pivotButton="0" quotePrefix="0" xfId="0">
      <alignment horizontal="center" vertical="top"/>
    </xf>
    <xf numFmtId="9" fontId="9" fillId="0" borderId="1" applyAlignment="1" pivotButton="0" quotePrefix="0" xfId="0">
      <alignment horizontal="center" vertical="top"/>
    </xf>
    <xf numFmtId="0" fontId="9" fillId="0" borderId="1" applyAlignment="1" pivotButton="0" quotePrefix="0" xfId="0">
      <alignment horizontal="center" vertical="top"/>
    </xf>
    <xf numFmtId="0" fontId="25" fillId="6" borderId="1" applyAlignment="1" pivotButton="0" quotePrefix="0" xfId="0">
      <alignment horizontal="left" vertical="top" wrapText="1"/>
    </xf>
    <xf numFmtId="0" fontId="22" fillId="7" borderId="1" applyAlignment="1" pivotButton="0" quotePrefix="0" xfId="0">
      <alignment horizontal="center" vertical="top"/>
    </xf>
    <xf numFmtId="0" fontId="24" fillId="7" borderId="1" applyAlignment="1" pivotButton="0" quotePrefix="0" xfId="0">
      <alignment horizontal="center" vertical="top"/>
    </xf>
    <xf numFmtId="0" fontId="22" fillId="3" borderId="1" applyAlignment="1" pivotButton="0" quotePrefix="0" xfId="0">
      <alignment horizontal="center" vertical="top"/>
    </xf>
    <xf numFmtId="0" fontId="26" fillId="2" borderId="0" applyAlignment="1" pivotButton="0" quotePrefix="0" xfId="0">
      <alignment horizontal="left" vertical="center"/>
    </xf>
    <xf numFmtId="0" fontId="21" fillId="0" borderId="1" applyAlignment="1" pivotButton="0" quotePrefix="0" xfId="0">
      <alignment horizontal="left" vertical="center"/>
    </xf>
    <xf numFmtId="9" fontId="10" fillId="3" borderId="1" applyAlignment="1" pivotButton="0" quotePrefix="0" xfId="0">
      <alignment horizontal="center" vertical="center"/>
    </xf>
    <xf numFmtId="2" fontId="9" fillId="0" borderId="1" applyAlignment="1" pivotButton="0" quotePrefix="0" xfId="0">
      <alignment horizontal="center" vertical="center"/>
    </xf>
    <xf numFmtId="0" fontId="9" fillId="0" borderId="1" applyAlignment="1" pivotButton="0" quotePrefix="0" xfId="0">
      <alignment horizontal="center" vertical="center"/>
    </xf>
    <xf numFmtId="0" fontId="25" fillId="3" borderId="1" applyAlignment="1" pivotButton="0" quotePrefix="0" xfId="0">
      <alignment horizontal="left" vertical="center" wrapText="1"/>
    </xf>
    <xf numFmtId="0" fontId="27" fillId="5" borderId="1" applyAlignment="1" pivotButton="0" quotePrefix="0" xfId="0">
      <alignment horizontal="left" vertical="center"/>
    </xf>
    <xf numFmtId="9" fontId="21" fillId="5" borderId="1" applyAlignment="1" pivotButton="0" quotePrefix="0" xfId="0">
      <alignment horizontal="center" vertical="center"/>
    </xf>
    <xf numFmtId="2"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left" vertical="center" wrapText="1"/>
    </xf>
    <xf numFmtId="0" fontId="21" fillId="0" borderId="1" applyAlignment="1" pivotButton="0" quotePrefix="0" xfId="0">
      <alignment horizontal="left" vertical="center" wrapText="1"/>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9" fillId="0" borderId="0" applyAlignment="1" pivotButton="0" quotePrefix="0" xfId="0">
      <alignment horizontal="general" vertical="bottom"/>
    </xf>
    <xf numFmtId="0" fontId="8" fillId="2" borderId="13" applyAlignment="1" pivotButton="0" quotePrefix="0" xfId="0">
      <alignment horizontal="center" vertical="center" wrapText="1"/>
    </xf>
    <xf numFmtId="0" fontId="41" fillId="15" borderId="13" applyAlignment="1" pivotButton="0" quotePrefix="0" xfId="0">
      <alignment horizontal="left" vertical="top" wrapText="1"/>
    </xf>
    <xf numFmtId="0" fontId="41" fillId="15" borderId="13" applyAlignment="1" pivotButton="0" quotePrefix="0" xfId="0">
      <alignment horizontal="center" vertical="center" wrapText="1"/>
    </xf>
    <xf numFmtId="0" fontId="40" fillId="0" borderId="12" pivotButton="0" quotePrefix="0" xfId="0"/>
    <xf numFmtId="0" fontId="42" fillId="0" borderId="12" applyAlignment="1" pivotButton="0" quotePrefix="0" xfId="0">
      <alignment horizontal="left" vertical="top" wrapText="1"/>
    </xf>
    <xf numFmtId="0" fontId="9" fillId="0" borderId="1" applyAlignment="1" pivotButton="0" quotePrefix="0" xfId="0">
      <alignment horizontal="left" vertical="center"/>
    </xf>
    <xf numFmtId="2" fontId="21" fillId="0" borderId="1" applyAlignment="1" pivotButton="0" quotePrefix="0" xfId="0">
      <alignment horizontal="center" vertical="center"/>
    </xf>
    <xf numFmtId="0" fontId="21" fillId="0" borderId="1" applyAlignment="1" pivotButton="0" quotePrefix="0" xfId="0">
      <alignment horizontal="center" vertical="center"/>
    </xf>
    <xf numFmtId="0" fontId="21" fillId="5" borderId="1" applyAlignment="1" pivotButton="0" quotePrefix="0" xfId="0">
      <alignment horizontal="left" vertical="center"/>
    </xf>
    <xf numFmtId="0" fontId="28" fillId="0" borderId="0" applyAlignment="1" pivotButton="0" quotePrefix="0" xfId="0">
      <alignment horizontal="general" vertical="top" wrapText="1"/>
    </xf>
    <xf numFmtId="0" fontId="21" fillId="0" borderId="1" applyAlignment="1" pivotButton="0" quotePrefix="0" xfId="0">
      <alignment horizontal="center" vertical="bottom"/>
    </xf>
    <xf numFmtId="0" fontId="9" fillId="8" borderId="1" applyAlignment="1" pivotButton="0" quotePrefix="0" xfId="0">
      <alignment horizontal="center" vertical="bottom"/>
    </xf>
    <xf numFmtId="0" fontId="9" fillId="9" borderId="1" applyAlignment="1" pivotButton="0" quotePrefix="0" xfId="0">
      <alignment horizontal="center" vertical="bottom"/>
    </xf>
    <xf numFmtId="0" fontId="9" fillId="10" borderId="1" applyAlignment="1" pivotButton="0" quotePrefix="0" xfId="0">
      <alignment horizontal="center" vertical="bottom"/>
    </xf>
    <xf numFmtId="0" fontId="9" fillId="11" borderId="1" applyAlignment="1" pivotButton="0" quotePrefix="0" xfId="0">
      <alignment horizontal="center" vertical="bottom"/>
    </xf>
    <xf numFmtId="0" fontId="9" fillId="12" borderId="1" applyAlignment="1" pivotButton="0" quotePrefix="0" xfId="0">
      <alignment horizontal="center" vertical="bottom"/>
    </xf>
    <xf numFmtId="0" fontId="21" fillId="0" borderId="0" applyAlignment="1" pivotButton="0" quotePrefix="0" xfId="0">
      <alignment horizontal="center" vertical="bottom"/>
    </xf>
    <xf numFmtId="0" fontId="29" fillId="0" borderId="0" applyAlignment="1" pivotButton="0" quotePrefix="0" xfId="0">
      <alignment horizontal="general" vertical="bottom"/>
    </xf>
    <xf numFmtId="0" fontId="30" fillId="0" borderId="0" applyAlignment="1" pivotButton="0" quotePrefix="0" xfId="0">
      <alignment horizontal="general" vertical="top" wrapText="1"/>
    </xf>
    <xf numFmtId="0" fontId="17" fillId="4"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7" borderId="1" applyAlignment="1" pivotButton="0" quotePrefix="0" xfId="0">
      <alignment horizontal="general" vertical="top" wrapText="1"/>
    </xf>
    <xf numFmtId="0" fontId="9" fillId="7" borderId="1" applyAlignment="1" pivotButton="0" quotePrefix="0" xfId="0">
      <alignment horizontal="center" vertical="center" wrapText="1"/>
    </xf>
    <xf numFmtId="0" fontId="13" fillId="3" borderId="1" applyAlignment="1" pivotButton="0" quotePrefix="0" xfId="0">
      <alignment horizontal="general" vertical="top" wrapText="1"/>
    </xf>
    <xf numFmtId="9" fontId="16" fillId="0" borderId="1" applyAlignment="1" pivotButton="0" quotePrefix="0" xfId="0">
      <alignment horizontal="center" vertical="center" wrapText="1"/>
    </xf>
    <xf numFmtId="0" fontId="19" fillId="0" borderId="1" applyAlignment="1" pivotButton="0" quotePrefix="0" xfId="0">
      <alignment horizontal="general" vertical="top" wrapText="1"/>
    </xf>
    <xf numFmtId="1"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166" fontId="16" fillId="5" borderId="1" applyAlignment="1" pivotButton="0" quotePrefix="0" xfId="0">
      <alignment horizontal="center" vertical="center" wrapText="1"/>
    </xf>
    <xf numFmtId="9" fontId="16" fillId="5" borderId="1" applyAlignment="1" pivotButton="0" quotePrefix="0" xfId="0">
      <alignment horizontal="center" vertical="center" wrapText="1"/>
    </xf>
    <xf numFmtId="1" fontId="16" fillId="3" borderId="1" applyAlignment="1" pivotButton="0" quotePrefix="0" xfId="0">
      <alignment horizontal="center" vertical="center" wrapText="1"/>
    </xf>
    <xf numFmtId="0" fontId="29" fillId="0" borderId="0" applyAlignment="1" pivotButton="0" quotePrefix="0" xfId="0">
      <alignment horizontal="left" vertical="center"/>
    </xf>
    <xf numFmtId="0" fontId="20" fillId="0" borderId="0" applyAlignment="1" pivotButton="0" quotePrefix="0" xfId="0">
      <alignment horizontal="general" vertical="top" wrapText="1"/>
    </xf>
    <xf numFmtId="0" fontId="31" fillId="0" borderId="1" applyAlignment="1" pivotButton="0" quotePrefix="0" xfId="0">
      <alignment horizontal="center" vertical="center" wrapText="1"/>
    </xf>
    <xf numFmtId="0" fontId="10" fillId="3" borderId="1" applyAlignment="1" pivotButton="0" quotePrefix="0" xfId="0">
      <alignment horizontal="left" vertical="top" wrapText="1"/>
    </xf>
    <xf numFmtId="0" fontId="10" fillId="3" borderId="1" applyAlignment="1" pivotButton="0" quotePrefix="0" xfId="0">
      <alignment horizontal="center" vertical="center" wrapText="1"/>
    </xf>
    <xf numFmtId="9" fontId="21" fillId="0" borderId="1" applyAlignment="1" pivotButton="0" quotePrefix="0" xfId="0">
      <alignment horizontal="center" vertical="center"/>
    </xf>
    <xf numFmtId="0" fontId="25" fillId="3" borderId="1" applyAlignment="1" pivotButton="0" quotePrefix="0" xfId="0">
      <alignment horizontal="left" vertical="top" wrapText="1"/>
    </xf>
    <xf numFmtId="0" fontId="16" fillId="2" borderId="0" applyAlignment="1" pivotButton="0" quotePrefix="0" xfId="0">
      <alignment horizontal="left" vertical="center"/>
    </xf>
    <xf numFmtId="0" fontId="9" fillId="0" borderId="0" applyAlignment="1" pivotButton="0" quotePrefix="0" xfId="0">
      <alignment horizontal="general" vertical="center"/>
    </xf>
    <xf numFmtId="0" fontId="21" fillId="0" borderId="0" applyAlignment="1" pivotButton="0" quotePrefix="0" xfId="0">
      <alignment horizontal="general" vertical="center"/>
    </xf>
    <xf numFmtId="9" fontId="32" fillId="5" borderId="1" applyAlignment="1" pivotButton="0" quotePrefix="0" xfId="0">
      <alignment horizontal="center" vertical="center"/>
    </xf>
    <xf numFmtId="167" fontId="15" fillId="0" borderId="0" applyAlignment="1" pivotButton="0" quotePrefix="0" xfId="0">
      <alignment horizontal="center" vertical="center" wrapText="1"/>
    </xf>
    <xf numFmtId="0" fontId="9" fillId="0" borderId="0" applyAlignment="1" pivotButton="0" quotePrefix="0" xfId="0">
      <alignment horizontal="left" vertical="center"/>
    </xf>
    <xf numFmtId="166" fontId="21" fillId="0" borderId="1" applyAlignment="1" pivotButton="0" quotePrefix="0" xfId="0">
      <alignment horizontal="center" vertical="center"/>
    </xf>
    <xf numFmtId="0" fontId="21" fillId="0" borderId="0" applyAlignment="1" pivotButton="0" quotePrefix="0" xfId="0">
      <alignment horizontal="left" vertical="center"/>
    </xf>
    <xf numFmtId="0" fontId="16" fillId="5" borderId="1" applyAlignment="1" pivotButton="0" quotePrefix="0" xfId="0">
      <alignment horizontal="center" vertical="center"/>
    </xf>
    <xf numFmtId="2" fontId="16" fillId="5" borderId="1" applyAlignment="1" pivotButton="0" quotePrefix="0" xfId="0">
      <alignment horizontal="center" vertical="center"/>
    </xf>
    <xf numFmtId="9" fontId="16" fillId="5" borderId="1" applyAlignment="1" pivotButton="0" quotePrefix="0" xfId="0">
      <alignment horizontal="center" vertical="center"/>
    </xf>
    <xf numFmtId="0" fontId="9" fillId="5" borderId="1" applyAlignment="1" pivotButton="0" quotePrefix="0" xfId="0">
      <alignment horizontal="left" vertical="center"/>
    </xf>
    <xf numFmtId="168" fontId="33" fillId="0" borderId="1" applyAlignment="1" pivotButton="0" quotePrefix="0" xfId="0">
      <alignment horizontal="center" vertical="center"/>
    </xf>
    <xf numFmtId="0" fontId="11" fillId="0" borderId="1" applyAlignment="1" pivotButton="0" quotePrefix="0" xfId="0">
      <alignment horizontal="left" vertical="center" wrapText="1"/>
    </xf>
    <xf numFmtId="164" fontId="11" fillId="0" borderId="1" applyAlignment="1" pivotButton="0" quotePrefix="0" xfId="0">
      <alignment horizontal="left" vertical="center" wrapText="1"/>
    </xf>
    <xf numFmtId="0" fontId="34" fillId="0" borderId="1" applyAlignment="1" pivotButton="0" quotePrefix="0" xfId="0">
      <alignment horizontal="center" vertical="center" wrapText="1"/>
    </xf>
    <xf numFmtId="0" fontId="0" fillId="0" borderId="3"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11" pivotButton="0" quotePrefix="0" xfId="0"/>
    <xf numFmtId="0" fontId="8" fillId="13" borderId="1" applyAlignment="1" pivotButton="0" quotePrefix="0" xfId="0">
      <alignment horizontal="center" vertical="center" wrapText="1"/>
    </xf>
    <xf numFmtId="0" fontId="12"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1" fillId="0" borderId="0" applyAlignment="1" pivotButton="0" quotePrefix="0" xfId="0">
      <alignment horizontal="general" vertical="center" wrapText="1"/>
    </xf>
    <xf numFmtId="0" fontId="9" fillId="0" borderId="0" applyAlignment="1" pivotButton="0" quotePrefix="0" xfId="0">
      <alignment horizontal="general" vertical="center" wrapText="1"/>
    </xf>
    <xf numFmtId="166" fontId="16" fillId="5" borderId="1" applyAlignment="1" pivotButton="0" quotePrefix="0" xfId="0">
      <alignment horizontal="center" vertical="center"/>
    </xf>
    <xf numFmtId="1" fontId="16" fillId="5" borderId="1" applyAlignment="1" pivotButton="0" quotePrefix="0" xfId="0">
      <alignment horizontal="center" vertical="center"/>
    </xf>
    <xf numFmtId="0" fontId="9" fillId="3" borderId="1" applyAlignment="1" pivotButton="0" quotePrefix="0" xfId="0">
      <alignment horizontal="left" vertical="top" wrapText="1"/>
    </xf>
    <xf numFmtId="169" fontId="9" fillId="3" borderId="1" applyAlignment="1" pivotButton="0" quotePrefix="0" xfId="0">
      <alignment horizontal="center" vertical="top"/>
    </xf>
    <xf numFmtId="0" fontId="9" fillId="3" borderId="1" applyAlignment="1" pivotButton="0" quotePrefix="0" xfId="0">
      <alignment horizontal="center" vertical="top"/>
    </xf>
    <xf numFmtId="0" fontId="9" fillId="3" borderId="1" applyAlignment="1" pivotButton="0" quotePrefix="0" xfId="0">
      <alignment horizontal="left" vertical="top"/>
    </xf>
    <xf numFmtId="164" fontId="21" fillId="0" borderId="1" applyAlignment="1" pivotButton="0" quotePrefix="0" xfId="0">
      <alignment horizontal="center" vertical="center"/>
    </xf>
    <xf numFmtId="0" fontId="21" fillId="0" borderId="2" applyAlignment="1" pivotButton="0" quotePrefix="0" xfId="0">
      <alignment horizontal="left" vertical="center" wrapText="1"/>
    </xf>
    <xf numFmtId="0" fontId="35" fillId="0" borderId="1" applyAlignment="1" pivotButton="0" quotePrefix="0" xfId="0">
      <alignment horizontal="center" vertical="center"/>
    </xf>
    <xf numFmtId="0" fontId="13" fillId="3" borderId="1" applyAlignment="1" pivotButton="0" quotePrefix="0" xfId="0">
      <alignment horizontal="center" vertical="center"/>
    </xf>
    <xf numFmtId="164" fontId="13" fillId="3" borderId="1" applyAlignment="1" pivotButton="0" quotePrefix="0" xfId="0">
      <alignment horizontal="center" vertical="center"/>
    </xf>
    <xf numFmtId="0" fontId="13" fillId="3" borderId="1" applyAlignment="1" pivotButton="0" quotePrefix="0" xfId="0">
      <alignment horizontal="left" vertical="center" wrapText="1"/>
    </xf>
    <xf numFmtId="0" fontId="9" fillId="0" borderId="0" applyAlignment="1" pivotButton="0" quotePrefix="0" xfId="0">
      <alignment horizontal="left" vertical="center" wrapText="1"/>
    </xf>
    <xf numFmtId="3" fontId="21" fillId="0" borderId="1" applyAlignment="1" pivotButton="0" quotePrefix="0" xfId="0">
      <alignment horizontal="center" vertical="center"/>
    </xf>
    <xf numFmtId="3" fontId="13" fillId="3" borderId="1" applyAlignment="1" pivotButton="0" quotePrefix="0" xfId="0">
      <alignment horizontal="center" vertical="center"/>
    </xf>
    <xf numFmtId="165" fontId="21" fillId="0" borderId="1" applyAlignment="1" pivotButton="0" quotePrefix="0" xfId="0">
      <alignment horizontal="center" vertical="center"/>
    </xf>
    <xf numFmtId="165" fontId="13" fillId="3" borderId="1" applyAlignment="1" pivotButton="0" quotePrefix="0" xfId="0">
      <alignment horizontal="center" vertical="center"/>
    </xf>
    <xf numFmtId="0" fontId="23" fillId="0" borderId="1" applyAlignment="1" pivotButton="0" quotePrefix="0" xfId="0">
      <alignment horizontal="left" vertical="center" wrapText="1"/>
    </xf>
    <xf numFmtId="0" fontId="36" fillId="0" borderId="1" applyAlignment="1" pivotButton="0" quotePrefix="0" xfId="0">
      <alignment horizontal="center" vertical="center" wrapText="1"/>
    </xf>
    <xf numFmtId="0" fontId="13" fillId="3" borderId="1" applyAlignment="1" pivotButton="0" quotePrefix="0" xfId="0">
      <alignment horizontal="center" vertical="center" wrapText="1"/>
    </xf>
    <xf numFmtId="0" fontId="16" fillId="3" borderId="1" applyAlignment="1" pivotButton="0" quotePrefix="0" xfId="0">
      <alignment horizontal="center" vertical="center"/>
    </xf>
    <xf numFmtId="0" fontId="18" fillId="3" borderId="1" applyAlignment="1" pivotButton="0" quotePrefix="0" xfId="0">
      <alignment horizontal="center" vertical="center"/>
    </xf>
    <xf numFmtId="164" fontId="10" fillId="3" borderId="1" applyAlignment="1" pivotButton="0" quotePrefix="0" xfId="0">
      <alignment horizontal="center" vertical="center"/>
    </xf>
    <xf numFmtId="0" fontId="19" fillId="3" borderId="1" applyAlignment="1" pivotButton="0" quotePrefix="0" xfId="0">
      <alignment horizontal="general" vertical="top" wrapText="1"/>
    </xf>
    <xf numFmtId="0" fontId="10" fillId="3" borderId="1" applyAlignment="1" pivotButton="0" quotePrefix="0" xfId="0">
      <alignment horizontal="general" vertical="bottom"/>
    </xf>
    <xf numFmtId="0" fontId="10" fillId="3" borderId="1" applyAlignment="1" pivotButton="0" quotePrefix="0" xfId="0">
      <alignment horizontal="left" vertical="center" wrapText="1"/>
    </xf>
    <xf numFmtId="0" fontId="37" fillId="5" borderId="1" applyAlignment="1" pivotButton="0" quotePrefix="0" xfId="0">
      <alignment horizontal="center" vertical="center" wrapText="1"/>
    </xf>
    <xf numFmtId="9" fontId="10" fillId="3" borderId="1" applyAlignment="1" pivotButton="0" quotePrefix="0" xfId="0">
      <alignment horizontal="center" vertical="center" wrapText="1"/>
    </xf>
    <xf numFmtId="0" fontId="37" fillId="14" borderId="1" applyAlignment="1" pivotButton="0" quotePrefix="0" xfId="0">
      <alignment horizontal="center" vertical="center" wrapText="1"/>
    </xf>
    <xf numFmtId="2" fontId="38"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31" fillId="0" borderId="1" applyAlignment="1" pivotButton="0" quotePrefix="0" xfId="0">
      <alignment horizontal="left" vertical="center" wrapText="1"/>
    </xf>
    <xf numFmtId="0" fontId="39" fillId="0" borderId="1" applyAlignment="1" pivotButton="0" quotePrefix="0" xfId="0">
      <alignment horizontal="center" vertical="center" wrapText="1"/>
    </xf>
    <xf numFmtId="0" fontId="31" fillId="0" borderId="1" applyAlignment="1" pivotButton="0" quotePrefix="0" xfId="0">
      <alignment horizontal="left" vertical="center"/>
    </xf>
    <xf numFmtId="0" fontId="15" fillId="0" borderId="1" applyAlignment="1" pivotButton="0" quotePrefix="0" xfId="0">
      <alignment horizontal="center" vertical="center" wrapText="1"/>
    </xf>
    <xf numFmtId="0" fontId="16" fillId="2" borderId="1" applyAlignment="1" pivotButton="0" quotePrefix="0" xfId="0">
      <alignment horizontal="center" vertical="center" wrapText="1"/>
    </xf>
    <xf numFmtId="0" fontId="12" fillId="8" borderId="1" applyAlignment="1" pivotButton="0" quotePrefix="0" xfId="0">
      <alignment horizontal="left" vertical="center" wrapText="1"/>
    </xf>
    <xf numFmtId="0" fontId="18" fillId="0" borderId="1" applyAlignment="1" pivotButton="0" quotePrefix="0" xfId="0">
      <alignment horizontal="left" vertical="center" wrapText="1"/>
    </xf>
    <xf numFmtId="9" fontId="18" fillId="3" borderId="1" applyAlignment="1" pivotButton="0" quotePrefix="0" xfId="0">
      <alignment horizontal="center" vertical="center"/>
    </xf>
    <xf numFmtId="0" fontId="28" fillId="0" borderId="1" applyAlignment="1" pivotButton="0" quotePrefix="0" xfId="0">
      <alignment horizontal="general" vertical="top" wrapText="1"/>
    </xf>
    <xf numFmtId="0" fontId="12" fillId="12" borderId="1" applyAlignment="1" pivotButton="0" quotePrefix="0" xfId="0">
      <alignment horizontal="left" vertical="center" wrapText="1"/>
    </xf>
    <xf numFmtId="0" fontId="12" fillId="9" borderId="1" applyAlignment="1" pivotButton="0" quotePrefix="0" xfId="0">
      <alignment horizontal="left" vertical="center" wrapText="1"/>
    </xf>
    <xf numFmtId="0" fontId="12" fillId="10" borderId="1" applyAlignment="1" pivotButton="0" quotePrefix="0" xfId="0">
      <alignment horizontal="left" vertical="center" wrapText="1"/>
    </xf>
    <xf numFmtId="0" fontId="12" fillId="11" borderId="1" applyAlignment="1" pivotButton="0" quotePrefix="0" xfId="0">
      <alignment horizontal="left" vertical="center" wrapText="1"/>
    </xf>
    <xf numFmtId="4" fontId="10" fillId="3" borderId="1" applyAlignment="1" pivotButton="0" quotePrefix="0" xfId="0">
      <alignment horizontal="center" vertical="center" wrapText="1"/>
    </xf>
    <xf numFmtId="0" fontId="31" fillId="0" borderId="1" applyAlignment="1" pivotButton="0" quotePrefix="0" xfId="0">
      <alignment horizontal="left" vertical="top" wrapText="1"/>
    </xf>
    <xf numFmtId="3" fontId="31" fillId="0" borderId="1" applyAlignment="1" pivotButton="0" quotePrefix="0" xfId="0">
      <alignment horizontal="center" vertical="center" wrapText="1"/>
    </xf>
    <xf numFmtId="4" fontId="31" fillId="0" borderId="1" applyAlignment="1" pivotButton="0" quotePrefix="0" xfId="0">
      <alignment horizontal="center" vertical="center" wrapText="1"/>
    </xf>
    <xf numFmtId="0" fontId="7" fillId="0" borderId="0" applyAlignment="1" pivotButton="0" quotePrefix="0" xfId="0">
      <alignment horizontal="general" vertical="center"/>
    </xf>
    <xf numFmtId="0" fontId="22" fillId="5" borderId="1" applyAlignment="1" pivotButton="0" quotePrefix="0" xfId="0">
      <alignment horizontal="left" vertical="top" wrapText="1"/>
    </xf>
    <xf numFmtId="0" fontId="22" fillId="0" borderId="1" applyAlignment="1" pivotButton="0" quotePrefix="0" xfId="0">
      <alignment horizontal="center" vertical="top" wrapText="1"/>
    </xf>
    <xf numFmtId="0" fontId="25" fillId="6" borderId="1" applyAlignment="1" pivotButton="0" quotePrefix="0" xfId="0">
      <alignment vertical="top" wrapText="1"/>
    </xf>
    <xf numFmtId="0" fontId="31" fillId="0" borderId="1" applyAlignment="1" pivotButton="0" quotePrefix="0" xfId="0">
      <alignment vertical="top" wrapText="1"/>
    </xf>
    <xf numFmtId="0" fontId="25" fillId="3" borderId="1" applyAlignment="1" pivotButton="0" quotePrefix="0" xfId="0">
      <alignment vertical="top" wrapText="1"/>
    </xf>
    <xf numFmtId="0" fontId="41" fillId="15" borderId="13" applyAlignment="1" pivotButton="0" quotePrefix="0" xfId="0">
      <alignment vertical="top" wrapText="1"/>
    </xf>
    <xf numFmtId="0" fontId="10" fillId="3" borderId="1" applyAlignment="1" pivotButton="0" quotePrefix="0" xfId="0">
      <alignment vertical="top" wrapText="1"/>
    </xf>
    <xf numFmtId="0" fontId="9" fillId="3" borderId="1" applyAlignment="1" pivotButton="0" quotePrefix="0" xfId="0">
      <alignment vertical="top" wrapText="1"/>
    </xf>
    <xf numFmtId="170" fontId="9" fillId="3" borderId="1" applyAlignment="1" pivotButton="0" quotePrefix="0" xfId="0">
      <alignment horizontal="center" vertical="top"/>
    </xf>
    <xf numFmtId="0" fontId="13" fillId="3" borderId="1" applyAlignment="1" pivotButton="0" quotePrefix="0" xfId="0">
      <alignment vertical="top" wrapText="1"/>
    </xf>
    <xf numFmtId="0" fontId="43" fillId="0" borderId="0" pivotButton="0" quotePrefix="0" xfId="0"/>
    <xf numFmtId="0" fontId="44" fillId="0" borderId="0" pivotButton="0" quotePrefix="0" xfId="0"/>
    <xf numFmtId="0" fontId="45" fillId="0" borderId="0" pivotButton="0" quotePrefix="0" xfId="0"/>
    <xf numFmtId="0" fontId="46" fillId="16" borderId="0" applyAlignment="1" pivotButton="0" quotePrefix="0" xfId="0">
      <alignment vertical="center" indent="1"/>
    </xf>
    <xf numFmtId="0" fontId="47" fillId="0" borderId="0" applyAlignment="1" pivotButton="0" quotePrefix="0" xfId="0">
      <alignment vertical="center" indent="1"/>
    </xf>
    <xf numFmtId="0" fontId="48" fillId="17" borderId="14" applyAlignment="1" pivotButton="0" quotePrefix="0" xfId="0">
      <alignment vertical="center" indent="1"/>
    </xf>
    <xf numFmtId="0" fontId="49" fillId="18" borderId="14" applyAlignment="1" pivotButton="0" quotePrefix="0" xfId="0">
      <alignment horizontal="center" vertical="center"/>
    </xf>
    <xf numFmtId="0" fontId="50" fillId="0" borderId="14" applyAlignment="1" pivotButton="0" quotePrefix="0" xfId="0">
      <alignment horizontal="center" vertical="center"/>
    </xf>
    <xf numFmtId="0" fontId="51" fillId="0" borderId="14" applyAlignment="1" pivotButton="0" quotePrefix="0" xfId="0">
      <alignment vertical="center" indent="1"/>
    </xf>
    <xf numFmtId="0" fontId="52" fillId="17" borderId="14" applyAlignment="1" pivotButton="0" quotePrefix="0" xfId="0">
      <alignment horizontal="center" vertical="center"/>
    </xf>
    <xf numFmtId="0" fontId="51" fillId="0" borderId="14" applyAlignment="1" pivotButton="0" quotePrefix="0" xfId="0">
      <alignment horizontal="center" vertical="center"/>
    </xf>
    <xf numFmtId="2" fontId="51" fillId="19" borderId="14" applyAlignment="1" pivotButton="0" quotePrefix="0" xfId="0">
      <alignment horizontal="center" vertical="center"/>
    </xf>
    <xf numFmtId="2" fontId="51" fillId="0" borderId="14" applyAlignment="1" pivotButton="0" quotePrefix="0" xfId="0">
      <alignment horizontal="center" vertical="center"/>
    </xf>
    <xf numFmtId="0" fontId="53" fillId="0" borderId="14" applyAlignment="1" pivotButton="0" quotePrefix="0" xfId="0">
      <alignment vertical="center" indent="1"/>
    </xf>
    <xf numFmtId="0" fontId="51" fillId="20" borderId="14" applyAlignment="1" pivotButton="0" quotePrefix="0" xfId="0">
      <alignment vertical="center" indent="1"/>
    </xf>
    <xf numFmtId="0" fontId="53" fillId="20" borderId="14" applyAlignment="1" pivotButton="0" quotePrefix="0" xfId="0">
      <alignment vertical="center" indent="1"/>
    </xf>
    <xf numFmtId="171" fontId="51" fillId="0" borderId="14" applyAlignment="1" pivotButton="0" quotePrefix="0" xfId="0">
      <alignment horizontal="center" vertical="center"/>
    </xf>
    <xf numFmtId="0" fontId="54" fillId="0" borderId="0" pivotButton="0" quotePrefix="0" xfId="0"/>
    <xf numFmtId="171" fontId="50" fillId="0" borderId="0" applyAlignment="1" pivotButton="0" quotePrefix="0" xfId="0">
      <alignment horizontal="center" vertical="center"/>
    </xf>
    <xf numFmtId="0" fontId="54" fillId="0" borderId="0" applyAlignment="1" pivotButton="0" quotePrefix="0" xfId="0">
      <alignment horizontal="center" vertical="center"/>
    </xf>
    <xf numFmtId="2" fontId="47" fillId="21" borderId="14" applyAlignment="1" pivotButton="0" quotePrefix="0" xfId="0">
      <alignment vertical="center" indent="1"/>
    </xf>
    <xf numFmtId="0" fontId="47" fillId="21" borderId="14" applyAlignment="1" pivotButton="0" quotePrefix="0" xfId="0">
      <alignment vertical="center" indent="1"/>
    </xf>
    <xf numFmtId="0" fontId="55" fillId="16" borderId="0" applyAlignment="1" pivotButton="0" quotePrefix="0" xfId="0">
      <alignment horizontal="center" vertical="center"/>
    </xf>
    <xf numFmtId="0" fontId="56" fillId="22" borderId="0" applyAlignment="1" pivotButton="0" quotePrefix="0" xfId="0">
      <alignment horizontal="center" vertical="center"/>
    </xf>
    <xf numFmtId="0" fontId="44" fillId="0" borderId="0" applyAlignment="1" pivotButton="0" quotePrefix="0" xfId="0">
      <alignment vertical="top" wrapText="1"/>
    </xf>
    <xf numFmtId="0" fontId="50" fillId="0" borderId="0" pivotButton="0" quotePrefix="0" xfId="0"/>
    <xf numFmtId="0" fontId="50" fillId="0" borderId="14" applyAlignment="1" pivotButton="0" quotePrefix="0" xfId="0">
      <alignment indent="1"/>
    </xf>
    <xf numFmtId="0" fontId="44" fillId="0" borderId="14" applyAlignment="1" pivotButton="0" quotePrefix="0" xfId="0">
      <alignment vertical="center" indent="1"/>
    </xf>
    <xf numFmtId="0" fontId="0" fillId="0" borderId="14" pivotButton="0" quotePrefix="0" xfId="0"/>
    <xf numFmtId="0" fontId="51" fillId="0" borderId="0" applyAlignment="1" pivotButton="0" quotePrefix="0" xfId="0">
      <alignment vertical="center" indent="1"/>
    </xf>
    <xf numFmtId="0" fontId="57" fillId="21" borderId="14" applyAlignment="1" pivotButton="0" quotePrefix="0" xfId="0">
      <alignment vertical="center" indent="1"/>
    </xf>
    <xf numFmtId="0" fontId="51" fillId="19" borderId="14" applyAlignment="1" pivotButton="0" quotePrefix="0" xfId="0">
      <alignment vertical="top" wrapText="1"/>
    </xf>
    <xf numFmtId="0" fontId="58" fillId="0" borderId="0" applyAlignment="1" pivotButton="0" quotePrefix="0" xfId="0">
      <alignment vertical="top" wrapText="1"/>
    </xf>
    <xf numFmtId="2" fontId="54" fillId="0" borderId="14" applyAlignment="1" pivotButton="0" quotePrefix="0" xfId="0">
      <alignment horizontal="center" vertical="center"/>
    </xf>
    <xf numFmtId="0" fontId="53" fillId="0" borderId="0" pivotButton="0" quotePrefix="0" xfId="0"/>
    <xf numFmtId="0" fontId="59" fillId="0" borderId="14" applyAlignment="1" pivotButton="0" quotePrefix="0" xfId="0">
      <alignment horizontal="center" vertical="center"/>
    </xf>
    <xf numFmtId="0" fontId="60" fillId="0" borderId="14" applyAlignment="1" pivotButton="0" quotePrefix="0" xfId="0">
      <alignment horizontal="center" vertical="center"/>
    </xf>
    <xf numFmtId="0" fontId="60" fillId="0" borderId="14" applyAlignment="1" pivotButton="0" quotePrefix="0" xfId="0">
      <alignment vertical="center" indent="1"/>
    </xf>
    <xf numFmtId="0" fontId="61" fillId="0" borderId="14" pivotButton="0" quotePrefix="0" xfId="0"/>
    <xf numFmtId="0" fontId="0" fillId="0" borderId="17" pivotButton="0" quotePrefix="0" xfId="0"/>
    <xf numFmtId="0" fontId="0" fillId="0" borderId="18" pivotButton="0" quotePrefix="0" xfId="0"/>
    <xf numFmtId="0" fontId="0" fillId="0" borderId="15" pivotButton="0" quotePrefix="0" xfId="0"/>
    <xf numFmtId="0" fontId="0" fillId="0" borderId="16" pivotButton="0" quotePrefix="0" xfId="0"/>
    <xf numFmtId="0" fontId="0" fillId="0" borderId="21" pivotButton="0" quotePrefix="0" xfId="0"/>
    <xf numFmtId="0" fontId="0" fillId="0" borderId="22" pivotButton="0" quotePrefix="0" xfId="0"/>
    <xf numFmtId="0" fontId="0" fillId="0" borderId="23" pivotButton="0" quotePrefix="0" xfId="0"/>
    <xf numFmtId="0" fontId="62" fillId="0" borderId="0" pivotButton="0" quotePrefix="0" xfId="0"/>
    <xf numFmtId="0" fontId="63" fillId="0" borderId="14" applyAlignment="1" pivotButton="0" quotePrefix="0" xfId="0">
      <alignment horizontal="center" vertical="center"/>
    </xf>
    <xf numFmtId="0" fontId="52" fillId="17" borderId="14" applyAlignment="1" pivotButton="0" quotePrefix="0" xfId="0">
      <alignment vertical="center" indent="1"/>
    </xf>
    <xf numFmtId="0" fontId="64" fillId="0" borderId="14" applyAlignment="1" pivotButton="0" quotePrefix="0" xfId="0">
      <alignment horizontal="center" vertical="center"/>
    </xf>
    <xf numFmtId="2" fontId="65" fillId="21" borderId="14" applyAlignment="1" pivotButton="0" quotePrefix="0" xfId="0">
      <alignment horizontal="center" vertical="center"/>
    </xf>
    <xf numFmtId="0" fontId="66" fillId="21" borderId="14" applyAlignment="1" pivotButton="0" quotePrefix="0" xfId="0">
      <alignment horizontal="center" vertical="center"/>
    </xf>
    <xf numFmtId="0" fontId="50" fillId="0" borderId="14" applyAlignment="1" pivotButton="0" quotePrefix="0" xfId="0">
      <alignment vertical="center" indent="1"/>
    </xf>
    <xf numFmtId="0" fontId="49" fillId="18" borderId="14" applyAlignment="1" pivotButton="0" quotePrefix="0" xfId="0">
      <alignment horizontal="center" vertical="center" wrapText="1"/>
    </xf>
    <xf numFmtId="0" fontId="67" fillId="0" borderId="1" applyAlignment="1" pivotButton="0" quotePrefix="0" xfId="0">
      <alignment vertical="center" indent="1"/>
    </xf>
    <xf numFmtId="0" fontId="67" fillId="0" borderId="0" applyAlignment="1" pivotButton="0" quotePrefix="0" xfId="0">
      <alignment vertical="center" indent="1"/>
    </xf>
    <xf numFmtId="0" fontId="50" fillId="0" borderId="0" applyAlignment="1" pivotButton="0" quotePrefix="0" xfId="0">
      <alignment vertical="center" indent="1"/>
    </xf>
    <xf numFmtId="0" fontId="68" fillId="0" borderId="0" applyAlignment="1" pivotButton="0" quotePrefix="0" xfId="0">
      <alignment horizontal="center" vertical="center"/>
    </xf>
    <xf numFmtId="0" fontId="69" fillId="0" borderId="0" applyAlignment="1" pivotButton="0" quotePrefix="0" xfId="0">
      <alignmen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FC7CE"/>
        </patternFill>
      </fill>
    </dxf>
    <dxf>
      <fill>
        <patternFill>
          <bgColor rgb="FFC6EFCE"/>
        </patternFill>
      </fill>
    </dxf>
    <dxf>
      <fill>
        <patternFill>
          <bgColor rgb="FF63BE7B"/>
        </patternFill>
      </fill>
    </dxf>
    <dxf>
      <fill>
        <patternFill>
          <bgColor rgb="FFA9D08E"/>
        </patternFill>
      </fill>
    </dxf>
    <dxf>
      <fill>
        <patternFill>
          <bgColor rgb="FFFFD966"/>
        </patternFill>
      </fill>
    </dxf>
    <dxf>
      <fill>
        <patternFill>
          <bgColor rgb="FFF4B183"/>
        </patternFill>
      </fill>
    </dxf>
    <dxf>
      <fill>
        <patternFill>
          <bgColor rgb="FFFF7C80"/>
        </patternFill>
      </fill>
    </dxf>
    <dxf>
      <fill>
        <patternFill>
          <bgColor rgb="FFFFEB9C"/>
        </patternFill>
      </fill>
    </dxf>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BDD7EE"/>
          <bgColor rgb="FF000000"/>
        </patternFill>
      </fill>
    </dxf>
  </dxfs>
  <colors>
    <indexedColors>
      <rgbColor rgb="FF000000"/>
      <rgbColor rgb="FFFFFFFF"/>
      <rgbColor rgb="FFC00000"/>
      <rgbColor rgb="FF00FF00"/>
      <rgbColor rgb="FF0000FF"/>
      <rgbColor rgb="FFFFD966"/>
      <rgbColor rgb="FFFF00FF"/>
      <rgbColor rgb="FF00FFFF"/>
      <rgbColor rgb="FF800000"/>
      <rgbColor rgb="FF006100"/>
      <rgbColor rgb="FF000080"/>
      <rgbColor rgb="FF548235"/>
      <rgbColor rgb="FF800080"/>
      <rgbColor rgb="FF008080"/>
      <rgbColor rgb="FFBFBFBF"/>
      <rgbColor rgb="FF808080"/>
      <rgbColor rgb="FF9999FF"/>
      <rgbColor rgb="FF993366"/>
      <rgbColor rgb="FFFFF2CC"/>
      <rgbColor rgb="FFF2F2F2"/>
      <rgbColor rgb="FF660066"/>
      <rgbColor rgb="FFFF7C80"/>
      <rgbColor rgb="FF0066CC"/>
      <rgbColor rgb="FFBDD7EE"/>
      <rgbColor rgb="FF000080"/>
      <rgbColor rgb="FFFF00FF"/>
      <rgbColor rgb="FFFFE699"/>
      <rgbColor rgb="FF00FFFF"/>
      <rgbColor rgb="FF800080"/>
      <rgbColor rgb="FF800000"/>
      <rgbColor rgb="FF008080"/>
      <rgbColor rgb="FF0000FF"/>
      <rgbColor rgb="FF00CCFF"/>
      <rgbColor rgb="FFFCE4D6"/>
      <rgbColor rgb="FFC6EFCE"/>
      <rgbColor rgb="FFFFEB9C"/>
      <rgbColor rgb="FFA9D08E"/>
      <rgbColor rgb="FFF4B183"/>
      <rgbColor rgb="FFCC99FF"/>
      <rgbColor rgb="FFFFC7CE"/>
      <rgbColor rgb="FF2E75B6"/>
      <rgbColor rgb="FF63BE7B"/>
      <rgbColor rgb="FF99CC00"/>
      <rgbColor rgb="FFFFC000"/>
      <rgbColor rgb="FFFF9900"/>
      <rgbColor rgb="FFFF6600"/>
      <rgbColor rgb="FF595959"/>
      <rgbColor rgb="FF969696"/>
      <rgbColor rgb="FF1F4E78"/>
      <rgbColor rgb="FF339966"/>
      <rgbColor rgb="FF003300"/>
      <rgbColor rgb="FF333300"/>
      <rgbColor rgb="FF993300"/>
      <rgbColor rgb="FF993366"/>
      <rgbColor rgb="FF1F4E7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BASE" displayName="tblBASE" ref="A5:G755" headerRowCount="1" totalsRowCount="0" totalsRowShown="0">
  <autoFilter ref="A5:G755"/>
  <tableColumns count="7">
    <tableColumn id="1" name="Clave"/>
    <tableColumn id="2" name="Actividad"/>
    <tableColumn id="3" name="Núm."/>
    <tableColumn id="4" name="Indicador"/>
    <tableColumn id="5" name="Perfil ALTO"/>
    <tableColumn id="6" name="Perfil MEDIO"/>
    <tableColumn id="7" name="Perfil BAJ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filterMode="0">
    <tabColor rgb="FF1F4E79"/>
    <outlinePr summaryBelow="1" summaryRight="1"/>
    <pageSetUpPr fitToPage="0"/>
  </sheetPr>
  <dimension ref="B2:F4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30" customWidth="1" style="172" min="2" max="2"/>
    <col width="44" customWidth="1" style="172" min="3" max="3"/>
    <col width="28" customWidth="1" style="172" min="4" max="4"/>
    <col width="20" customWidth="1" style="172" min="5" max="5"/>
    <col width="18" customWidth="1" style="172" min="6" max="6"/>
  </cols>
  <sheetData>
    <row r="2" ht="21.75" customHeight="1" s="173">
      <c r="B2" s="174" t="inlineStr">
        <is>
          <t>HERRAMIENTA DE EVALUACIÓN DE RIESGO EBR · ACTIVIDADES VULNERABLES (LFPIORPI)</t>
        </is>
      </c>
    </row>
    <row r="3" ht="15" customHeight="1" s="173">
      <c r="B3" s="175" t="inlineStr">
        <is>
          <t>Determina tu riesgo inherente y residual conforme a las Reglas (Cap. II Quáter y III Bis/III Ter), la Guía CNBV y GAFILAT.</t>
        </is>
      </c>
    </row>
    <row r="4" ht="15" customHeight="1" s="173">
      <c r="B4" s="176" t="inlineStr">
        <is>
          <t>NOTA: trae un EJEMPLO completo precargado (una inmobiliaria, fracción V). Todo lo que está en texto azul es del ejemplo: sustitúyelo por lo tuyo.</t>
        </is>
      </c>
    </row>
    <row r="5" ht="15" customHeight="1" s="173">
      <c r="B5" s="177" t="inlineStr">
        <is>
          <t>Paso 1 de 10  ·  Configura antes en PARÁMETROS  ·  Sigue: A9 secciones 1 y 2 (ENR y conciliación), y luego A1</t>
        </is>
      </c>
    </row>
    <row r="6" ht="15" customHeight="1" s="173">
      <c r="B6" s="178" t="inlineStr">
        <is>
          <t>CÓMO USAR</t>
        </is>
      </c>
      <c r="C6" s="179" t="n"/>
      <c r="D6" s="179" t="n"/>
      <c r="E6" s="179" t="n"/>
      <c r="F6" s="180" t="n"/>
    </row>
    <row r="7" ht="15" customHeight="1" s="173">
      <c r="B7" s="408" t="inlineStr">
        <is>
          <t>1. Abre primero PARÁMETROS: actualiza el valor de la UMA y declara tu nivel de tolerancia al riesgo. Se hace una vez al año.</t>
        </is>
      </c>
      <c r="C7" s="179" t="n"/>
      <c r="D7" s="179" t="n"/>
      <c r="E7" s="179" t="n"/>
      <c r="F7" s="180" t="n"/>
    </row>
    <row r="8" ht="15" customHeight="1" s="173">
      <c r="B8" s="408" t="inlineStr">
        <is>
          <t>2. Aquí en INICIO elige tu Actividad Vulnerable —se precargan tus umbrales— y captura los datos de tu entidad y las tres cifras de doce meses (Art. 10 Septies 2, fr. II).</t>
        </is>
      </c>
      <c r="C8" s="179" t="n"/>
      <c r="D8" s="179" t="n"/>
      <c r="E8" s="179" t="n"/>
      <c r="F8" s="180" t="n"/>
    </row>
    <row r="9" ht="27.75" customHeight="1" s="173">
      <c r="B9" s="408" t="inlineStr">
        <is>
          <t>3. Ve a «A9» secciones 1 y 2 ANTES de capturar nada: la Evaluación Nacional de Riesgos que tomaste en cuenta, y la conciliación de tus tres cifras contra tu mecanismo automatizado.</t>
        </is>
      </c>
      <c r="C9" s="179" t="n"/>
      <c r="D9" s="179" t="n"/>
      <c r="E9" s="179" t="n"/>
      <c r="F9" s="180" t="n"/>
    </row>
    <row r="10" ht="15" customHeight="1" s="173">
      <c r="B10" s="408" t="inlineStr">
        <is>
          <t>4. En «A1 EXPOSICION» reparte 100% entre Alto/Medio/Bajo en cada indicador y asigna los dos pesos —el del indicador y el del elemento— con su justificación escrita. En «A2» describe qué pasaría si el riesgo se materializa.</t>
        </is>
      </c>
      <c r="C10" s="179" t="n"/>
      <c r="D10" s="179" t="n"/>
      <c r="E10" s="179" t="n"/>
      <c r="F10" s="180" t="n"/>
    </row>
    <row r="11" ht="27.75" customHeight="1" s="173">
      <c r="B11" s="408" t="inlineStr">
        <is>
          <t>5. Revisa el inherente en «A3». En «A4 CONTROLES MINIMOS» califica las 14 obligaciones del Manual (Art. 37 Bis) y anota numeral y evidencia: sin los dos, la obligación cuenta cero. Los controles extra van en «A4 BIS».</t>
        </is>
      </c>
      <c r="C11" s="179" t="n"/>
      <c r="D11" s="179" t="n"/>
      <c r="E11" s="179" t="n"/>
      <c r="F11" s="180" t="n"/>
    </row>
    <row r="12" ht="27.75" customHeight="1" s="173">
      <c r="B12" s="408" t="inlineStr">
        <is>
          <t>6. Lee el residual en «A5» y el resumen en «A6». Cierra en «A8» (tolerancia, fecha de revisión y plan de acción) y en «A9» secciones 3 a 7 (aprobación, plazos y conservación).</t>
        </is>
      </c>
      <c r="C12" s="179" t="n"/>
      <c r="D12" s="179" t="n"/>
      <c r="E12" s="179" t="n"/>
      <c r="F12" s="180" t="n"/>
    </row>
    <row r="13">
      <c r="B13" s="409" t="inlineStr">
        <is>
          <t>7. APARTE, para clasificar clientes: «PRODUCTOS» con lo que ofreces, «VARIABLES» como catálogo, y «B CLIENTE» uno por uno. Es otra obligación (Art. 23 Bis). Y antes de cada lanzamiento, una ficha en «A7».</t>
        </is>
      </c>
    </row>
    <row r="14" ht="15" customHeight="1" s="173">
      <c r="B14" s="178" t="inlineStr">
        <is>
          <t>LEYENDA</t>
        </is>
      </c>
      <c r="C14" s="179" t="n"/>
      <c r="D14" s="179" t="n"/>
      <c r="E14" s="179" t="n"/>
      <c r="F14" s="180" t="n"/>
    </row>
    <row r="15" ht="15" customHeight="1" s="173">
      <c r="B15" s="182" t="inlineStr">
        <is>
          <t>Amarillo = tú capturas</t>
        </is>
      </c>
      <c r="C15" s="183" t="inlineStr">
        <is>
          <t>Verde = viene de otra hoja</t>
        </is>
      </c>
      <c r="D15" s="184" t="inlineStr">
        <is>
          <t>Negro = se calcula solo</t>
        </is>
      </c>
      <c r="E15" s="179" t="n"/>
      <c r="F15" s="180" t="n"/>
    </row>
    <row r="16" ht="15" customHeight="1" s="173">
      <c r="B16" s="185" t="inlineStr">
        <is>
          <t>Texto azul = dato de ejemplo: sustitúyelo</t>
        </is>
      </c>
      <c r="C16" s="172" t="inlineStr">
        <is>
          <t>Gris = referencia fija: no se edita</t>
        </is>
      </c>
      <c r="D16" s="186" t="inlineStr">
        <is>
          <t>Texto rojo = aviso · Relleno azul = resultado clave</t>
        </is>
      </c>
    </row>
    <row r="17" ht="15" customHeight="1" s="173">
      <c r="B17" s="178" t="inlineStr">
        <is>
          <t>PASO 1 · SELECCIONA TU ACTIVIDAD VULNERABLE</t>
        </is>
      </c>
      <c r="C17" s="179" t="n"/>
      <c r="D17" s="179" t="n"/>
      <c r="E17" s="179" t="n"/>
      <c r="F17" s="180" t="n"/>
    </row>
    <row r="18" ht="15" customHeight="1" s="173">
      <c r="B18" s="187" t="inlineStr">
        <is>
          <t>Actividad Vulnerable:</t>
        </is>
      </c>
      <c r="C18" s="182" t="inlineStr">
        <is>
          <t>V - Construcción/comercialización inmuebles</t>
        </is>
      </c>
      <c r="D18" s="179" t="n"/>
      <c r="E18" s="179" t="n"/>
      <c r="F18" s="180" t="n"/>
    </row>
    <row r="19" ht="15" customHeight="1" s="173">
      <c r="B19" s="187" t="inlineStr">
        <is>
          <t>Fracción Art. 17:</t>
        </is>
      </c>
      <c r="C19" s="188">
        <f>IFERROR(INDEX(CATALOGO!$C$6:$C$35,MATCH($C$18,CATALOGO!$E$6:$E$35,0)),"")</f>
        <v/>
      </c>
    </row>
    <row r="20" ht="15" customHeight="1" s="173">
      <c r="B20" s="187" t="inlineStr">
        <is>
          <t>Umbral de identificación (UMA):</t>
        </is>
      </c>
      <c r="C20" s="189">
        <f>IFERROR(INDEX(CATALOGO!$F$6:$F$35,MATCH($C$18,CATALOGO!$E$6:$E$35,0)),"")</f>
        <v/>
      </c>
      <c r="D20" s="187" t="inlineStr">
        <is>
          <t>Umbral de aviso (UMA):</t>
        </is>
      </c>
      <c r="E20" s="189">
        <f>IFERROR(INDEX(CATALOGO!$G$6:$G$35,MATCH($C$18,CATALOGO!$E$6:$E$35,0)),"")</f>
        <v/>
      </c>
    </row>
    <row r="21" ht="15" customHeight="1" s="173">
      <c r="B21" s="187" t="inlineStr">
        <is>
          <t>Umbral de identificación (MXN):</t>
        </is>
      </c>
      <c r="C21" s="190">
        <f>IFERROR(INDEX(CATALOGO!$H$6:$H$35,MATCH($C$18,CATALOGO!$E$6:$E$35,0)),"")</f>
        <v/>
      </c>
      <c r="D21" s="187" t="inlineStr">
        <is>
          <t>Umbral de aviso (MXN):</t>
        </is>
      </c>
      <c r="E21" s="190">
        <f>IFERROR(INDEX(CATALOGO!$I$6:$I$35,MATCH($C$18,CATALOGO!$E$6:$E$35,0)),"")</f>
        <v/>
      </c>
    </row>
    <row r="23" ht="15" customHeight="1" s="173">
      <c r="B23" s="178" t="inlineStr">
        <is>
          <t>PASO 2 · DATOS DE LA ENTIDAD</t>
        </is>
      </c>
      <c r="C23" s="179" t="n"/>
      <c r="D23" s="179" t="n"/>
      <c r="E23" s="179" t="n"/>
      <c r="F23" s="180" t="n"/>
    </row>
    <row r="24" ht="15" customHeight="1" s="173">
      <c r="B24" s="187" t="inlineStr">
        <is>
          <t>Denominación o razón social:</t>
        </is>
      </c>
      <c r="C24" s="182" t="inlineStr">
        <is>
          <t>Inmobiliaria Ejemplo, S.A. de C.V.</t>
        </is>
      </c>
      <c r="D24" s="179" t="n"/>
      <c r="E24" s="179" t="n"/>
      <c r="F24" s="180" t="n"/>
    </row>
    <row r="25" ht="15" customHeight="1" s="173">
      <c r="B25" s="187" t="inlineStr">
        <is>
          <t>Nombre corto o comercial:</t>
        </is>
      </c>
      <c r="C25" s="182" t="inlineStr">
        <is>
          <t>Inmobiliaria Ejemplo</t>
        </is>
      </c>
      <c r="D25" s="179" t="n"/>
      <c r="E25" s="179" t="n"/>
      <c r="F25" s="180" t="n"/>
    </row>
    <row r="26" ht="23.25" customHeight="1" s="173">
      <c r="B26" s="187" t="inlineStr">
        <is>
          <t>Representante / Encargado de Cumplimiento:</t>
        </is>
      </c>
      <c r="C26" s="182" t="inlineStr">
        <is>
          <t>María Ejemplo Ruiz — Representante Encargada de Cumplimiento</t>
        </is>
      </c>
      <c r="D26" s="179" t="n"/>
      <c r="E26" s="179" t="n"/>
      <c r="F26" s="180" t="n"/>
    </row>
    <row r="27" ht="15" customHeight="1" s="173">
      <c r="B27" s="187" t="inlineStr">
        <is>
          <t>Fecha de la evaluación:</t>
        </is>
      </c>
      <c r="C27" s="191" t="n">
        <v>46204</v>
      </c>
      <c r="D27" s="179" t="n"/>
      <c r="E27" s="179" t="n"/>
      <c r="F27" s="180" t="n"/>
    </row>
    <row r="28" ht="15" customHeight="1" s="173">
      <c r="B28" s="187" t="inlineStr">
        <is>
          <t>Periodo analizado (inicio):</t>
        </is>
      </c>
      <c r="C28" s="191" t="n">
        <v>45839</v>
      </c>
      <c r="D28" s="179" t="n"/>
      <c r="E28" s="179" t="n"/>
      <c r="F28" s="180" t="n"/>
    </row>
    <row r="29" ht="23.25" customHeight="1" s="173">
      <c r="B29" s="187" t="inlineStr">
        <is>
          <t>Periodo analizado (fin, mín. 12 meses):</t>
        </is>
      </c>
      <c r="C29" s="191" t="n">
        <v>46203</v>
      </c>
      <c r="D29" s="179" t="n"/>
      <c r="E29" s="179" t="n"/>
      <c r="F29" s="180" t="n"/>
    </row>
    <row r="31" ht="15" customHeight="1" s="173">
      <c r="B31" s="178" t="inlineStr">
        <is>
          <t>PASO 3 · DATOS DE 12 MESES (base de la evaluación, Art. 10 Septies 2)</t>
        </is>
      </c>
      <c r="C31" s="179" t="n"/>
      <c r="D31" s="179" t="n"/>
      <c r="E31" s="179" t="n"/>
      <c r="F31" s="180" t="n"/>
    </row>
    <row r="32" ht="23.25" customHeight="1" s="173">
      <c r="B32" s="187" t="inlineStr">
        <is>
          <t>Número total de Clientes/Usuarias:</t>
        </is>
      </c>
      <c r="C32" s="192" t="n">
        <v>86</v>
      </c>
    </row>
    <row r="33" ht="23.25" customHeight="1" s="173">
      <c r="B33" s="187" t="inlineStr">
        <is>
          <t>Número total de actos u operaciones:</t>
        </is>
      </c>
      <c r="C33" s="192" t="n">
        <v>112</v>
      </c>
    </row>
    <row r="34" ht="15" customHeight="1" s="173">
      <c r="B34" s="187" t="inlineStr">
        <is>
          <t>Monto total operado (MXN):</t>
        </is>
      </c>
      <c r="C34" s="193" t="n">
        <v>428600000</v>
      </c>
    </row>
    <row r="36" ht="15" customHeight="1" s="173">
      <c r="B36" s="175" t="inlineStr">
        <is>
          <t>Revisa y actualiza al menos cada 12 meses o al actualizarse la ENR. Conserva la documentación 10 años.</t>
        </is>
      </c>
    </row>
    <row r="38" ht="15" customHeight="1" s="173">
      <c r="B38" s="194" t="inlineStr">
        <is>
          <t>ESTADO DE AVANCE — REVÍSALO ANTES DE IMPRIMIR, FIRMAR O ENTREGAR</t>
        </is>
      </c>
    </row>
    <row r="39" ht="15" customHeight="1" s="173">
      <c r="B39" s="195" t="inlineStr">
        <is>
          <t>Verificación</t>
        </is>
      </c>
      <c r="E39" s="195" t="inlineStr">
        <is>
          <t>Dato</t>
        </is>
      </c>
      <c r="F39" s="195" t="inlineStr">
        <is>
          <t>Estatus</t>
        </is>
      </c>
    </row>
    <row r="40" ht="15" customHeight="1" s="173">
      <c r="B40" s="196" t="inlineStr">
        <is>
          <t>Indicadores cuyo reparto Alto/Medio/Bajo no suma 100%</t>
        </is>
      </c>
      <c r="E40" s="197">
        <f>SUMPRODUCT(--('A1 EXPOSICION'!$G$7:$G$31="Sí"),--(ABS('A1 EXPOSICION'!$N$7:$N$31-1)&gt;0.001))</f>
        <v/>
      </c>
      <c r="F40" s="198">
        <f>IF(E40=0,"OK","Corregir")</f>
        <v/>
      </c>
    </row>
    <row r="41" ht="15" customHeight="1" s="173">
      <c r="B41" s="196" t="inlineStr">
        <is>
          <t>Suma de los pesos de los cuatro elementos (debe ser 100%)</t>
        </is>
      </c>
      <c r="E41" s="199">
        <f>'A1 EXPOSICION'!$D$40</f>
        <v/>
      </c>
      <c r="F41" s="198">
        <f>IF(ABS(E41-1)&lt;=0.001,"OK","Corregir")</f>
        <v/>
      </c>
    </row>
    <row r="42" ht="15" customHeight="1" s="173">
      <c r="B42" s="196" t="inlineStr">
        <is>
          <t>Indicadores excluidos sin justificación escrita</t>
        </is>
      </c>
      <c r="E42" s="197">
        <f>'A1 EXPOSICION'!$E$45</f>
        <v/>
      </c>
      <c r="F42" s="198">
        <f>IF(E42=0,"OK","Corregir")</f>
        <v/>
      </c>
    </row>
    <row r="43" ht="15" customHeight="1" s="173">
      <c r="B43" s="196" t="inlineStr">
        <is>
          <t>Obligaciones del catálogo sin calificar</t>
        </is>
      </c>
      <c r="E43" s="197">
        <f>'A4 CONTROLES MINIMOS'!$F$36</f>
        <v/>
      </c>
      <c r="F43" s="198">
        <f>IF(E43=0,"OK","Corregir")</f>
        <v/>
      </c>
    </row>
    <row r="44" ht="15" customHeight="1" s="173">
      <c r="B44" s="196" t="inlineStr">
        <is>
          <t>Obligaciones del catálogo en «No cumple»</t>
        </is>
      </c>
      <c r="E44" s="197">
        <f>'A4 CONTROLES MINIMOS'!$F$33</f>
        <v/>
      </c>
      <c r="F44" s="198">
        <f>IF(E44=0,"OK","Corregir")</f>
        <v/>
      </c>
    </row>
    <row r="45" ht="15" customHeight="1" s="173">
      <c r="B45" s="196" t="inlineStr">
        <is>
          <t>Exclusiones del catálogo sin constancia en el Manual</t>
        </is>
      </c>
      <c r="E45" s="197">
        <f>'A4 CONTROLES MINIMOS'!$F$34</f>
        <v/>
      </c>
      <c r="F45" s="198">
        <f>IF(E45=0,"OK","Corregir")</f>
        <v/>
      </c>
    </row>
    <row r="46" ht="15" customHeight="1" s="173">
      <c r="B46" s="196" t="inlineStr">
        <is>
          <t>Datos obligatorios pendientes en la constancia A9</t>
        </is>
      </c>
      <c r="E46" s="197">
        <f>'A9 CONSTANCIA Y FUENTES'!$D$6</f>
        <v/>
      </c>
      <c r="F46" s="198">
        <f>IF(E46=0,"OK","Corregir")</f>
        <v/>
      </c>
    </row>
    <row r="48" ht="32.8" customHeight="1" s="173">
      <c r="B48" s="200">
        <f>IF(AND(E40=0,ABS(E41-1)&lt;=0.001,E42=0,E43=0,E44=0,E45=0,E46=0),"Evaluación completa: puede imprimirse, aprobarse y conservarse diez años.","Hay verificaciones en «Corregir». La evaluación calcula, pero todavía no es defendible ante un requerimiento.")</f>
        <v/>
      </c>
    </row>
  </sheetData>
  <mergeCells count="20">
    <mergeCell ref="B7:F7"/>
    <mergeCell ref="B31:F31"/>
    <mergeCell ref="C28:F28"/>
    <mergeCell ref="C18:F18"/>
    <mergeCell ref="B12:F12"/>
    <mergeCell ref="B11:F11"/>
    <mergeCell ref="B23:F23"/>
    <mergeCell ref="B14:F14"/>
    <mergeCell ref="C24:F24"/>
    <mergeCell ref="B8:F8"/>
    <mergeCell ref="D15:F15"/>
    <mergeCell ref="B17:F17"/>
    <mergeCell ref="B10:F10"/>
    <mergeCell ref="C26:F26"/>
    <mergeCell ref="C29:F29"/>
    <mergeCell ref="C25:F25"/>
    <mergeCell ref="B9:F9"/>
    <mergeCell ref="B6:F6"/>
    <mergeCell ref="B36:F36"/>
    <mergeCell ref="C27:F27"/>
  </mergeCells>
  <dataValidations count="1">
    <dataValidation sqref="C18" showDropDown="0" showInputMessage="0" showErrorMessage="0" allowBlank="0" type="list" errorStyle="stop" operator="between">
      <formula1>CATALOGO!$E$6:$E$35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FFC000"/>
    <outlinePr summaryBelow="1" summaryRight="1"/>
    <pageSetUpPr fitToPage="0"/>
  </sheetPr>
  <dimension ref="B2:S46"/>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5" customWidth="1" style="172" min="2" max="2"/>
    <col width="4" customWidth="1" style="172" min="3" max="3"/>
    <col width="30" customWidth="1" style="172" min="4" max="4"/>
    <col width="9" customWidth="1" style="172" min="5" max="5"/>
    <col width="7" customWidth="1" style="172" min="6" max="7"/>
    <col width="30" customWidth="1" style="172" min="8" max="10"/>
    <col width="7" customWidth="1" style="172" min="11" max="17"/>
    <col width="8" customWidth="1" style="172" min="18" max="18"/>
    <col width="34" customWidth="1" style="172" min="19" max="19"/>
  </cols>
  <sheetData>
    <row r="2" ht="21.75" customHeight="1" s="173">
      <c r="B2" s="201" t="inlineStr">
        <is>
          <t>A1 · EXPOSICIÓN — Captura tu concentración de negocio (12 meses)</t>
        </is>
      </c>
    </row>
    <row r="3" ht="15" customHeight="1" s="173">
      <c r="B3" s="202" t="inlineStr">
        <is>
          <t>Por cada indicador reparte el 100% entre Alto/Medio/Bajo. Calificación = qué tan riesgoso; Concentración = qué tan expuesto; Riesgo = Calif × Conc. Un indicador en «No» sale del numerador y del denominador.</t>
        </is>
      </c>
    </row>
    <row r="4" ht="15" customHeight="1" s="173">
      <c r="B4" s="177" t="inlineStr">
        <is>
          <t>Paso 3 de 10  ·  Viene de: A9 §1 y §2  ·  Sigue: A2 CONSECUENCIAS</t>
        </is>
      </c>
    </row>
    <row r="6" ht="27.75" customHeight="1" s="173">
      <c r="B6" s="178" t="inlineStr">
        <is>
          <t>Elem.</t>
        </is>
      </c>
      <c r="C6" s="178" t="inlineStr">
        <is>
          <t>#</t>
        </is>
      </c>
      <c r="D6" s="178" t="inlineStr">
        <is>
          <t>Indicador</t>
        </is>
      </c>
      <c r="E6" s="178" t="inlineStr">
        <is>
          <t>Atiende</t>
        </is>
      </c>
      <c r="F6" s="178" t="inlineStr">
        <is>
          <t>Fuente</t>
        </is>
      </c>
      <c r="G6" s="178" t="inlineStr">
        <is>
          <t>Aplica</t>
        </is>
      </c>
      <c r="H6" s="178" t="inlineStr">
        <is>
          <t>Guía ALTO</t>
        </is>
      </c>
      <c r="I6" s="178" t="inlineStr">
        <is>
          <t>Guía MEDIO</t>
        </is>
      </c>
      <c r="J6" s="178" t="inlineStr">
        <is>
          <t>Guía BAJO</t>
        </is>
      </c>
      <c r="K6" s="178" t="inlineStr">
        <is>
          <t>% Alto</t>
        </is>
      </c>
      <c r="L6" s="178" t="inlineStr">
        <is>
          <t>% Medio</t>
        </is>
      </c>
      <c r="M6" s="178" t="inlineStr">
        <is>
          <t>% Bajo</t>
        </is>
      </c>
      <c r="N6" s="178" t="inlineStr">
        <is>
          <t>Suma</t>
        </is>
      </c>
      <c r="O6" s="178" t="inlineStr">
        <is>
          <t>Peso (relativo dentro del elemento)</t>
        </is>
      </c>
      <c r="P6" s="178" t="inlineStr">
        <is>
          <t>Calif.</t>
        </is>
      </c>
      <c r="Q6" s="178" t="inlineStr">
        <is>
          <t>Conc.</t>
        </is>
      </c>
      <c r="R6" s="178" t="inlineStr">
        <is>
          <t>Riesgo</t>
        </is>
      </c>
      <c r="S6" s="178" t="inlineStr">
        <is>
          <t>Justificación (del No aplica o del peso)</t>
        </is>
      </c>
    </row>
    <row r="7" ht="45.75" customHeight="1" s="173">
      <c r="B7" s="203" t="n">
        <v>1</v>
      </c>
      <c r="C7" s="204" t="n">
        <v>1</v>
      </c>
      <c r="D7" s="205" t="inlineStr">
        <is>
          <t>Valor del producto o servicio</t>
        </is>
      </c>
      <c r="E7" s="204" t="n"/>
      <c r="F7" s="206" t="inlineStr">
        <is>
          <t>B</t>
        </is>
      </c>
      <c r="G7" s="207" t="inlineStr">
        <is>
          <t>Sí</t>
        </is>
      </c>
      <c r="H7" s="208">
        <f>IFERROR(INDEX(BASE!$E:$E,MATCH(INICIO!$C$18&amp;"-"&amp;$C7,BASE!$A:$A,0)),"")</f>
        <v/>
      </c>
      <c r="I7" s="208">
        <f>IFERROR(INDEX(BASE!$F:$F,MATCH(INICIO!$C$18&amp;"-"&amp;$C7,BASE!$A:$A,0)),"")</f>
        <v/>
      </c>
      <c r="J7" s="208">
        <f>IFERROR(INDEX(BASE!$G:$G,MATCH(INICIO!$C$18&amp;"-"&amp;$C7,BASE!$A:$A,0)),"")</f>
        <v/>
      </c>
      <c r="K7" s="209" t="n">
        <v>0.2</v>
      </c>
      <c r="L7" s="209" t="n">
        <v>0.35</v>
      </c>
      <c r="M7" s="209" t="n">
        <v>0.45</v>
      </c>
      <c r="N7" s="210">
        <f>K7+L7+M7</f>
        <v/>
      </c>
      <c r="O7" s="209" t="n">
        <v>0.3</v>
      </c>
      <c r="P7" s="211">
        <f>IF($G7="No",0,ROUND(5*K7+3*L7+1*M7,0))</f>
        <v/>
      </c>
      <c r="Q7" s="211">
        <f>IF($G7="No",0,ROUND(1+4*(K7+L7),0))</f>
        <v/>
      </c>
      <c r="R7" s="211">
        <f>P7*Q7</f>
        <v/>
      </c>
      <c r="S7" s="346" t="inlineStr">
        <is>
          <t>Es el elemento de mayor exposicion del giro: el ticket promedio del periodo supera por si solo el umbral de aviso, de modo que casi toda la operacion nace ya dentro del regimen.</t>
        </is>
      </c>
    </row>
    <row r="8" ht="45.75" customHeight="1" s="173">
      <c r="B8" s="203" t="n">
        <v>1</v>
      </c>
      <c r="C8" s="204" t="n">
        <v>2</v>
      </c>
      <c r="D8" s="205" t="inlineStr">
        <is>
          <t>Liquidez / convertibilidad</t>
        </is>
      </c>
      <c r="E8" s="204" t="n"/>
      <c r="F8" s="206" t="inlineStr">
        <is>
          <t>B</t>
        </is>
      </c>
      <c r="G8" s="207" t="inlineStr">
        <is>
          <t>Sí</t>
        </is>
      </c>
      <c r="H8" s="208">
        <f>IFERROR(INDEX(BASE!$E:$E,MATCH(INICIO!$C$18&amp;"-"&amp;$C8,BASE!$A:$A,0)),"")</f>
        <v/>
      </c>
      <c r="I8" s="208">
        <f>IFERROR(INDEX(BASE!$F:$F,MATCH(INICIO!$C$18&amp;"-"&amp;$C8,BASE!$A:$A,0)),"")</f>
        <v/>
      </c>
      <c r="J8" s="208">
        <f>IFERROR(INDEX(BASE!$G:$G,MATCH(INICIO!$C$18&amp;"-"&amp;$C8,BASE!$A:$A,0)),"")</f>
        <v/>
      </c>
      <c r="K8" s="209" t="n">
        <v>0.15</v>
      </c>
      <c r="L8" s="209" t="n">
        <v>0.3</v>
      </c>
      <c r="M8" s="209" t="n">
        <v>0.55</v>
      </c>
      <c r="N8" s="210">
        <f>K8+L8+M8</f>
        <v/>
      </c>
      <c r="O8" s="209" t="n">
        <v>0.1</v>
      </c>
      <c r="P8" s="211">
        <f>IF($G8="No",0,ROUND(5*K8+3*L8+1*M8,0))</f>
        <v/>
      </c>
      <c r="Q8" s="211">
        <f>IF($G8="No",0,ROUND(1+4*(K8+L8),0))</f>
        <v/>
      </c>
      <c r="R8" s="211">
        <f>P8*Q8</f>
        <v/>
      </c>
      <c r="S8" s="346" t="inlineStr">
        <is>
          <t>El inmueble es el activo menos liquido del catalogo del Art. 17; la conversion exige escritura publica y registro, lo que reduce su atractivo para colocacion rapida.</t>
        </is>
      </c>
    </row>
    <row r="9" ht="45.75" customHeight="1" s="173">
      <c r="B9" s="203" t="n">
        <v>1</v>
      </c>
      <c r="C9" s="204" t="n">
        <v>3</v>
      </c>
      <c r="D9" s="205" t="inlineStr">
        <is>
          <t>Anonimato / identificación del beneficiario</t>
        </is>
      </c>
      <c r="E9" s="204" t="n"/>
      <c r="F9" s="206" t="inlineStr">
        <is>
          <t>B</t>
        </is>
      </c>
      <c r="G9" s="207" t="inlineStr">
        <is>
          <t>Sí</t>
        </is>
      </c>
      <c r="H9" s="208">
        <f>IFERROR(INDEX(BASE!$E:$E,MATCH(INICIO!$C$18&amp;"-"&amp;$C9,BASE!$A:$A,0)),"")</f>
        <v/>
      </c>
      <c r="I9" s="208">
        <f>IFERROR(INDEX(BASE!$F:$F,MATCH(INICIO!$C$18&amp;"-"&amp;$C9,BASE!$A:$A,0)),"")</f>
        <v/>
      </c>
      <c r="J9" s="208">
        <f>IFERROR(INDEX(BASE!$G:$G,MATCH(INICIO!$C$18&amp;"-"&amp;$C9,BASE!$A:$A,0)),"")</f>
        <v/>
      </c>
      <c r="K9" s="209" t="n">
        <v>0.45</v>
      </c>
      <c r="L9" s="209" t="n">
        <v>0.3</v>
      </c>
      <c r="M9" s="209" t="n">
        <v>0.25</v>
      </c>
      <c r="N9" s="210">
        <f>K9+L9+M9</f>
        <v/>
      </c>
      <c r="O9" s="209" t="n">
        <v>0.25</v>
      </c>
      <c r="P9" s="211">
        <f>IF($G9="No",0,ROUND(5*K9+3*L9+1*M9,0))</f>
        <v/>
      </c>
      <c r="Q9" s="211">
        <f>IF($G9="No",0,ROUND(1+4*(K9+L9),0))</f>
        <v/>
      </c>
      <c r="R9" s="211">
        <f>P9*Q9</f>
        <v/>
      </c>
      <c r="S9" s="346" t="inlineStr">
        <is>
          <t>Peso alto: la interposicion de terceros y la compra a traves de personas morales de reciente constitucion es la tipologia inmobiliaria dominante en la ENR.</t>
        </is>
      </c>
    </row>
    <row r="10" ht="45.75" customHeight="1" s="173">
      <c r="B10" s="203" t="n">
        <v>1</v>
      </c>
      <c r="C10" s="204" t="n">
        <v>4</v>
      </c>
      <c r="D10" s="205" t="inlineStr">
        <is>
          <t>Transferencia u ocultamiento de valor</t>
        </is>
      </c>
      <c r="E10" s="213" t="inlineStr">
        <is>
          <t>400 Bis</t>
        </is>
      </c>
      <c r="F10" s="206" t="inlineStr">
        <is>
          <t>B</t>
        </is>
      </c>
      <c r="G10" s="214" t="inlineStr">
        <is>
          <t>Sí</t>
        </is>
      </c>
      <c r="H10" s="208">
        <f>IFERROR(INDEX(BASE!$E:$E,MATCH(INICIO!$C$18&amp;"-"&amp;$C10,BASE!$A:$A,0)),"")</f>
        <v/>
      </c>
      <c r="I10" s="208">
        <f>IFERROR(INDEX(BASE!$F:$F,MATCH(INICIO!$C$18&amp;"-"&amp;$C10,BASE!$A:$A,0)),"")</f>
        <v/>
      </c>
      <c r="J10" s="208">
        <f>IFERROR(INDEX(BASE!$G:$G,MATCH(INICIO!$C$18&amp;"-"&amp;$C10,BASE!$A:$A,0)),"")</f>
        <v/>
      </c>
      <c r="K10" s="209" t="n">
        <v>0.35</v>
      </c>
      <c r="L10" s="209" t="n">
        <v>0.35</v>
      </c>
      <c r="M10" s="209" t="n">
        <v>0.3</v>
      </c>
      <c r="N10" s="210">
        <f>K10+L10+M10</f>
        <v/>
      </c>
      <c r="O10" s="209" t="n">
        <v>0.25</v>
      </c>
      <c r="P10" s="211">
        <f>IF($G10="No",0,ROUND(5*K10+3*L10+1*M10,0))</f>
        <v/>
      </c>
      <c r="Q10" s="211">
        <f>IF($G10="No",0,ROUND(1+4*(K10+L10),0))</f>
        <v/>
      </c>
      <c r="R10" s="211">
        <f>P10*Q10</f>
        <v/>
      </c>
      <c r="S10" s="346" t="inlineStr">
        <is>
          <t>Peso alto por mandato del ultimo parrafo del Art. 10 Septies 1: es el indicador de 400 Bis del elemento, y la transferencia de valor via inmueble es el mecanismo tipico de integracion.</t>
        </is>
      </c>
    </row>
    <row r="11" ht="45.75" customHeight="1" s="173">
      <c r="B11" s="203" t="n">
        <v>1</v>
      </c>
      <c r="C11" s="204" t="n">
        <v>5</v>
      </c>
      <c r="D11" s="205" t="inlineStr">
        <is>
          <t>Exposición del acto u operación al financiamiento al terrorismo</t>
        </is>
      </c>
      <c r="E11" s="215" t="inlineStr">
        <is>
          <t>139 Quáter</t>
        </is>
      </c>
      <c r="F11" s="206" t="inlineStr">
        <is>
          <t>B</t>
        </is>
      </c>
      <c r="G11" s="214" t="inlineStr">
        <is>
          <t>Sí</t>
        </is>
      </c>
      <c r="H11" s="208">
        <f>IFERROR(INDEX(BASE!$E:$E,MATCH(INICIO!$C$18&amp;"-"&amp;$C11,BASE!$A:$A,0)),"")</f>
        <v/>
      </c>
      <c r="I11" s="208">
        <f>IFERROR(INDEX(BASE!$F:$F,MATCH(INICIO!$C$18&amp;"-"&amp;$C11,BASE!$A:$A,0)),"")</f>
        <v/>
      </c>
      <c r="J11" s="208">
        <f>IFERROR(INDEX(BASE!$G:$G,MATCH(INICIO!$C$18&amp;"-"&amp;$C11,BASE!$A:$A,0)),"")</f>
        <v/>
      </c>
      <c r="K11" s="209" t="n">
        <v>0.1</v>
      </c>
      <c r="L11" s="209" t="n">
        <v>0.2</v>
      </c>
      <c r="M11" s="209" t="n">
        <v>0.7</v>
      </c>
      <c r="N11" s="210">
        <f>K11+L11+M11</f>
        <v/>
      </c>
      <c r="O11" s="209" t="n">
        <v>0.1</v>
      </c>
      <c r="P11" s="211">
        <f>IF($G11="No",0,ROUND(5*K11+3*L11+1*M11,0))</f>
        <v/>
      </c>
      <c r="Q11" s="211">
        <f>IF($G11="No",0,ROUND(1+4*(K11+L11),0))</f>
        <v/>
      </c>
      <c r="R11" s="211">
        <f>P11*Q11</f>
        <v/>
      </c>
      <c r="S11" s="346" t="inlineStr">
        <is>
          <t>Se mantiene por obligacion normativa como indicador de 139 Quater del elemento, con peso bajo: no se detectaron contrapartes ni destinos vinculados a financiamiento al terrorismo en el periodo.</t>
        </is>
      </c>
    </row>
    <row r="12" ht="45.75" customHeight="1" s="173">
      <c r="B12" s="203" t="n">
        <v>2</v>
      </c>
      <c r="C12" s="204" t="n">
        <v>6</v>
      </c>
      <c r="D12" s="205" t="inlineStr">
        <is>
          <t>Tipo de persona y estructura</t>
        </is>
      </c>
      <c r="E12" s="204" t="n"/>
      <c r="F12" s="206" t="inlineStr">
        <is>
          <t>A</t>
        </is>
      </c>
      <c r="G12" s="207" t="inlineStr">
        <is>
          <t>Sí</t>
        </is>
      </c>
      <c r="H12" s="208">
        <f>IFERROR(INDEX(BASE!$E:$E,MATCH(INICIO!$C$18&amp;"-"&amp;$C12,BASE!$A:$A,0)),"")</f>
        <v/>
      </c>
      <c r="I12" s="208">
        <f>IFERROR(INDEX(BASE!$F:$F,MATCH(INICIO!$C$18&amp;"-"&amp;$C12,BASE!$A:$A,0)),"")</f>
        <v/>
      </c>
      <c r="J12" s="208">
        <f>IFERROR(INDEX(BASE!$G:$G,MATCH(INICIO!$C$18&amp;"-"&amp;$C12,BASE!$A:$A,0)),"")</f>
        <v/>
      </c>
      <c r="K12" s="209" t="n">
        <v>0.3</v>
      </c>
      <c r="L12" s="209" t="n">
        <v>0.35</v>
      </c>
      <c r="M12" s="209" t="n">
        <v>0.35</v>
      </c>
      <c r="N12" s="210">
        <f>K12+L12+M12</f>
        <v/>
      </c>
      <c r="O12" s="209" t="n">
        <v>0.18</v>
      </c>
      <c r="P12" s="211">
        <f>IF($G12="No",0,ROUND(5*K12+3*L12+1*M12,0))</f>
        <v/>
      </c>
      <c r="Q12" s="211">
        <f>IF($G12="No",0,ROUND(1+4*(K12+L12),0))</f>
        <v/>
      </c>
      <c r="R12" s="211">
        <f>P12*Q12</f>
        <v/>
      </c>
      <c r="S12" s="346" t="inlineStr">
        <is>
          <t>La estructura del cliente es el primer discriminante del giro: persona moral con socios no identificables concentra la mayor parte de las alertas del periodo.</t>
        </is>
      </c>
    </row>
    <row r="13" ht="45.75" customHeight="1" s="173">
      <c r="B13" s="203" t="n">
        <v>2</v>
      </c>
      <c r="C13" s="204" t="n">
        <v>7</v>
      </c>
      <c r="D13" s="205" t="inlineStr">
        <is>
          <t>Edad / fecha de constitución</t>
        </is>
      </c>
      <c r="E13" s="204" t="n"/>
      <c r="F13" s="206" t="inlineStr">
        <is>
          <t>A</t>
        </is>
      </c>
      <c r="G13" s="207" t="inlineStr">
        <is>
          <t>Sí</t>
        </is>
      </c>
      <c r="H13" s="208">
        <f>IFERROR(INDEX(BASE!$E:$E,MATCH(INICIO!$C$18&amp;"-"&amp;$C13,BASE!$A:$A,0)),"")</f>
        <v/>
      </c>
      <c r="I13" s="208">
        <f>IFERROR(INDEX(BASE!$F:$F,MATCH(INICIO!$C$18&amp;"-"&amp;$C13,BASE!$A:$A,0)),"")</f>
        <v/>
      </c>
      <c r="J13" s="208">
        <f>IFERROR(INDEX(BASE!$G:$G,MATCH(INICIO!$C$18&amp;"-"&amp;$C13,BASE!$A:$A,0)),"")</f>
        <v/>
      </c>
      <c r="K13" s="209" t="n">
        <v>0.15</v>
      </c>
      <c r="L13" s="209" t="n">
        <v>0.3</v>
      </c>
      <c r="M13" s="209" t="n">
        <v>0.55</v>
      </c>
      <c r="N13" s="210">
        <f>K13+L13+M13</f>
        <v/>
      </c>
      <c r="O13" s="209" t="n">
        <v>0.08</v>
      </c>
      <c r="P13" s="211">
        <f>IF($G13="No",0,ROUND(5*K13+3*L13+1*M13,0))</f>
        <v/>
      </c>
      <c r="Q13" s="211">
        <f>IF($G13="No",0,ROUND(1+4*(K13+L13),0))</f>
        <v/>
      </c>
      <c r="R13" s="211">
        <f>P13*Q13</f>
        <v/>
      </c>
      <c r="S13" s="346" t="inlineStr">
        <is>
          <t>Peso bajo: la antiguedad por si sola discrimina poco, pero se conserva porque la sociedad constituida en el mismo ejercicio de la compra es senal de alerta reconocida.</t>
        </is>
      </c>
    </row>
    <row r="14" ht="45.75" customHeight="1" s="173">
      <c r="B14" s="203" t="n">
        <v>2</v>
      </c>
      <c r="C14" s="204" t="n">
        <v>8</v>
      </c>
      <c r="D14" s="205" t="inlineStr">
        <is>
          <t>Actividad económica o giro (y fuente de ingresos)</t>
        </is>
      </c>
      <c r="E14" s="204" t="n"/>
      <c r="F14" s="206" t="inlineStr">
        <is>
          <t>A</t>
        </is>
      </c>
      <c r="G14" s="207" t="inlineStr">
        <is>
          <t>Sí</t>
        </is>
      </c>
      <c r="H14" s="208">
        <f>IFERROR(INDEX(BASE!$E:$E,MATCH(INICIO!$C$18&amp;"-"&amp;$C14,BASE!$A:$A,0)),"")</f>
        <v/>
      </c>
      <c r="I14" s="208">
        <f>IFERROR(INDEX(BASE!$F:$F,MATCH(INICIO!$C$18&amp;"-"&amp;$C14,BASE!$A:$A,0)),"")</f>
        <v/>
      </c>
      <c r="J14" s="208">
        <f>IFERROR(INDEX(BASE!$G:$G,MATCH(INICIO!$C$18&amp;"-"&amp;$C14,BASE!$A:$A,0)),"")</f>
        <v/>
      </c>
      <c r="K14" s="209" t="n">
        <v>0.4</v>
      </c>
      <c r="L14" s="209" t="n">
        <v>0.3</v>
      </c>
      <c r="M14" s="209" t="n">
        <v>0.3</v>
      </c>
      <c r="N14" s="210">
        <f>K14+L14+M14</f>
        <v/>
      </c>
      <c r="O14" s="209" t="n">
        <v>0.15</v>
      </c>
      <c r="P14" s="211">
        <f>IF($G14="No",0,ROUND(5*K14+3*L14+1*M14,0))</f>
        <v/>
      </c>
      <c r="Q14" s="211">
        <f>IF($G14="No",0,ROUND(1+4*(K14+L14),0))</f>
        <v/>
      </c>
      <c r="R14" s="211">
        <f>P14*Q14</f>
        <v/>
      </c>
      <c r="S14" s="346" t="inlineStr">
        <is>
          <t>El giro del cliente explica la congruencia entre el precio del inmueble y su capacidad economica declarada; es la pregunta que abre cualquier revision.</t>
        </is>
      </c>
    </row>
    <row r="15" ht="45.75" customHeight="1" s="173">
      <c r="B15" s="203" t="n">
        <v>2</v>
      </c>
      <c r="C15" s="204" t="n">
        <v>9</v>
      </c>
      <c r="D15" s="205" t="inlineStr">
        <is>
          <t>Nacionalidad del cliente</t>
        </is>
      </c>
      <c r="E15" s="204" t="n"/>
      <c r="F15" s="206" t="inlineStr">
        <is>
          <t>A</t>
        </is>
      </c>
      <c r="G15" s="207" t="inlineStr">
        <is>
          <t>Sí</t>
        </is>
      </c>
      <c r="H15" s="208">
        <f>IFERROR(INDEX(BASE!$E:$E,MATCH(INICIO!$C$18&amp;"-"&amp;$C15,BASE!$A:$A,0)),"")</f>
        <v/>
      </c>
      <c r="I15" s="208">
        <f>IFERROR(INDEX(BASE!$F:$F,MATCH(INICIO!$C$18&amp;"-"&amp;$C15,BASE!$A:$A,0)),"")</f>
        <v/>
      </c>
      <c r="J15" s="208">
        <f>IFERROR(INDEX(BASE!$G:$G,MATCH(INICIO!$C$18&amp;"-"&amp;$C15,BASE!$A:$A,0)),"")</f>
        <v/>
      </c>
      <c r="K15" s="209" t="n">
        <v>0.1</v>
      </c>
      <c r="L15" s="209" t="n">
        <v>0.25</v>
      </c>
      <c r="M15" s="209" t="n">
        <v>0.65</v>
      </c>
      <c r="N15" s="210">
        <f>K15+L15+M15</f>
        <v/>
      </c>
      <c r="O15" s="209" t="n">
        <v>0.07000000000000001</v>
      </c>
      <c r="P15" s="211">
        <f>IF($G15="No",0,ROUND(5*K15+3*L15+1*M15,0))</f>
        <v/>
      </c>
      <c r="Q15" s="211">
        <f>IF($G15="No",0,ROUND(1+4*(K15+L15),0))</f>
        <v/>
      </c>
      <c r="R15" s="211">
        <f>P15*Q15</f>
        <v/>
      </c>
      <c r="S15" s="346" t="inlineStr">
        <is>
          <t>Peso bajo: la nacionalidad aisladamente no explica riesgo. Su efecto real se mide en el indicador de residencia y en el elemento 3.</t>
        </is>
      </c>
    </row>
    <row r="16" ht="45.75" customHeight="1" s="173">
      <c r="B16" s="203" t="n">
        <v>2</v>
      </c>
      <c r="C16" s="204" t="n">
        <v>10</v>
      </c>
      <c r="D16" s="205" t="inlineStr">
        <is>
          <t>País (y en su caso, estado) de residencia del cliente</t>
        </is>
      </c>
      <c r="E16" s="204" t="n"/>
      <c r="F16" s="206" t="inlineStr">
        <is>
          <t>A</t>
        </is>
      </c>
      <c r="G16" s="207" t="inlineStr">
        <is>
          <t>Sí</t>
        </is>
      </c>
      <c r="H16" s="208">
        <f>IFERROR(INDEX(BASE!$E:$E,MATCH(INICIO!$C$18&amp;"-"&amp;$C16,BASE!$A:$A,0)),"")</f>
        <v/>
      </c>
      <c r="I16" s="208">
        <f>IFERROR(INDEX(BASE!$F:$F,MATCH(INICIO!$C$18&amp;"-"&amp;$C16,BASE!$A:$A,0)),"")</f>
        <v/>
      </c>
      <c r="J16" s="208">
        <f>IFERROR(INDEX(BASE!$G:$G,MATCH(INICIO!$C$18&amp;"-"&amp;$C16,BASE!$A:$A,0)),"")</f>
        <v/>
      </c>
      <c r="K16" s="209" t="n">
        <v>0.15</v>
      </c>
      <c r="L16" s="209" t="n">
        <v>0.25</v>
      </c>
      <c r="M16" s="209" t="n">
        <v>0.6</v>
      </c>
      <c r="N16" s="210">
        <f>K16+L16+M16</f>
        <v/>
      </c>
      <c r="O16" s="209" t="n">
        <v>0.1</v>
      </c>
      <c r="P16" s="211">
        <f>IF($G16="No",0,ROUND(5*K16+3*L16+1*M16,0))</f>
        <v/>
      </c>
      <c r="Q16" s="211">
        <f>IF($G16="No",0,ROUND(1+4*(K16+L16),0))</f>
        <v/>
      </c>
      <c r="R16" s="211">
        <f>P16*Q16</f>
        <v/>
      </c>
      <c r="S16" s="346" t="inlineStr">
        <is>
          <t>Peso medio bajo: la residencia fuera de la plaza donde esta el inmueble es senal util, pero se pondera junto con el indicador 17 para no contar dos veces lo mismo.</t>
        </is>
      </c>
    </row>
    <row r="17" ht="45.75" customHeight="1" s="173">
      <c r="B17" s="203" t="n">
        <v>2</v>
      </c>
      <c r="C17" s="204" t="n">
        <v>11</v>
      </c>
      <c r="D17" s="205" t="inlineStr">
        <is>
          <t>Condición PEP</t>
        </is>
      </c>
      <c r="E17" s="213" t="inlineStr">
        <is>
          <t>400 Bis</t>
        </is>
      </c>
      <c r="F17" s="206" t="inlineStr">
        <is>
          <t>D</t>
        </is>
      </c>
      <c r="G17" s="214" t="inlineStr">
        <is>
          <t>Sí</t>
        </is>
      </c>
      <c r="H17" s="208">
        <f>IFERROR(INDEX(BASE!$E:$E,MATCH(INICIO!$C$18&amp;"-"&amp;$C17,BASE!$A:$A,0)),"")</f>
        <v/>
      </c>
      <c r="I17" s="208">
        <f>IFERROR(INDEX(BASE!$F:$F,MATCH(INICIO!$C$18&amp;"-"&amp;$C17,BASE!$A:$A,0)),"")</f>
        <v/>
      </c>
      <c r="J17" s="208">
        <f>IFERROR(INDEX(BASE!$G:$G,MATCH(INICIO!$C$18&amp;"-"&amp;$C17,BASE!$A:$A,0)),"")</f>
        <v/>
      </c>
      <c r="K17" s="209" t="n">
        <v>0.2</v>
      </c>
      <c r="L17" s="209" t="n">
        <v>0.2</v>
      </c>
      <c r="M17" s="209" t="n">
        <v>0.6</v>
      </c>
      <c r="N17" s="210">
        <f>K17+L17+M17</f>
        <v/>
      </c>
      <c r="O17" s="209" t="n">
        <v>0.14</v>
      </c>
      <c r="P17" s="211">
        <f>IF($G17="No",0,ROUND(5*K17+3*L17+1*M17,0))</f>
        <v/>
      </c>
      <c r="Q17" s="211">
        <f>IF($G17="No",0,ROUND(1+4*(K17+L17),0))</f>
        <v/>
      </c>
      <c r="R17" s="211">
        <f>P17*Q17</f>
        <v/>
      </c>
      <c r="S17" s="346" t="inlineStr">
        <is>
          <t>Indicador de 400 Bis del elemento. Peso relevante: la condicion PEP dispara seguimiento reforzado por el Art. 23 Bis 3, y la PEP extranjera fuerza grado alto por el Art. 23 Bis 4.</t>
        </is>
      </c>
    </row>
    <row r="18" ht="45.75" customHeight="1" s="173">
      <c r="B18" s="203" t="n">
        <v>2</v>
      </c>
      <c r="C18" s="204" t="n">
        <v>12</v>
      </c>
      <c r="D18" s="205" t="inlineStr">
        <is>
          <t>Coincidencia en listas de personas bloqueadas o de sanciones</t>
        </is>
      </c>
      <c r="E18" s="215" t="inlineStr">
        <is>
          <t>139 Quáter</t>
        </is>
      </c>
      <c r="F18" s="206" t="inlineStr">
        <is>
          <t>D</t>
        </is>
      </c>
      <c r="G18" s="214" t="inlineStr">
        <is>
          <t>Sí</t>
        </is>
      </c>
      <c r="H18" s="208">
        <f>IFERROR(INDEX(BASE!$E:$E,MATCH(INICIO!$C$18&amp;"-"&amp;$C18,BASE!$A:$A,0)),"")</f>
        <v/>
      </c>
      <c r="I18" s="208">
        <f>IFERROR(INDEX(BASE!$F:$F,MATCH(INICIO!$C$18&amp;"-"&amp;$C18,BASE!$A:$A,0)),"")</f>
        <v/>
      </c>
      <c r="J18" s="208">
        <f>IFERROR(INDEX(BASE!$G:$G,MATCH(INICIO!$C$18&amp;"-"&amp;$C18,BASE!$A:$A,0)),"")</f>
        <v/>
      </c>
      <c r="K18" s="209" t="n">
        <v>0.05</v>
      </c>
      <c r="L18" s="209" t="n">
        <v>0.15</v>
      </c>
      <c r="M18" s="209" t="n">
        <v>0.8</v>
      </c>
      <c r="N18" s="210">
        <f>K18+L18+M18</f>
        <v/>
      </c>
      <c r="O18" s="209" t="n">
        <v>0.1</v>
      </c>
      <c r="P18" s="211">
        <f>IF($G18="No",0,ROUND(5*K18+3*L18+1*M18,0))</f>
        <v/>
      </c>
      <c r="Q18" s="211">
        <f>IF($G18="No",0,ROUND(1+4*(K18+L18),0))</f>
        <v/>
      </c>
      <c r="R18" s="211">
        <f>P18*Q18</f>
        <v/>
      </c>
      <c r="S18" s="346" t="inlineStr">
        <is>
          <t>Indicador de 139 Quater del elemento. Peso contenido porque la validacion contra listas esta automatizada y se ejecuta al 100% de las operaciones.</t>
        </is>
      </c>
    </row>
    <row r="19" ht="45.75" customHeight="1" s="173">
      <c r="B19" s="203" t="n">
        <v>2</v>
      </c>
      <c r="C19" s="204" t="n">
        <v>13</v>
      </c>
      <c r="D19" s="205" t="inlineStr">
        <is>
          <t>Identificación y complejidad del Beneficiario Controlador</t>
        </is>
      </c>
      <c r="E19" s="213" t="inlineStr">
        <is>
          <t>400 Bis</t>
        </is>
      </c>
      <c r="F19" s="206" t="inlineStr">
        <is>
          <t>A</t>
        </is>
      </c>
      <c r="G19" s="207" t="inlineStr">
        <is>
          <t>Sí</t>
        </is>
      </c>
      <c r="H19" s="208">
        <f>IFERROR(INDEX(BASE!$E:$E,MATCH(INICIO!$C$18&amp;"-"&amp;$C19,BASE!$A:$A,0)),"")</f>
        <v/>
      </c>
      <c r="I19" s="208">
        <f>IFERROR(INDEX(BASE!$F:$F,MATCH(INICIO!$C$18&amp;"-"&amp;$C19,BASE!$A:$A,0)),"")</f>
        <v/>
      </c>
      <c r="J19" s="208">
        <f>IFERROR(INDEX(BASE!$G:$G,MATCH(INICIO!$C$18&amp;"-"&amp;$C19,BASE!$A:$A,0)),"")</f>
        <v/>
      </c>
      <c r="K19" s="209" t="n">
        <v>0.35</v>
      </c>
      <c r="L19" s="209" t="n">
        <v>0.35</v>
      </c>
      <c r="M19" s="209" t="n">
        <v>0.3</v>
      </c>
      <c r="N19" s="210">
        <f>K19+L19+M19</f>
        <v/>
      </c>
      <c r="O19" s="209" t="n">
        <v>0.18</v>
      </c>
      <c r="P19" s="211">
        <f>IF($G19="No",0,ROUND(5*K19+3*L19+1*M19,0))</f>
        <v/>
      </c>
      <c r="Q19" s="211">
        <f>IF($G19="No",0,ROUND(1+4*(K19+L19),0))</f>
        <v/>
      </c>
      <c r="R19" s="211">
        <f>P19*Q19</f>
        <v/>
      </c>
      <c r="S19" s="346" t="inlineStr">
        <is>
          <t>Peso alto: desde el 30 de noviembre de 2026 desaparece la constancia declarativa en persona moral y fideicomiso, y hay que identificar al Beneficiario Controlador. La complejidad de la cadena es riesgo medible.</t>
        </is>
      </c>
    </row>
    <row r="20" ht="45.75" customHeight="1" s="173">
      <c r="B20" s="203" t="n">
        <v>3</v>
      </c>
      <c r="C20" s="204" t="n">
        <v>14</v>
      </c>
      <c r="D20" s="205" t="inlineStr">
        <is>
          <t>País / jurisdicción donde se realiza la operación</t>
        </is>
      </c>
      <c r="E20" s="213" t="inlineStr">
        <is>
          <t>400 Bis</t>
        </is>
      </c>
      <c r="F20" s="206" t="inlineStr">
        <is>
          <t>C+D</t>
        </is>
      </c>
      <c r="G20" s="214" t="inlineStr">
        <is>
          <t>Sí</t>
        </is>
      </c>
      <c r="H20" s="208">
        <f>IFERROR(INDEX(BASE!$E:$E,MATCH(INICIO!$C$18&amp;"-"&amp;$C20,BASE!$A:$A,0)),"")</f>
        <v/>
      </c>
      <c r="I20" s="208">
        <f>IFERROR(INDEX(BASE!$F:$F,MATCH(INICIO!$C$18&amp;"-"&amp;$C20,BASE!$A:$A,0)),"")</f>
        <v/>
      </c>
      <c r="J20" s="208">
        <f>IFERROR(INDEX(BASE!$G:$G,MATCH(INICIO!$C$18&amp;"-"&amp;$C20,BASE!$A:$A,0)),"")</f>
        <v/>
      </c>
      <c r="K20" s="209" t="n">
        <v>0.15</v>
      </c>
      <c r="L20" s="209" t="n">
        <v>0.25</v>
      </c>
      <c r="M20" s="209" t="n">
        <v>0.6</v>
      </c>
      <c r="N20" s="210">
        <f>K20+L20+M20</f>
        <v/>
      </c>
      <c r="O20" s="209" t="n">
        <v>0.3</v>
      </c>
      <c r="P20" s="211">
        <f>IF($G20="No",0,ROUND(5*K20+3*L20+1*M20,0))</f>
        <v/>
      </c>
      <c r="Q20" s="211">
        <f>IF($G20="No",0,ROUND(1+4*(K20+L20),0))</f>
        <v/>
      </c>
      <c r="R20" s="211">
        <f>P20*Q20</f>
        <v/>
      </c>
      <c r="S20" s="346" t="inlineStr">
        <is>
          <t>Indicador de 400 Bis del elemento y el de mayor peso: la jurisdiccion donde se ubica el inmueble determina el marco registral y la trazabilidad real de la operacion.</t>
        </is>
      </c>
    </row>
    <row r="21" ht="45.75" customHeight="1" s="173">
      <c r="B21" s="203" t="n">
        <v>3</v>
      </c>
      <c r="C21" s="204" t="n">
        <v>15</v>
      </c>
      <c r="D21" s="205" t="inlineStr">
        <is>
          <t>Área geográfica nacional de la operación</t>
        </is>
      </c>
      <c r="E21" s="204" t="n"/>
      <c r="F21" s="206" t="inlineStr">
        <is>
          <t>C+D</t>
        </is>
      </c>
      <c r="G21" s="207" t="inlineStr">
        <is>
          <t>Sí</t>
        </is>
      </c>
      <c r="H21" s="208">
        <f>IFERROR(INDEX(BASE!$E:$E,MATCH(INICIO!$C$18&amp;"-"&amp;$C21,BASE!$A:$A,0)),"")</f>
        <v/>
      </c>
      <c r="I21" s="208">
        <f>IFERROR(INDEX(BASE!$F:$F,MATCH(INICIO!$C$18&amp;"-"&amp;$C21,BASE!$A:$A,0)),"")</f>
        <v/>
      </c>
      <c r="J21" s="208">
        <f>IFERROR(INDEX(BASE!$G:$G,MATCH(INICIO!$C$18&amp;"-"&amp;$C21,BASE!$A:$A,0)),"")</f>
        <v/>
      </c>
      <c r="K21" s="209" t="n">
        <v>0.3</v>
      </c>
      <c r="L21" s="209" t="n">
        <v>0.35</v>
      </c>
      <c r="M21" s="209" t="n">
        <v>0.35</v>
      </c>
      <c r="N21" s="210">
        <f>K21+L21+M21</f>
        <v/>
      </c>
      <c r="O21" s="209" t="n">
        <v>0.3</v>
      </c>
      <c r="P21" s="211">
        <f>IF($G21="No",0,ROUND(5*K21+3*L21+1*M21,0))</f>
        <v/>
      </c>
      <c r="Q21" s="211">
        <f>IF($G21="No",0,ROUND(1+4*(K21+L21),0))</f>
        <v/>
      </c>
      <c r="R21" s="211">
        <f>P21*Q21</f>
        <v/>
      </c>
      <c r="S21" s="346" t="inlineStr">
        <is>
          <t>Peso equivalente al anterior: la plaza nacional concentra la exposicion. Dos de los desarrollos del periodo estan en municipios senalados en la ENR.</t>
        </is>
      </c>
    </row>
    <row r="22" ht="45.75" customHeight="1" s="173">
      <c r="B22" s="203" t="n">
        <v>3</v>
      </c>
      <c r="C22" s="204" t="n">
        <v>16</v>
      </c>
      <c r="D22" s="205" t="inlineStr">
        <is>
          <t>Vínculo con jurisdicciones sancionadas, en conflicto o de acción requerida por el GAFI</t>
        </is>
      </c>
      <c r="E22" s="215" t="inlineStr">
        <is>
          <t>139 Quáter</t>
        </is>
      </c>
      <c r="F22" s="206" t="inlineStr">
        <is>
          <t>C+D</t>
        </is>
      </c>
      <c r="G22" s="207" t="inlineStr">
        <is>
          <t>Sí</t>
        </is>
      </c>
      <c r="H22" s="208">
        <f>IFERROR(INDEX(BASE!$E:$E,MATCH(INICIO!$C$18&amp;"-"&amp;$C22,BASE!$A:$A,0)),"")</f>
        <v/>
      </c>
      <c r="I22" s="208">
        <f>IFERROR(INDEX(BASE!$F:$F,MATCH(INICIO!$C$18&amp;"-"&amp;$C22,BASE!$A:$A,0)),"")</f>
        <v/>
      </c>
      <c r="J22" s="208">
        <f>IFERROR(INDEX(BASE!$G:$G,MATCH(INICIO!$C$18&amp;"-"&amp;$C22,BASE!$A:$A,0)),"")</f>
        <v/>
      </c>
      <c r="K22" s="209" t="n">
        <v>0.05</v>
      </c>
      <c r="L22" s="209" t="n">
        <v>0.15</v>
      </c>
      <c r="M22" s="209" t="n">
        <v>0.8</v>
      </c>
      <c r="N22" s="210">
        <f>K22+L22+M22</f>
        <v/>
      </c>
      <c r="O22" s="209" t="n">
        <v>0.15</v>
      </c>
      <c r="P22" s="211">
        <f>IF($G22="No",0,ROUND(5*K22+3*L22+1*M22,0))</f>
        <v/>
      </c>
      <c r="Q22" s="211">
        <f>IF($G22="No",0,ROUND(1+4*(K22+L22),0))</f>
        <v/>
      </c>
      <c r="R22" s="211">
        <f>P22*Q22</f>
        <v/>
      </c>
      <c r="S22" s="346" t="inlineStr">
        <is>
          <t>Indicador de 139 Quater del elemento, con peso bajo: la operacion del periodo fue integramente nacional, sin contrapartes en jurisdicciones sancionadas.</t>
        </is>
      </c>
    </row>
    <row r="23" ht="45.75" customHeight="1" s="173">
      <c r="B23" s="203" t="n">
        <v>3</v>
      </c>
      <c r="C23" s="204" t="n">
        <v>17</v>
      </c>
      <c r="D23" s="205" t="inlineStr">
        <is>
          <t>Congruencia entre el domicilio del Cliente y el lugar de la operación</t>
        </is>
      </c>
      <c r="E23" s="213" t="inlineStr">
        <is>
          <t>400 Bis</t>
        </is>
      </c>
      <c r="F23" s="206" t="inlineStr">
        <is>
          <t>A+C</t>
        </is>
      </c>
      <c r="G23" s="207" t="inlineStr">
        <is>
          <t>Sí</t>
        </is>
      </c>
      <c r="H23" s="208">
        <f>IFERROR(INDEX(BASE!$E:$E,MATCH(INICIO!$C$18&amp;"-"&amp;$C23,BASE!$A:$A,0)),"")</f>
        <v/>
      </c>
      <c r="I23" s="208">
        <f>IFERROR(INDEX(BASE!$F:$F,MATCH(INICIO!$C$18&amp;"-"&amp;$C23,BASE!$A:$A,0)),"")</f>
        <v/>
      </c>
      <c r="J23" s="208">
        <f>IFERROR(INDEX(BASE!$G:$G,MATCH(INICIO!$C$18&amp;"-"&amp;$C23,BASE!$A:$A,0)),"")</f>
        <v/>
      </c>
      <c r="K23" s="209" t="n">
        <v>0.25</v>
      </c>
      <c r="L23" s="209" t="n">
        <v>0.3</v>
      </c>
      <c r="M23" s="209" t="n">
        <v>0.45</v>
      </c>
      <c r="N23" s="210">
        <f>K23+L23+M23</f>
        <v/>
      </c>
      <c r="O23" s="209" t="n">
        <v>0.25</v>
      </c>
      <c r="P23" s="211">
        <f>IF($G23="No",0,ROUND(5*K23+3*L23+1*M23,0))</f>
        <v/>
      </c>
      <c r="Q23" s="211">
        <f>IF($G23="No",0,ROUND(1+4*(K23+L23),0))</f>
        <v/>
      </c>
      <c r="R23" s="211">
        <f>P23*Q23</f>
        <v/>
      </c>
      <c r="S23" s="346" t="inlineStr">
        <is>
          <t>Peso alto: la incongruencia entre el domicilio del cliente y la ubicacion del inmueble es la alerta que mas veces se activo en el periodo evaluado.</t>
        </is>
      </c>
    </row>
    <row r="24" ht="45.75" customHeight="1" s="173">
      <c r="B24" s="203" t="n">
        <v>4</v>
      </c>
      <c r="C24" s="204" t="n">
        <v>18</v>
      </c>
      <c r="D24" s="205" t="inlineStr">
        <is>
          <t>Instrumento monetario</t>
        </is>
      </c>
      <c r="E24" s="204" t="n"/>
      <c r="F24" s="206" t="inlineStr">
        <is>
          <t>C</t>
        </is>
      </c>
      <c r="G24" s="207" t="inlineStr">
        <is>
          <t>Sí</t>
        </is>
      </c>
      <c r="H24" s="208">
        <f>IFERROR(INDEX(BASE!$E:$E,MATCH(INICIO!$C$18&amp;"-"&amp;$C24,BASE!$A:$A,0)),"")</f>
        <v/>
      </c>
      <c r="I24" s="208">
        <f>IFERROR(INDEX(BASE!$F:$F,MATCH(INICIO!$C$18&amp;"-"&amp;$C24,BASE!$A:$A,0)),"")</f>
        <v/>
      </c>
      <c r="J24" s="208">
        <f>IFERROR(INDEX(BASE!$G:$G,MATCH(INICIO!$C$18&amp;"-"&amp;$C24,BASE!$A:$A,0)),"")</f>
        <v/>
      </c>
      <c r="K24" s="209" t="n">
        <v>0.5</v>
      </c>
      <c r="L24" s="209" t="n">
        <v>0.25</v>
      </c>
      <c r="M24" s="209" t="n">
        <v>0.25</v>
      </c>
      <c r="N24" s="210">
        <f>K24+L24+M24</f>
        <v/>
      </c>
      <c r="O24" s="209" t="n">
        <v>0.22</v>
      </c>
      <c r="P24" s="211">
        <f>IF($G24="No",0,ROUND(5*K24+3*L24+1*M24,0))</f>
        <v/>
      </c>
      <c r="Q24" s="211">
        <f>IF($G24="No",0,ROUND(1+4*(K24+L24),0))</f>
        <v/>
      </c>
      <c r="R24" s="211">
        <f>P24*Q24</f>
        <v/>
      </c>
      <c r="S24" s="346" t="inlineStr">
        <is>
          <t>El peso mas alto del elemento: el efectivo es el mecanismo de colocacion por excelencia y la mitad de las operaciones del periodo tuvo algun componente en efectivo.</t>
        </is>
      </c>
    </row>
    <row r="25" ht="45.75" customHeight="1" s="173">
      <c r="B25" s="203" t="n">
        <v>4</v>
      </c>
      <c r="C25" s="204" t="n">
        <v>19</v>
      </c>
      <c r="D25" s="205" t="inlineStr">
        <is>
          <t>Tipo de moneda</t>
        </is>
      </c>
      <c r="E25" s="204" t="n"/>
      <c r="F25" s="206" t="inlineStr">
        <is>
          <t>C</t>
        </is>
      </c>
      <c r="G25" s="207" t="inlineStr">
        <is>
          <t>Sí</t>
        </is>
      </c>
      <c r="H25" s="208">
        <f>IFERROR(INDEX(BASE!$E:$E,MATCH(INICIO!$C$18&amp;"-"&amp;$C25,BASE!$A:$A,0)),"")</f>
        <v/>
      </c>
      <c r="I25" s="208">
        <f>IFERROR(INDEX(BASE!$F:$F,MATCH(INICIO!$C$18&amp;"-"&amp;$C25,BASE!$A:$A,0)),"")</f>
        <v/>
      </c>
      <c r="J25" s="208">
        <f>IFERROR(INDEX(BASE!$G:$G,MATCH(INICIO!$C$18&amp;"-"&amp;$C25,BASE!$A:$A,0)),"")</f>
        <v/>
      </c>
      <c r="K25" s="209" t="n">
        <v>0.1</v>
      </c>
      <c r="L25" s="209" t="n">
        <v>0.2</v>
      </c>
      <c r="M25" s="209" t="n">
        <v>0.7</v>
      </c>
      <c r="N25" s="210">
        <f>K25+L25+M25</f>
        <v/>
      </c>
      <c r="O25" s="209" t="n">
        <v>0.05</v>
      </c>
      <c r="P25" s="211">
        <f>IF($G25="No",0,ROUND(5*K25+3*L25+1*M25,0))</f>
        <v/>
      </c>
      <c r="Q25" s="211">
        <f>IF($G25="No",0,ROUND(1+4*(K25+L25),0))</f>
        <v/>
      </c>
      <c r="R25" s="211">
        <f>P25*Q25</f>
        <v/>
      </c>
      <c r="S25" s="346" t="inlineStr">
        <is>
          <t>Peso minimo: el 100% de las operaciones del periodo se pacto y liquido en pesos mexicanos.</t>
        </is>
      </c>
    </row>
    <row r="26" ht="45.75" customHeight="1" s="173">
      <c r="B26" s="203" t="n">
        <v>4</v>
      </c>
      <c r="C26" s="204" t="n">
        <v>20</v>
      </c>
      <c r="D26" s="205" t="inlineStr">
        <is>
          <t>Monto frente a umbrales LFPIORPI</t>
        </is>
      </c>
      <c r="E26" s="204" t="n"/>
      <c r="F26" s="206" t="inlineStr">
        <is>
          <t>C</t>
        </is>
      </c>
      <c r="G26" s="207" t="inlineStr">
        <is>
          <t>Sí</t>
        </is>
      </c>
      <c r="H26" s="208">
        <f>IFERROR(INDEX(BASE!$E:$E,MATCH(INICIO!$C$18&amp;"-"&amp;$C26,BASE!$A:$A,0)),"")</f>
        <v/>
      </c>
      <c r="I26" s="208">
        <f>IFERROR(INDEX(BASE!$F:$F,MATCH(INICIO!$C$18&amp;"-"&amp;$C26,BASE!$A:$A,0)),"")</f>
        <v/>
      </c>
      <c r="J26" s="208">
        <f>IFERROR(INDEX(BASE!$G:$G,MATCH(INICIO!$C$18&amp;"-"&amp;$C26,BASE!$A:$A,0)),"")</f>
        <v/>
      </c>
      <c r="K26" s="209" t="n">
        <v>0.35</v>
      </c>
      <c r="L26" s="209" t="n">
        <v>0.3</v>
      </c>
      <c r="M26" s="209" t="n">
        <v>0.35</v>
      </c>
      <c r="N26" s="210">
        <f>K26+L26+M26</f>
        <v/>
      </c>
      <c r="O26" s="209" t="n">
        <v>0.13</v>
      </c>
      <c r="P26" s="211">
        <f>IF($G26="No",0,ROUND(5*K26+3*L26+1*M26,0))</f>
        <v/>
      </c>
      <c r="Q26" s="211">
        <f>IF($G26="No",0,ROUND(1+4*(K26+L26),0))</f>
        <v/>
      </c>
      <c r="R26" s="211">
        <f>P26*Q26</f>
        <v/>
      </c>
      <c r="S26" s="346" t="inlineStr">
        <is>
          <t>Peso medio: el monto frente al umbral define si la operacion entra al regimen, pero en este giro practicamente todas lo superan, de modo que discrimina poco entre clientes.</t>
        </is>
      </c>
    </row>
    <row r="27" ht="45.75" customHeight="1" s="173">
      <c r="B27" s="203" t="n">
        <v>4</v>
      </c>
      <c r="C27" s="204" t="n">
        <v>21</v>
      </c>
      <c r="D27" s="205" t="inlineStr">
        <is>
          <t>Frecuencia (fraccionamiento)</t>
        </is>
      </c>
      <c r="E27" s="204" t="n"/>
      <c r="F27" s="206" t="inlineStr">
        <is>
          <t>C</t>
        </is>
      </c>
      <c r="G27" s="207" t="inlineStr">
        <is>
          <t>Sí</t>
        </is>
      </c>
      <c r="H27" s="208">
        <f>IFERROR(INDEX(BASE!$E:$E,MATCH(INICIO!$C$18&amp;"-"&amp;$C27,BASE!$A:$A,0)),"")</f>
        <v/>
      </c>
      <c r="I27" s="208">
        <f>IFERROR(INDEX(BASE!$F:$F,MATCH(INICIO!$C$18&amp;"-"&amp;$C27,BASE!$A:$A,0)),"")</f>
        <v/>
      </c>
      <c r="J27" s="208">
        <f>IFERROR(INDEX(BASE!$G:$G,MATCH(INICIO!$C$18&amp;"-"&amp;$C27,BASE!$A:$A,0)),"")</f>
        <v/>
      </c>
      <c r="K27" s="209" t="n">
        <v>0.3</v>
      </c>
      <c r="L27" s="209" t="n">
        <v>0.35</v>
      </c>
      <c r="M27" s="209" t="n">
        <v>0.35</v>
      </c>
      <c r="N27" s="210">
        <f>K27+L27+M27</f>
        <v/>
      </c>
      <c r="O27" s="209" t="n">
        <v>0.15</v>
      </c>
      <c r="P27" s="211">
        <f>IF($G27="No",0,ROUND(5*K27+3*L27+1*M27,0))</f>
        <v/>
      </c>
      <c r="Q27" s="211">
        <f>IF($G27="No",0,ROUND(1+4*(K27+L27),0))</f>
        <v/>
      </c>
      <c r="R27" s="211">
        <f>P27*Q27</f>
        <v/>
      </c>
      <c r="S27" s="346" t="inlineStr">
        <is>
          <t>Peso relevante: el pago en parcialidades es la practica normal del giro, lo que hace dificil distinguir la amortizacion legitima del fraccionamiento deliberado.</t>
        </is>
      </c>
    </row>
    <row r="28" ht="45.75" customHeight="1" s="173">
      <c r="B28" s="203" t="n">
        <v>4</v>
      </c>
      <c r="C28" s="204" t="n">
        <v>22</v>
      </c>
      <c r="D28" s="205" t="inlineStr">
        <is>
          <t>Canal (presencial / no presencial / terceros)</t>
        </is>
      </c>
      <c r="E28" s="213" t="inlineStr">
        <is>
          <t>400 Bis</t>
        </is>
      </c>
      <c r="F28" s="206" t="inlineStr">
        <is>
          <t>B+C</t>
        </is>
      </c>
      <c r="G28" s="214" t="inlineStr">
        <is>
          <t>Sí</t>
        </is>
      </c>
      <c r="H28" s="208">
        <f>IFERROR(INDEX(BASE!$E:$E,MATCH(INICIO!$C$18&amp;"-"&amp;$C28,BASE!$A:$A,0)),"")</f>
        <v/>
      </c>
      <c r="I28" s="208">
        <f>IFERROR(INDEX(BASE!$F:$F,MATCH(INICIO!$C$18&amp;"-"&amp;$C28,BASE!$A:$A,0)),"")</f>
        <v/>
      </c>
      <c r="J28" s="208">
        <f>IFERROR(INDEX(BASE!$G:$G,MATCH(INICIO!$C$18&amp;"-"&amp;$C28,BASE!$A:$A,0)),"")</f>
        <v/>
      </c>
      <c r="K28" s="209" t="n">
        <v>0.25</v>
      </c>
      <c r="L28" s="209" t="n">
        <v>0.35</v>
      </c>
      <c r="M28" s="209" t="n">
        <v>0.4</v>
      </c>
      <c r="N28" s="210">
        <f>K28+L28+M28</f>
        <v/>
      </c>
      <c r="O28" s="209" t="n">
        <v>0.1</v>
      </c>
      <c r="P28" s="211">
        <f>IF($G28="No",0,ROUND(5*K28+3*L28+1*M28,0))</f>
        <v/>
      </c>
      <c r="Q28" s="211">
        <f>IF($G28="No",0,ROUND(1+4*(K28+L28),0))</f>
        <v/>
      </c>
      <c r="R28" s="211">
        <f>P28*Q28</f>
        <v/>
      </c>
      <c r="S28" s="346" t="inlineStr">
        <is>
          <t>Indicador de 400 Bis del elemento. Peso contenido: la operacion es presencial y ante fedatario, lo que limita el riesgo de canal.</t>
        </is>
      </c>
    </row>
    <row r="29" ht="45.75" customHeight="1" s="173">
      <c r="B29" s="203" t="n">
        <v>4</v>
      </c>
      <c r="C29" s="204" t="n">
        <v>23</v>
      </c>
      <c r="D29" s="205" t="inlineStr">
        <is>
          <t>Origen de los recursos</t>
        </is>
      </c>
      <c r="E29" s="204" t="n"/>
      <c r="F29" s="206" t="inlineStr">
        <is>
          <t>C+D</t>
        </is>
      </c>
      <c r="G29" s="207" t="inlineStr">
        <is>
          <t>Sí</t>
        </is>
      </c>
      <c r="H29" s="208">
        <f>IFERROR(INDEX(BASE!$E:$E,MATCH(INICIO!$C$18&amp;"-"&amp;$C29,BASE!$A:$A,0)),"")</f>
        <v/>
      </c>
      <c r="I29" s="208">
        <f>IFERROR(INDEX(BASE!$F:$F,MATCH(INICIO!$C$18&amp;"-"&amp;$C29,BASE!$A:$A,0)),"")</f>
        <v/>
      </c>
      <c r="J29" s="208">
        <f>IFERROR(INDEX(BASE!$G:$G,MATCH(INICIO!$C$18&amp;"-"&amp;$C29,BASE!$A:$A,0)),"")</f>
        <v/>
      </c>
      <c r="K29" s="209" t="n">
        <v>0.45</v>
      </c>
      <c r="L29" s="209" t="n">
        <v>0.3</v>
      </c>
      <c r="M29" s="209" t="n">
        <v>0.25</v>
      </c>
      <c r="N29" s="210">
        <f>K29+L29+M29</f>
        <v/>
      </c>
      <c r="O29" s="209" t="n">
        <v>0.18</v>
      </c>
      <c r="P29" s="211">
        <f>IF($G29="No",0,ROUND(5*K29+3*L29+1*M29,0))</f>
        <v/>
      </c>
      <c r="Q29" s="211">
        <f>IF($G29="No",0,ROUND(1+4*(K29+L29),0))</f>
        <v/>
      </c>
      <c r="R29" s="211">
        <f>P29*Q29</f>
        <v/>
      </c>
      <c r="S29" s="346" t="inlineStr">
        <is>
          <t>Peso alto: el origen de los recursos es el dato que sostiene o derrumba toda la operacion, y es la primera pregunta de cualquier requerimiento.</t>
        </is>
      </c>
    </row>
    <row r="30" ht="45.75" customHeight="1" s="173">
      <c r="B30" s="203" t="n">
        <v>4</v>
      </c>
      <c r="C30" s="204" t="n">
        <v>24</v>
      </c>
      <c r="D30" s="205" t="inlineStr">
        <is>
          <t>Destino de los recursos</t>
        </is>
      </c>
      <c r="E30" s="204" t="n"/>
      <c r="F30" s="206" t="inlineStr">
        <is>
          <t>C+D</t>
        </is>
      </c>
      <c r="G30" s="207" t="inlineStr">
        <is>
          <t>Sí</t>
        </is>
      </c>
      <c r="H30" s="208">
        <f>IFERROR(INDEX(BASE!$E:$E,MATCH(INICIO!$C$18&amp;"-"&amp;$C30,BASE!$A:$A,0)),"")</f>
        <v/>
      </c>
      <c r="I30" s="208">
        <f>IFERROR(INDEX(BASE!$F:$F,MATCH(INICIO!$C$18&amp;"-"&amp;$C30,BASE!$A:$A,0)),"")</f>
        <v/>
      </c>
      <c r="J30" s="208">
        <f>IFERROR(INDEX(BASE!$G:$G,MATCH(INICIO!$C$18&amp;"-"&amp;$C30,BASE!$A:$A,0)),"")</f>
        <v/>
      </c>
      <c r="K30" s="209" t="n">
        <v>0.3</v>
      </c>
      <c r="L30" s="209" t="n">
        <v>0.3</v>
      </c>
      <c r="M30" s="209" t="n">
        <v>0.4</v>
      </c>
      <c r="N30" s="210">
        <f>K30+L30+M30</f>
        <v/>
      </c>
      <c r="O30" s="209" t="n">
        <v>0.09</v>
      </c>
      <c r="P30" s="211">
        <f>IF($G30="No",0,ROUND(5*K30+3*L30+1*M30,0))</f>
        <v/>
      </c>
      <c r="Q30" s="211">
        <f>IF($G30="No",0,ROUND(1+4*(K30+L30),0))</f>
        <v/>
      </c>
      <c r="R30" s="211">
        <f>P30*Q30</f>
        <v/>
      </c>
      <c r="S30" s="346" t="inlineStr">
        <is>
          <t>Peso menor que el origen: en compraventa de inmueble el destino es el propio bien, que queda registrado; el riesgo se concentra en la entrada de los recursos.</t>
        </is>
      </c>
    </row>
    <row r="31" ht="45.75" customHeight="1" s="173">
      <c r="B31" s="203" t="n">
        <v>4</v>
      </c>
      <c r="C31" s="204" t="n">
        <v>25</v>
      </c>
      <c r="D31" s="205" t="inlineStr">
        <is>
          <t>Canales e instrumentos idóneos para el financiamiento al terrorismo</t>
        </is>
      </c>
      <c r="E31" s="215" t="inlineStr">
        <is>
          <t>139 Quáter</t>
        </is>
      </c>
      <c r="F31" s="206" t="inlineStr">
        <is>
          <t>B+C</t>
        </is>
      </c>
      <c r="G31" s="214" t="inlineStr">
        <is>
          <t>Sí</t>
        </is>
      </c>
      <c r="H31" s="208">
        <f>IFERROR(INDEX(BASE!$E:$E,MATCH(INICIO!$C$18&amp;"-"&amp;$C31,BASE!$A:$A,0)),"")</f>
        <v/>
      </c>
      <c r="I31" s="208">
        <f>IFERROR(INDEX(BASE!$F:$F,MATCH(INICIO!$C$18&amp;"-"&amp;$C31,BASE!$A:$A,0)),"")</f>
        <v/>
      </c>
      <c r="J31" s="208">
        <f>IFERROR(INDEX(BASE!$G:$G,MATCH(INICIO!$C$18&amp;"-"&amp;$C31,BASE!$A:$A,0)),"")</f>
        <v/>
      </c>
      <c r="K31" s="209" t="n">
        <v>0.2</v>
      </c>
      <c r="L31" s="209" t="n">
        <v>0.3</v>
      </c>
      <c r="M31" s="209" t="n">
        <v>0.5</v>
      </c>
      <c r="N31" s="210">
        <f>K31+L31+M31</f>
        <v/>
      </c>
      <c r="O31" s="209" t="n">
        <v>0.08</v>
      </c>
      <c r="P31" s="211">
        <f>IF($G31="No",0,ROUND(5*K31+3*L31+1*M31,0))</f>
        <v/>
      </c>
      <c r="Q31" s="211">
        <f>IF($G31="No",0,ROUND(1+4*(K31+L31),0))</f>
        <v/>
      </c>
      <c r="R31" s="211">
        <f>P31*Q31</f>
        <v/>
      </c>
      <c r="S31" s="346" t="inlineStr">
        <is>
          <t>Indicador de 139 Quater del elemento. Peso bajo: no se identificaron canales ni instrumentos de los descritos en la ENR para financiamiento al terrorismo.</t>
        </is>
      </c>
    </row>
    <row r="33" ht="21" customHeight="1" s="173">
      <c r="B33" s="216" t="inlineStr">
        <is>
          <t>RESUMEN POR ELEMENTO</t>
        </is>
      </c>
    </row>
    <row r="34" ht="15" customHeight="1" s="173">
      <c r="B34" s="178" t="inlineStr">
        <is>
          <t>Elemento</t>
        </is>
      </c>
      <c r="C34" s="180" t="n"/>
      <c r="D34" s="178" t="inlineStr">
        <is>
          <t>Peso</t>
        </is>
      </c>
      <c r="E34" s="178" t="inlineStr">
        <is>
          <t>Calif.</t>
        </is>
      </c>
      <c r="F34" s="178" t="inlineStr">
        <is>
          <t>Conc.</t>
        </is>
      </c>
      <c r="G34" s="178" t="inlineStr">
        <is>
          <t>Riesgo</t>
        </is>
      </c>
      <c r="H34" s="178" t="inlineStr">
        <is>
          <t>Nivel</t>
        </is>
      </c>
      <c r="I34" s="178" t="inlineStr">
        <is>
          <t>N/A</t>
        </is>
      </c>
      <c r="J34" s="178" t="inlineStr">
        <is>
          <t>Aviso</t>
        </is>
      </c>
      <c r="K34" s="178" t="inlineStr">
        <is>
          <t>Justificación del peso asignado (Art. 10 Septies 1, fr. II)</t>
        </is>
      </c>
      <c r="L34" s="179" t="n"/>
      <c r="M34" s="179" t="n"/>
      <c r="N34" s="179" t="n"/>
      <c r="O34" s="179" t="n"/>
      <c r="P34" s="179" t="n"/>
      <c r="Q34" s="179" t="n"/>
      <c r="R34" s="179" t="n"/>
      <c r="S34" s="180" t="n"/>
    </row>
    <row r="35" ht="30" customHeight="1" s="173">
      <c r="B35" s="217" t="inlineStr">
        <is>
          <t>1. Actos u operaciones</t>
        </is>
      </c>
      <c r="C35" s="180" t="n"/>
      <c r="D35" s="218" t="n">
        <v>0.2</v>
      </c>
      <c r="E35" s="219">
        <f>IFERROR(SUMPRODUCT($P$7:$P$11,$O$7:$O$11,--($G$7:$G$11="Sí"))/SUMPRODUCT($O$7:$O$11,--($G$7:$G$11="Sí")),0)</f>
        <v/>
      </c>
      <c r="F35" s="219">
        <f>IFERROR(SUMPRODUCT($Q$7:$Q$11,$O$7:$O$11,--($G$7:$G$11="Sí"))/SUMPRODUCT($O$7:$O$11,--($G$7:$G$11="Sí")),0)</f>
        <v/>
      </c>
      <c r="G35" s="219">
        <f>E35*F35</f>
        <v/>
      </c>
      <c r="H35" s="220">
        <f>IFERROR(INDEX(PARAMETROS!$E$15:$E$19,MATCH(G35,PARAMETROS!$B$15:$B$19,1)),"")</f>
        <v/>
      </c>
      <c r="I35" s="220">
        <f>COUNTIF($G$7:$G$11,"No")</f>
        <v/>
      </c>
      <c r="J35" s="181">
        <f>IF(I35&gt;5/3,"Revisar: más de un tercio del elemento está en No aplica","")</f>
        <v/>
      </c>
      <c r="K35" s="348" t="inlineStr">
        <is>
          <t>La entidad realiza un solo tipo de acto —compraventa de inmueble destinado a casa habitación y local comercial— de alto valor unitario y baja liquidez. Se le asigna 20% porque el acto en sí está bien acotado y registrado ante fedatario: la exposición no está en qué se vende, sino en con quién y cómo se paga.</t>
        </is>
      </c>
      <c r="L35" s="179" t="n"/>
      <c r="M35" s="179" t="n"/>
      <c r="N35" s="179" t="n"/>
      <c r="O35" s="179" t="n"/>
      <c r="P35" s="179" t="n"/>
      <c r="Q35" s="179" t="n"/>
      <c r="R35" s="179" t="n"/>
      <c r="S35" s="180" t="n"/>
    </row>
    <row r="36" ht="30" customHeight="1" s="173">
      <c r="B36" s="217" t="inlineStr">
        <is>
          <t>2. Clientes / Usuarios</t>
        </is>
      </c>
      <c r="C36" s="180" t="n"/>
      <c r="D36" s="218" t="n">
        <v>0.3</v>
      </c>
      <c r="E36" s="219">
        <f>IFERROR(SUMPRODUCT($P$12:$P$19,$O$12:$O$19,--($G$12:$G$19="Sí"))/SUMPRODUCT($O$12:$O$19,--($G$12:$G$19="Sí")),0)</f>
        <v/>
      </c>
      <c r="F36" s="219">
        <f>IFERROR(SUMPRODUCT($Q$12:$Q$19,$O$12:$O$19,--($G$12:$G$19="Sí"))/SUMPRODUCT($O$12:$O$19,--($G$12:$G$19="Sí")),0)</f>
        <v/>
      </c>
      <c r="G36" s="219">
        <f>E36*F36</f>
        <v/>
      </c>
      <c r="H36" s="220">
        <f>IFERROR(INDEX(PARAMETROS!$E$15:$E$19,MATCH(G36,PARAMETROS!$B$15:$B$19,1)),"")</f>
        <v/>
      </c>
      <c r="I36" s="220">
        <f>COUNTIF($G$12:$G$19,"No")</f>
        <v/>
      </c>
      <c r="J36" s="181">
        <f>IF(I36&gt;8/3,"Revisar: más de un tercio del elemento está en No aplica","")</f>
        <v/>
      </c>
      <c r="K36" s="348" t="inlineStr">
        <is>
          <t>Es donde se concentra la exposición real. De los 86 Clientes del periodo, 31 son personas morales y 9 de ellas se constituyeron en los doce meses previos a la operación. La interposición de terceros y la opacidad de la cadena de propiedad son la tipología inmobiliaria dominante en la Evaluación Nacional de Riesgos. Se le asigna 30%.</t>
        </is>
      </c>
      <c r="L36" s="179" t="n"/>
      <c r="M36" s="179" t="n"/>
      <c r="N36" s="179" t="n"/>
      <c r="O36" s="179" t="n"/>
      <c r="P36" s="179" t="n"/>
      <c r="Q36" s="179" t="n"/>
      <c r="R36" s="179" t="n"/>
      <c r="S36" s="180" t="n"/>
    </row>
    <row r="37" ht="30" customHeight="1" s="173">
      <c r="B37" s="217" t="inlineStr">
        <is>
          <t>3. Países y áreas geográficas</t>
        </is>
      </c>
      <c r="C37" s="180" t="n"/>
      <c r="D37" s="218" t="n">
        <v>0.15</v>
      </c>
      <c r="E37" s="219">
        <f>IFERROR(SUMPRODUCT($P$20:$P$23,$O$20:$O$23,--($G$20:$G$23="Sí"))/SUMPRODUCT($O$20:$O$23,--($G$20:$G$23="Sí")),0)</f>
        <v/>
      </c>
      <c r="F37" s="219">
        <f>IFERROR(SUMPRODUCT($Q$20:$Q$23,$O$20:$O$23,--($G$20:$G$23="Sí"))/SUMPRODUCT($O$20:$O$23,--($G$20:$G$23="Sí")),0)</f>
        <v/>
      </c>
      <c r="G37" s="219">
        <f>E37*F37</f>
        <v/>
      </c>
      <c r="H37" s="220">
        <f>IFERROR(INDEX(PARAMETROS!$E$15:$E$19,MATCH(G37,PARAMETROS!$B$15:$B$19,1)),"")</f>
        <v/>
      </c>
      <c r="I37" s="220">
        <f>COUNTIF($G$20:$G$23,"No")</f>
        <v/>
      </c>
      <c r="J37" s="181">
        <f>IF(I37&gt;4/3,"Revisar: más de un tercio del elemento está en No aplica","")</f>
        <v/>
      </c>
      <c r="K37" s="348" t="inlineStr">
        <is>
          <t>La operación es local: los cuatro desarrollos están en el área metropolitana y no hubo contrapartes ni recursos de jurisdicciones extranjeras en el periodo. Se le asigna 15%, el peso más bajo, y no cero: dos de los desarrollos están en municipios señalados en la ENR, y eso se mide en el indicador 15.</t>
        </is>
      </c>
      <c r="L37" s="179" t="n"/>
      <c r="M37" s="179" t="n"/>
      <c r="N37" s="179" t="n"/>
      <c r="O37" s="179" t="n"/>
      <c r="P37" s="179" t="n"/>
      <c r="Q37" s="179" t="n"/>
      <c r="R37" s="179" t="n"/>
      <c r="S37" s="180" t="n"/>
    </row>
    <row r="38" ht="30" customHeight="1" s="173">
      <c r="B38" s="217" t="inlineStr">
        <is>
          <t>4. Transacciones y canales</t>
        </is>
      </c>
      <c r="C38" s="180" t="n"/>
      <c r="D38" s="218" t="n">
        <v>0.35</v>
      </c>
      <c r="E38" s="219">
        <f>IFERROR(SUMPRODUCT($P$24:$P$31,$O$24:$O$31,--($G$24:$G$31="Sí"))/SUMPRODUCT($O$24:$O$31,--($G$24:$G$31="Sí")),0)</f>
        <v/>
      </c>
      <c r="F38" s="219">
        <f>IFERROR(SUMPRODUCT($Q$24:$Q$31,$O$24:$O$31,--($G$24:$G$31="Sí"))/SUMPRODUCT($O$24:$O$31,--($G$24:$G$31="Sí")),0)</f>
        <v/>
      </c>
      <c r="G38" s="219">
        <f>E38*F38</f>
        <v/>
      </c>
      <c r="H38" s="220">
        <f>IFERROR(INDEX(PARAMETROS!$E$15:$E$19,MATCH(G38,PARAMETROS!$B$15:$B$19,1)),"")</f>
        <v/>
      </c>
      <c r="I38" s="220">
        <f>COUNTIF($G$24:$G$31,"No")</f>
        <v/>
      </c>
      <c r="J38" s="181">
        <f>IF(I38&gt;8/3,"Revisar: más de un tercio del elemento está en No aplica","")</f>
        <v/>
      </c>
      <c r="K38" s="348" t="inlineStr">
        <is>
          <t>El mayor peso, 35%. Es donde se materializa el riesgo: 56 de las 112 operaciones tuvieron algún componente en efectivo, 41 se liquidaron en parcialidades y en 7 casos el pago provino de un tercero distinto del comprador. Los tres hechos están documentados en el reporte de acumulación del sistema.</t>
        </is>
      </c>
      <c r="L38" s="179" t="n"/>
      <c r="M38" s="179" t="n"/>
      <c r="N38" s="179" t="n"/>
      <c r="O38" s="179" t="n"/>
      <c r="P38" s="179" t="n"/>
      <c r="Q38" s="179" t="n"/>
      <c r="R38" s="179" t="n"/>
      <c r="S38" s="180" t="n"/>
    </row>
    <row r="40" ht="34.5" customHeight="1" s="173">
      <c r="B40" s="222" t="inlineStr">
        <is>
          <t>RIESGO DE LA ENTIDAD</t>
        </is>
      </c>
      <c r="C40" s="180" t="n"/>
      <c r="D40" s="223">
        <f>SUM(D35:D38)</f>
        <v/>
      </c>
      <c r="E40" s="224">
        <f>IFERROR(SUMPRODUCT(E35:E38,D35:D38)/SUM(D35:D38),0)</f>
        <v/>
      </c>
      <c r="F40" s="224">
        <f>IFERROR(SUMPRODUCT(F35:F38,D35:D38)/SUM(D35:D38),0)</f>
        <v/>
      </c>
      <c r="G40" s="224">
        <f>E40*F40</f>
        <v/>
      </c>
      <c r="H40" s="225">
        <f>IFERROR(INDEX(PARAMETROS!$E$15:$E$19,MATCH(G40,PARAMETROS!$B$15:$B$19,1)),"")</f>
        <v/>
      </c>
      <c r="I40" s="225">
        <f>COUNTIF($G$7:$G$31,"No")</f>
        <v/>
      </c>
      <c r="J40" s="226">
        <f>IF(SUMPRODUCT(--($G$7:$G$31="No"),--($S$7:$S$31=""))&gt;0,"Hay exclusiones sin justificación escrita: no son defendibles ante un requerimiento","")</f>
        <v/>
      </c>
      <c r="K40" s="227">
        <f>IF(ABS(SUM($D$35:$D$38)-1)&gt;0.001,"Los pesos de los cuatro elementos suman "&amp;TEXT(SUM($D$35:$D$38),"0%")&amp;" y deben sumar 100%. Corrige la columna Peso.","Los pesos de los elementos suman 100%.")</f>
        <v/>
      </c>
      <c r="L40" s="179" t="n"/>
      <c r="M40" s="179" t="n"/>
      <c r="N40" s="179" t="n"/>
      <c r="O40" s="179" t="n"/>
      <c r="P40" s="179" t="n"/>
      <c r="Q40" s="179" t="n"/>
      <c r="R40" s="179" t="n"/>
      <c r="S40" s="180" t="n"/>
    </row>
    <row r="41" ht="15" customHeight="1" s="173">
      <c r="K41" s="228" t="inlineStr">
        <is>
          <t>El peso de cada indicador (columna Peso) es relativo dentro de su elemento: el promedio se normaliza solo. El peso de los cuatro elementos sí debe sumar 100%.</t>
        </is>
      </c>
    </row>
    <row r="42" ht="15" customHeight="1" s="173">
      <c r="B42" s="229" t="inlineStr">
        <is>
          <t>Trazabilidad (Art. 10 Septies 1, fr. I y último párrafo): indicadores evaluados y excluidos</t>
        </is>
      </c>
    </row>
    <row r="43" ht="15" customHeight="1" s="173">
      <c r="B43" s="230" t="inlineStr">
        <is>
          <t>Indicadores evaluados:</t>
        </is>
      </c>
      <c r="E43" s="229">
        <f>COUNTIF($G$7:$G$31,"Sí")</f>
        <v/>
      </c>
    </row>
    <row r="44" ht="15" customHeight="1" s="173">
      <c r="B44" s="230" t="inlineStr">
        <is>
          <t>Indicadores excluidos (No aplica):</t>
        </is>
      </c>
      <c r="E44" s="229">
        <f>COUNTIF($G$7:$G$31,"No")</f>
        <v/>
      </c>
    </row>
    <row r="45" ht="15" customHeight="1" s="173">
      <c r="B45" s="230" t="inlineStr">
        <is>
          <t>Exclusiones sin justificación escrita:</t>
        </is>
      </c>
      <c r="E45" s="229">
        <f>SUMPRODUCT(--($G$7:$G$31="No"),--($S$7:$S$31=""))</f>
        <v/>
      </c>
    </row>
    <row r="46" ht="15" customHeight="1" s="173">
      <c r="B46" s="228" t="inlineStr">
        <is>
          <t>Los indicadores de 139 Quáter y de 400 Bis con celda gris no admiten «No aplica»: excluirlos incumpliría el último párrafo del Art. 10 Septies 1.</t>
        </is>
      </c>
    </row>
  </sheetData>
  <mergeCells count="13">
    <mergeCell ref="B38:C38"/>
    <mergeCell ref="K38:S38"/>
    <mergeCell ref="B37:C37"/>
    <mergeCell ref="K37:S37"/>
    <mergeCell ref="B34:C34"/>
    <mergeCell ref="B36:C36"/>
    <mergeCell ref="K36:S36"/>
    <mergeCell ref="K40:S40"/>
    <mergeCell ref="B40:C40"/>
    <mergeCell ref="B33:K33"/>
    <mergeCell ref="B35:C35"/>
    <mergeCell ref="K35:S35"/>
    <mergeCell ref="K34:S34"/>
  </mergeCells>
  <conditionalFormatting sqref="K40:S40">
    <cfRule type="expression" rank="0" priority="2" equalAverage="0" aboveAverage="0" dxfId="0" text="" percent="0" bottom="0">
      <formula>ABS(SUM($D$35:$D$38)-1)&gt;0.001</formula>
    </cfRule>
    <cfRule type="expression" rank="0" priority="3" equalAverage="0" aboveAverage="0" dxfId="1" text="" percent="0" bottom="0">
      <formula>ABS(SUM($D$35:$D$38)-1)&lt;=0.001</formula>
    </cfRule>
  </conditionalFormatting>
  <conditionalFormatting sqref="N7:N31">
    <cfRule type="expression" rank="0" priority="4" equalAverage="0" aboveAverage="0" dxfId="0" text="" percent="0" bottom="0">
      <formula>AND($G7="Sí",ABS(N7-1)&gt;0.001)</formula>
    </cfRule>
    <cfRule type="expression" rank="0" priority="5" equalAverage="0" aboveAverage="0" dxfId="1" text="" percent="0" bottom="0">
      <formula>AND($G7="Sí",ABS(N7-1)&lt;=0.001)</formula>
    </cfRule>
  </conditionalFormatting>
  <conditionalFormatting sqref="S7:S31">
    <cfRule type="expression" rank="0" priority="6" equalAverage="0" aboveAverage="0" dxfId="0" text="" percent="0" bottom="0">
      <formula>AND($G7="No",$S7="")</formula>
    </cfRule>
  </conditionalFormatting>
  <conditionalFormatting sqref="H35:H38">
    <cfRule type="expression" rank="0" priority="7" equalAverage="0" aboveAverage="0" dxfId="2" text="" percent="0" bottom="0">
      <formula>EXACT(H35,"BAJO")</formula>
    </cfRule>
    <cfRule type="expression" rank="0" priority="8" equalAverage="0" aboveAverage="0" dxfId="3" text="" percent="0" bottom="0">
      <formula>EXACT(H35,"MEDIO BAJO")</formula>
    </cfRule>
    <cfRule type="expression" rank="0" priority="9" equalAverage="0" aboveAverage="0" dxfId="4" text="" percent="0" bottom="0">
      <formula>EXACT(H35,"MEDIO")</formula>
    </cfRule>
    <cfRule type="expression" rank="0" priority="10" equalAverage="0" aboveAverage="0" dxfId="5" text="" percent="0" bottom="0">
      <formula>EXACT(H35,"MEDIO ALTO")</formula>
    </cfRule>
    <cfRule type="expression" rank="0" priority="11" equalAverage="0" aboveAverage="0" dxfId="6" text="" percent="0" bottom="0">
      <formula>EXACT(H35,"ALTO")</formula>
    </cfRule>
  </conditionalFormatting>
  <conditionalFormatting sqref="H40">
    <cfRule type="expression" rank="0" priority="12" equalAverage="0" aboveAverage="0" dxfId="2" text="" percent="0" bottom="0">
      <formula>EXACT(H40,"BAJO")</formula>
    </cfRule>
    <cfRule type="expression" rank="0" priority="13" equalAverage="0" aboveAverage="0" dxfId="3" text="" percent="0" bottom="0">
      <formula>EXACT(H40,"MEDIO BAJO")</formula>
    </cfRule>
    <cfRule type="expression" rank="0" priority="14" equalAverage="0" aboveAverage="0" dxfId="4" text="" percent="0" bottom="0">
      <formula>EXACT(H40,"MEDIO")</formula>
    </cfRule>
    <cfRule type="expression" rank="0" priority="15" equalAverage="0" aboveAverage="0" dxfId="5" text="" percent="0" bottom="0">
      <formula>EXACT(H40,"MEDIO ALTO")</formula>
    </cfRule>
    <cfRule type="expression" rank="0" priority="16" equalAverage="0" aboveAverage="0" dxfId="6" text="" percent="0" bottom="0">
      <formula>EXACT(H40,"ALTO")</formula>
    </cfRule>
  </conditionalFormatting>
  <dataValidations count="2">
    <dataValidation sqref="G10:G11 G17:G18 G20 G22 G28 G31" showDropDown="0" showInputMessage="0" showErrorMessage="0" allowBlank="0" type="list" errorStyle="stop" operator="between">
      <formula1>"Sí"</formula1>
      <formula2>0</formula2>
    </dataValidation>
    <dataValidation sqref="G7:G9 G12:G16 G19 G21 G23:G27 G29:G30" showDropDown="0" showInputMessage="0" showErrorMessage="0" allowBlank="0" type="list" errorStyle="stop" operator="between">
      <formula1>"Sí,No"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FC000"/>
    <outlinePr summaryBelow="1" summaryRight="1"/>
    <pageSetUpPr fitToPage="0"/>
  </sheetPr>
  <dimension ref="B2:G12"/>
  <sheetViews>
    <sheetView showFormulas="0" showGridLines="0"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26" customWidth="1" style="172" min="2" max="2"/>
    <col width="30" customWidth="1" style="172" min="3" max="6"/>
    <col width="16" customWidth="1" style="172" min="7" max="7"/>
  </cols>
  <sheetData>
    <row r="2" ht="21.75" customHeight="1" s="173">
      <c r="B2" s="174" t="inlineStr">
        <is>
          <t>A2 · CONSECUENCIAS SI EL RIESGO SE MATERIALIZA (análisis cualitativo)</t>
        </is>
      </c>
    </row>
    <row r="3" ht="15" customHeight="1" s="173">
      <c r="B3" s="202" t="inlineStr">
        <is>
          <t>Esta hoja NO alimenta el cálculo y no cambia ningún número. En una sola descripción, explica qué pasaría si el riesgo LD/FT se materializa en tu entidad. Sirve para justificar el nivel de tolerancia declarado y para sustentar la evaluación ante un requerimiento.</t>
        </is>
      </c>
    </row>
    <row r="4" ht="15" customHeight="1" s="173">
      <c r="B4" s="177" t="inlineStr">
        <is>
          <t>Paso 4 de 10  ·  Viene de: A1  ·  Sigue: A3 INHERENTE (solo lectura)</t>
        </is>
      </c>
    </row>
    <row r="6" ht="15" customHeight="1" s="173">
      <c r="B6" s="231" t="inlineStr">
        <is>
          <t>¿Qué pasaría si el riesgo LD/FT se materializa en tu entidad?</t>
        </is>
      </c>
      <c r="C6" s="179" t="n"/>
      <c r="D6" s="179" t="n"/>
      <c r="E6" s="179" t="n"/>
      <c r="F6" s="180" t="n"/>
      <c r="G6" s="231" t="inlineStr">
        <is>
          <t>Severidad (ref.)</t>
        </is>
      </c>
    </row>
    <row r="7" ht="78" customHeight="1" s="173">
      <c r="B7" s="349" t="inlineStr">
        <is>
          <t>Si una operación con recursos de procedencia ilícita se materializara en la entidad, el impacto sería simultáneo en cuatro planos. LEGAL: las multas del Art. 54 de la Ley van de 200 a 65,000 UMA por Aviso omitido o extemporáneo —entre $23,462 y $7,625,150 al valor vigente de la UMA— y la conducta puede escalar a responsabilidad penal por el Art. 400 Bis del Código Penal Federal para quien intervino a sabiendas. REPUTACIONAL: el negocio depende de la recomendación entre compradores y de la relación con tres desarrolladoras; una nota pública o un requerimiento conocido bastaría para frenar la preventa del desarrollo en curso. DE CONTAGIO: las instituciones financieras con las que se dispersan los recursos aplican sus propias medidas del Art. 115 de la LIC y pueden restringir o cancelar las cuentas de la entidad, lo que detendría la operación aunque no hubiera sanción. OPERATIVO: atender un requerimiento con expedientes incompletos consumiría a la Encargada de Cumplimiento y al área jurídica durante semanas, con el costo de oportunidad correspondiente.</t>
        </is>
      </c>
      <c r="C7" s="179" t="n"/>
      <c r="D7" s="179" t="n"/>
      <c r="E7" s="179" t="n"/>
      <c r="F7" s="180" t="n"/>
      <c r="G7" s="233" t="inlineStr">
        <is>
          <t>Grave</t>
        </is>
      </c>
    </row>
    <row r="8" ht="15" customHeight="1" s="173">
      <c r="B8" s="234" t="n"/>
      <c r="C8" s="234" t="n"/>
      <c r="D8" s="234" t="n"/>
      <c r="E8" s="234" t="n"/>
      <c r="F8" s="234" t="n"/>
      <c r="G8" s="234" t="n"/>
    </row>
    <row r="9" ht="30" customHeight="1" s="173">
      <c r="B9" s="235" t="inlineStr">
        <is>
          <t>Guía: cubre en la misma redacción las cuatro caras del impacto — legal (multas y sanciones), reputacional (imagen y pérdida de clientes), de contagio (relación con terceros ilícitos) y operativa (interrupción y costos). No hace falta separarlas por elemento de riesgo.</t>
        </is>
      </c>
    </row>
    <row r="10" ht="15" customHeight="1" s="173">
      <c r="B10" s="234" t="n"/>
      <c r="C10" s="234" t="n"/>
      <c r="D10" s="234" t="n"/>
      <c r="E10" s="234" t="n"/>
      <c r="F10" s="234" t="n"/>
      <c r="G10" s="234" t="n"/>
    </row>
    <row r="11" ht="15" customHeight="1" s="173">
      <c r="B11" s="234" t="n"/>
      <c r="C11" s="234" t="n"/>
      <c r="D11" s="234" t="n"/>
      <c r="E11" s="234" t="n"/>
      <c r="F11" s="234" t="n"/>
      <c r="G11" s="234" t="n"/>
    </row>
    <row r="12" ht="15" customHeight="1" s="173">
      <c r="B12" s="234" t="n"/>
      <c r="C12" s="234" t="n"/>
      <c r="D12" s="234" t="n"/>
      <c r="E12" s="234" t="n"/>
      <c r="F12" s="234" t="n"/>
      <c r="G12" s="234" t="n"/>
    </row>
  </sheetData>
  <mergeCells count="3">
    <mergeCell ref="B9:G9"/>
    <mergeCell ref="B7:F7"/>
    <mergeCell ref="B6:F6"/>
  </mergeCells>
  <dataValidations count="1">
    <dataValidation sqref="G7" showDropDown="0" showInputMessage="0" showErrorMessage="0" allowBlank="1" type="list">
      <formula1>"Leve,Moderado,Grave,Catastrófico"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548235"/>
    <outlinePr summaryBelow="1" summaryRight="1"/>
    <pageSetUpPr fitToPage="0"/>
  </sheetPr>
  <dimension ref="B2:G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34" customWidth="1" style="172" min="2" max="2"/>
    <col width="30" customWidth="1" style="172" min="3" max="3"/>
    <col width="10" customWidth="1" style="172" min="4" max="6"/>
    <col width="14" customWidth="1" style="172" min="7" max="7"/>
    <col width="10" customWidth="1" style="172" min="8" max="8"/>
  </cols>
  <sheetData>
    <row r="2" ht="21.75" customHeight="1" s="173">
      <c r="B2" s="201" t="inlineStr">
        <is>
          <t>A3 · RIESGO INHERENTE = Calificación × Concentración (antes de controles)</t>
        </is>
      </c>
    </row>
    <row r="3" ht="15" customHeight="1" s="173">
      <c r="B3" s="202" t="inlineStr">
        <is>
          <t>Resultado en tres niveles: por elemento, por indicador y de la entidad.</t>
        </is>
      </c>
    </row>
    <row r="4" ht="15" customHeight="1" s="173">
      <c r="B4" s="177" t="inlineStr">
        <is>
          <t>Paso 5 de 10  ·  Se calcula solo  ·  Sigue: A4 CONTROLES MINIMOS</t>
        </is>
      </c>
    </row>
    <row r="5" ht="15" customHeight="1" s="173">
      <c r="B5" s="216" t="inlineStr">
        <is>
          <t>RIESGO INHERENTE POR ELEMENTO</t>
        </is>
      </c>
    </row>
    <row r="6" ht="15" customHeight="1" s="173">
      <c r="B6" s="178" t="inlineStr">
        <is>
          <t>Elemento</t>
        </is>
      </c>
      <c r="C6" s="178" t="inlineStr">
        <is>
          <t>Calif.</t>
        </is>
      </c>
      <c r="D6" s="178" t="inlineStr">
        <is>
          <t>Conc.</t>
        </is>
      </c>
      <c r="E6" s="178" t="inlineStr">
        <is>
          <t>Riesgo</t>
        </is>
      </c>
      <c r="F6" s="178" t="inlineStr">
        <is>
          <t>Nivel</t>
        </is>
      </c>
    </row>
    <row r="7" ht="15" customHeight="1" s="173">
      <c r="B7" s="236" t="inlineStr">
        <is>
          <t>1. Actos u operaciones</t>
        </is>
      </c>
      <c r="C7" s="237">
        <f>'A1 EXPOSICION'!E35</f>
        <v/>
      </c>
      <c r="D7" s="237">
        <f>'A1 EXPOSICION'!F35</f>
        <v/>
      </c>
      <c r="E7" s="237">
        <f>'A1 EXPOSICION'!G35</f>
        <v/>
      </c>
      <c r="F7" s="238">
        <f>IFERROR(INDEX(PARAMETROS!$E$15:$E$19,MATCH(E7,PARAMETROS!$B$15:$B$19,1)),"")</f>
        <v/>
      </c>
    </row>
    <row r="8" ht="15" customHeight="1" s="173">
      <c r="B8" s="236" t="inlineStr">
        <is>
          <t>2. Clientes / Usuarios</t>
        </is>
      </c>
      <c r="C8" s="237">
        <f>'A1 EXPOSICION'!E36</f>
        <v/>
      </c>
      <c r="D8" s="237">
        <f>'A1 EXPOSICION'!F36</f>
        <v/>
      </c>
      <c r="E8" s="237">
        <f>'A1 EXPOSICION'!G36</f>
        <v/>
      </c>
      <c r="F8" s="238">
        <f>IFERROR(INDEX(PARAMETROS!$E$15:$E$19,MATCH(E8,PARAMETROS!$B$15:$B$19,1)),"")</f>
        <v/>
      </c>
    </row>
    <row r="9" ht="15" customHeight="1" s="173">
      <c r="B9" s="236" t="inlineStr">
        <is>
          <t>3. Países y áreas geográficas</t>
        </is>
      </c>
      <c r="C9" s="237">
        <f>'A1 EXPOSICION'!E37</f>
        <v/>
      </c>
      <c r="D9" s="237">
        <f>'A1 EXPOSICION'!F37</f>
        <v/>
      </c>
      <c r="E9" s="237">
        <f>'A1 EXPOSICION'!G37</f>
        <v/>
      </c>
      <c r="F9" s="238">
        <f>IFERROR(INDEX(PARAMETROS!$E$15:$E$19,MATCH(E9,PARAMETROS!$B$15:$B$19,1)),"")</f>
        <v/>
      </c>
    </row>
    <row r="10" ht="15" customHeight="1" s="173">
      <c r="B10" s="236" t="inlineStr">
        <is>
          <t>4. Transacciones y canales</t>
        </is>
      </c>
      <c r="C10" s="237">
        <f>'A1 EXPOSICION'!E38</f>
        <v/>
      </c>
      <c r="D10" s="237">
        <f>'A1 EXPOSICION'!F38</f>
        <v/>
      </c>
      <c r="E10" s="237">
        <f>'A1 EXPOSICION'!G38</f>
        <v/>
      </c>
      <c r="F10" s="238">
        <f>IFERROR(INDEX(PARAMETROS!$E$15:$E$19,MATCH(E10,PARAMETROS!$B$15:$B$19,1)),"")</f>
        <v/>
      </c>
    </row>
    <row r="12" ht="15" customHeight="1" s="173">
      <c r="B12" s="239" t="inlineStr">
        <is>
          <t>RIESGO INHERENTE DE LA ENTIDAD</t>
        </is>
      </c>
      <c r="C12" s="224">
        <f>'A1 EXPOSICION'!E40</f>
        <v/>
      </c>
      <c r="D12" s="224">
        <f>'A1 EXPOSICION'!F40</f>
        <v/>
      </c>
      <c r="E12" s="224">
        <f>'A1 EXPOSICION'!G40</f>
        <v/>
      </c>
      <c r="F12" s="225">
        <f>IFERROR(INDEX(PARAMETROS!$E$15:$E$19,MATCH(E12,PARAMETROS!$B$15:$B$19,1)),"")</f>
        <v/>
      </c>
    </row>
    <row r="14" ht="15" customHeight="1" s="173">
      <c r="B14" s="216" t="inlineStr">
        <is>
          <t>RIESGO INHERENTE POR INDICADOR</t>
        </is>
      </c>
    </row>
    <row r="15" ht="15" customHeight="1" s="173">
      <c r="B15" s="178" t="inlineStr">
        <is>
          <t>#</t>
        </is>
      </c>
      <c r="C15" s="178" t="inlineStr">
        <is>
          <t>Indicador</t>
        </is>
      </c>
      <c r="D15" s="178" t="inlineStr">
        <is>
          <t>Calif.</t>
        </is>
      </c>
      <c r="E15" s="178" t="inlineStr">
        <is>
          <t>Conc.</t>
        </is>
      </c>
      <c r="F15" s="178" t="inlineStr">
        <is>
          <t>Riesgo</t>
        </is>
      </c>
      <c r="G15" s="178" t="inlineStr">
        <is>
          <t>Nivel</t>
        </is>
      </c>
    </row>
    <row r="16" ht="15" customHeight="1" s="173">
      <c r="B16" s="220" t="n">
        <v>1</v>
      </c>
      <c r="C16" s="236">
        <f>'A1 EXPOSICION'!D7</f>
        <v/>
      </c>
      <c r="D16" s="220">
        <f>IF('A1 EXPOSICION'!$G7="No","N/A",'A1 EXPOSICION'!P7)</f>
        <v/>
      </c>
      <c r="E16" s="220">
        <f>IF('A1 EXPOSICION'!$G7="No","N/A",'A1 EXPOSICION'!Q7)</f>
        <v/>
      </c>
      <c r="F16" s="220">
        <f>IF('A1 EXPOSICION'!$G7="No","N/A",'A1 EXPOSICION'!R7)</f>
        <v/>
      </c>
      <c r="G16" s="220">
        <f>IF('A1 EXPOSICION'!$G7="No","No aplica",IFERROR(INDEX(PARAMETROS!$E$15:$E$19,MATCH(F16,PARAMETROS!$B$15:$B$19,1)),""))</f>
        <v/>
      </c>
    </row>
    <row r="17" ht="15" customHeight="1" s="173">
      <c r="B17" s="220" t="n">
        <v>2</v>
      </c>
      <c r="C17" s="236">
        <f>'A1 EXPOSICION'!D8</f>
        <v/>
      </c>
      <c r="D17" s="220">
        <f>IF('A1 EXPOSICION'!$G8="No","N/A",'A1 EXPOSICION'!P8)</f>
        <v/>
      </c>
      <c r="E17" s="220">
        <f>IF('A1 EXPOSICION'!$G8="No","N/A",'A1 EXPOSICION'!Q8)</f>
        <v/>
      </c>
      <c r="F17" s="220">
        <f>IF('A1 EXPOSICION'!$G8="No","N/A",'A1 EXPOSICION'!R8)</f>
        <v/>
      </c>
      <c r="G17" s="220">
        <f>IF('A1 EXPOSICION'!$G8="No","No aplica",IFERROR(INDEX(PARAMETROS!$E$15:$E$19,MATCH(F17,PARAMETROS!$B$15:$B$19,1)),""))</f>
        <v/>
      </c>
    </row>
    <row r="18" ht="15" customHeight="1" s="173">
      <c r="B18" s="220" t="n">
        <v>3</v>
      </c>
      <c r="C18" s="236">
        <f>'A1 EXPOSICION'!D9</f>
        <v/>
      </c>
      <c r="D18" s="220">
        <f>IF('A1 EXPOSICION'!$G9="No","N/A",'A1 EXPOSICION'!P9)</f>
        <v/>
      </c>
      <c r="E18" s="220">
        <f>IF('A1 EXPOSICION'!$G9="No","N/A",'A1 EXPOSICION'!Q9)</f>
        <v/>
      </c>
      <c r="F18" s="220">
        <f>IF('A1 EXPOSICION'!$G9="No","N/A",'A1 EXPOSICION'!R9)</f>
        <v/>
      </c>
      <c r="G18" s="220">
        <f>IF('A1 EXPOSICION'!$G9="No","No aplica",IFERROR(INDEX(PARAMETROS!$E$15:$E$19,MATCH(F18,PARAMETROS!$B$15:$B$19,1)),""))</f>
        <v/>
      </c>
    </row>
    <row r="19" ht="15" customHeight="1" s="173">
      <c r="B19" s="220" t="n">
        <v>4</v>
      </c>
      <c r="C19" s="236">
        <f>'A1 EXPOSICION'!D10</f>
        <v/>
      </c>
      <c r="D19" s="220">
        <f>IF('A1 EXPOSICION'!$G10="No","N/A",'A1 EXPOSICION'!P10)</f>
        <v/>
      </c>
      <c r="E19" s="220">
        <f>IF('A1 EXPOSICION'!$G10="No","N/A",'A1 EXPOSICION'!Q10)</f>
        <v/>
      </c>
      <c r="F19" s="220">
        <f>IF('A1 EXPOSICION'!$G10="No","N/A",'A1 EXPOSICION'!R10)</f>
        <v/>
      </c>
      <c r="G19" s="220">
        <f>IF('A1 EXPOSICION'!$G10="No","No aplica",IFERROR(INDEX(PARAMETROS!$E$15:$E$19,MATCH(F19,PARAMETROS!$B$15:$B$19,1)),""))</f>
        <v/>
      </c>
    </row>
    <row r="20" ht="15" customHeight="1" s="173">
      <c r="B20" s="220" t="n">
        <v>5</v>
      </c>
      <c r="C20" s="236">
        <f>'A1 EXPOSICION'!D11</f>
        <v/>
      </c>
      <c r="D20" s="220">
        <f>IF('A1 EXPOSICION'!$G11="No","N/A",'A1 EXPOSICION'!P11)</f>
        <v/>
      </c>
      <c r="E20" s="220">
        <f>IF('A1 EXPOSICION'!$G11="No","N/A",'A1 EXPOSICION'!Q11)</f>
        <v/>
      </c>
      <c r="F20" s="220">
        <f>IF('A1 EXPOSICION'!$G11="No","N/A",'A1 EXPOSICION'!R11)</f>
        <v/>
      </c>
      <c r="G20" s="220">
        <f>IF('A1 EXPOSICION'!$G11="No","No aplica",IFERROR(INDEX(PARAMETROS!$E$15:$E$19,MATCH(F20,PARAMETROS!$B$15:$B$19,1)),""))</f>
        <v/>
      </c>
    </row>
    <row r="21" ht="15" customHeight="1" s="173">
      <c r="B21" s="220" t="n">
        <v>6</v>
      </c>
      <c r="C21" s="236">
        <f>'A1 EXPOSICION'!D12</f>
        <v/>
      </c>
      <c r="D21" s="220">
        <f>IF('A1 EXPOSICION'!$G12="No","N/A",'A1 EXPOSICION'!P12)</f>
        <v/>
      </c>
      <c r="E21" s="220">
        <f>IF('A1 EXPOSICION'!$G12="No","N/A",'A1 EXPOSICION'!Q12)</f>
        <v/>
      </c>
      <c r="F21" s="220">
        <f>IF('A1 EXPOSICION'!$G12="No","N/A",'A1 EXPOSICION'!R12)</f>
        <v/>
      </c>
      <c r="G21" s="220">
        <f>IF('A1 EXPOSICION'!$G12="No","No aplica",IFERROR(INDEX(PARAMETROS!$E$15:$E$19,MATCH(F21,PARAMETROS!$B$15:$B$19,1)),""))</f>
        <v/>
      </c>
    </row>
    <row r="22" ht="15" customHeight="1" s="173">
      <c r="B22" s="220" t="n">
        <v>7</v>
      </c>
      <c r="C22" s="236">
        <f>'A1 EXPOSICION'!D13</f>
        <v/>
      </c>
      <c r="D22" s="220">
        <f>IF('A1 EXPOSICION'!$G13="No","N/A",'A1 EXPOSICION'!P13)</f>
        <v/>
      </c>
      <c r="E22" s="220">
        <f>IF('A1 EXPOSICION'!$G13="No","N/A",'A1 EXPOSICION'!Q13)</f>
        <v/>
      </c>
      <c r="F22" s="220">
        <f>IF('A1 EXPOSICION'!$G13="No","N/A",'A1 EXPOSICION'!R13)</f>
        <v/>
      </c>
      <c r="G22" s="220">
        <f>IF('A1 EXPOSICION'!$G13="No","No aplica",IFERROR(INDEX(PARAMETROS!$E$15:$E$19,MATCH(F22,PARAMETROS!$B$15:$B$19,1)),""))</f>
        <v/>
      </c>
    </row>
    <row r="23" ht="15" customHeight="1" s="173">
      <c r="B23" s="220" t="n">
        <v>8</v>
      </c>
      <c r="C23" s="236">
        <f>'A1 EXPOSICION'!D14</f>
        <v/>
      </c>
      <c r="D23" s="220">
        <f>IF('A1 EXPOSICION'!$G14="No","N/A",'A1 EXPOSICION'!P14)</f>
        <v/>
      </c>
      <c r="E23" s="220">
        <f>IF('A1 EXPOSICION'!$G14="No","N/A",'A1 EXPOSICION'!Q14)</f>
        <v/>
      </c>
      <c r="F23" s="220">
        <f>IF('A1 EXPOSICION'!$G14="No","N/A",'A1 EXPOSICION'!R14)</f>
        <v/>
      </c>
      <c r="G23" s="220">
        <f>IF('A1 EXPOSICION'!$G14="No","No aplica",IFERROR(INDEX(PARAMETROS!$E$15:$E$19,MATCH(F23,PARAMETROS!$B$15:$B$19,1)),""))</f>
        <v/>
      </c>
    </row>
    <row r="24" ht="15" customHeight="1" s="173">
      <c r="B24" s="220" t="n">
        <v>9</v>
      </c>
      <c r="C24" s="236">
        <f>'A1 EXPOSICION'!D15</f>
        <v/>
      </c>
      <c r="D24" s="220">
        <f>IF('A1 EXPOSICION'!$G15="No","N/A",'A1 EXPOSICION'!P15)</f>
        <v/>
      </c>
      <c r="E24" s="220">
        <f>IF('A1 EXPOSICION'!$G15="No","N/A",'A1 EXPOSICION'!Q15)</f>
        <v/>
      </c>
      <c r="F24" s="220">
        <f>IF('A1 EXPOSICION'!$G15="No","N/A",'A1 EXPOSICION'!R15)</f>
        <v/>
      </c>
      <c r="G24" s="220">
        <f>IF('A1 EXPOSICION'!$G15="No","No aplica",IFERROR(INDEX(PARAMETROS!$E$15:$E$19,MATCH(F24,PARAMETROS!$B$15:$B$19,1)),""))</f>
        <v/>
      </c>
    </row>
    <row r="25" ht="15" customHeight="1" s="173">
      <c r="B25" s="220" t="n">
        <v>10</v>
      </c>
      <c r="C25" s="236">
        <f>'A1 EXPOSICION'!D16</f>
        <v/>
      </c>
      <c r="D25" s="220">
        <f>IF('A1 EXPOSICION'!$G16="No","N/A",'A1 EXPOSICION'!P16)</f>
        <v/>
      </c>
      <c r="E25" s="220">
        <f>IF('A1 EXPOSICION'!$G16="No","N/A",'A1 EXPOSICION'!Q16)</f>
        <v/>
      </c>
      <c r="F25" s="220">
        <f>IF('A1 EXPOSICION'!$G16="No","N/A",'A1 EXPOSICION'!R16)</f>
        <v/>
      </c>
      <c r="G25" s="220">
        <f>IF('A1 EXPOSICION'!$G16="No","No aplica",IFERROR(INDEX(PARAMETROS!$E$15:$E$19,MATCH(F25,PARAMETROS!$B$15:$B$19,1)),""))</f>
        <v/>
      </c>
    </row>
    <row r="26" ht="15" customHeight="1" s="173">
      <c r="B26" s="220" t="n">
        <v>11</v>
      </c>
      <c r="C26" s="236">
        <f>'A1 EXPOSICION'!D17</f>
        <v/>
      </c>
      <c r="D26" s="220">
        <f>IF('A1 EXPOSICION'!$G17="No","N/A",'A1 EXPOSICION'!P17)</f>
        <v/>
      </c>
      <c r="E26" s="220">
        <f>IF('A1 EXPOSICION'!$G17="No","N/A",'A1 EXPOSICION'!Q17)</f>
        <v/>
      </c>
      <c r="F26" s="220">
        <f>IF('A1 EXPOSICION'!$G17="No","N/A",'A1 EXPOSICION'!R17)</f>
        <v/>
      </c>
      <c r="G26" s="220">
        <f>IF('A1 EXPOSICION'!$G17="No","No aplica",IFERROR(INDEX(PARAMETROS!$E$15:$E$19,MATCH(F26,PARAMETROS!$B$15:$B$19,1)),""))</f>
        <v/>
      </c>
    </row>
    <row r="27" ht="15" customHeight="1" s="173">
      <c r="B27" s="220" t="n">
        <v>12</v>
      </c>
      <c r="C27" s="236">
        <f>'A1 EXPOSICION'!D18</f>
        <v/>
      </c>
      <c r="D27" s="220">
        <f>IF('A1 EXPOSICION'!$G18="No","N/A",'A1 EXPOSICION'!P18)</f>
        <v/>
      </c>
      <c r="E27" s="220">
        <f>IF('A1 EXPOSICION'!$G18="No","N/A",'A1 EXPOSICION'!Q18)</f>
        <v/>
      </c>
      <c r="F27" s="220">
        <f>IF('A1 EXPOSICION'!$G18="No","N/A",'A1 EXPOSICION'!R18)</f>
        <v/>
      </c>
      <c r="G27" s="220">
        <f>IF('A1 EXPOSICION'!$G18="No","No aplica",IFERROR(INDEX(PARAMETROS!$E$15:$E$19,MATCH(F27,PARAMETROS!$B$15:$B$19,1)),""))</f>
        <v/>
      </c>
    </row>
    <row r="28" ht="15" customHeight="1" s="173">
      <c r="B28" s="220" t="n">
        <v>13</v>
      </c>
      <c r="C28" s="236">
        <f>'A1 EXPOSICION'!D19</f>
        <v/>
      </c>
      <c r="D28" s="220">
        <f>IF('A1 EXPOSICION'!$G19="No","N/A",'A1 EXPOSICION'!P19)</f>
        <v/>
      </c>
      <c r="E28" s="220">
        <f>IF('A1 EXPOSICION'!$G19="No","N/A",'A1 EXPOSICION'!Q19)</f>
        <v/>
      </c>
      <c r="F28" s="220">
        <f>IF('A1 EXPOSICION'!$G19="No","N/A",'A1 EXPOSICION'!R19)</f>
        <v/>
      </c>
      <c r="G28" s="220">
        <f>IF('A1 EXPOSICION'!$G19="No","No aplica",IFERROR(INDEX(PARAMETROS!$E$15:$E$19,MATCH(F28,PARAMETROS!$B$15:$B$19,1)),""))</f>
        <v/>
      </c>
    </row>
    <row r="29" ht="15" customHeight="1" s="173">
      <c r="B29" s="220" t="n">
        <v>14</v>
      </c>
      <c r="C29" s="236">
        <f>'A1 EXPOSICION'!D20</f>
        <v/>
      </c>
      <c r="D29" s="220">
        <f>IF('A1 EXPOSICION'!$G20="No","N/A",'A1 EXPOSICION'!P20)</f>
        <v/>
      </c>
      <c r="E29" s="220">
        <f>IF('A1 EXPOSICION'!$G20="No","N/A",'A1 EXPOSICION'!Q20)</f>
        <v/>
      </c>
      <c r="F29" s="220">
        <f>IF('A1 EXPOSICION'!$G20="No","N/A",'A1 EXPOSICION'!R20)</f>
        <v/>
      </c>
      <c r="G29" s="220">
        <f>IF('A1 EXPOSICION'!$G20="No","No aplica",IFERROR(INDEX(PARAMETROS!$E$15:$E$19,MATCH(F29,PARAMETROS!$B$15:$B$19,1)),""))</f>
        <v/>
      </c>
    </row>
    <row r="30" ht="15" customHeight="1" s="173">
      <c r="B30" s="220" t="n">
        <v>15</v>
      </c>
      <c r="C30" s="236">
        <f>'A1 EXPOSICION'!D21</f>
        <v/>
      </c>
      <c r="D30" s="220">
        <f>IF('A1 EXPOSICION'!$G21="No","N/A",'A1 EXPOSICION'!P21)</f>
        <v/>
      </c>
      <c r="E30" s="220">
        <f>IF('A1 EXPOSICION'!$G21="No","N/A",'A1 EXPOSICION'!Q21)</f>
        <v/>
      </c>
      <c r="F30" s="220">
        <f>IF('A1 EXPOSICION'!$G21="No","N/A",'A1 EXPOSICION'!R21)</f>
        <v/>
      </c>
      <c r="G30" s="220">
        <f>IF('A1 EXPOSICION'!$G21="No","No aplica",IFERROR(INDEX(PARAMETROS!$E$15:$E$19,MATCH(F30,PARAMETROS!$B$15:$B$19,1)),""))</f>
        <v/>
      </c>
    </row>
    <row r="31" ht="15" customHeight="1" s="173">
      <c r="B31" s="220" t="n">
        <v>16</v>
      </c>
      <c r="C31" s="236">
        <f>'A1 EXPOSICION'!D22</f>
        <v/>
      </c>
      <c r="D31" s="220">
        <f>IF('A1 EXPOSICION'!$G22="No","N/A",'A1 EXPOSICION'!P22)</f>
        <v/>
      </c>
      <c r="E31" s="220">
        <f>IF('A1 EXPOSICION'!$G22="No","N/A",'A1 EXPOSICION'!Q22)</f>
        <v/>
      </c>
      <c r="F31" s="220">
        <f>IF('A1 EXPOSICION'!$G22="No","N/A",'A1 EXPOSICION'!R22)</f>
        <v/>
      </c>
      <c r="G31" s="220">
        <f>IF('A1 EXPOSICION'!$G22="No","No aplica",IFERROR(INDEX(PARAMETROS!$E$15:$E$19,MATCH(F31,PARAMETROS!$B$15:$B$19,1)),""))</f>
        <v/>
      </c>
    </row>
    <row r="32" ht="15" customHeight="1" s="173">
      <c r="B32" s="220" t="n">
        <v>17</v>
      </c>
      <c r="C32" s="236">
        <f>'A1 EXPOSICION'!D23</f>
        <v/>
      </c>
      <c r="D32" s="220">
        <f>IF('A1 EXPOSICION'!$G23="No","N/A",'A1 EXPOSICION'!P23)</f>
        <v/>
      </c>
      <c r="E32" s="220">
        <f>IF('A1 EXPOSICION'!$G23="No","N/A",'A1 EXPOSICION'!Q23)</f>
        <v/>
      </c>
      <c r="F32" s="220">
        <f>IF('A1 EXPOSICION'!$G23="No","N/A",'A1 EXPOSICION'!R23)</f>
        <v/>
      </c>
      <c r="G32" s="220">
        <f>IF('A1 EXPOSICION'!$G23="No","No aplica",IFERROR(INDEX(PARAMETROS!$E$15:$E$19,MATCH(F32,PARAMETROS!$B$15:$B$19,1)),""))</f>
        <v/>
      </c>
    </row>
    <row r="33" ht="15" customHeight="1" s="173">
      <c r="B33" s="220" t="n">
        <v>18</v>
      </c>
      <c r="C33" s="236">
        <f>'A1 EXPOSICION'!D24</f>
        <v/>
      </c>
      <c r="D33" s="220">
        <f>IF('A1 EXPOSICION'!$G24="No","N/A",'A1 EXPOSICION'!P24)</f>
        <v/>
      </c>
      <c r="E33" s="220">
        <f>IF('A1 EXPOSICION'!$G24="No","N/A",'A1 EXPOSICION'!Q24)</f>
        <v/>
      </c>
      <c r="F33" s="220">
        <f>IF('A1 EXPOSICION'!$G24="No","N/A",'A1 EXPOSICION'!R24)</f>
        <v/>
      </c>
      <c r="G33" s="220">
        <f>IF('A1 EXPOSICION'!$G24="No","No aplica",IFERROR(INDEX(PARAMETROS!$E$15:$E$19,MATCH(F33,PARAMETROS!$B$15:$B$19,1)),""))</f>
        <v/>
      </c>
    </row>
    <row r="34" ht="15" customHeight="1" s="173">
      <c r="B34" s="220" t="n">
        <v>19</v>
      </c>
      <c r="C34" s="236">
        <f>'A1 EXPOSICION'!D25</f>
        <v/>
      </c>
      <c r="D34" s="220">
        <f>IF('A1 EXPOSICION'!$G25="No","N/A",'A1 EXPOSICION'!P25)</f>
        <v/>
      </c>
      <c r="E34" s="220">
        <f>IF('A1 EXPOSICION'!$G25="No","N/A",'A1 EXPOSICION'!Q25)</f>
        <v/>
      </c>
      <c r="F34" s="220">
        <f>IF('A1 EXPOSICION'!$G25="No","N/A",'A1 EXPOSICION'!R25)</f>
        <v/>
      </c>
      <c r="G34" s="220">
        <f>IF('A1 EXPOSICION'!$G25="No","No aplica",IFERROR(INDEX(PARAMETROS!$E$15:$E$19,MATCH(F34,PARAMETROS!$B$15:$B$19,1)),""))</f>
        <v/>
      </c>
    </row>
    <row r="35" ht="15" customHeight="1" s="173">
      <c r="B35" s="220" t="n">
        <v>20</v>
      </c>
      <c r="C35" s="236">
        <f>'A1 EXPOSICION'!D26</f>
        <v/>
      </c>
      <c r="D35" s="220">
        <f>IF('A1 EXPOSICION'!$G26="No","N/A",'A1 EXPOSICION'!P26)</f>
        <v/>
      </c>
      <c r="E35" s="220">
        <f>IF('A1 EXPOSICION'!$G26="No","N/A",'A1 EXPOSICION'!Q26)</f>
        <v/>
      </c>
      <c r="F35" s="220">
        <f>IF('A1 EXPOSICION'!$G26="No","N/A",'A1 EXPOSICION'!R26)</f>
        <v/>
      </c>
      <c r="G35" s="220">
        <f>IF('A1 EXPOSICION'!$G26="No","No aplica",IFERROR(INDEX(PARAMETROS!$E$15:$E$19,MATCH(F35,PARAMETROS!$B$15:$B$19,1)),""))</f>
        <v/>
      </c>
    </row>
    <row r="36" ht="15" customHeight="1" s="173">
      <c r="B36" s="220" t="n">
        <v>21</v>
      </c>
      <c r="C36" s="236">
        <f>'A1 EXPOSICION'!D27</f>
        <v/>
      </c>
      <c r="D36" s="220">
        <f>IF('A1 EXPOSICION'!$G27="No","N/A",'A1 EXPOSICION'!P27)</f>
        <v/>
      </c>
      <c r="E36" s="220">
        <f>IF('A1 EXPOSICION'!$G27="No","N/A",'A1 EXPOSICION'!Q27)</f>
        <v/>
      </c>
      <c r="F36" s="220">
        <f>IF('A1 EXPOSICION'!$G27="No","N/A",'A1 EXPOSICION'!R27)</f>
        <v/>
      </c>
      <c r="G36" s="220">
        <f>IF('A1 EXPOSICION'!$G27="No","No aplica",IFERROR(INDEX(PARAMETROS!$E$15:$E$19,MATCH(F36,PARAMETROS!$B$15:$B$19,1)),""))</f>
        <v/>
      </c>
    </row>
    <row r="37" ht="15" customHeight="1" s="173">
      <c r="B37" s="220" t="n">
        <v>22</v>
      </c>
      <c r="C37" s="236">
        <f>'A1 EXPOSICION'!D28</f>
        <v/>
      </c>
      <c r="D37" s="220">
        <f>IF('A1 EXPOSICION'!$G28="No","N/A",'A1 EXPOSICION'!P28)</f>
        <v/>
      </c>
      <c r="E37" s="220">
        <f>IF('A1 EXPOSICION'!$G28="No","N/A",'A1 EXPOSICION'!Q28)</f>
        <v/>
      </c>
      <c r="F37" s="220">
        <f>IF('A1 EXPOSICION'!$G28="No","N/A",'A1 EXPOSICION'!R28)</f>
        <v/>
      </c>
      <c r="G37" s="220">
        <f>IF('A1 EXPOSICION'!$G28="No","No aplica",IFERROR(INDEX(PARAMETROS!$E$15:$E$19,MATCH(F37,PARAMETROS!$B$15:$B$19,1)),""))</f>
        <v/>
      </c>
    </row>
    <row r="38" ht="15" customHeight="1" s="173">
      <c r="B38" s="220" t="n">
        <v>23</v>
      </c>
      <c r="C38" s="236">
        <f>'A1 EXPOSICION'!D29</f>
        <v/>
      </c>
      <c r="D38" s="220">
        <f>IF('A1 EXPOSICION'!$G29="No","N/A",'A1 EXPOSICION'!P29)</f>
        <v/>
      </c>
      <c r="E38" s="220">
        <f>IF('A1 EXPOSICION'!$G29="No","N/A",'A1 EXPOSICION'!Q29)</f>
        <v/>
      </c>
      <c r="F38" s="220">
        <f>IF('A1 EXPOSICION'!$G29="No","N/A",'A1 EXPOSICION'!R29)</f>
        <v/>
      </c>
      <c r="G38" s="220">
        <f>IF('A1 EXPOSICION'!$G29="No","No aplica",IFERROR(INDEX(PARAMETROS!$E$15:$E$19,MATCH(F38,PARAMETROS!$B$15:$B$19,1)),""))</f>
        <v/>
      </c>
    </row>
    <row r="39" ht="15" customHeight="1" s="173">
      <c r="B39" s="220" t="n">
        <v>24</v>
      </c>
      <c r="C39" s="236">
        <f>'A1 EXPOSICION'!D30</f>
        <v/>
      </c>
      <c r="D39" s="220">
        <f>IF('A1 EXPOSICION'!$G30="No","N/A",'A1 EXPOSICION'!P30)</f>
        <v/>
      </c>
      <c r="E39" s="220">
        <f>IF('A1 EXPOSICION'!$G30="No","N/A",'A1 EXPOSICION'!Q30)</f>
        <v/>
      </c>
      <c r="F39" s="220">
        <f>IF('A1 EXPOSICION'!$G30="No","N/A",'A1 EXPOSICION'!R30)</f>
        <v/>
      </c>
      <c r="G39" s="220">
        <f>IF('A1 EXPOSICION'!$G30="No","No aplica",IFERROR(INDEX(PARAMETROS!$E$15:$E$19,MATCH(F39,PARAMETROS!$B$15:$B$19,1)),""))</f>
        <v/>
      </c>
    </row>
    <row r="40" ht="15" customHeight="1" s="173">
      <c r="B40" s="220" t="n">
        <v>25</v>
      </c>
      <c r="C40" s="236">
        <f>'A1 EXPOSICION'!D31</f>
        <v/>
      </c>
      <c r="D40" s="220">
        <f>IF('A1 EXPOSICION'!$G31="No","N/A",'A1 EXPOSICION'!P31)</f>
        <v/>
      </c>
      <c r="E40" s="220">
        <f>IF('A1 EXPOSICION'!$G31="No","N/A",'A1 EXPOSICION'!Q31)</f>
        <v/>
      </c>
      <c r="F40" s="220">
        <f>IF('A1 EXPOSICION'!$G31="No","N/A",'A1 EXPOSICION'!R31)</f>
        <v/>
      </c>
      <c r="G40" s="220">
        <f>IF('A1 EXPOSICION'!$G31="No","No aplica",IFERROR(INDEX(PARAMETROS!$E$15:$E$19,MATCH(F40,PARAMETROS!$B$15:$B$19,1)),""))</f>
        <v/>
      </c>
    </row>
    <row r="41" ht="45.75" customHeight="1" s="173">
      <c r="B41" s="240" t="inlineStr">
        <is>
          <t>Un indicador marcado «No aplica» en A1 se muestra aquí como «No aplica», no como riesgo cero: no se evaluó, no es que haya salido bajo. Sale del numerador y del denominador del elemento.</t>
        </is>
      </c>
    </row>
    <row r="43" ht="15" customHeight="1" s="173">
      <c r="B43" s="216" t="inlineStr">
        <is>
          <t>MAPA DE CALOR — Calificación (col) × Concentración (fila)</t>
        </is>
      </c>
    </row>
    <row r="44" ht="15" customHeight="1" s="173">
      <c r="B44" s="241" t="inlineStr">
        <is>
          <t>Conc\Calif</t>
        </is>
      </c>
      <c r="C44" s="241" t="n">
        <v>1</v>
      </c>
      <c r="D44" s="241" t="n">
        <v>2</v>
      </c>
      <c r="E44" s="241" t="n">
        <v>3</v>
      </c>
      <c r="F44" s="241" t="n">
        <v>4</v>
      </c>
      <c r="G44" s="241" t="n">
        <v>5</v>
      </c>
    </row>
    <row r="45" ht="15" customHeight="1" s="173">
      <c r="B45" s="229" t="n">
        <v>5</v>
      </c>
      <c r="C45" s="242" t="n">
        <v>5</v>
      </c>
      <c r="D45" s="243" t="n">
        <v>10</v>
      </c>
      <c r="E45" s="244" t="n">
        <v>15</v>
      </c>
      <c r="F45" s="245" t="n">
        <v>20</v>
      </c>
      <c r="G45" s="245" t="n">
        <v>25</v>
      </c>
    </row>
    <row r="46" ht="15" customHeight="1" s="173">
      <c r="B46" s="229" t="n">
        <v>4</v>
      </c>
      <c r="C46" s="242" t="n">
        <v>4</v>
      </c>
      <c r="D46" s="246" t="n">
        <v>8</v>
      </c>
      <c r="E46" s="243" t="n">
        <v>12</v>
      </c>
      <c r="F46" s="244" t="n">
        <v>16</v>
      </c>
      <c r="G46" s="245" t="n">
        <v>20</v>
      </c>
    </row>
    <row r="47" ht="15" customHeight="1" s="173">
      <c r="B47" s="229" t="n">
        <v>3</v>
      </c>
      <c r="C47" s="242" t="n">
        <v>3</v>
      </c>
      <c r="D47" s="246" t="n">
        <v>6</v>
      </c>
      <c r="E47" s="246" t="n">
        <v>9</v>
      </c>
      <c r="F47" s="243" t="n">
        <v>12</v>
      </c>
      <c r="G47" s="244" t="n">
        <v>15</v>
      </c>
    </row>
    <row r="48" ht="15" customHeight="1" s="173">
      <c r="B48" s="229" t="n">
        <v>2</v>
      </c>
      <c r="C48" s="242" t="n">
        <v>2</v>
      </c>
      <c r="D48" s="242" t="n">
        <v>4</v>
      </c>
      <c r="E48" s="246" t="n">
        <v>6</v>
      </c>
      <c r="F48" s="246" t="n">
        <v>8</v>
      </c>
      <c r="G48" s="243" t="n">
        <v>10</v>
      </c>
    </row>
    <row r="49" ht="15" customHeight="1" s="173">
      <c r="B49" s="229" t="n">
        <v>1</v>
      </c>
      <c r="C49" s="242" t="n">
        <v>1</v>
      </c>
      <c r="D49" s="242" t="n">
        <v>2</v>
      </c>
      <c r="E49" s="242" t="n">
        <v>3</v>
      </c>
      <c r="F49" s="242" t="n">
        <v>4</v>
      </c>
      <c r="G49" s="242" t="n">
        <v>5</v>
      </c>
    </row>
    <row r="51" ht="15" customHeight="1" s="173">
      <c r="B51" s="229" t="inlineStr">
        <is>
          <t>Tu entidad (nivel inherente):</t>
        </is>
      </c>
      <c r="D51" s="247">
        <f>'A3 INHERENTE'!$F$12</f>
        <v/>
      </c>
    </row>
  </sheetData>
  <mergeCells count="4">
    <mergeCell ref="B5:G5"/>
    <mergeCell ref="B14:G14"/>
    <mergeCell ref="B51:C51"/>
    <mergeCell ref="B43:G43"/>
  </mergeCells>
  <conditionalFormatting sqref="F7:F10">
    <cfRule type="expression" rank="0" priority="2" equalAverage="0" aboveAverage="0" dxfId="2" text="" percent="0" bottom="0">
      <formula>EXACT(F7,"BAJO")</formula>
    </cfRule>
    <cfRule type="expression" rank="0" priority="3" equalAverage="0" aboveAverage="0" dxfId="3" text="" percent="0" bottom="0">
      <formula>EXACT(F7,"MEDIO BAJO")</formula>
    </cfRule>
    <cfRule type="expression" rank="0" priority="4" equalAverage="0" aboveAverage="0" dxfId="4" text="" percent="0" bottom="0">
      <formula>EXACT(F7,"MEDIO")</formula>
    </cfRule>
    <cfRule type="expression" rank="0" priority="5" equalAverage="0" aboveAverage="0" dxfId="5" text="" percent="0" bottom="0">
      <formula>EXACT(F7,"MEDIO ALTO")</formula>
    </cfRule>
    <cfRule type="expression" rank="0" priority="6" equalAverage="0" aboveAverage="0" dxfId="6" text="" percent="0" bottom="0">
      <formula>EXACT(F7,"ALTO")</formula>
    </cfRule>
  </conditionalFormatting>
  <conditionalFormatting sqref="F12">
    <cfRule type="expression" rank="0" priority="7" equalAverage="0" aboveAverage="0" dxfId="2" text="" percent="0" bottom="0">
      <formula>EXACT(F12,"BAJO")</formula>
    </cfRule>
    <cfRule type="expression" rank="0" priority="8" equalAverage="0" aboveAverage="0" dxfId="3" text="" percent="0" bottom="0">
      <formula>EXACT(F12,"MEDIO BAJO")</formula>
    </cfRule>
    <cfRule type="expression" rank="0" priority="9" equalAverage="0" aboveAverage="0" dxfId="4" text="" percent="0" bottom="0">
      <formula>EXACT(F12,"MEDIO")</formula>
    </cfRule>
    <cfRule type="expression" rank="0" priority="10" equalAverage="0" aboveAverage="0" dxfId="5" text="" percent="0" bottom="0">
      <formula>EXACT(F12,"MEDIO ALTO")</formula>
    </cfRule>
    <cfRule type="expression" rank="0" priority="11" equalAverage="0" aboveAverage="0" dxfId="6" text="" percent="0" bottom="0">
      <formula>EXACT(F12,"ALTO")</formula>
    </cfRule>
  </conditionalFormatting>
  <conditionalFormatting sqref="G16:G40">
    <cfRule type="expression" rank="0" priority="12" equalAverage="0" aboveAverage="0" dxfId="2" text="" percent="0" bottom="0">
      <formula>EXACT(G16,"BAJO")</formula>
    </cfRule>
    <cfRule type="expression" rank="0" priority="13" equalAverage="0" aboveAverage="0" dxfId="3" text="" percent="0" bottom="0">
      <formula>EXACT(G16,"MEDIO BAJO")</formula>
    </cfRule>
    <cfRule type="expression" rank="0" priority="14" equalAverage="0" aboveAverage="0" dxfId="4" text="" percent="0" bottom="0">
      <formula>EXACT(G16,"MEDIO")</formula>
    </cfRule>
    <cfRule type="expression" rank="0" priority="15" equalAverage="0" aboveAverage="0" dxfId="5" text="" percent="0" bottom="0">
      <formula>EXACT(G16,"MEDIO ALTO")</formula>
    </cfRule>
    <cfRule type="expression" rank="0" priority="16" equalAverage="0" aboveAverage="0" dxfId="6" text="" percent="0" bottom="0">
      <formula>EXACT(G16,"ALTO")</formula>
    </cfRule>
  </conditionalFormatting>
  <conditionalFormatting sqref="D51">
    <cfRule type="expression" rank="0" priority="17" equalAverage="0" aboveAverage="0" dxfId="2" text="" percent="0" bottom="0">
      <formula>EXACT(D51,"BAJO")</formula>
    </cfRule>
    <cfRule type="expression" rank="0" priority="18" equalAverage="0" aboveAverage="0" dxfId="3" text="" percent="0" bottom="0">
      <formula>EXACT(D51,"MEDIO BAJO")</formula>
    </cfRule>
    <cfRule type="expression" rank="0" priority="19" equalAverage="0" aboveAverage="0" dxfId="4" text="" percent="0" bottom="0">
      <formula>EXACT(D51,"MEDIO")</formula>
    </cfRule>
    <cfRule type="expression" rank="0" priority="20" equalAverage="0" aboveAverage="0" dxfId="5" text="" percent="0" bottom="0">
      <formula>EXACT(D51,"MEDIO ALTO")</formula>
    </cfRule>
    <cfRule type="expression" rank="0" priority="21" equalAverage="0" aboveAverage="0" dxfId="6" text="" percent="0" bottom="0">
      <formula>EXACT(D51,"ALTO")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FC000"/>
    <outlinePr summaryBelow="1" summaryRight="1"/>
    <pageSetUpPr fitToPage="0"/>
  </sheetPr>
  <dimension ref="B2:L4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6" customWidth="1" style="172" min="2" max="2"/>
    <col width="42" customWidth="1" style="172" min="3" max="3"/>
    <col width="30" customWidth="1" style="172" min="4" max="4"/>
    <col width="48" customWidth="1" style="172" min="5" max="5"/>
    <col width="12" customWidth="1" style="172" min="6" max="6"/>
    <col width="22" customWidth="1" style="172" min="7" max="7"/>
    <col width="8" customWidth="1" style="172" min="8" max="8"/>
    <col width="22" customWidth="1" style="172" min="9" max="9"/>
    <col width="46" customWidth="1" style="172" min="10" max="10"/>
    <col width="34" customWidth="1" style="172" min="11" max="11"/>
    <col width="40" customWidth="1" style="172" min="12" max="12"/>
  </cols>
  <sheetData>
    <row r="2" ht="17.25" customHeight="1" s="173">
      <c r="B2" s="248" t="inlineStr">
        <is>
          <t>A4 · CATÁLOGO DE CONTROLES MÍNIMOS — las 14 obligaciones del Manual (Art. 37 Bis)</t>
        </is>
      </c>
    </row>
    <row r="3" ht="501.75" customHeight="1" s="173">
      <c r="B3" s="249" t="inlineStr">
        <is>
          <t>Éste es el denominador de la mitigación. La efectividad NO se promedia sobre los controles que registres: se mide contra las 14 obligaciones del catálogo. Una obligación no registrada computa 0%; solo sale del cálculo si es «No aplica» conforme al Art. 37 Bis 2 y así consta en tu Manual.</t>
        </is>
      </c>
    </row>
    <row r="4" ht="15" customHeight="1" s="173">
      <c r="B4" s="177" t="inlineStr">
        <is>
          <t>Paso 6 de 10  ·  Viene de: A3 INHERENTE  ·  Sigue: A5 RESIDUAL  ·  Controles por encima del mínimo: A4 BIS</t>
        </is>
      </c>
    </row>
    <row r="6" ht="33.75" customHeight="1" s="173">
      <c r="B6" s="250" t="inlineStr">
        <is>
          <t>Fr.</t>
        </is>
      </c>
      <c r="C6" s="250" t="inlineStr">
        <is>
          <t>Contenido mínimo del Manual (Art. 37 Bis)</t>
        </is>
      </c>
      <c r="D6" s="250" t="inlineStr">
        <is>
          <t>Fundamento verificado</t>
        </is>
      </c>
      <c r="E6" s="250" t="inlineStr">
        <is>
          <t>Qué se espera (referencia)</t>
        </is>
      </c>
      <c r="F6" s="250" t="inlineStr">
        <is>
          <t>¿Admite
«No aplica»?</t>
        </is>
      </c>
      <c r="G6" s="250" t="inlineStr">
        <is>
          <t>Resultado (Art. 48)</t>
        </is>
      </c>
      <c r="H6" s="250" t="inlineStr">
        <is>
          <t>%</t>
        </is>
      </c>
      <c r="I6" s="250" t="inlineStr">
        <is>
          <t>Numeral del Manual que lo prevé</t>
        </is>
      </c>
      <c r="J6" s="250" t="inlineStr">
        <is>
          <t>Evidencia de aplicación efectiva y dónde se resguarda</t>
        </is>
      </c>
      <c r="K6" s="250" t="inlineStr">
        <is>
          <t>Justificación del «No aplica» (numeral del Manual, Art. 37 Bis 2)</t>
        </is>
      </c>
      <c r="L6" s="250" t="inlineStr">
        <is>
          <t>Aviso</t>
        </is>
      </c>
    </row>
    <row r="7" ht="57.75" customHeight="1" s="173">
      <c r="B7" s="251" t="inlineStr">
        <is>
          <t>I</t>
        </is>
      </c>
      <c r="C7" s="252" t="inlineStr">
        <is>
          <t>Criterios para la identificación y conocimiento de Clientes o Usuarias</t>
        </is>
      </c>
      <c r="D7" s="252" t="inlineStr">
        <is>
          <t>Arts. 12, 17 y 17 Bis; Cap. III Ter</t>
        </is>
      </c>
      <c r="E7" s="252" t="inlineStr">
        <is>
          <t>Procedimiento escrito para integrar el expediente según el Grado de Riesgo, con los datos y documentos de los Anexos aplicables a tu fracción, verificación de identidad y cuestionario de conocimiento del Cliente.</t>
        </is>
      </c>
      <c r="F7" s="253" t="inlineStr">
        <is>
          <t>No</t>
        </is>
      </c>
      <c r="G7" s="254" t="inlineStr">
        <is>
          <t>Cumple</t>
        </is>
      </c>
      <c r="H7" s="255">
        <f>IF($G7="","",IF($G7="No aplica","",IF(OR($I7="",$J7=""),0,IFERROR(INDEX(PARAMETROS!$I$15:$I$18,MATCH($G7,PARAMETROS!$H$15:$H$18,0)),0))))</f>
        <v/>
      </c>
      <c r="I7" s="254" t="inlineStr">
        <is>
          <t>Manual, numeral 4.1</t>
        </is>
      </c>
      <c r="J7" s="254" t="inlineStr">
        <is>
          <t>Expedientes íntegros con acuse de verificación de identificación oficial; muestreo trimestral firmado.</t>
        </is>
      </c>
      <c r="K7" s="254" t="n"/>
      <c r="L7" s="256">
        <f>IF($G7="","Falta calificar esta obligación del Manual (Art. 37 Bis).",IF($G7="No aplica",IF($K7="","Exclusión sin constancia en el Manual: el Art. 37 Bis 2 exige hacerla constar por escrito.",""),IF($G7="No cumple","No cumple: puede actualizar una sanción (Art. 48 fr. IV). Llévalo al plan de acción de A8.",IF(OR($I7="",$J7=""),"Sin numeral del Manual o sin evidencia de aplicación efectiva: la obligación computa 0% (Art. 10 Septies 1, fr. III).",""))))</f>
        <v/>
      </c>
    </row>
    <row r="8" ht="57.75" customHeight="1" s="173">
      <c r="B8" s="251" t="inlineStr">
        <is>
          <t>II</t>
        </is>
      </c>
      <c r="C8" s="252" t="inlineStr">
        <is>
          <t>Mecanismos de clasificación de Riesgo</t>
        </is>
      </c>
      <c r="D8" s="252" t="inlineStr">
        <is>
          <t>Art. 23 Bis</t>
        </is>
      </c>
      <c r="E8" s="252" t="inlineStr">
        <is>
          <t>Modelo escrito que califique a cada Cliente en al menos tres grados, congruente con esta metodología, con reevaluación al menos cada seis meses (hoja B CLIENTE).</t>
        </is>
      </c>
      <c r="F8" s="253" t="inlineStr">
        <is>
          <t>No</t>
        </is>
      </c>
      <c r="G8" s="254" t="inlineStr">
        <is>
          <t>Cumple mayoritariamente</t>
        </is>
      </c>
      <c r="H8" s="255">
        <f>IF($G8="","",IF($G8="No aplica","",IF(OR($I8="",$J8=""),0,IFERROR(INDEX(PARAMETROS!$I$15:$I$18,MATCH($G8,PARAMETROS!$H$15:$H$18,0)),0))))</f>
        <v/>
      </c>
      <c r="I8" s="254" t="inlineStr">
        <is>
          <t>Manual, numeral 4.3</t>
        </is>
      </c>
      <c r="J8" s="254" t="inlineStr">
        <is>
          <t>Cédulas de calificación de los 86 Clientes; falta evidenciar la reevaluación semestral de dos de ellos.</t>
        </is>
      </c>
      <c r="K8" s="254" t="n"/>
      <c r="L8" s="256">
        <f>IF($G8="","Falta calificar esta obligación del Manual (Art. 37 Bis).",IF($G8="No aplica",IF($K8="","Exclusión sin constancia en el Manual: el Art. 37 Bis 2 exige hacerla constar por escrito.",""),IF($G8="No cumple","No cumple: puede actualizar una sanción (Art. 48 fr. IV). Llévalo al plan de acción de A8.",IF(OR($I8="",$J8=""),"Sin numeral del Manual o sin evidencia de aplicación efectiva: la obligación computa 0% (Art. 10 Septies 1, fr. III).",""))))</f>
        <v/>
      </c>
    </row>
    <row r="9" ht="57.75" customHeight="1" s="173">
      <c r="B9" s="251" t="inlineStr">
        <is>
          <t>III</t>
        </is>
      </c>
      <c r="C9" s="252" t="inlineStr">
        <is>
          <t>Medidas de debida diligencia aplicables conforme al Grado de Riesgo</t>
        </is>
      </c>
      <c r="D9" s="252" t="inlineStr">
        <is>
          <t>Arts. 17 y 17 Bis; Arts. 23 Ter 1 a 5</t>
        </is>
      </c>
      <c r="E9" s="252" t="inlineStr">
        <is>
          <t>Regla explícita de qué expediente corresponde a cada grado: simplificado, completo del Art. 12, o reforzado con cuestionario y Firma Electrónica.</t>
        </is>
      </c>
      <c r="F9" s="253" t="inlineStr">
        <is>
          <t>No</t>
        </is>
      </c>
      <c r="G9" s="254" t="inlineStr">
        <is>
          <t>Cumple mayoritariamente</t>
        </is>
      </c>
      <c r="H9" s="255">
        <f>IF($G9="","",IF($G9="No aplica","",IF(OR($I9="",$J9=""),0,IFERROR(INDEX(PARAMETROS!$I$15:$I$18,MATCH($G9,PARAMETROS!$H$15:$H$18,0)),0))))</f>
        <v/>
      </c>
      <c r="I9" s="254" t="inlineStr">
        <is>
          <t>Manual, numeral 4.4</t>
        </is>
      </c>
      <c r="J9" s="254" t="inlineStr">
        <is>
          <t>Matriz de correspondencia grado–expediente aplicada; dos expedientes reforzados sin acuse de Firma Electrónica.</t>
        </is>
      </c>
      <c r="K9" s="254" t="n"/>
      <c r="L9" s="256">
        <f>IF($G9="","Falta calificar esta obligación del Manual (Art. 37 Bis).",IF($G9="No aplica",IF($K9="","Exclusión sin constancia en el Manual: el Art. 37 Bis 2 exige hacerla constar por escrito.",""),IF($G9="No cumple","No cumple: puede actualizar una sanción (Art. 48 fr. IV). Llévalo al plan de acción de A8.",IF(OR($I9="",$J9=""),"Sin numeral del Manual o sin evidencia de aplicación efectiva: la obligación computa 0% (Art. 10 Septies 1, fr. III).",""))))</f>
        <v/>
      </c>
    </row>
    <row r="10" ht="57.75" customHeight="1" s="173">
      <c r="B10" s="251" t="inlineStr">
        <is>
          <t>IV</t>
        </is>
      </c>
      <c r="C10" s="252" t="inlineStr">
        <is>
          <t>Identificación y seguimiento reforzado de Personas Políticamente Expuestas</t>
        </is>
      </c>
      <c r="D10" s="252" t="inlineStr">
        <is>
          <t>Arts. 23 Bis 3 y 23 Bis 4</t>
        </is>
      </c>
      <c r="E10" s="252" t="inlineStr">
        <is>
          <t>Procedimiento de detección de PEP nacionales y extranjeras y de sus allegados, factores de Riesgo adicionales, y aprobación de un directivo para PEP extranjera de riesgo alto.</t>
        </is>
      </c>
      <c r="F10" s="253" t="inlineStr">
        <is>
          <t>No</t>
        </is>
      </c>
      <c r="G10" s="254" t="inlineStr">
        <is>
          <t>Cumple parcialmente</t>
        </is>
      </c>
      <c r="H10" s="255">
        <f>IF($G10="","",IF($G10="No aplica","",IF(OR($I10="",$J10=""),0,IFERROR(INDEX(PARAMETROS!$I$15:$I$18,MATCH($G10,PARAMETROS!$H$15:$H$18,0)),0))))</f>
        <v/>
      </c>
      <c r="I10" s="254" t="inlineStr">
        <is>
          <t>Manual, numeral 4.6</t>
        </is>
      </c>
      <c r="J10" s="254" t="inlineStr">
        <is>
          <t>Se declara la búsqueda de PEP pero no se conserva la constancia por operación.</t>
        </is>
      </c>
      <c r="K10" s="254" t="n"/>
      <c r="L10" s="256">
        <f>IF($G10="","Falta calificar esta obligación del Manual (Art. 37 Bis).",IF($G10="No aplica",IF($K10="","Exclusión sin constancia en el Manual: el Art. 37 Bis 2 exige hacerla constar por escrito.",""),IF($G10="No cumple","No cumple: puede actualizar una sanción (Art. 48 fr. IV). Llévalo al plan de acción de A8.",IF(OR($I10="",$J10=""),"Sin numeral del Manual o sin evidencia de aplicación efectiva: la obligación computa 0% (Art. 10 Septies 1, fr. III).",""))))</f>
        <v/>
      </c>
    </row>
    <row r="11" ht="57.75" customHeight="1" s="173">
      <c r="B11" s="251" t="inlineStr">
        <is>
          <t>V</t>
        </is>
      </c>
      <c r="C11" s="252" t="inlineStr">
        <is>
          <t>Detección de actos u operaciones que se apartan del Perfil transaccional</t>
        </is>
      </c>
      <c r="D11" s="252" t="inlineStr">
        <is>
          <t>Art. 41 fr. II</t>
        </is>
      </c>
      <c r="E11" s="252" t="inlineStr">
        <is>
          <t>Perfil transaccional documentado por Cliente y alertas por desviación, con bitácora de la alerta, su análisis y su conclusión.</t>
        </is>
      </c>
      <c r="F11" s="253" t="inlineStr">
        <is>
          <t>Condicionado</t>
        </is>
      </c>
      <c r="G11" s="254" t="inlineStr">
        <is>
          <t>Cumple parcialmente</t>
        </is>
      </c>
      <c r="H11" s="255">
        <f>IF($G11="","",IF($G11="No aplica","",IF(OR($I11="",$J11=""),0,IFERROR(INDEX(PARAMETROS!$I$15:$I$18,MATCH($G11,PARAMETROS!$H$15:$H$18,0)),0))))</f>
        <v/>
      </c>
      <c r="I11" s="254" t="inlineStr">
        <is>
          <t>Manual, numeral 6.4</t>
        </is>
      </c>
      <c r="J11" s="254" t="inlineStr">
        <is>
          <t>Perfil transaccional documentado; las alertas se revisan sin bitácora de conclusión.</t>
        </is>
      </c>
      <c r="K11" s="254" t="n"/>
      <c r="L11" s="256">
        <f>IF($G11="","Falta calificar esta obligación del Manual (Art. 37 Bis).",IF($G11="No aplica",IF($K11="","Exclusión sin constancia en el Manual: el Art. 37 Bis 2 exige hacerla constar por escrito.",""),IF($G11="No cumple","No cumple: puede actualizar una sanción (Art. 48 fr. IV). Llévalo al plan de acción de A8.",IF(OR($I11="",$J11=""),"Sin numeral del Manual o sin evidencia de aplicación efectiva: la obligación computa 0% (Art. 10 Septies 1, fr. III).",""))))</f>
        <v/>
      </c>
    </row>
    <row r="12" ht="57.75" customHeight="1" s="173">
      <c r="B12" s="251" t="inlineStr">
        <is>
          <t>VI</t>
        </is>
      </c>
      <c r="C12" s="252" t="inlineStr">
        <is>
          <t>Procedimientos para la presentación de Avisos e Informes</t>
        </is>
      </c>
      <c r="D12" s="252" t="inlineStr">
        <is>
          <t>Cap. V de las Reglas; Art. 23 de la Ley</t>
        </is>
      </c>
      <c r="E12" s="252" t="inlineStr">
        <is>
          <t>Flujo interno con responsable y plazos: Aviso ordinario a más tardar el día 17 del mes inmediato siguiente, y protocolo de 24 horas.</t>
        </is>
      </c>
      <c r="F12" s="253" t="inlineStr">
        <is>
          <t>No</t>
        </is>
      </c>
      <c r="G12" s="254" t="inlineStr">
        <is>
          <t>Cumple</t>
        </is>
      </c>
      <c r="H12" s="255">
        <f>IF($G12="","",IF($G12="No aplica","",IF(OR($I12="",$J12=""),0,IFERROR(INDEX(PARAMETROS!$I$15:$I$18,MATCH($G12,PARAMETROS!$H$15:$H$18,0)),0))))</f>
        <v/>
      </c>
      <c r="I12" s="254" t="inlineStr">
        <is>
          <t>Manual, numeral 5.2</t>
        </is>
      </c>
      <c r="J12" s="254" t="inlineStr">
        <is>
          <t>Acuses del portal por los 14 Avisos del periodo, conciliados con el registro de operaciones.</t>
        </is>
      </c>
      <c r="K12" s="254" t="n"/>
      <c r="L12" s="256">
        <f>IF($G12="","Falta calificar esta obligación del Manual (Art. 37 Bis).",IF($G12="No aplica",IF($K12="","Exclusión sin constancia en el Manual: el Art. 37 Bis 2 exige hacerla constar por escrito.",""),IF($G12="No cumple","No cumple: puede actualizar una sanción (Art. 48 fr. IV). Llévalo al plan de acción de A8.",IF(OR($I12="",$J12=""),"Sin numeral del Manual o sin evidencia de aplicación efectiva: la obligación computa 0% (Art. 10 Septies 1, fr. III).",""))))</f>
        <v/>
      </c>
    </row>
    <row r="13" ht="57.75" customHeight="1" s="173">
      <c r="B13" s="251" t="inlineStr">
        <is>
          <t>VII</t>
        </is>
      </c>
      <c r="C13" s="252" t="inlineStr">
        <is>
          <t>Mecanismos de conservación de información y documentación</t>
        </is>
      </c>
      <c r="D13" s="252" t="inlineStr">
        <is>
          <t>Art. 10 Septies 3, 3er párr.; Art. 41 fr. I y IV</t>
        </is>
      </c>
      <c r="E13" s="252" t="inlineStr">
        <is>
          <t>Política de resguardo por diez años, lugar y medio de conservación, y medidas de seguridad contra pérdida, alteración u ocultamiento.</t>
        </is>
      </c>
      <c r="F13" s="253" t="inlineStr">
        <is>
          <t>No</t>
        </is>
      </c>
      <c r="G13" s="254" t="inlineStr">
        <is>
          <t>Cumple</t>
        </is>
      </c>
      <c r="H13" s="255">
        <f>IF($G13="","",IF($G13="No aplica","",IF(OR($I13="",$J13=""),0,IFERROR(INDEX(PARAMETROS!$I$15:$I$18,MATCH($G13,PARAMETROS!$H$15:$H$18,0)),0))))</f>
        <v/>
      </c>
      <c r="I13" s="254" t="inlineStr">
        <is>
          <t>Manual, numeral 8.1</t>
        </is>
      </c>
      <c r="J13" s="254" t="inlineStr">
        <is>
          <t>Política de resguardo firmada, respaldo cifrado y control de acceso al repositorio.</t>
        </is>
      </c>
      <c r="K13" s="254" t="n"/>
      <c r="L13" s="256">
        <f>IF($G13="","Falta calificar esta obligación del Manual (Art. 37 Bis).",IF($G13="No aplica",IF($K13="","Exclusión sin constancia en el Manual: el Art. 37 Bis 2 exige hacerla constar por escrito.",""),IF($G13="No cumple","No cumple: puede actualizar una sanción (Art. 48 fr. IV). Llévalo al plan de acción de A8.",IF(OR($I13="",$J13=""),"Sin numeral del Manual o sin evidencia de aplicación efectiva: la obligación computa 0% (Art. 10 Septies 1, fr. III).",""))))</f>
        <v/>
      </c>
    </row>
    <row r="14" ht="57.75" customHeight="1" s="173">
      <c r="B14" s="251" t="inlineStr">
        <is>
          <t>VIII</t>
        </is>
      </c>
      <c r="C14" s="252" t="inlineStr">
        <is>
          <t>Seguimiento y acumulación de actos u operaciones frente a los umbrales</t>
        </is>
      </c>
      <c r="D14" s="252" t="inlineStr">
        <is>
          <t>Art. 17, penúltimo párr. de la Ley; Art. 41 fr. II</t>
        </is>
      </c>
      <c r="E14" s="252" t="inlineStr">
        <is>
          <t>Mecanismo que agrupe las operaciones del mismo Cliente y dispare el Aviso cuando la suma acumulada alcance el umbral de tu fracción.</t>
        </is>
      </c>
      <c r="F14" s="253" t="inlineStr">
        <is>
          <t>Condicionado</t>
        </is>
      </c>
      <c r="G14" s="254" t="inlineStr">
        <is>
          <t>Cumple mayoritariamente</t>
        </is>
      </c>
      <c r="H14" s="255">
        <f>IF($G14="","",IF($G14="No aplica","",IF(OR($I14="",$J14=""),0,IFERROR(INDEX(PARAMETROS!$I$15:$I$18,MATCH($G14,PARAMETROS!$H$15:$H$18,0)),0))))</f>
        <v/>
      </c>
      <c r="I14" s="254" t="inlineStr">
        <is>
          <t>Manual, numeral 5.4</t>
        </is>
      </c>
      <c r="J14" s="254" t="inlineStr">
        <is>
          <t>Reporte de acumulación del sistema; falta prueba de recorrido de un caso completo.</t>
        </is>
      </c>
      <c r="K14" s="254" t="n"/>
      <c r="L14" s="256">
        <f>IF($G14="","Falta calificar esta obligación del Manual (Art. 37 Bis).",IF($G14="No aplica",IF($K14="","Exclusión sin constancia en el Manual: el Art. 37 Bis 2 exige hacerla constar por escrito.",""),IF($G14="No cumple","No cumple: puede actualizar una sanción (Art. 48 fr. IV). Llévalo al plan de acción de A8.",IF(OR($I14="",$J14=""),"Sin numeral del Manual o sin evidencia de aplicación efectiva: la obligación computa 0% (Art. 10 Septies 1, fr. III).",""))))</f>
        <v/>
      </c>
    </row>
    <row r="15" ht="57.75" customHeight="1" s="173">
      <c r="B15" s="251" t="inlineStr">
        <is>
          <t>IX</t>
        </is>
      </c>
      <c r="C15" s="252" t="inlineStr">
        <is>
          <t>Identificación de personas publicadas en listas de autoridades nacionales u organismos internacionales</t>
        </is>
      </c>
      <c r="D15" s="252" t="inlineStr">
        <is>
          <t>Arts. 38 y 41 fr. V</t>
        </is>
      </c>
      <c r="E15" s="252" t="inlineStr">
        <is>
          <t>Búsqueda documentada del Cliente, su Beneficiario Controlador y sus apoderados contra las listas aplicables, con constancia por operación y protocolo ante coincidencia.</t>
        </is>
      </c>
      <c r="F15" s="253" t="inlineStr">
        <is>
          <t>No</t>
        </is>
      </c>
      <c r="G15" s="254" t="inlineStr">
        <is>
          <t>Cumple</t>
        </is>
      </c>
      <c r="H15" s="255">
        <f>IF($G15="","",IF($G15="No aplica","",IF(OR($I15="",$J15=""),0,IFERROR(INDEX(PARAMETROS!$I$15:$I$18,MATCH($G15,PARAMETROS!$H$15:$H$18,0)),0))))</f>
        <v/>
      </c>
      <c r="I15" s="254" t="inlineStr">
        <is>
          <t>Manual, numeral 6.2</t>
        </is>
      </c>
      <c r="J15" s="254" t="inlineStr">
        <is>
          <t>Bitácora de validación contra listas con acuse por operación en el expediente electrónico.</t>
        </is>
      </c>
      <c r="K15" s="254" t="n"/>
      <c r="L15" s="256">
        <f>IF($G15="","Falta calificar esta obligación del Manual (Art. 37 Bis).",IF($G15="No aplica",IF($K15="","Exclusión sin constancia en el Manual: el Art. 37 Bis 2 exige hacerla constar por escrito.",""),IF($G15="No cumple","No cumple: puede actualizar una sanción (Art. 48 fr. IV). Llévalo al plan de acción de A8.",IF(OR($I15="",$J15=""),"Sin numeral del Manual o sin evidencia de aplicación efectiva: la obligación computa 0% (Art. 10 Septies 1, fr. III).",""))))</f>
        <v/>
      </c>
    </row>
    <row r="16" ht="57.75" customHeight="1" s="173">
      <c r="B16" s="251" t="inlineStr">
        <is>
          <t>X</t>
        </is>
      </c>
      <c r="C16" s="252" t="inlineStr">
        <is>
          <t>Funciones y responsabilidades de la persona Representante Encargada de Cumplimiento</t>
        </is>
      </c>
      <c r="D16" s="252" t="inlineStr">
        <is>
          <t>Art. 20 de la Ley</t>
        </is>
      </c>
      <c r="E16" s="252" t="inlineStr">
        <is>
          <t>Designación vigente y acreditada ante el SAT, con funciones, nivel de autoridad y suplencia definidos por escrito.</t>
        </is>
      </c>
      <c r="F16" s="253" t="inlineStr">
        <is>
          <t>Condicionado</t>
        </is>
      </c>
      <c r="G16" s="254" t="inlineStr">
        <is>
          <t>Cumple</t>
        </is>
      </c>
      <c r="H16" s="255">
        <f>IF($G16="","",IF($G16="No aplica","",IF(OR($I16="",$J16=""),0,IFERROR(INDEX(PARAMETROS!$I$15:$I$18,MATCH($G16,PARAMETROS!$H$15:$H$18,0)),0))))</f>
        <v/>
      </c>
      <c r="I16" s="254" t="inlineStr">
        <is>
          <t>Manual, numeral 3.1</t>
        </is>
      </c>
      <c r="J16" s="254" t="inlineStr">
        <is>
          <t>Constancia de alta de la Representante Encargada de Cumplimiento y descripción de funciones firmada.</t>
        </is>
      </c>
      <c r="K16" s="254" t="n"/>
      <c r="L16" s="256">
        <f>IF($G16="","Falta calificar esta obligación del Manual (Art. 37 Bis).",IF($G16="No aplica",IF($K16="","Exclusión sin constancia en el Manual: el Art. 37 Bis 2 exige hacerla constar por escrito.",""),IF($G16="No cumple","No cumple: puede actualizar una sanción (Art. 48 fr. IV). Llévalo al plan de acción de A8.",IF(OR($I16="",$J16=""),"Sin numeral del Manual o sin evidencia de aplicación efectiva: la obligación computa 0% (Art. 10 Septies 1, fr. III).",""))))</f>
        <v/>
      </c>
    </row>
    <row r="17" ht="57.75" customHeight="1" s="173">
      <c r="B17" s="251" t="inlineStr">
        <is>
          <t>XI</t>
        </is>
      </c>
      <c r="C17" s="252" t="inlineStr">
        <is>
          <t>Programas de capacitación</t>
        </is>
      </c>
      <c r="D17" s="252" t="inlineStr">
        <is>
          <t>Cap. XII, Art. 39 Bis</t>
        </is>
      </c>
      <c r="E17" s="252" t="inlineStr">
        <is>
          <t>Programa anual con contenido, destinatarios (órgano de administración, directivos, personal de atención, de envío de Avisos y de auditoría) y constancias de acreditación.</t>
        </is>
      </c>
      <c r="F17" s="253" t="inlineStr">
        <is>
          <t>No</t>
        </is>
      </c>
      <c r="G17" s="254" t="inlineStr">
        <is>
          <t>Cumple mayoritariamente</t>
        </is>
      </c>
      <c r="H17" s="255">
        <f>IF($G17="","",IF($G17="No aplica","",IF(OR($I17="",$J17=""),0,IFERROR(INDEX(PARAMETROS!$I$15:$I$18,MATCH($G17,PARAMETROS!$H$15:$H$18,0)),0))))</f>
        <v/>
      </c>
      <c r="I17" s="254" t="inlineStr">
        <is>
          <t>Manual, numeral 9.1</t>
        </is>
      </c>
      <c r="J17" s="254" t="inlineStr">
        <is>
          <t>Constancias de capacitación 2026 del 82% del personal objetivo.</t>
        </is>
      </c>
      <c r="K17" s="254" t="n"/>
      <c r="L17" s="256">
        <f>IF($G17="","Falta calificar esta obligación del Manual (Art. 37 Bis).",IF($G17="No aplica",IF($K17="","Exclusión sin constancia en el Manual: el Art. 37 Bis 2 exige hacerla constar por escrito.",""),IF($G17="No cumple","No cumple: puede actualizar una sanción (Art. 48 fr. IV). Llévalo al plan de acción de A8.",IF(OR($I17="",$J17=""),"Sin numeral del Manual o sin evidencia de aplicación efectiva: la obligación computa 0% (Art. 10 Septies 1, fr. III).",""))))</f>
        <v/>
      </c>
    </row>
    <row r="18" ht="57.75" customHeight="1" s="173">
      <c r="B18" s="251" t="inlineStr">
        <is>
          <t>XII</t>
        </is>
      </c>
      <c r="C18" s="252" t="inlineStr">
        <is>
          <t>Mecanismos de control interno, supervisión y auditoría</t>
        </is>
      </c>
      <c r="D18" s="252" t="inlineStr">
        <is>
          <t>Cap. XIV, Arts. 42 a 51</t>
        </is>
      </c>
      <c r="E18" s="252" t="inlineStr">
        <is>
          <t>Programa de revisión anual y designación de quien emite el dictamen: área interna si tu riesgo es bajo o medio; auditor externo certificado por la UIF si es alto (ver A6).</t>
        </is>
      </c>
      <c r="F18" s="253" t="inlineStr">
        <is>
          <t>No</t>
        </is>
      </c>
      <c r="G18" s="254" t="inlineStr">
        <is>
          <t>Cumple parcialmente</t>
        </is>
      </c>
      <c r="H18" s="255">
        <f>IF($G18="","",IF($G18="No aplica","",IF(OR($I18="",$J18=""),0,IFERROR(INDEX(PARAMETROS!$I$15:$I$18,MATCH($G18,PARAMETROS!$H$15:$H$18,0)),0))))</f>
        <v/>
      </c>
      <c r="I18" s="254" t="inlineStr">
        <is>
          <t>Manual, numeral 10.1</t>
        </is>
      </c>
      <c r="J18" s="254" t="inlineStr">
        <is>
          <t>Programa de auditoría aprobado; primer dictamen aún no exigible (primer periodo: 2028).</t>
        </is>
      </c>
      <c r="K18" s="254" t="n"/>
      <c r="L18" s="256">
        <f>IF($G18="","Falta calificar esta obligación del Manual (Art. 37 Bis).",IF($G18="No aplica",IF($K18="","Exclusión sin constancia en el Manual: el Art. 37 Bis 2 exige hacerla constar por escrito.",""),IF($G18="No cumple","No cumple: puede actualizar una sanción (Art. 48 fr. IV). Llévalo al plan de acción de A8.",IF(OR($I18="",$J18=""),"Sin numeral del Manual o sin evidencia de aplicación efectiva: la obligación computa 0% (Art. 10 Septies 1, fr. III).",""))))</f>
        <v/>
      </c>
    </row>
    <row r="19" ht="57.75" customHeight="1" s="173">
      <c r="B19" s="251" t="inlineStr">
        <is>
          <t>XIII</t>
        </is>
      </c>
      <c r="C19" s="252" t="inlineStr">
        <is>
          <t>Medidas para garantizar la confidencialidad de la información</t>
        </is>
      </c>
      <c r="D19" s="252" t="inlineStr">
        <is>
          <t>Cap. VI, Art. 31; Art. 38 de la Ley</t>
        </is>
      </c>
      <c r="E19" s="252" t="inlineStr">
        <is>
          <t>Compromiso escrito de confidencialidad del personal y prohibición expresa de alertar al Cliente sobre la presentación de Avisos.</t>
        </is>
      </c>
      <c r="F19" s="253" t="inlineStr">
        <is>
          <t>No</t>
        </is>
      </c>
      <c r="G19" s="254" t="inlineStr">
        <is>
          <t>Cumple</t>
        </is>
      </c>
      <c r="H19" s="255">
        <f>IF($G19="","",IF($G19="No aplica","",IF(OR($I19="",$J19=""),0,IFERROR(INDEX(PARAMETROS!$I$15:$I$18,MATCH($G19,PARAMETROS!$H$15:$H$18,0)),0))))</f>
        <v/>
      </c>
      <c r="I19" s="254" t="inlineStr">
        <is>
          <t>Manual, numeral 3.5</t>
        </is>
      </c>
      <c r="J19" s="254" t="inlineStr">
        <is>
          <t>Cartas de confidencialidad firmadas por todo el personal con acceso a la información.</t>
        </is>
      </c>
      <c r="K19" s="254" t="n"/>
      <c r="L19" s="256">
        <f>IF($G19="","Falta calificar esta obligación del Manual (Art. 37 Bis).",IF($G19="No aplica",IF($K19="","Exclusión sin constancia en el Manual: el Art. 37 Bis 2 exige hacerla constar por escrito.",""),IF($G19="No cumple","No cumple: puede actualizar una sanción (Art. 48 fr. IV). Llévalo al plan de acción de A8.",IF(OR($I19="",$J19=""),"Sin numeral del Manual o sin evidencia de aplicación efectiva: la obligación computa 0% (Art. 10 Septies 1, fr. III).",""))))</f>
        <v/>
      </c>
    </row>
    <row r="20" ht="57.75" customHeight="1" s="173">
      <c r="B20" s="251" t="inlineStr">
        <is>
          <t>XIV</t>
        </is>
      </c>
      <c r="C20" s="252" t="inlineStr">
        <is>
          <t>Procedimientos para la actualización del propio Manual de Políticas Internas</t>
        </is>
      </c>
      <c r="D20" s="252" t="inlineStr">
        <is>
          <t>Art. 37 Bis 3</t>
        </is>
      </c>
      <c r="E20" s="252" t="inlineStr">
        <is>
          <t>Procedimiento y periodicidad de actualización, responsable, control de versiones y atención a los ajustes que señale el SAT.</t>
        </is>
      </c>
      <c r="F20" s="253" t="inlineStr">
        <is>
          <t>No</t>
        </is>
      </c>
      <c r="G20" s="254" t="inlineStr">
        <is>
          <t>Cumple mayoritariamente</t>
        </is>
      </c>
      <c r="H20" s="255">
        <f>IF($G20="","",IF($G20="No aplica","",IF(OR($I20="",$J20=""),0,IFERROR(INDEX(PARAMETROS!$I$15:$I$18,MATCH($G20,PARAMETROS!$H$15:$H$18,0)),0))))</f>
        <v/>
      </c>
      <c r="I20" s="254" t="inlineStr">
        <is>
          <t>Manual, numeral 12.1</t>
        </is>
      </c>
      <c r="J20" s="254" t="inlineStr">
        <is>
          <t>Control de versiones del Manual; falta fijar la periodicidad mínima de revisión.</t>
        </is>
      </c>
      <c r="K20" s="254" t="n"/>
      <c r="L20" s="256">
        <f>IF($G20="","Falta calificar esta obligación del Manual (Art. 37 Bis).",IF($G20="No aplica",IF($K20="","Exclusión sin constancia en el Manual: el Art. 37 Bis 2 exige hacerla constar por escrito.",""),IF($G20="No cumple","No cumple: puede actualizar una sanción (Art. 48 fr. IV). Llévalo al plan de acción de A8.",IF(OR($I20="",$J20=""),"Sin numeral del Manual o sin evidencia de aplicación efectiva: la obligación computa 0% (Art. 10 Septies 1, fr. III).",""))))</f>
        <v/>
      </c>
    </row>
    <row r="23" ht="15" customHeight="1" s="173">
      <c r="B23" s="194" t="inlineStr">
        <is>
          <t>RESULTADO DEL CATÁLOGO — ESTA ES LA MITIGACIÓN DE TODA LA MATRIZ</t>
        </is>
      </c>
    </row>
    <row r="24" ht="15" customHeight="1" s="173">
      <c r="B24" s="196" t="inlineStr">
        <is>
          <t>Obligaciones del catálogo (Art. 37 Bis):</t>
        </is>
      </c>
      <c r="F24" s="257">
        <f>COUNTA($B$7:$B$20)</f>
        <v/>
      </c>
    </row>
    <row r="25" ht="15" customHeight="1" s="173">
      <c r="B25" s="196" t="inlineStr">
        <is>
          <t>Excluidas por «No aplica» (Art. 37 Bis 2):</t>
        </is>
      </c>
      <c r="F25" s="257">
        <f>COUNTIF($G$7:$G$20,"No aplica")</f>
        <v/>
      </c>
    </row>
    <row r="26" ht="15" customHeight="1" s="173">
      <c r="B26" s="196" t="inlineStr">
        <is>
          <t>Obligaciones exigibles — denominador:</t>
        </is>
      </c>
      <c r="F26" s="257">
        <f>$F$24-$F$25</f>
        <v/>
      </c>
    </row>
    <row r="27" ht="15" customHeight="1" s="173">
      <c r="B27" s="196" t="inlineStr">
        <is>
          <t>Suma de los porcentajes obtenidos:</t>
        </is>
      </c>
      <c r="F27" s="258">
        <f>SUM($H$7:$H$20)</f>
        <v/>
      </c>
    </row>
    <row r="28" ht="15" customHeight="1" s="173">
      <c r="B28" s="194" t="inlineStr">
        <is>
          <t>EFECTIVIDAD DE LOS MITIGANTES:</t>
        </is>
      </c>
      <c r="F28" s="259">
        <f>IFERROR($F$27/$F$26,0)</f>
        <v/>
      </c>
    </row>
    <row r="29" ht="15" customHeight="1" s="173">
      <c r="B29" s="196" t="inlineStr">
        <is>
          <t>Tope máximo de reducción (PARÁMETROS C30):</t>
        </is>
      </c>
      <c r="F29" s="260">
        <f>PARAMETROS!$C$30</f>
        <v/>
      </c>
    </row>
    <row r="30" ht="15" customHeight="1" s="173">
      <c r="B30" s="194" t="inlineStr">
        <is>
          <t>REDUCCIÓN QUE SE APLICARÁ AL RIESGO INHERENTE:</t>
        </is>
      </c>
      <c r="F30" s="259">
        <f>$F$28*$F$29</f>
        <v/>
      </c>
    </row>
    <row r="32" ht="15" customHeight="1" s="173">
      <c r="B32" s="194" t="inlineStr">
        <is>
          <t>ALERTAS DEL CATÁLOGO</t>
        </is>
      </c>
    </row>
    <row r="33" ht="15" customHeight="1" s="173">
      <c r="B33" s="196" t="inlineStr">
        <is>
          <t>Obligaciones en «No cumple»:</t>
        </is>
      </c>
      <c r="F33" s="261">
        <f>COUNTIF($G$7:$G$20,"No cumple")</f>
        <v/>
      </c>
    </row>
    <row r="34" ht="15" customHeight="1" s="173">
      <c r="B34" s="196" t="inlineStr">
        <is>
          <t>Exclusiones sin constancia en el Manual:</t>
        </is>
      </c>
      <c r="F34" s="261">
        <f>SUMPRODUCT(--($G$7:$G$20="No aplica"),--($K$7:$K$20=""))</f>
        <v/>
      </c>
    </row>
    <row r="35" ht="15" customHeight="1" s="173">
      <c r="B35" s="196" t="inlineStr">
        <is>
          <t>Obligaciones sin numeral del Manual o sin evidencia:</t>
        </is>
      </c>
      <c r="F35" s="261">
        <f>SUMPRODUCT(--($G$7:$G$20&lt;&gt;""),--($G$7:$G$20&lt;&gt;"No aplica"),--((($I$7:$I$20="")+($J$7:$J$20=""))&gt;0))</f>
        <v/>
      </c>
    </row>
    <row r="36" ht="15" customHeight="1" s="173">
      <c r="B36" s="196" t="inlineStr">
        <is>
          <t>Obligaciones sin calificar:</t>
        </is>
      </c>
      <c r="F36" s="261">
        <f>COUNTBLANK($G$7:$G$20)</f>
        <v/>
      </c>
    </row>
    <row r="38" ht="168" customHeight="1" s="173">
      <c r="B38" s="200">
        <f>IF($F$33&gt;0,"Hay "&amp;$F$33&amp;" obligación(es) en «No cumple». El Art. 48 fr. IV las define como incumplimiento que puede actualizar una sanción: no basta con que bajen el promedio, deben ir al plan de acción de A8.",IF($F$36&gt;0,"Faltan "&amp;$F$36&amp;" obligación(es) por calificar. Mientras no las califiques computan 0% y tu residual sale más alto de lo real.","Catálogo completo: las 14 obligaciones están calificadas y ninguna está en «No cumple»."))</f>
        <v/>
      </c>
    </row>
    <row r="40" ht="324" customHeight="1" s="173">
      <c r="B40" s="240" t="inlineStr">
        <is>
          <t>Cómo se calcula: Efectividad = suma de los porcentajes ÷ obligaciones exigibles. El denominador es fijo (14) y solo baja cuando una obligación es «No aplica». Por eso registrar menos controles ya NO mejora el resultado: lo empeora.</t>
        </is>
      </c>
    </row>
    <row r="41" ht="548.25" customHeight="1" s="173">
      <c r="B41" s="240" t="inlineStr">
        <is>
          <t>Sólo las fracciones V, VIII y X admiten «No aplica», y de forma condicionada: V para quien opera exclusivamente con Clientes ocasionales sin Relación de Negocios; VIII para las fracciones cuyo umbral no admite acumulación; X para la persona física que realiza la Actividad Vulnerable sin estructura, porque el Art. 20 de la Ley ata la designación a las personas morales. Las otras once no admiten exclusión.</t>
        </is>
      </c>
    </row>
    <row r="42" ht="324" customHeight="1" s="173">
      <c r="B42" s="240" t="inlineStr">
        <is>
          <t>El Art. 48 fr. V exige que el auditor verifique que la exclusión no actualice un incumplimiento y que sea consistente con el análisis de Riesgos. Por eso la justificación pide el numeral del Manual donde consta la exención, no un texto libre.</t>
        </is>
      </c>
    </row>
    <row r="43" ht="387" customHeight="1" s="173">
      <c r="B43" s="240" t="inlineStr">
        <is>
          <t>Una obligación cubierta en el papel pero sin evidencia de aplicación efectiva computa 0%: el Art. 10 Septies 1, fr. III habla de los mitigantes «así como su efectiva aplicación». Control diseñado, control implementado y control operando son tres estados distintos y se prueban distinto.</t>
        </is>
      </c>
    </row>
    <row r="44" ht="351" customHeight="1" s="173">
      <c r="B44" s="240" t="inlineStr">
        <is>
          <t>Pendiente declarado: la columna «Qué se espera» es todavía guía común a las 30 fracciones. El anexo sectorial —qué se espera en cada obligación según tu Actividad Vulnerable— es el siguiente entregable y no altera el denominador ni el cálculo.</t>
        </is>
      </c>
    </row>
  </sheetData>
  <conditionalFormatting sqref="G7:G20">
    <cfRule type="expression" rank="0" priority="2" equalAverage="0" aboveAverage="0" dxfId="0" text="" percent="0" bottom="0">
      <formula>$G7="No cumple"</formula>
    </cfRule>
    <cfRule type="expression" rank="0" priority="3" equalAverage="0" aboveAverage="0" dxfId="7" text="" percent="0" bottom="0">
      <formula>$G7=""</formula>
    </cfRule>
  </conditionalFormatting>
  <dataValidations count="2">
    <dataValidation sqref="G7:G10 G12:G13 G15 G17:G20" showDropDown="0" showInputMessage="0" showErrorMessage="0" allowBlank="1" type="list" errorStyle="stop" operator="between">
      <formula1>"Cumple,Cumple mayoritariamente,Cumple parcialmente,No cumple"</formula1>
      <formula2>0</formula2>
    </dataValidation>
    <dataValidation sqref="G11 G14 G16" showDropDown="0" showInputMessage="0" showErrorMessage="0" allowBlank="1" type="list" errorStyle="stop" operator="between">
      <formula1>"Cumple,Cumple mayoritariamente,Cumple parcialmente,No cumple,No aplica"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FE699"/>
    <outlinePr summaryBelow="1" summaryRight="1"/>
    <pageSetUpPr fitToPage="0"/>
  </sheetPr>
  <dimension ref="B2:L32"/>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26" customWidth="1" style="172" min="2" max="2"/>
    <col width="34" customWidth="1" style="172" min="3" max="3"/>
    <col width="18" customWidth="1" style="172" min="4" max="4"/>
    <col width="13" customWidth="1" style="172" min="5" max="5"/>
    <col width="14" customWidth="1" style="172" min="6" max="6"/>
    <col width="13" customWidth="1" style="172" min="7" max="7"/>
    <col width="18" customWidth="1" style="172" min="8" max="8"/>
    <col width="12" customWidth="1" style="172" min="9" max="9"/>
    <col width="22" customWidth="1" style="172" min="10" max="10"/>
    <col width="40" customWidth="1" style="172" min="11" max="11"/>
    <col width="34" customWidth="1" style="172" min="12" max="12"/>
  </cols>
  <sheetData>
    <row r="2" ht="21.75" customHeight="1" s="173">
      <c r="B2" s="262" t="inlineStr">
        <is>
          <t>A4 BIS · CONTROLES ADICIONALES (por encima del mínimo) — INFORMATIVO</t>
        </is>
      </c>
    </row>
    <row r="3" ht="15" customHeight="1" s="173">
      <c r="B3" s="263" t="inlineStr">
        <is>
          <t>Registra aquí los controles que tienes por encima de las 14 obligaciones del catálogo. Esta hoja NO cambia el resultado: la mitigación se calcula en A4 CONTROLES MINIMOS. Sirve para documentar tu programa completo ante un requerimiento sin alterar el número.</t>
        </is>
      </c>
    </row>
    <row r="4" ht="15" customHeight="1" s="173">
      <c r="B4" s="177" t="inlineStr">
        <is>
          <t>Complemento del paso 6  ·  No entra en el cálculo  ·  Sigue: A5 RESIDUAL</t>
        </is>
      </c>
    </row>
    <row r="6" ht="31.5" customHeight="1" s="173">
      <c r="B6" s="178" t="inlineStr">
        <is>
          <t>#</t>
        </is>
      </c>
      <c r="C6" s="178" t="inlineStr">
        <is>
          <t>Descripción del control</t>
        </is>
      </c>
      <c r="D6" s="178" t="inlineStr">
        <is>
          <t>Elemento que mitiga (informativo)</t>
        </is>
      </c>
      <c r="E6" s="178" t="inlineStr">
        <is>
          <t>Naturaleza</t>
        </is>
      </c>
      <c r="F6" s="178" t="inlineStr">
        <is>
          <t>Automatización</t>
        </is>
      </c>
      <c r="G6" s="178" t="inlineStr">
        <is>
          <t>Frecuencia</t>
        </is>
      </c>
      <c r="H6" s="178" t="inlineStr">
        <is>
          <t>Efectividad</t>
        </is>
      </c>
      <c r="I6" s="178" t="inlineStr">
        <is>
          <t>Efectividad %</t>
        </is>
      </c>
      <c r="J6" s="178" t="inlineStr">
        <is>
          <t>Numeral del Manual que lo prevé</t>
        </is>
      </c>
      <c r="K6" s="178" t="inlineStr">
        <is>
          <t>Evidencia de aplicación efectiva y dónde se resguarda</t>
        </is>
      </c>
      <c r="L6" s="178" t="inlineStr">
        <is>
          <t>Aviso</t>
        </is>
      </c>
    </row>
    <row r="7" ht="42" customHeight="1" s="173">
      <c r="B7" s="264" t="n">
        <v>1</v>
      </c>
      <c r="C7" s="350" t="inlineStr">
        <is>
          <t>El sistema valida a cada Cliente, a su Beneficiario Controlador y a los apoderados contra la lista de personas bloqueadas del Art. 38 y las listas internacionales, en cada operación y no sólo al alta.</t>
        </is>
      </c>
      <c r="D7" s="266" t="inlineStr">
        <is>
          <t>2</t>
        </is>
      </c>
      <c r="E7" s="266" t="inlineStr">
        <is>
          <t>Preventivo</t>
        </is>
      </c>
      <c r="F7" s="266" t="inlineStr">
        <is>
          <t>Automático</t>
        </is>
      </c>
      <c r="G7" s="266" t="inlineStr">
        <is>
          <t>Permanente</t>
        </is>
      </c>
      <c r="H7" s="266" t="inlineStr">
        <is>
          <t>Cumple</t>
        </is>
      </c>
      <c r="I7" s="267">
        <f>IF($H7="","",IF(OR($J7="",$K7=""),0,IFERROR(INDEX(PARAMETROS!$I$15:$I$18,MATCH($H7,PARAMETROS!$H$15:$H$18,0)),0)))</f>
        <v/>
      </c>
      <c r="J7" s="268" t="inlineStr">
        <is>
          <t>Manual, numeral 6.2</t>
        </is>
      </c>
      <c r="K7" s="348" t="inlineStr">
        <is>
          <t>Bitácora de validación con acuse por operación; 112 corridas conciliadas contra el número de operaciones del periodo.</t>
        </is>
      </c>
      <c r="L7" s="208">
        <f>IF($H7="","",IF(OR($J7="",$K7=""),"Sin numeral del Manual o sin evidencia: el mitigante no acredita aplicación efectiva (Art. 10 Septies 1, fr. III).",""))</f>
        <v/>
      </c>
    </row>
    <row r="8" ht="42" customHeight="1" s="173">
      <c r="B8" s="264" t="n">
        <v>2</v>
      </c>
      <c r="C8" s="350" t="inlineStr">
        <is>
          <t>Política de aceptación de efectivo con umbral interno de 150,000 pesos por operación, por debajo del umbral de aviso, con validación del origen y autorización escrita de la Encargada de Cumplimiento por encima de ese monto.</t>
        </is>
      </c>
      <c r="D8" s="266" t="inlineStr">
        <is>
          <t>4</t>
        </is>
      </c>
      <c r="E8" s="266" t="inlineStr">
        <is>
          <t>Preventivo</t>
        </is>
      </c>
      <c r="F8" s="266" t="inlineStr">
        <is>
          <t>Semiautomático</t>
        </is>
      </c>
      <c r="G8" s="266" t="inlineStr">
        <is>
          <t>Permanente</t>
        </is>
      </c>
      <c r="H8" s="266" t="inlineStr">
        <is>
          <t>Cumple mayoritariamente</t>
        </is>
      </c>
      <c r="I8" s="267">
        <f>IF($H8="","",IF(OR($J8="",$K8=""),0,IFERROR(INDEX(PARAMETROS!$I$15:$I$18,MATCH($H8,PARAMETROS!$H$15:$H$18,0)),0)))</f>
        <v/>
      </c>
      <c r="J8" s="268" t="inlineStr">
        <is>
          <t>Manual, numeral 7.1</t>
        </is>
      </c>
      <c r="K8" s="348" t="inlineStr">
        <is>
          <t>Reporte mensual de excepciones firmado; faltan las autorizaciones de dos operaciones de mayo de 2026.</t>
        </is>
      </c>
      <c r="L8" s="208">
        <f>IF($H8="","",IF(OR($J8="",$K8=""),"Sin numeral del Manual o sin evidencia: el mitigante no acredita aplicación efectiva (Art. 10 Septies 1, fr. III).",""))</f>
        <v/>
      </c>
    </row>
    <row r="9" ht="21.75" customHeight="1" s="173">
      <c r="B9" s="264" t="n">
        <v>3</v>
      </c>
      <c r="C9" s="350" t="inlineStr">
        <is>
          <t>Verificación de la constitución y del objeto social de toda persona moral compradora en el registro electrónico de la Secretaría de Economía, antes de la firma.</t>
        </is>
      </c>
      <c r="D9" s="266" t="inlineStr">
        <is>
          <t>2</t>
        </is>
      </c>
      <c r="E9" s="266" t="inlineStr">
        <is>
          <t>Preventivo</t>
        </is>
      </c>
      <c r="F9" s="266" t="inlineStr">
        <is>
          <t>Manual</t>
        </is>
      </c>
      <c r="G9" s="266" t="inlineStr">
        <is>
          <t>Permanente</t>
        </is>
      </c>
      <c r="H9" s="266" t="inlineStr">
        <is>
          <t>Cumple</t>
        </is>
      </c>
      <c r="I9" s="267">
        <f>IF($H9="","",IF(OR($J9="",$K9=""),0,IFERROR(INDEX(PARAMETROS!$I$15:$I$18,MATCH($H9,PARAMETROS!$H$15:$H$18,0)),0)))</f>
        <v/>
      </c>
      <c r="J9" s="268" t="inlineStr">
        <is>
          <t>Manual, numeral 4.2</t>
        </is>
      </c>
      <c r="K9" s="348" t="inlineStr">
        <is>
          <t>Impresión del folio electrónico mercantil integrada a los 31 expedientes de persona moral del periodo.</t>
        </is>
      </c>
      <c r="L9" s="208">
        <f>IF($H9="","",IF(OR($J9="",$K9=""),"Sin numeral del Manual o sin evidencia: el mitigante no acredita aplicación efectiva (Art. 10 Septies 1, fr. III).",""))</f>
        <v/>
      </c>
    </row>
    <row r="10" ht="21.75" customHeight="1" s="173">
      <c r="B10" s="264" t="n">
        <v>4</v>
      </c>
      <c r="C10" s="350" t="inlineStr">
        <is>
          <t>Regla de cuatro ojos: ninguna operación que supere el umbral de aviso se firma sin visto bueno documentado de la Encargada de Cumplimiento, además del ejecutivo de venta.</t>
        </is>
      </c>
      <c r="D10" s="266" t="inlineStr">
        <is>
          <t>1</t>
        </is>
      </c>
      <c r="E10" s="266" t="inlineStr">
        <is>
          <t>Preventivo</t>
        </is>
      </c>
      <c r="F10" s="266" t="inlineStr">
        <is>
          <t>Manual</t>
        </is>
      </c>
      <c r="G10" s="266" t="inlineStr">
        <is>
          <t>Permanente</t>
        </is>
      </c>
      <c r="H10" s="266" t="inlineStr">
        <is>
          <t>Cumple</t>
        </is>
      </c>
      <c r="I10" s="267">
        <f>IF($H10="","",IF(OR($J10="",$K10=""),0,IFERROR(INDEX(PARAMETROS!$I$15:$I$18,MATCH($H10,PARAMETROS!$H$15:$H$18,0)),0)))</f>
        <v/>
      </c>
      <c r="J10" s="268" t="inlineStr">
        <is>
          <t>Manual, numeral 5.1</t>
        </is>
      </c>
      <c r="K10" s="348" t="inlineStr">
        <is>
          <t>Cédula de doble firma en las 47 operaciones del periodo que superaron el umbral.</t>
        </is>
      </c>
      <c r="L10" s="208">
        <f>IF($H10="","",IF(OR($J10="",$K10=""),"Sin numeral del Manual o sin evidencia: el mitigante no acredita aplicación efectiva (Art. 10 Septies 1, fr. III).",""))</f>
        <v/>
      </c>
    </row>
    <row r="11" ht="21.75" customHeight="1" s="173">
      <c r="B11" s="264" t="n">
        <v>5</v>
      </c>
      <c r="C11" s="350" t="inlineStr">
        <is>
          <t>Alerta automática cuando el pago proviene de un tercero distinto del comprador o de una cuenta no declarada en el expediente.</t>
        </is>
      </c>
      <c r="D11" s="266" t="inlineStr">
        <is>
          <t>4</t>
        </is>
      </c>
      <c r="E11" s="266" t="inlineStr">
        <is>
          <t>Detectivo</t>
        </is>
      </c>
      <c r="F11" s="266" t="inlineStr">
        <is>
          <t>Automático</t>
        </is>
      </c>
      <c r="G11" s="266" t="inlineStr">
        <is>
          <t>Permanente</t>
        </is>
      </c>
      <c r="H11" s="266" t="inlineStr">
        <is>
          <t>Cumple mayoritariamente</t>
        </is>
      </c>
      <c r="I11" s="267">
        <f>IF($H11="","",IF(OR($J11="",$K11=""),0,IFERROR(INDEX(PARAMETROS!$I$15:$I$18,MATCH($H11,PARAMETROS!$H$15:$H$18,0)),0)))</f>
        <v/>
      </c>
      <c r="J11" s="268" t="inlineStr">
        <is>
          <t>Manual, numeral 6.4</t>
        </is>
      </c>
      <c r="K11" s="348" t="inlineStr">
        <is>
          <t>Se dispararon 7 alertas en el periodo; 5 tienen dictamen documentado y 2 siguen en análisis.</t>
        </is>
      </c>
      <c r="L11" s="208">
        <f>IF($H11="","",IF(OR($J11="",$K11=""),"Sin numeral del Manual o sin evidencia: el mitigante no acredita aplicación efectiva (Art. 10 Septies 1, fr. III).",""))</f>
        <v/>
      </c>
    </row>
    <row r="12" ht="21.75" customHeight="1" s="173">
      <c r="B12" s="264" t="n">
        <v>6</v>
      </c>
      <c r="C12" s="350" t="inlineStr">
        <is>
          <t>Capacitación específica de fuerza de ventas sobre señales de alerta en preventa, adicional al programa anual obligatorio.</t>
        </is>
      </c>
      <c r="D12" s="266" t="inlineStr">
        <is>
          <t>2</t>
        </is>
      </c>
      <c r="E12" s="266" t="inlineStr">
        <is>
          <t>Preventivo</t>
        </is>
      </c>
      <c r="F12" s="266" t="inlineStr">
        <is>
          <t>Manual</t>
        </is>
      </c>
      <c r="G12" s="266" t="inlineStr">
        <is>
          <t>Periódico</t>
        </is>
      </c>
      <c r="H12" s="266" t="inlineStr">
        <is>
          <t>Cumple mayoritariamente</t>
        </is>
      </c>
      <c r="I12" s="267">
        <f>IF($H12="","",IF(OR($J12="",$K12=""),0,IFERROR(INDEX(PARAMETROS!$I$15:$I$18,MATCH($H12,PARAMETROS!$H$15:$H$18,0)),0)))</f>
        <v/>
      </c>
      <c r="J12" s="268" t="inlineStr">
        <is>
          <t>Manual, numeral 9.2</t>
        </is>
      </c>
      <c r="K12" s="348" t="inlineStr">
        <is>
          <t>Lista de asistencia de la sesión de marzo de 2026; cubrió a 9 de los 11 ejecutivos.</t>
        </is>
      </c>
      <c r="L12" s="208">
        <f>IF($H12="","",IF(OR($J12="",$K12=""),"Sin numeral del Manual o sin evidencia: el mitigante no acredita aplicación efectiva (Art. 10 Septies 1, fr. III).",""))</f>
        <v/>
      </c>
    </row>
    <row r="13" ht="21.75" customHeight="1" s="173">
      <c r="B13" s="264" t="n">
        <v>7</v>
      </c>
      <c r="C13" s="265" t="n"/>
      <c r="D13" s="266" t="n"/>
      <c r="E13" s="266" t="n"/>
      <c r="F13" s="266" t="n"/>
      <c r="G13" s="266" t="n"/>
      <c r="H13" s="266" t="n"/>
      <c r="I13" s="267">
        <f>IF($H13="","",IF(OR($J13="",$K13=""),0,IFERROR(INDEX(PARAMETROS!$I$15:$I$18,MATCH($H13,PARAMETROS!$H$15:$H$18,0)),0)))</f>
        <v/>
      </c>
      <c r="J13" s="268" t="n"/>
      <c r="K13" s="268" t="n"/>
      <c r="L13" s="208">
        <f>IF($H13="","",IF(OR($J13="",$K13=""),"Sin numeral del Manual o sin evidencia: el mitigante no acredita aplicación efectiva (Art. 10 Septies 1, fr. III).",""))</f>
        <v/>
      </c>
    </row>
    <row r="14" ht="21.75" customHeight="1" s="173">
      <c r="B14" s="264" t="n">
        <v>8</v>
      </c>
      <c r="C14" s="265" t="n"/>
      <c r="D14" s="266" t="n"/>
      <c r="E14" s="266" t="n"/>
      <c r="F14" s="266" t="n"/>
      <c r="G14" s="266" t="n"/>
      <c r="H14" s="266" t="n"/>
      <c r="I14" s="267">
        <f>IF($H14="","",IF(OR($J14="",$K14=""),0,IFERROR(INDEX(PARAMETROS!$I$15:$I$18,MATCH($H14,PARAMETROS!$H$15:$H$18,0)),0)))</f>
        <v/>
      </c>
      <c r="J14" s="268" t="n"/>
      <c r="K14" s="268" t="n"/>
      <c r="L14" s="208">
        <f>IF($H14="","",IF(OR($J14="",$K14=""),"Sin numeral del Manual o sin evidencia: el mitigante no acredita aplicación efectiva (Art. 10 Septies 1, fr. III).",""))</f>
        <v/>
      </c>
    </row>
    <row r="15" ht="21.75" customHeight="1" s="173">
      <c r="B15" s="264" t="n">
        <v>9</v>
      </c>
      <c r="C15" s="265" t="n"/>
      <c r="D15" s="266" t="n"/>
      <c r="E15" s="266" t="n"/>
      <c r="F15" s="266" t="n"/>
      <c r="G15" s="266" t="n"/>
      <c r="H15" s="266" t="n"/>
      <c r="I15" s="267">
        <f>IF($H15="","",IF(OR($J15="",$K15=""),0,IFERROR(INDEX(PARAMETROS!$I$15:$I$18,MATCH($H15,PARAMETROS!$H$15:$H$18,0)),0)))</f>
        <v/>
      </c>
      <c r="J15" s="268" t="n"/>
      <c r="K15" s="268" t="n"/>
      <c r="L15" s="208">
        <f>IF($H15="","",IF(OR($J15="",$K15=""),"Sin numeral del Manual o sin evidencia: el mitigante no acredita aplicación efectiva (Art. 10 Septies 1, fr. III).",""))</f>
        <v/>
      </c>
    </row>
    <row r="16" ht="21.75" customHeight="1" s="173">
      <c r="B16" s="264" t="n">
        <v>10</v>
      </c>
      <c r="C16" s="265" t="n"/>
      <c r="D16" s="266" t="n"/>
      <c r="E16" s="266" t="n"/>
      <c r="F16" s="266" t="n"/>
      <c r="G16" s="266" t="n"/>
      <c r="H16" s="266" t="n"/>
      <c r="I16" s="267">
        <f>IF($H16="","",IF(OR($J16="",$K16=""),0,IFERROR(INDEX(PARAMETROS!$I$15:$I$18,MATCH($H16,PARAMETROS!$H$15:$H$18,0)),0)))</f>
        <v/>
      </c>
      <c r="J16" s="268" t="n"/>
      <c r="K16" s="268" t="n"/>
      <c r="L16" s="208">
        <f>IF($H16="","",IF(OR($J16="",$K16=""),"Sin numeral del Manual o sin evidencia: el mitigante no acredita aplicación efectiva (Art. 10 Septies 1, fr. III).",""))</f>
        <v/>
      </c>
    </row>
    <row r="17" ht="21.75" customHeight="1" s="173">
      <c r="B17" s="264" t="n">
        <v>11</v>
      </c>
      <c r="C17" s="265" t="n"/>
      <c r="D17" s="266" t="n"/>
      <c r="E17" s="266" t="n"/>
      <c r="F17" s="266" t="n"/>
      <c r="G17" s="266" t="n"/>
      <c r="H17" s="266" t="n"/>
      <c r="I17" s="267">
        <f>IF($H17="","",IF(OR($J17="",$K17=""),0,IFERROR(INDEX(PARAMETROS!$I$15:$I$18,MATCH($H17,PARAMETROS!$H$15:$H$18,0)),0)))</f>
        <v/>
      </c>
      <c r="J17" s="268" t="n"/>
      <c r="K17" s="268" t="n"/>
      <c r="L17" s="208">
        <f>IF($H17="","",IF(OR($J17="",$K17=""),"Sin numeral del Manual o sin evidencia: el mitigante no acredita aplicación efectiva (Art. 10 Septies 1, fr. III).",""))</f>
        <v/>
      </c>
    </row>
    <row r="18" ht="21.75" customHeight="1" s="173">
      <c r="B18" s="264" t="n">
        <v>12</v>
      </c>
      <c r="C18" s="265" t="n"/>
      <c r="D18" s="266" t="n"/>
      <c r="E18" s="266" t="n"/>
      <c r="F18" s="266" t="n"/>
      <c r="G18" s="266" t="n"/>
      <c r="H18" s="266" t="n"/>
      <c r="I18" s="267">
        <f>IF($H18="","",IF(OR($J18="",$K18=""),0,IFERROR(INDEX(PARAMETROS!$I$15:$I$18,MATCH($H18,PARAMETROS!$H$15:$H$18,0)),0)))</f>
        <v/>
      </c>
      <c r="J18" s="268" t="n"/>
      <c r="K18" s="268" t="n"/>
      <c r="L18" s="208">
        <f>IF($H18="","",IF(OR($J18="",$K18=""),"Sin numeral del Manual o sin evidencia: el mitigante no acredita aplicación efectiva (Art. 10 Septies 1, fr. III).",""))</f>
        <v/>
      </c>
    </row>
    <row r="19" ht="21.75" customHeight="1" s="173">
      <c r="B19" s="264" t="n">
        <v>13</v>
      </c>
      <c r="C19" s="265" t="n"/>
      <c r="D19" s="266" t="n"/>
      <c r="E19" s="266" t="n"/>
      <c r="F19" s="266" t="n"/>
      <c r="G19" s="266" t="n"/>
      <c r="H19" s="266" t="n"/>
      <c r="I19" s="267">
        <f>IF($H19="","",IF(OR($J19="",$K19=""),0,IFERROR(INDEX(PARAMETROS!$I$15:$I$18,MATCH($H19,PARAMETROS!$H$15:$H$18,0)),0)))</f>
        <v/>
      </c>
      <c r="J19" s="268" t="n"/>
      <c r="K19" s="268" t="n"/>
      <c r="L19" s="208">
        <f>IF($H19="","",IF(OR($J19="",$K19=""),"Sin numeral del Manual o sin evidencia: el mitigante no acredita aplicación efectiva (Art. 10 Septies 1, fr. III).",""))</f>
        <v/>
      </c>
    </row>
    <row r="20" ht="21.75" customHeight="1" s="173">
      <c r="B20" s="264" t="n">
        <v>14</v>
      </c>
      <c r="C20" s="265" t="n"/>
      <c r="D20" s="266" t="n"/>
      <c r="E20" s="266" t="n"/>
      <c r="F20" s="266" t="n"/>
      <c r="G20" s="266" t="n"/>
      <c r="H20" s="266" t="n"/>
      <c r="I20" s="267">
        <f>IF($H20="","",IF(OR($J20="",$K20=""),0,IFERROR(INDEX(PARAMETROS!$I$15:$I$18,MATCH($H20,PARAMETROS!$H$15:$H$18,0)),0)))</f>
        <v/>
      </c>
      <c r="J20" s="268" t="n"/>
      <c r="K20" s="268" t="n"/>
      <c r="L20" s="208">
        <f>IF($H20="","",IF(OR($J20="",$K20=""),"Sin numeral del Manual o sin evidencia: el mitigante no acredita aplicación efectiva (Art. 10 Septies 1, fr. III).",""))</f>
        <v/>
      </c>
    </row>
    <row r="21" ht="21.75" customHeight="1" s="173">
      <c r="B21" s="264" t="n">
        <v>15</v>
      </c>
      <c r="C21" s="265" t="n"/>
      <c r="D21" s="266" t="n"/>
      <c r="E21" s="266" t="n"/>
      <c r="F21" s="266" t="n"/>
      <c r="G21" s="266" t="n"/>
      <c r="H21" s="266" t="n"/>
      <c r="I21" s="267">
        <f>IF($H21="","",IF(OR($J21="",$K21=""),0,IFERROR(INDEX(PARAMETROS!$I$15:$I$18,MATCH($H21,PARAMETROS!$H$15:$H$18,0)),0)))</f>
        <v/>
      </c>
      <c r="J21" s="268" t="n"/>
      <c r="K21" s="268" t="n"/>
      <c r="L21" s="208">
        <f>IF($H21="","",IF(OR($J21="",$K21=""),"Sin numeral del Manual o sin evidencia: el mitigante no acredita aplicación efectiva (Art. 10 Septies 1, fr. III).",""))</f>
        <v/>
      </c>
    </row>
    <row r="23" ht="21" customHeight="1" s="173">
      <c r="B23" s="269" t="inlineStr">
        <is>
          <t>ESTOS CONTROLES NO ENTRAN EN EL CÁLCULO</t>
        </is>
      </c>
    </row>
    <row r="24" ht="15" customHeight="1" s="173">
      <c r="B24" s="240" t="inlineStr">
        <is>
          <t>La mitigación se mide contra el catálogo de contenidos mínimos del Manual (Art. 37 Bis), en la hoja A4 CONTROLES MINIMOS. Un control adicional excelente no sube el resultado, y uno adicional deficiente tampoco lo baja: lo que califica es la cobertura de las obligaciones. Documentarlos aquí sí fortalece el expediente.</t>
        </is>
      </c>
      <c r="D24" s="267" t="n"/>
    </row>
    <row r="25" ht="15" customHeight="1" s="173">
      <c r="B25" s="270" t="n"/>
      <c r="D25" s="267" t="n"/>
    </row>
    <row r="26" ht="15" customHeight="1" s="173">
      <c r="B26" s="271" t="n"/>
      <c r="D26" s="272" t="n"/>
    </row>
    <row r="27" ht="15" customHeight="1" s="173">
      <c r="B27" s="202" t="n"/>
      <c r="D27" s="273" t="n"/>
    </row>
    <row r="28" ht="15" customHeight="1" s="173">
      <c r="B28" s="202" t="n"/>
      <c r="D28" s="273" t="n"/>
    </row>
    <row r="30" ht="15" customHeight="1" s="173">
      <c r="B30" s="230" t="inlineStr">
        <is>
          <t>Controles adicionales registrados:</t>
        </is>
      </c>
      <c r="D30" s="229">
        <f>COUNTA($C$7:$C$21)</f>
        <v/>
      </c>
    </row>
    <row r="31" ht="15" customHeight="1" s="173">
      <c r="B31" s="230" t="inlineStr">
        <is>
          <t>Adicionales sin numeral del Manual o sin evidencia:</t>
        </is>
      </c>
      <c r="D31" s="229">
        <f>SUMPRODUCT(--($H$7:$H$21&lt;&gt;""),--((($J$7:$J$21="")+($K$7:$K$21=""))&gt;0))</f>
        <v/>
      </c>
    </row>
    <row r="32" ht="15" customHeight="1" s="173">
      <c r="B32" s="240" t="inlineStr">
        <is>
          <t>Aunque no cuenten para el número, un control que declaras sin numeral ni evidencia es un flanco: el auditor puede preguntar por él. Regístralo completo o no lo registres.</t>
        </is>
      </c>
    </row>
  </sheetData>
  <mergeCells count="4">
    <mergeCell ref="B25:C25"/>
    <mergeCell ref="B24:C24"/>
    <mergeCell ref="B23:G23"/>
    <mergeCell ref="B26:C26"/>
  </mergeCells>
  <conditionalFormatting sqref="J7:K21">
    <cfRule type="expression" rank="0" priority="2" equalAverage="0" aboveAverage="0" dxfId="0" text="" percent="0" bottom="0">
      <formula>AND($H7&lt;&gt;"",J7="")</formula>
    </cfRule>
  </conditionalFormatting>
  <dataValidations count="5">
    <dataValidation sqref="D7:D21" showDropDown="0" showInputMessage="0" showErrorMessage="0" allowBlank="1" type="list" errorStyle="stop" operator="between">
      <formula1>"Todos,1,2,3,4"</formula1>
      <formula2>0</formula2>
    </dataValidation>
    <dataValidation sqref="E7:E21" showDropDown="0" showInputMessage="0" showErrorMessage="0" allowBlank="1" type="list" errorStyle="stop" operator="between">
      <formula1>"Preventivo,Correctivo,Detectivo"</formula1>
      <formula2>0</formula2>
    </dataValidation>
    <dataValidation sqref="F7:F21" showDropDown="0" showInputMessage="0" showErrorMessage="0" allowBlank="1" type="list" errorStyle="stop" operator="between">
      <formula1>"Automático,Semiautomático,Manual"</formula1>
      <formula2>0</formula2>
    </dataValidation>
    <dataValidation sqref="G7:G21" showDropDown="0" showInputMessage="0" showErrorMessage="0" allowBlank="1" type="list" errorStyle="stop" operator="between">
      <formula1>"Permanente,Periódico,Ocasional"</formula1>
      <formula2>0</formula2>
    </dataValidation>
    <dataValidation sqref="H7:H21" showDropDown="0" showInputMessage="0" showErrorMessage="0" allowBlank="1" type="list" errorStyle="stop" operator="between">
      <formula1>"Cumple,Cumple mayoritariamente,Cumple parcialmente,No cumple"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548235"/>
    <outlinePr summaryBelow="1" summaryRight="1"/>
    <pageSetUpPr fitToPage="0"/>
  </sheetPr>
  <dimension ref="B2:I51"/>
  <sheetViews>
    <sheetView showFormulas="0" showGridLines="0" showRowColHeaders="1" showZeros="1" rightToLeft="0" tabSelected="0" showOutlineSymbols="1" defaultGridColor="1" view="normal" topLeftCell="A1" colorId="64" zoomScale="100" zoomScaleNormal="100" zoomScalePageLayoutView="100" workbookViewId="0">
      <pane xSplit="1" ySplit="23" topLeftCell="B24" activePane="bottomRight" state="frozen"/>
      <selection pane="topLeft" activeCell="A1" activeCellId="0" sqref="A1"/>
      <selection pane="topRight" activeCell="B1" activeCellId="0" sqref="B1"/>
      <selection pane="bottomLeft" activeCell="A24" activeCellId="0" sqref="A24"/>
      <selection pane="bottomRight" activeCell="A1" activeCellId="0" sqref="A1"/>
    </sheetView>
  </sheetViews>
  <sheetFormatPr baseColWidth="8" defaultColWidth="8.6796875" defaultRowHeight="15" zeroHeight="0" outlineLevelRow="0"/>
  <cols>
    <col width="2" customWidth="1" style="172" min="1" max="1"/>
    <col width="6" customWidth="1" style="172" min="2" max="2"/>
    <col width="48" customWidth="1" style="172" min="3" max="3"/>
    <col width="13" customWidth="1" style="172" min="4" max="6"/>
    <col width="14" customWidth="1" style="172" min="7" max="7"/>
    <col width="34" customWidth="1" style="172" min="8" max="8"/>
    <col width="11" customWidth="1" style="172" min="9" max="9"/>
  </cols>
  <sheetData>
    <row r="2" ht="21.75" customHeight="1" s="173">
      <c r="B2" s="201" t="inlineStr">
        <is>
          <t>A5 · RIESGO RESIDUAL = Riesgo inherente × (1 − Reducción aplicada)</t>
        </is>
      </c>
    </row>
    <row r="3" ht="15" customHeight="1" s="173">
      <c r="B3" s="202" t="inlineStr">
        <is>
          <t>La mitigación se mide una sola vez, a nivel de la entidad, y se aplica igual a los tres niveles: indicador, elemento y entidad. Si el residual supera tu tolerancia, exige plan de acción (hoja A8).</t>
        </is>
      </c>
    </row>
    <row r="4" ht="15" customHeight="1" s="173">
      <c r="B4" s="177" t="inlineStr">
        <is>
          <t>Paso 7 de 10  ·  Se calcula solo  ·  Sigue: A6 TABLERO</t>
        </is>
      </c>
    </row>
    <row r="5" ht="21" customHeight="1" s="173">
      <c r="B5" s="216" t="inlineStr">
        <is>
          <t>MITIGACIÓN APLICADA — SE CALCULA UNA SOLA VEZ, A NIVEL ENTIDAD</t>
        </is>
      </c>
    </row>
    <row r="6" ht="15" customHeight="1" s="173">
      <c r="B6" s="274" t="inlineStr">
        <is>
          <t>Efectividad de los mitigantes contra el catálogo de 14 obligaciones (hoja A4 CONTROLES MINIMOS):</t>
        </is>
      </c>
      <c r="F6" s="275">
        <f>'A4 CONTROLES MINIMOS'!$F$28</f>
        <v/>
      </c>
    </row>
    <row r="7" ht="15" customHeight="1" s="173">
      <c r="B7" s="274" t="inlineStr">
        <is>
          <t>Tope máximo de reducción (PARÁMETROS, celda C30):</t>
        </is>
      </c>
      <c r="F7" s="267">
        <f>PARAMETROS!$C$30</f>
        <v/>
      </c>
    </row>
    <row r="8" ht="15" customHeight="1" s="173">
      <c r="B8" s="276" t="inlineStr">
        <is>
          <t>Reducción aplicada = Efectividad × Tope:</t>
        </is>
      </c>
      <c r="F8" s="272">
        <f>$F$6*$F$7</f>
        <v/>
      </c>
    </row>
    <row r="9" ht="15" customHeight="1" s="173">
      <c r="B9" s="240" t="inlineStr">
        <is>
          <t>La efectividad se mide contra un denominador fijo: las 14 obligaciones del Art. 37 Bis, menos las excluidas por «No aplica». Una obligación sin registrar computa 0%, y una registrada sin numeral del Manual o sin evidencia de aplicación efectiva también (Art. 10 Septies 1, fr. III). Registrar menos no mejora el resultado.</t>
        </is>
      </c>
    </row>
    <row r="11" ht="21" customHeight="1" s="173">
      <c r="B11" s="216" t="inlineStr">
        <is>
          <t>1 · RIESGO RESIDUAL DE LA ENTIDAD</t>
        </is>
      </c>
    </row>
    <row r="12" ht="27.75" customHeight="1" s="173">
      <c r="B12" s="178" t="inlineStr">
        <is>
          <t>#</t>
        </is>
      </c>
      <c r="C12" s="178" t="inlineStr">
        <is>
          <t>Ámbito evaluado</t>
        </is>
      </c>
      <c r="D12" s="178" t="inlineStr">
        <is>
          <t>Riesgo inh.</t>
        </is>
      </c>
      <c r="E12" s="178" t="inlineStr">
        <is>
          <t>Reducción</t>
        </is>
      </c>
      <c r="F12" s="178" t="inlineStr">
        <is>
          <t>Riesgo resid.</t>
        </is>
      </c>
      <c r="G12" s="178" t="inlineStr">
        <is>
          <t>Nivel</t>
        </is>
      </c>
      <c r="H12" s="178" t="inlineStr">
        <is>
          <t>Tratamiento</t>
        </is>
      </c>
    </row>
    <row r="13" ht="15" customHeight="1" s="173">
      <c r="B13" s="277" t="n"/>
      <c r="C13" s="222" t="inlineStr">
        <is>
          <t>ENTIDAD · resultado ponderado de los 4 elementos</t>
        </is>
      </c>
      <c r="D13" s="278">
        <f>'A3 INHERENTE'!E12</f>
        <v/>
      </c>
      <c r="E13" s="279">
        <f>$F$8</f>
        <v/>
      </c>
      <c r="F13" s="278">
        <f>D13*(1-E13)</f>
        <v/>
      </c>
      <c r="G13" s="277">
        <f>IFERROR(INDEX(PARAMETROS!$E$15:$E$19,MATCH(F13,PARAMETROS!$B$15:$B$19,1)),"")</f>
        <v/>
      </c>
      <c r="H13" s="280">
        <f>IF(G13="","",IFERROR(IF(MATCH(G13,PARAMETROS!$E$15:$E$19,0)&gt;MATCH(PARAMETROS!$C$25,PARAMETROS!$E$15:$E$19,0),"Plan de acción / mitigar","Aceptable / monitorear"),"Declara el nivel de tolerancia en PARÁMETROS C25"))</f>
        <v/>
      </c>
    </row>
    <row r="15" ht="21" customHeight="1" s="173">
      <c r="B15" s="216" t="inlineStr">
        <is>
          <t>2 · RIESGO RESIDUAL POR ELEMENTO (Art. 10 Septies 1, fr. I)</t>
        </is>
      </c>
    </row>
    <row r="16" ht="27.75" customHeight="1" s="173">
      <c r="B16" s="178" t="inlineStr">
        <is>
          <t>#</t>
        </is>
      </c>
      <c r="C16" s="178" t="inlineStr">
        <is>
          <t>Ámbito evaluado</t>
        </is>
      </c>
      <c r="D16" s="178" t="inlineStr">
        <is>
          <t>Riesgo inh.</t>
        </is>
      </c>
      <c r="E16" s="178" t="inlineStr">
        <is>
          <t>Reducción</t>
        </is>
      </c>
      <c r="F16" s="178" t="inlineStr">
        <is>
          <t>Riesgo resid.</t>
        </is>
      </c>
      <c r="G16" s="178" t="inlineStr">
        <is>
          <t>Nivel</t>
        </is>
      </c>
      <c r="H16" s="178" t="inlineStr">
        <is>
          <t>Tratamiento</t>
        </is>
      </c>
    </row>
    <row r="17" ht="15" customHeight="1" s="173">
      <c r="B17" s="238" t="n">
        <v>1</v>
      </c>
      <c r="C17" s="236" t="inlineStr">
        <is>
          <t>1. Actos u operaciones</t>
        </is>
      </c>
      <c r="D17" s="237">
        <f>'A3 INHERENTE'!E7</f>
        <v/>
      </c>
      <c r="E17" s="267">
        <f>$F$8</f>
        <v/>
      </c>
      <c r="F17" s="237">
        <f>D17*(1-E17)</f>
        <v/>
      </c>
      <c r="G17" s="238">
        <f>IFERROR(INDEX(PARAMETROS!$E$15:$E$19,MATCH(F17,PARAMETROS!$B$15:$B$19,1)),"")</f>
        <v/>
      </c>
      <c r="H17" s="236">
        <f>IF(G17="","",IFERROR(IF(MATCH(G17,PARAMETROS!$E$15:$E$19,0)&gt;MATCH(PARAMETROS!$C$25,PARAMETROS!$E$15:$E$19,0),"Plan de acción / mitigar","Aceptable / monitorear"),"Declara el nivel de tolerancia en PARÁMETROS C25"))</f>
        <v/>
      </c>
    </row>
    <row r="18" ht="15" customHeight="1" s="173">
      <c r="B18" s="238" t="n">
        <v>2</v>
      </c>
      <c r="C18" s="236" t="inlineStr">
        <is>
          <t>2. Clientes / Usuarios</t>
        </is>
      </c>
      <c r="D18" s="237">
        <f>'A3 INHERENTE'!E8</f>
        <v/>
      </c>
      <c r="E18" s="267">
        <f>$F$8</f>
        <v/>
      </c>
      <c r="F18" s="237">
        <f>D18*(1-E18)</f>
        <v/>
      </c>
      <c r="G18" s="238">
        <f>IFERROR(INDEX(PARAMETROS!$E$15:$E$19,MATCH(F18,PARAMETROS!$B$15:$B$19,1)),"")</f>
        <v/>
      </c>
      <c r="H18" s="236">
        <f>IF(G18="","",IFERROR(IF(MATCH(G18,PARAMETROS!$E$15:$E$19,0)&gt;MATCH(PARAMETROS!$C$25,PARAMETROS!$E$15:$E$19,0),"Plan de acción / mitigar","Aceptable / monitorear"),"Declara el nivel de tolerancia en PARÁMETROS C25"))</f>
        <v/>
      </c>
    </row>
    <row r="19" ht="15" customHeight="1" s="173">
      <c r="B19" s="238" t="n">
        <v>3</v>
      </c>
      <c r="C19" s="236" t="inlineStr">
        <is>
          <t>3. Países y áreas geográficas</t>
        </is>
      </c>
      <c r="D19" s="237">
        <f>'A3 INHERENTE'!E9</f>
        <v/>
      </c>
      <c r="E19" s="267">
        <f>$F$8</f>
        <v/>
      </c>
      <c r="F19" s="237">
        <f>D19*(1-E19)</f>
        <v/>
      </c>
      <c r="G19" s="238">
        <f>IFERROR(INDEX(PARAMETROS!$E$15:$E$19,MATCH(F19,PARAMETROS!$B$15:$B$19,1)),"")</f>
        <v/>
      </c>
      <c r="H19" s="236">
        <f>IF(G19="","",IFERROR(IF(MATCH(G19,PARAMETROS!$E$15:$E$19,0)&gt;MATCH(PARAMETROS!$C$25,PARAMETROS!$E$15:$E$19,0),"Plan de acción / mitigar","Aceptable / monitorear"),"Declara el nivel de tolerancia en PARÁMETROS C25"))</f>
        <v/>
      </c>
    </row>
    <row r="20" ht="15" customHeight="1" s="173">
      <c r="B20" s="238" t="n">
        <v>4</v>
      </c>
      <c r="C20" s="236" t="inlineStr">
        <is>
          <t>4. Transacciones y canales</t>
        </is>
      </c>
      <c r="D20" s="237">
        <f>'A3 INHERENTE'!E10</f>
        <v/>
      </c>
      <c r="E20" s="267">
        <f>$F$8</f>
        <v/>
      </c>
      <c r="F20" s="237">
        <f>D20*(1-E20)</f>
        <v/>
      </c>
      <c r="G20" s="238">
        <f>IFERROR(INDEX(PARAMETROS!$E$15:$E$19,MATCH(F20,PARAMETROS!$B$15:$B$19,1)),"")</f>
        <v/>
      </c>
      <c r="H20" s="236">
        <f>IF(G20="","",IFERROR(IF(MATCH(G20,PARAMETROS!$E$15:$E$19,0)&gt;MATCH(PARAMETROS!$C$25,PARAMETROS!$E$15:$E$19,0),"Plan de acción / mitigar","Aceptable / monitorear"),"Declara el nivel de tolerancia en PARÁMETROS C25"))</f>
        <v/>
      </c>
    </row>
    <row r="22" ht="21" customHeight="1" s="173">
      <c r="B22" s="216" t="inlineStr">
        <is>
          <t>3 · RIESGO RESIDUAL POR INDICADOR (Art. 10 Septies 1, fr. II)</t>
        </is>
      </c>
    </row>
    <row r="23" ht="27.75" customHeight="1" s="173">
      <c r="B23" s="178" t="inlineStr">
        <is>
          <t>#</t>
        </is>
      </c>
      <c r="C23" s="178" t="inlineStr">
        <is>
          <t>Ámbito evaluado</t>
        </is>
      </c>
      <c r="D23" s="178" t="inlineStr">
        <is>
          <t>Riesgo inh.</t>
        </is>
      </c>
      <c r="E23" s="178" t="inlineStr">
        <is>
          <t>Reducción</t>
        </is>
      </c>
      <c r="F23" s="178" t="inlineStr">
        <is>
          <t>Riesgo resid.</t>
        </is>
      </c>
      <c r="G23" s="178" t="inlineStr">
        <is>
          <t>Nivel</t>
        </is>
      </c>
      <c r="H23" s="178" t="inlineStr">
        <is>
          <t>Tratamiento</t>
        </is>
      </c>
      <c r="I23" s="178" t="inlineStr">
        <is>
          <t>Orden</t>
        </is>
      </c>
    </row>
    <row r="24" ht="25.5" customHeight="1" s="173">
      <c r="B24" s="238">
        <f>'A3 INHERENTE'!B16</f>
        <v/>
      </c>
      <c r="C24" s="181">
        <f>'A3 INHERENTE'!C16</f>
        <v/>
      </c>
      <c r="D24" s="237">
        <f>'A3 INHERENTE'!F16</f>
        <v/>
      </c>
      <c r="E24" s="267">
        <f>IF($D24="N/A","",$F$8)</f>
        <v/>
      </c>
      <c r="F24" s="237">
        <f>IF($D24="N/A","N/A",D24*(1-E24))</f>
        <v/>
      </c>
      <c r="G24" s="238">
        <f>IF($D24="N/A","No aplica",IFERROR(INDEX(PARAMETROS!$E$15:$E$19,MATCH(F24,PARAMETROS!$B$15:$B$19,1)),""))</f>
        <v/>
      </c>
      <c r="H24" s="236">
        <f>IF(OR($D24="N/A",$G24=""),"",IFERROR(IF(MATCH($G24,PARAMETROS!$E$15:$E$19,0)&gt;MATCH(PARAMETROS!$C$25,PARAMETROS!$E$15:$E$19,0),"Plan de acción / mitigar","Aceptable / monitorear"),"Declara el nivel de tolerancia en PARÁMETROS C25"))</f>
        <v/>
      </c>
      <c r="I24" s="281">
        <f>IF($D24="N/A",-1,F24+(49-ROW())/100000)</f>
        <v/>
      </c>
    </row>
    <row r="25" ht="25.5" customHeight="1" s="173">
      <c r="B25" s="238">
        <f>'A3 INHERENTE'!B17</f>
        <v/>
      </c>
      <c r="C25" s="181">
        <f>'A3 INHERENTE'!C17</f>
        <v/>
      </c>
      <c r="D25" s="237">
        <f>'A3 INHERENTE'!F17</f>
        <v/>
      </c>
      <c r="E25" s="267">
        <f>IF($D25="N/A","",$F$8)</f>
        <v/>
      </c>
      <c r="F25" s="237">
        <f>IF($D25="N/A","N/A",D25*(1-E25))</f>
        <v/>
      </c>
      <c r="G25" s="238">
        <f>IF($D25="N/A","No aplica",IFERROR(INDEX(PARAMETROS!$E$15:$E$19,MATCH(F25,PARAMETROS!$B$15:$B$19,1)),""))</f>
        <v/>
      </c>
      <c r="H25" s="236">
        <f>IF(OR($D25="N/A",$G25=""),"",IFERROR(IF(MATCH($G25,PARAMETROS!$E$15:$E$19,0)&gt;MATCH(PARAMETROS!$C$25,PARAMETROS!$E$15:$E$19,0),"Plan de acción / mitigar","Aceptable / monitorear"),"Declara el nivel de tolerancia en PARÁMETROS C25"))</f>
        <v/>
      </c>
      <c r="I25" s="281">
        <f>IF($D25="N/A",-1,F25+(49-ROW())/100000)</f>
        <v/>
      </c>
    </row>
    <row r="26" ht="25.5" customHeight="1" s="173">
      <c r="B26" s="238">
        <f>'A3 INHERENTE'!B18</f>
        <v/>
      </c>
      <c r="C26" s="181">
        <f>'A3 INHERENTE'!C18</f>
        <v/>
      </c>
      <c r="D26" s="237">
        <f>'A3 INHERENTE'!F18</f>
        <v/>
      </c>
      <c r="E26" s="267">
        <f>IF($D26="N/A","",$F$8)</f>
        <v/>
      </c>
      <c r="F26" s="237">
        <f>IF($D26="N/A","N/A",D26*(1-E26))</f>
        <v/>
      </c>
      <c r="G26" s="238">
        <f>IF($D26="N/A","No aplica",IFERROR(INDEX(PARAMETROS!$E$15:$E$19,MATCH(F26,PARAMETROS!$B$15:$B$19,1)),""))</f>
        <v/>
      </c>
      <c r="H26" s="236">
        <f>IF(OR($D26="N/A",$G26=""),"",IFERROR(IF(MATCH($G26,PARAMETROS!$E$15:$E$19,0)&gt;MATCH(PARAMETROS!$C$25,PARAMETROS!$E$15:$E$19,0),"Plan de acción / mitigar","Aceptable / monitorear"),"Declara el nivel de tolerancia en PARÁMETROS C25"))</f>
        <v/>
      </c>
      <c r="I26" s="281">
        <f>IF($D26="N/A",-1,F26+(49-ROW())/100000)</f>
        <v/>
      </c>
    </row>
    <row r="27" ht="25.5" customHeight="1" s="173">
      <c r="B27" s="238">
        <f>'A3 INHERENTE'!B19</f>
        <v/>
      </c>
      <c r="C27" s="181">
        <f>'A3 INHERENTE'!C19</f>
        <v/>
      </c>
      <c r="D27" s="237">
        <f>'A3 INHERENTE'!F19</f>
        <v/>
      </c>
      <c r="E27" s="267">
        <f>IF($D27="N/A","",$F$8)</f>
        <v/>
      </c>
      <c r="F27" s="237">
        <f>IF($D27="N/A","N/A",D27*(1-E27))</f>
        <v/>
      </c>
      <c r="G27" s="238">
        <f>IF($D27="N/A","No aplica",IFERROR(INDEX(PARAMETROS!$E$15:$E$19,MATCH(F27,PARAMETROS!$B$15:$B$19,1)),""))</f>
        <v/>
      </c>
      <c r="H27" s="236">
        <f>IF(OR($D27="N/A",$G27=""),"",IFERROR(IF(MATCH($G27,PARAMETROS!$E$15:$E$19,0)&gt;MATCH(PARAMETROS!$C$25,PARAMETROS!$E$15:$E$19,0),"Plan de acción / mitigar","Aceptable / monitorear"),"Declara el nivel de tolerancia en PARÁMETROS C25"))</f>
        <v/>
      </c>
      <c r="I27" s="281">
        <f>IF($D27="N/A",-1,F27+(49-ROW())/100000)</f>
        <v/>
      </c>
    </row>
    <row r="28" ht="25.5" customHeight="1" s="173">
      <c r="B28" s="238">
        <f>'A3 INHERENTE'!B20</f>
        <v/>
      </c>
      <c r="C28" s="181">
        <f>'A3 INHERENTE'!C20</f>
        <v/>
      </c>
      <c r="D28" s="237">
        <f>'A3 INHERENTE'!F20</f>
        <v/>
      </c>
      <c r="E28" s="267">
        <f>IF($D28="N/A","",$F$8)</f>
        <v/>
      </c>
      <c r="F28" s="237">
        <f>IF($D28="N/A","N/A",D28*(1-E28))</f>
        <v/>
      </c>
      <c r="G28" s="238">
        <f>IF($D28="N/A","No aplica",IFERROR(INDEX(PARAMETROS!$E$15:$E$19,MATCH(F28,PARAMETROS!$B$15:$B$19,1)),""))</f>
        <v/>
      </c>
      <c r="H28" s="236">
        <f>IF(OR($D28="N/A",$G28=""),"",IFERROR(IF(MATCH($G28,PARAMETROS!$E$15:$E$19,0)&gt;MATCH(PARAMETROS!$C$25,PARAMETROS!$E$15:$E$19,0),"Plan de acción / mitigar","Aceptable / monitorear"),"Declara el nivel de tolerancia en PARÁMETROS C25"))</f>
        <v/>
      </c>
      <c r="I28" s="281">
        <f>IF($D28="N/A",-1,F28+(49-ROW())/100000)</f>
        <v/>
      </c>
    </row>
    <row r="29" ht="25.5" customHeight="1" s="173">
      <c r="B29" s="238">
        <f>'A3 INHERENTE'!B21</f>
        <v/>
      </c>
      <c r="C29" s="181">
        <f>'A3 INHERENTE'!C21</f>
        <v/>
      </c>
      <c r="D29" s="237">
        <f>'A3 INHERENTE'!F21</f>
        <v/>
      </c>
      <c r="E29" s="267">
        <f>IF($D29="N/A","",$F$8)</f>
        <v/>
      </c>
      <c r="F29" s="237">
        <f>IF($D29="N/A","N/A",D29*(1-E29))</f>
        <v/>
      </c>
      <c r="G29" s="238">
        <f>IF($D29="N/A","No aplica",IFERROR(INDEX(PARAMETROS!$E$15:$E$19,MATCH(F29,PARAMETROS!$B$15:$B$19,1)),""))</f>
        <v/>
      </c>
      <c r="H29" s="236">
        <f>IF(OR($D29="N/A",$G29=""),"",IFERROR(IF(MATCH($G29,PARAMETROS!$E$15:$E$19,0)&gt;MATCH(PARAMETROS!$C$25,PARAMETROS!$E$15:$E$19,0),"Plan de acción / mitigar","Aceptable / monitorear"),"Declara el nivel de tolerancia en PARÁMETROS C25"))</f>
        <v/>
      </c>
      <c r="I29" s="281">
        <f>IF($D29="N/A",-1,F29+(49-ROW())/100000)</f>
        <v/>
      </c>
    </row>
    <row r="30" ht="25.5" customHeight="1" s="173">
      <c r="B30" s="238">
        <f>'A3 INHERENTE'!B22</f>
        <v/>
      </c>
      <c r="C30" s="181">
        <f>'A3 INHERENTE'!C22</f>
        <v/>
      </c>
      <c r="D30" s="237">
        <f>'A3 INHERENTE'!F22</f>
        <v/>
      </c>
      <c r="E30" s="267">
        <f>IF($D30="N/A","",$F$8)</f>
        <v/>
      </c>
      <c r="F30" s="237">
        <f>IF($D30="N/A","N/A",D30*(1-E30))</f>
        <v/>
      </c>
      <c r="G30" s="238">
        <f>IF($D30="N/A","No aplica",IFERROR(INDEX(PARAMETROS!$E$15:$E$19,MATCH(F30,PARAMETROS!$B$15:$B$19,1)),""))</f>
        <v/>
      </c>
      <c r="H30" s="236">
        <f>IF(OR($D30="N/A",$G30=""),"",IFERROR(IF(MATCH($G30,PARAMETROS!$E$15:$E$19,0)&gt;MATCH(PARAMETROS!$C$25,PARAMETROS!$E$15:$E$19,0),"Plan de acción / mitigar","Aceptable / monitorear"),"Declara el nivel de tolerancia en PARÁMETROS C25"))</f>
        <v/>
      </c>
      <c r="I30" s="281">
        <f>IF($D30="N/A",-1,F30+(49-ROW())/100000)</f>
        <v/>
      </c>
    </row>
    <row r="31" ht="25.5" customHeight="1" s="173">
      <c r="B31" s="238">
        <f>'A3 INHERENTE'!B23</f>
        <v/>
      </c>
      <c r="C31" s="181">
        <f>'A3 INHERENTE'!C23</f>
        <v/>
      </c>
      <c r="D31" s="237">
        <f>'A3 INHERENTE'!F23</f>
        <v/>
      </c>
      <c r="E31" s="267">
        <f>IF($D31="N/A","",$F$8)</f>
        <v/>
      </c>
      <c r="F31" s="237">
        <f>IF($D31="N/A","N/A",D31*(1-E31))</f>
        <v/>
      </c>
      <c r="G31" s="238">
        <f>IF($D31="N/A","No aplica",IFERROR(INDEX(PARAMETROS!$E$15:$E$19,MATCH(F31,PARAMETROS!$B$15:$B$19,1)),""))</f>
        <v/>
      </c>
      <c r="H31" s="236">
        <f>IF(OR($D31="N/A",$G31=""),"",IFERROR(IF(MATCH($G31,PARAMETROS!$E$15:$E$19,0)&gt;MATCH(PARAMETROS!$C$25,PARAMETROS!$E$15:$E$19,0),"Plan de acción / mitigar","Aceptable / monitorear"),"Declara el nivel de tolerancia en PARÁMETROS C25"))</f>
        <v/>
      </c>
      <c r="I31" s="281">
        <f>IF($D31="N/A",-1,F31+(49-ROW())/100000)</f>
        <v/>
      </c>
    </row>
    <row r="32" ht="25.5" customHeight="1" s="173">
      <c r="B32" s="238">
        <f>'A3 INHERENTE'!B24</f>
        <v/>
      </c>
      <c r="C32" s="181">
        <f>'A3 INHERENTE'!C24</f>
        <v/>
      </c>
      <c r="D32" s="237">
        <f>'A3 INHERENTE'!F24</f>
        <v/>
      </c>
      <c r="E32" s="267">
        <f>IF($D32="N/A","",$F$8)</f>
        <v/>
      </c>
      <c r="F32" s="237">
        <f>IF($D32="N/A","N/A",D32*(1-E32))</f>
        <v/>
      </c>
      <c r="G32" s="238">
        <f>IF($D32="N/A","No aplica",IFERROR(INDEX(PARAMETROS!$E$15:$E$19,MATCH(F32,PARAMETROS!$B$15:$B$19,1)),""))</f>
        <v/>
      </c>
      <c r="H32" s="236">
        <f>IF(OR($D32="N/A",$G32=""),"",IFERROR(IF(MATCH($G32,PARAMETROS!$E$15:$E$19,0)&gt;MATCH(PARAMETROS!$C$25,PARAMETROS!$E$15:$E$19,0),"Plan de acción / mitigar","Aceptable / monitorear"),"Declara el nivel de tolerancia en PARÁMETROS C25"))</f>
        <v/>
      </c>
      <c r="I32" s="281">
        <f>IF($D32="N/A",-1,F32+(49-ROW())/100000)</f>
        <v/>
      </c>
    </row>
    <row r="33" ht="25.5" customHeight="1" s="173">
      <c r="B33" s="238">
        <f>'A3 INHERENTE'!B25</f>
        <v/>
      </c>
      <c r="C33" s="181">
        <f>'A3 INHERENTE'!C25</f>
        <v/>
      </c>
      <c r="D33" s="237">
        <f>'A3 INHERENTE'!F25</f>
        <v/>
      </c>
      <c r="E33" s="267">
        <f>IF($D33="N/A","",$F$8)</f>
        <v/>
      </c>
      <c r="F33" s="237">
        <f>IF($D33="N/A","N/A",D33*(1-E33))</f>
        <v/>
      </c>
      <c r="G33" s="238">
        <f>IF($D33="N/A","No aplica",IFERROR(INDEX(PARAMETROS!$E$15:$E$19,MATCH(F33,PARAMETROS!$B$15:$B$19,1)),""))</f>
        <v/>
      </c>
      <c r="H33" s="236">
        <f>IF(OR($D33="N/A",$G33=""),"",IFERROR(IF(MATCH($G33,PARAMETROS!$E$15:$E$19,0)&gt;MATCH(PARAMETROS!$C$25,PARAMETROS!$E$15:$E$19,0),"Plan de acción / mitigar","Aceptable / monitorear"),"Declara el nivel de tolerancia en PARÁMETROS C25"))</f>
        <v/>
      </c>
      <c r="I33" s="281">
        <f>IF($D33="N/A",-1,F33+(49-ROW())/100000)</f>
        <v/>
      </c>
    </row>
    <row r="34" ht="25.5" customHeight="1" s="173">
      <c r="B34" s="238">
        <f>'A3 INHERENTE'!B26</f>
        <v/>
      </c>
      <c r="C34" s="181">
        <f>'A3 INHERENTE'!C26</f>
        <v/>
      </c>
      <c r="D34" s="237">
        <f>'A3 INHERENTE'!F26</f>
        <v/>
      </c>
      <c r="E34" s="267">
        <f>IF($D34="N/A","",$F$8)</f>
        <v/>
      </c>
      <c r="F34" s="237">
        <f>IF($D34="N/A","N/A",D34*(1-E34))</f>
        <v/>
      </c>
      <c r="G34" s="238">
        <f>IF($D34="N/A","No aplica",IFERROR(INDEX(PARAMETROS!$E$15:$E$19,MATCH(F34,PARAMETROS!$B$15:$B$19,1)),""))</f>
        <v/>
      </c>
      <c r="H34" s="236">
        <f>IF(OR($D34="N/A",$G34=""),"",IFERROR(IF(MATCH($G34,PARAMETROS!$E$15:$E$19,0)&gt;MATCH(PARAMETROS!$C$25,PARAMETROS!$E$15:$E$19,0),"Plan de acción / mitigar","Aceptable / monitorear"),"Declara el nivel de tolerancia en PARÁMETROS C25"))</f>
        <v/>
      </c>
      <c r="I34" s="281">
        <f>IF($D34="N/A",-1,F34+(49-ROW())/100000)</f>
        <v/>
      </c>
    </row>
    <row r="35" ht="25.5" customHeight="1" s="173">
      <c r="B35" s="238">
        <f>'A3 INHERENTE'!B27</f>
        <v/>
      </c>
      <c r="C35" s="181">
        <f>'A3 INHERENTE'!C27</f>
        <v/>
      </c>
      <c r="D35" s="237">
        <f>'A3 INHERENTE'!F27</f>
        <v/>
      </c>
      <c r="E35" s="267">
        <f>IF($D35="N/A","",$F$8)</f>
        <v/>
      </c>
      <c r="F35" s="237">
        <f>IF($D35="N/A","N/A",D35*(1-E35))</f>
        <v/>
      </c>
      <c r="G35" s="238">
        <f>IF($D35="N/A","No aplica",IFERROR(INDEX(PARAMETROS!$E$15:$E$19,MATCH(F35,PARAMETROS!$B$15:$B$19,1)),""))</f>
        <v/>
      </c>
      <c r="H35" s="236">
        <f>IF(OR($D35="N/A",$G35=""),"",IFERROR(IF(MATCH($G35,PARAMETROS!$E$15:$E$19,0)&gt;MATCH(PARAMETROS!$C$25,PARAMETROS!$E$15:$E$19,0),"Plan de acción / mitigar","Aceptable / monitorear"),"Declara el nivel de tolerancia en PARÁMETROS C25"))</f>
        <v/>
      </c>
      <c r="I35" s="281">
        <f>IF($D35="N/A",-1,F35+(49-ROW())/100000)</f>
        <v/>
      </c>
    </row>
    <row r="36" ht="25.5" customHeight="1" s="173">
      <c r="B36" s="238">
        <f>'A3 INHERENTE'!B28</f>
        <v/>
      </c>
      <c r="C36" s="181">
        <f>'A3 INHERENTE'!C28</f>
        <v/>
      </c>
      <c r="D36" s="237">
        <f>'A3 INHERENTE'!F28</f>
        <v/>
      </c>
      <c r="E36" s="267">
        <f>IF($D36="N/A","",$F$8)</f>
        <v/>
      </c>
      <c r="F36" s="237">
        <f>IF($D36="N/A","N/A",D36*(1-E36))</f>
        <v/>
      </c>
      <c r="G36" s="238">
        <f>IF($D36="N/A","No aplica",IFERROR(INDEX(PARAMETROS!$E$15:$E$19,MATCH(F36,PARAMETROS!$B$15:$B$19,1)),""))</f>
        <v/>
      </c>
      <c r="H36" s="236">
        <f>IF(OR($D36="N/A",$G36=""),"",IFERROR(IF(MATCH($G36,PARAMETROS!$E$15:$E$19,0)&gt;MATCH(PARAMETROS!$C$25,PARAMETROS!$E$15:$E$19,0),"Plan de acción / mitigar","Aceptable / monitorear"),"Declara el nivel de tolerancia en PARÁMETROS C25"))</f>
        <v/>
      </c>
      <c r="I36" s="281">
        <f>IF($D36="N/A",-1,F36+(49-ROW())/100000)</f>
        <v/>
      </c>
    </row>
    <row r="37" ht="25.5" customHeight="1" s="173">
      <c r="B37" s="238">
        <f>'A3 INHERENTE'!B29</f>
        <v/>
      </c>
      <c r="C37" s="181">
        <f>'A3 INHERENTE'!C29</f>
        <v/>
      </c>
      <c r="D37" s="237">
        <f>'A3 INHERENTE'!F29</f>
        <v/>
      </c>
      <c r="E37" s="267">
        <f>IF($D37="N/A","",$F$8)</f>
        <v/>
      </c>
      <c r="F37" s="237">
        <f>IF($D37="N/A","N/A",D37*(1-E37))</f>
        <v/>
      </c>
      <c r="G37" s="238">
        <f>IF($D37="N/A","No aplica",IFERROR(INDEX(PARAMETROS!$E$15:$E$19,MATCH(F37,PARAMETROS!$B$15:$B$19,1)),""))</f>
        <v/>
      </c>
      <c r="H37" s="236">
        <f>IF(OR($D37="N/A",$G37=""),"",IFERROR(IF(MATCH($G37,PARAMETROS!$E$15:$E$19,0)&gt;MATCH(PARAMETROS!$C$25,PARAMETROS!$E$15:$E$19,0),"Plan de acción / mitigar","Aceptable / monitorear"),"Declara el nivel de tolerancia en PARÁMETROS C25"))</f>
        <v/>
      </c>
      <c r="I37" s="281">
        <f>IF($D37="N/A",-1,F37+(49-ROW())/100000)</f>
        <v/>
      </c>
    </row>
    <row r="38" ht="25.5" customHeight="1" s="173">
      <c r="B38" s="238">
        <f>'A3 INHERENTE'!B30</f>
        <v/>
      </c>
      <c r="C38" s="181">
        <f>'A3 INHERENTE'!C30</f>
        <v/>
      </c>
      <c r="D38" s="237">
        <f>'A3 INHERENTE'!F30</f>
        <v/>
      </c>
      <c r="E38" s="267">
        <f>IF($D38="N/A","",$F$8)</f>
        <v/>
      </c>
      <c r="F38" s="237">
        <f>IF($D38="N/A","N/A",D38*(1-E38))</f>
        <v/>
      </c>
      <c r="G38" s="238">
        <f>IF($D38="N/A","No aplica",IFERROR(INDEX(PARAMETROS!$E$15:$E$19,MATCH(F38,PARAMETROS!$B$15:$B$19,1)),""))</f>
        <v/>
      </c>
      <c r="H38" s="236">
        <f>IF(OR($D38="N/A",$G38=""),"",IFERROR(IF(MATCH($G38,PARAMETROS!$E$15:$E$19,0)&gt;MATCH(PARAMETROS!$C$25,PARAMETROS!$E$15:$E$19,0),"Plan de acción / mitigar","Aceptable / monitorear"),"Declara el nivel de tolerancia en PARÁMETROS C25"))</f>
        <v/>
      </c>
      <c r="I38" s="281">
        <f>IF($D38="N/A",-1,F38+(49-ROW())/100000)</f>
        <v/>
      </c>
    </row>
    <row r="39" ht="25.5" customHeight="1" s="173">
      <c r="B39" s="238">
        <f>'A3 INHERENTE'!B31</f>
        <v/>
      </c>
      <c r="C39" s="181">
        <f>'A3 INHERENTE'!C31</f>
        <v/>
      </c>
      <c r="D39" s="237">
        <f>'A3 INHERENTE'!F31</f>
        <v/>
      </c>
      <c r="E39" s="267">
        <f>IF($D39="N/A","",$F$8)</f>
        <v/>
      </c>
      <c r="F39" s="237">
        <f>IF($D39="N/A","N/A",D39*(1-E39))</f>
        <v/>
      </c>
      <c r="G39" s="238">
        <f>IF($D39="N/A","No aplica",IFERROR(INDEX(PARAMETROS!$E$15:$E$19,MATCH(F39,PARAMETROS!$B$15:$B$19,1)),""))</f>
        <v/>
      </c>
      <c r="H39" s="236">
        <f>IF(OR($D39="N/A",$G39=""),"",IFERROR(IF(MATCH($G39,PARAMETROS!$E$15:$E$19,0)&gt;MATCH(PARAMETROS!$C$25,PARAMETROS!$E$15:$E$19,0),"Plan de acción / mitigar","Aceptable / monitorear"),"Declara el nivel de tolerancia en PARÁMETROS C25"))</f>
        <v/>
      </c>
      <c r="I39" s="281">
        <f>IF($D39="N/A",-1,F39+(49-ROW())/100000)</f>
        <v/>
      </c>
    </row>
    <row r="40" ht="25.5" customHeight="1" s="173">
      <c r="B40" s="238">
        <f>'A3 INHERENTE'!B32</f>
        <v/>
      </c>
      <c r="C40" s="181">
        <f>'A3 INHERENTE'!C32</f>
        <v/>
      </c>
      <c r="D40" s="237">
        <f>'A3 INHERENTE'!F32</f>
        <v/>
      </c>
      <c r="E40" s="267">
        <f>IF($D40="N/A","",$F$8)</f>
        <v/>
      </c>
      <c r="F40" s="237">
        <f>IF($D40="N/A","N/A",D40*(1-E40))</f>
        <v/>
      </c>
      <c r="G40" s="238">
        <f>IF($D40="N/A","No aplica",IFERROR(INDEX(PARAMETROS!$E$15:$E$19,MATCH(F40,PARAMETROS!$B$15:$B$19,1)),""))</f>
        <v/>
      </c>
      <c r="H40" s="236">
        <f>IF(OR($D40="N/A",$G40=""),"",IFERROR(IF(MATCH($G40,PARAMETROS!$E$15:$E$19,0)&gt;MATCH(PARAMETROS!$C$25,PARAMETROS!$E$15:$E$19,0),"Plan de acción / mitigar","Aceptable / monitorear"),"Declara el nivel de tolerancia en PARÁMETROS C25"))</f>
        <v/>
      </c>
      <c r="I40" s="281">
        <f>IF($D40="N/A",-1,F40+(49-ROW())/100000)</f>
        <v/>
      </c>
    </row>
    <row r="41" ht="25.5" customHeight="1" s="173">
      <c r="B41" s="238">
        <f>'A3 INHERENTE'!B33</f>
        <v/>
      </c>
      <c r="C41" s="181">
        <f>'A3 INHERENTE'!C33</f>
        <v/>
      </c>
      <c r="D41" s="237">
        <f>'A3 INHERENTE'!F33</f>
        <v/>
      </c>
      <c r="E41" s="267">
        <f>IF($D41="N/A","",$F$8)</f>
        <v/>
      </c>
      <c r="F41" s="237">
        <f>IF($D41="N/A","N/A",D41*(1-E41))</f>
        <v/>
      </c>
      <c r="G41" s="238">
        <f>IF($D41="N/A","No aplica",IFERROR(INDEX(PARAMETROS!$E$15:$E$19,MATCH(F41,PARAMETROS!$B$15:$B$19,1)),""))</f>
        <v/>
      </c>
      <c r="H41" s="236">
        <f>IF(OR($D41="N/A",$G41=""),"",IFERROR(IF(MATCH($G41,PARAMETROS!$E$15:$E$19,0)&gt;MATCH(PARAMETROS!$C$25,PARAMETROS!$E$15:$E$19,0),"Plan de acción / mitigar","Aceptable / monitorear"),"Declara el nivel de tolerancia en PARÁMETROS C25"))</f>
        <v/>
      </c>
      <c r="I41" s="281">
        <f>IF($D41="N/A",-1,F41+(49-ROW())/100000)</f>
        <v/>
      </c>
    </row>
    <row r="42" ht="25.5" customHeight="1" s="173">
      <c r="B42" s="238">
        <f>'A3 INHERENTE'!B34</f>
        <v/>
      </c>
      <c r="C42" s="181">
        <f>'A3 INHERENTE'!C34</f>
        <v/>
      </c>
      <c r="D42" s="237">
        <f>'A3 INHERENTE'!F34</f>
        <v/>
      </c>
      <c r="E42" s="267">
        <f>IF($D42="N/A","",$F$8)</f>
        <v/>
      </c>
      <c r="F42" s="237">
        <f>IF($D42="N/A","N/A",D42*(1-E42))</f>
        <v/>
      </c>
      <c r="G42" s="238">
        <f>IF($D42="N/A","No aplica",IFERROR(INDEX(PARAMETROS!$E$15:$E$19,MATCH(F42,PARAMETROS!$B$15:$B$19,1)),""))</f>
        <v/>
      </c>
      <c r="H42" s="236">
        <f>IF(OR($D42="N/A",$G42=""),"",IFERROR(IF(MATCH($G42,PARAMETROS!$E$15:$E$19,0)&gt;MATCH(PARAMETROS!$C$25,PARAMETROS!$E$15:$E$19,0),"Plan de acción / mitigar","Aceptable / monitorear"),"Declara el nivel de tolerancia en PARÁMETROS C25"))</f>
        <v/>
      </c>
      <c r="I42" s="281">
        <f>IF($D42="N/A",-1,F42+(49-ROW())/100000)</f>
        <v/>
      </c>
    </row>
    <row r="43" ht="25.5" customHeight="1" s="173">
      <c r="B43" s="238">
        <f>'A3 INHERENTE'!B35</f>
        <v/>
      </c>
      <c r="C43" s="181">
        <f>'A3 INHERENTE'!C35</f>
        <v/>
      </c>
      <c r="D43" s="237">
        <f>'A3 INHERENTE'!F35</f>
        <v/>
      </c>
      <c r="E43" s="267">
        <f>IF($D43="N/A","",$F$8)</f>
        <v/>
      </c>
      <c r="F43" s="237">
        <f>IF($D43="N/A","N/A",D43*(1-E43))</f>
        <v/>
      </c>
      <c r="G43" s="238">
        <f>IF($D43="N/A","No aplica",IFERROR(INDEX(PARAMETROS!$E$15:$E$19,MATCH(F43,PARAMETROS!$B$15:$B$19,1)),""))</f>
        <v/>
      </c>
      <c r="H43" s="236">
        <f>IF(OR($D43="N/A",$G43=""),"",IFERROR(IF(MATCH($G43,PARAMETROS!$E$15:$E$19,0)&gt;MATCH(PARAMETROS!$C$25,PARAMETROS!$E$15:$E$19,0),"Plan de acción / mitigar","Aceptable / monitorear"),"Declara el nivel de tolerancia en PARÁMETROS C25"))</f>
        <v/>
      </c>
      <c r="I43" s="281">
        <f>IF($D43="N/A",-1,F43+(49-ROW())/100000)</f>
        <v/>
      </c>
    </row>
    <row r="44" ht="25.5" customHeight="1" s="173">
      <c r="B44" s="238">
        <f>'A3 INHERENTE'!B36</f>
        <v/>
      </c>
      <c r="C44" s="181">
        <f>'A3 INHERENTE'!C36</f>
        <v/>
      </c>
      <c r="D44" s="237">
        <f>'A3 INHERENTE'!F36</f>
        <v/>
      </c>
      <c r="E44" s="267">
        <f>IF($D44="N/A","",$F$8)</f>
        <v/>
      </c>
      <c r="F44" s="237">
        <f>IF($D44="N/A","N/A",D44*(1-E44))</f>
        <v/>
      </c>
      <c r="G44" s="238">
        <f>IF($D44="N/A","No aplica",IFERROR(INDEX(PARAMETROS!$E$15:$E$19,MATCH(F44,PARAMETROS!$B$15:$B$19,1)),""))</f>
        <v/>
      </c>
      <c r="H44" s="236">
        <f>IF(OR($D44="N/A",$G44=""),"",IFERROR(IF(MATCH($G44,PARAMETROS!$E$15:$E$19,0)&gt;MATCH(PARAMETROS!$C$25,PARAMETROS!$E$15:$E$19,0),"Plan de acción / mitigar","Aceptable / monitorear"),"Declara el nivel de tolerancia en PARÁMETROS C25"))</f>
        <v/>
      </c>
      <c r="I44" s="281">
        <f>IF($D44="N/A",-1,F44+(49-ROW())/100000)</f>
        <v/>
      </c>
    </row>
    <row r="45" ht="25.5" customHeight="1" s="173">
      <c r="B45" s="238">
        <f>'A3 INHERENTE'!B37</f>
        <v/>
      </c>
      <c r="C45" s="181">
        <f>'A3 INHERENTE'!C37</f>
        <v/>
      </c>
      <c r="D45" s="237">
        <f>'A3 INHERENTE'!F37</f>
        <v/>
      </c>
      <c r="E45" s="267">
        <f>IF($D45="N/A","",$F$8)</f>
        <v/>
      </c>
      <c r="F45" s="237">
        <f>IF($D45="N/A","N/A",D45*(1-E45))</f>
        <v/>
      </c>
      <c r="G45" s="238">
        <f>IF($D45="N/A","No aplica",IFERROR(INDEX(PARAMETROS!$E$15:$E$19,MATCH(F45,PARAMETROS!$B$15:$B$19,1)),""))</f>
        <v/>
      </c>
      <c r="H45" s="236">
        <f>IF(OR($D45="N/A",$G45=""),"",IFERROR(IF(MATCH($G45,PARAMETROS!$E$15:$E$19,0)&gt;MATCH(PARAMETROS!$C$25,PARAMETROS!$E$15:$E$19,0),"Plan de acción / mitigar","Aceptable / monitorear"),"Declara el nivel de tolerancia en PARÁMETROS C25"))</f>
        <v/>
      </c>
      <c r="I45" s="281">
        <f>IF($D45="N/A",-1,F45+(49-ROW())/100000)</f>
        <v/>
      </c>
    </row>
    <row r="46" ht="25.5" customHeight="1" s="173">
      <c r="B46" s="238">
        <f>'A3 INHERENTE'!B38</f>
        <v/>
      </c>
      <c r="C46" s="181">
        <f>'A3 INHERENTE'!C38</f>
        <v/>
      </c>
      <c r="D46" s="237">
        <f>'A3 INHERENTE'!F38</f>
        <v/>
      </c>
      <c r="E46" s="267">
        <f>IF($D46="N/A","",$F$8)</f>
        <v/>
      </c>
      <c r="F46" s="237">
        <f>IF($D46="N/A","N/A",D46*(1-E46))</f>
        <v/>
      </c>
      <c r="G46" s="238">
        <f>IF($D46="N/A","No aplica",IFERROR(INDEX(PARAMETROS!$E$15:$E$19,MATCH(F46,PARAMETROS!$B$15:$B$19,1)),""))</f>
        <v/>
      </c>
      <c r="H46" s="236">
        <f>IF(OR($D46="N/A",$G46=""),"",IFERROR(IF(MATCH($G46,PARAMETROS!$E$15:$E$19,0)&gt;MATCH(PARAMETROS!$C$25,PARAMETROS!$E$15:$E$19,0),"Plan de acción / mitigar","Aceptable / monitorear"),"Declara el nivel de tolerancia en PARÁMETROS C25"))</f>
        <v/>
      </c>
      <c r="I46" s="281">
        <f>IF($D46="N/A",-1,F46+(49-ROW())/100000)</f>
        <v/>
      </c>
    </row>
    <row r="47" ht="25.5" customHeight="1" s="173">
      <c r="B47" s="238">
        <f>'A3 INHERENTE'!B39</f>
        <v/>
      </c>
      <c r="C47" s="181">
        <f>'A3 INHERENTE'!C39</f>
        <v/>
      </c>
      <c r="D47" s="237">
        <f>'A3 INHERENTE'!F39</f>
        <v/>
      </c>
      <c r="E47" s="267">
        <f>IF($D47="N/A","",$F$8)</f>
        <v/>
      </c>
      <c r="F47" s="237">
        <f>IF($D47="N/A","N/A",D47*(1-E47))</f>
        <v/>
      </c>
      <c r="G47" s="238">
        <f>IF($D47="N/A","No aplica",IFERROR(INDEX(PARAMETROS!$E$15:$E$19,MATCH(F47,PARAMETROS!$B$15:$B$19,1)),""))</f>
        <v/>
      </c>
      <c r="H47" s="236">
        <f>IF(OR($D47="N/A",$G47=""),"",IFERROR(IF(MATCH($G47,PARAMETROS!$E$15:$E$19,0)&gt;MATCH(PARAMETROS!$C$25,PARAMETROS!$E$15:$E$19,0),"Plan de acción / mitigar","Aceptable / monitorear"),"Declara el nivel de tolerancia en PARÁMETROS C25"))</f>
        <v/>
      </c>
      <c r="I47" s="281">
        <f>IF($D47="N/A",-1,F47+(49-ROW())/100000)</f>
        <v/>
      </c>
    </row>
    <row r="48" ht="25.5" customHeight="1" s="173">
      <c r="B48" s="238">
        <f>'A3 INHERENTE'!B40</f>
        <v/>
      </c>
      <c r="C48" s="181">
        <f>'A3 INHERENTE'!C40</f>
        <v/>
      </c>
      <c r="D48" s="237">
        <f>'A3 INHERENTE'!F40</f>
        <v/>
      </c>
      <c r="E48" s="267">
        <f>IF($D48="N/A","",$F$8)</f>
        <v/>
      </c>
      <c r="F48" s="237">
        <f>IF($D48="N/A","N/A",D48*(1-E48))</f>
        <v/>
      </c>
      <c r="G48" s="238">
        <f>IF($D48="N/A","No aplica",IFERROR(INDEX(PARAMETROS!$E$15:$E$19,MATCH(F48,PARAMETROS!$B$15:$B$19,1)),""))</f>
        <v/>
      </c>
      <c r="H48" s="236">
        <f>IF(OR($D48="N/A",$G48=""),"",IFERROR(IF(MATCH($G48,PARAMETROS!$E$15:$E$19,0)&gt;MATCH(PARAMETROS!$C$25,PARAMETROS!$E$15:$E$19,0),"Plan de acción / mitigar","Aceptable / monitorear"),"Declara el nivel de tolerancia en PARÁMETROS C25"))</f>
        <v/>
      </c>
      <c r="I48" s="281">
        <f>IF($D48="N/A",-1,F48+(49-ROW())/100000)</f>
        <v/>
      </c>
    </row>
    <row r="50" ht="15" customHeight="1" s="173">
      <c r="B50" s="202" t="inlineStr">
        <is>
          <t>La columna «Orden» solo sirve para ordenar el top 5 del tablero sin empates. No es un dato de la metodología.</t>
        </is>
      </c>
    </row>
    <row r="51" ht="15" customHeight="1" s="173">
      <c r="B51" s="202" t="inlineStr">
        <is>
          <t>Los tres niveles usan la misma reducción porque los mitigantes se evaluaron a nivel de la entidad. Si en el futuro se documenta la efectividad por elemento o por indicador, basta sustituir la referencia de la columna «Reducción» en el bloque correspondiente.</t>
        </is>
      </c>
    </row>
  </sheetData>
  <mergeCells count="7">
    <mergeCell ref="B22:H22"/>
    <mergeCell ref="B8:E8"/>
    <mergeCell ref="B6:E6"/>
    <mergeCell ref="B7:E7"/>
    <mergeCell ref="B15:H15"/>
    <mergeCell ref="B11:H11"/>
    <mergeCell ref="B5:H5"/>
  </mergeCells>
  <conditionalFormatting sqref="G13">
    <cfRule type="expression" rank="0" priority="2" equalAverage="0" aboveAverage="0" dxfId="2" text="" percent="0" bottom="0">
      <formula>EXACT(G13,"BAJO")</formula>
    </cfRule>
    <cfRule type="expression" rank="0" priority="3" equalAverage="0" aboveAverage="0" dxfId="3" text="" percent="0" bottom="0">
      <formula>EXACT(G13,"MEDIO BAJO")</formula>
    </cfRule>
    <cfRule type="expression" rank="0" priority="4" equalAverage="0" aboveAverage="0" dxfId="4" text="" percent="0" bottom="0">
      <formula>EXACT(G13,"MEDIO")</formula>
    </cfRule>
    <cfRule type="expression" rank="0" priority="5" equalAverage="0" aboveAverage="0" dxfId="5" text="" percent="0" bottom="0">
      <formula>EXACT(G13,"MEDIO ALTO")</formula>
    </cfRule>
    <cfRule type="expression" rank="0" priority="6" equalAverage="0" aboveAverage="0" dxfId="6" text="" percent="0" bottom="0">
      <formula>EXACT(G13,"ALTO")</formula>
    </cfRule>
  </conditionalFormatting>
  <conditionalFormatting sqref="G17:G20">
    <cfRule type="expression" rank="0" priority="7" equalAverage="0" aboveAverage="0" dxfId="2" text="" percent="0" bottom="0">
      <formula>EXACT(G17,"BAJO")</formula>
    </cfRule>
    <cfRule type="expression" rank="0" priority="8" equalAverage="0" aboveAverage="0" dxfId="3" text="" percent="0" bottom="0">
      <formula>EXACT(G17,"MEDIO BAJO")</formula>
    </cfRule>
    <cfRule type="expression" rank="0" priority="9" equalAverage="0" aboveAverage="0" dxfId="4" text="" percent="0" bottom="0">
      <formula>EXACT(G17,"MEDIO")</formula>
    </cfRule>
    <cfRule type="expression" rank="0" priority="10" equalAverage="0" aboveAverage="0" dxfId="5" text="" percent="0" bottom="0">
      <formula>EXACT(G17,"MEDIO ALTO")</formula>
    </cfRule>
    <cfRule type="expression" rank="0" priority="11" equalAverage="0" aboveAverage="0" dxfId="6" text="" percent="0" bottom="0">
      <formula>EXACT(G17,"ALTO")</formula>
    </cfRule>
  </conditionalFormatting>
  <conditionalFormatting sqref="G24:G48">
    <cfRule type="expression" rank="0" priority="12" equalAverage="0" aboveAverage="0" dxfId="2" text="" percent="0" bottom="0">
      <formula>EXACT(G24,"BAJO")</formula>
    </cfRule>
    <cfRule type="expression" rank="0" priority="13" equalAverage="0" aboveAverage="0" dxfId="3" text="" percent="0" bottom="0">
      <formula>EXACT(G24,"MEDIO BAJO")</formula>
    </cfRule>
    <cfRule type="expression" rank="0" priority="14" equalAverage="0" aboveAverage="0" dxfId="4" text="" percent="0" bottom="0">
      <formula>EXACT(G24,"MEDIO")</formula>
    </cfRule>
    <cfRule type="expression" rank="0" priority="15" equalAverage="0" aboveAverage="0" dxfId="5" text="" percent="0" bottom="0">
      <formula>EXACT(G24,"MEDIO ALTO")</formula>
    </cfRule>
    <cfRule type="expression" rank="0" priority="16" equalAverage="0" aboveAverage="0" dxfId="6" text="" percent="0" bottom="0">
      <formula>EXACT(G24,"ALTO")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548235"/>
    <outlinePr summaryBelow="1" summaryRight="1"/>
    <pageSetUpPr fitToPage="0"/>
  </sheetPr>
  <dimension ref="B2:G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46" customWidth="1" style="172" min="2" max="2"/>
    <col width="16" customWidth="1" style="172" min="3" max="4"/>
    <col width="26" customWidth="1" style="172" min="5" max="5"/>
    <col width="14" customWidth="1" style="172" min="6" max="6"/>
    <col width="16" customWidth="1" style="172" min="7" max="7"/>
  </cols>
  <sheetData>
    <row r="2" ht="21.75" customHeight="1" s="173">
      <c r="B2" s="174" t="inlineStr">
        <is>
          <t>A6 · TABLERO — Resumen ejecutivo</t>
        </is>
      </c>
    </row>
    <row r="3" ht="15" customHeight="1" s="173">
      <c r="B3" s="177" t="inlineStr">
        <is>
          <t>Paso 8 de 10  ·  Se calcula solo  ·  Sigue: A8 TOLERANCIA</t>
        </is>
      </c>
    </row>
    <row r="4" ht="15" customHeight="1" s="173">
      <c r="B4" s="187" t="inlineStr">
        <is>
          <t>Actividad Vulnerable:</t>
        </is>
      </c>
      <c r="C4" s="282">
        <f>INICIO!C18</f>
        <v/>
      </c>
      <c r="D4" s="179" t="n"/>
      <c r="E4" s="179" t="n"/>
      <c r="F4" s="180" t="n"/>
    </row>
    <row r="5" ht="15" customHeight="1" s="173">
      <c r="B5" s="187" t="inlineStr">
        <is>
          <t>Entidad:</t>
        </is>
      </c>
      <c r="C5" s="282">
        <f>IF(INICIO!$C$24="","(captura la razón social en INICIO)",INICIO!$C$24)</f>
        <v/>
      </c>
      <c r="D5" s="179" t="n"/>
      <c r="E5" s="179" t="n"/>
      <c r="F5" s="180" t="n"/>
    </row>
    <row r="6" ht="15" customHeight="1" s="173">
      <c r="B6" s="187" t="inlineStr">
        <is>
          <t>Fecha de evaluación:</t>
        </is>
      </c>
      <c r="C6" s="283">
        <f>IF(INICIO!$C$27="","(captura la fecha en INICIO)",INICIO!$C$27)</f>
        <v/>
      </c>
      <c r="D6" s="179" t="n"/>
      <c r="E6" s="179" t="n"/>
      <c r="F6" s="180" t="n"/>
    </row>
    <row r="8" ht="15" customHeight="1" s="173">
      <c r="B8" s="178" t="inlineStr">
        <is>
          <t>RIESGO INHERENTE DE LA ENTIDAD</t>
        </is>
      </c>
      <c r="C8" s="179" t="n"/>
      <c r="D8" s="180" t="n"/>
      <c r="E8" s="178" t="inlineStr">
        <is>
          <t>RIESGO RESIDUAL DE LA ENTIDAD</t>
        </is>
      </c>
      <c r="F8" s="179" t="n"/>
      <c r="G8" s="180" t="n"/>
    </row>
    <row r="9" ht="15" customHeight="1" s="173">
      <c r="B9" s="284">
        <f>'A3 INHERENTE'!F12</f>
        <v/>
      </c>
      <c r="C9" s="285" t="n"/>
      <c r="D9" s="286" t="n"/>
      <c r="E9" s="284">
        <f>'A5 RESIDUAL'!$G$13</f>
        <v/>
      </c>
      <c r="F9" s="285" t="n"/>
      <c r="G9" s="286" t="n"/>
    </row>
    <row r="10" ht="15" customHeight="1" s="173">
      <c r="B10" s="287" t="n"/>
      <c r="C10" s="288" t="n"/>
      <c r="D10" s="289" t="n"/>
      <c r="E10" s="287" t="n"/>
      <c r="F10" s="288" t="n"/>
      <c r="G10" s="289" t="n"/>
    </row>
    <row r="13" ht="15" customHeight="1" s="173">
      <c r="B13" s="178" t="inlineStr">
        <is>
          <t>DETALLE POR ELEMENTO</t>
        </is>
      </c>
      <c r="C13" s="179" t="n"/>
      <c r="D13" s="179" t="n"/>
      <c r="E13" s="180" t="n"/>
    </row>
    <row r="14" ht="15" customHeight="1" s="173">
      <c r="B14" s="290" t="inlineStr">
        <is>
          <t>Elemento</t>
        </is>
      </c>
      <c r="C14" s="290" t="inlineStr">
        <is>
          <t>Inherente</t>
        </is>
      </c>
      <c r="D14" s="290" t="inlineStr">
        <is>
          <t>Residual</t>
        </is>
      </c>
      <c r="E14" s="290" t="inlineStr">
        <is>
          <t>Tratamiento</t>
        </is>
      </c>
    </row>
    <row r="15" ht="15" customHeight="1" s="173">
      <c r="B15" s="291" t="inlineStr">
        <is>
          <t>1. Actos u operaciones</t>
        </is>
      </c>
      <c r="C15" s="292">
        <f>'A3 INHERENTE'!F7</f>
        <v/>
      </c>
      <c r="D15" s="292">
        <f>'A5 RESIDUAL'!G17</f>
        <v/>
      </c>
      <c r="E15" s="282">
        <f>'A5 RESIDUAL'!H17</f>
        <v/>
      </c>
    </row>
    <row r="16" ht="15" customHeight="1" s="173">
      <c r="B16" s="291" t="inlineStr">
        <is>
          <t>2. Clientes / Usuarios</t>
        </is>
      </c>
      <c r="C16" s="292">
        <f>'A3 INHERENTE'!F8</f>
        <v/>
      </c>
      <c r="D16" s="292">
        <f>'A5 RESIDUAL'!G18</f>
        <v/>
      </c>
      <c r="E16" s="282">
        <f>'A5 RESIDUAL'!H18</f>
        <v/>
      </c>
    </row>
    <row r="17" ht="15" customHeight="1" s="173">
      <c r="B17" s="291" t="inlineStr">
        <is>
          <t>3. Países y áreas geográficas</t>
        </is>
      </c>
      <c r="C17" s="292">
        <f>'A3 INHERENTE'!F9</f>
        <v/>
      </c>
      <c r="D17" s="292">
        <f>'A5 RESIDUAL'!G19</f>
        <v/>
      </c>
      <c r="E17" s="282">
        <f>'A5 RESIDUAL'!H19</f>
        <v/>
      </c>
    </row>
    <row r="18" ht="15" customHeight="1" s="173">
      <c r="B18" s="291" t="inlineStr">
        <is>
          <t>4. Transacciones y canales</t>
        </is>
      </c>
      <c r="C18" s="292">
        <f>'A3 INHERENTE'!F10</f>
        <v/>
      </c>
      <c r="D18" s="292">
        <f>'A5 RESIDUAL'!G20</f>
        <v/>
      </c>
      <c r="E18" s="282">
        <f>'A5 RESIDUAL'!H20</f>
        <v/>
      </c>
    </row>
    <row r="20" ht="15" customHeight="1" s="173">
      <c r="B20" s="175" t="inlineStr">
        <is>
          <t>Vigencia: revisar y actualizar al menos cada 12 meses o al actualizarse la ENR (Art. 10 Septies 3). Conservar 10 años.</t>
        </is>
      </c>
    </row>
    <row r="22" ht="21" customHeight="1" s="173">
      <c r="B22" s="216" t="inlineStr">
        <is>
          <t>CONSECUENCIAS DEL RESULTADO</t>
        </is>
      </c>
    </row>
    <row r="23" ht="30" customHeight="1" s="173">
      <c r="B23" s="293" t="inlineStr">
        <is>
          <t>Régimen de auditoría (Cap. XIV RCG)</t>
        </is>
      </c>
      <c r="C23" s="294">
        <f>IF(OR('A5 RESIDUAL'!$G$13="ALTO",'A5 RESIDUAL'!$G$13="MEDIO ALTO"),"Riesgo alto: la auditoría debe practicarla un auditor externo con certificación de la UIF (Art. 45).","Riesgo bajo o medio: la auditoría puede practicarla el área de auditoría interna (Art. 44).")</f>
        <v/>
      </c>
    </row>
    <row r="24" ht="61.5" customHeight="1" s="173">
      <c r="B24" s="293" t="inlineStr">
        <is>
          <t>Medidas simplificadas de identificación (Art. 15 del Reglamento)</t>
        </is>
      </c>
      <c r="C24" s="294">
        <f>IF('A5 RESIDUAL'!$G$13="BAJO","Con riesgo bajo documentado puedes aplicar medidas simplificadas (Art. 15 del Reglamento, condicionado a que el sujeto obligado sea de bajo riesgo conforme al Art. 18 fr. VII de la Ley). El expediente que corresponde a CADA cliente no depende de este resultado sino de su Grado de Riesgo: ver hoja B CLIENTE.","El nivel obtenido no permite las medidas simplificadas del Art. 15. El expediente de cada cliente se define por su Grado de Riesgo en la hoja B CLIENTE.")</f>
        <v/>
      </c>
    </row>
    <row r="25" ht="30" customHeight="1" s="173">
      <c r="B25" s="293" t="inlineStr">
        <is>
          <t>Tolerancia (PARÁMETROS, celda C25)</t>
        </is>
      </c>
      <c r="C25" s="294">
        <f>IFERROR(IF(MATCH('A5 RESIDUAL'!$G$13,PARAMETROS!$E$15:$E$19,0)&gt;MATCH(PARAMETROS!$C$25,PARAMETROS!$E$15:$E$19,0),"FUERA de la tolerancia declarada. Se requiere plan de acción con responsable y fecha (ver hoja A8).","DENTRO de la tolerancia declarada. Mantener monitoreo y evidencia."),"Falta declarar el nivel de tolerancia en PARÁMETROS, celda C25.")</f>
        <v/>
      </c>
    </row>
    <row r="26" ht="30" customHeight="1" s="173">
      <c r="B26" s="293" t="inlineStr">
        <is>
          <t>Vigencia (Art. 10 Septies 2 y 10 Septies 3)</t>
        </is>
      </c>
      <c r="C26" s="294">
        <f>IF(INICIO!$C$27="","Captura la fecha de la evaluación en INICIO para calcular la fecha límite de revisión.","Revisión obligatoria a más tardar en "&amp;CHOOSE(MONTH(EDATE(INICIO!$C$27,12)),"enero","febrero","marzo","abril","mayo","junio","julio","agosto","septiembre","octubre","noviembre","diciembre")&amp;" de "&amp;YEAR(EDATE(INICIO!$C$27,12))&amp;". La metodología debe constar por escrito y conservarse 10 años.")</f>
        <v/>
      </c>
    </row>
    <row r="28" ht="21" customHeight="1" s="173">
      <c r="B28" s="216" t="inlineStr">
        <is>
          <t>LOS 5 INDICADORES CON MAYOR RIESGO RESIDUAL</t>
        </is>
      </c>
    </row>
    <row r="29" ht="15" customHeight="1" s="173">
      <c r="B29" s="178" t="inlineStr">
        <is>
          <t>Indicador</t>
        </is>
      </c>
      <c r="C29" s="178" t="inlineStr">
        <is>
          <t>Riesgo resid.</t>
        </is>
      </c>
      <c r="D29" s="178" t="inlineStr">
        <is>
          <t>Nivel</t>
        </is>
      </c>
    </row>
    <row r="30" ht="25.5" customHeight="1" s="173">
      <c r="B30" s="181">
        <f>IFERROR("#"&amp;INDEX('A5 RESIDUAL'!$B$24:$B$48,MATCH(LARGE('A5 RESIDUAL'!$I$24:$I$48,1),'A5 RESIDUAL'!$I$24:$I$48,0))&amp;" · "&amp;INDEX('A5 RESIDUAL'!$C$24:$C$48,MATCH(LARGE('A5 RESIDUAL'!$I$24:$I$48,1),'A5 RESIDUAL'!$I$24:$I$48,0)),"")</f>
        <v/>
      </c>
      <c r="C30" s="237">
        <f>IFERROR(INDEX('A5 RESIDUAL'!$F$24:$F$48,MATCH(LARGE('A5 RESIDUAL'!$I$24:$I$48,1),'A5 RESIDUAL'!$I$24:$I$48,0)),"")</f>
        <v/>
      </c>
      <c r="D30" s="238">
        <f>IFERROR(INDEX('A5 RESIDUAL'!$G$24:$G$48,MATCH(LARGE('A5 RESIDUAL'!$I$24:$I$48,1),'A5 RESIDUAL'!$I$24:$I$48,0)),"")</f>
        <v/>
      </c>
    </row>
    <row r="31" ht="25.5" customHeight="1" s="173">
      <c r="B31" s="181">
        <f>IFERROR("#"&amp;INDEX('A5 RESIDUAL'!$B$24:$B$48,MATCH(LARGE('A5 RESIDUAL'!$I$24:$I$48,2),'A5 RESIDUAL'!$I$24:$I$48,0))&amp;" · "&amp;INDEX('A5 RESIDUAL'!$C$24:$C$48,MATCH(LARGE('A5 RESIDUAL'!$I$24:$I$48,2),'A5 RESIDUAL'!$I$24:$I$48,0)),"")</f>
        <v/>
      </c>
      <c r="C31" s="237">
        <f>IFERROR(INDEX('A5 RESIDUAL'!$F$24:$F$48,MATCH(LARGE('A5 RESIDUAL'!$I$24:$I$48,2),'A5 RESIDUAL'!$I$24:$I$48,0)),"")</f>
        <v/>
      </c>
      <c r="D31" s="238">
        <f>IFERROR(INDEX('A5 RESIDUAL'!$G$24:$G$48,MATCH(LARGE('A5 RESIDUAL'!$I$24:$I$48,2),'A5 RESIDUAL'!$I$24:$I$48,0)),"")</f>
        <v/>
      </c>
    </row>
    <row r="32" ht="25.5" customHeight="1" s="173">
      <c r="B32" s="181">
        <f>IFERROR("#"&amp;INDEX('A5 RESIDUAL'!$B$24:$B$48,MATCH(LARGE('A5 RESIDUAL'!$I$24:$I$48,3),'A5 RESIDUAL'!$I$24:$I$48,0))&amp;" · "&amp;INDEX('A5 RESIDUAL'!$C$24:$C$48,MATCH(LARGE('A5 RESIDUAL'!$I$24:$I$48,3),'A5 RESIDUAL'!$I$24:$I$48,0)),"")</f>
        <v/>
      </c>
      <c r="C32" s="237">
        <f>IFERROR(INDEX('A5 RESIDUAL'!$F$24:$F$48,MATCH(LARGE('A5 RESIDUAL'!$I$24:$I$48,3),'A5 RESIDUAL'!$I$24:$I$48,0)),"")</f>
        <v/>
      </c>
      <c r="D32" s="238">
        <f>IFERROR(INDEX('A5 RESIDUAL'!$G$24:$G$48,MATCH(LARGE('A5 RESIDUAL'!$I$24:$I$48,3),'A5 RESIDUAL'!$I$24:$I$48,0)),"")</f>
        <v/>
      </c>
    </row>
    <row r="33" ht="25.5" customHeight="1" s="173">
      <c r="B33" s="181">
        <f>IFERROR("#"&amp;INDEX('A5 RESIDUAL'!$B$24:$B$48,MATCH(LARGE('A5 RESIDUAL'!$I$24:$I$48,4),'A5 RESIDUAL'!$I$24:$I$48,0))&amp;" · "&amp;INDEX('A5 RESIDUAL'!$C$24:$C$48,MATCH(LARGE('A5 RESIDUAL'!$I$24:$I$48,4),'A5 RESIDUAL'!$I$24:$I$48,0)),"")</f>
        <v/>
      </c>
      <c r="C33" s="237">
        <f>IFERROR(INDEX('A5 RESIDUAL'!$F$24:$F$48,MATCH(LARGE('A5 RESIDUAL'!$I$24:$I$48,4),'A5 RESIDUAL'!$I$24:$I$48,0)),"")</f>
        <v/>
      </c>
      <c r="D33" s="238">
        <f>IFERROR(INDEX('A5 RESIDUAL'!$G$24:$G$48,MATCH(LARGE('A5 RESIDUAL'!$I$24:$I$48,4),'A5 RESIDUAL'!$I$24:$I$48,0)),"")</f>
        <v/>
      </c>
    </row>
    <row r="34" ht="25.5" customHeight="1" s="173">
      <c r="B34" s="181">
        <f>IFERROR("#"&amp;INDEX('A5 RESIDUAL'!$B$24:$B$48,MATCH(LARGE('A5 RESIDUAL'!$I$24:$I$48,5),'A5 RESIDUAL'!$I$24:$I$48,0))&amp;" · "&amp;INDEX('A5 RESIDUAL'!$C$24:$C$48,MATCH(LARGE('A5 RESIDUAL'!$I$24:$I$48,5),'A5 RESIDUAL'!$I$24:$I$48,0)),"")</f>
        <v/>
      </c>
      <c r="C34" s="237">
        <f>IFERROR(INDEX('A5 RESIDUAL'!$F$24:$F$48,MATCH(LARGE('A5 RESIDUAL'!$I$24:$I$48,5),'A5 RESIDUAL'!$I$24:$I$48,0)),"")</f>
        <v/>
      </c>
      <c r="D34" s="238">
        <f>IFERROR(INDEX('A5 RESIDUAL'!$G$24:$G$48,MATCH(LARGE('A5 RESIDUAL'!$I$24:$I$48,5),'A5 RESIDUAL'!$I$24:$I$48,0)),"")</f>
        <v/>
      </c>
    </row>
    <row r="35" ht="15" customHeight="1" s="173">
      <c r="B35" s="202" t="inlineStr">
        <is>
          <t>Estos son los indicadores por los que empieza el plan de acción de la hoja A8: son los que más aportan al resultado y los primeros que la autoridad va a preguntar.</t>
        </is>
      </c>
    </row>
    <row r="37" ht="15" customHeight="1" s="173">
      <c r="B37" s="194" t="inlineStr">
        <is>
          <t>COBERTURA DEL CATÁLOGO DE CONTROLES MÍNIMOS (Art. 37 Bis)</t>
        </is>
      </c>
    </row>
    <row r="38" ht="15" customHeight="1" s="173">
      <c r="B38" s="196" t="inlineStr">
        <is>
          <t>Efectividad de los mitigantes (obligaciones cubiertas):</t>
        </is>
      </c>
      <c r="C38" s="295">
        <f>'A4 CONTROLES MINIMOS'!$F$28</f>
        <v/>
      </c>
    </row>
    <row r="39" ht="15" customHeight="1" s="173">
      <c r="B39" s="196" t="inlineStr">
        <is>
          <t>Reducción aplicada al riesgo inherente:</t>
        </is>
      </c>
      <c r="C39" s="295">
        <f>'A4 CONTROLES MINIMOS'!$F$30</f>
        <v/>
      </c>
    </row>
    <row r="40" ht="15" customHeight="1" s="173">
      <c r="B40" s="196" t="inlineStr">
        <is>
          <t>Obligaciones en «No cumple»:</t>
        </is>
      </c>
      <c r="C40" s="296">
        <f>'A4 CONTROLES MINIMOS'!$F$33</f>
        <v/>
      </c>
    </row>
    <row r="41" ht="15" customHeight="1" s="173">
      <c r="B41" s="196" t="inlineStr">
        <is>
          <t>Obligaciones sin calificar:</t>
        </is>
      </c>
      <c r="C41" s="296">
        <f>'A4 CONTROLES MINIMOS'!$F$36</f>
        <v/>
      </c>
    </row>
    <row r="42" ht="15" customHeight="1" s="173">
      <c r="B42" s="200">
        <f>IF('A4 CONTROLES MINIMOS'!$F$33&gt;0,"Hay obligaciones del Manual en «No cumple». Antes de discutir el nivel de riesgo, atiende eso: el Art. 48 fr. IV lo define como incumplimiento que puede actualizar una sanción.",IF('A4 CONTROLES MINIMOS'!$F$36&gt;0,"Faltan obligaciones por calificar en el catálogo: mientras tanto computan 0% y el residual sale más alto de lo real.","Catálogo completo y sin incumplimientos declarados."))</f>
        <v/>
      </c>
    </row>
  </sheetData>
  <mergeCells count="15">
    <mergeCell ref="B20:G20"/>
    <mergeCell ref="B28:G28"/>
    <mergeCell ref="B22:G22"/>
    <mergeCell ref="C4:F4"/>
    <mergeCell ref="B13:E13"/>
    <mergeCell ref="B8:D8"/>
    <mergeCell ref="C24:G24"/>
    <mergeCell ref="E8:G8"/>
    <mergeCell ref="C25:G25"/>
    <mergeCell ref="C6:F6"/>
    <mergeCell ref="B9:D10"/>
    <mergeCell ref="E9:G10"/>
    <mergeCell ref="C23:G23"/>
    <mergeCell ref="C5:F5"/>
    <mergeCell ref="C26:G26"/>
  </mergeCells>
  <conditionalFormatting sqref="B9">
    <cfRule type="expression" rank="0" priority="2" equalAverage="0" aboveAverage="0" dxfId="2" text="" percent="0" bottom="0">
      <formula>EXACT(B9,"BAJO")</formula>
    </cfRule>
    <cfRule type="expression" rank="0" priority="3" equalAverage="0" aboveAverage="0" dxfId="3" text="" percent="0" bottom="0">
      <formula>EXACT(B9,"MEDIO BAJO")</formula>
    </cfRule>
    <cfRule type="expression" rank="0" priority="4" equalAverage="0" aboveAverage="0" dxfId="4" text="" percent="0" bottom="0">
      <formula>EXACT(B9,"MEDIO")</formula>
    </cfRule>
    <cfRule type="expression" rank="0" priority="5" equalAverage="0" aboveAverage="0" dxfId="5" text="" percent="0" bottom="0">
      <formula>EXACT(B9,"MEDIO ALTO")</formula>
    </cfRule>
    <cfRule type="expression" rank="0" priority="6" equalAverage="0" aboveAverage="0" dxfId="6" text="" percent="0" bottom="0">
      <formula>EXACT(B9,"ALTO")</formula>
    </cfRule>
  </conditionalFormatting>
  <conditionalFormatting sqref="E9">
    <cfRule type="expression" rank="0" priority="7" equalAverage="0" aboveAverage="0" dxfId="2" text="" percent="0" bottom="0">
      <formula>EXACT(E9,"BAJO")</formula>
    </cfRule>
    <cfRule type="expression" rank="0" priority="8" equalAverage="0" aboveAverage="0" dxfId="3" text="" percent="0" bottom="0">
      <formula>EXACT(E9,"MEDIO BAJO")</formula>
    </cfRule>
    <cfRule type="expression" rank="0" priority="9" equalAverage="0" aboveAverage="0" dxfId="4" text="" percent="0" bottom="0">
      <formula>EXACT(E9,"MEDIO")</formula>
    </cfRule>
    <cfRule type="expression" rank="0" priority="10" equalAverage="0" aboveAverage="0" dxfId="5" text="" percent="0" bottom="0">
      <formula>EXACT(E9,"MEDIO ALTO")</formula>
    </cfRule>
    <cfRule type="expression" rank="0" priority="11" equalAverage="0" aboveAverage="0" dxfId="6" text="" percent="0" bottom="0">
      <formula>EXACT(E9,"ALTO")</formula>
    </cfRule>
  </conditionalFormatting>
  <conditionalFormatting sqref="C15:C18">
    <cfRule type="expression" rank="0" priority="12" equalAverage="0" aboveAverage="0" dxfId="2" text="" percent="0" bottom="0">
      <formula>EXACT(C15,"BAJO")</formula>
    </cfRule>
    <cfRule type="expression" rank="0" priority="13" equalAverage="0" aboveAverage="0" dxfId="3" text="" percent="0" bottom="0">
      <formula>EXACT(C15,"MEDIO BAJO")</formula>
    </cfRule>
    <cfRule type="expression" rank="0" priority="14" equalAverage="0" aboveAverage="0" dxfId="4" text="" percent="0" bottom="0">
      <formula>EXACT(C15,"MEDIO")</formula>
    </cfRule>
    <cfRule type="expression" rank="0" priority="15" equalAverage="0" aboveAverage="0" dxfId="5" text="" percent="0" bottom="0">
      <formula>EXACT(C15,"MEDIO ALTO")</formula>
    </cfRule>
    <cfRule type="expression" rank="0" priority="16" equalAverage="0" aboveAverage="0" dxfId="6" text="" percent="0" bottom="0">
      <formula>EXACT(C15,"ALTO")</formula>
    </cfRule>
  </conditionalFormatting>
  <conditionalFormatting sqref="D15:D18">
    <cfRule type="expression" rank="0" priority="17" equalAverage="0" aboveAverage="0" dxfId="2" text="" percent="0" bottom="0">
      <formula>EXACT(D15,"BAJO")</formula>
    </cfRule>
    <cfRule type="expression" rank="0" priority="18" equalAverage="0" aboveAverage="0" dxfId="3" text="" percent="0" bottom="0">
      <formula>EXACT(D15,"MEDIO BAJO")</formula>
    </cfRule>
    <cfRule type="expression" rank="0" priority="19" equalAverage="0" aboveAverage="0" dxfId="4" text="" percent="0" bottom="0">
      <formula>EXACT(D15,"MEDIO")</formula>
    </cfRule>
    <cfRule type="expression" rank="0" priority="20" equalAverage="0" aboveAverage="0" dxfId="5" text="" percent="0" bottom="0">
      <formula>EXACT(D15,"MEDIO ALTO")</formula>
    </cfRule>
    <cfRule type="expression" rank="0" priority="21" equalAverage="0" aboveAverage="0" dxfId="6" text="" percent="0" bottom="0">
      <formula>EXACT(D15,"ALTO")</formula>
    </cfRule>
  </conditionalFormatting>
  <conditionalFormatting sqref="D30:D34">
    <cfRule type="expression" rank="0" priority="22" equalAverage="0" aboveAverage="0" dxfId="2" text="" percent="0" bottom="0">
      <formula>EXACT(D30,"BAJO")</formula>
    </cfRule>
    <cfRule type="expression" rank="0" priority="23" equalAverage="0" aboveAverage="0" dxfId="3" text="" percent="0" bottom="0">
      <formula>EXACT(D30,"MEDIO BAJO")</formula>
    </cfRule>
    <cfRule type="expression" rank="0" priority="24" equalAverage="0" aboveAverage="0" dxfId="4" text="" percent="0" bottom="0">
      <formula>EXACT(D30,"MEDIO")</formula>
    </cfRule>
    <cfRule type="expression" rank="0" priority="25" equalAverage="0" aboveAverage="0" dxfId="5" text="" percent="0" bottom="0">
      <formula>EXACT(D30,"MEDIO ALTO")</formula>
    </cfRule>
    <cfRule type="expression" rank="0" priority="26" equalAverage="0" aboveAverage="0" dxfId="6" text="" percent="0" bottom="0">
      <formula>EXACT(D30,"ALTO")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FFC000"/>
    <outlinePr summaryBelow="1" summaryRight="1"/>
    <pageSetUpPr fitToPage="0"/>
  </sheetPr>
  <dimension ref="B2:L21"/>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5" customWidth="1" style="172" min="2" max="2"/>
    <col width="26" customWidth="1" style="172" min="3" max="3"/>
    <col width="14" customWidth="1" style="172" min="4" max="4"/>
    <col width="12" customWidth="1" style="172" min="5" max="9"/>
    <col width="14" customWidth="1" style="172" min="10" max="10"/>
    <col width="34" customWidth="1" style="172" min="11" max="11"/>
    <col width="22" customWidth="1" style="172" min="12" max="12"/>
  </cols>
  <sheetData>
    <row r="2" ht="21.75" customHeight="1" s="173">
      <c r="B2" s="201" t="inlineStr">
        <is>
          <t>A7 · EVALUACIÓN PREVIA DE NUEVOS PRODUCTOS, SERVICIOS Y CANALES</t>
        </is>
      </c>
    </row>
    <row r="3" ht="15" customHeight="1" s="173">
      <c r="B3" s="202" t="inlineStr">
        <is>
          <t>Art. 10 Septies, tercer párrafo: antes de lanzar un nuevo medio, canal, modalidad, producto, servicio o tipo de Cliente, evalúa el riesgo. Una ficha por lanzamiento. Esta hoja no altera el resultado de A1; es evidencia y decisión previa.</t>
        </is>
      </c>
    </row>
    <row r="4" ht="15" customHeight="1" s="173">
      <c r="B4" s="177" t="inlineStr">
        <is>
          <t>Fuera de secuencia: se llena ANTES de cada lanzamiento (Art. 10 Septies, 3er párrafo)</t>
        </is>
      </c>
    </row>
    <row r="6" ht="42" customHeight="1" s="173">
      <c r="B6" s="178" t="inlineStr">
        <is>
          <t>#</t>
        </is>
      </c>
      <c r="C6" s="178" t="inlineStr">
        <is>
          <t>Nuevo producto, servicio, canal o tipo de Cliente</t>
        </is>
      </c>
      <c r="D6" s="178" t="inlineStr">
        <is>
          <t>Fecha prevista de lanzamiento</t>
        </is>
      </c>
      <c r="E6" s="178" t="inlineStr">
        <is>
          <t>Riesgo elem. 1</t>
        </is>
      </c>
      <c r="F6" s="178" t="inlineStr">
        <is>
          <t>Riesgo elem. 2</t>
        </is>
      </c>
      <c r="G6" s="178" t="inlineStr">
        <is>
          <t>Riesgo elem. 3</t>
        </is>
      </c>
      <c r="H6" s="178" t="inlineStr">
        <is>
          <t>Riesgo elem. 4</t>
        </is>
      </c>
      <c r="I6" s="178" t="inlineStr">
        <is>
          <t>Riesgo previo</t>
        </is>
      </c>
      <c r="J6" s="178" t="inlineStr">
        <is>
          <t>Nivel</t>
        </is>
      </c>
      <c r="K6" s="178" t="inlineStr">
        <is>
          <t>Controles previos comprometidos</t>
        </is>
      </c>
      <c r="L6" s="178" t="inlineStr">
        <is>
          <t>Decisión</t>
        </is>
      </c>
    </row>
    <row r="7" ht="31.5" customHeight="1" s="173">
      <c r="B7" s="211" t="n">
        <v>1</v>
      </c>
      <c r="C7" s="351" t="inlineStr">
        <is>
          <t>Cobro con transferencia SPEI desde cuenta de tercero no declarado en el expediente, solicitado por dos desarrolladoras para agilizar el enganche.</t>
        </is>
      </c>
      <c r="D7" s="298" t="n">
        <v>46266</v>
      </c>
      <c r="E7" s="299" t="inlineStr">
        <is>
          <t>Medio</t>
        </is>
      </c>
      <c r="F7" s="299" t="inlineStr">
        <is>
          <t>Alto</t>
        </is>
      </c>
      <c r="G7" s="299" t="inlineStr">
        <is>
          <t>Bajo</t>
        </is>
      </c>
      <c r="H7" s="299" t="inlineStr">
        <is>
          <t>Alto</t>
        </is>
      </c>
      <c r="I7" s="211">
        <f>IFERROR(ROUND((IF(E7="Alto",5,IF(E7="Medio",3,IF(E7="Bajo",1,"")))+IF(F7="Alto",5,IF(F7="Medio",3,IF(F7="Bajo",1,"")))+IF(G7="Alto",5,IF(G7="Medio",3,IF(G7="Bajo",1,"")))+IF(H7="Alto",5,IF(H7="Medio",3,IF(H7="Bajo",1,""))))/4,2),"")</f>
        <v/>
      </c>
      <c r="J7" s="211">
        <f>IF(I7="","",IF(I7&gt;=4,"ALTO",IF(I7&gt;=2.34,"MEDIO","BAJO")))</f>
        <v/>
      </c>
      <c r="K7" s="351" t="inlineStr">
        <is>
          <t>Prohibir el pago de tercero salvo parentesco acreditado; alta obligatoria de la cuenta ordenante en el expediente antes de recibir el recurso; alerta automática por cuenta no declarada.</t>
        </is>
      </c>
      <c r="L7" s="300" t="inlineStr">
        <is>
          <t>Se lanza con controles adicionales</t>
        </is>
      </c>
    </row>
    <row r="8" ht="31.5" customHeight="1" s="173">
      <c r="B8" s="211" t="n">
        <v>2</v>
      </c>
      <c r="C8" s="351" t="inlineStr">
        <is>
          <t>Esquema de preventa con apartado de 50,000 pesos reembolsable, dirigido a compradores que aún no acreditan la fuente de los recursos.</t>
        </is>
      </c>
      <c r="D8" s="352" t="n">
        <v>46310</v>
      </c>
      <c r="E8" s="299" t="inlineStr">
        <is>
          <t>Medio</t>
        </is>
      </c>
      <c r="F8" s="299" t="inlineStr">
        <is>
          <t>Medio</t>
        </is>
      </c>
      <c r="G8" s="299" t="inlineStr">
        <is>
          <t>Bajo</t>
        </is>
      </c>
      <c r="H8" s="299" t="inlineStr">
        <is>
          <t>Medio</t>
        </is>
      </c>
      <c r="I8" s="211">
        <f>IFERROR(ROUND((IF(E8="Alto",5,IF(E8="Medio",3,IF(E8="Bajo",1,"")))+IF(F8="Alto",5,IF(F8="Medio",3,IF(F8="Bajo",1,"")))+IF(G8="Alto",5,IF(G8="Medio",3,IF(G8="Bajo",1,"")))+IF(H8="Alto",5,IF(H8="Medio",3,IF(H8="Bajo",1,""))))/4,2),"")</f>
        <v/>
      </c>
      <c r="J8" s="211">
        <f>IF(I8="","",IF(I8&gt;=4,"ALTO",IF(I8&gt;=2.34,"MEDIO","BAJO")))</f>
        <v/>
      </c>
      <c r="K8" s="351" t="inlineStr">
        <is>
          <t>Identificación completa desde el apartado y no hasta la escrituración; el reembolso se paga sólo a la misma cuenta de origen; acumulación del apartado al precio para efectos del umbral.</t>
        </is>
      </c>
      <c r="L8" s="300" t="inlineStr">
        <is>
          <t>Se lanza con controles adicionales</t>
        </is>
      </c>
    </row>
    <row r="9" ht="31.5" customHeight="1" s="173">
      <c r="B9" s="211" t="n">
        <v>3</v>
      </c>
      <c r="C9" s="351" t="inlineStr">
        <is>
          <t>Recepción de criptoactivos como parte del pago, propuesta por un intermediario externo.</t>
        </is>
      </c>
      <c r="D9" s="352" t="n">
        <v>46327</v>
      </c>
      <c r="E9" s="299" t="inlineStr">
        <is>
          <t>Alto</t>
        </is>
      </c>
      <c r="F9" s="299" t="inlineStr">
        <is>
          <t>Alto</t>
        </is>
      </c>
      <c r="G9" s="299" t="inlineStr">
        <is>
          <t>Alto</t>
        </is>
      </c>
      <c r="H9" s="299" t="inlineStr">
        <is>
          <t>Alto</t>
        </is>
      </c>
      <c r="I9" s="211">
        <f>IFERROR(ROUND((IF(E9="Alto",5,IF(E9="Medio",3,IF(E9="Bajo",1,"")))+IF(F9="Alto",5,IF(F9="Medio",3,IF(F9="Bajo",1,"")))+IF(G9="Alto",5,IF(G9="Medio",3,IF(G9="Bajo",1,"")))+IF(H9="Alto",5,IF(H9="Medio",3,IF(H9="Bajo",1,""))))/4,2),"")</f>
        <v/>
      </c>
      <c r="J9" s="211">
        <f>IF(I9="","",IF(I9&gt;=4,"ALTO",IF(I9&gt;=2.34,"MEDIO","BAJO")))</f>
        <v/>
      </c>
      <c r="K9" s="351" t="inlineStr">
        <is>
          <t>No se identificó forma de acreditar el origen de los recursos ni de cumplir la fracción XVI del Art. 17 sin registrarse como sujeto obligado por esa actividad.</t>
        </is>
      </c>
      <c r="L9" s="300" t="inlineStr">
        <is>
          <t>No se lanza</t>
        </is>
      </c>
    </row>
    <row r="10" ht="31.5" customHeight="1" s="173">
      <c r="B10" s="211" t="n">
        <v>4</v>
      </c>
      <c r="C10" s="297" t="n"/>
      <c r="D10" s="299" t="n"/>
      <c r="E10" s="299" t="n"/>
      <c r="F10" s="299" t="n"/>
      <c r="G10" s="299" t="n"/>
      <c r="H10" s="299" t="n"/>
      <c r="I10" s="211">
        <f>IFERROR(ROUND((IF(E10="Alto",5,IF(E10="Medio",3,IF(E10="Bajo",1,"")))+IF(F10="Alto",5,IF(F10="Medio",3,IF(F10="Bajo",1,"")))+IF(G10="Alto",5,IF(G10="Medio",3,IF(G10="Bajo",1,"")))+IF(H10="Alto",5,IF(H10="Medio",3,IF(H10="Bajo",1,""))))/4,2),"")</f>
        <v/>
      </c>
      <c r="J10" s="211">
        <f>IF(I10="","",IF(I10&gt;=4,"ALTO",IF(I10&gt;=2.34,"MEDIO","BAJO")))</f>
        <v/>
      </c>
      <c r="K10" s="297" t="n"/>
      <c r="L10" s="300" t="n"/>
    </row>
    <row r="11" ht="31.5" customHeight="1" s="173">
      <c r="B11" s="211" t="n">
        <v>5</v>
      </c>
      <c r="C11" s="297" t="n"/>
      <c r="D11" s="299" t="n"/>
      <c r="E11" s="299" t="n"/>
      <c r="F11" s="299" t="n"/>
      <c r="G11" s="299" t="n"/>
      <c r="H11" s="299" t="n"/>
      <c r="I11" s="211">
        <f>IFERROR(ROUND((IF(E11="Alto",5,IF(E11="Medio",3,IF(E11="Bajo",1,"")))+IF(F11="Alto",5,IF(F11="Medio",3,IF(F11="Bajo",1,"")))+IF(G11="Alto",5,IF(G11="Medio",3,IF(G11="Bajo",1,"")))+IF(H11="Alto",5,IF(H11="Medio",3,IF(H11="Bajo",1,""))))/4,2),"")</f>
        <v/>
      </c>
      <c r="J11" s="211">
        <f>IF(I11="","",IF(I11&gt;=4,"ALTO",IF(I11&gt;=2.34,"MEDIO","BAJO")))</f>
        <v/>
      </c>
      <c r="K11" s="297" t="n"/>
      <c r="L11" s="300" t="n"/>
    </row>
    <row r="12" ht="31.5" customHeight="1" s="173">
      <c r="B12" s="211" t="n">
        <v>6</v>
      </c>
      <c r="C12" s="297" t="n"/>
      <c r="D12" s="299" t="n"/>
      <c r="E12" s="299" t="n"/>
      <c r="F12" s="299" t="n"/>
      <c r="G12" s="299" t="n"/>
      <c r="H12" s="299" t="n"/>
      <c r="I12" s="211">
        <f>IFERROR(ROUND((IF(E12="Alto",5,IF(E12="Medio",3,IF(E12="Bajo",1,"")))+IF(F12="Alto",5,IF(F12="Medio",3,IF(F12="Bajo",1,"")))+IF(G12="Alto",5,IF(G12="Medio",3,IF(G12="Bajo",1,"")))+IF(H12="Alto",5,IF(H12="Medio",3,IF(H12="Bajo",1,""))))/4,2),"")</f>
        <v/>
      </c>
      <c r="J12" s="211">
        <f>IF(I12="","",IF(I12&gt;=4,"ALTO",IF(I12&gt;=2.34,"MEDIO","BAJO")))</f>
        <v/>
      </c>
      <c r="K12" s="297" t="n"/>
      <c r="L12" s="300" t="n"/>
    </row>
    <row r="13" ht="31.5" customHeight="1" s="173">
      <c r="B13" s="211" t="n">
        <v>7</v>
      </c>
      <c r="C13" s="297" t="n"/>
      <c r="D13" s="299" t="n"/>
      <c r="E13" s="299" t="n"/>
      <c r="F13" s="299" t="n"/>
      <c r="G13" s="299" t="n"/>
      <c r="H13" s="299" t="n"/>
      <c r="I13" s="211">
        <f>IFERROR(ROUND((IF(E13="Alto",5,IF(E13="Medio",3,IF(E13="Bajo",1,"")))+IF(F13="Alto",5,IF(F13="Medio",3,IF(F13="Bajo",1,"")))+IF(G13="Alto",5,IF(G13="Medio",3,IF(G13="Bajo",1,"")))+IF(H13="Alto",5,IF(H13="Medio",3,IF(H13="Bajo",1,""))))/4,2),"")</f>
        <v/>
      </c>
      <c r="J13" s="211">
        <f>IF(I13="","",IF(I13&gt;=4,"ALTO",IF(I13&gt;=2.34,"MEDIO","BAJO")))</f>
        <v/>
      </c>
      <c r="K13" s="297" t="n"/>
      <c r="L13" s="300" t="n"/>
    </row>
    <row r="14" ht="31.5" customHeight="1" s="173">
      <c r="B14" s="211" t="n">
        <v>8</v>
      </c>
      <c r="C14" s="297" t="n"/>
      <c r="D14" s="299" t="n"/>
      <c r="E14" s="299" t="n"/>
      <c r="F14" s="299" t="n"/>
      <c r="G14" s="299" t="n"/>
      <c r="H14" s="299" t="n"/>
      <c r="I14" s="211">
        <f>IFERROR(ROUND((IF(E14="Alto",5,IF(E14="Medio",3,IF(E14="Bajo",1,"")))+IF(F14="Alto",5,IF(F14="Medio",3,IF(F14="Bajo",1,"")))+IF(G14="Alto",5,IF(G14="Medio",3,IF(G14="Bajo",1,"")))+IF(H14="Alto",5,IF(H14="Medio",3,IF(H14="Bajo",1,""))))/4,2),"")</f>
        <v/>
      </c>
      <c r="J14" s="211">
        <f>IF(I14="","",IF(I14&gt;=4,"ALTO",IF(I14&gt;=2.34,"MEDIO","BAJO")))</f>
        <v/>
      </c>
      <c r="K14" s="297" t="n"/>
      <c r="L14" s="300" t="n"/>
    </row>
    <row r="15" ht="31.5" customHeight="1" s="173">
      <c r="B15" s="211" t="n">
        <v>9</v>
      </c>
      <c r="C15" s="297" t="n"/>
      <c r="D15" s="299" t="n"/>
      <c r="E15" s="299" t="n"/>
      <c r="F15" s="299" t="n"/>
      <c r="G15" s="299" t="n"/>
      <c r="H15" s="299" t="n"/>
      <c r="I15" s="211">
        <f>IFERROR(ROUND((IF(E15="Alto",5,IF(E15="Medio",3,IF(E15="Bajo",1,"")))+IF(F15="Alto",5,IF(F15="Medio",3,IF(F15="Bajo",1,"")))+IF(G15="Alto",5,IF(G15="Medio",3,IF(G15="Bajo",1,"")))+IF(H15="Alto",5,IF(H15="Medio",3,IF(H15="Bajo",1,""))))/4,2),"")</f>
        <v/>
      </c>
      <c r="J15" s="211">
        <f>IF(I15="","",IF(I15&gt;=4,"ALTO",IF(I15&gt;=2.34,"MEDIO","BAJO")))</f>
        <v/>
      </c>
      <c r="K15" s="297" t="n"/>
      <c r="L15" s="300" t="n"/>
    </row>
    <row r="16" ht="31.5" customHeight="1" s="173">
      <c r="B16" s="211" t="n">
        <v>10</v>
      </c>
      <c r="C16" s="297" t="n"/>
      <c r="D16" s="299" t="n"/>
      <c r="E16" s="299" t="n"/>
      <c r="F16" s="299" t="n"/>
      <c r="G16" s="299" t="n"/>
      <c r="H16" s="299" t="n"/>
      <c r="I16" s="211">
        <f>IFERROR(ROUND((IF(E16="Alto",5,IF(E16="Medio",3,IF(E16="Bajo",1,"")))+IF(F16="Alto",5,IF(F16="Medio",3,IF(F16="Bajo",1,"")))+IF(G16="Alto",5,IF(G16="Medio",3,IF(G16="Bajo",1,"")))+IF(H16="Alto",5,IF(H16="Medio",3,IF(H16="Bajo",1,""))))/4,2),"")</f>
        <v/>
      </c>
      <c r="J16" s="211">
        <f>IF(I16="","",IF(I16&gt;=4,"ALTO",IF(I16&gt;=2.34,"MEDIO","BAJO")))</f>
        <v/>
      </c>
      <c r="K16" s="297" t="n"/>
      <c r="L16" s="300" t="n"/>
    </row>
    <row r="17" ht="31.5" customHeight="1" s="173">
      <c r="B17" s="211" t="n">
        <v>11</v>
      </c>
      <c r="C17" s="297" t="n"/>
      <c r="D17" s="299" t="n"/>
      <c r="E17" s="299" t="n"/>
      <c r="F17" s="299" t="n"/>
      <c r="G17" s="299" t="n"/>
      <c r="H17" s="299" t="n"/>
      <c r="I17" s="211">
        <f>IFERROR(ROUND((IF(E17="Alto",5,IF(E17="Medio",3,IF(E17="Bajo",1,"")))+IF(F17="Alto",5,IF(F17="Medio",3,IF(F17="Bajo",1,"")))+IF(G17="Alto",5,IF(G17="Medio",3,IF(G17="Bajo",1,"")))+IF(H17="Alto",5,IF(H17="Medio",3,IF(H17="Bajo",1,""))))/4,2),"")</f>
        <v/>
      </c>
      <c r="J17" s="211">
        <f>IF(I17="","",IF(I17&gt;=4,"ALTO",IF(I17&gt;=2.34,"MEDIO","BAJO")))</f>
        <v/>
      </c>
      <c r="K17" s="297" t="n"/>
      <c r="L17" s="300" t="n"/>
    </row>
    <row r="18" ht="31.5" customHeight="1" s="173">
      <c r="B18" s="211" t="n">
        <v>12</v>
      </c>
      <c r="C18" s="297" t="n"/>
      <c r="D18" s="299" t="n"/>
      <c r="E18" s="299" t="n"/>
      <c r="F18" s="299" t="n"/>
      <c r="G18" s="299" t="n"/>
      <c r="H18" s="299" t="n"/>
      <c r="I18" s="211">
        <f>IFERROR(ROUND((IF(E18="Alto",5,IF(E18="Medio",3,IF(E18="Bajo",1,"")))+IF(F18="Alto",5,IF(F18="Medio",3,IF(F18="Bajo",1,"")))+IF(G18="Alto",5,IF(G18="Medio",3,IF(G18="Bajo",1,"")))+IF(H18="Alto",5,IF(H18="Medio",3,IF(H18="Bajo",1,""))))/4,2),"")</f>
        <v/>
      </c>
      <c r="J18" s="211">
        <f>IF(I18="","",IF(I18&gt;=4,"ALTO",IF(I18&gt;=2.34,"MEDIO","BAJO")))</f>
        <v/>
      </c>
      <c r="K18" s="297" t="n"/>
      <c r="L18" s="300" t="n"/>
    </row>
    <row r="21" ht="15" customHeight="1" s="173">
      <c r="B21" s="228" t="inlineStr">
        <is>
          <t>La ficha debe llenarse ANTES del lanzamiento y conservarse 10 años. Si la decisión es «Se lanza» o «Se lanza con controles adicionales», el producto o canal debe incorporarse a la siguiente actualización de A1 y a la matriz de controles A4.</t>
        </is>
      </c>
    </row>
  </sheetData>
  <dataValidations count="2">
    <dataValidation sqref="E7:H18" showDropDown="0" showInputMessage="0" showErrorMessage="0" allowBlank="1" type="list" errorStyle="stop" operator="between">
      <formula1>"Alto,Medio,Bajo"</formula1>
      <formula2>0</formula2>
    </dataValidation>
    <dataValidation sqref="L7:L18" showDropDown="0" showInputMessage="0" showErrorMessage="0" allowBlank="1" type="list" errorStyle="stop" operator="between">
      <formula1>"Se lanza,Se lanza con controles adicionales,Se pospone,No se lanza"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FC000"/>
    <outlinePr summaryBelow="1" summaryRight="1"/>
    <pageSetUpPr fitToPage="0"/>
  </sheetPr>
  <dimension ref="B2:I33"/>
  <sheetViews>
    <sheetView showFormulas="0" showGridLines="0" showRowColHeaders="1" showZeros="1" rightToLeft="0" tabSelected="0" showOutlineSymbols="1" defaultGridColor="1" view="normal" topLeftCell="A1" colorId="64" zoomScale="100" zoomScaleNormal="100" zoomScalePageLayoutView="100" workbookViewId="0">
      <pane xSplit="2" ySplit="21" topLeftCell="C22" activePane="bottomRight" state="frozen"/>
      <selection pane="topLeft" activeCell="A1" activeCellId="0" sqref="A1"/>
      <selection pane="topRight" activeCell="C1" activeCellId="0" sqref="C1"/>
      <selection pane="bottomLeft" activeCell="A22" activeCellId="0" sqref="A22"/>
      <selection pane="bottomRight" activeCell="A1" activeCellId="0" sqref="A1"/>
    </sheetView>
  </sheetViews>
  <sheetFormatPr baseColWidth="8" defaultColWidth="8.6796875" defaultRowHeight="15" zeroHeight="0" outlineLevelRow="0"/>
  <cols>
    <col width="2" customWidth="1" style="172" min="1" max="1"/>
    <col width="50" customWidth="1" style="172" min="2" max="2"/>
    <col width="4" customWidth="1" style="172" min="3" max="3"/>
    <col width="26" customWidth="1" style="172" min="4" max="6"/>
    <col width="22" customWidth="1" style="172" min="7" max="7"/>
    <col width="16" customWidth="1" style="172" min="8" max="9"/>
    <col width="30" customWidth="1" style="172" min="10" max="10"/>
  </cols>
  <sheetData>
    <row r="2" ht="21.75" customHeight="1" s="173">
      <c r="B2" s="201" t="inlineStr">
        <is>
          <t>A8 · TOLERANCIA AL RIESGO, VIGENCIA Y PLAN DE ACCIÓN</t>
        </is>
      </c>
    </row>
    <row r="3" ht="15" customHeight="1" s="173">
      <c r="B3" s="202" t="inlineStr">
        <is>
          <t>Art. 10 Septies 2 y 10 Septies 3: periodo evaluado de al menos 12 meses, tolerancia declarada, modificación en un plazo no mayor a 12 meses indicando al menos el año y el mes, y revisión anual por escrito.</t>
        </is>
      </c>
    </row>
    <row r="4" ht="15" customHeight="1" s="173">
      <c r="B4" s="177" t="inlineStr">
        <is>
          <t>Paso 9 de 10  ·  Viene de: A6  ·  Sigue: A9 CONSTANCIA Y FUENTES</t>
        </is>
      </c>
    </row>
    <row r="5" ht="15" customHeight="1" s="173">
      <c r="B5" s="216" t="inlineStr">
        <is>
          <t>DECLARACIÓN DE TOLERANCIA Y PERIODO EVALUADO</t>
        </is>
      </c>
    </row>
    <row r="6" ht="15" customHeight="1" s="173">
      <c r="B6" s="230" t="inlineStr">
        <is>
          <t>Nivel de tolerancia declarado (PARÁMETROS C25):</t>
        </is>
      </c>
      <c r="D6" s="238">
        <f>PARAMETROS!C25</f>
        <v/>
      </c>
    </row>
    <row r="7" ht="15" customHeight="1" s="173">
      <c r="B7" s="230" t="inlineStr">
        <is>
          <t>Periodo evaluado — inicio (INICIO C28):</t>
        </is>
      </c>
      <c r="D7" s="301">
        <f>IF(INICIO!$C$28="","",INICIO!$C$28)</f>
        <v/>
      </c>
    </row>
    <row r="8" ht="15" customHeight="1" s="173">
      <c r="B8" s="230" t="inlineStr">
        <is>
          <t>Periodo evaluado — fin (INICIO C29):</t>
        </is>
      </c>
      <c r="D8" s="301">
        <f>IF(INICIO!$C$29="","",INICIO!$C$29)</f>
        <v/>
      </c>
    </row>
    <row r="9" ht="15" customHeight="1" s="173">
      <c r="B9" s="230" t="inlineStr">
        <is>
          <t>Meses del periodo (ambos extremos incluidos):</t>
        </is>
      </c>
      <c r="D9" s="238">
        <f>IFERROR(DATEDIF($D$7,$D$8+1,"m"),"")</f>
        <v/>
      </c>
    </row>
    <row r="10" ht="15" customHeight="1" s="173">
      <c r="B10" s="230" t="inlineStr">
        <is>
          <t>¿Cumple el mínimo de 12 meses (Art. 10 Septies 2)?</t>
        </is>
      </c>
      <c r="D10" s="238">
        <f>IF($D$9="","",IF($D$9&gt;=12,"Sí","No: el periodo evaluado es menor a 12 meses"))</f>
        <v/>
      </c>
    </row>
    <row r="11" ht="15" customHeight="1" s="173">
      <c r="B11" s="230" t="inlineStr">
        <is>
          <t>Fecha de la evaluación (INICIO C27):</t>
        </is>
      </c>
      <c r="D11" s="301">
        <f>IF(INICIO!$C$27="","",INICIO!$C$27)</f>
        <v/>
      </c>
    </row>
    <row r="12" ht="15" customHeight="1" s="173">
      <c r="B12" s="230" t="inlineStr">
        <is>
          <t>Fecha límite de la próxima revisión:</t>
        </is>
      </c>
      <c r="D12" s="238">
        <f>IF(INICIO!$C$27="","",CHOOSE(MONTH(EDATE(INICIO!$C$27,12)),"enero","febrero","marzo","abril","mayo","junio","julio","agosto","septiembre","octubre","noviembre","diciembre")&amp;" de "&amp;YEAR(EDATE(INICIO!$C$27,12)))</f>
        <v/>
      </c>
    </row>
    <row r="14" ht="15" customHeight="1" s="173">
      <c r="B14" s="216" t="inlineStr">
        <is>
          <t>VEREDICTO: ¿EL RESULTADO ESTÁ DENTRO DE LA TOLERANCIA?</t>
        </is>
      </c>
    </row>
    <row r="15" ht="15" customHeight="1" s="173">
      <c r="B15" s="229" t="inlineStr">
        <is>
          <t>Riesgo residual de la entidad:</t>
        </is>
      </c>
      <c r="D15" s="238">
        <f>'A5 RESIDUAL'!$G$13</f>
        <v/>
      </c>
    </row>
    <row r="16" ht="15" customHeight="1" s="173">
      <c r="B16" s="229" t="inlineStr">
        <is>
          <t>Tolerancia declarada:</t>
        </is>
      </c>
      <c r="D16" s="238">
        <f>PARAMETROS!$C$25</f>
        <v/>
      </c>
    </row>
    <row r="17" ht="15" customHeight="1" s="173">
      <c r="B17" s="229" t="inlineStr">
        <is>
          <t>Veredicto:</t>
        </is>
      </c>
      <c r="D17" s="238">
        <f>IF('A5 RESIDUAL'!$G$13="","",IFERROR(IF(MATCH('A5 RESIDUAL'!$G$13,PARAMETROS!$E$15:$E$19,0)&gt;MATCH(PARAMETROS!$C$25,PARAMETROS!$E$15:$E$19,0),"FUERA DE TOLERANCIA","DENTRO DE TOLERANCIA"),"Falta declarar la tolerancia en PARÁMETROS C25"))</f>
        <v/>
      </c>
    </row>
    <row r="18" ht="45.75" customHeight="1" s="173">
      <c r="B18" s="229" t="inlineStr">
        <is>
          <t>Consecuencia:</t>
        </is>
      </c>
      <c r="D18" s="302">
        <f>IF($D$17="","",IF($D$17="FUERA DE TOLERANCIA","Obligatorio documentar plan de acción con responsable y fecha comprometida, y ejecutar la modificación en un plazo no mayor a 12 meses (Art. 10 Septies 2, fr. IV).",IF($D$17="DENTRO DE TOLERANCIA","Se conserva el esquema de control vigente, con monitoreo y evidencia. Igual debe revisarse al menos cada 12 meses.","Sin tolerancia declarada no hay veredicto posible: captúrala en PARÁMETROS, celda C25.")))</f>
        <v/>
      </c>
      <c r="E18" s="179" t="n"/>
      <c r="F18" s="179" t="n"/>
      <c r="G18" s="179" t="n"/>
    </row>
    <row r="20" ht="15" customHeight="1" s="173">
      <c r="B20" s="216" t="inlineStr">
        <is>
          <t>PLAN DE ACCIÓN (obligatorio si el resultado queda fuera de tolerancia)</t>
        </is>
      </c>
    </row>
    <row r="21" ht="31.5" customHeight="1" s="173">
      <c r="B21" s="178" t="inlineStr">
        <is>
          <t>#</t>
        </is>
      </c>
      <c r="C21" s="178" t="inlineStr">
        <is>
          <t>Hallazgo / riesgo fuera de tolerancia</t>
        </is>
      </c>
      <c r="D21" s="180" t="n"/>
      <c r="E21" s="178" t="inlineStr">
        <is>
          <t>Acción comprometida</t>
        </is>
      </c>
      <c r="F21" s="178" t="inlineStr">
        <is>
          <t>Responsable</t>
        </is>
      </c>
      <c r="G21" s="178" t="inlineStr">
        <is>
          <t>Año y mes comprometidos</t>
        </is>
      </c>
      <c r="H21" s="178" t="inlineStr">
        <is>
          <t>Estatus</t>
        </is>
      </c>
      <c r="I21" s="178" t="inlineStr">
        <is>
          <t>Evidencia</t>
        </is>
      </c>
    </row>
    <row r="22" ht="30" customHeight="1" s="173">
      <c r="B22" s="211" t="n">
        <v>1</v>
      </c>
      <c r="C22" s="351" t="inlineStr">
        <is>
          <t>El indicador 18, instrumento monetario, es el de mayor riesgo residual de toda la matriz (9.74, MEDIO): 56 de 112 operaciones del periodo tuvieron algún componente en efectivo.</t>
        </is>
      </c>
      <c r="D22" s="180" t="n"/>
      <c r="E22" s="351" t="inlineStr">
        <is>
          <t>Bajar el umbral interno de aceptación de efectivo de 150,000 a 80,000 pesos por operación y desplazar el cobro a transferencia mediante acuerdo con las tres desarrolladoras.</t>
        </is>
      </c>
      <c r="F22" s="300" t="inlineStr">
        <is>
          <t>Representante Encargada de Cumplimiento</t>
        </is>
      </c>
      <c r="G22" s="299" t="inlineStr">
        <is>
          <t>marzo de 2027</t>
        </is>
      </c>
      <c r="H22" s="299" t="inlineStr">
        <is>
          <t>En proceso</t>
        </is>
      </c>
      <c r="I22" s="351" t="inlineStr">
        <is>
          <t>Adenda al Manual numeral 7.1 y convenios firmados con las desarrolladoras.</t>
        </is>
      </c>
    </row>
    <row r="23" ht="30" customHeight="1" s="173">
      <c r="B23" s="211" t="n">
        <v>2</v>
      </c>
      <c r="C23" s="351" t="inlineStr">
        <is>
          <t>La fracción IV del catálogo quedó en «Cumple parcialmente»: se declara la búsqueda de Personas Políticamente Expuestas pero no se conserva constancia de la consulta.</t>
        </is>
      </c>
      <c r="D23" s="180" t="n"/>
      <c r="E23" s="351" t="inlineStr">
        <is>
          <t>Incorporar la impresión fechada de la consulta PEP al expediente de cada Cliente y correr la consulta retroactiva de los 86 Clientes del periodo.</t>
        </is>
      </c>
      <c r="F23" s="300" t="inlineStr">
        <is>
          <t>Área de expedientes</t>
        </is>
      </c>
      <c r="G23" s="299" t="inlineStr">
        <is>
          <t>enero de 2027</t>
        </is>
      </c>
      <c r="H23" s="299" t="inlineStr">
        <is>
          <t>En proceso</t>
        </is>
      </c>
      <c r="I23" s="351" t="inlineStr">
        <is>
          <t>Constancia de consulta en expediente y reporte de la corrida retroactiva.</t>
        </is>
      </c>
    </row>
    <row r="24" ht="30" customHeight="1" s="173">
      <c r="B24" s="211" t="n">
        <v>3</v>
      </c>
      <c r="C24" s="351" t="inlineStr">
        <is>
          <t>La fracción V quedó en «Cumple parcialmente»: las alertas del perfil transaccional se revisan pero sin bitácora de atención. Dos de las siete alertas del periodo siguen sin dictamen.</t>
        </is>
      </c>
      <c r="D24" s="180" t="n"/>
      <c r="E24" s="351" t="inlineStr">
        <is>
          <t>Implantar bitácora de atención de alertas con responsable, fecha, dictamen y evidencia, y cerrar las dos alertas pendientes.</t>
        </is>
      </c>
      <c r="F24" s="300" t="inlineStr">
        <is>
          <t>Representante Encargada de Cumplimiento</t>
        </is>
      </c>
      <c r="G24" s="299" t="inlineStr">
        <is>
          <t>noviembre de 2026</t>
        </is>
      </c>
      <c r="H24" s="299" t="inlineStr">
        <is>
          <t>En proceso</t>
        </is>
      </c>
      <c r="I24" s="351" t="inlineStr">
        <is>
          <t>Bitácora del sistema con dictamen firmado por alerta.</t>
        </is>
      </c>
    </row>
    <row r="25" ht="30" customHeight="1" s="173">
      <c r="B25" s="211" t="n">
        <v>4</v>
      </c>
      <c r="C25" s="351" t="inlineStr">
        <is>
          <t>La fracción XII quedó en «Cumple parcialmente»: hay programa de auditoría aprobado pero el primer dictamen aún no se emite.</t>
        </is>
      </c>
      <c r="D25" s="180" t="n"/>
      <c r="E25" s="351" t="inlineStr">
        <is>
          <t>Contratar la revisión y emitir el primer dictamen. Con riesgo bajo o medio puede practicarla el área de auditoría interna conforme al Art. 44 de las Reglas.</t>
        </is>
      </c>
      <c r="F25" s="300" t="inlineStr">
        <is>
          <t>Órgano de administración</t>
        </is>
      </c>
      <c r="G25" s="299" t="inlineStr">
        <is>
          <t>diciembre de 2026</t>
        </is>
      </c>
      <c r="H25" s="299" t="inlineStr">
        <is>
          <t>No iniciada</t>
        </is>
      </c>
      <c r="I25" s="351" t="inlineStr">
        <is>
          <t>Dictamen de auditoría del ejercicio y acta de designación de quien lo emite.</t>
        </is>
      </c>
    </row>
    <row r="26" ht="30" customHeight="1" s="173">
      <c r="B26" s="211" t="n">
        <v>5</v>
      </c>
      <c r="C26" s="351" t="inlineStr">
        <is>
          <t>El indicador 13, Beneficiario Controlador, pesa 0.18 dentro del elemento 2 y el régimen cambia: a partir del 30 de noviembre de 2026 desaparece la constancia declarativa en persona moral y fideicomiso, y hay que identificarlo.</t>
        </is>
      </c>
      <c r="D26" s="180" t="n"/>
      <c r="E26" s="351" t="inlineStr">
        <is>
          <t>Sustituir la constancia declarativa por identificación efectiva en los 31 expedientes de persona moral y adecuar el formato del expediente antes de la fecha de entrada en vigor.</t>
        </is>
      </c>
      <c r="F26" s="300" t="inlineStr">
        <is>
          <t>Área de expedientes</t>
        </is>
      </c>
      <c r="G26" s="299" t="inlineStr">
        <is>
          <t>noviembre de 2026</t>
        </is>
      </c>
      <c r="H26" s="299" t="inlineStr">
        <is>
          <t>En proceso</t>
        </is>
      </c>
      <c r="I26" s="351" t="inlineStr">
        <is>
          <t>Expedientes con Beneficiario Controlador identificado y formato nuevo liberado.</t>
        </is>
      </c>
    </row>
    <row r="27" ht="30" customHeight="1" s="173">
      <c r="B27" s="211" t="n">
        <v>6</v>
      </c>
      <c r="C27" s="297" t="n"/>
      <c r="D27" s="180" t="n"/>
      <c r="E27" s="297" t="n"/>
      <c r="F27" s="300" t="n"/>
      <c r="G27" s="299" t="n"/>
      <c r="H27" s="299" t="n"/>
      <c r="I27" s="297" t="n"/>
    </row>
    <row r="28" ht="30" customHeight="1" s="173">
      <c r="B28" s="211" t="n">
        <v>7</v>
      </c>
      <c r="C28" s="297" t="n"/>
      <c r="D28" s="180" t="n"/>
      <c r="E28" s="297" t="n"/>
      <c r="F28" s="300" t="n"/>
      <c r="G28" s="299" t="n"/>
      <c r="H28" s="299" t="n"/>
      <c r="I28" s="297" t="n"/>
    </row>
    <row r="29" ht="30" customHeight="1" s="173">
      <c r="B29" s="211" t="n">
        <v>8</v>
      </c>
      <c r="C29" s="297" t="n"/>
      <c r="D29" s="180" t="n"/>
      <c r="E29" s="297" t="n"/>
      <c r="F29" s="300" t="n"/>
      <c r="G29" s="299" t="n"/>
      <c r="H29" s="299" t="n"/>
      <c r="I29" s="297" t="n"/>
    </row>
    <row r="30" ht="30" customHeight="1" s="173">
      <c r="B30" s="211" t="n">
        <v>9</v>
      </c>
      <c r="C30" s="297" t="n"/>
      <c r="D30" s="180" t="n"/>
      <c r="E30" s="297" t="n"/>
      <c r="F30" s="300" t="n"/>
      <c r="G30" s="299" t="n"/>
      <c r="H30" s="299" t="n"/>
      <c r="I30" s="297" t="n"/>
    </row>
    <row r="31" ht="30" customHeight="1" s="173">
      <c r="B31" s="211" t="n">
        <v>10</v>
      </c>
      <c r="C31" s="297" t="n"/>
      <c r="D31" s="180" t="n"/>
      <c r="E31" s="297" t="n"/>
      <c r="F31" s="300" t="n"/>
      <c r="G31" s="299" t="n"/>
      <c r="H31" s="299" t="n"/>
      <c r="I31" s="297" t="n"/>
    </row>
    <row r="33" ht="15" customHeight="1" s="173">
      <c r="B33" s="228" t="inlineStr">
        <is>
          <t>El compromiso debe indicar al menos el año y el mes (Art. 10 Septies 2, fr. IV). Un plan sin fecha no acredita mitigación: acredita intención.</t>
        </is>
      </c>
    </row>
  </sheetData>
  <mergeCells count="15">
    <mergeCell ref="D18:G18"/>
    <mergeCell ref="C29:D29"/>
    <mergeCell ref="C24:D24"/>
    <mergeCell ref="C21:D21"/>
    <mergeCell ref="B5:G5"/>
    <mergeCell ref="B14:G14"/>
    <mergeCell ref="C30:D30"/>
    <mergeCell ref="C25:D25"/>
    <mergeCell ref="B20:I20"/>
    <mergeCell ref="C27:D27"/>
    <mergeCell ref="C28:D28"/>
    <mergeCell ref="C22:D22"/>
    <mergeCell ref="C31:D31"/>
    <mergeCell ref="C26:D26"/>
    <mergeCell ref="C23:D23"/>
  </mergeCells>
  <conditionalFormatting sqref="D15">
    <cfRule type="expression" rank="0" priority="2" equalAverage="0" aboveAverage="0" dxfId="2" text="" percent="0" bottom="0">
      <formula>EXACT(D15,"BAJO")</formula>
    </cfRule>
    <cfRule type="expression" rank="0" priority="3" equalAverage="0" aboveAverage="0" dxfId="3" text="" percent="0" bottom="0">
      <formula>EXACT(D15,"MEDIO BAJO")</formula>
    </cfRule>
    <cfRule type="expression" rank="0" priority="4" equalAverage="0" aboveAverage="0" dxfId="4" text="" percent="0" bottom="0">
      <formula>EXACT(D15,"MEDIO")</formula>
    </cfRule>
    <cfRule type="expression" rank="0" priority="5" equalAverage="0" aboveAverage="0" dxfId="5" text="" percent="0" bottom="0">
      <formula>EXACT(D15,"MEDIO ALTO")</formula>
    </cfRule>
    <cfRule type="expression" rank="0" priority="6" equalAverage="0" aboveAverage="0" dxfId="6" text="" percent="0" bottom="0">
      <formula>EXACT(D15,"ALTO")</formula>
    </cfRule>
  </conditionalFormatting>
  <conditionalFormatting sqref="D17">
    <cfRule type="expression" rank="0" priority="7" equalAverage="0" aboveAverage="0" dxfId="6" text="" percent="0" bottom="0">
      <formula>EXACT($D$17,"FUERA DE TOLERANCIA")</formula>
    </cfRule>
    <cfRule type="expression" rank="0" priority="8" equalAverage="0" aboveAverage="0" dxfId="1" text="" percent="0" bottom="0">
      <formula>EXACT($D$17,"DENTRO DE TOLERANCIA")</formula>
    </cfRule>
  </conditionalFormatting>
  <dataValidations count="1">
    <dataValidation sqref="H22:H31" showDropDown="0" showInputMessage="0" showErrorMessage="0" allowBlank="1" type="list" errorStyle="stop" operator="between">
      <formula1>"No iniciada,En proceso,Concluida,Cancelada con justificación"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FFC000"/>
    <outlinePr summaryBelow="1" summaryRight="1"/>
    <pageSetUpPr fitToPage="0"/>
  </sheetPr>
  <dimension ref="B2:G57"/>
  <sheetViews>
    <sheetView showFormulas="0" showGridLines="0" showRowColHeaders="1" showZeros="1" rightToLeft="0" tabSelected="0" showOutlineSymbols="1" defaultGridColor="1"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baseColWidth="8" defaultColWidth="8.6796875" defaultRowHeight="15" zeroHeight="0" outlineLevelRow="0"/>
  <cols>
    <col width="2" customWidth="1" style="172" min="1" max="1"/>
    <col width="52" customWidth="1" style="172" min="2" max="2"/>
    <col width="3" customWidth="1" style="172" min="3" max="3"/>
    <col width="24" customWidth="1" style="172" min="4" max="5"/>
    <col width="26" customWidth="1" style="172" min="6" max="7"/>
    <col width="4" customWidth="1" style="172" min="8" max="8"/>
  </cols>
  <sheetData>
    <row r="2" ht="21.75" customHeight="1" s="173">
      <c r="B2" s="201" t="inlineStr">
        <is>
          <t>A9 · CONSTANCIA DE LA EVALUACIÓN, FUENTES Y CONSERVACIÓN</t>
        </is>
      </c>
    </row>
    <row r="3" ht="15" customHeight="1" s="173">
      <c r="B3" s="202" t="inlineStr">
        <is>
          <t>Aquí se documenta lo que la matriz no calcula pero la autoridad sí exige: la ENR tomada en cuenta, la conciliación con tus mecanismos automatizados, los datos proyectados, la aprobación y las versiones.</t>
        </is>
      </c>
    </row>
    <row r="4" ht="15" customHeight="1" s="173">
      <c r="B4" s="177" t="inlineStr">
        <is>
          <t>Pasos 2 y 10  ·  Secciones 1 y 2 se llenan ANTES de A1  ·  Secciones 3 a 7 al cierre</t>
        </is>
      </c>
    </row>
    <row r="5" ht="21" customHeight="1" s="173">
      <c r="B5" s="216" t="inlineStr">
        <is>
          <t>ESTADO DE LLENADO DE LA CONSTANCIA</t>
        </is>
      </c>
    </row>
    <row r="6" ht="15" customHeight="1" s="173">
      <c r="B6" s="271" t="inlineStr">
        <is>
          <t>Datos obligatorios que faltan:</t>
        </is>
      </c>
      <c r="D6" s="303">
        <f>COUNTBLANK(D10:D14)+COUNTBLANK(E19:E21)+COUNTBLANK(D22:D23)+COUNTBLANK(D28)+COUNTBLANK(D34:D39)+COUNTBLANK(F46)+COUNTBLANK(D54:D56)</f>
        <v/>
      </c>
    </row>
    <row r="7" ht="30" customHeight="1" s="173">
      <c r="D7" s="227">
        <f>IF($D$6=0,"Completa: la constancia puede imprimirse, firmarse y conservarse como evidencia de la evaluación.","Faltan "&amp;$D$6&amp;" dato(s) obligatorio(s): la evaluación todavía no está documentada por completo.")</f>
        <v/>
      </c>
      <c r="E7" s="179" t="n"/>
      <c r="F7" s="179" t="n"/>
      <c r="G7" s="180" t="n"/>
    </row>
    <row r="9" ht="21" customHeight="1" s="173">
      <c r="B9" s="216" t="inlineStr">
        <is>
          <t>1 · EVALUACIÓN NACIONAL DE RIESGOS (Art. 10 Septies, segundo párrafo)</t>
        </is>
      </c>
    </row>
    <row r="10" ht="15" customHeight="1" s="173">
      <c r="B10" s="270" t="inlineStr">
        <is>
          <t>Versión o año de la ENR tomada en cuenta:</t>
        </is>
      </c>
      <c r="D10" s="304" t="inlineStr">
        <is>
          <t>ENR 2023 (versión pública)</t>
        </is>
      </c>
    </row>
    <row r="11" ht="15" customHeight="1" s="173">
      <c r="B11" s="270" t="inlineStr">
        <is>
          <t>Fecha en que se consultó:</t>
        </is>
      </c>
      <c r="D11" s="305" t="n">
        <v>46188</v>
      </c>
    </row>
    <row r="12" ht="31.5" customHeight="1" s="173">
      <c r="B12" s="270" t="inlineStr">
        <is>
          <t>Amenazas, sectores y tipologías de la ENR que aplican a esta actividad:</t>
        </is>
      </c>
      <c r="D12" s="353" t="inlineStr">
        <is>
          <t>De la ENR aplican a esta actividad: el uso del sector inmobiliario para colocar efectivo de procedencia ilícita; la interposición de personas morales de reciente constitución y de terceros para ocultar al comprador real; el pago fraccionado por debajo de umbrales; y la subvaluación o sobrevaluación del inmueble respecto del valor de mercado.</t>
        </is>
      </c>
      <c r="E12" s="179" t="n"/>
      <c r="F12" s="179" t="n"/>
      <c r="G12" s="180" t="n"/>
    </row>
    <row r="13" ht="31.5" customHeight="1" s="173">
      <c r="B13" s="270" t="inlineStr">
        <is>
          <t>Cómo se reflejó la ENR en esta evaluación:</t>
        </is>
      </c>
      <c r="D13" s="353" t="inlineStr">
        <is>
          <t>Cada amenaza se ancló a un indicador. La colocación de efectivo elevó el perfil Alto del indicador 18 a 50% y sostiene su peso de 0.22. La interposición de personas morales sostiene el peso de 0.18 de los indicadores 6 y 13, y el 45% de perfil Alto del indicador 3. El fraccionamiento sostiene el 30% de perfil Alto del indicador 21. La subvaluación se atiende en el indicador 20 y en el control adicional de doble firma. Las cuatro quedaron además en el plan de acción de A8.</t>
        </is>
      </c>
      <c r="E13" s="179" t="n"/>
      <c r="F13" s="179" t="n"/>
      <c r="G13" s="180" t="n"/>
    </row>
    <row r="14" ht="15" customHeight="1" s="173">
      <c r="B14" s="270" t="inlineStr">
        <is>
          <t>¿La ENR se actualizó después de esta evaluación?</t>
        </is>
      </c>
      <c r="D14" s="304" t="inlineStr">
        <is>
          <t>No</t>
        </is>
      </c>
    </row>
    <row r="15" ht="27.75" customHeight="1" s="173">
      <c r="D15" s="307">
        <f>IF($D$14="Sí","⚠ La actualización de la Evaluación Nacional de Riesgos obliga a revisar esta evaluación (Art. 10 Septies 3), sin esperar a que se cumplan los doce meses.","")</f>
        <v/>
      </c>
    </row>
    <row r="17" ht="21" customHeight="1" s="173">
      <c r="B17" s="216" t="inlineStr">
        <is>
          <t>2 · DATOS DE DOCE MESES Y CONCILIACIÓN CON EL MECANISMO AUTOMATIZADO (Art. 10 Septies 2, fr. I y II)</t>
        </is>
      </c>
    </row>
    <row r="18" ht="31.5" customHeight="1" s="173">
      <c r="B18" s="178" t="inlineStr">
        <is>
          <t>Dato mínimo de doce meses</t>
        </is>
      </c>
      <c r="C18" s="180" t="n"/>
      <c r="D18" s="178" t="inlineStr">
        <is>
          <t>Usado en esta evaluación</t>
        </is>
      </c>
      <c r="E18" s="178" t="inlineStr">
        <is>
          <t>Según el mecanismo automatizado</t>
        </is>
      </c>
      <c r="F18" s="178" t="inlineStr">
        <is>
          <t>Diferencia</t>
        </is>
      </c>
      <c r="G18" s="178" t="inlineStr">
        <is>
          <t>Estatus</t>
        </is>
      </c>
    </row>
    <row r="19" ht="19.5" customHeight="1" s="173">
      <c r="B19" s="236" t="inlineStr">
        <is>
          <t>Número de Clientes o Usuarios</t>
        </is>
      </c>
      <c r="C19" s="180" t="n"/>
      <c r="D19" s="308">
        <f>INICIO!$C$32</f>
        <v/>
      </c>
      <c r="E19" s="309" t="n">
        <v>86</v>
      </c>
      <c r="F19" s="308">
        <f>IF(OR($D19="",$E19=""),"",$E19-$D19)</f>
        <v/>
      </c>
      <c r="G19" s="238">
        <f>IF($F19="","",IF($F19=0,"Conciliado","Diferencia"))</f>
        <v/>
      </c>
    </row>
    <row r="20" ht="19.5" customHeight="1" s="173">
      <c r="B20" s="236" t="inlineStr">
        <is>
          <t>Número de operaciones (actos u operaciones)</t>
        </is>
      </c>
      <c r="C20" s="180" t="n"/>
      <c r="D20" s="308">
        <f>INICIO!$C$33</f>
        <v/>
      </c>
      <c r="E20" s="309" t="n">
        <v>112</v>
      </c>
      <c r="F20" s="308">
        <f>IF(OR($D20="",$E20=""),"",$E20-$D20)</f>
        <v/>
      </c>
      <c r="G20" s="238">
        <f>IF($F20="","",IF($F20=0,"Conciliado","Diferencia"))</f>
        <v/>
      </c>
    </row>
    <row r="21" ht="19.5" customHeight="1" s="173">
      <c r="B21" s="236" t="inlineStr">
        <is>
          <t>Monto operado en el periodo</t>
        </is>
      </c>
      <c r="C21" s="180" t="n"/>
      <c r="D21" s="310">
        <f>INICIO!$C$34</f>
        <v/>
      </c>
      <c r="E21" s="311" t="n">
        <v>428600000</v>
      </c>
      <c r="F21" s="310">
        <f>IF(OR($D21="",$E21=""),"",$E21-$D21)</f>
        <v/>
      </c>
      <c r="G21" s="238">
        <f>IF($F21="","",IF($F21=0,"Conciliado","Diferencia"))</f>
        <v/>
      </c>
    </row>
    <row r="22" ht="19.5" customHeight="1" s="173">
      <c r="B22" s="270" t="inlineStr">
        <is>
          <t>Sistema o mecanismo automatizado del que se obtuvieron las cifras:</t>
        </is>
      </c>
      <c r="D22" s="353" t="inlineStr">
        <is>
          <t>Sistema de registro de operaciones y generación de Avisos «Ejemplo ERP Inmobiliario», módulo de cumplimiento y reportes, versión 4.2.</t>
        </is>
      </c>
      <c r="E22" s="179" t="n"/>
      <c r="F22" s="179" t="n"/>
      <c r="G22" s="180" t="n"/>
    </row>
    <row r="23" ht="15" customHeight="1" s="173">
      <c r="B23" s="270" t="inlineStr">
        <is>
          <t>Fecha de la conciliación:</t>
        </is>
      </c>
      <c r="D23" s="305" t="n">
        <v>46203</v>
      </c>
    </row>
    <row r="24" ht="30" customHeight="1" s="173">
      <c r="B24" s="270" t="inlineStr">
        <is>
          <t>Explicación de las diferencias (si las hay):</t>
        </is>
      </c>
      <c r="D24" s="353" t="inlineStr">
        <is>
          <t>Sin diferencias: las tres cifras de la evaluación coinciden con las del mecanismo automatizado al corte del 30 de junio de 2026. Se verificó además que las 14 operaciones que generaron Aviso en el periodo estén conciliadas contra los acuses del portal.</t>
        </is>
      </c>
      <c r="E24" s="179" t="n"/>
      <c r="F24" s="179" t="n"/>
      <c r="G24" s="180" t="n"/>
    </row>
    <row r="25" ht="31.5" customHeight="1" s="173">
      <c r="D25" s="181">
        <f>IF(SUMPRODUCT(--($F$19:$F$21&lt;&gt;""),--($F$19:$F$21&lt;&gt;0))&gt;0,"Hay diferencias con el mecanismo automatizado. El Art. 10 Septies 2, fr. I exige que la evaluación no sea inconsistente con lo que registran tus mecanismos: corrige la cifra o explica la diferencia en el renglón anterior.","Sin diferencias: la evaluación es consistente con lo registrado en el mecanismo automatizado.")</f>
        <v/>
      </c>
      <c r="E25" s="179" t="n"/>
      <c r="F25" s="179" t="n"/>
      <c r="G25" s="180" t="n"/>
    </row>
    <row r="27" ht="21" customHeight="1" s="173">
      <c r="B27" s="216" t="inlineStr">
        <is>
          <t>3 · DATOS PROYECTADOS (Art. 10 Septies 2, párrafo siguiente a la fr. II)</t>
        </is>
      </c>
    </row>
    <row r="28" ht="15" customHeight="1" s="173">
      <c r="B28" s="270" t="inlineStr">
        <is>
          <t>¿La entidad operó durante todo el periodo evaluado?</t>
        </is>
      </c>
      <c r="D28" s="304" t="inlineStr">
        <is>
          <t>Sí</t>
        </is>
      </c>
    </row>
    <row r="29" ht="30" customHeight="1" s="173">
      <c r="B29" s="270" t="inlineStr">
        <is>
          <t>Si no operó todo el periodo: base y metodología de la proyección</t>
        </is>
      </c>
      <c r="D29" s="353" t="inlineStr">
        <is>
          <t>No aplica: la entidad operó los doce meses completos del periodo evaluado, del 1 de julio de 2025 al 30 de junio de 2026, y la evaluación se hizo íntegramente con datos reales. No se utilizaron datos proyectados.</t>
        </is>
      </c>
      <c r="E29" s="179" t="n"/>
      <c r="F29" s="179" t="n"/>
      <c r="G29" s="180" t="n"/>
    </row>
    <row r="30" ht="19.5" customHeight="1" s="173">
      <c r="B30" s="270" t="inlineStr">
        <is>
          <t>Fecha en que deben sustituirse los proyectados por datos reales:</t>
        </is>
      </c>
      <c r="D30" s="227">
        <f>IF(INICIO!$C$27="","(captura la fecha de la evaluación en INICIO)",CHOOSE(MONTH(EDATE(INICIO!$C$27,12)),"enero","febrero","marzo","abril","mayo","junio","julio","agosto","septiembre","octubre","noviembre","diciembre")&amp;" de "&amp;YEAR(EDATE(INICIO!$C$27,12)))</f>
        <v/>
      </c>
      <c r="E30" s="179" t="n"/>
      <c r="F30" s="179" t="n"/>
      <c r="G30" s="180" t="n"/>
    </row>
    <row r="31" ht="27.75" customHeight="1" s="173">
      <c r="D31" s="307">
        <f>IF($D$28="No","⚠ Estás trabajando con datos proyectados. Al cumplirse los doce meses debes actualizar la evaluación con datos reales (Art. 10 Septies 2).","")</f>
        <v/>
      </c>
    </row>
    <row r="33" ht="21" customHeight="1" s="173">
      <c r="B33" s="216" t="inlineStr">
        <is>
          <t>4 · APROBACIÓN, CONSTANCIA Y CONSERVACIÓN (Art. 10 Septies 3, tercer párrafo)</t>
        </is>
      </c>
    </row>
    <row r="34" ht="15" customHeight="1" s="173">
      <c r="B34" s="270" t="inlineStr">
        <is>
          <t>Elaboró la evaluación (nombre y cargo):</t>
        </is>
      </c>
      <c r="D34" s="353" t="inlineStr">
        <is>
          <t>María Ejemplo Ruiz — Representante Encargada de Cumplimiento</t>
        </is>
      </c>
    </row>
    <row r="35" ht="15" customHeight="1" s="173">
      <c r="B35" s="270" t="inlineStr">
        <is>
          <t>Fecha de elaboración:</t>
        </is>
      </c>
      <c r="D35" s="305" t="n">
        <v>46204</v>
      </c>
    </row>
    <row r="36" ht="15" customHeight="1" s="173">
      <c r="B36" s="270" t="inlineStr">
        <is>
          <t>Aprobó la evaluación (nombre y cargo):</t>
        </is>
      </c>
      <c r="D36" s="353" t="inlineStr">
        <is>
          <t>Jorge Ejemplo Lara — Administrador Único</t>
        </is>
      </c>
    </row>
    <row r="37" ht="15" customHeight="1" s="173">
      <c r="B37" s="270" t="inlineStr">
        <is>
          <t>Fecha de aprobación:</t>
        </is>
      </c>
      <c r="D37" s="305" t="n">
        <v>46218</v>
      </c>
    </row>
    <row r="38" ht="15" customHeight="1" s="173">
      <c r="B38" s="270" t="inlineStr">
        <is>
          <t>Medio en que consta la aprobación:</t>
        </is>
      </c>
      <c r="D38" s="306" t="inlineStr">
        <is>
          <t>Acta de sesión del órgano de administración</t>
        </is>
      </c>
      <c r="E38" s="179" t="n"/>
      <c r="F38" s="179" t="n"/>
      <c r="G38" s="180" t="n"/>
    </row>
    <row r="39" ht="19.5" customHeight="1" s="173">
      <c r="B39" s="270" t="inlineStr">
        <is>
          <t>Lugar de resguardo del expediente de la evaluación:</t>
        </is>
      </c>
      <c r="D39" s="353" t="inlineStr">
        <is>
          <t>Repositorio de cumplimiento en servidor propio con respaldo cifrado y control de accesos, más carpeta física en el domicilio fiscal. Responsable del resguardo: la Representante Encargada de Cumplimiento.</t>
        </is>
      </c>
      <c r="E39" s="179" t="n"/>
      <c r="F39" s="179" t="n"/>
      <c r="G39" s="180" t="n"/>
    </row>
    <row r="40" ht="19.5" customHeight="1" s="173">
      <c r="B40" s="270" t="inlineStr">
        <is>
          <t>Conservar al menos hasta:</t>
        </is>
      </c>
      <c r="D40" s="227">
        <f>IF($D$37="","(captura la fecha de aprobación)",CHOOSE(MONTH(EDATE($D$37,120)),"enero","febrero","marzo","abril","mayo","junio","julio","agosto","septiembre","octubre","noviembre","diciembre")&amp;" de "&amp;YEAR(EDATE($D$37,120)))</f>
        <v/>
      </c>
      <c r="E40" s="179" t="n"/>
      <c r="F40" s="179" t="n"/>
      <c r="G40" s="180" t="n"/>
    </row>
    <row r="41" ht="27.75" customHeight="1" s="173">
      <c r="D41" s="307">
        <f>IF($D$37="","⚠ Sin fecha de aprobación no se acredita que la evaluación fue aprobada ni puede calcularse el plazo de conservación de diez años.","")</f>
        <v/>
      </c>
    </row>
    <row r="43" ht="21" customHeight="1" s="173">
      <c r="B43" s="216" t="inlineStr">
        <is>
          <t>5 · LOS DOS PLAZOS DE DOCE MESES — NO SON EL MISMO</t>
        </is>
      </c>
    </row>
    <row r="44" ht="31.5" customHeight="1" s="173">
      <c r="B44" s="178" t="inlineStr">
        <is>
          <t>Obligación</t>
        </is>
      </c>
      <c r="C44" s="180" t="n"/>
      <c r="D44" s="178" t="inlineStr">
        <is>
          <t>Fundamento</t>
        </is>
      </c>
      <c r="E44" s="178" t="inlineStr">
        <is>
          <t>Vence</t>
        </is>
      </c>
      <c r="F44" s="178" t="inlineStr">
        <is>
          <t>Compromiso registrado (año y mes)</t>
        </is>
      </c>
      <c r="G44" s="180" t="n"/>
    </row>
    <row r="45" ht="27.75" customHeight="1" s="173">
      <c r="B45" s="181" t="inlineStr">
        <is>
          <t>Revisar y actualizar esta evaluación</t>
        </is>
      </c>
      <c r="C45" s="180" t="n"/>
      <c r="D45" s="312" t="inlineStr">
        <is>
          <t>Art. 10 Septies 3, primer párrafo</t>
        </is>
      </c>
      <c r="E45" s="238">
        <f>IF(INICIO!$C$27="","",CHOOSE(MONTH(EDATE(INICIO!$C$27,12)),"enero","febrero","marzo","abril","mayo","junio","julio","agosto","septiembre","octubre","noviembre","diciembre")&amp;" de "&amp;YEAR(EDATE(INICIO!$C$27,12)))</f>
        <v/>
      </c>
      <c r="F45" s="313" t="inlineStr">
        <is>
          <t>No aplica: el plazo lo fija la propia norma</t>
        </is>
      </c>
      <c r="G45" s="180" t="n"/>
    </row>
    <row r="46" ht="27.75" customHeight="1" s="173">
      <c r="B46" s="181" t="inlineStr">
        <is>
          <t>Modificar las políticas conforme a los resultados</t>
        </is>
      </c>
      <c r="C46" s="180" t="n"/>
      <c r="D46" s="312" t="inlineStr">
        <is>
          <t>Art. 10 Septies 2, último párrafo</t>
        </is>
      </c>
      <c r="E46" s="238">
        <f>IF(INICIO!$C$27="","",CHOOSE(MONTH(EDATE(INICIO!$C$27,12)),"enero","febrero","marzo","abril","mayo","junio","julio","agosto","septiembre","octubre","noviembre","diciembre")&amp;" de "&amp;YEAR(EDATE(INICIO!$C$27,12)))</f>
        <v/>
      </c>
      <c r="F46" s="314" t="inlineStr">
        <is>
          <t>julio de 2027</t>
        </is>
      </c>
      <c r="G46" s="180" t="n"/>
    </row>
    <row r="47" ht="31.5" customHeight="1" s="173">
      <c r="D47" s="181">
        <f>IF($F$46="","Falta registrar el año y el mes en que se modificarán las políticas conforme a los resultados (Art. 10 Septies 2, último párrafo).","Compromiso registrado. Los dos plazos corren en paralelo: revisar la evaluación y modificar las políticas son obligaciones distintas.")</f>
        <v/>
      </c>
      <c r="E47" s="179" t="n"/>
      <c r="F47" s="179" t="n"/>
      <c r="G47" s="180" t="n"/>
    </row>
    <row r="49" ht="21" customHeight="1" s="173">
      <c r="B49" s="216" t="inlineStr">
        <is>
          <t>6 · CONTROL DE VERSIONES DE LA EVALUACIÓN</t>
        </is>
      </c>
    </row>
    <row r="50" ht="19.5" customHeight="1" s="173">
      <c r="B50" s="178" t="inlineStr">
        <is>
          <t>Versión</t>
        </is>
      </c>
      <c r="C50" s="180" t="n"/>
      <c r="D50" s="178" t="inlineStr">
        <is>
          <t>Fecha</t>
        </is>
      </c>
      <c r="E50" s="178" t="inlineStr">
        <is>
          <t>Cambios principales</t>
        </is>
      </c>
      <c r="F50" s="180" t="n"/>
      <c r="G50" s="178" t="inlineStr">
        <is>
          <t>Responsable</t>
        </is>
      </c>
    </row>
    <row r="51" ht="21.75" customHeight="1" s="173">
      <c r="B51" s="304" t="inlineStr">
        <is>
          <t>v.1</t>
        </is>
      </c>
      <c r="C51" s="180" t="n"/>
      <c r="D51" s="305" t="n">
        <v>46218</v>
      </c>
      <c r="E51" s="306" t="inlineStr">
        <is>
          <t>Primera evaluación bajo el Cap. II Quáter de las Reglas de Carácter General.</t>
        </is>
      </c>
      <c r="F51" s="180" t="n"/>
      <c r="G51" s="304" t="inlineStr">
        <is>
          <t>Encargado de Cumplimiento</t>
        </is>
      </c>
    </row>
    <row r="52" ht="21.75" customHeight="1" s="173">
      <c r="B52" s="304" t="n"/>
      <c r="C52" s="180" t="n"/>
      <c r="D52" s="305" t="n"/>
      <c r="E52" s="306" t="n"/>
      <c r="F52" s="180" t="n"/>
      <c r="G52" s="304" t="n"/>
    </row>
    <row r="53" ht="21.75" customHeight="1" s="173">
      <c r="B53" s="315" t="inlineStr">
        <is>
          <t>7 · METODOLOGÍA INCORPORADA AL MANUAL (Art. 37, último párrafo)</t>
        </is>
      </c>
      <c r="C53" s="180" t="n"/>
      <c r="D53" s="305" t="n"/>
      <c r="E53" s="306" t="n"/>
      <c r="F53" s="180" t="n"/>
      <c r="G53" s="304" t="n"/>
    </row>
    <row r="54" ht="21.75" customHeight="1" s="173">
      <c r="B54" s="316" t="inlineStr">
        <is>
          <t>¿El Manual incluye el diseño de esta metodología?</t>
        </is>
      </c>
      <c r="C54" s="180" t="n"/>
      <c r="D54" s="317" t="inlineStr">
        <is>
          <t>Sí</t>
        </is>
      </c>
      <c r="E54" s="318">
        <f>IF(OR($D$54="No",$D$55="No"),"⚠ El Art. 37, último párrafo, exige que el Manual incluya el diseño de la metodología y los criterios de apertura, limitación o terminación congruentes con ella. Sin eso, la evaluación existe pero no está incorporada donde la norma la pide.","")</f>
        <v/>
      </c>
      <c r="F54" s="180" t="n"/>
      <c r="G54" s="304" t="n"/>
    </row>
    <row r="55" ht="21.75" customHeight="1" s="173">
      <c r="B55" s="316" t="inlineStr">
        <is>
          <t>¿Incluye los criterios de apertura, limitación o terminación congruentes con ella?</t>
        </is>
      </c>
      <c r="C55" s="180" t="n"/>
      <c r="D55" s="317" t="inlineStr">
        <is>
          <t>Sí</t>
        </is>
      </c>
      <c r="E55" s="306" t="n"/>
      <c r="F55" s="180" t="n"/>
      <c r="G55" s="304" t="n"/>
    </row>
    <row r="56" ht="15" customHeight="1" s="173">
      <c r="B56" s="196" t="inlineStr">
        <is>
          <t>Numeral del Manual donde consta:</t>
        </is>
      </c>
      <c r="D56" s="319" t="inlineStr">
        <is>
          <t>Manual, numeral 2.3</t>
        </is>
      </c>
    </row>
    <row r="57" ht="15" customHeight="1" s="173">
      <c r="B57" s="202" t="inlineStr">
        <is>
          <t>Esta hoja es la constancia por escrito que exige el Art. 10 Septies 3: impresa y firmada, junto con A1 a A8, acredita que la evaluación existió, quién la aprobó y con qué fuentes se hizo. Conservarla diez años.</t>
        </is>
      </c>
    </row>
  </sheetData>
  <mergeCells count="44">
    <mergeCell ref="E50:F50"/>
    <mergeCell ref="B54:C54"/>
    <mergeCell ref="E55:F55"/>
    <mergeCell ref="D12:G12"/>
    <mergeCell ref="D39:G39"/>
    <mergeCell ref="D25:G25"/>
    <mergeCell ref="B17:G17"/>
    <mergeCell ref="B46:C46"/>
    <mergeCell ref="D24:G24"/>
    <mergeCell ref="D30:G30"/>
    <mergeCell ref="D15:G15"/>
    <mergeCell ref="E52:F52"/>
    <mergeCell ref="D29:G29"/>
    <mergeCell ref="B18:C18"/>
    <mergeCell ref="D38:G38"/>
    <mergeCell ref="B52:C52"/>
    <mergeCell ref="B21:C21"/>
    <mergeCell ref="E51:F51"/>
    <mergeCell ref="B9:G9"/>
    <mergeCell ref="F45:G45"/>
    <mergeCell ref="B49:G49"/>
    <mergeCell ref="B53:C53"/>
    <mergeCell ref="B33:G33"/>
    <mergeCell ref="D22:G22"/>
    <mergeCell ref="D40:G40"/>
    <mergeCell ref="B44:C44"/>
    <mergeCell ref="D31:G31"/>
    <mergeCell ref="B5:G5"/>
    <mergeCell ref="B19:C19"/>
    <mergeCell ref="F46:G46"/>
    <mergeCell ref="D13:G13"/>
    <mergeCell ref="B55:C55"/>
    <mergeCell ref="D41:G41"/>
    <mergeCell ref="E54:F54"/>
    <mergeCell ref="B51:C51"/>
    <mergeCell ref="B20:C20"/>
    <mergeCell ref="D47:G47"/>
    <mergeCell ref="B27:G27"/>
    <mergeCell ref="B45:C45"/>
    <mergeCell ref="D7:G7"/>
    <mergeCell ref="B43:G43"/>
    <mergeCell ref="B50:C50"/>
    <mergeCell ref="E53:F53"/>
    <mergeCell ref="F44:G44"/>
  </mergeCells>
  <conditionalFormatting sqref="D6">
    <cfRule type="expression" rank="0" priority="2" equalAverage="0" aboveAverage="0" dxfId="1" text="" percent="0" bottom="0">
      <formula>$D$6=0</formula>
    </cfRule>
    <cfRule type="expression" rank="0" priority="3" equalAverage="0" aboveAverage="0" dxfId="0" text="" percent="0" bottom="0">
      <formula>$D$6&gt;0</formula>
    </cfRule>
  </conditionalFormatting>
  <conditionalFormatting sqref="G19">
    <cfRule type="expression" rank="0" priority="4" equalAverage="0" aboveAverage="0" dxfId="0" text="" percent="0" bottom="0">
      <formula>EXACT($G19,"Diferencia")</formula>
    </cfRule>
    <cfRule type="expression" rank="0" priority="5" equalAverage="0" aboveAverage="0" dxfId="1" text="" percent="0" bottom="0">
      <formula>EXACT($G19,"Conciliado")</formula>
    </cfRule>
  </conditionalFormatting>
  <conditionalFormatting sqref="G20">
    <cfRule type="expression" rank="0" priority="6" equalAverage="0" aboveAverage="0" dxfId="0" text="" percent="0" bottom="0">
      <formula>EXACT($G20,"Diferencia")</formula>
    </cfRule>
    <cfRule type="expression" rank="0" priority="7" equalAverage="0" aboveAverage="0" dxfId="1" text="" percent="0" bottom="0">
      <formula>EXACT($G20,"Conciliado")</formula>
    </cfRule>
  </conditionalFormatting>
  <conditionalFormatting sqref="G21">
    <cfRule type="expression" rank="0" priority="8" equalAverage="0" aboveAverage="0" dxfId="0" text="" percent="0" bottom="0">
      <formula>EXACT($G21,"Diferencia")</formula>
    </cfRule>
    <cfRule type="expression" rank="0" priority="9" equalAverage="0" aboveAverage="0" dxfId="1" text="" percent="0" bottom="0">
      <formula>EXACT($G21,"Conciliado")</formula>
    </cfRule>
  </conditionalFormatting>
  <dataValidations count="3">
    <dataValidation sqref="D14 D28" showDropDown="0" showInputMessage="0" showErrorMessage="0" allowBlank="1" type="list" errorStyle="stop" operator="between">
      <formula1>"Sí,No"</formula1>
      <formula2>0</formula2>
    </dataValidation>
    <dataValidation sqref="D38" showDropDown="0" showInputMessage="0" showErrorMessage="0" allowBlank="1" type="list" errorStyle="stop" operator="between">
      <formula1>"Acta de sesión del órgano de administración,Oficio o memorándum firmado,Firma autógrafa en el documento,Firma electrónica avanzada,Correo electrónico institucional"</formula1>
      <formula2>0</formula2>
    </dataValidation>
    <dataValidation sqref="D54:D55" showDropDown="0" showInputMessage="0" showErrorMessage="0" allowBlank="1" type="list" errorStyle="stop" operator="between">
      <formula1>"Sí,No"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tabColor rgb="00F2A541"/>
    <outlinePr summaryBelow="1" summaryRight="1"/>
    <pageSetUpPr/>
  </sheetPr>
  <dimension ref="B2:K23"/>
  <sheetViews>
    <sheetView showGridLines="0" workbookViewId="0">
      <selection activeCell="A1" sqref="A1"/>
    </sheetView>
  </sheetViews>
  <sheetFormatPr baseColWidth="8" defaultRowHeight="15"/>
  <cols>
    <col width="2" customWidth="1" style="173" min="1" max="1"/>
    <col width="8" customWidth="1" style="173" min="2" max="2"/>
    <col width="46" customWidth="1" style="173" min="3" max="3"/>
    <col width="13.5" customWidth="1" style="173" min="4" max="4"/>
    <col width="13.5" customWidth="1" style="173" min="5" max="5"/>
    <col width="13.5" customWidth="1" style="173" min="6" max="6"/>
    <col width="13.5" customWidth="1" style="173" min="7" max="7"/>
    <col width="13.5" customWidth="1" style="173" min="8" max="8"/>
    <col width="13.5" customWidth="1" style="173" min="9" max="9"/>
    <col width="11" customWidth="1" style="173" min="10" max="10"/>
    <col width="13" customWidth="1" style="173" min="11" max="11"/>
  </cols>
  <sheetData>
    <row r="2">
      <c r="B2" s="354" t="inlineStr">
        <is>
          <t>PRODUCTOS Y SERVICIOS · nivel de riesgo de lo que ofreces</t>
        </is>
      </c>
    </row>
    <row r="3">
      <c r="B3" s="355" t="inlineStr">
        <is>
          <t>Un renglón por producto, servicio u operación que ofreces. Cada indicador se califica por columna y el nivel del producto es el promedio de sus indicadores.</t>
        </is>
      </c>
    </row>
    <row r="4">
      <c r="B4" s="356" t="inlineStr">
        <is>
          <t>Alimenta el factor «Producto o servicio contratado» de la hoja B CLIENTE. Los seis indicadores son los del elemento 1 de la hoja A1: así el riesgo del producto se mide igual en los dos modelos.</t>
        </is>
      </c>
    </row>
    <row r="5" ht="15" customHeight="1" s="173">
      <c r="B5" s="410" t="inlineStr">
        <is>
          <t>Fuera de secuencia  ·  se llena una vez y se actualiza cada que agregas un producto  ·  Sigue: VARIABLES</t>
        </is>
      </c>
    </row>
    <row r="6" ht="20" customHeight="1" s="173">
      <c r="B6" s="357" t="inlineStr">
        <is>
          <t>CATÁLOGO DE PRODUCTOS  ·  califica cada indicador en Alto, Medio o Bajo</t>
        </is>
      </c>
    </row>
    <row r="7" ht="46" customHeight="1" s="173">
      <c r="B7" s="407" t="inlineStr">
        <is>
          <t>Clave</t>
        </is>
      </c>
      <c r="C7" s="407" t="inlineStr">
        <is>
          <t>Producto, servicio u operación</t>
        </is>
      </c>
      <c r="D7" s="407" t="inlineStr">
        <is>
          <t>Valor del producto o servicio</t>
        </is>
      </c>
      <c r="E7" s="407" t="inlineStr">
        <is>
          <t>Liquidez o convertibilidad</t>
        </is>
      </c>
      <c r="F7" s="407" t="inlineStr">
        <is>
          <t>Anonimato que permite</t>
        </is>
      </c>
      <c r="G7" s="407" t="inlineStr">
        <is>
          <t>Facilidad de transferir u ocultar valor</t>
        </is>
      </c>
      <c r="H7" s="407" t="inlineStr">
        <is>
          <t>Exposición al financiamiento al terrorismo</t>
        </is>
      </c>
      <c r="I7" s="407" t="inlineStr">
        <is>
          <t>Uso de efectivo asociado</t>
        </is>
      </c>
      <c r="J7" s="407" t="inlineStr">
        <is>
          <t>Nivel</t>
        </is>
      </c>
      <c r="K7" s="407" t="inlineStr">
        <is>
          <t>Riesgo</t>
        </is>
      </c>
    </row>
    <row r="8">
      <c r="B8" s="361" t="inlineStr">
        <is>
          <t>P-01</t>
        </is>
      </c>
      <c r="C8" s="362" t="inlineStr">
        <is>
          <t>Compraventa de casa habitación de interés medio</t>
        </is>
      </c>
      <c r="D8" s="363" t="inlineStr">
        <is>
          <t>Medio</t>
        </is>
      </c>
      <c r="E8" s="363" t="inlineStr">
        <is>
          <t>Bajo</t>
        </is>
      </c>
      <c r="F8" s="363" t="inlineStr">
        <is>
          <t>Medio</t>
        </is>
      </c>
      <c r="G8" s="363" t="inlineStr">
        <is>
          <t>Medio</t>
        </is>
      </c>
      <c r="H8" s="363" t="inlineStr">
        <is>
          <t>Bajo</t>
        </is>
      </c>
      <c r="I8" s="363" t="inlineStr">
        <is>
          <t>Medio</t>
        </is>
      </c>
      <c r="J8" s="387">
        <f>(IF(D8="Alto",5,IF(D8="Medio",3,1))+IF(E8="Alto",5,IF(E8="Medio",3,1))+IF(F8="Alto",5,IF(F8="Medio",3,1))+IF(G8="Alto",5,IF(G8="Medio",3,1))+IF(H8="Alto",5,IF(H8="Medio",3,1))+IF(I8="Alto",5,IF(I8="Medio",3,1)))/6</f>
        <v/>
      </c>
      <c r="K8" s="361">
        <f>IF(J8&gt;=3.67,"ALTO",IF(J8&gt;=2.34,"MEDIO","BAJO"))</f>
        <v/>
      </c>
    </row>
    <row r="9">
      <c r="B9" s="361" t="inlineStr">
        <is>
          <t>P-02</t>
        </is>
      </c>
      <c r="C9" s="362" t="inlineStr">
        <is>
          <t>Compraventa de casa habitación residencial</t>
        </is>
      </c>
      <c r="D9" s="363" t="inlineStr">
        <is>
          <t>Alto</t>
        </is>
      </c>
      <c r="E9" s="363" t="inlineStr">
        <is>
          <t>Bajo</t>
        </is>
      </c>
      <c r="F9" s="363" t="inlineStr">
        <is>
          <t>Medio</t>
        </is>
      </c>
      <c r="G9" s="363" t="inlineStr">
        <is>
          <t>Alto</t>
        </is>
      </c>
      <c r="H9" s="363" t="inlineStr">
        <is>
          <t>Bajo</t>
        </is>
      </c>
      <c r="I9" s="363" t="inlineStr">
        <is>
          <t>Alto</t>
        </is>
      </c>
      <c r="J9" s="387">
        <f>(IF(D9="Alto",5,IF(D9="Medio",3,1))+IF(E9="Alto",5,IF(E9="Medio",3,1))+IF(F9="Alto",5,IF(F9="Medio",3,1))+IF(G9="Alto",5,IF(G9="Medio",3,1))+IF(H9="Alto",5,IF(H9="Medio",3,1))+IF(I9="Alto",5,IF(I9="Medio",3,1)))/6</f>
        <v/>
      </c>
      <c r="K9" s="361">
        <f>IF(J9&gt;=3.67,"ALTO",IF(J9&gt;=2.34,"MEDIO","BAJO"))</f>
        <v/>
      </c>
    </row>
    <row r="10">
      <c r="B10" s="361" t="inlineStr">
        <is>
          <t>P-03</t>
        </is>
      </c>
      <c r="C10" s="362" t="inlineStr">
        <is>
          <t>Compraventa de local comercial</t>
        </is>
      </c>
      <c r="D10" s="363" t="inlineStr">
        <is>
          <t>Alto</t>
        </is>
      </c>
      <c r="E10" s="363" t="inlineStr">
        <is>
          <t>Medio</t>
        </is>
      </c>
      <c r="F10" s="363" t="inlineStr">
        <is>
          <t>Medio</t>
        </is>
      </c>
      <c r="G10" s="363" t="inlineStr">
        <is>
          <t>Alto</t>
        </is>
      </c>
      <c r="H10" s="363" t="inlineStr">
        <is>
          <t>Medio</t>
        </is>
      </c>
      <c r="I10" s="363" t="inlineStr">
        <is>
          <t>Medio</t>
        </is>
      </c>
      <c r="J10" s="387">
        <f>(IF(D10="Alto",5,IF(D10="Medio",3,1))+IF(E10="Alto",5,IF(E10="Medio",3,1))+IF(F10="Alto",5,IF(F10="Medio",3,1))+IF(G10="Alto",5,IF(G10="Medio",3,1))+IF(H10="Alto",5,IF(H10="Medio",3,1))+IF(I10="Alto",5,IF(I10="Medio",3,1)))/6</f>
        <v/>
      </c>
      <c r="K10" s="361">
        <f>IF(J10&gt;=3.67,"ALTO",IF(J10&gt;=2.34,"MEDIO","BAJO"))</f>
        <v/>
      </c>
    </row>
    <row r="11">
      <c r="B11" s="361" t="inlineStr">
        <is>
          <t>P-04</t>
        </is>
      </c>
      <c r="C11" s="362" t="inlineStr">
        <is>
          <t>Preventa con apartado reembolsable</t>
        </is>
      </c>
      <c r="D11" s="363" t="inlineStr">
        <is>
          <t>Medio</t>
        </is>
      </c>
      <c r="E11" s="363" t="inlineStr">
        <is>
          <t>Alto</t>
        </is>
      </c>
      <c r="F11" s="363" t="inlineStr">
        <is>
          <t>Alto</t>
        </is>
      </c>
      <c r="G11" s="363" t="inlineStr">
        <is>
          <t>Alto</t>
        </is>
      </c>
      <c r="H11" s="363" t="inlineStr">
        <is>
          <t>Bajo</t>
        </is>
      </c>
      <c r="I11" s="363" t="inlineStr">
        <is>
          <t>Alto</t>
        </is>
      </c>
      <c r="J11" s="387">
        <f>(IF(D11="Alto",5,IF(D11="Medio",3,1))+IF(E11="Alto",5,IF(E11="Medio",3,1))+IF(F11="Alto",5,IF(F11="Medio",3,1))+IF(G11="Alto",5,IF(G11="Medio",3,1))+IF(H11="Alto",5,IF(H11="Medio",3,1))+IF(I11="Alto",5,IF(I11="Medio",3,1)))/6</f>
        <v/>
      </c>
      <c r="K11" s="361">
        <f>IF(J11&gt;=3.67,"ALTO",IF(J11&gt;=2.34,"MEDIO","BAJO"))</f>
        <v/>
      </c>
    </row>
    <row r="12">
      <c r="B12" s="361" t="inlineStr">
        <is>
          <t>P-05</t>
        </is>
      </c>
      <c r="C12" s="362" t="inlineStr">
        <is>
          <t>Renta con opción a compra</t>
        </is>
      </c>
      <c r="D12" s="363" t="inlineStr">
        <is>
          <t>Medio</t>
        </is>
      </c>
      <c r="E12" s="363" t="inlineStr">
        <is>
          <t>Medio</t>
        </is>
      </c>
      <c r="F12" s="363" t="inlineStr">
        <is>
          <t>Alto</t>
        </is>
      </c>
      <c r="G12" s="363" t="inlineStr">
        <is>
          <t>Medio</t>
        </is>
      </c>
      <c r="H12" s="363" t="inlineStr">
        <is>
          <t>Bajo</t>
        </is>
      </c>
      <c r="I12" s="363" t="inlineStr">
        <is>
          <t>Medio</t>
        </is>
      </c>
      <c r="J12" s="387">
        <f>(IF(D12="Alto",5,IF(D12="Medio",3,1))+IF(E12="Alto",5,IF(E12="Medio",3,1))+IF(F12="Alto",5,IF(F12="Medio",3,1))+IF(G12="Alto",5,IF(G12="Medio",3,1))+IF(H12="Alto",5,IF(H12="Medio",3,1))+IF(I12="Alto",5,IF(I12="Medio",3,1)))/6</f>
        <v/>
      </c>
      <c r="K12" s="361">
        <f>IF(J12&gt;=3.67,"ALTO",IF(J12&gt;=2.34,"MEDIO","BAJO"))</f>
        <v/>
      </c>
    </row>
    <row r="13">
      <c r="B13" s="361" t="inlineStr">
        <is>
          <t>P-06</t>
        </is>
      </c>
      <c r="C13" s="362" t="inlineStr">
        <is>
          <t>Desarrollo por encargo (obra a la medida)</t>
        </is>
      </c>
      <c r="D13" s="363" t="inlineStr">
        <is>
          <t>Alto</t>
        </is>
      </c>
      <c r="E13" s="363" t="inlineStr">
        <is>
          <t>Bajo</t>
        </is>
      </c>
      <c r="F13" s="363" t="inlineStr">
        <is>
          <t>Alto</t>
        </is>
      </c>
      <c r="G13" s="363" t="inlineStr">
        <is>
          <t>Alto</t>
        </is>
      </c>
      <c r="H13" s="363" t="inlineStr">
        <is>
          <t>Medio</t>
        </is>
      </c>
      <c r="I13" s="363" t="inlineStr">
        <is>
          <t>Medio</t>
        </is>
      </c>
      <c r="J13" s="387">
        <f>(IF(D13="Alto",5,IF(D13="Medio",3,1))+IF(E13="Alto",5,IF(E13="Medio",3,1))+IF(F13="Alto",5,IF(F13="Medio",3,1))+IF(G13="Alto",5,IF(G13="Medio",3,1))+IF(H13="Alto",5,IF(H13="Medio",3,1))+IF(I13="Alto",5,IF(I13="Medio",3,1)))/6</f>
        <v/>
      </c>
      <c r="K13" s="361">
        <f>IF(J13&gt;=3.67,"ALTO",IF(J13&gt;=2.34,"MEDIO","BAJO"))</f>
        <v/>
      </c>
    </row>
    <row r="15">
      <c r="B15" s="386" t="inlineStr">
        <is>
          <t>Los seis indicadores corresponden al elemento 1 de la hoja A1 —actos u operaciones— y a los delitos de los artículos 139 Quáter y 400 Bis del Código Penal Federal. El anonimato no es un atributo del Cliente sino del producto: por eso se mide aquí y no en la hoja B CLIENTE.</t>
        </is>
      </c>
    </row>
    <row r="16"/>
    <row r="17">
      <c r="C17" s="379" t="inlineStr">
        <is>
          <t>Fundamento de cada indicador</t>
        </is>
      </c>
    </row>
    <row r="18">
      <c r="C18" s="388" t="inlineStr">
        <is>
          <t>Valor del producto o servicio</t>
        </is>
      </c>
      <c r="D18" s="388" t="inlineStr">
        <is>
          <t>RCG 10 Septies 1 fr. I a)</t>
        </is>
      </c>
    </row>
    <row r="19">
      <c r="C19" s="388" t="inlineStr">
        <is>
          <t>Liquidez o convertibilidad</t>
        </is>
      </c>
      <c r="D19" s="388" t="inlineStr">
        <is>
          <t>RCG 10 Septies 1 fr. I a)</t>
        </is>
      </c>
    </row>
    <row r="20">
      <c r="C20" s="388" t="inlineStr">
        <is>
          <t>Anonimato que permite</t>
        </is>
      </c>
      <c r="D20" s="388" t="inlineStr">
        <is>
          <t>CPF 400 Bis</t>
        </is>
      </c>
    </row>
    <row r="21">
      <c r="C21" s="388" t="inlineStr">
        <is>
          <t>Facilidad de transferir u ocultar valor</t>
        </is>
      </c>
      <c r="D21" s="388" t="inlineStr">
        <is>
          <t>CPF 400 Bis</t>
        </is>
      </c>
    </row>
    <row r="22">
      <c r="C22" s="388" t="inlineStr">
        <is>
          <t>Exposición al financiamiento al terrorismo</t>
        </is>
      </c>
      <c r="D22" s="388" t="inlineStr">
        <is>
          <t>CPF 139 Quáter</t>
        </is>
      </c>
    </row>
    <row r="23">
      <c r="C23" s="388" t="inlineStr">
        <is>
          <t>Uso de efectivo asociado</t>
        </is>
      </c>
      <c r="D23" s="388" t="inlineStr">
        <is>
          <t>L 32</t>
        </is>
      </c>
    </row>
  </sheetData>
  <mergeCells count="6">
    <mergeCell ref="B15:K16"/>
    <mergeCell ref="B4:K4"/>
    <mergeCell ref="B6:K6"/>
    <mergeCell ref="B2:K2"/>
    <mergeCell ref="B3:K3"/>
    <mergeCell ref="B5:K5"/>
  </mergeCells>
  <dataValidations count="1">
    <dataValidation sqref="D8:I13" showDropDown="0" showInputMessage="0" showErrorMessage="0" allowBlank="0" type="list">
      <formula1>"Alto,Medio,Bajo"</formula1>
    </dataValidation>
  </dataValidations>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B2:H110"/>
  <sheetViews>
    <sheetView showGridLines="0" workbookViewId="0">
      <selection activeCell="A1" sqref="A1"/>
    </sheetView>
  </sheetViews>
  <sheetFormatPr baseColWidth="8" defaultRowHeight="15"/>
  <cols>
    <col width="2" customWidth="1" style="173" min="1" max="1"/>
    <col width="8" customWidth="1" style="173" min="2" max="2"/>
    <col width="14" customWidth="1" style="173" min="3" max="3"/>
    <col width="44" customWidth="1" style="173" min="4" max="4"/>
    <col width="54" customWidth="1" style="173" min="5" max="5"/>
    <col width="8" customWidth="1" style="173" min="6" max="6"/>
    <col width="46" customWidth="1" style="173" min="7" max="7"/>
    <col hidden="1" width="34" customWidth="1" style="173" min="8" max="8"/>
  </cols>
  <sheetData>
    <row r="2">
      <c r="B2" s="354" t="inlineStr">
        <is>
          <t>VARIABLES POR FACTOR · el catálogo del modelo de Cliente</t>
        </is>
      </c>
    </row>
    <row r="3">
      <c r="B3" s="355" t="inlineStr">
        <is>
          <t>Una fila por variable. Es la política escrita del modelo: qué cuenta como riesgo alto, medio o bajo en cada factor. Va en el Manual (Art. 23 Bis).</t>
        </is>
      </c>
    </row>
    <row r="4">
      <c r="B4" s="356" t="inlineStr">
        <is>
          <t>La columna «Fuente del dato» dice de qué anexo o de qué registro sale cada factor. Sin fuente no hay factor: es lo que permite que el modelo se alimente del sistema y no a mano (Art. 41 fr. IV).</t>
        </is>
      </c>
    </row>
    <row r="5" ht="15" customHeight="1" s="173">
      <c r="B5" s="410" t="inlineStr">
        <is>
          <t>Fuera de secuencia  ·  se configura una vez y se revisa al año  ·  Viene de: PRODUCTOS  ·  Sigue: B CLIENTE</t>
        </is>
      </c>
    </row>
    <row r="6" ht="20" customHeight="1" s="173">
      <c r="B6" s="357" t="inlineStr">
        <is>
          <t>CATÁLOGO DE VARIABLES</t>
        </is>
      </c>
    </row>
    <row r="7" ht="30" customHeight="1" s="173">
      <c r="B7" s="407" t="inlineStr">
        <is>
          <t>Clave</t>
        </is>
      </c>
      <c r="C7" s="407" t="inlineStr">
        <is>
          <t>Familia</t>
        </is>
      </c>
      <c r="D7" s="407" t="inlineStr">
        <is>
          <t>Factor</t>
        </is>
      </c>
      <c r="E7" s="407" t="inlineStr">
        <is>
          <t>Variable</t>
        </is>
      </c>
      <c r="F7" s="407" t="inlineStr">
        <is>
          <t>Nivel</t>
        </is>
      </c>
      <c r="G7" s="407" t="inlineStr">
        <is>
          <t>Fuente del dato</t>
        </is>
      </c>
      <c r="H7" s="407" t="inlineStr">
        <is>
          <t>Llave</t>
        </is>
      </c>
    </row>
    <row r="8">
      <c r="B8" s="389" t="inlineStr">
        <is>
          <t>F01</t>
        </is>
      </c>
      <c r="C8" s="390" t="inlineStr">
        <is>
          <t>Inherente</t>
        </is>
      </c>
      <c r="D8" s="391" t="inlineStr">
        <is>
          <t>Tipo de persona y estructura</t>
        </is>
      </c>
      <c r="E8" s="362" t="inlineStr">
        <is>
          <t>Persona física mexicana, sin estructura</t>
        </is>
      </c>
      <c r="F8" s="361" t="n">
        <v>1</v>
      </c>
      <c r="G8" s="367" t="inlineStr">
        <is>
          <t>Anexo aplicable: 3 física · 4 moral · 8 fideicomiso</t>
        </is>
      </c>
      <c r="H8" s="392">
        <f>'VARIABLES'!$B8&amp;"|"&amp;'VARIABLES'!$E8</f>
        <v/>
      </c>
    </row>
    <row r="9">
      <c r="B9" s="389" t="inlineStr">
        <is>
          <t>F01</t>
        </is>
      </c>
      <c r="C9" s="390" t="inlineStr">
        <is>
          <t>Inherente</t>
        </is>
      </c>
      <c r="D9" s="391" t="inlineStr">
        <is>
          <t>Tipo de persona y estructura</t>
        </is>
      </c>
      <c r="E9" s="362" t="inlineStr">
        <is>
          <t>Persona física extranjera</t>
        </is>
      </c>
      <c r="F9" s="361" t="n">
        <v>3</v>
      </c>
      <c r="G9" s="367" t="inlineStr">
        <is>
          <t>Anexo aplicable: 3 física · 4 moral · 8 fideicomiso</t>
        </is>
      </c>
      <c r="H9" s="392">
        <f>'VARIABLES'!$B9&amp;"|"&amp;'VARIABLES'!$E9</f>
        <v/>
      </c>
    </row>
    <row r="10">
      <c r="B10" s="389" t="inlineStr">
        <is>
          <t>F01</t>
        </is>
      </c>
      <c r="C10" s="390" t="inlineStr">
        <is>
          <t>Inherente</t>
        </is>
      </c>
      <c r="D10" s="391" t="inlineStr">
        <is>
          <t>Tipo de persona y estructura</t>
        </is>
      </c>
      <c r="E10" s="362" t="inlineStr">
        <is>
          <t>Persona moral con socios identificados</t>
        </is>
      </c>
      <c r="F10" s="361" t="n">
        <v>3</v>
      </c>
      <c r="G10" s="367" t="inlineStr">
        <is>
          <t>Anexo aplicable: 3 física · 4 moral · 8 fideicomiso</t>
        </is>
      </c>
      <c r="H10" s="392">
        <f>'VARIABLES'!$B10&amp;"|"&amp;'VARIABLES'!$E10</f>
        <v/>
      </c>
    </row>
    <row r="11">
      <c r="B11" s="389" t="inlineStr">
        <is>
          <t>F01</t>
        </is>
      </c>
      <c r="C11" s="390" t="inlineStr">
        <is>
          <t>Inherente</t>
        </is>
      </c>
      <c r="D11" s="391" t="inlineStr">
        <is>
          <t>Tipo de persona y estructura</t>
        </is>
      </c>
      <c r="E11" s="362" t="inlineStr">
        <is>
          <t>Persona moral con estructura de dos o más niveles</t>
        </is>
      </c>
      <c r="F11" s="361" t="n">
        <v>5</v>
      </c>
      <c r="G11" s="367" t="inlineStr">
        <is>
          <t>Anexo aplicable: 3 física · 4 moral · 8 fideicomiso</t>
        </is>
      </c>
      <c r="H11" s="392">
        <f>'VARIABLES'!$B11&amp;"|"&amp;'VARIABLES'!$E11</f>
        <v/>
      </c>
    </row>
    <row r="12">
      <c r="B12" s="389" t="inlineStr">
        <is>
          <t>F01</t>
        </is>
      </c>
      <c r="C12" s="390" t="inlineStr">
        <is>
          <t>Inherente</t>
        </is>
      </c>
      <c r="D12" s="391" t="inlineStr">
        <is>
          <t>Tipo de persona y estructura</t>
        </is>
      </c>
      <c r="E12" s="362" t="inlineStr">
        <is>
          <t>Fideicomiso</t>
        </is>
      </c>
      <c r="F12" s="361" t="n">
        <v>5</v>
      </c>
      <c r="G12" s="367" t="inlineStr">
        <is>
          <t>Anexo aplicable: 3 física · 4 moral · 8 fideicomiso</t>
        </is>
      </c>
      <c r="H12" s="392">
        <f>'VARIABLES'!$B12&amp;"|"&amp;'VARIABLES'!$E12</f>
        <v/>
      </c>
    </row>
    <row r="13">
      <c r="B13" s="389" t="inlineStr">
        <is>
          <t>F01</t>
        </is>
      </c>
      <c r="C13" s="390" t="inlineStr">
        <is>
          <t>Inherente</t>
        </is>
      </c>
      <c r="D13" s="391" t="inlineStr">
        <is>
          <t>Tipo de persona y estructura</t>
        </is>
      </c>
      <c r="E13" s="362" t="inlineStr">
        <is>
          <t>No determinado</t>
        </is>
      </c>
      <c r="F13" s="361" t="n">
        <v>5</v>
      </c>
      <c r="G13" s="367" t="inlineStr">
        <is>
          <t>Anexo aplicable: 3 física · 4 moral · 8 fideicomiso</t>
        </is>
      </c>
      <c r="H13" s="392">
        <f>'VARIABLES'!$B13&amp;"|"&amp;'VARIABLES'!$E13</f>
        <v/>
      </c>
    </row>
    <row r="14">
      <c r="B14" s="389" t="inlineStr">
        <is>
          <t>F02</t>
        </is>
      </c>
      <c r="C14" s="390" t="inlineStr">
        <is>
          <t>Inherente</t>
        </is>
      </c>
      <c r="D14" s="391" t="inlineStr">
        <is>
          <t>Fecha de nacimiento o de constitución</t>
        </is>
      </c>
      <c r="E14" s="362" t="inlineStr">
        <is>
          <t>Persona física de 23 a 59 años</t>
        </is>
      </c>
      <c r="F14" s="361" t="n">
        <v>1</v>
      </c>
      <c r="G14" s="367" t="inlineStr">
        <is>
          <t>A3 a) ii) · A4 a) ii)</t>
        </is>
      </c>
      <c r="H14" s="392">
        <f>'VARIABLES'!$B14&amp;"|"&amp;'VARIABLES'!$E14</f>
        <v/>
      </c>
    </row>
    <row r="15">
      <c r="B15" s="389" t="inlineStr">
        <is>
          <t>F02</t>
        </is>
      </c>
      <c r="C15" s="390" t="inlineStr">
        <is>
          <t>Inherente</t>
        </is>
      </c>
      <c r="D15" s="391" t="inlineStr">
        <is>
          <t>Fecha de nacimiento o de constitución</t>
        </is>
      </c>
      <c r="E15" s="362" t="inlineStr">
        <is>
          <t>Persona física mayor de 60 años</t>
        </is>
      </c>
      <c r="F15" s="361" t="n">
        <v>1</v>
      </c>
      <c r="G15" s="367" t="inlineStr">
        <is>
          <t>A3 a) ii) · A4 a) ii)</t>
        </is>
      </c>
      <c r="H15" s="392">
        <f>'VARIABLES'!$B15&amp;"|"&amp;'VARIABLES'!$E15</f>
        <v/>
      </c>
    </row>
    <row r="16">
      <c r="B16" s="389" t="inlineStr">
        <is>
          <t>F02</t>
        </is>
      </c>
      <c r="C16" s="390" t="inlineStr">
        <is>
          <t>Inherente</t>
        </is>
      </c>
      <c r="D16" s="391" t="inlineStr">
        <is>
          <t>Fecha de nacimiento o de constitución</t>
        </is>
      </c>
      <c r="E16" s="362" t="inlineStr">
        <is>
          <t>Persona física menor de 23 años</t>
        </is>
      </c>
      <c r="F16" s="361" t="n">
        <v>3</v>
      </c>
      <c r="G16" s="367" t="inlineStr">
        <is>
          <t>A3 a) ii) · A4 a) ii)</t>
        </is>
      </c>
      <c r="H16" s="392">
        <f>'VARIABLES'!$B16&amp;"|"&amp;'VARIABLES'!$E16</f>
        <v/>
      </c>
    </row>
    <row r="17">
      <c r="B17" s="389" t="inlineStr">
        <is>
          <t>F02</t>
        </is>
      </c>
      <c r="C17" s="390" t="inlineStr">
        <is>
          <t>Inherente</t>
        </is>
      </c>
      <c r="D17" s="391" t="inlineStr">
        <is>
          <t>Fecha de nacimiento o de constitución</t>
        </is>
      </c>
      <c r="E17" s="362" t="inlineStr">
        <is>
          <t>Persona moral constituida hace más de 5 años</t>
        </is>
      </c>
      <c r="F17" s="361" t="n">
        <v>1</v>
      </c>
      <c r="G17" s="367" t="inlineStr">
        <is>
          <t>A3 a) ii) · A4 a) ii)</t>
        </is>
      </c>
      <c r="H17" s="392">
        <f>'VARIABLES'!$B17&amp;"|"&amp;'VARIABLES'!$E17</f>
        <v/>
      </c>
    </row>
    <row r="18">
      <c r="B18" s="389" t="inlineStr">
        <is>
          <t>F02</t>
        </is>
      </c>
      <c r="C18" s="390" t="inlineStr">
        <is>
          <t>Inherente</t>
        </is>
      </c>
      <c r="D18" s="391" t="inlineStr">
        <is>
          <t>Fecha de nacimiento o de constitución</t>
        </is>
      </c>
      <c r="E18" s="362" t="inlineStr">
        <is>
          <t>Persona moral constituida hace 2 a 5 años</t>
        </is>
      </c>
      <c r="F18" s="361" t="n">
        <v>3</v>
      </c>
      <c r="G18" s="367" t="inlineStr">
        <is>
          <t>A3 a) ii) · A4 a) ii)</t>
        </is>
      </c>
      <c r="H18" s="392">
        <f>'VARIABLES'!$B18&amp;"|"&amp;'VARIABLES'!$E18</f>
        <v/>
      </c>
    </row>
    <row r="19">
      <c r="B19" s="389" t="inlineStr">
        <is>
          <t>F02</t>
        </is>
      </c>
      <c r="C19" s="390" t="inlineStr">
        <is>
          <t>Inherente</t>
        </is>
      </c>
      <c r="D19" s="391" t="inlineStr">
        <is>
          <t>Fecha de nacimiento o de constitución</t>
        </is>
      </c>
      <c r="E19" s="362" t="inlineStr">
        <is>
          <t>Persona moral constituida hace menos de 2 años</t>
        </is>
      </c>
      <c r="F19" s="361" t="n">
        <v>5</v>
      </c>
      <c r="G19" s="367" t="inlineStr">
        <is>
          <t>A3 a) ii) · A4 a) ii)</t>
        </is>
      </c>
      <c r="H19" s="392">
        <f>'VARIABLES'!$B19&amp;"|"&amp;'VARIABLES'!$E19</f>
        <v/>
      </c>
    </row>
    <row r="20">
      <c r="B20" s="389" t="inlineStr">
        <is>
          <t>F02</t>
        </is>
      </c>
      <c r="C20" s="390" t="inlineStr">
        <is>
          <t>Inherente</t>
        </is>
      </c>
      <c r="D20" s="391" t="inlineStr">
        <is>
          <t>Fecha de nacimiento o de constitución</t>
        </is>
      </c>
      <c r="E20" s="362" t="inlineStr">
        <is>
          <t>No determinado</t>
        </is>
      </c>
      <c r="F20" s="361" t="n">
        <v>5</v>
      </c>
      <c r="G20" s="367" t="inlineStr">
        <is>
          <t>A3 a) ii) · A4 a) ii)</t>
        </is>
      </c>
      <c r="H20" s="392">
        <f>'VARIABLES'!$B20&amp;"|"&amp;'VARIABLES'!$E20</f>
        <v/>
      </c>
    </row>
    <row r="21">
      <c r="B21" s="389" t="inlineStr">
        <is>
          <t>F03</t>
        </is>
      </c>
      <c r="C21" s="390" t="inlineStr">
        <is>
          <t>Inherente</t>
        </is>
      </c>
      <c r="D21" s="391" t="inlineStr">
        <is>
          <t>Actividad, ocupación, profesión o giro</t>
        </is>
      </c>
      <c r="E21" s="362" t="inlineStr">
        <is>
          <t>Empleo asalariado o pensionado</t>
        </is>
      </c>
      <c r="F21" s="361" t="n">
        <v>1</v>
      </c>
      <c r="G21" s="367" t="inlineStr">
        <is>
          <t>A3 a) v) · A4 a) iv)</t>
        </is>
      </c>
      <c r="H21" s="392">
        <f>'VARIABLES'!$B21&amp;"|"&amp;'VARIABLES'!$E21</f>
        <v/>
      </c>
    </row>
    <row r="22">
      <c r="B22" s="389" t="inlineStr">
        <is>
          <t>F03</t>
        </is>
      </c>
      <c r="C22" s="390" t="inlineStr">
        <is>
          <t>Inherente</t>
        </is>
      </c>
      <c r="D22" s="391" t="inlineStr">
        <is>
          <t>Actividad, ocupación, profesión o giro</t>
        </is>
      </c>
      <c r="E22" s="362" t="inlineStr">
        <is>
          <t>Comercio al menudeo formal</t>
        </is>
      </c>
      <c r="F22" s="361" t="n">
        <v>1</v>
      </c>
      <c r="G22" s="367" t="inlineStr">
        <is>
          <t>A3 a) v) · A4 a) iv)</t>
        </is>
      </c>
      <c r="H22" s="392">
        <f>'VARIABLES'!$B22&amp;"|"&amp;'VARIABLES'!$E22</f>
        <v/>
      </c>
    </row>
    <row r="23">
      <c r="B23" s="389" t="inlineStr">
        <is>
          <t>F03</t>
        </is>
      </c>
      <c r="C23" s="390" t="inlineStr">
        <is>
          <t>Inherente</t>
        </is>
      </c>
      <c r="D23" s="391" t="inlineStr">
        <is>
          <t>Actividad, ocupación, profesión o giro</t>
        </is>
      </c>
      <c r="E23" s="362" t="inlineStr">
        <is>
          <t>Servicios profesionales</t>
        </is>
      </c>
      <c r="F23" s="361" t="n">
        <v>3</v>
      </c>
      <c r="G23" s="367" t="inlineStr">
        <is>
          <t>A3 a) v) · A4 a) iv)</t>
        </is>
      </c>
      <c r="H23" s="392">
        <f>'VARIABLES'!$B23&amp;"|"&amp;'VARIABLES'!$E23</f>
        <v/>
      </c>
    </row>
    <row r="24">
      <c r="B24" s="389" t="inlineStr">
        <is>
          <t>F03</t>
        </is>
      </c>
      <c r="C24" s="390" t="inlineStr">
        <is>
          <t>Inherente</t>
        </is>
      </c>
      <c r="D24" s="391" t="inlineStr">
        <is>
          <t>Actividad, ocupación, profesión o giro</t>
        </is>
      </c>
      <c r="E24" s="362" t="inlineStr">
        <is>
          <t>Construcción o desarrollo inmobiliario</t>
        </is>
      </c>
      <c r="F24" s="361" t="n">
        <v>3</v>
      </c>
      <c r="G24" s="367" t="inlineStr">
        <is>
          <t>A3 a) v) · A4 a) iv)</t>
        </is>
      </c>
      <c r="H24" s="392">
        <f>'VARIABLES'!$B24&amp;"|"&amp;'VARIABLES'!$E24</f>
        <v/>
      </c>
    </row>
    <row r="25">
      <c r="B25" s="389" t="inlineStr">
        <is>
          <t>F03</t>
        </is>
      </c>
      <c r="C25" s="390" t="inlineStr">
        <is>
          <t>Inherente</t>
        </is>
      </c>
      <c r="D25" s="391" t="inlineStr">
        <is>
          <t>Actividad, ocupación, profesión o giro</t>
        </is>
      </c>
      <c r="E25" s="362" t="inlineStr">
        <is>
          <t>Actividad con manejo intensivo de efectivo</t>
        </is>
      </c>
      <c r="F25" s="361" t="n">
        <v>5</v>
      </c>
      <c r="G25" s="367" t="inlineStr">
        <is>
          <t>A3 a) v) · A4 a) iv)</t>
        </is>
      </c>
      <c r="H25" s="392">
        <f>'VARIABLES'!$B25&amp;"|"&amp;'VARIABLES'!$E25</f>
        <v/>
      </c>
    </row>
    <row r="26">
      <c r="B26" s="389" t="inlineStr">
        <is>
          <t>F03</t>
        </is>
      </c>
      <c r="C26" s="390" t="inlineStr">
        <is>
          <t>Inherente</t>
        </is>
      </c>
      <c r="D26" s="391" t="inlineStr">
        <is>
          <t>Actividad, ocupación, profesión o giro</t>
        </is>
      </c>
      <c r="E26" s="362" t="inlineStr">
        <is>
          <t>Comercio de metales, joyería o arte</t>
        </is>
      </c>
      <c r="F26" s="361" t="n">
        <v>5</v>
      </c>
      <c r="G26" s="367" t="inlineStr">
        <is>
          <t>A3 a) v) · A4 a) iv)</t>
        </is>
      </c>
      <c r="H26" s="392">
        <f>'VARIABLES'!$B26&amp;"|"&amp;'VARIABLES'!$E26</f>
        <v/>
      </c>
    </row>
    <row r="27">
      <c r="B27" s="389" t="inlineStr">
        <is>
          <t>F03</t>
        </is>
      </c>
      <c r="C27" s="390" t="inlineStr">
        <is>
          <t>Inherente</t>
        </is>
      </c>
      <c r="D27" s="391" t="inlineStr">
        <is>
          <t>Actividad, ocupación, profesión o giro</t>
        </is>
      </c>
      <c r="E27" s="362" t="inlineStr">
        <is>
          <t>Fedatario público, abogado o contador que administra recursos de terceros</t>
        </is>
      </c>
      <c r="F27" s="361" t="n">
        <v>5</v>
      </c>
      <c r="G27" s="367" t="inlineStr">
        <is>
          <t>A3 a) v) · A4 a) iv)</t>
        </is>
      </c>
      <c r="H27" s="392">
        <f>'VARIABLES'!$B27&amp;"|"&amp;'VARIABLES'!$E27</f>
        <v/>
      </c>
    </row>
    <row r="28">
      <c r="B28" s="389" t="inlineStr">
        <is>
          <t>F03</t>
        </is>
      </c>
      <c r="C28" s="390" t="inlineStr">
        <is>
          <t>Inherente</t>
        </is>
      </c>
      <c r="D28" s="391" t="inlineStr">
        <is>
          <t>Actividad, ocupación, profesión o giro</t>
        </is>
      </c>
      <c r="E28" s="362" t="inlineStr">
        <is>
          <t>Actividad no acreditada o no determinada</t>
        </is>
      </c>
      <c r="F28" s="361" t="n">
        <v>5</v>
      </c>
      <c r="G28" s="367" t="inlineStr">
        <is>
          <t>A3 a) v) · A4 a) iv)</t>
        </is>
      </c>
      <c r="H28" s="392">
        <f>'VARIABLES'!$B28&amp;"|"&amp;'VARIABLES'!$E28</f>
        <v/>
      </c>
    </row>
    <row r="29">
      <c r="B29" s="389" t="inlineStr">
        <is>
          <t>F04</t>
        </is>
      </c>
      <c r="C29" s="390" t="inlineStr">
        <is>
          <t>Inherente</t>
        </is>
      </c>
      <c r="D29" s="391" t="inlineStr">
        <is>
          <t>País de nacionalidad</t>
        </is>
      </c>
      <c r="E29" s="362" t="inlineStr">
        <is>
          <t>Mexicana</t>
        </is>
      </c>
      <c r="F29" s="361" t="n">
        <v>1</v>
      </c>
      <c r="G29" s="367" t="inlineStr">
        <is>
          <t>A3 a) iv) · A4 a) iii)</t>
        </is>
      </c>
      <c r="H29" s="392">
        <f>'VARIABLES'!$B29&amp;"|"&amp;'VARIABLES'!$E29</f>
        <v/>
      </c>
    </row>
    <row r="30">
      <c r="B30" s="389" t="inlineStr">
        <is>
          <t>F04</t>
        </is>
      </c>
      <c r="C30" s="390" t="inlineStr">
        <is>
          <t>Inherente</t>
        </is>
      </c>
      <c r="D30" s="391" t="inlineStr">
        <is>
          <t>País de nacionalidad</t>
        </is>
      </c>
      <c r="E30" s="362" t="inlineStr">
        <is>
          <t>Extranjera de país sin señalamiento</t>
        </is>
      </c>
      <c r="F30" s="361" t="n">
        <v>3</v>
      </c>
      <c r="G30" s="367" t="inlineStr">
        <is>
          <t>A3 a) iv) · A4 a) iii)</t>
        </is>
      </c>
      <c r="H30" s="392">
        <f>'VARIABLES'!$B30&amp;"|"&amp;'VARIABLES'!$E30</f>
        <v/>
      </c>
    </row>
    <row r="31">
      <c r="B31" s="389" t="inlineStr">
        <is>
          <t>F04</t>
        </is>
      </c>
      <c r="C31" s="390" t="inlineStr">
        <is>
          <t>Inherente</t>
        </is>
      </c>
      <c r="D31" s="391" t="inlineStr">
        <is>
          <t>País de nacionalidad</t>
        </is>
      </c>
      <c r="E31" s="362" t="inlineStr">
        <is>
          <t>Extranjera de país o jurisdicción señalada por la UIF</t>
        </is>
      </c>
      <c r="F31" s="361" t="n">
        <v>5</v>
      </c>
      <c r="G31" s="367" t="inlineStr">
        <is>
          <t>A3 a) iv) · A4 a) iii)</t>
        </is>
      </c>
      <c r="H31" s="392">
        <f>'VARIABLES'!$B31&amp;"|"&amp;'VARIABLES'!$E31</f>
        <v/>
      </c>
    </row>
    <row r="32">
      <c r="B32" s="389" t="inlineStr">
        <is>
          <t>F04</t>
        </is>
      </c>
      <c r="C32" s="390" t="inlineStr">
        <is>
          <t>Inherente</t>
        </is>
      </c>
      <c r="D32" s="391" t="inlineStr">
        <is>
          <t>País de nacionalidad</t>
        </is>
      </c>
      <c r="E32" s="362" t="inlineStr">
        <is>
          <t>No determinada</t>
        </is>
      </c>
      <c r="F32" s="361" t="n">
        <v>5</v>
      </c>
      <c r="G32" s="367" t="inlineStr">
        <is>
          <t>A3 a) iv) · A4 a) iii)</t>
        </is>
      </c>
      <c r="H32" s="392">
        <f>'VARIABLES'!$B32&amp;"|"&amp;'VARIABLES'!$E32</f>
        <v/>
      </c>
    </row>
    <row r="33">
      <c r="B33" s="389" t="inlineStr">
        <is>
          <t>F05</t>
        </is>
      </c>
      <c r="C33" s="390" t="inlineStr">
        <is>
          <t>Inherente</t>
        </is>
      </c>
      <c r="D33" s="391" t="inlineStr">
        <is>
          <t>Domicilio: país y estado de residencia</t>
        </is>
      </c>
      <c r="E33" s="362" t="inlineStr">
        <is>
          <t>Residente en México, entidad federativa sin señalamiento</t>
        </is>
      </c>
      <c r="F33" s="361" t="n">
        <v>1</v>
      </c>
      <c r="G33" s="367" t="inlineStr">
        <is>
          <t>A3 a) vi) · A4 a) v)</t>
        </is>
      </c>
      <c r="H33" s="392">
        <f>'VARIABLES'!$B33&amp;"|"&amp;'VARIABLES'!$E33</f>
        <v/>
      </c>
    </row>
    <row r="34">
      <c r="B34" s="389" t="inlineStr">
        <is>
          <t>F05</t>
        </is>
      </c>
      <c r="C34" s="390" t="inlineStr">
        <is>
          <t>Inherente</t>
        </is>
      </c>
      <c r="D34" s="391" t="inlineStr">
        <is>
          <t>Domicilio: país y estado de residencia</t>
        </is>
      </c>
      <c r="E34" s="362" t="inlineStr">
        <is>
          <t>Residente en México, entidad federativa señalada en la ENR</t>
        </is>
      </c>
      <c r="F34" s="361" t="n">
        <v>3</v>
      </c>
      <c r="G34" s="367" t="inlineStr">
        <is>
          <t>A3 a) vi) · A4 a) v)</t>
        </is>
      </c>
      <c r="H34" s="392">
        <f>'VARIABLES'!$B34&amp;"|"&amp;'VARIABLES'!$E34</f>
        <v/>
      </c>
    </row>
    <row r="35">
      <c r="B35" s="389" t="inlineStr">
        <is>
          <t>F05</t>
        </is>
      </c>
      <c r="C35" s="390" t="inlineStr">
        <is>
          <t>Inherente</t>
        </is>
      </c>
      <c r="D35" s="391" t="inlineStr">
        <is>
          <t>Domicilio: país y estado de residencia</t>
        </is>
      </c>
      <c r="E35" s="362" t="inlineStr">
        <is>
          <t>Residente en el extranjero, país sin señalamiento</t>
        </is>
      </c>
      <c r="F35" s="361" t="n">
        <v>3</v>
      </c>
      <c r="G35" s="367" t="inlineStr">
        <is>
          <t>A3 a) vi) · A4 a) v)</t>
        </is>
      </c>
      <c r="H35" s="392">
        <f>'VARIABLES'!$B35&amp;"|"&amp;'VARIABLES'!$E35</f>
        <v/>
      </c>
    </row>
    <row r="36">
      <c r="B36" s="389" t="inlineStr">
        <is>
          <t>F05</t>
        </is>
      </c>
      <c r="C36" s="390" t="inlineStr">
        <is>
          <t>Inherente</t>
        </is>
      </c>
      <c r="D36" s="391" t="inlineStr">
        <is>
          <t>Domicilio: país y estado de residencia</t>
        </is>
      </c>
      <c r="E36" s="362" t="inlineStr">
        <is>
          <t>Residente en el extranjero, jurisdicción de régimen fiscal preferente o deficiente</t>
        </is>
      </c>
      <c r="F36" s="361" t="n">
        <v>5</v>
      </c>
      <c r="G36" s="367" t="inlineStr">
        <is>
          <t>A3 a) vi) · A4 a) v)</t>
        </is>
      </c>
      <c r="H36" s="392">
        <f>'VARIABLES'!$B36&amp;"|"&amp;'VARIABLES'!$E36</f>
        <v/>
      </c>
    </row>
    <row r="37">
      <c r="B37" s="389" t="inlineStr">
        <is>
          <t>F05</t>
        </is>
      </c>
      <c r="C37" s="390" t="inlineStr">
        <is>
          <t>Inherente</t>
        </is>
      </c>
      <c r="D37" s="391" t="inlineStr">
        <is>
          <t>Domicilio: país y estado de residencia</t>
        </is>
      </c>
      <c r="E37" s="362" t="inlineStr">
        <is>
          <t>No determinado</t>
        </is>
      </c>
      <c r="F37" s="361" t="n">
        <v>5</v>
      </c>
      <c r="G37" s="367" t="inlineStr">
        <is>
          <t>A3 a) vi) · A4 a) v)</t>
        </is>
      </c>
      <c r="H37" s="392">
        <f>'VARIABLES'!$B37&amp;"|"&amp;'VARIABLES'!$E37</f>
        <v/>
      </c>
    </row>
    <row r="38">
      <c r="B38" s="389" t="inlineStr">
        <is>
          <t>F06</t>
        </is>
      </c>
      <c r="C38" s="390" t="inlineStr">
        <is>
          <t>Inherente</t>
        </is>
      </c>
      <c r="D38" s="391" t="inlineStr">
        <is>
          <t>Condición de Persona Políticamente Expuesta</t>
        </is>
      </c>
      <c r="E38" s="362" t="inlineStr">
        <is>
          <t>No es Persona Políticamente Expuesta</t>
        </is>
      </c>
      <c r="F38" s="361" t="n">
        <v>1</v>
      </c>
      <c r="G38" s="367" t="inlineStr">
        <is>
          <t>Anexo 10 · RCG 23 Bis 3 y 23 Bis 4</t>
        </is>
      </c>
      <c r="H38" s="392">
        <f>'VARIABLES'!$B38&amp;"|"&amp;'VARIABLES'!$E38</f>
        <v/>
      </c>
    </row>
    <row r="39">
      <c r="B39" s="389" t="inlineStr">
        <is>
          <t>F06</t>
        </is>
      </c>
      <c r="C39" s="390" t="inlineStr">
        <is>
          <t>Inherente</t>
        </is>
      </c>
      <c r="D39" s="391" t="inlineStr">
        <is>
          <t>Condición de Persona Políticamente Expuesta</t>
        </is>
      </c>
      <c r="E39" s="362" t="inlineStr">
        <is>
          <t>PEP nacional, comportamiento congruente con ingresos y funciones</t>
        </is>
      </c>
      <c r="F39" s="361" t="n">
        <v>3</v>
      </c>
      <c r="G39" s="367" t="inlineStr">
        <is>
          <t>Anexo 10 · RCG 23 Bis 3 y 23 Bis 4</t>
        </is>
      </c>
      <c r="H39" s="392">
        <f>'VARIABLES'!$B39&amp;"|"&amp;'VARIABLES'!$E39</f>
        <v/>
      </c>
    </row>
    <row r="40">
      <c r="B40" s="389" t="inlineStr">
        <is>
          <t>F06</t>
        </is>
      </c>
      <c r="C40" s="390" t="inlineStr">
        <is>
          <t>Inherente</t>
        </is>
      </c>
      <c r="D40" s="391" t="inlineStr">
        <is>
          <t>Condición de Persona Políticamente Expuesta</t>
        </is>
      </c>
      <c r="E40" s="362" t="inlineStr">
        <is>
          <t>PEP nacional, comportamiento no congruente o no verificado</t>
        </is>
      </c>
      <c r="F40" s="361" t="n">
        <v>5</v>
      </c>
      <c r="G40" s="367" t="inlineStr">
        <is>
          <t>Anexo 10 · RCG 23 Bis 3 y 23 Bis 4</t>
        </is>
      </c>
      <c r="H40" s="392">
        <f>'VARIABLES'!$B40&amp;"|"&amp;'VARIABLES'!$E40</f>
        <v/>
      </c>
    </row>
    <row r="41">
      <c r="B41" s="389" t="inlineStr">
        <is>
          <t>F06</t>
        </is>
      </c>
      <c r="C41" s="390" t="inlineStr">
        <is>
          <t>Inherente</t>
        </is>
      </c>
      <c r="D41" s="391" t="inlineStr">
        <is>
          <t>Condición de Persona Políticamente Expuesta</t>
        </is>
      </c>
      <c r="E41" s="362" t="inlineStr">
        <is>
          <t>PEP extranjera</t>
        </is>
      </c>
      <c r="F41" s="361" t="n">
        <v>5</v>
      </c>
      <c r="G41" s="367" t="inlineStr">
        <is>
          <t>Anexo 10 · RCG 23 Bis 3 y 23 Bis 4</t>
        </is>
      </c>
      <c r="H41" s="392">
        <f>'VARIABLES'!$B41&amp;"|"&amp;'VARIABLES'!$E41</f>
        <v/>
      </c>
    </row>
    <row r="42">
      <c r="B42" s="389" t="inlineStr">
        <is>
          <t>F06</t>
        </is>
      </c>
      <c r="C42" s="390" t="inlineStr">
        <is>
          <t>Inherente</t>
        </is>
      </c>
      <c r="D42" s="391" t="inlineStr">
        <is>
          <t>Condición de Persona Políticamente Expuesta</t>
        </is>
      </c>
      <c r="E42" s="362" t="inlineStr">
        <is>
          <t>Familiar o allegado de PEP</t>
        </is>
      </c>
      <c r="F42" s="361" t="n">
        <v>3</v>
      </c>
      <c r="G42" s="367" t="inlineStr">
        <is>
          <t>Anexo 10 · RCG 23 Bis 3 y 23 Bis 4</t>
        </is>
      </c>
      <c r="H42" s="392">
        <f>'VARIABLES'!$B42&amp;"|"&amp;'VARIABLES'!$E42</f>
        <v/>
      </c>
    </row>
    <row r="43">
      <c r="B43" s="389" t="inlineStr">
        <is>
          <t>F06</t>
        </is>
      </c>
      <c r="C43" s="390" t="inlineStr">
        <is>
          <t>Inherente</t>
        </is>
      </c>
      <c r="D43" s="391" t="inlineStr">
        <is>
          <t>Condición de Persona Políticamente Expuesta</t>
        </is>
      </c>
      <c r="E43" s="362" t="inlineStr">
        <is>
          <t>No determinado</t>
        </is>
      </c>
      <c r="F43" s="361" t="n">
        <v>5</v>
      </c>
      <c r="G43" s="367" t="inlineStr">
        <is>
          <t>Anexo 10 · RCG 23 Bis 3 y 23 Bis 4</t>
        </is>
      </c>
      <c r="H43" s="392">
        <f>'VARIABLES'!$B43&amp;"|"&amp;'VARIABLES'!$E43</f>
        <v/>
      </c>
    </row>
    <row r="44">
      <c r="B44" s="389" t="inlineStr">
        <is>
          <t>F07</t>
        </is>
      </c>
      <c r="C44" s="390" t="inlineStr">
        <is>
          <t>Inherente</t>
        </is>
      </c>
      <c r="D44" s="391" t="inlineStr">
        <is>
          <t>Coincidencia en listas de personas bloqueadas</t>
        </is>
      </c>
      <c r="E44" s="362" t="inlineStr">
        <is>
          <t>Sin coincidencia, búsqueda documentada en la operación</t>
        </is>
      </c>
      <c r="F44" s="361" t="n">
        <v>1</v>
      </c>
      <c r="G44" s="367" t="inlineStr">
        <is>
          <t>RCG 38 · RCG 41 fr. V</t>
        </is>
      </c>
      <c r="H44" s="392">
        <f>'VARIABLES'!$B44&amp;"|"&amp;'VARIABLES'!$E44</f>
        <v/>
      </c>
    </row>
    <row r="45">
      <c r="B45" s="389" t="inlineStr">
        <is>
          <t>F07</t>
        </is>
      </c>
      <c r="C45" s="390" t="inlineStr">
        <is>
          <t>Inherente</t>
        </is>
      </c>
      <c r="D45" s="391" t="inlineStr">
        <is>
          <t>Coincidencia en listas de personas bloqueadas</t>
        </is>
      </c>
      <c r="E45" s="362" t="inlineStr">
        <is>
          <t>Coincidencia descartada con constancia (homonimia acreditada)</t>
        </is>
      </c>
      <c r="F45" s="361" t="n">
        <v>3</v>
      </c>
      <c r="G45" s="367" t="inlineStr">
        <is>
          <t>RCG 38 · RCG 41 fr. V</t>
        </is>
      </c>
      <c r="H45" s="392">
        <f>'VARIABLES'!$B45&amp;"|"&amp;'VARIABLES'!$E45</f>
        <v/>
      </c>
    </row>
    <row r="46">
      <c r="B46" s="389" t="inlineStr">
        <is>
          <t>F07</t>
        </is>
      </c>
      <c r="C46" s="390" t="inlineStr">
        <is>
          <t>Inherente</t>
        </is>
      </c>
      <c r="D46" s="391" t="inlineStr">
        <is>
          <t>Coincidencia en listas de personas bloqueadas</t>
        </is>
      </c>
      <c r="E46" s="362" t="inlineStr">
        <is>
          <t>Coincidencia positiva en lista de personas bloqueadas o de sanciones</t>
        </is>
      </c>
      <c r="F46" s="361" t="n">
        <v>5</v>
      </c>
      <c r="G46" s="367" t="inlineStr">
        <is>
          <t>RCG 38 · RCG 41 fr. V</t>
        </is>
      </c>
      <c r="H46" s="392">
        <f>'VARIABLES'!$B46&amp;"|"&amp;'VARIABLES'!$E46</f>
        <v/>
      </c>
    </row>
    <row r="47">
      <c r="B47" s="389" t="inlineStr">
        <is>
          <t>F07</t>
        </is>
      </c>
      <c r="C47" s="390" t="inlineStr">
        <is>
          <t>Inherente</t>
        </is>
      </c>
      <c r="D47" s="391" t="inlineStr">
        <is>
          <t>Coincidencia en listas de personas bloqueadas</t>
        </is>
      </c>
      <c r="E47" s="362" t="inlineStr">
        <is>
          <t>Búsqueda no realizada o sin constancia</t>
        </is>
      </c>
      <c r="F47" s="361" t="n">
        <v>5</v>
      </c>
      <c r="G47" s="367" t="inlineStr">
        <is>
          <t>RCG 38 · RCG 41 fr. V</t>
        </is>
      </c>
      <c r="H47" s="392">
        <f>'VARIABLES'!$B47&amp;"|"&amp;'VARIABLES'!$E47</f>
        <v/>
      </c>
    </row>
    <row r="48">
      <c r="B48" s="389" t="inlineStr">
        <is>
          <t>F08</t>
        </is>
      </c>
      <c r="C48" s="390" t="inlineStr">
        <is>
          <t>Inherente</t>
        </is>
      </c>
      <c r="D48" s="391" t="inlineStr">
        <is>
          <t>Beneficiario Controlador</t>
        </is>
      </c>
      <c r="E48" s="362" t="inlineStr">
        <is>
          <t>No aplica: persona física que actúa por cuenta propia</t>
        </is>
      </c>
      <c r="F48" s="361" t="n">
        <v>1</v>
      </c>
      <c r="G48" s="367" t="inlineStr">
        <is>
          <t>A3 b) iv) · A4 b) v) · A8 b) iv)</t>
        </is>
      </c>
      <c r="H48" s="392">
        <f>'VARIABLES'!$B48&amp;"|"&amp;'VARIABLES'!$E48</f>
        <v/>
      </c>
    </row>
    <row r="49">
      <c r="B49" s="389" t="inlineStr">
        <is>
          <t>F08</t>
        </is>
      </c>
      <c r="C49" s="390" t="inlineStr">
        <is>
          <t>Inherente</t>
        </is>
      </c>
      <c r="D49" s="391" t="inlineStr">
        <is>
          <t>Beneficiario Controlador</t>
        </is>
      </c>
      <c r="E49" s="362" t="inlineStr">
        <is>
          <t>Beneficiario Controlador identificado, cadena de un nivel</t>
        </is>
      </c>
      <c r="F49" s="361" t="n">
        <v>1</v>
      </c>
      <c r="G49" s="367" t="inlineStr">
        <is>
          <t>A3 b) iv) · A4 b) v) · A8 b) iv)</t>
        </is>
      </c>
      <c r="H49" s="392">
        <f>'VARIABLES'!$B49&amp;"|"&amp;'VARIABLES'!$E49</f>
        <v/>
      </c>
    </row>
    <row r="50">
      <c r="B50" s="389" t="inlineStr">
        <is>
          <t>F08</t>
        </is>
      </c>
      <c r="C50" s="390" t="inlineStr">
        <is>
          <t>Inherente</t>
        </is>
      </c>
      <c r="D50" s="391" t="inlineStr">
        <is>
          <t>Beneficiario Controlador</t>
        </is>
      </c>
      <c r="E50" s="362" t="inlineStr">
        <is>
          <t>Beneficiario Controlador identificado, cadena de dos o más niveles</t>
        </is>
      </c>
      <c r="F50" s="361" t="n">
        <v>3</v>
      </c>
      <c r="G50" s="367" t="inlineStr">
        <is>
          <t>A3 b) iv) · A4 b) v) · A8 b) iv)</t>
        </is>
      </c>
      <c r="H50" s="392">
        <f>'VARIABLES'!$B50&amp;"|"&amp;'VARIABLES'!$E50</f>
        <v/>
      </c>
    </row>
    <row r="51">
      <c r="B51" s="389" t="inlineStr">
        <is>
          <t>F08</t>
        </is>
      </c>
      <c r="C51" s="390" t="inlineStr">
        <is>
          <t>Inherente</t>
        </is>
      </c>
      <c r="D51" s="391" t="inlineStr">
        <is>
          <t>Beneficiario Controlador</t>
        </is>
      </c>
      <c r="E51" s="362" t="inlineStr">
        <is>
          <t>Se declara no tener conocimiento de Beneficiario Controlador</t>
        </is>
      </c>
      <c r="F51" s="361" t="n">
        <v>5</v>
      </c>
      <c r="G51" s="367" t="inlineStr">
        <is>
          <t>A3 b) iv) · A4 b) v) · A8 b) iv)</t>
        </is>
      </c>
      <c r="H51" s="392">
        <f>'VARIABLES'!$B51&amp;"|"&amp;'VARIABLES'!$E51</f>
        <v/>
      </c>
    </row>
    <row r="52">
      <c r="B52" s="389" t="inlineStr">
        <is>
          <t>F08</t>
        </is>
      </c>
      <c r="C52" s="390" t="inlineStr">
        <is>
          <t>Inherente</t>
        </is>
      </c>
      <c r="D52" s="391" t="inlineStr">
        <is>
          <t>Beneficiario Controlador</t>
        </is>
      </c>
      <c r="E52" s="362" t="inlineStr">
        <is>
          <t>Beneficiario Controlador no identificado o cadena no acreditable</t>
        </is>
      </c>
      <c r="F52" s="361" t="n">
        <v>5</v>
      </c>
      <c r="G52" s="367" t="inlineStr">
        <is>
          <t>A3 b) iv) · A4 b) v) · A8 b) iv)</t>
        </is>
      </c>
      <c r="H52" s="392">
        <f>'VARIABLES'!$B52&amp;"|"&amp;'VARIABLES'!$E52</f>
        <v/>
      </c>
    </row>
    <row r="53">
      <c r="B53" s="389" t="inlineStr">
        <is>
          <t>F09</t>
        </is>
      </c>
      <c r="C53" s="390" t="inlineStr">
        <is>
          <t>Inherente</t>
        </is>
      </c>
      <c r="D53" s="391" t="inlineStr">
        <is>
          <t>Fuente de los ingresos</t>
        </is>
      </c>
      <c r="E53" s="362" t="inlineStr">
        <is>
          <t>Sueldos o actividad empresarial acreditada documentalmente</t>
        </is>
      </c>
      <c r="F53" s="361" t="n">
        <v>1</v>
      </c>
      <c r="G53" s="367" t="inlineStr">
        <is>
          <t>A3 a) v) · declarada por el Cliente</t>
        </is>
      </c>
      <c r="H53" s="392">
        <f>'VARIABLES'!$B53&amp;"|"&amp;'VARIABLES'!$E53</f>
        <v/>
      </c>
    </row>
    <row r="54">
      <c r="B54" s="389" t="inlineStr">
        <is>
          <t>F09</t>
        </is>
      </c>
      <c r="C54" s="390" t="inlineStr">
        <is>
          <t>Inherente</t>
        </is>
      </c>
      <c r="D54" s="391" t="inlineStr">
        <is>
          <t>Fuente de los ingresos</t>
        </is>
      </c>
      <c r="E54" s="362" t="inlineStr">
        <is>
          <t>Ingresos acreditados parcialmente</t>
        </is>
      </c>
      <c r="F54" s="361" t="n">
        <v>3</v>
      </c>
      <c r="G54" s="367" t="inlineStr">
        <is>
          <t>A3 a) v) · declarada por el Cliente</t>
        </is>
      </c>
      <c r="H54" s="392">
        <f>'VARIABLES'!$B54&amp;"|"&amp;'VARIABLES'!$E54</f>
        <v/>
      </c>
    </row>
    <row r="55">
      <c r="B55" s="389" t="inlineStr">
        <is>
          <t>F09</t>
        </is>
      </c>
      <c r="C55" s="390" t="inlineStr">
        <is>
          <t>Inherente</t>
        </is>
      </c>
      <c r="D55" s="391" t="inlineStr">
        <is>
          <t>Fuente de los ingresos</t>
        </is>
      </c>
      <c r="E55" s="362" t="inlineStr">
        <is>
          <t>Ingresos declarados sin soporte documental</t>
        </is>
      </c>
      <c r="F55" s="361" t="n">
        <v>5</v>
      </c>
      <c r="G55" s="367" t="inlineStr">
        <is>
          <t>A3 a) v) · declarada por el Cliente</t>
        </is>
      </c>
      <c r="H55" s="392">
        <f>'VARIABLES'!$B55&amp;"|"&amp;'VARIABLES'!$E55</f>
        <v/>
      </c>
    </row>
    <row r="56">
      <c r="B56" s="389" t="inlineStr">
        <is>
          <t>F09</t>
        </is>
      </c>
      <c r="C56" s="390" t="inlineStr">
        <is>
          <t>Inherente</t>
        </is>
      </c>
      <c r="D56" s="391" t="inlineStr">
        <is>
          <t>Fuente de los ingresos</t>
        </is>
      </c>
      <c r="E56" s="362" t="inlineStr">
        <is>
          <t>Fuente de ingresos no manifestada</t>
        </is>
      </c>
      <c r="F56" s="361" t="n">
        <v>5</v>
      </c>
      <c r="G56" s="367" t="inlineStr">
        <is>
          <t>A3 a) v) · declarada por el Cliente</t>
        </is>
      </c>
      <c r="H56" s="392">
        <f>'VARIABLES'!$B56&amp;"|"&amp;'VARIABLES'!$E56</f>
        <v/>
      </c>
    </row>
    <row r="57">
      <c r="B57" s="389" t="inlineStr">
        <is>
          <t>F10</t>
        </is>
      </c>
      <c r="C57" s="390" t="inlineStr">
        <is>
          <t>Inherente</t>
        </is>
      </c>
      <c r="D57" s="391" t="inlineStr">
        <is>
          <t>Naturaleza y propósito de la relación</t>
        </is>
      </c>
      <c r="E57" s="362" t="inlineStr">
        <is>
          <t>Relación de Negocios de largo plazo, propósito claro y documentado</t>
        </is>
      </c>
      <c r="F57" s="361" t="n">
        <v>1</v>
      </c>
      <c r="G57" s="367" t="inlineStr">
        <is>
          <t>Perfil transaccional · RCG 23 Ter 1</t>
        </is>
      </c>
      <c r="H57" s="392">
        <f>'VARIABLES'!$B57&amp;"|"&amp;'VARIABLES'!$E57</f>
        <v/>
      </c>
    </row>
    <row r="58">
      <c r="B58" s="389" t="inlineStr">
        <is>
          <t>F10</t>
        </is>
      </c>
      <c r="C58" s="390" t="inlineStr">
        <is>
          <t>Inherente</t>
        </is>
      </c>
      <c r="D58" s="391" t="inlineStr">
        <is>
          <t>Naturaleza y propósito de la relación</t>
        </is>
      </c>
      <c r="E58" s="362" t="inlineStr">
        <is>
          <t>Cliente ocasional, un solo acto u operación</t>
        </is>
      </c>
      <c r="F58" s="361" t="n">
        <v>3</v>
      </c>
      <c r="G58" s="367" t="inlineStr">
        <is>
          <t>Perfil transaccional · RCG 23 Ter 1</t>
        </is>
      </c>
      <c r="H58" s="392">
        <f>'VARIABLES'!$B58&amp;"|"&amp;'VARIABLES'!$E58</f>
        <v/>
      </c>
    </row>
    <row r="59">
      <c r="B59" s="389" t="inlineStr">
        <is>
          <t>F10</t>
        </is>
      </c>
      <c r="C59" s="390" t="inlineStr">
        <is>
          <t>Inherente</t>
        </is>
      </c>
      <c r="D59" s="391" t="inlineStr">
        <is>
          <t>Naturaleza y propósito de la relación</t>
        </is>
      </c>
      <c r="E59" s="362" t="inlineStr">
        <is>
          <t>Propósito declarado que no corresponde con el perfil del Cliente</t>
        </is>
      </c>
      <c r="F59" s="361" t="n">
        <v>5</v>
      </c>
      <c r="G59" s="367" t="inlineStr">
        <is>
          <t>Perfil transaccional · RCG 23 Ter 1</t>
        </is>
      </c>
      <c r="H59" s="392">
        <f>'VARIABLES'!$B59&amp;"|"&amp;'VARIABLES'!$E59</f>
        <v/>
      </c>
    </row>
    <row r="60">
      <c r="B60" s="389" t="inlineStr">
        <is>
          <t>F10</t>
        </is>
      </c>
      <c r="C60" s="390" t="inlineStr">
        <is>
          <t>Inherente</t>
        </is>
      </c>
      <c r="D60" s="391" t="inlineStr">
        <is>
          <t>Naturaleza y propósito de la relación</t>
        </is>
      </c>
      <c r="E60" s="362" t="inlineStr">
        <is>
          <t>Propósito no manifestado</t>
        </is>
      </c>
      <c r="F60" s="361" t="n">
        <v>5</v>
      </c>
      <c r="G60" s="367" t="inlineStr">
        <is>
          <t>Perfil transaccional · RCG 23 Ter 1</t>
        </is>
      </c>
      <c r="H60" s="392">
        <f>'VARIABLES'!$B60&amp;"|"&amp;'VARIABLES'!$E60</f>
        <v/>
      </c>
    </row>
    <row r="61">
      <c r="B61" s="389" t="inlineStr">
        <is>
          <t>F12</t>
        </is>
      </c>
      <c r="C61" s="390" t="inlineStr">
        <is>
          <t>Transaccional</t>
        </is>
      </c>
      <c r="D61" s="391" t="inlineStr">
        <is>
          <t>Monto frente al Perfil transaccional y umbrales</t>
        </is>
      </c>
      <c r="E61" s="362" t="inlineStr">
        <is>
          <t>Por debajo del umbral de identificación</t>
        </is>
      </c>
      <c r="F61" s="361" t="n">
        <v>1</v>
      </c>
      <c r="G61" s="367" t="inlineStr">
        <is>
          <t>RCG 23 Ter 1 · L 17</t>
        </is>
      </c>
      <c r="H61" s="392">
        <f>'VARIABLES'!$B61&amp;"|"&amp;'VARIABLES'!$E61</f>
        <v/>
      </c>
    </row>
    <row r="62">
      <c r="B62" s="389" t="inlineStr">
        <is>
          <t>F12</t>
        </is>
      </c>
      <c r="C62" s="390" t="inlineStr">
        <is>
          <t>Transaccional</t>
        </is>
      </c>
      <c r="D62" s="391" t="inlineStr">
        <is>
          <t>Monto frente al Perfil transaccional y umbrales</t>
        </is>
      </c>
      <c r="E62" s="362" t="inlineStr">
        <is>
          <t>Entre el umbral de identificación y el de aviso</t>
        </is>
      </c>
      <c r="F62" s="361" t="n">
        <v>3</v>
      </c>
      <c r="G62" s="367" t="inlineStr">
        <is>
          <t>RCG 23 Ter 1 · L 17</t>
        </is>
      </c>
      <c r="H62" s="392">
        <f>'VARIABLES'!$B62&amp;"|"&amp;'VARIABLES'!$E62</f>
        <v/>
      </c>
    </row>
    <row r="63">
      <c r="B63" s="389" t="inlineStr">
        <is>
          <t>F12</t>
        </is>
      </c>
      <c r="C63" s="390" t="inlineStr">
        <is>
          <t>Transaccional</t>
        </is>
      </c>
      <c r="D63" s="391" t="inlineStr">
        <is>
          <t>Monto frente al Perfil transaccional y umbrales</t>
        </is>
      </c>
      <c r="E63" s="362" t="inlineStr">
        <is>
          <t>Igual o superior al umbral de aviso</t>
        </is>
      </c>
      <c r="F63" s="361" t="n">
        <v>5</v>
      </c>
      <c r="G63" s="367" t="inlineStr">
        <is>
          <t>RCG 23 Ter 1 · L 17</t>
        </is>
      </c>
      <c r="H63" s="392">
        <f>'VARIABLES'!$B63&amp;"|"&amp;'VARIABLES'!$E63</f>
        <v/>
      </c>
    </row>
    <row r="64">
      <c r="B64" s="389" t="inlineStr">
        <is>
          <t>F12</t>
        </is>
      </c>
      <c r="C64" s="390" t="inlineStr">
        <is>
          <t>Transaccional</t>
        </is>
      </c>
      <c r="D64" s="391" t="inlineStr">
        <is>
          <t>Monto frente al Perfil transaccional y umbrales</t>
        </is>
      </c>
      <c r="E64" s="362" t="inlineStr">
        <is>
          <t>Por debajo del umbral pero con acumulación que lo alcanza</t>
        </is>
      </c>
      <c r="F64" s="361" t="n">
        <v>5</v>
      </c>
      <c r="G64" s="367" t="inlineStr">
        <is>
          <t>RCG 23 Ter 1 · L 17</t>
        </is>
      </c>
      <c r="H64" s="392">
        <f>'VARIABLES'!$B64&amp;"|"&amp;'VARIABLES'!$E64</f>
        <v/>
      </c>
    </row>
    <row r="65">
      <c r="B65" s="389" t="inlineStr">
        <is>
          <t>F12</t>
        </is>
      </c>
      <c r="C65" s="390" t="inlineStr">
        <is>
          <t>Transaccional</t>
        </is>
      </c>
      <c r="D65" s="391" t="inlineStr">
        <is>
          <t>Monto frente al Perfil transaccional y umbrales</t>
        </is>
      </c>
      <c r="E65" s="362" t="inlineStr">
        <is>
          <t>Fuera del Perfil transaccional declarado</t>
        </is>
      </c>
      <c r="F65" s="361" t="n">
        <v>5</v>
      </c>
      <c r="G65" s="367" t="inlineStr">
        <is>
          <t>RCG 23 Ter 1 · L 17</t>
        </is>
      </c>
      <c r="H65" s="392">
        <f>'VARIABLES'!$B65&amp;"|"&amp;'VARIABLES'!$E65</f>
        <v/>
      </c>
    </row>
    <row r="66">
      <c r="B66" s="389" t="inlineStr">
        <is>
          <t>F13</t>
        </is>
      </c>
      <c r="C66" s="390" t="inlineStr">
        <is>
          <t>Transaccional</t>
        </is>
      </c>
      <c r="D66" s="391" t="inlineStr">
        <is>
          <t>Frecuencia de las operaciones</t>
        </is>
      </c>
      <c r="E66" s="362" t="inlineStr">
        <is>
          <t>Una operación en el periodo</t>
        </is>
      </c>
      <c r="F66" s="361" t="n">
        <v>1</v>
      </c>
      <c r="G66" s="367" t="inlineStr">
        <is>
          <t>Mecanismo automatizado · RCG 41 fr. II</t>
        </is>
      </c>
      <c r="H66" s="392">
        <f>'VARIABLES'!$B66&amp;"|"&amp;'VARIABLES'!$E66</f>
        <v/>
      </c>
    </row>
    <row r="67">
      <c r="B67" s="389" t="inlineStr">
        <is>
          <t>F13</t>
        </is>
      </c>
      <c r="C67" s="390" t="inlineStr">
        <is>
          <t>Transaccional</t>
        </is>
      </c>
      <c r="D67" s="391" t="inlineStr">
        <is>
          <t>Frecuencia de las operaciones</t>
        </is>
      </c>
      <c r="E67" s="362" t="inlineStr">
        <is>
          <t>De dos a cuatro operaciones al año</t>
        </is>
      </c>
      <c r="F67" s="361" t="n">
        <v>3</v>
      </c>
      <c r="G67" s="367" t="inlineStr">
        <is>
          <t>Mecanismo automatizado · RCG 41 fr. II</t>
        </is>
      </c>
      <c r="H67" s="392">
        <f>'VARIABLES'!$B67&amp;"|"&amp;'VARIABLES'!$E67</f>
        <v/>
      </c>
    </row>
    <row r="68">
      <c r="B68" s="389" t="inlineStr">
        <is>
          <t>F13</t>
        </is>
      </c>
      <c r="C68" s="390" t="inlineStr">
        <is>
          <t>Transaccional</t>
        </is>
      </c>
      <c r="D68" s="391" t="inlineStr">
        <is>
          <t>Frecuencia de las operaciones</t>
        </is>
      </c>
      <c r="E68" s="362" t="inlineStr">
        <is>
          <t>Cinco o más operaciones al año</t>
        </is>
      </c>
      <c r="F68" s="361" t="n">
        <v>5</v>
      </c>
      <c r="G68" s="367" t="inlineStr">
        <is>
          <t>Mecanismo automatizado · RCG 41 fr. II</t>
        </is>
      </c>
      <c r="H68" s="392">
        <f>'VARIABLES'!$B68&amp;"|"&amp;'VARIABLES'!$E68</f>
        <v/>
      </c>
    </row>
    <row r="69">
      <c r="B69" s="389" t="inlineStr">
        <is>
          <t>F13</t>
        </is>
      </c>
      <c r="C69" s="390" t="inlineStr">
        <is>
          <t>Transaccional</t>
        </is>
      </c>
      <c r="D69" s="391" t="inlineStr">
        <is>
          <t>Frecuencia de las operaciones</t>
        </is>
      </c>
      <c r="E69" s="362" t="inlineStr">
        <is>
          <t>Operaciones fraccionadas en periodos cortos</t>
        </is>
      </c>
      <c r="F69" s="361" t="n">
        <v>5</v>
      </c>
      <c r="G69" s="367" t="inlineStr">
        <is>
          <t>Mecanismo automatizado · RCG 41 fr. II</t>
        </is>
      </c>
      <c r="H69" s="392">
        <f>'VARIABLES'!$B69&amp;"|"&amp;'VARIABLES'!$E69</f>
        <v/>
      </c>
    </row>
    <row r="70">
      <c r="B70" s="389" t="inlineStr">
        <is>
          <t>F14</t>
        </is>
      </c>
      <c r="C70" s="390" t="inlineStr">
        <is>
          <t>Transaccional</t>
        </is>
      </c>
      <c r="D70" s="391" t="inlineStr">
        <is>
          <t>Volumen en número de operaciones</t>
        </is>
      </c>
      <c r="E70" s="362" t="inlineStr">
        <is>
          <t>Una sola operación</t>
        </is>
      </c>
      <c r="F70" s="361" t="n">
        <v>1</v>
      </c>
      <c r="G70" s="367" t="inlineStr">
        <is>
          <t>Mecanismo automatizado · RCG 41 fr. II</t>
        </is>
      </c>
      <c r="H70" s="392">
        <f>'VARIABLES'!$B70&amp;"|"&amp;'VARIABLES'!$E70</f>
        <v/>
      </c>
    </row>
    <row r="71">
      <c r="B71" s="389" t="inlineStr">
        <is>
          <t>F14</t>
        </is>
      </c>
      <c r="C71" s="390" t="inlineStr">
        <is>
          <t>Transaccional</t>
        </is>
      </c>
      <c r="D71" s="391" t="inlineStr">
        <is>
          <t>Volumen en número de operaciones</t>
        </is>
      </c>
      <c r="E71" s="362" t="inlineStr">
        <is>
          <t>De dos a cinco operaciones</t>
        </is>
      </c>
      <c r="F71" s="361" t="n">
        <v>3</v>
      </c>
      <c r="G71" s="367" t="inlineStr">
        <is>
          <t>Mecanismo automatizado · RCG 41 fr. II</t>
        </is>
      </c>
      <c r="H71" s="392">
        <f>'VARIABLES'!$B71&amp;"|"&amp;'VARIABLES'!$E71</f>
        <v/>
      </c>
    </row>
    <row r="72">
      <c r="B72" s="389" t="inlineStr">
        <is>
          <t>F14</t>
        </is>
      </c>
      <c r="C72" s="390" t="inlineStr">
        <is>
          <t>Transaccional</t>
        </is>
      </c>
      <c r="D72" s="391" t="inlineStr">
        <is>
          <t>Volumen en número de operaciones</t>
        </is>
      </c>
      <c r="E72" s="362" t="inlineStr">
        <is>
          <t>Más de cinco operaciones</t>
        </is>
      </c>
      <c r="F72" s="361" t="n">
        <v>5</v>
      </c>
      <c r="G72" s="367" t="inlineStr">
        <is>
          <t>Mecanismo automatizado · RCG 41 fr. II</t>
        </is>
      </c>
      <c r="H72" s="392">
        <f>'VARIABLES'!$B72&amp;"|"&amp;'VARIABLES'!$E72</f>
        <v/>
      </c>
    </row>
    <row r="73">
      <c r="B73" s="389" t="inlineStr">
        <is>
          <t>F15</t>
        </is>
      </c>
      <c r="C73" s="390" t="inlineStr">
        <is>
          <t>Transaccional</t>
        </is>
      </c>
      <c r="D73" s="391" t="inlineStr">
        <is>
          <t>Número de contrapartes</t>
        </is>
      </c>
      <c r="E73" s="362" t="inlineStr">
        <is>
          <t>Una contraparte, el propio Cliente</t>
        </is>
      </c>
      <c r="F73" s="361" t="n">
        <v>1</v>
      </c>
      <c r="G73" s="367" t="inlineStr">
        <is>
          <t>Registro de operaciones</t>
        </is>
      </c>
      <c r="H73" s="392">
        <f>'VARIABLES'!$B73&amp;"|"&amp;'VARIABLES'!$E73</f>
        <v/>
      </c>
    </row>
    <row r="74">
      <c r="B74" s="389" t="inlineStr">
        <is>
          <t>F15</t>
        </is>
      </c>
      <c r="C74" s="390" t="inlineStr">
        <is>
          <t>Transaccional</t>
        </is>
      </c>
      <c r="D74" s="391" t="inlineStr">
        <is>
          <t>Número de contrapartes</t>
        </is>
      </c>
      <c r="E74" s="362" t="inlineStr">
        <is>
          <t>De dos a tres contrapartes</t>
        </is>
      </c>
      <c r="F74" s="361" t="n">
        <v>3</v>
      </c>
      <c r="G74" s="367" t="inlineStr">
        <is>
          <t>Registro de operaciones</t>
        </is>
      </c>
      <c r="H74" s="392">
        <f>'VARIABLES'!$B74&amp;"|"&amp;'VARIABLES'!$E74</f>
        <v/>
      </c>
    </row>
    <row r="75">
      <c r="B75" s="389" t="inlineStr">
        <is>
          <t>F15</t>
        </is>
      </c>
      <c r="C75" s="390" t="inlineStr">
        <is>
          <t>Transaccional</t>
        </is>
      </c>
      <c r="D75" s="391" t="inlineStr">
        <is>
          <t>Número de contrapartes</t>
        </is>
      </c>
      <c r="E75" s="362" t="inlineStr">
        <is>
          <t>Más de tres contrapartes</t>
        </is>
      </c>
      <c r="F75" s="361" t="n">
        <v>5</v>
      </c>
      <c r="G75" s="367" t="inlineStr">
        <is>
          <t>Registro de operaciones</t>
        </is>
      </c>
      <c r="H75" s="392">
        <f>'VARIABLES'!$B75&amp;"|"&amp;'VARIABLES'!$E75</f>
        <v/>
      </c>
    </row>
    <row r="76">
      <c r="B76" s="389" t="inlineStr">
        <is>
          <t>F15</t>
        </is>
      </c>
      <c r="C76" s="390" t="inlineStr">
        <is>
          <t>Transaccional</t>
        </is>
      </c>
      <c r="D76" s="391" t="inlineStr">
        <is>
          <t>Número de contrapartes</t>
        </is>
      </c>
      <c r="E76" s="362" t="inlineStr">
        <is>
          <t>Contrapartes no identificadas</t>
        </is>
      </c>
      <c r="F76" s="361" t="n">
        <v>5</v>
      </c>
      <c r="G76" s="367" t="inlineStr">
        <is>
          <t>Registro de operaciones</t>
        </is>
      </c>
      <c r="H76" s="392">
        <f>'VARIABLES'!$B76&amp;"|"&amp;'VARIABLES'!$E76</f>
        <v/>
      </c>
    </row>
    <row r="77">
      <c r="B77" s="389" t="inlineStr">
        <is>
          <t>F16</t>
        </is>
      </c>
      <c r="C77" s="390" t="inlineStr">
        <is>
          <t>Transaccional</t>
        </is>
      </c>
      <c r="D77" s="391" t="inlineStr">
        <is>
          <t>Instrumento monetario</t>
        </is>
      </c>
      <c r="E77" s="362" t="inlineStr">
        <is>
          <t>Transferencia electrónica desde cuenta a nombre del Cliente</t>
        </is>
      </c>
      <c r="F77" s="361" t="n">
        <v>1</v>
      </c>
      <c r="G77" s="367" t="inlineStr">
        <is>
          <t>Registro de la operación · Aviso</t>
        </is>
      </c>
      <c r="H77" s="392">
        <f>'VARIABLES'!$B77&amp;"|"&amp;'VARIABLES'!$E77</f>
        <v/>
      </c>
    </row>
    <row r="78">
      <c r="B78" s="389" t="inlineStr">
        <is>
          <t>F16</t>
        </is>
      </c>
      <c r="C78" s="390" t="inlineStr">
        <is>
          <t>Transaccional</t>
        </is>
      </c>
      <c r="D78" s="391" t="inlineStr">
        <is>
          <t>Instrumento monetario</t>
        </is>
      </c>
      <c r="E78" s="362" t="inlineStr">
        <is>
          <t>Cheque nominativo del Cliente</t>
        </is>
      </c>
      <c r="F78" s="361" t="n">
        <v>1</v>
      </c>
      <c r="G78" s="367" t="inlineStr">
        <is>
          <t>Registro de la operación · Aviso</t>
        </is>
      </c>
      <c r="H78" s="392">
        <f>'VARIABLES'!$B78&amp;"|"&amp;'VARIABLES'!$E78</f>
        <v/>
      </c>
    </row>
    <row r="79">
      <c r="B79" s="389" t="inlineStr">
        <is>
          <t>F16</t>
        </is>
      </c>
      <c r="C79" s="390" t="inlineStr">
        <is>
          <t>Transaccional</t>
        </is>
      </c>
      <c r="D79" s="391" t="inlineStr">
        <is>
          <t>Instrumento monetario</t>
        </is>
      </c>
      <c r="E79" s="362" t="inlineStr">
        <is>
          <t>Pago mixto con componente en efectivo</t>
        </is>
      </c>
      <c r="F79" s="361" t="n">
        <v>3</v>
      </c>
      <c r="G79" s="367" t="inlineStr">
        <is>
          <t>Registro de la operación · Aviso</t>
        </is>
      </c>
      <c r="H79" s="392">
        <f>'VARIABLES'!$B79&amp;"|"&amp;'VARIABLES'!$E79</f>
        <v/>
      </c>
    </row>
    <row r="80">
      <c r="B80" s="389" t="inlineStr">
        <is>
          <t>F16</t>
        </is>
      </c>
      <c r="C80" s="390" t="inlineStr">
        <is>
          <t>Transaccional</t>
        </is>
      </c>
      <c r="D80" s="391" t="inlineStr">
        <is>
          <t>Instrumento monetario</t>
        </is>
      </c>
      <c r="E80" s="362" t="inlineStr">
        <is>
          <t>Efectivo por encima del umbral interno</t>
        </is>
      </c>
      <c r="F80" s="361" t="n">
        <v>5</v>
      </c>
      <c r="G80" s="367" t="inlineStr">
        <is>
          <t>Registro de la operación · Aviso</t>
        </is>
      </c>
      <c r="H80" s="392">
        <f>'VARIABLES'!$B80&amp;"|"&amp;'VARIABLES'!$E80</f>
        <v/>
      </c>
    </row>
    <row r="81">
      <c r="B81" s="389" t="inlineStr">
        <is>
          <t>F16</t>
        </is>
      </c>
      <c r="C81" s="390" t="inlineStr">
        <is>
          <t>Transaccional</t>
        </is>
      </c>
      <c r="D81" s="391" t="inlineStr">
        <is>
          <t>Instrumento monetario</t>
        </is>
      </c>
      <c r="E81" s="362" t="inlineStr">
        <is>
          <t>Pago desde cuenta de un tercero no declarado</t>
        </is>
      </c>
      <c r="F81" s="361" t="n">
        <v>5</v>
      </c>
      <c r="G81" s="367" t="inlineStr">
        <is>
          <t>Registro de la operación · Aviso</t>
        </is>
      </c>
      <c r="H81" s="392">
        <f>'VARIABLES'!$B81&amp;"|"&amp;'VARIABLES'!$E81</f>
        <v/>
      </c>
    </row>
    <row r="82">
      <c r="B82" s="389" t="inlineStr">
        <is>
          <t>F16</t>
        </is>
      </c>
      <c r="C82" s="390" t="inlineStr">
        <is>
          <t>Transaccional</t>
        </is>
      </c>
      <c r="D82" s="391" t="inlineStr">
        <is>
          <t>Instrumento monetario</t>
        </is>
      </c>
      <c r="E82" s="362" t="inlineStr">
        <is>
          <t>Metales preciosos, activos virtuales u otro instrumento no bancarizado</t>
        </is>
      </c>
      <c r="F82" s="361" t="n">
        <v>5</v>
      </c>
      <c r="G82" s="367" t="inlineStr">
        <is>
          <t>Registro de la operación · Aviso</t>
        </is>
      </c>
      <c r="H82" s="392">
        <f>'VARIABLES'!$B82&amp;"|"&amp;'VARIABLES'!$E82</f>
        <v/>
      </c>
    </row>
    <row r="83">
      <c r="B83" s="389" t="inlineStr">
        <is>
          <t>F17</t>
        </is>
      </c>
      <c r="C83" s="390" t="inlineStr">
        <is>
          <t>Transaccional</t>
        </is>
      </c>
      <c r="D83" s="391" t="inlineStr">
        <is>
          <t>Tipo de moneda</t>
        </is>
      </c>
      <c r="E83" s="362" t="inlineStr">
        <is>
          <t>Peso mexicano</t>
        </is>
      </c>
      <c r="F83" s="361" t="n">
        <v>1</v>
      </c>
      <c r="G83" s="367" t="inlineStr">
        <is>
          <t>Registro de la operación · Aviso</t>
        </is>
      </c>
      <c r="H83" s="392">
        <f>'VARIABLES'!$B83&amp;"|"&amp;'VARIABLES'!$E83</f>
        <v/>
      </c>
    </row>
    <row r="84">
      <c r="B84" s="389" t="inlineStr">
        <is>
          <t>F17</t>
        </is>
      </c>
      <c r="C84" s="390" t="inlineStr">
        <is>
          <t>Transaccional</t>
        </is>
      </c>
      <c r="D84" s="391" t="inlineStr">
        <is>
          <t>Tipo de moneda</t>
        </is>
      </c>
      <c r="E84" s="362" t="inlineStr">
        <is>
          <t>Dólar estadounidense o euro</t>
        </is>
      </c>
      <c r="F84" s="361" t="n">
        <v>3</v>
      </c>
      <c r="G84" s="367" t="inlineStr">
        <is>
          <t>Registro de la operación · Aviso</t>
        </is>
      </c>
      <c r="H84" s="392">
        <f>'VARIABLES'!$B84&amp;"|"&amp;'VARIABLES'!$E84</f>
        <v/>
      </c>
    </row>
    <row r="85">
      <c r="B85" s="389" t="inlineStr">
        <is>
          <t>F17</t>
        </is>
      </c>
      <c r="C85" s="390" t="inlineStr">
        <is>
          <t>Transaccional</t>
        </is>
      </c>
      <c r="D85" s="391" t="inlineStr">
        <is>
          <t>Tipo de moneda</t>
        </is>
      </c>
      <c r="E85" s="362" t="inlineStr">
        <is>
          <t>Otra divisa</t>
        </is>
      </c>
      <c r="F85" s="361" t="n">
        <v>5</v>
      </c>
      <c r="G85" s="367" t="inlineStr">
        <is>
          <t>Registro de la operación · Aviso</t>
        </is>
      </c>
      <c r="H85" s="392">
        <f>'VARIABLES'!$B85&amp;"|"&amp;'VARIABLES'!$E85</f>
        <v/>
      </c>
    </row>
    <row r="86">
      <c r="B86" s="389" t="inlineStr">
        <is>
          <t>F17</t>
        </is>
      </c>
      <c r="C86" s="390" t="inlineStr">
        <is>
          <t>Transaccional</t>
        </is>
      </c>
      <c r="D86" s="391" t="inlineStr">
        <is>
          <t>Tipo de moneda</t>
        </is>
      </c>
      <c r="E86" s="362" t="inlineStr">
        <is>
          <t>Activo virtual</t>
        </is>
      </c>
      <c r="F86" s="361" t="n">
        <v>5</v>
      </c>
      <c r="G86" s="367" t="inlineStr">
        <is>
          <t>Registro de la operación · Aviso</t>
        </is>
      </c>
      <c r="H86" s="392">
        <f>'VARIABLES'!$B86&amp;"|"&amp;'VARIABLES'!$E86</f>
        <v/>
      </c>
    </row>
    <row r="87">
      <c r="B87" s="389" t="inlineStr">
        <is>
          <t>F18</t>
        </is>
      </c>
      <c r="C87" s="390" t="inlineStr">
        <is>
          <t>Transaccional</t>
        </is>
      </c>
      <c r="D87" s="391" t="inlineStr">
        <is>
          <t>Origen de los recursos</t>
        </is>
      </c>
      <c r="E87" s="362" t="inlineStr">
        <is>
          <t>Origen acreditado con documentación verificable</t>
        </is>
      </c>
      <c r="F87" s="361" t="n">
        <v>1</v>
      </c>
      <c r="G87" s="367" t="inlineStr">
        <is>
          <t>RCG 23 Ter 3 · declarado por el Cliente</t>
        </is>
      </c>
      <c r="H87" s="392">
        <f>'VARIABLES'!$B87&amp;"|"&amp;'VARIABLES'!$E87</f>
        <v/>
      </c>
    </row>
    <row r="88">
      <c r="B88" s="389" t="inlineStr">
        <is>
          <t>F18</t>
        </is>
      </c>
      <c r="C88" s="390" t="inlineStr">
        <is>
          <t>Transaccional</t>
        </is>
      </c>
      <c r="D88" s="391" t="inlineStr">
        <is>
          <t>Origen de los recursos</t>
        </is>
      </c>
      <c r="E88" s="362" t="inlineStr">
        <is>
          <t>Origen declarado con soporte parcial</t>
        </is>
      </c>
      <c r="F88" s="361" t="n">
        <v>3</v>
      </c>
      <c r="G88" s="367" t="inlineStr">
        <is>
          <t>RCG 23 Ter 3 · declarado por el Cliente</t>
        </is>
      </c>
      <c r="H88" s="392">
        <f>'VARIABLES'!$B88&amp;"|"&amp;'VARIABLES'!$E88</f>
        <v/>
      </c>
    </row>
    <row r="89">
      <c r="B89" s="389" t="inlineStr">
        <is>
          <t>F18</t>
        </is>
      </c>
      <c r="C89" s="390" t="inlineStr">
        <is>
          <t>Transaccional</t>
        </is>
      </c>
      <c r="D89" s="391" t="inlineStr">
        <is>
          <t>Origen de los recursos</t>
        </is>
      </c>
      <c r="E89" s="362" t="inlineStr">
        <is>
          <t>Origen declarado sin soporte</t>
        </is>
      </c>
      <c r="F89" s="361" t="n">
        <v>5</v>
      </c>
      <c r="G89" s="367" t="inlineStr">
        <is>
          <t>RCG 23 Ter 3 · declarado por el Cliente</t>
        </is>
      </c>
      <c r="H89" s="392">
        <f>'VARIABLES'!$B89&amp;"|"&amp;'VARIABLES'!$E89</f>
        <v/>
      </c>
    </row>
    <row r="90">
      <c r="B90" s="389" t="inlineStr">
        <is>
          <t>F18</t>
        </is>
      </c>
      <c r="C90" s="390" t="inlineStr">
        <is>
          <t>Transaccional</t>
        </is>
      </c>
      <c r="D90" s="391" t="inlineStr">
        <is>
          <t>Origen de los recursos</t>
        </is>
      </c>
      <c r="E90" s="362" t="inlineStr">
        <is>
          <t>Recursos provenientes de un tercero</t>
        </is>
      </c>
      <c r="F90" s="361" t="n">
        <v>5</v>
      </c>
      <c r="G90" s="367" t="inlineStr">
        <is>
          <t>RCG 23 Ter 3 · declarado por el Cliente</t>
        </is>
      </c>
      <c r="H90" s="392">
        <f>'VARIABLES'!$B90&amp;"|"&amp;'VARIABLES'!$E90</f>
        <v/>
      </c>
    </row>
    <row r="91">
      <c r="B91" s="389" t="inlineStr">
        <is>
          <t>F18</t>
        </is>
      </c>
      <c r="C91" s="390" t="inlineStr">
        <is>
          <t>Transaccional</t>
        </is>
      </c>
      <c r="D91" s="391" t="inlineStr">
        <is>
          <t>Origen de los recursos</t>
        </is>
      </c>
      <c r="E91" s="362" t="inlineStr">
        <is>
          <t>Origen no manifestado</t>
        </is>
      </c>
      <c r="F91" s="361" t="n">
        <v>5</v>
      </c>
      <c r="G91" s="367" t="inlineStr">
        <is>
          <t>RCG 23 Ter 3 · declarado por el Cliente</t>
        </is>
      </c>
      <c r="H91" s="392">
        <f>'VARIABLES'!$B91&amp;"|"&amp;'VARIABLES'!$E91</f>
        <v/>
      </c>
    </row>
    <row r="92">
      <c r="B92" s="389" t="inlineStr">
        <is>
          <t>F19</t>
        </is>
      </c>
      <c r="C92" s="390" t="inlineStr">
        <is>
          <t>Transaccional</t>
        </is>
      </c>
      <c r="D92" s="391" t="inlineStr">
        <is>
          <t>Destino de los recursos</t>
        </is>
      </c>
      <c r="E92" s="362" t="inlineStr">
        <is>
          <t>Destino es el propio bien u operación, registrado</t>
        </is>
      </c>
      <c r="F92" s="361" t="n">
        <v>1</v>
      </c>
      <c r="G92" s="367" t="inlineStr">
        <is>
          <t>RCG 23 Ter 3 · declarado por el Cliente</t>
        </is>
      </c>
      <c r="H92" s="392">
        <f>'VARIABLES'!$B92&amp;"|"&amp;'VARIABLES'!$E92</f>
        <v/>
      </c>
    </row>
    <row r="93">
      <c r="B93" s="389" t="inlineStr">
        <is>
          <t>F19</t>
        </is>
      </c>
      <c r="C93" s="390" t="inlineStr">
        <is>
          <t>Transaccional</t>
        </is>
      </c>
      <c r="D93" s="391" t="inlineStr">
        <is>
          <t>Destino de los recursos</t>
        </is>
      </c>
      <c r="E93" s="362" t="inlineStr">
        <is>
          <t>Destino declarado y verificable</t>
        </is>
      </c>
      <c r="F93" s="361" t="n">
        <v>3</v>
      </c>
      <c r="G93" s="367" t="inlineStr">
        <is>
          <t>RCG 23 Ter 3 · declarado por el Cliente</t>
        </is>
      </c>
      <c r="H93" s="392">
        <f>'VARIABLES'!$B93&amp;"|"&amp;'VARIABLES'!$E93</f>
        <v/>
      </c>
    </row>
    <row r="94">
      <c r="B94" s="389" t="inlineStr">
        <is>
          <t>F19</t>
        </is>
      </c>
      <c r="C94" s="390" t="inlineStr">
        <is>
          <t>Transaccional</t>
        </is>
      </c>
      <c r="D94" s="391" t="inlineStr">
        <is>
          <t>Destino de los recursos</t>
        </is>
      </c>
      <c r="E94" s="362" t="inlineStr">
        <is>
          <t>Destino a un tercero no relacionado</t>
        </is>
      </c>
      <c r="F94" s="361" t="n">
        <v>5</v>
      </c>
      <c r="G94" s="367" t="inlineStr">
        <is>
          <t>RCG 23 Ter 3 · declarado por el Cliente</t>
        </is>
      </c>
      <c r="H94" s="392">
        <f>'VARIABLES'!$B94&amp;"|"&amp;'VARIABLES'!$E94</f>
        <v/>
      </c>
    </row>
    <row r="95">
      <c r="B95" s="389" t="inlineStr">
        <is>
          <t>F19</t>
        </is>
      </c>
      <c r="C95" s="390" t="inlineStr">
        <is>
          <t>Transaccional</t>
        </is>
      </c>
      <c r="D95" s="391" t="inlineStr">
        <is>
          <t>Destino de los recursos</t>
        </is>
      </c>
      <c r="E95" s="362" t="inlineStr">
        <is>
          <t>Destino no manifestado</t>
        </is>
      </c>
      <c r="F95" s="361" t="n">
        <v>5</v>
      </c>
      <c r="G95" s="367" t="inlineStr">
        <is>
          <t>RCG 23 Ter 3 · declarado por el Cliente</t>
        </is>
      </c>
      <c r="H95" s="392">
        <f>'VARIABLES'!$B95&amp;"|"&amp;'VARIABLES'!$E95</f>
        <v/>
      </c>
    </row>
    <row r="96">
      <c r="B96" s="389" t="inlineStr">
        <is>
          <t>F20</t>
        </is>
      </c>
      <c r="C96" s="390" t="inlineStr">
        <is>
          <t>Transaccional</t>
        </is>
      </c>
      <c r="D96" s="391" t="inlineStr">
        <is>
          <t>Canal de la operación</t>
        </is>
      </c>
      <c r="E96" s="362" t="inlineStr">
        <is>
          <t>Presencial, con comparecencia del Cliente</t>
        </is>
      </c>
      <c r="F96" s="361" t="n">
        <v>1</v>
      </c>
      <c r="G96" s="367" t="inlineStr">
        <is>
          <t>Registro de la operación (dato del sistema)</t>
        </is>
      </c>
      <c r="H96" s="392">
        <f>'VARIABLES'!$B96&amp;"|"&amp;'VARIABLES'!$E96</f>
        <v/>
      </c>
    </row>
    <row r="97">
      <c r="B97" s="389" t="inlineStr">
        <is>
          <t>F20</t>
        </is>
      </c>
      <c r="C97" s="390" t="inlineStr">
        <is>
          <t>Transaccional</t>
        </is>
      </c>
      <c r="D97" s="391" t="inlineStr">
        <is>
          <t>Canal de la operación</t>
        </is>
      </c>
      <c r="E97" s="362" t="inlineStr">
        <is>
          <t>Presencial ante fedatario público</t>
        </is>
      </c>
      <c r="F97" s="361" t="n">
        <v>1</v>
      </c>
      <c r="G97" s="367" t="inlineStr">
        <is>
          <t>Registro de la operación (dato del sistema)</t>
        </is>
      </c>
      <c r="H97" s="392">
        <f>'VARIABLES'!$B97&amp;"|"&amp;'VARIABLES'!$E97</f>
        <v/>
      </c>
    </row>
    <row r="98">
      <c r="B98" s="389" t="inlineStr">
        <is>
          <t>F20</t>
        </is>
      </c>
      <c r="C98" s="390" t="inlineStr">
        <is>
          <t>Transaccional</t>
        </is>
      </c>
      <c r="D98" s="391" t="inlineStr">
        <is>
          <t>Canal de la operación</t>
        </is>
      </c>
      <c r="E98" s="362" t="inlineStr">
        <is>
          <t>No presencial con identificación por medios digitales</t>
        </is>
      </c>
      <c r="F98" s="361" t="n">
        <v>3</v>
      </c>
      <c r="G98" s="367" t="inlineStr">
        <is>
          <t>Registro de la operación (dato del sistema)</t>
        </is>
      </c>
      <c r="H98" s="392">
        <f>'VARIABLES'!$B98&amp;"|"&amp;'VARIABLES'!$E98</f>
        <v/>
      </c>
    </row>
    <row r="99">
      <c r="B99" s="389" t="inlineStr">
        <is>
          <t>F20</t>
        </is>
      </c>
      <c r="C99" s="390" t="inlineStr">
        <is>
          <t>Transaccional</t>
        </is>
      </c>
      <c r="D99" s="391" t="inlineStr">
        <is>
          <t>Canal de la operación</t>
        </is>
      </c>
      <c r="E99" s="362" t="inlineStr">
        <is>
          <t>A través de apoderado o representante</t>
        </is>
      </c>
      <c r="F99" s="361" t="n">
        <v>3</v>
      </c>
      <c r="G99" s="367" t="inlineStr">
        <is>
          <t>Registro de la operación (dato del sistema)</t>
        </is>
      </c>
      <c r="H99" s="392">
        <f>'VARIABLES'!$B99&amp;"|"&amp;'VARIABLES'!$E99</f>
        <v/>
      </c>
    </row>
    <row r="100">
      <c r="B100" s="389" t="inlineStr">
        <is>
          <t>F20</t>
        </is>
      </c>
      <c r="C100" s="390" t="inlineStr">
        <is>
          <t>Transaccional</t>
        </is>
      </c>
      <c r="D100" s="391" t="inlineStr">
        <is>
          <t>Canal de la operación</t>
        </is>
      </c>
      <c r="E100" s="362" t="inlineStr">
        <is>
          <t>A través de intermediario no acreditado</t>
        </is>
      </c>
      <c r="F100" s="361" t="n">
        <v>5</v>
      </c>
      <c r="G100" s="367" t="inlineStr">
        <is>
          <t>Registro de la operación (dato del sistema)</t>
        </is>
      </c>
      <c r="H100" s="392">
        <f>'VARIABLES'!$B100&amp;"|"&amp;'VARIABLES'!$E100</f>
        <v/>
      </c>
    </row>
    <row r="101">
      <c r="B101" s="389" t="inlineStr">
        <is>
          <t>F21</t>
        </is>
      </c>
      <c r="C101" s="390" t="inlineStr">
        <is>
          <t>Transaccional</t>
        </is>
      </c>
      <c r="D101" s="391" t="inlineStr">
        <is>
          <t>País o jurisdicción de la operación</t>
        </is>
      </c>
      <c r="E101" s="362" t="inlineStr">
        <is>
          <t>México</t>
        </is>
      </c>
      <c r="F101" s="361" t="n">
        <v>1</v>
      </c>
      <c r="G101" s="367" t="inlineStr">
        <is>
          <t>Registro de la operación</t>
        </is>
      </c>
      <c r="H101" s="392">
        <f>'VARIABLES'!$B101&amp;"|"&amp;'VARIABLES'!$E101</f>
        <v/>
      </c>
    </row>
    <row r="102">
      <c r="B102" s="389" t="inlineStr">
        <is>
          <t>F21</t>
        </is>
      </c>
      <c r="C102" s="390" t="inlineStr">
        <is>
          <t>Transaccional</t>
        </is>
      </c>
      <c r="D102" s="391" t="inlineStr">
        <is>
          <t>País o jurisdicción de la operación</t>
        </is>
      </c>
      <c r="E102" s="362" t="inlineStr">
        <is>
          <t>Extranjero, país sin señalamiento</t>
        </is>
      </c>
      <c r="F102" s="361" t="n">
        <v>3</v>
      </c>
      <c r="G102" s="367" t="inlineStr">
        <is>
          <t>Registro de la operación</t>
        </is>
      </c>
      <c r="H102" s="392">
        <f>'VARIABLES'!$B102&amp;"|"&amp;'VARIABLES'!$E102</f>
        <v/>
      </c>
    </row>
    <row r="103">
      <c r="B103" s="389" t="inlineStr">
        <is>
          <t>F21</t>
        </is>
      </c>
      <c r="C103" s="390" t="inlineStr">
        <is>
          <t>Transaccional</t>
        </is>
      </c>
      <c r="D103" s="391" t="inlineStr">
        <is>
          <t>País o jurisdicción de la operación</t>
        </is>
      </c>
      <c r="E103" s="362" t="inlineStr">
        <is>
          <t>Jurisdicción de régimen fiscal preferente o señalada por deficiencias</t>
        </is>
      </c>
      <c r="F103" s="361" t="n">
        <v>5</v>
      </c>
      <c r="G103" s="367" t="inlineStr">
        <is>
          <t>Registro de la operación</t>
        </is>
      </c>
      <c r="H103" s="392">
        <f>'VARIABLES'!$B103&amp;"|"&amp;'VARIABLES'!$E103</f>
        <v/>
      </c>
    </row>
    <row r="104">
      <c r="B104" s="389" t="inlineStr">
        <is>
          <t>F22</t>
        </is>
      </c>
      <c r="C104" s="390" t="inlineStr">
        <is>
          <t>Transaccional</t>
        </is>
      </c>
      <c r="D104" s="391" t="inlineStr">
        <is>
          <t>Área geográfica nacional de la operación</t>
        </is>
      </c>
      <c r="E104" s="362" t="inlineStr">
        <is>
          <t>Entidad federativa sin señalamiento en la ENR</t>
        </is>
      </c>
      <c r="F104" s="361" t="n">
        <v>1</v>
      </c>
      <c r="G104" s="367" t="inlineStr">
        <is>
          <t>Registro de la operación</t>
        </is>
      </c>
      <c r="H104" s="392">
        <f>'VARIABLES'!$B104&amp;"|"&amp;'VARIABLES'!$E104</f>
        <v/>
      </c>
    </row>
    <row r="105">
      <c r="B105" s="389" t="inlineStr">
        <is>
          <t>F22</t>
        </is>
      </c>
      <c r="C105" s="390" t="inlineStr">
        <is>
          <t>Transaccional</t>
        </is>
      </c>
      <c r="D105" s="391" t="inlineStr">
        <is>
          <t>Área geográfica nacional de la operación</t>
        </is>
      </c>
      <c r="E105" s="362" t="inlineStr">
        <is>
          <t>Entidad federativa con señalamiento en la ENR</t>
        </is>
      </c>
      <c r="F105" s="361" t="n">
        <v>3</v>
      </c>
      <c r="G105" s="367" t="inlineStr">
        <is>
          <t>Registro de la operación</t>
        </is>
      </c>
      <c r="H105" s="392">
        <f>'VARIABLES'!$B105&amp;"|"&amp;'VARIABLES'!$E105</f>
        <v/>
      </c>
    </row>
    <row r="106">
      <c r="B106" s="389" t="inlineStr">
        <is>
          <t>F22</t>
        </is>
      </c>
      <c r="C106" s="390" t="inlineStr">
        <is>
          <t>Transaccional</t>
        </is>
      </c>
      <c r="D106" s="391" t="inlineStr">
        <is>
          <t>Área geográfica nacional de la operación</t>
        </is>
      </c>
      <c r="E106" s="362" t="inlineStr">
        <is>
          <t>Municipio o zona identificada de alto riesgo</t>
        </is>
      </c>
      <c r="F106" s="361" t="n">
        <v>5</v>
      </c>
      <c r="G106" s="367" t="inlineStr">
        <is>
          <t>Registro de la operación</t>
        </is>
      </c>
      <c r="H106" s="392">
        <f>'VARIABLES'!$B106&amp;"|"&amp;'VARIABLES'!$E106</f>
        <v/>
      </c>
    </row>
    <row r="107">
      <c r="B107" s="389" t="inlineStr">
        <is>
          <t>F23</t>
        </is>
      </c>
      <c r="C107" s="390" t="inlineStr">
        <is>
          <t>Transaccional</t>
        </is>
      </c>
      <c r="D107" s="391" t="inlineStr">
        <is>
          <t>Congruencia entre domicilio y lugar de operación</t>
        </is>
      </c>
      <c r="E107" s="362" t="inlineStr">
        <is>
          <t>Domicilio y lugar de la operación coinciden</t>
        </is>
      </c>
      <c r="F107" s="361" t="n">
        <v>1</v>
      </c>
      <c r="G107" s="367" t="inlineStr">
        <is>
          <t>Derivado: A3 a) vi) / A4 a) v) contra el registro</t>
        </is>
      </c>
      <c r="H107" s="392">
        <f>'VARIABLES'!$B107&amp;"|"&amp;'VARIABLES'!$E107</f>
        <v/>
      </c>
    </row>
    <row r="108">
      <c r="B108" s="389" t="inlineStr">
        <is>
          <t>F23</t>
        </is>
      </c>
      <c r="C108" s="390" t="inlineStr">
        <is>
          <t>Transaccional</t>
        </is>
      </c>
      <c r="D108" s="391" t="inlineStr">
        <is>
          <t>Congruencia entre domicilio y lugar de operación</t>
        </is>
      </c>
      <c r="E108" s="362" t="inlineStr">
        <is>
          <t>Distinta entidad federativa, con explicación documentada</t>
        </is>
      </c>
      <c r="F108" s="361" t="n">
        <v>3</v>
      </c>
      <c r="G108" s="367" t="inlineStr">
        <is>
          <t>Derivado: A3 a) vi) / A4 a) v) contra el registro</t>
        </is>
      </c>
      <c r="H108" s="392">
        <f>'VARIABLES'!$B108&amp;"|"&amp;'VARIABLES'!$E108</f>
        <v/>
      </c>
    </row>
    <row r="109">
      <c r="B109" s="389" t="inlineStr">
        <is>
          <t>F23</t>
        </is>
      </c>
      <c r="C109" s="390" t="inlineStr">
        <is>
          <t>Transaccional</t>
        </is>
      </c>
      <c r="D109" s="391" t="inlineStr">
        <is>
          <t>Congruencia entre domicilio y lugar de operación</t>
        </is>
      </c>
      <c r="E109" s="362" t="inlineStr">
        <is>
          <t>Distinta entidad federativa sin explicación</t>
        </is>
      </c>
      <c r="F109" s="361" t="n">
        <v>5</v>
      </c>
      <c r="G109" s="367" t="inlineStr">
        <is>
          <t>Derivado: A3 a) vi) / A4 a) v) contra el registro</t>
        </is>
      </c>
      <c r="H109" s="392">
        <f>'VARIABLES'!$B109&amp;"|"&amp;'VARIABLES'!$E109</f>
        <v/>
      </c>
    </row>
    <row r="110">
      <c r="B110" s="389" t="inlineStr">
        <is>
          <t>F23</t>
        </is>
      </c>
      <c r="C110" s="390" t="inlineStr">
        <is>
          <t>Transaccional</t>
        </is>
      </c>
      <c r="D110" s="391" t="inlineStr">
        <is>
          <t>Congruencia entre domicilio y lugar de operación</t>
        </is>
      </c>
      <c r="E110" s="362" t="inlineStr">
        <is>
          <t>Domicilio en el extranjero y operación en México sin razón acreditada</t>
        </is>
      </c>
      <c r="F110" s="361" t="n">
        <v>5</v>
      </c>
      <c r="G110" s="367" t="inlineStr">
        <is>
          <t>Derivado: A3 a) vi) / A4 a) v) contra el registro</t>
        </is>
      </c>
      <c r="H110" s="392">
        <f>'VARIABLES'!$B110&amp;"|"&amp;'VARIABLES'!$E110</f>
        <v/>
      </c>
    </row>
  </sheetData>
  <mergeCells count="5">
    <mergeCell ref="B4:H4"/>
    <mergeCell ref="B6:H6"/>
    <mergeCell ref="B2:H2"/>
    <mergeCell ref="B3:H3"/>
    <mergeCell ref="B5:H5"/>
  </mergeCells>
  <pageMargins left="0.75" right="0.75" top="1" bottom="1" header="0.5" footer="0.5"/>
</worksheet>
</file>

<file path=xl/worksheets/sheet14.xml><?xml version="1.0" encoding="utf-8"?>
<worksheet xmlns="http://schemas.openxmlformats.org/spreadsheetml/2006/main">
  <sheetPr>
    <tabColor rgb="FFFFC000"/>
    <outlinePr summaryBelow="1" summaryRight="1"/>
    <pageSetUpPr/>
  </sheetPr>
  <dimension ref="B2:I74"/>
  <sheetViews>
    <sheetView showGridLines="0" workbookViewId="0">
      <selection activeCell="A1" sqref="A1"/>
    </sheetView>
  </sheetViews>
  <sheetFormatPr baseColWidth="8" defaultRowHeight="15"/>
  <cols>
    <col width="2" customWidth="1" style="173" min="1" max="1"/>
    <col width="7" customWidth="1" style="173" min="2" max="2"/>
    <col width="13" customWidth="1" style="173" min="3" max="3"/>
    <col width="42" customWidth="1" style="173" min="4" max="4"/>
    <col width="48" customWidth="1" style="173" min="5" max="5"/>
    <col width="7" customWidth="1" style="173" min="6" max="6"/>
    <col width="7" customWidth="1" style="173" min="7" max="7"/>
    <col width="8" customWidth="1" style="173" min="8" max="8"/>
    <col width="40" customWidth="1" style="173" min="9" max="9"/>
  </cols>
  <sheetData>
    <row r="2">
      <c r="B2" s="400" t="inlineStr">
        <is>
          <t>B · GRADO DE RIESGO DEL CLIENTE O USUARIA</t>
        </is>
      </c>
    </row>
    <row r="3">
      <c r="B3" s="355" t="inlineStr">
        <is>
          <t>Modelo de clasificación por Grado de Riesgo individual (Art. 23 Bis). Los factores se agrupan en características inherentes y transaccionales, como los nombra el Art. 23 Bis 2.</t>
        </is>
      </c>
    </row>
    <row r="4">
      <c r="B4" s="356" t="inlineStr">
        <is>
          <t>Elige la variable de cada factor en el desplegable. El nivel lo trae solo de la hoja VARIABLES; el del producto, de la hoja PRODUCTOS.</t>
        </is>
      </c>
    </row>
    <row r="5" ht="15" customHeight="1" s="173">
      <c r="B5" s="410" t="inlineStr">
        <is>
          <t>Fuera de secuencia  ·  un Cliente a la vez, al alta y al menos cada seis meses  ·  Viene de: PRODUCTOS y VARIABLES</t>
        </is>
      </c>
    </row>
    <row r="6" ht="20" customHeight="1" s="173">
      <c r="B6" s="357" t="inlineStr">
        <is>
          <t>IDENTIFICACIÓN DEL CLIENTE</t>
        </is>
      </c>
    </row>
    <row r="7">
      <c r="B7" s="358" t="inlineStr">
        <is>
          <t>Nombre o identificador del Cliente:</t>
        </is>
      </c>
      <c r="E7" s="359" t="inlineStr">
        <is>
          <t>Comercializadora Ejemplo del Norte, S.A. de C.V.</t>
        </is>
      </c>
      <c r="F7" s="393" t="n"/>
      <c r="G7" s="393" t="n"/>
      <c r="H7" s="393" t="n"/>
      <c r="I7" s="394" t="n"/>
    </row>
    <row r="8">
      <c r="B8" s="358" t="inlineStr">
        <is>
          <t>Anexo de identificación aplicable:</t>
        </is>
      </c>
      <c r="E8" s="359" t="inlineStr">
        <is>
          <t>Anexo 4 · persona moral mexicana</t>
        </is>
      </c>
      <c r="F8" s="393" t="n"/>
      <c r="G8" s="393" t="n"/>
      <c r="H8" s="393" t="n"/>
      <c r="I8" s="394" t="n"/>
    </row>
    <row r="9">
      <c r="B9" s="358" t="inlineStr">
        <is>
          <t>Fecha de la clasificación:</t>
        </is>
      </c>
      <c r="E9" s="359" t="inlineStr">
        <is>
          <t>2026-07-01</t>
        </is>
      </c>
      <c r="F9" s="393" t="n"/>
      <c r="G9" s="394" t="n"/>
    </row>
    <row r="10">
      <c r="B10" s="358" t="inlineStr">
        <is>
          <t>¿Reside en territorio mexicano?:</t>
        </is>
      </c>
      <c r="E10" s="359" t="inlineStr">
        <is>
          <t>Sí</t>
        </is>
      </c>
      <c r="F10" s="393" t="n"/>
      <c r="G10" s="394" t="n"/>
    </row>
    <row r="11">
      <c r="B11" s="358" t="inlineStr">
        <is>
          <t>¿Vínculo o efectos con jurisdicción de régimen fiscal preferente o deficiente en PLD?:</t>
        </is>
      </c>
      <c r="E11" s="359" t="inlineStr">
        <is>
          <t>No</t>
        </is>
      </c>
      <c r="F11" s="393" t="n"/>
      <c r="G11" s="394" t="n"/>
    </row>
    <row r="13" ht="20" customHeight="1" s="173">
      <c r="B13" s="357" t="inlineStr">
        <is>
          <t>FACTORES DE RIESGO  ·  elige la variable; el nivel se calcula solo</t>
        </is>
      </c>
    </row>
    <row r="14" ht="28" customHeight="1" s="173">
      <c r="B14" s="407" t="inlineStr">
        <is>
          <t>Clave</t>
        </is>
      </c>
      <c r="C14" s="407" t="inlineStr">
        <is>
          <t>Familia</t>
        </is>
      </c>
      <c r="D14" s="407" t="inlineStr">
        <is>
          <t>Factor</t>
        </is>
      </c>
      <c r="E14" s="407" t="inlineStr">
        <is>
          <t>Variable seleccionada</t>
        </is>
      </c>
      <c r="F14" s="407" t="inlineStr">
        <is>
          <t>Nivel</t>
        </is>
      </c>
      <c r="G14" s="407" t="inlineStr">
        <is>
          <t>Peso</t>
        </is>
      </c>
      <c r="H14" s="407" t="inlineStr">
        <is>
          <t>Aporte</t>
        </is>
      </c>
      <c r="I14" s="407" t="inlineStr">
        <is>
          <t>Fuente del dato</t>
        </is>
      </c>
    </row>
    <row r="15">
      <c r="B15" s="389" t="inlineStr">
        <is>
          <t>F01</t>
        </is>
      </c>
      <c r="C15" s="401" t="inlineStr">
        <is>
          <t>Inherente</t>
        </is>
      </c>
      <c r="D15" s="362" t="inlineStr">
        <is>
          <t>Tipo de persona y estructura</t>
        </is>
      </c>
      <c r="E15" s="402" t="inlineStr">
        <is>
          <t>Persona moral con estructura de dos o más niveles</t>
        </is>
      </c>
      <c r="F15" s="366">
        <f>IFERROR(INDEX(VARIABLES!$F:$F,MATCH($B15&amp;"|"&amp;$E15,VARIABLES!$H:$H,0)),0)</f>
        <v/>
      </c>
      <c r="G15" s="365" t="n">
        <v>0.13</v>
      </c>
      <c r="H15" s="366">
        <f>F15*G15</f>
        <v/>
      </c>
      <c r="I15" s="367" t="inlineStr">
        <is>
          <t>Anexo aplicable: 3 física · 4 moral · 8 fideicomiso</t>
        </is>
      </c>
    </row>
    <row r="16">
      <c r="B16" s="389" t="inlineStr">
        <is>
          <t>F02</t>
        </is>
      </c>
      <c r="C16" s="401" t="inlineStr">
        <is>
          <t>Inherente</t>
        </is>
      </c>
      <c r="D16" s="362" t="inlineStr">
        <is>
          <t>Fecha de nacimiento o de constitución</t>
        </is>
      </c>
      <c r="E16" s="402" t="inlineStr">
        <is>
          <t>Persona moral constituida hace menos de 2 años</t>
        </is>
      </c>
      <c r="F16" s="366">
        <f>IFERROR(INDEX(VARIABLES!$F:$F,MATCH($B16&amp;"|"&amp;$E16,VARIABLES!$H:$H,0)),0)</f>
        <v/>
      </c>
      <c r="G16" s="365" t="n">
        <v>0.07000000000000001</v>
      </c>
      <c r="H16" s="366">
        <f>F16*G16</f>
        <v/>
      </c>
      <c r="I16" s="367" t="inlineStr">
        <is>
          <t>A3 a) ii) · A4 a) ii)</t>
        </is>
      </c>
    </row>
    <row r="17">
      <c r="B17" s="389" t="inlineStr">
        <is>
          <t>F03</t>
        </is>
      </c>
      <c r="C17" s="401" t="inlineStr">
        <is>
          <t>Inherente</t>
        </is>
      </c>
      <c r="D17" s="362" t="inlineStr">
        <is>
          <t>Actividad, ocupación, profesión o giro</t>
        </is>
      </c>
      <c r="E17" s="402" t="inlineStr">
        <is>
          <t>Servicios profesionales</t>
        </is>
      </c>
      <c r="F17" s="366">
        <f>IFERROR(INDEX(VARIABLES!$F:$F,MATCH($B17&amp;"|"&amp;$E17,VARIABLES!$H:$H,0)),0)</f>
        <v/>
      </c>
      <c r="G17" s="365" t="n">
        <v>0.15</v>
      </c>
      <c r="H17" s="366">
        <f>F17*G17</f>
        <v/>
      </c>
      <c r="I17" s="367" t="inlineStr">
        <is>
          <t>A3 a) v) · A4 a) iv)</t>
        </is>
      </c>
    </row>
    <row r="18">
      <c r="B18" s="389" t="inlineStr">
        <is>
          <t>F04</t>
        </is>
      </c>
      <c r="C18" s="401" t="inlineStr">
        <is>
          <t>Inherente</t>
        </is>
      </c>
      <c r="D18" s="362" t="inlineStr">
        <is>
          <t>País de nacionalidad</t>
        </is>
      </c>
      <c r="E18" s="402" t="inlineStr">
        <is>
          <t>Mexicana</t>
        </is>
      </c>
      <c r="F18" s="366">
        <f>IFERROR(INDEX(VARIABLES!$F:$F,MATCH($B18&amp;"|"&amp;$E18,VARIABLES!$H:$H,0)),0)</f>
        <v/>
      </c>
      <c r="G18" s="365" t="n">
        <v>0.06</v>
      </c>
      <c r="H18" s="366">
        <f>F18*G18</f>
        <v/>
      </c>
      <c r="I18" s="367" t="inlineStr">
        <is>
          <t>A3 a) iv) · A4 a) iii)</t>
        </is>
      </c>
    </row>
    <row r="19">
      <c r="B19" s="389" t="inlineStr">
        <is>
          <t>F05</t>
        </is>
      </c>
      <c r="C19" s="401" t="inlineStr">
        <is>
          <t>Inherente</t>
        </is>
      </c>
      <c r="D19" s="362" t="inlineStr">
        <is>
          <t>Domicilio: país y estado de residencia</t>
        </is>
      </c>
      <c r="E19" s="402" t="inlineStr">
        <is>
          <t>Residente en México, entidad federativa señalada en la ENR</t>
        </is>
      </c>
      <c r="F19" s="366">
        <f>IFERROR(INDEX(VARIABLES!$F:$F,MATCH($B19&amp;"|"&amp;$E19,VARIABLES!$H:$H,0)),0)</f>
        <v/>
      </c>
      <c r="G19" s="365" t="n">
        <v>0.09</v>
      </c>
      <c r="H19" s="366">
        <f>F19*G19</f>
        <v/>
      </c>
      <c r="I19" s="367" t="inlineStr">
        <is>
          <t>A3 a) vi) · A4 a) v)</t>
        </is>
      </c>
    </row>
    <row r="20">
      <c r="B20" s="389" t="inlineStr">
        <is>
          <t>F06</t>
        </is>
      </c>
      <c r="C20" s="401" t="inlineStr">
        <is>
          <t>Inherente</t>
        </is>
      </c>
      <c r="D20" s="362" t="inlineStr">
        <is>
          <t>Condición de Persona Políticamente Expuesta</t>
        </is>
      </c>
      <c r="E20" s="402" t="inlineStr">
        <is>
          <t>No es Persona Políticamente Expuesta</t>
        </is>
      </c>
      <c r="F20" s="366">
        <f>IFERROR(INDEX(VARIABLES!$F:$F,MATCH($B20&amp;"|"&amp;$E20,VARIABLES!$H:$H,0)),0)</f>
        <v/>
      </c>
      <c r="G20" s="365" t="n">
        <v>0.13</v>
      </c>
      <c r="H20" s="366">
        <f>F20*G20</f>
        <v/>
      </c>
      <c r="I20" s="367" t="inlineStr">
        <is>
          <t>Anexo 10 · RCG 23 Bis 3 y 23 Bis 4</t>
        </is>
      </c>
    </row>
    <row r="21">
      <c r="B21" s="389" t="inlineStr">
        <is>
          <t>F07</t>
        </is>
      </c>
      <c r="C21" s="401" t="inlineStr">
        <is>
          <t>Inherente</t>
        </is>
      </c>
      <c r="D21" s="362" t="inlineStr">
        <is>
          <t>Coincidencia en listas de personas bloqueadas</t>
        </is>
      </c>
      <c r="E21" s="402" t="inlineStr">
        <is>
          <t>Sin coincidencia, búsqueda documentada en la operación</t>
        </is>
      </c>
      <c r="F21" s="366">
        <f>IFERROR(INDEX(VARIABLES!$F:$F,MATCH($B21&amp;"|"&amp;$E21,VARIABLES!$H:$H,0)),0)</f>
        <v/>
      </c>
      <c r="G21" s="365" t="n">
        <v>0.1</v>
      </c>
      <c r="H21" s="366">
        <f>F21*G21</f>
        <v/>
      </c>
      <c r="I21" s="367" t="inlineStr">
        <is>
          <t>RCG 38 · RCG 41 fr. V</t>
        </is>
      </c>
    </row>
    <row r="22">
      <c r="B22" s="389" t="inlineStr">
        <is>
          <t>F08</t>
        </is>
      </c>
      <c r="C22" s="401" t="inlineStr">
        <is>
          <t>Inherente</t>
        </is>
      </c>
      <c r="D22" s="362" t="inlineStr">
        <is>
          <t>Beneficiario Controlador</t>
        </is>
      </c>
      <c r="E22" s="402" t="inlineStr">
        <is>
          <t>Beneficiario Controlador identificado, cadena de dos o más niveles</t>
        </is>
      </c>
      <c r="F22" s="366">
        <f>IFERROR(INDEX(VARIABLES!$F:$F,MATCH($B22&amp;"|"&amp;$E22,VARIABLES!$H:$H,0)),0)</f>
        <v/>
      </c>
      <c r="G22" s="365" t="n">
        <v>0.17</v>
      </c>
      <c r="H22" s="366">
        <f>F22*G22</f>
        <v/>
      </c>
      <c r="I22" s="367" t="inlineStr">
        <is>
          <t>A3 b) iv) · A4 b) v) · A8 b) iv)</t>
        </is>
      </c>
    </row>
    <row r="23">
      <c r="B23" s="389" t="inlineStr">
        <is>
          <t>F09</t>
        </is>
      </c>
      <c r="C23" s="401" t="inlineStr">
        <is>
          <t>Inherente</t>
        </is>
      </c>
      <c r="D23" s="362" t="inlineStr">
        <is>
          <t>Fuente de los ingresos</t>
        </is>
      </c>
      <c r="E23" s="402" t="inlineStr">
        <is>
          <t>Ingresos acreditados parcialmente</t>
        </is>
      </c>
      <c r="F23" s="366">
        <f>IFERROR(INDEX(VARIABLES!$F:$F,MATCH($B23&amp;"|"&amp;$E23,VARIABLES!$H:$H,0)),0)</f>
        <v/>
      </c>
      <c r="G23" s="365" t="n">
        <v>0.06</v>
      </c>
      <c r="H23" s="366">
        <f>F23*G23</f>
        <v/>
      </c>
      <c r="I23" s="367" t="inlineStr">
        <is>
          <t>A3 a) v) · declarada por el Cliente</t>
        </is>
      </c>
    </row>
    <row r="24">
      <c r="B24" s="389" t="inlineStr">
        <is>
          <t>F10</t>
        </is>
      </c>
      <c r="C24" s="401" t="inlineStr">
        <is>
          <t>Inherente</t>
        </is>
      </c>
      <c r="D24" s="362" t="inlineStr">
        <is>
          <t>Naturaleza y propósito de la relación</t>
        </is>
      </c>
      <c r="E24" s="402" t="inlineStr">
        <is>
          <t>Cliente ocasional, un solo acto u operación</t>
        </is>
      </c>
      <c r="F24" s="366">
        <f>IFERROR(INDEX(VARIABLES!$F:$F,MATCH($B24&amp;"|"&amp;$E24,VARIABLES!$H:$H,0)),0)</f>
        <v/>
      </c>
      <c r="G24" s="365" t="n">
        <v>0.04</v>
      </c>
      <c r="H24" s="366">
        <f>F24*G24</f>
        <v/>
      </c>
      <c r="I24" s="367" t="inlineStr">
        <is>
          <t>Perfil transaccional · RCG 23 Ter 1</t>
        </is>
      </c>
    </row>
    <row r="25">
      <c r="B25" s="389" t="inlineStr">
        <is>
          <t>F11</t>
        </is>
      </c>
      <c r="C25" s="403" t="inlineStr">
        <is>
          <t>Transaccional</t>
        </is>
      </c>
      <c r="D25" s="362" t="inlineStr">
        <is>
          <t>Producto o servicio contratado</t>
        </is>
      </c>
      <c r="E25" s="402" t="inlineStr">
        <is>
          <t>Compraventa de local comercial</t>
        </is>
      </c>
      <c r="F25" s="366">
        <f>IFERROR(INDEX(PRODUCTOS!$J:$J,MATCH($E25,PRODUCTOS!$C:$C,0)),0)</f>
        <v/>
      </c>
      <c r="G25" s="365" t="n">
        <v>0.15</v>
      </c>
      <c r="H25" s="366">
        <f>F25*G25</f>
        <v/>
      </c>
      <c r="I25" s="367" t="inlineStr">
        <is>
          <t>Hoja PRODUCTOS · registro de la operación</t>
        </is>
      </c>
    </row>
    <row r="26">
      <c r="B26" s="389" t="inlineStr">
        <is>
          <t>F12</t>
        </is>
      </c>
      <c r="C26" s="403" t="inlineStr">
        <is>
          <t>Transaccional</t>
        </is>
      </c>
      <c r="D26" s="362" t="inlineStr">
        <is>
          <t>Monto frente al Perfil transaccional y umbrales</t>
        </is>
      </c>
      <c r="E26" s="402" t="inlineStr">
        <is>
          <t>Igual o superior al umbral de aviso</t>
        </is>
      </c>
      <c r="F26" s="366">
        <f>IFERROR(INDEX(VARIABLES!$F:$F,MATCH($B26&amp;"|"&amp;$E26,VARIABLES!$H:$H,0)),0)</f>
        <v/>
      </c>
      <c r="G26" s="365" t="n">
        <v>0.12</v>
      </c>
      <c r="H26" s="366">
        <f>F26*G26</f>
        <v/>
      </c>
      <c r="I26" s="367" t="inlineStr">
        <is>
          <t>RCG 23 Ter 1 · L 17</t>
        </is>
      </c>
    </row>
    <row r="27">
      <c r="B27" s="389" t="inlineStr">
        <is>
          <t>F13</t>
        </is>
      </c>
      <c r="C27" s="403" t="inlineStr">
        <is>
          <t>Transaccional</t>
        </is>
      </c>
      <c r="D27" s="362" t="inlineStr">
        <is>
          <t>Frecuencia de las operaciones</t>
        </is>
      </c>
      <c r="E27" s="402" t="inlineStr">
        <is>
          <t>De dos a cuatro operaciones al año</t>
        </is>
      </c>
      <c r="F27" s="366">
        <f>IFERROR(INDEX(VARIABLES!$F:$F,MATCH($B27&amp;"|"&amp;$E27,VARIABLES!$H:$H,0)),0)</f>
        <v/>
      </c>
      <c r="G27" s="365" t="n">
        <v>0.11</v>
      </c>
      <c r="H27" s="366">
        <f>F27*G27</f>
        <v/>
      </c>
      <c r="I27" s="367" t="inlineStr">
        <is>
          <t>Mecanismo automatizado · RCG 41 fr. II</t>
        </is>
      </c>
    </row>
    <row r="28">
      <c r="B28" s="389" t="inlineStr">
        <is>
          <t>F14</t>
        </is>
      </c>
      <c r="C28" s="403" t="inlineStr">
        <is>
          <t>Transaccional</t>
        </is>
      </c>
      <c r="D28" s="362" t="inlineStr">
        <is>
          <t>Volumen en número de operaciones</t>
        </is>
      </c>
      <c r="E28" s="402" t="inlineStr">
        <is>
          <t>De dos a cinco operaciones</t>
        </is>
      </c>
      <c r="F28" s="366">
        <f>IFERROR(INDEX(VARIABLES!$F:$F,MATCH($B28&amp;"|"&amp;$E28,VARIABLES!$H:$H,0)),0)</f>
        <v/>
      </c>
      <c r="G28" s="365" t="n">
        <v>0.05</v>
      </c>
      <c r="H28" s="366">
        <f>F28*G28</f>
        <v/>
      </c>
      <c r="I28" s="367" t="inlineStr">
        <is>
          <t>Mecanismo automatizado · RCG 41 fr. II</t>
        </is>
      </c>
    </row>
    <row r="29">
      <c r="B29" s="389" t="inlineStr">
        <is>
          <t>F15</t>
        </is>
      </c>
      <c r="C29" s="403" t="inlineStr">
        <is>
          <t>Transaccional</t>
        </is>
      </c>
      <c r="D29" s="362" t="inlineStr">
        <is>
          <t>Número de contrapartes</t>
        </is>
      </c>
      <c r="E29" s="402" t="inlineStr">
        <is>
          <t>De dos a tres contrapartes</t>
        </is>
      </c>
      <c r="F29" s="366">
        <f>IFERROR(INDEX(VARIABLES!$F:$F,MATCH($B29&amp;"|"&amp;$E29,VARIABLES!$H:$H,0)),0)</f>
        <v/>
      </c>
      <c r="G29" s="365" t="n">
        <v>0.06</v>
      </c>
      <c r="H29" s="366">
        <f>F29*G29</f>
        <v/>
      </c>
      <c r="I29" s="367" t="inlineStr">
        <is>
          <t>Registro de operaciones</t>
        </is>
      </c>
    </row>
    <row r="30">
      <c r="B30" s="389" t="inlineStr">
        <is>
          <t>F16</t>
        </is>
      </c>
      <c r="C30" s="403" t="inlineStr">
        <is>
          <t>Transaccional</t>
        </is>
      </c>
      <c r="D30" s="362" t="inlineStr">
        <is>
          <t>Instrumento monetario</t>
        </is>
      </c>
      <c r="E30" s="402" t="inlineStr">
        <is>
          <t>Pago mixto con componente en efectivo</t>
        </is>
      </c>
      <c r="F30" s="366">
        <f>IFERROR(INDEX(VARIABLES!$F:$F,MATCH($B30&amp;"|"&amp;$E30,VARIABLES!$H:$H,0)),0)</f>
        <v/>
      </c>
      <c r="G30" s="365" t="n">
        <v>0.14</v>
      </c>
      <c r="H30" s="366">
        <f>F30*G30</f>
        <v/>
      </c>
      <c r="I30" s="367" t="inlineStr">
        <is>
          <t>Registro de la operación · Aviso</t>
        </is>
      </c>
    </row>
    <row r="31">
      <c r="B31" s="389" t="inlineStr">
        <is>
          <t>F17</t>
        </is>
      </c>
      <c r="C31" s="403" t="inlineStr">
        <is>
          <t>Transaccional</t>
        </is>
      </c>
      <c r="D31" s="362" t="inlineStr">
        <is>
          <t>Tipo de moneda</t>
        </is>
      </c>
      <c r="E31" s="402" t="inlineStr">
        <is>
          <t>Peso mexicano</t>
        </is>
      </c>
      <c r="F31" s="366">
        <f>IFERROR(INDEX(VARIABLES!$F:$F,MATCH($B31&amp;"|"&amp;$E31,VARIABLES!$H:$H,0)),0)</f>
        <v/>
      </c>
      <c r="G31" s="365" t="n">
        <v>0.03</v>
      </c>
      <c r="H31" s="366">
        <f>F31*G31</f>
        <v/>
      </c>
      <c r="I31" s="367" t="inlineStr">
        <is>
          <t>Registro de la operación · Aviso</t>
        </is>
      </c>
    </row>
    <row r="32">
      <c r="B32" s="389" t="inlineStr">
        <is>
          <t>F18</t>
        </is>
      </c>
      <c r="C32" s="403" t="inlineStr">
        <is>
          <t>Transaccional</t>
        </is>
      </c>
      <c r="D32" s="362" t="inlineStr">
        <is>
          <t>Origen de los recursos</t>
        </is>
      </c>
      <c r="E32" s="402" t="inlineStr">
        <is>
          <t>Origen declarado con soporte parcial</t>
        </is>
      </c>
      <c r="F32" s="366">
        <f>IFERROR(INDEX(VARIABLES!$F:$F,MATCH($B32&amp;"|"&amp;$E32,VARIABLES!$H:$H,0)),0)</f>
        <v/>
      </c>
      <c r="G32" s="365" t="n">
        <v>0.13</v>
      </c>
      <c r="H32" s="366">
        <f>F32*G32</f>
        <v/>
      </c>
      <c r="I32" s="367" t="inlineStr">
        <is>
          <t>RCG 23 Ter 3 · declarado por el Cliente</t>
        </is>
      </c>
    </row>
    <row r="33">
      <c r="B33" s="389" t="inlineStr">
        <is>
          <t>F19</t>
        </is>
      </c>
      <c r="C33" s="403" t="inlineStr">
        <is>
          <t>Transaccional</t>
        </is>
      </c>
      <c r="D33" s="362" t="inlineStr">
        <is>
          <t>Destino de los recursos</t>
        </is>
      </c>
      <c r="E33" s="402" t="inlineStr">
        <is>
          <t>Destino es el propio bien u operación, registrado</t>
        </is>
      </c>
      <c r="F33" s="366">
        <f>IFERROR(INDEX(VARIABLES!$F:$F,MATCH($B33&amp;"|"&amp;$E33,VARIABLES!$H:$H,0)),0)</f>
        <v/>
      </c>
      <c r="G33" s="365" t="n">
        <v>0.06</v>
      </c>
      <c r="H33" s="366">
        <f>F33*G33</f>
        <v/>
      </c>
      <c r="I33" s="367" t="inlineStr">
        <is>
          <t>RCG 23 Ter 3 · declarado por el Cliente</t>
        </is>
      </c>
    </row>
    <row r="34">
      <c r="B34" s="389" t="inlineStr">
        <is>
          <t>F20</t>
        </is>
      </c>
      <c r="C34" s="403" t="inlineStr">
        <is>
          <t>Transaccional</t>
        </is>
      </c>
      <c r="D34" s="362" t="inlineStr">
        <is>
          <t>Canal de la operación</t>
        </is>
      </c>
      <c r="E34" s="402" t="inlineStr">
        <is>
          <t>Presencial ante fedatario público</t>
        </is>
      </c>
      <c r="F34" s="366">
        <f>IFERROR(INDEX(VARIABLES!$F:$F,MATCH($B34&amp;"|"&amp;$E34,VARIABLES!$H:$H,0)),0)</f>
        <v/>
      </c>
      <c r="G34" s="365" t="n">
        <v>0.05</v>
      </c>
      <c r="H34" s="366">
        <f>F34*G34</f>
        <v/>
      </c>
      <c r="I34" s="367" t="inlineStr">
        <is>
          <t>Registro de la operación (dato del sistema)</t>
        </is>
      </c>
    </row>
    <row r="35">
      <c r="B35" s="389" t="inlineStr">
        <is>
          <t>F21</t>
        </is>
      </c>
      <c r="C35" s="403" t="inlineStr">
        <is>
          <t>Transaccional</t>
        </is>
      </c>
      <c r="D35" s="362" t="inlineStr">
        <is>
          <t>País o jurisdicción de la operación</t>
        </is>
      </c>
      <c r="E35" s="402" t="inlineStr">
        <is>
          <t>México</t>
        </is>
      </c>
      <c r="F35" s="366">
        <f>IFERROR(INDEX(VARIABLES!$F:$F,MATCH($B35&amp;"|"&amp;$E35,VARIABLES!$H:$H,0)),0)</f>
        <v/>
      </c>
      <c r="G35" s="365" t="n">
        <v>0.04</v>
      </c>
      <c r="H35" s="366">
        <f>F35*G35</f>
        <v/>
      </c>
      <c r="I35" s="367" t="inlineStr">
        <is>
          <t>Registro de la operación</t>
        </is>
      </c>
    </row>
    <row r="36">
      <c r="B36" s="389" t="inlineStr">
        <is>
          <t>F22</t>
        </is>
      </c>
      <c r="C36" s="403" t="inlineStr">
        <is>
          <t>Transaccional</t>
        </is>
      </c>
      <c r="D36" s="362" t="inlineStr">
        <is>
          <t>Área geográfica nacional de la operación</t>
        </is>
      </c>
      <c r="E36" s="402" t="inlineStr">
        <is>
          <t>Entidad federativa con señalamiento en la ENR</t>
        </is>
      </c>
      <c r="F36" s="366">
        <f>IFERROR(INDEX(VARIABLES!$F:$F,MATCH($B36&amp;"|"&amp;$E36,VARIABLES!$H:$H,0)),0)</f>
        <v/>
      </c>
      <c r="G36" s="365" t="n">
        <v>0.03</v>
      </c>
      <c r="H36" s="366">
        <f>F36*G36</f>
        <v/>
      </c>
      <c r="I36" s="367" t="inlineStr">
        <is>
          <t>Registro de la operación</t>
        </is>
      </c>
    </row>
    <row r="37">
      <c r="B37" s="389" t="inlineStr">
        <is>
          <t>F23</t>
        </is>
      </c>
      <c r="C37" s="403" t="inlineStr">
        <is>
          <t>Transaccional</t>
        </is>
      </c>
      <c r="D37" s="362" t="inlineStr">
        <is>
          <t>Congruencia entre domicilio y lugar de operación</t>
        </is>
      </c>
      <c r="E37" s="402" t="inlineStr">
        <is>
          <t>Distinta entidad federativa, con explicación documentada</t>
        </is>
      </c>
      <c r="F37" s="366">
        <f>IFERROR(INDEX(VARIABLES!$F:$F,MATCH($B37&amp;"|"&amp;$E37,VARIABLES!$H:$H,0)),0)</f>
        <v/>
      </c>
      <c r="G37" s="365" t="n">
        <v>0.03</v>
      </c>
      <c r="H37" s="366">
        <f>F37*G37</f>
        <v/>
      </c>
      <c r="I37" s="367" t="inlineStr">
        <is>
          <t>Derivado: A3 a) vi) / A4 a) v) contra el registro</t>
        </is>
      </c>
    </row>
    <row r="39" ht="20" customHeight="1" s="173">
      <c r="B39" s="357" t="inlineStr">
        <is>
          <t>RESULTADO POR FAMILIA  ·  Art. 23 Bis 2 fracciones I y II</t>
        </is>
      </c>
    </row>
    <row r="40">
      <c r="B40" s="360" t="inlineStr"/>
      <c r="C40" s="360" t="inlineStr">
        <is>
          <t>Familia de factores</t>
        </is>
      </c>
      <c r="D40" s="360" t="inlineStr">
        <is>
          <t>Calif.</t>
        </is>
      </c>
      <c r="E40" s="360" t="inlineStr">
        <is>
          <t>Peso</t>
        </is>
      </c>
      <c r="F40" s="360" t="inlineStr">
        <is>
          <t>Aporte</t>
        </is>
      </c>
      <c r="G40" s="360" t="inlineStr">
        <is>
          <t>Nivel</t>
        </is>
      </c>
    </row>
    <row r="41">
      <c r="B41" s="364" t="inlineStr">
        <is>
          <t>I</t>
        </is>
      </c>
      <c r="C41" s="362" t="inlineStr">
        <is>
          <t>Características inherentes</t>
        </is>
      </c>
      <c r="D41" s="366">
        <f>IFERROR(SUM(H15:H24)/SUM(G15:G24),0)</f>
        <v/>
      </c>
      <c r="E41" s="370" t="n">
        <v>0.45</v>
      </c>
      <c r="F41" s="366">
        <f>D41*E41</f>
        <v/>
      </c>
      <c r="G41" s="361">
        <f>IF(D41&gt;=3.67,"ALTO",IF(D41&gt;=2.34,"MEDIO","BAJO"))</f>
        <v/>
      </c>
    </row>
    <row r="42">
      <c r="B42" s="364" t="inlineStr">
        <is>
          <t>II</t>
        </is>
      </c>
      <c r="C42" s="362" t="inlineStr">
        <is>
          <t>Características transaccionales</t>
        </is>
      </c>
      <c r="D42" s="366">
        <f>IFERROR(SUM(H25:H37)/SUM(G25:G37),0)</f>
        <v/>
      </c>
      <c r="E42" s="370" t="n">
        <v>0.55</v>
      </c>
      <c r="F42" s="366">
        <f>D42*E42</f>
        <v/>
      </c>
      <c r="G42" s="361">
        <f>IF(D42&gt;=3.67,"ALTO",IF(D42&gt;=2.34,"MEDIO","BAJO"))</f>
        <v/>
      </c>
    </row>
    <row r="43">
      <c r="C43" s="371" t="inlineStr">
        <is>
          <t>Suma de los pesos de familia (debe ser 100 %)</t>
        </is>
      </c>
      <c r="E43" s="372">
        <f>SUM(E41:E42)</f>
        <v/>
      </c>
      <c r="G43" s="373">
        <f>IF(ABS(SUM(E41:E42)-1)&lt;=0.001,"OK","Corregir")</f>
        <v/>
      </c>
    </row>
    <row r="44">
      <c r="C44" s="410" t="inlineStr">
        <is>
          <t>Factores todavía sin elegir:</t>
        </is>
      </c>
      <c r="E44" s="411">
        <f>COUNTIF($F$15:$F$37,0)</f>
        <v/>
      </c>
      <c r="G44" s="412">
        <f>IF($E$44=0,"Completo: los 23 factores resueltos","Mientras haya factores sin elegir no se emite grado")</f>
        <v/>
      </c>
    </row>
    <row r="45" ht="20" customHeight="1" s="173">
      <c r="B45" s="357" t="inlineStr">
        <is>
          <t>GRADO DE RIESGO DEL CLIENTE</t>
        </is>
      </c>
    </row>
    <row r="46">
      <c r="B46" s="358" t="inlineStr">
        <is>
          <t>Calificación ponderada del Cliente (escala 1 a 5):</t>
        </is>
      </c>
      <c r="E46" s="404">
        <f>IFERROR(SUMPRODUCT(D41:D42,E41:E42)/SUM(E41:E42),0)</f>
        <v/>
      </c>
      <c r="F46" s="394" t="n"/>
    </row>
    <row r="47">
      <c r="B47" s="358" t="inlineStr">
        <is>
          <t>Grado base:</t>
        </is>
      </c>
      <c r="E47" s="405">
        <f>IF(COUNTIF($F$15:$F$37,0)&gt;0,"— faltan factores por elegir —",IF($E$46=0,"",IF($E$46&gt;=3.67,"ALTO",IF($E$46&gt;=2.34,"MEDIO","BAJO"))))</f>
        <v/>
      </c>
      <c r="F47" s="394" t="n"/>
    </row>
    <row r="48">
      <c r="B48" s="358" t="inlineStr">
        <is>
          <t>Regla obligatoria de riesgo alto (Art. 23 Bis 4):</t>
        </is>
      </c>
      <c r="E48" s="375">
        <f>IF(COUNTIF($F$15:$F$37,0)&gt;0,"Se evalúa cuando estén los 23 factores",IF(OR($E$20="PEP extranjera",AND($E$10="No",$E$11="Sí")),"Aplica: PEP extranjera o no residente vinculado a jurisdicción de régimen fiscal preferente o deficiente","No aplica"))</f>
        <v/>
      </c>
      <c r="F48" s="393" t="n"/>
      <c r="G48" s="393" t="n"/>
      <c r="H48" s="393" t="n"/>
      <c r="I48" s="394" t="n"/>
    </row>
    <row r="50">
      <c r="B50" s="376" t="inlineStr">
        <is>
          <t>GRADO DE RIESGO FINAL</t>
        </is>
      </c>
      <c r="E50" s="377">
        <f>IF(COUNTIF($F$15:$F$37,0)&gt;0,"SIN CLASIFICAR",IF(OR($E$20="PEP extranjera",AND($E$10="No",$E$11="Sí")),"ALTO",E47))</f>
        <v/>
      </c>
      <c r="G50" s="378">
        <f>IF(E50="ALTO","Debida diligencia reforzada: Arts. 23 Ter 3, 23 Ter 4 y 23 Ter 5","Régimen ordinario, sin perjuicio del expediente que corresponda")</f>
        <v/>
      </c>
    </row>
    <row r="51"/>
    <row r="53">
      <c r="B53" s="379" t="inlineStr">
        <is>
          <t>CÓMO SE LEE  ·  Alto = 5 · Medio = 3 · Bajo = 1, la misma escala de calificación de la hoja A1</t>
        </is>
      </c>
    </row>
    <row r="54">
      <c r="C54" s="406" t="inlineStr">
        <is>
          <t>BAJO</t>
        </is>
      </c>
      <c r="D54" s="364" t="inlineStr">
        <is>
          <t>1.00 a 2.33</t>
        </is>
      </c>
      <c r="E54" s="381" t="inlineStr">
        <is>
          <t>Expediente conforme al Art. 12; medidas simplificadas sólo si además la entidad es de riesgo bajo (Art. 15 del Reglamento).</t>
        </is>
      </c>
      <c r="F54" s="393" t="n"/>
      <c r="G54" s="393" t="n"/>
      <c r="H54" s="393" t="n"/>
      <c r="I54" s="394" t="n"/>
    </row>
    <row r="55">
      <c r="C55" s="406" t="inlineStr">
        <is>
          <t>MEDIO</t>
        </is>
      </c>
      <c r="D55" s="364" t="inlineStr">
        <is>
          <t>2.34 a 3.66</t>
        </is>
      </c>
      <c r="E55" s="381" t="inlineStr">
        <is>
          <t>Expediente completo del Art. 12 de las Reglas (Art. 17 Bis).</t>
        </is>
      </c>
      <c r="F55" s="393" t="n"/>
      <c r="G55" s="393" t="n"/>
      <c r="H55" s="393" t="n"/>
      <c r="I55" s="394" t="n"/>
    </row>
    <row r="56">
      <c r="C56" s="406" t="inlineStr">
        <is>
          <t>ALTO</t>
        </is>
      </c>
      <c r="D56" s="364" t="inlineStr">
        <is>
          <t>3.67 a 5.00</t>
        </is>
      </c>
      <c r="E56" s="381" t="inlineStr">
        <is>
          <t>Expediente reforzado: Arts. 23 Ter 3, 23 Ter 4 y, si además es PEP, 23 Ter 5.</t>
        </is>
      </c>
      <c r="F56" s="393" t="n"/>
      <c r="G56" s="393" t="n"/>
      <c r="H56" s="393" t="n"/>
      <c r="I56" s="394" t="n"/>
    </row>
    <row r="58" ht="20" customHeight="1" s="173">
      <c r="B58" s="357" t="inlineStr">
        <is>
          <t>SI EL GRADO ES ALTO — Debida Diligencia Reforzada</t>
        </is>
      </c>
    </row>
    <row r="59" ht="15" customHeight="1" s="173">
      <c r="B59" s="383" t="inlineStr">
        <is>
          <t>•  Art. 23 Ter 3 — Requerir mayor información sobre la actividad preponderante y aplicar revisión y monitoreo más estricto del comportamiento transaccional.</t>
        </is>
      </c>
    </row>
    <row r="60" ht="15" customHeight="1" s="173">
      <c r="B60" s="383" t="inlineStr">
        <is>
          <t>•  Art. 23 Ter 3 — Aplicar cuestionario de identificación sobre origen y destino de los recursos. Puede ser remoto, con Firma Electrónica de quien lo suscribe.</t>
        </is>
      </c>
    </row>
    <row r="61" ht="15" customHeight="1" s="173">
      <c r="B61" s="383" t="inlineStr">
        <is>
          <t>•  Art. 23 Ter 4 fr. I — Persona física: medidas reforzadas sobre origen y destino, y datos del cónyuge, dependientes económicos y vínculos patrimoniales.</t>
        </is>
      </c>
    </row>
    <row r="62" ht="15" customHeight="1" s="173">
      <c r="B62" s="383" t="inlineStr">
        <is>
          <t>•  Art. 23 Ter 4 fr. II — Persona moral: mayor información de accionistas o socios, verificando los datos en los registros electrónicos de la Secretaría de Economía.</t>
        </is>
      </c>
    </row>
    <row r="63" ht="15" customHeight="1" s="173">
      <c r="B63" s="383" t="inlineStr">
        <is>
          <t>•  Art. 23 Ter 5 — PEP con grado alto: aprobación previa de un directivo o equivalente. Si quien realiza la Actividad Vulnerable es persona física, se subsana con constancia motivada.</t>
        </is>
      </c>
    </row>
    <row r="64" ht="15" customHeight="1" s="173">
      <c r="B64" s="383" t="inlineStr">
        <is>
          <t>•  Art. 23 Bis 1 — Reevaluar el grado al menos cada seis meses, con mayor frecuencia mientras mayor sea el grado.</t>
        </is>
      </c>
    </row>
    <row r="66" ht="20" customHeight="1" s="173">
      <c r="B66" s="357" t="inlineStr">
        <is>
          <t>RÉGIMEN DE EXPEDIENTE  ·  dos ejes distintos, y ambos deben cumplirse para poder simplificar</t>
        </is>
      </c>
    </row>
    <row r="67">
      <c r="B67" s="358" t="inlineStr">
        <is>
          <t>Grado de riesgo final del CLIENTE:</t>
        </is>
      </c>
      <c r="E67" s="384">
        <f>$E$50</f>
        <v/>
      </c>
      <c r="F67" s="393" t="n"/>
      <c r="G67" s="394" t="n"/>
    </row>
    <row r="68">
      <c r="B68" s="358" t="inlineStr">
        <is>
          <t>Riesgo residual de la ENTIDAD (hoja A5):</t>
        </is>
      </c>
      <c r="E68" s="384">
        <f>'A5 RESIDUAL'!$G$13</f>
        <v/>
      </c>
      <c r="F68" s="393" t="n"/>
      <c r="G68" s="394" t="n"/>
    </row>
    <row r="69">
      <c r="B69" s="358" t="inlineStr">
        <is>
          <t>Expediente que debe integrarse:</t>
        </is>
      </c>
      <c r="E69" s="385">
        <f>IF($E$67="","",IF($E$67="ALTO","Expediente reforzado: expediente completo, más cuestionario de identificación reforzada con Firma Electrónica; si además es PEP, aprobación de un directivo (Arts. 23 Ter 3, 4 y 5).",IF($E$67="MEDIO","Expediente completo del Art. 12 de las Reglas (Art. 17 Bis).",IF($E$68="BAJO","Medidas simplificadas: bastan los datos de los anexos (Art. 17). Procede porque el Cliente es de riesgo bajo y la entidad también lo es (Art. 15 del Reglamento).","Expediente completo: aunque el Cliente es de riesgo bajo, la entidad no lo es, y el Art. 15 del Reglamento condiciona las medidas simplificadas a que quien realiza la Actividad Vulnerable sea de bajo riesgo."))))</f>
        <v/>
      </c>
      <c r="F69" s="395" t="n"/>
      <c r="G69" s="395" t="n"/>
      <c r="H69" s="395" t="n"/>
      <c r="I69" s="396" t="n"/>
    </row>
    <row r="70">
      <c r="E70" s="397" t="n"/>
      <c r="F70" s="398" t="n"/>
      <c r="G70" s="398" t="n"/>
      <c r="H70" s="398" t="n"/>
      <c r="I70" s="399" t="n"/>
    </row>
    <row r="72">
      <c r="B72" s="386" t="inlineStr">
        <is>
          <t>Coherencia con la metodología (Art. 23 Bis): este modelo usa la misma escala de calificación de la hoja A1 —Alto 5 · Medio 3 · Bajo 1— y el mismo criterio de ponderación del Art. 10 Septies 1 fr. II, pero se agrupa como lo nombra el Art. 23 Bis 2: características inherentes y transaccionales. Los cuatro elementos del Art. 10 Septies 1 fr. I son de la evaluación de la ENTIDAD, no del Cliente. Lo que no aplica al Cliente es la concentración, porque un Cliente no se reparte en porcentajes de operación: por eso el resultado corre de 1 a 5 y no de 1 a 25.</t>
        </is>
      </c>
    </row>
    <row r="73"/>
    <row r="74"/>
  </sheetData>
  <mergeCells count="46">
    <mergeCell ref="B11:D11"/>
    <mergeCell ref="E10:G10"/>
    <mergeCell ref="B62:I62"/>
    <mergeCell ref="B67:D67"/>
    <mergeCell ref="G50:I51"/>
    <mergeCell ref="B48:D48"/>
    <mergeCell ref="B63:I63"/>
    <mergeCell ref="B8:D8"/>
    <mergeCell ref="E55:I55"/>
    <mergeCell ref="B3:I3"/>
    <mergeCell ref="E9:G9"/>
    <mergeCell ref="B59:I59"/>
    <mergeCell ref="B66:I66"/>
    <mergeCell ref="E8:I8"/>
    <mergeCell ref="B69:D69"/>
    <mergeCell ref="E48:I48"/>
    <mergeCell ref="B10:D10"/>
    <mergeCell ref="B58:I58"/>
    <mergeCell ref="B50:D51"/>
    <mergeCell ref="E11:G11"/>
    <mergeCell ref="B39:I39"/>
    <mergeCell ref="B72:I74"/>
    <mergeCell ref="B2:I2"/>
    <mergeCell ref="B9:D9"/>
    <mergeCell ref="E50:F51"/>
    <mergeCell ref="B60:I60"/>
    <mergeCell ref="B68:D68"/>
    <mergeCell ref="B61:I61"/>
    <mergeCell ref="B13:I13"/>
    <mergeCell ref="B53:I53"/>
    <mergeCell ref="E46:F46"/>
    <mergeCell ref="B4:I4"/>
    <mergeCell ref="B7:D7"/>
    <mergeCell ref="E68:G68"/>
    <mergeCell ref="B47:D47"/>
    <mergeCell ref="E7:I7"/>
    <mergeCell ref="B64:I64"/>
    <mergeCell ref="E67:G67"/>
    <mergeCell ref="B46:D46"/>
    <mergeCell ref="B6:I6"/>
    <mergeCell ref="E54:I54"/>
    <mergeCell ref="E69:I70"/>
    <mergeCell ref="B5:I5"/>
    <mergeCell ref="B45:I45"/>
    <mergeCell ref="E47:F47"/>
    <mergeCell ref="E56:I56"/>
  </mergeCells>
  <dataValidations count="25">
    <dataValidation sqref="E15" showDropDown="0" showInputMessage="0" showErrorMessage="0" allowBlank="0" type="list">
      <formula1>=V_F01</formula1>
    </dataValidation>
    <dataValidation sqref="E16" showDropDown="0" showInputMessage="0" showErrorMessage="0" allowBlank="0" type="list">
      <formula1>=V_F02</formula1>
    </dataValidation>
    <dataValidation sqref="E17" showDropDown="0" showInputMessage="0" showErrorMessage="0" allowBlank="0" type="list">
      <formula1>=V_F03</formula1>
    </dataValidation>
    <dataValidation sqref="E18" showDropDown="0" showInputMessage="0" showErrorMessage="0" allowBlank="0" type="list">
      <formula1>=V_F04</formula1>
    </dataValidation>
    <dataValidation sqref="E19" showDropDown="0" showInputMessage="0" showErrorMessage="0" allowBlank="0" type="list">
      <formula1>=V_F05</formula1>
    </dataValidation>
    <dataValidation sqref="E20" showDropDown="0" showInputMessage="0" showErrorMessage="0" allowBlank="0" type="list">
      <formula1>=V_F06</formula1>
    </dataValidation>
    <dataValidation sqref="E21" showDropDown="0" showInputMessage="0" showErrorMessage="0" allowBlank="0" type="list">
      <formula1>=V_F07</formula1>
    </dataValidation>
    <dataValidation sqref="E22" showDropDown="0" showInputMessage="0" showErrorMessage="0" allowBlank="0" type="list">
      <formula1>=V_F08</formula1>
    </dataValidation>
    <dataValidation sqref="E23" showDropDown="0" showInputMessage="0" showErrorMessage="0" allowBlank="0" type="list">
      <formula1>=V_F09</formula1>
    </dataValidation>
    <dataValidation sqref="E24" showDropDown="0" showInputMessage="0" showErrorMessage="0" allowBlank="0" type="list">
      <formula1>=V_F10</formula1>
    </dataValidation>
    <dataValidation sqref="E25" showDropDown="0" showInputMessage="0" showErrorMessage="0" allowBlank="0" type="list">
      <formula1>=V_F11</formula1>
    </dataValidation>
    <dataValidation sqref="E26" showDropDown="0" showInputMessage="0" showErrorMessage="0" allowBlank="0" type="list">
      <formula1>=V_F12</formula1>
    </dataValidation>
    <dataValidation sqref="E27" showDropDown="0" showInputMessage="0" showErrorMessage="0" allowBlank="0" type="list">
      <formula1>=V_F13</formula1>
    </dataValidation>
    <dataValidation sqref="E28" showDropDown="0" showInputMessage="0" showErrorMessage="0" allowBlank="0" type="list">
      <formula1>=V_F14</formula1>
    </dataValidation>
    <dataValidation sqref="E29" showDropDown="0" showInputMessage="0" showErrorMessage="0" allowBlank="0" type="list">
      <formula1>=V_F15</formula1>
    </dataValidation>
    <dataValidation sqref="E30" showDropDown="0" showInputMessage="0" showErrorMessage="0" allowBlank="0" type="list">
      <formula1>=V_F16</formula1>
    </dataValidation>
    <dataValidation sqref="E31" showDropDown="0" showInputMessage="0" showErrorMessage="0" allowBlank="0" type="list">
      <formula1>=V_F17</formula1>
    </dataValidation>
    <dataValidation sqref="E32" showDropDown="0" showInputMessage="0" showErrorMessage="0" allowBlank="0" type="list">
      <formula1>=V_F18</formula1>
    </dataValidation>
    <dataValidation sqref="E33" showDropDown="0" showInputMessage="0" showErrorMessage="0" allowBlank="0" type="list">
      <formula1>=V_F19</formula1>
    </dataValidation>
    <dataValidation sqref="E34" showDropDown="0" showInputMessage="0" showErrorMessage="0" allowBlank="0" type="list">
      <formula1>=V_F20</formula1>
    </dataValidation>
    <dataValidation sqref="E35" showDropDown="0" showInputMessage="0" showErrorMessage="0" allowBlank="0" type="list">
      <formula1>=V_F21</formula1>
    </dataValidation>
    <dataValidation sqref="E36" showDropDown="0" showInputMessage="0" showErrorMessage="0" allowBlank="0" type="list">
      <formula1>=V_F22</formula1>
    </dataValidation>
    <dataValidation sqref="E37" showDropDown="0" showInputMessage="0" showErrorMessage="0" allowBlank="0" type="list">
      <formula1>=V_F23</formula1>
    </dataValidation>
    <dataValidation sqref="E10" showDropDown="0" showInputMessage="0" showErrorMessage="0" allowBlank="0" type="list">
      <formula1>"Sí,No"</formula1>
    </dataValidation>
    <dataValidation sqref="E11" showDropDown="0" showInputMessage="0" showErrorMessage="0" allowBlank="0" type="list">
      <formula1>"Sí,No"</formula1>
    </dataValidation>
  </dataValidations>
  <pageMargins left="0.75" right="0.75" top="1" bottom="1" header="0.5" footer="0.5"/>
</worksheet>
</file>

<file path=xl/worksheets/sheet15.xml><?xml version="1.0" encoding="utf-8"?>
<worksheet xmlns="http://schemas.openxmlformats.org/spreadsheetml/2006/main">
  <sheetPr filterMode="0">
    <tabColor rgb="FF808080"/>
    <outlinePr summaryBelow="1" summaryRight="1"/>
    <pageSetUpPr fitToPage="0"/>
  </sheetPr>
  <dimension ref="B2:K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2" min="2" max="2"/>
    <col width="14" customWidth="1" style="172" min="3" max="3"/>
    <col width="42" customWidth="1" style="172" min="4" max="4"/>
    <col width="16" customWidth="1" style="172" min="5" max="7"/>
    <col width="20" customWidth="1" style="172" min="8" max="8"/>
    <col width="16" customWidth="1" style="172" min="9" max="9"/>
    <col width="30" customWidth="1" style="172" min="10" max="10"/>
    <col width="8" customWidth="1" style="172" min="11" max="11"/>
  </cols>
  <sheetData>
    <row r="2" ht="21.75" customHeight="1" s="173">
      <c r="B2" s="174" t="inlineStr">
        <is>
          <t>PARÁMETROS Y ESCALAS DE LA METODOLOGÍA</t>
        </is>
      </c>
    </row>
    <row r="3" ht="15" customHeight="1" s="173">
      <c r="B3" s="175" t="inlineStr">
        <is>
          <t>Base técnica reglas / CNBV / GAFILAT. Solo edita el valor de la UMA y el Nivel de Tolerancia.</t>
        </is>
      </c>
    </row>
    <row r="4" ht="15" customHeight="1" s="173">
      <c r="B4" s="177" t="inlineStr">
        <is>
          <t>Paso 0 de 10  ·  Se configura una vez  ·  Sigue: INICIO</t>
        </is>
      </c>
    </row>
    <row r="5" ht="15" customHeight="1" s="173">
      <c r="B5" s="178" t="inlineStr">
        <is>
          <t>ESCALA DE CALIFICACIÓN (qué tan riesgoso)</t>
        </is>
      </c>
      <c r="C5" s="179" t="n"/>
      <c r="D5" s="180" t="n"/>
      <c r="F5" s="178" t="inlineStr">
        <is>
          <t>ESCALA DE CONCENTRACIÓN (qué tan expuesto)</t>
        </is>
      </c>
      <c r="G5" s="179" t="n"/>
      <c r="H5" s="180" t="n"/>
    </row>
    <row r="6" ht="21.75" customHeight="1" s="173">
      <c r="B6" s="329" t="n">
        <v>1</v>
      </c>
      <c r="C6" s="291" t="inlineStr">
        <is>
          <t>Muy bajo</t>
        </is>
      </c>
      <c r="D6" s="326" t="inlineStr">
        <is>
          <t>Perfil de bajo riesgo</t>
        </is>
      </c>
      <c r="F6" s="329" t="n">
        <v>1</v>
      </c>
      <c r="G6" s="291" t="inlineStr">
        <is>
          <t>Mínima</t>
        </is>
      </c>
      <c r="H6" s="326" t="inlineStr">
        <is>
          <t>Casi nada del negocio expuesto</t>
        </is>
      </c>
    </row>
    <row r="7" ht="15" customHeight="1" s="173">
      <c r="B7" s="329" t="n">
        <v>2</v>
      </c>
      <c r="C7" s="291" t="inlineStr">
        <is>
          <t>Bajo</t>
        </is>
      </c>
      <c r="D7" s="326" t="inlineStr">
        <is>
          <t>Riesgo limitado</t>
        </is>
      </c>
      <c r="F7" s="329" t="n">
        <v>2</v>
      </c>
      <c r="G7" s="291" t="inlineStr">
        <is>
          <t>Baja</t>
        </is>
      </c>
      <c r="H7" s="326" t="inlineStr">
        <is>
          <t>Parte menor expuesta</t>
        </is>
      </c>
    </row>
    <row r="8" ht="15" customHeight="1" s="173">
      <c r="B8" s="329" t="n">
        <v>3</v>
      </c>
      <c r="C8" s="291" t="inlineStr">
        <is>
          <t>Medio</t>
        </is>
      </c>
      <c r="D8" s="326" t="inlineStr">
        <is>
          <t>Riesgo moderado</t>
        </is>
      </c>
      <c r="F8" s="329" t="n">
        <v>3</v>
      </c>
      <c r="G8" s="291" t="inlineStr">
        <is>
          <t>Media</t>
        </is>
      </c>
      <c r="H8" s="326" t="inlineStr">
        <is>
          <t>Parte relevante expuesta</t>
        </is>
      </c>
    </row>
    <row r="9" ht="15" customHeight="1" s="173">
      <c r="B9" s="329" t="n">
        <v>4</v>
      </c>
      <c r="C9" s="291" t="inlineStr">
        <is>
          <t>Alto</t>
        </is>
      </c>
      <c r="D9" s="326" t="inlineStr">
        <is>
          <t>Riesgo elevado</t>
        </is>
      </c>
      <c r="F9" s="329" t="n">
        <v>4</v>
      </c>
      <c r="G9" s="291" t="inlineStr">
        <is>
          <t>Alta</t>
        </is>
      </c>
      <c r="H9" s="326" t="inlineStr">
        <is>
          <t>Buena parte expuesta</t>
        </is>
      </c>
    </row>
    <row r="10" ht="21.75" customHeight="1" s="173">
      <c r="B10" s="329" t="n">
        <v>5</v>
      </c>
      <c r="C10" s="291" t="inlineStr">
        <is>
          <t>Muy alto</t>
        </is>
      </c>
      <c r="D10" s="326" t="inlineStr">
        <is>
          <t>Riesgo crítico</t>
        </is>
      </c>
      <c r="F10" s="329" t="n">
        <v>5</v>
      </c>
      <c r="G10" s="291" t="inlineStr">
        <is>
          <t>Muy alta</t>
        </is>
      </c>
      <c r="H10" s="326" t="inlineStr">
        <is>
          <t>La mayoría del negocio expuesto</t>
        </is>
      </c>
    </row>
    <row r="13" ht="15" customHeight="1" s="173">
      <c r="B13" s="178" t="inlineStr">
        <is>
          <t>NIVELES DE RIESGO (Calificación × Concentración)</t>
        </is>
      </c>
      <c r="C13" s="179" t="n"/>
      <c r="D13" s="179" t="n"/>
      <c r="E13" s="179" t="n"/>
      <c r="F13" s="180" t="n"/>
      <c r="H13" s="330" t="inlineStr">
        <is>
          <t>ESCALA DE EVALUACIÓN DE OBLIGACIONES (Art. 48 de las Reglas)</t>
        </is>
      </c>
      <c r="I13" s="179" t="n"/>
      <c r="J13" s="179" t="n"/>
      <c r="K13" s="180" t="n"/>
    </row>
    <row r="14" ht="15" customHeight="1" s="173">
      <c r="B14" s="290" t="inlineStr">
        <is>
          <t>Límite inf.</t>
        </is>
      </c>
      <c r="C14" s="290" t="inlineStr">
        <is>
          <t>De</t>
        </is>
      </c>
      <c r="D14" s="290" t="inlineStr">
        <is>
          <t>A</t>
        </is>
      </c>
      <c r="E14" s="290" t="inlineStr">
        <is>
          <t>Nivel</t>
        </is>
      </c>
      <c r="F14" s="290" t="inlineStr">
        <is>
          <t>Color</t>
        </is>
      </c>
      <c r="H14" s="250" t="inlineStr">
        <is>
          <t>Resultado</t>
        </is>
      </c>
      <c r="I14" s="250" t="inlineStr">
        <is>
          <t>Equivale a</t>
        </is>
      </c>
      <c r="J14" s="250" t="inlineStr">
        <is>
          <t>Cuándo se usa (Art. 48)</t>
        </is>
      </c>
      <c r="K14" s="180" t="n"/>
    </row>
    <row r="15" ht="15" customHeight="1" s="173">
      <c r="B15" s="325" t="n">
        <v>0</v>
      </c>
      <c r="C15" s="325" t="n">
        <v>1</v>
      </c>
      <c r="D15" s="325" t="n">
        <v>5</v>
      </c>
      <c r="E15" s="329" t="inlineStr">
        <is>
          <t>BAJO</t>
        </is>
      </c>
      <c r="F15" s="331" t="n"/>
      <c r="H15" s="332" t="inlineStr">
        <is>
          <t>Cumple</t>
        </is>
      </c>
      <c r="I15" s="333" t="n">
        <v>1</v>
      </c>
      <c r="J15" s="334" t="inlineStr">
        <is>
          <t>La eficacia del cumplimiento se demuestra y el auditor no recomienda mejoras.</t>
        </is>
      </c>
      <c r="K15" s="180" t="n"/>
    </row>
    <row r="16" ht="15" customHeight="1" s="173">
      <c r="B16" s="325" t="n">
        <v>5.01</v>
      </c>
      <c r="C16" s="325" t="n">
        <v>6</v>
      </c>
      <c r="D16" s="325" t="n">
        <v>9</v>
      </c>
      <c r="E16" s="329" t="inlineStr">
        <is>
          <t>MEDIO BAJO</t>
        </is>
      </c>
      <c r="F16" s="335" t="n"/>
      <c r="H16" s="332" t="inlineStr">
        <is>
          <t>Cumple mayoritariamente</t>
        </is>
      </c>
      <c r="I16" s="333" t="n">
        <v>0.75</v>
      </c>
      <c r="J16" s="334" t="inlineStr">
        <is>
          <t>La eficacia no se demuestra por completo; hay al menos una recomendación de mejora.</t>
        </is>
      </c>
      <c r="K16" s="180" t="n"/>
    </row>
    <row r="17" ht="15" customHeight="1" s="173">
      <c r="B17" s="325" t="n">
        <v>9.01</v>
      </c>
      <c r="C17" s="325" t="n">
        <v>10</v>
      </c>
      <c r="D17" s="325" t="n">
        <v>12</v>
      </c>
      <c r="E17" s="329" t="inlineStr">
        <is>
          <t>MEDIO</t>
        </is>
      </c>
      <c r="F17" s="336" t="n"/>
      <c r="H17" s="332" t="inlineStr">
        <is>
          <t>Cumple parcialmente</t>
        </is>
      </c>
      <c r="I17" s="333" t="n">
        <v>0.4</v>
      </c>
      <c r="J17" s="334" t="inlineStr">
        <is>
          <t>La eficacia no se demuestra por no contar con evidencia objetiva; hay al menos un hallazgo.</t>
        </is>
      </c>
      <c r="K17" s="180" t="n"/>
    </row>
    <row r="18" ht="15" customHeight="1" s="173">
      <c r="B18" s="325" t="n">
        <v>12.01</v>
      </c>
      <c r="C18" s="325" t="n">
        <v>13</v>
      </c>
      <c r="D18" s="325" t="n">
        <v>16</v>
      </c>
      <c r="E18" s="329" t="inlineStr">
        <is>
          <t>MEDIO ALTO</t>
        </is>
      </c>
      <c r="F18" s="337" t="n"/>
      <c r="H18" s="332" t="inlineStr">
        <is>
          <t>No cumple</t>
        </is>
      </c>
      <c r="I18" s="333" t="n">
        <v>0</v>
      </c>
      <c r="J18" s="334" t="inlineStr">
        <is>
          <t>No cubre los elementos necesarios o actualiza una sanción. No mitiga: computa 0%.</t>
        </is>
      </c>
      <c r="K18" s="180" t="n"/>
    </row>
    <row r="19" ht="15" customHeight="1" s="173">
      <c r="B19" s="325" t="n">
        <v>16.01</v>
      </c>
      <c r="C19" s="325" t="n">
        <v>17</v>
      </c>
      <c r="D19" s="325" t="n">
        <v>25</v>
      </c>
      <c r="E19" s="329" t="inlineStr">
        <is>
          <t>ALTO</t>
        </is>
      </c>
      <c r="F19" s="338" t="n"/>
      <c r="H19" s="332" t="inlineStr">
        <is>
          <t>No aplica</t>
        </is>
      </c>
      <c r="I19" s="333" t="inlineStr">
        <is>
          <t>—</t>
        </is>
      </c>
      <c r="J19" s="334" t="inlineStr">
        <is>
          <t>La obligación no es exigible (Art. 37 Bis 2). Sale del numerador y del denominador.</t>
        </is>
      </c>
      <c r="K19" s="180" t="n"/>
    </row>
    <row r="20" ht="23.25" customHeight="1" s="173">
      <c r="H20" s="181" t="n"/>
      <c r="I20" s="218" t="n"/>
      <c r="J20" s="326" t="n"/>
      <c r="K20" s="180" t="n"/>
    </row>
    <row r="21" ht="15" customHeight="1" s="173">
      <c r="H21" s="240" t="inlineStr">
        <is>
          <t>Editable (celdas amarillas): es el porcentaje que reconoces a cada resultado del Art. 48. «No cumple» vale 0% porque puede actualizar una sanción: no puede mitigar. «No aplica» no tiene porcentaje: la obligación sale del numerador y del denominador conforme al Art. 37 Bis 2.</t>
        </is>
      </c>
    </row>
    <row r="22" ht="57" customHeight="1" s="173">
      <c r="B22" s="187" t="inlineStr">
        <is>
          <t>VALOR DIARIO DE LA UMA (MXN) — actualízalo cada año:</t>
        </is>
      </c>
      <c r="C22" s="339" t="n">
        <v>117.31</v>
      </c>
      <c r="D22" s="175" t="inlineStr">
        <is>
          <t>Vigente desde 1-feb-2026 (INEGI). Recalcula los umbrales MXN del catálogo.</t>
        </is>
      </c>
    </row>
    <row r="24" ht="15" customHeight="1" s="173">
      <c r="B24" s="178" t="inlineStr">
        <is>
          <t>NIVEL DE TOLERANCIA AL RIESGO (editable)</t>
        </is>
      </c>
      <c r="C24" s="179" t="n"/>
      <c r="D24" s="180" t="n"/>
    </row>
    <row r="25" ht="34.5" customHeight="1" s="173">
      <c r="B25" s="181" t="inlineStr">
        <is>
          <t>Riesgo máximo aceptable:</t>
        </is>
      </c>
      <c r="C25" s="266" t="inlineStr">
        <is>
          <t>MEDIO</t>
        </is>
      </c>
    </row>
    <row r="28" ht="21" customHeight="1" s="173">
      <c r="B28" s="216" t="inlineStr">
        <is>
          <t>MITIGACIÓN: TOPE MÁXIMO DE REDUCCIÓN (editable)</t>
        </is>
      </c>
    </row>
    <row r="29" ht="15" customHeight="1" s="173">
      <c r="B29" s="228" t="inlineStr">
        <is>
          <t>La efectividad promedio de tus mitigantes no se traslada íntegra al resultado: se multiplica por este tope. Con 50%, aunque todos tus controles fueran Óptimos, el riesgo inherente se reduce a la mitad y nunca a cero. El control mitiga, no elimina.</t>
        </is>
      </c>
    </row>
    <row r="30" ht="15" customHeight="1" s="173">
      <c r="B30" s="271" t="inlineStr">
        <is>
          <t>Tope de reducción:</t>
        </is>
      </c>
      <c r="C30" s="218" t="n">
        <v>0.5</v>
      </c>
    </row>
    <row r="31" ht="15" customHeight="1" s="173">
      <c r="B31" s="270" t="inlineStr">
        <is>
          <t>Reducción aplicada = Efectividad del catálogo de controles mínimos (hoja A4 CONTROLES MINIMOS) × Tope de reducción.</t>
        </is>
      </c>
    </row>
    <row r="32" ht="15" customHeight="1" s="173">
      <c r="B32" s="270" t="inlineStr">
        <is>
          <t>Riesgo residual = Riesgo inherente × (1 − Reducción aplicada). La misma reducción se aplica al indicador, al elemento y a la entidad.</t>
        </is>
      </c>
    </row>
    <row r="33" ht="15" customHeight="1" s="173">
      <c r="B33" s="202" t="inlineStr">
        <is>
          <t>Si subes el tope, súbelo con criterio escrito: en Actividades Vulnerables el nivel de riesgo tiene consecuencias automáticas (régimen de auditoría del Cap. XIV y medidas simplificadas del Art. 15 del Reglamento). Un tope generoso no es un ahorro: es una exposición.</t>
        </is>
      </c>
    </row>
    <row r="38" ht="21" customHeight="1" s="173">
      <c r="B38" s="216" t="inlineStr">
        <is>
          <t>CRITERIOS DE CALIBRACIÓN DOCUMENTADOS (por qué el número es el que es)</t>
        </is>
      </c>
    </row>
    <row r="39" ht="15" customHeight="1" s="173">
      <c r="B39" s="178" t="inlineStr">
        <is>
          <t>Regla</t>
        </is>
      </c>
      <c r="C39" s="180" t="n"/>
      <c r="D39" s="178" t="inlineStr">
        <is>
          <t>Fórmula</t>
        </is>
      </c>
      <c r="E39" s="178" t="inlineStr">
        <is>
          <t>Criterio y por qué</t>
        </is>
      </c>
      <c r="F39" s="179" t="n"/>
      <c r="G39" s="179" t="n"/>
      <c r="H39" s="179" t="n"/>
      <c r="I39" s="179" t="n"/>
      <c r="J39" s="180" t="n"/>
    </row>
    <row r="40" ht="30" customHeight="1" s="173">
      <c r="B40" s="227" t="inlineStr">
        <is>
          <t>Calificación</t>
        </is>
      </c>
      <c r="C40" s="180" t="n"/>
      <c r="D40" s="312" t="inlineStr">
        <is>
          <t>5×%Alto + 3×%Medio + 1×%Bajo, redondeado</t>
        </is>
      </c>
      <c r="E40" s="312" t="inlineStr">
        <is>
          <t>Escala de 1 a 5 ponderada por la proporción real del negocio en cada perfil. No es un promedio de opiniones: es la mezcla declarada en A1.</t>
        </is>
      </c>
      <c r="F40" s="179" t="n"/>
      <c r="G40" s="179" t="n"/>
      <c r="H40" s="179" t="n"/>
      <c r="I40" s="179" t="n"/>
      <c r="J40" s="180" t="n"/>
    </row>
    <row r="41" ht="43.5" customHeight="1" s="173">
      <c r="B41" s="227" t="inlineStr">
        <is>
          <t>Concentración</t>
        </is>
      </c>
      <c r="C41" s="180" t="n"/>
      <c r="D41" s="312" t="inlineStr">
        <is>
          <t>1 + 4×(%Alto + %Medio), redondeado</t>
        </is>
      </c>
      <c r="E41" s="312" t="inlineStr">
        <is>
          <t>Criterio conservador y deliberado: el perfil MEDIO se cuenta como plenamente expuesto, y solo la porción clasificada en BAJO reduce la concentración. Si tu metodología prefiere ponderar el medio al 50%, cámbialo aquí y documenta el cambio: lo defendible es que el criterio esté escrito.</t>
        </is>
      </c>
      <c r="F41" s="179" t="n"/>
      <c r="G41" s="179" t="n"/>
      <c r="H41" s="179" t="n"/>
      <c r="I41" s="179" t="n"/>
      <c r="J41" s="180" t="n"/>
    </row>
    <row r="42" ht="30" customHeight="1" s="173">
      <c r="B42" s="227" t="inlineStr">
        <is>
          <t>Riesgo inherente</t>
        </is>
      </c>
      <c r="C42" s="180" t="n"/>
      <c r="D42" s="312" t="inlineStr">
        <is>
          <t>Calificación × Concentración</t>
        </is>
      </c>
      <c r="E42" s="312" t="inlineStr">
        <is>
          <t>Rango de 1 a 25. Los cortes entre BAJO, MEDIO BAJO, MEDIO, MEDIO ALTO y ALTO son los de la tabla de niveles de esta misma hoja y pueden editarse.</t>
        </is>
      </c>
      <c r="F42" s="179" t="n"/>
      <c r="G42" s="179" t="n"/>
      <c r="H42" s="179" t="n"/>
      <c r="I42" s="179" t="n"/>
      <c r="J42" s="180" t="n"/>
    </row>
    <row r="43" ht="51.75" customHeight="1" s="173">
      <c r="B43" s="227" t="inlineStr">
        <is>
          <t>Riesgo residual</t>
        </is>
      </c>
      <c r="C43" s="180" t="n"/>
      <c r="D43" s="312" t="inlineStr">
        <is>
          <t>Riesgo inherente × (1 − Reducción aplicada)</t>
        </is>
      </c>
      <c r="E43" s="312" t="inlineStr">
        <is>
          <t>La reducción es un porcentaje, no una división: Reducción = Efectividad × Tope. La efectividad se mide contra un denominador fijo: las 14 obligaciones del catálogo de contenidos mínimos del Manual (Art. 37 Bis), menos las excluidas por «No aplica» conforme al Art. 37 Bis 2. Una obligación no registrada no se excluye: computa 0%. Los mitigantes se miden una sola vez, a nivel de la entidad, y esa misma reducción se aplica al indicador, al elemento y a la entidad.</t>
        </is>
      </c>
      <c r="F43" s="179" t="n"/>
      <c r="G43" s="179" t="n"/>
      <c r="H43" s="179" t="n"/>
      <c r="I43" s="179" t="n"/>
      <c r="J43" s="180" t="n"/>
    </row>
    <row r="44" ht="30" customHeight="1" s="173">
      <c r="B44" s="227" t="inlineStr">
        <is>
          <t>Peso de los indicadores</t>
        </is>
      </c>
      <c r="C44" s="180" t="n"/>
      <c r="D44" s="312" t="inlineStr">
        <is>
          <t>Relativo dentro de cada elemento (A1, columna Peso)</t>
        </is>
      </c>
      <c r="E44" s="312" t="inlineStr">
        <is>
          <t>El cálculo es un promedio ponderado, así que los pesos se normalizan solos: no tienen que sumar 1. Lo que importa es la proporción entre ellos.</t>
        </is>
      </c>
      <c r="F44" s="179" t="n"/>
      <c r="G44" s="179" t="n"/>
      <c r="H44" s="179" t="n"/>
      <c r="I44" s="179" t="n"/>
      <c r="J44" s="180" t="n"/>
    </row>
    <row r="45" ht="43.5" customHeight="1" s="173">
      <c r="B45" s="227" t="inlineStr">
        <is>
          <t>Peso de los elementos</t>
        </is>
      </c>
      <c r="C45" s="180" t="n"/>
      <c r="D45" s="312" t="inlineStr">
        <is>
          <t>Debe sumar 100% (A1, celdas D35:D38)</t>
        </is>
      </c>
      <c r="E45" s="312" t="inlineStr">
        <is>
          <t>Se captura y se justifica por escrito en la propia hoja A1 (Art. 10 Septies 1, fr. II: el valor se asigna en función de la importancia del elemento). Un reparto plano de 25/25/25/25 sin justificación se lee como que no se ponderó.</t>
        </is>
      </c>
      <c r="F45" s="179" t="n"/>
      <c r="G45" s="179" t="n"/>
      <c r="H45" s="179" t="n"/>
      <c r="I45" s="179" t="n"/>
      <c r="J45" s="180" t="n"/>
    </row>
    <row r="47" ht="15" customHeight="1" s="173">
      <c r="B47" s="228" t="inlineStr">
        <is>
          <t>Estos criterios forman parte de la metodología que debe describirse en el Manual (Art. 10 Septies, segundo párrafo). Si cambias un criterio, cámbialo también ahí.</t>
        </is>
      </c>
    </row>
  </sheetData>
  <mergeCells count="28">
    <mergeCell ref="H13:K13"/>
    <mergeCell ref="F5:H5"/>
    <mergeCell ref="J14:K14"/>
    <mergeCell ref="E40:J40"/>
    <mergeCell ref="J19:K19"/>
    <mergeCell ref="B38:J38"/>
    <mergeCell ref="B43:C43"/>
    <mergeCell ref="B39:C39"/>
    <mergeCell ref="B28:G28"/>
    <mergeCell ref="J15:K15"/>
    <mergeCell ref="E45:J45"/>
    <mergeCell ref="B42:C42"/>
    <mergeCell ref="B24:D24"/>
    <mergeCell ref="B13:F13"/>
    <mergeCell ref="E41:J41"/>
    <mergeCell ref="B44:C44"/>
    <mergeCell ref="B5:D5"/>
    <mergeCell ref="J20:K20"/>
    <mergeCell ref="J16:K16"/>
    <mergeCell ref="E43:J43"/>
    <mergeCell ref="B40:C40"/>
    <mergeCell ref="E42:J42"/>
    <mergeCell ref="B45:C45"/>
    <mergeCell ref="J18:K18"/>
    <mergeCell ref="E39:J39"/>
    <mergeCell ref="B41:C41"/>
    <mergeCell ref="E44:J44"/>
    <mergeCell ref="J17:K17"/>
  </mergeCells>
  <dataValidations count="1">
    <dataValidation sqref="C25" showDropDown="0" showInputMessage="0" showErrorMessage="0" allowBlank="0" type="list" errorStyle="stop" operator="between">
      <formula1>"BAJO,MEDIO BAJO,MEDIO,MEDIO ALTO,ALTO"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808080"/>
    <outlinePr summaryBelow="1" summaryRight="1"/>
    <pageSetUpPr fitToPage="0"/>
  </sheetPr>
  <dimension ref="B2:O3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4" customWidth="1" style="172" min="2" max="2"/>
    <col width="9" customWidth="1" style="172" min="3" max="3"/>
    <col width="34" customWidth="1" style="172" min="4" max="4"/>
    <col width="13" customWidth="1" style="172" min="5" max="5"/>
    <col width="12" customWidth="1" style="172" min="6" max="7"/>
    <col width="15" customWidth="1" style="172" min="8" max="9"/>
    <col width="38" customWidth="1" style="172" min="10" max="12"/>
    <col width="32" customWidth="1" style="172" min="13" max="13"/>
    <col width="30" customWidth="1" style="172" min="14" max="15"/>
  </cols>
  <sheetData>
    <row r="2" ht="21.75" customHeight="1" s="173">
      <c r="B2" s="174" t="inlineStr">
        <is>
          <t>CATÁLOGO DE ACTIVIDADES VULNERABLES (Art. 17 LFPIORPI)</t>
        </is>
      </c>
    </row>
    <row r="3" ht="15" customHeight="1" s="173">
      <c r="B3" s="175" t="inlineStr">
        <is>
          <t>La actividad elegida en INICIO precarga umbrales, características y evento típico.</t>
        </is>
      </c>
    </row>
    <row r="4" ht="15" customHeight="1" s="173">
      <c r="B4" s="177" t="inlineStr">
        <is>
          <t>Referencia: no se edita. La actividad se elige en INICIO.</t>
        </is>
      </c>
    </row>
    <row r="5" ht="34.5" customHeight="1" s="173">
      <c r="B5" s="178" t="inlineStr">
        <is>
          <t>#</t>
        </is>
      </c>
      <c r="C5" s="178" t="inlineStr">
        <is>
          <t>Fracción</t>
        </is>
      </c>
      <c r="D5" s="178" t="inlineStr">
        <is>
          <t>Actividad Vulnerable</t>
        </is>
      </c>
      <c r="E5" s="178" t="inlineStr">
        <is>
          <t>Actividad (elegir en INICIO)</t>
        </is>
      </c>
      <c r="F5" s="178" t="inlineStr">
        <is>
          <t>Umbral identificación (UMA)</t>
        </is>
      </c>
      <c r="G5" s="178" t="inlineStr">
        <is>
          <t>Umbral aviso (UMA)</t>
        </is>
      </c>
      <c r="H5" s="178" t="inlineStr">
        <is>
          <t>Umbral identificación (MXN)</t>
        </is>
      </c>
      <c r="I5" s="178" t="inlineStr">
        <is>
          <t>Umbral aviso (MXN)</t>
        </is>
      </c>
      <c r="J5" s="178" t="inlineStr">
        <is>
          <t>Características ALTO</t>
        </is>
      </c>
      <c r="K5" s="178" t="inlineStr">
        <is>
          <t>Características MEDIO</t>
        </is>
      </c>
      <c r="L5" s="178" t="inlineStr">
        <is>
          <t>Características BAJO</t>
        </is>
      </c>
      <c r="M5" s="178" t="inlineStr">
        <is>
          <t>Evento típico</t>
        </is>
      </c>
      <c r="N5" s="178" t="inlineStr">
        <is>
          <t>Causa</t>
        </is>
      </c>
      <c r="O5" s="178" t="inlineStr">
        <is>
          <t>Consecuencia</t>
        </is>
      </c>
    </row>
    <row r="6" ht="32.25" customHeight="1" s="173">
      <c r="B6" s="340" t="n">
        <v>1</v>
      </c>
      <c r="C6" s="340" t="inlineStr">
        <is>
          <t>I</t>
        </is>
      </c>
      <c r="D6" s="340" t="inlineStr">
        <is>
          <t>Juegos con apuesta</t>
        </is>
      </c>
      <c r="E6" s="340" t="inlineStr">
        <is>
          <t>I - Juegos con apuesta</t>
        </is>
      </c>
      <c r="F6" s="341" t="n">
        <v>325</v>
      </c>
      <c r="G6" s="341" t="n">
        <v>645</v>
      </c>
      <c r="H6" s="342">
        <f>IF(ISNUMBER($F6),$F6*PARAMETROS!$C$22,$F6)</f>
        <v/>
      </c>
      <c r="I6" s="342">
        <f>IF(ISNUMBER($G6),$G6*PARAMETROS!$C$22,$G6)</f>
        <v/>
      </c>
      <c r="J6" s="340" t="inlineStr">
        <is>
          <t>Apuestas en efectivo de alto monto, clientes no frecuentes o extranjeros, apuestas en línea sin trazabilidad clara.</t>
        </is>
      </c>
      <c r="K6" s="340" t="inlineStr">
        <is>
          <t>Apuestas mixtas (efectivo y transferencia), montos moderados, clientes recurrentes.</t>
        </is>
      </c>
      <c r="L6" s="340" t="inlineStr">
        <is>
          <t>Apuestas con tarjeta bancaria o monederos electrónicos, montos bajos y clientes identificables.</t>
        </is>
      </c>
      <c r="M6" s="340" t="inlineStr">
        <is>
          <t>Introducción de efectivo ilícito en casinos o plataformas.</t>
        </is>
      </c>
      <c r="N6" s="340" t="inlineStr">
        <is>
          <t>Uso intensivo de efectivo, dispersión de apuestas.</t>
        </is>
      </c>
      <c r="O6" s="340" t="inlineStr">
        <is>
          <t>Integración de dinero ilícito, sanciones a la entidad, pérdida de licencia.</t>
        </is>
      </c>
    </row>
    <row r="7" ht="32.25" customHeight="1" s="173">
      <c r="B7" s="340" t="n">
        <v>2</v>
      </c>
      <c r="C7" s="340" t="inlineStr">
        <is>
          <t>II</t>
        </is>
      </c>
      <c r="D7" s="340" t="inlineStr">
        <is>
          <t>Tarjetas de crédito o servicios</t>
        </is>
      </c>
      <c r="E7" s="340" t="inlineStr">
        <is>
          <t>II - Tarjetas de crédito o servicios</t>
        </is>
      </c>
      <c r="F7" s="341" t="n">
        <v>805</v>
      </c>
      <c r="G7" s="341" t="n">
        <v>1285</v>
      </c>
      <c r="H7" s="342">
        <f>IF(ISNUMBER($F7),$F7*PARAMETROS!$C$22,$F7)</f>
        <v/>
      </c>
      <c r="I7" s="342">
        <f>IF(ISNUMBER($G7),$G7*PARAMETROS!$C$22,$G7)</f>
        <v/>
      </c>
      <c r="J7" s="340" t="inlineStr">
        <is>
          <t>Uso de tarjetas emitidas en el extranjero o con líneas de crédito inusualmente altas.</t>
        </is>
      </c>
      <c r="K7" s="340" t="inlineStr">
        <is>
          <t>Tarjetas nacionales con uso mixto (efectivo/transferencias) y movimientos atípicos.</t>
        </is>
      </c>
      <c r="L7" s="340" t="inlineStr">
        <is>
          <t>Tarjetas nacionales de clientes con historial crediticio claro y montos habituales.</t>
        </is>
      </c>
      <c r="M7" s="340" t="inlineStr">
        <is>
          <t>Uso de tarjetas para dispersar fondos ilícitos o triangular pagos.</t>
        </is>
      </c>
      <c r="N7" s="340" t="inlineStr">
        <is>
          <t>Montos elevados sin justificación económica.</t>
        </is>
      </c>
      <c r="O7" s="340" t="inlineStr">
        <is>
          <t>Detección por UIF, congelamiento de cuentas, sanciones.</t>
        </is>
      </c>
    </row>
    <row r="8" ht="42.75" customHeight="1" s="173">
      <c r="B8" s="340" t="n">
        <v>3</v>
      </c>
      <c r="C8" s="340" t="inlineStr">
        <is>
          <t>II</t>
        </is>
      </c>
      <c r="D8" s="340" t="inlineStr">
        <is>
          <t>Tarjetas prepagadas y monederos electrónicos</t>
        </is>
      </c>
      <c r="E8" s="340" t="inlineStr">
        <is>
          <t>II - Tarjetas prepagadas y monederos electrónicos</t>
        </is>
      </c>
      <c r="F8" s="341" t="n">
        <v>645</v>
      </c>
      <c r="G8" s="341" t="n">
        <v>645</v>
      </c>
      <c r="H8" s="342">
        <f>IF(ISNUMBER($F8),$F8*PARAMETROS!$C$22,$F8)</f>
        <v/>
      </c>
      <c r="I8" s="342">
        <f>IF(ISNUMBER($G8),$G8*PARAMETROS!$C$22,$G8)</f>
        <v/>
      </c>
      <c r="J8" s="340" t="inlineStr">
        <is>
          <t>Tarjetas recargables en efectivo de alto monto, adquiridas de forma masiva.</t>
        </is>
      </c>
      <c r="K8" s="340" t="inlineStr">
        <is>
          <t>Tarjetas con recargas mixtas (efectivo y transferencia), uso en varios comercios.</t>
        </is>
      </c>
      <c r="L8" s="340" t="inlineStr">
        <is>
          <t>Tarjetas con recarga en cuenta bancaria, límites bajos y trazables.</t>
        </is>
      </c>
      <c r="M8" s="340" t="inlineStr">
        <is>
          <t>Uso de monederos para dispersión y anonimato en transacciones.</t>
        </is>
      </c>
      <c r="N8" s="340" t="inlineStr">
        <is>
          <t>Bajo nivel de identificación en productos masivos.</t>
        </is>
      </c>
      <c r="O8" s="340" t="inlineStr">
        <is>
          <t>Riesgo de operaciones estructuradas y financiamiento ilícito.</t>
        </is>
      </c>
    </row>
    <row r="9" ht="21.75" customHeight="1" s="173">
      <c r="B9" s="340" t="n">
        <v>4</v>
      </c>
      <c r="C9" s="340" t="inlineStr">
        <is>
          <t>III</t>
        </is>
      </c>
      <c r="D9" s="340" t="inlineStr">
        <is>
          <t>Cheques de viajero</t>
        </is>
      </c>
      <c r="E9" s="340" t="inlineStr">
        <is>
          <t>III - Cheques de viajero</t>
        </is>
      </c>
      <c r="F9" s="341" t="inlineStr">
        <is>
          <t>Siempre</t>
        </is>
      </c>
      <c r="G9" s="341" t="n">
        <v>645</v>
      </c>
      <c r="H9" s="342">
        <f>IF(ISNUMBER($F9),$F9*PARAMETROS!$C$22,$F9)</f>
        <v/>
      </c>
      <c r="I9" s="342">
        <f>IF(ISNUMBER($G9),$G9*PARAMETROS!$C$22,$G9)</f>
        <v/>
      </c>
      <c r="J9" s="340" t="inlineStr">
        <is>
          <t>Emisión o adquisición en efectivo, altos montos, operaciones internacionales.</t>
        </is>
      </c>
      <c r="K9" s="340" t="inlineStr">
        <is>
          <t>Cheques adquiridos con mezcla de efectivo y transferencias, uso ocasional.</t>
        </is>
      </c>
      <c r="L9" s="340" t="inlineStr">
        <is>
          <t>Cheques adquiridos con transferencias desde cuentas bancarias de clientes identificados.</t>
        </is>
      </c>
      <c r="M9" s="340" t="inlineStr">
        <is>
          <t>Introducción de recursos ilícitos vía instrumentos internacionales.</t>
        </is>
      </c>
      <c r="N9" s="340" t="inlineStr">
        <is>
          <t>Facilidad de portabilidad y canje en múltiples países.</t>
        </is>
      </c>
      <c r="O9" s="340" t="inlineStr">
        <is>
          <t>Riesgo transfronterizo, sanciones regulatorias, congelamiento de fondos.</t>
        </is>
      </c>
    </row>
    <row r="10" ht="32.25" customHeight="1" s="173">
      <c r="B10" s="340" t="n">
        <v>5</v>
      </c>
      <c r="C10" s="340" t="inlineStr">
        <is>
          <t>IV</t>
        </is>
      </c>
      <c r="D10" s="340" t="inlineStr">
        <is>
          <t>Préstamos o créditos</t>
        </is>
      </c>
      <c r="E10" s="340" t="inlineStr">
        <is>
          <t>IV - Préstamos o créditos</t>
        </is>
      </c>
      <c r="F10" s="341" t="inlineStr">
        <is>
          <t>Siempre</t>
        </is>
      </c>
      <c r="G10" s="341" t="n">
        <v>1605</v>
      </c>
      <c r="H10" s="342">
        <f>IF(ISNUMBER($F10),$F10*PARAMETROS!$C$22,$F10)</f>
        <v/>
      </c>
      <c r="I10" s="342">
        <f>IF(ISNUMBER($G10),$G10*PARAMETROS!$C$22,$G10)</f>
        <v/>
      </c>
      <c r="J10" s="340" t="inlineStr">
        <is>
          <t>Créditos en efectivo, sin garantía real, de monto elevado o a corto plazo, susceptibles de ser liquidados anticipadamente.</t>
        </is>
      </c>
      <c r="K10" s="340" t="inlineStr">
        <is>
          <t>Créditos personales o comerciales de mediano plazo, con garantía parcial o con pagos mixtos (efectivo y transferencia).</t>
        </is>
      </c>
      <c r="L10" s="340" t="inlineStr">
        <is>
          <t>Créditos hipotecarios, automotrices o empresariales con garantías reales, pagos periódicos y trazables vía sistema financiero.</t>
        </is>
      </c>
      <c r="M10" s="340" t="inlineStr">
        <is>
          <t>Uso del crédito para inyectar recursos ilícitos y justificar flujos financieros.</t>
        </is>
      </c>
      <c r="N10" s="340" t="inlineStr">
        <is>
          <t>Flexibilidad de los productos de crédito, posibilidad de pagos en efectivo.</t>
        </is>
      </c>
      <c r="O10" s="340" t="inlineStr">
        <is>
          <t>Riesgo de introducir fondos ilícitos disfrazados de financiamiento.</t>
        </is>
      </c>
    </row>
    <row r="11" ht="42.75" customHeight="1" s="173">
      <c r="B11" s="340" t="n">
        <v>6</v>
      </c>
      <c r="C11" s="340" t="inlineStr">
        <is>
          <t>V</t>
        </is>
      </c>
      <c r="D11" s="340" t="inlineStr">
        <is>
          <t>Construcción/comercialización inmuebles</t>
        </is>
      </c>
      <c r="E11" s="340" t="inlineStr">
        <is>
          <t>V - Construcción/comercialización inmuebles</t>
        </is>
      </c>
      <c r="F11" s="341" t="inlineStr">
        <is>
          <t>Siempre</t>
        </is>
      </c>
      <c r="G11" s="341" t="n">
        <v>8025</v>
      </c>
      <c r="H11" s="342">
        <f>IF(ISNUMBER($F11),$F11*PARAMETROS!$C$22,$F11)</f>
        <v/>
      </c>
      <c r="I11" s="342">
        <f>IF(ISNUMBER($G11),$G11*PARAMETROS!$C$22,$G11)</f>
        <v/>
      </c>
      <c r="J11" s="340" t="inlineStr">
        <is>
          <t>Venta de inmuebles de lujo o múltiples operaciones en preventa con pagos en efectivo.</t>
        </is>
      </c>
      <c r="K11" s="340" t="inlineStr">
        <is>
          <t>Venta de inmuebles de valor medio con esquema de pagos mixtos (efectivo + transferencias).</t>
        </is>
      </c>
      <c r="L11" s="340" t="inlineStr">
        <is>
          <t>Venta de inmuebles de interés social o vivienda regulada con créditos hipotecarios bancarios.</t>
        </is>
      </c>
      <c r="M11" s="340" t="inlineStr">
        <is>
          <t>Uso de operaciones inmobiliarias para introducir o estratificar fondos ilícitos.</t>
        </is>
      </c>
      <c r="N11" s="340" t="inlineStr">
        <is>
          <t>Altos montos y posibilidad de pagos fragmentados.</t>
        </is>
      </c>
      <c r="O11" s="340" t="inlineStr">
        <is>
          <t>Riesgo de sobrevaluación, lavado de activos y sanciones.</t>
        </is>
      </c>
    </row>
    <row r="12" ht="53.25" customHeight="1" s="173">
      <c r="B12" s="340" t="n">
        <v>7</v>
      </c>
      <c r="C12" s="340" t="inlineStr">
        <is>
          <t>V Bis</t>
        </is>
      </c>
      <c r="D12" s="340" t="inlineStr">
        <is>
          <t>Recepción recursos desarrollo inmobiliario</t>
        </is>
      </c>
      <c r="E12" s="340" t="inlineStr">
        <is>
          <t>V Bis - Recepción recursos desarrollo inmobiliario</t>
        </is>
      </c>
      <c r="F12" s="341" t="inlineStr">
        <is>
          <t>Siempre</t>
        </is>
      </c>
      <c r="G12" s="341" t="n">
        <v>8025</v>
      </c>
      <c r="H12" s="342">
        <f>IF(ISNUMBER($F12),$F12*PARAMETROS!$C$22,$F12)</f>
        <v/>
      </c>
      <c r="I12" s="342">
        <f>IF(ISNUMBER($G12),$G12*PARAMETROS!$C$22,$G12)</f>
        <v/>
      </c>
      <c r="J12" s="340" t="inlineStr">
        <is>
          <t>Recepción de aportaciones en efectivo o de múltiples inversionistas no identificados.</t>
        </is>
      </c>
      <c r="K12" s="340" t="inlineStr">
        <is>
          <t>Recursos mixtos (transferencias + efectivo) en proyectos medianos.</t>
        </is>
      </c>
      <c r="L12" s="340" t="inlineStr">
        <is>
          <t>Recursos canalizados vía instituciones financieras con trazabilidad plena y contratos formalizados.</t>
        </is>
      </c>
      <c r="M12" s="340" t="inlineStr">
        <is>
          <t>Canalización de recursos ilícitos a proyectos inmobiliarios.</t>
        </is>
      </c>
      <c r="N12" s="340" t="inlineStr">
        <is>
          <t>Participación de múltiples inversionistas, dificultad en verificar origen de fondos.</t>
        </is>
      </c>
      <c r="O12" s="340" t="inlineStr">
        <is>
          <t>Riesgo de cooptación de proyectos para blanqueo de capitales.</t>
        </is>
      </c>
    </row>
    <row r="13" ht="32.25" customHeight="1" s="173">
      <c r="B13" s="340" t="n">
        <v>8</v>
      </c>
      <c r="C13" s="340" t="inlineStr">
        <is>
          <t>VI</t>
        </is>
      </c>
      <c r="D13" s="340" t="inlineStr">
        <is>
          <t>Piedras y metales preciosos, joyas</t>
        </is>
      </c>
      <c r="E13" s="340" t="inlineStr">
        <is>
          <t>VI - Piedras y metales preciosos, joyas</t>
        </is>
      </c>
      <c r="F13" s="341" t="n">
        <v>805</v>
      </c>
      <c r="G13" s="341" t="n">
        <v>1605</v>
      </c>
      <c r="H13" s="342">
        <f>IF(ISNUMBER($F13),$F13*PARAMETROS!$C$22,$F13)</f>
        <v/>
      </c>
      <c r="I13" s="342">
        <f>IF(ISNUMBER($G13),$G13*PARAMETROS!$C$22,$G13)</f>
        <v/>
      </c>
      <c r="J13" s="340" t="inlineStr">
        <is>
          <t>Operaciones en efectivo, piezas de alto valor unitario, transacciones frecuentes en mercados informales.</t>
        </is>
      </c>
      <c r="K13" s="340" t="inlineStr">
        <is>
          <t>Operaciones con combinación de pagos (efectivo + transferencia), piezas de valor medio, ventas a consignación.</t>
        </is>
      </c>
      <c r="L13" s="340" t="inlineStr">
        <is>
          <t>Ventas con factura a través de establecimientos formales, pagos vía sistema bancario.</t>
        </is>
      </c>
      <c r="M13" s="340" t="inlineStr">
        <is>
          <t>Uso de joyas, metales y piedras para mover y ocultar valor ilícito.</t>
        </is>
      </c>
      <c r="N13" s="340" t="inlineStr">
        <is>
          <t>Portabilidad, alta liquidez y difícil trazabilidad de estos bienes.</t>
        </is>
      </c>
      <c r="O13" s="340" t="inlineStr">
        <is>
          <t>Riesgo de blanqueo transfronterizo y sanciones.</t>
        </is>
      </c>
    </row>
    <row r="14" ht="42.75" customHeight="1" s="173">
      <c r="B14" s="340" t="n">
        <v>9</v>
      </c>
      <c r="C14" s="340" t="inlineStr">
        <is>
          <t>VII</t>
        </is>
      </c>
      <c r="D14" s="340" t="inlineStr">
        <is>
          <t>Subasta/comercialización obras de arte</t>
        </is>
      </c>
      <c r="E14" s="340" t="inlineStr">
        <is>
          <t>VII - Subasta/comercialización obras de arte</t>
        </is>
      </c>
      <c r="F14" s="341" t="n">
        <v>2410</v>
      </c>
      <c r="G14" s="341" t="n">
        <v>4815</v>
      </c>
      <c r="H14" s="342">
        <f>IF(ISNUMBER($F14),$F14*PARAMETROS!$C$22,$F14)</f>
        <v/>
      </c>
      <c r="I14" s="342">
        <f>IF(ISNUMBER($G14),$G14*PARAMETROS!$C$22,$G14)</f>
        <v/>
      </c>
      <c r="J14" s="340" t="inlineStr">
        <is>
          <t>Obras de alto valor, subastas internacionales, piezas sin trazabilidad de propiedad.</t>
        </is>
      </c>
      <c r="K14" s="340" t="inlineStr">
        <is>
          <t>Obras de valor intermedio, galerías locales, pagos mixtos.</t>
        </is>
      </c>
      <c r="L14" s="340" t="inlineStr">
        <is>
          <t>Venta de arte contemporáneo o decorativo de bajo valor con facturación completa.</t>
        </is>
      </c>
      <c r="M14" s="340" t="inlineStr">
        <is>
          <t>Uso del arte para justificar incrementos patrimoniales o transferencias internacionales.</t>
        </is>
      </c>
      <c r="N14" s="340" t="inlineStr">
        <is>
          <t>Valor subjetivo y dificultad en tasación de obras.</t>
        </is>
      </c>
      <c r="O14" s="340" t="inlineStr">
        <is>
          <t>Riesgo de sobrevaluación, subdeclaración y financiamiento ilícito.</t>
        </is>
      </c>
    </row>
    <row r="15" ht="42.75" customHeight="1" s="173">
      <c r="B15" s="340" t="n">
        <v>10</v>
      </c>
      <c r="C15" s="340" t="inlineStr">
        <is>
          <t>VIII</t>
        </is>
      </c>
      <c r="D15" s="340" t="inlineStr">
        <is>
          <t>Distribución/comercialización vehículos</t>
        </is>
      </c>
      <c r="E15" s="340" t="inlineStr">
        <is>
          <t>VIII - Distribución/comercialización vehículos</t>
        </is>
      </c>
      <c r="F15" s="341" t="n">
        <v>3210</v>
      </c>
      <c r="G15" s="341" t="n">
        <v>6420</v>
      </c>
      <c r="H15" s="342">
        <f>IF(ISNUMBER($F15),$F15*PARAMETROS!$C$22,$F15)</f>
        <v/>
      </c>
      <c r="I15" s="342">
        <f>IF(ISNUMBER($G15),$G15*PARAMETROS!$C$22,$G15)</f>
        <v/>
      </c>
      <c r="J15" s="340" t="inlineStr">
        <is>
          <t>Venta de vehículos de lujo o coleccionables, pagos en efectivo, operaciones múltiples en corto plazo.</t>
        </is>
      </c>
      <c r="K15" s="340" t="inlineStr">
        <is>
          <t>Venta de vehículos de gama media con esquemas de financiamiento parcial.</t>
        </is>
      </c>
      <c r="L15" s="340" t="inlineStr">
        <is>
          <t>Venta de vehículos económicos a través de agencias con pagos bancarios y crédito formal.</t>
        </is>
      </c>
      <c r="M15" s="340" t="inlineStr">
        <is>
          <t>Adquisición de vehículos para ocultar origen ilícito de fondos.</t>
        </is>
      </c>
      <c r="N15" s="340" t="inlineStr">
        <is>
          <t>Alto valor de los bienes y posibilidad de liquidación en efectivo.</t>
        </is>
      </c>
      <c r="O15" s="340" t="inlineStr">
        <is>
          <t>Riesgo de acumulación patrimonial ilícita y decomiso.</t>
        </is>
      </c>
    </row>
    <row r="16" ht="21.75" customHeight="1" s="173">
      <c r="B16" s="340" t="n">
        <v>11</v>
      </c>
      <c r="C16" s="340" t="inlineStr">
        <is>
          <t>IX</t>
        </is>
      </c>
      <c r="D16" s="340" t="inlineStr">
        <is>
          <t>Servicios de blindaje</t>
        </is>
      </c>
      <c r="E16" s="340" t="inlineStr">
        <is>
          <t>IX - Servicios de blindaje</t>
        </is>
      </c>
      <c r="F16" s="341" t="n">
        <v>2410</v>
      </c>
      <c r="G16" s="341" t="n">
        <v>4815</v>
      </c>
      <c r="H16" s="342">
        <f>IF(ISNUMBER($F16),$F16*PARAMETROS!$C$22,$F16)</f>
        <v/>
      </c>
      <c r="I16" s="342">
        <f>IF(ISNUMBER($G16),$G16*PARAMETROS!$C$22,$G16)</f>
        <v/>
      </c>
      <c r="J16" s="340" t="inlineStr">
        <is>
          <t>Blindaje de vehículos de lujo y bienes inmuebles con pagos en efectivo.</t>
        </is>
      </c>
      <c r="K16" s="340" t="inlineStr">
        <is>
          <t>Blindaje de vehículos medianos con pagos mixtos.</t>
        </is>
      </c>
      <c r="L16" s="340" t="inlineStr">
        <is>
          <t>Blindaje contratado por empresas reguladas con pagos vía sistema financiero.</t>
        </is>
      </c>
      <c r="M16" s="340" t="inlineStr">
        <is>
          <t>Blindaje usado para protección de recursos ilícitos.</t>
        </is>
      </c>
      <c r="N16" s="340" t="inlineStr">
        <is>
          <t>Alta demanda de efectivo y bienes de alto valor.</t>
        </is>
      </c>
      <c r="O16" s="340" t="inlineStr">
        <is>
          <t>Riesgo de vínculo con delincuencia organizada.</t>
        </is>
      </c>
    </row>
    <row r="17" ht="32.25" customHeight="1" s="173">
      <c r="B17" s="340" t="n">
        <v>12</v>
      </c>
      <c r="C17" s="340" t="inlineStr">
        <is>
          <t>X</t>
        </is>
      </c>
      <c r="D17" s="340" t="inlineStr">
        <is>
          <t>Transporte y custodia de valores</t>
        </is>
      </c>
      <c r="E17" s="340" t="inlineStr">
        <is>
          <t>X - Transporte y custodia de valores</t>
        </is>
      </c>
      <c r="F17" s="341" t="inlineStr">
        <is>
          <t>Siempre</t>
        </is>
      </c>
      <c r="G17" s="341" t="n">
        <v>3210</v>
      </c>
      <c r="H17" s="342">
        <f>IF(ISNUMBER($F17),$F17*PARAMETROS!$C$22,$F17)</f>
        <v/>
      </c>
      <c r="I17" s="342">
        <f>IF(ISNUMBER($G17),$G17*PARAMETROS!$C$22,$G17)</f>
        <v/>
      </c>
      <c r="J17" s="340" t="inlineStr">
        <is>
          <t>Custodia o traslado de valores en efectivo de alto volumen o bienes de alto valor</t>
        </is>
      </c>
      <c r="K17" s="340" t="inlineStr">
        <is>
          <t>Custodia de valores mixtos (efectivo y documentos)</t>
        </is>
      </c>
      <c r="L17" s="340" t="inlineStr">
        <is>
          <t>Custodia de valores financieros documentados (títulos, cheques, transferencias)</t>
        </is>
      </c>
      <c r="M17" s="340" t="inlineStr">
        <is>
          <t>Movilización de efectivo ilícito.</t>
        </is>
      </c>
      <c r="N17" s="340" t="inlineStr">
        <is>
          <t>Dificultad de control en traslado físico.</t>
        </is>
      </c>
      <c r="O17" s="340" t="inlineStr">
        <is>
          <t>Riesgo de decomiso y sanciones.</t>
        </is>
      </c>
    </row>
    <row r="18" ht="21.75" customHeight="1" s="173">
      <c r="B18" s="340" t="n">
        <v>13</v>
      </c>
      <c r="C18" s="340" t="inlineStr">
        <is>
          <t>XI</t>
        </is>
      </c>
      <c r="D18" s="340" t="inlineStr">
        <is>
          <t>Servicios Profesionales</t>
        </is>
      </c>
      <c r="E18" s="340" t="inlineStr">
        <is>
          <t>XI - Servicios Profesionales</t>
        </is>
      </c>
      <c r="F18" s="341" t="inlineStr">
        <is>
          <t>Siempre</t>
        </is>
      </c>
      <c r="G18" s="341" t="inlineStr">
        <is>
          <t>Siempre</t>
        </is>
      </c>
      <c r="H18" s="342">
        <f>IF(ISNUMBER($F18),$F18*PARAMETROS!$C$22,$F18)</f>
        <v/>
      </c>
      <c r="I18" s="342">
        <f>IF(ISNUMBER($G18),$G18*PARAMETROS!$C$22,$G18)</f>
        <v/>
      </c>
      <c r="J18" s="340" t="inlineStr">
        <is>
          <t>Servicios que implican estructuración patrimonial o fiscal compleja</t>
        </is>
      </c>
      <c r="K18" s="340" t="inlineStr">
        <is>
          <t>Servicios especializados de valor intermedio (contratos mercantiles, trámites específicos)</t>
        </is>
      </c>
      <c r="L18" s="340" t="inlineStr">
        <is>
          <t>Servicios rutinarios o administrativos (contabilidad básica, asesoría legal común)</t>
        </is>
      </c>
      <c r="M18" s="340" t="inlineStr">
        <is>
          <t>Profesionales usados para dar apariencia de legalidad.</t>
        </is>
      </c>
      <c r="N18" s="340" t="inlineStr">
        <is>
          <t>Posibilidad de diseñar esquemas opacos.</t>
        </is>
      </c>
      <c r="O18" s="340" t="inlineStr">
        <is>
          <t>Corresponsabilidad legal.</t>
        </is>
      </c>
    </row>
    <row r="19" ht="42.75" customHeight="1" s="173">
      <c r="B19" s="340" t="n">
        <v>14</v>
      </c>
      <c r="C19" s="340" t="inlineStr">
        <is>
          <t>XII</t>
        </is>
      </c>
      <c r="D19" s="340" t="inlineStr">
        <is>
          <t>NOTARIOS: Transmisión de inmuebles</t>
        </is>
      </c>
      <c r="E19" s="340" t="inlineStr">
        <is>
          <t>XII - NOTARIOS: Transmisión de inmuebles</t>
        </is>
      </c>
      <c r="F19" s="341" t="inlineStr">
        <is>
          <t>Siempre</t>
        </is>
      </c>
      <c r="G19" s="341" t="n">
        <v>8000</v>
      </c>
      <c r="H19" s="342">
        <f>IF(ISNUMBER($F19),$F19*PARAMETROS!$C$22,$F19)</f>
        <v/>
      </c>
      <c r="I19" s="342">
        <f>IF(ISNUMBER($G19),$G19*PARAMETROS!$C$22,$G19)</f>
        <v/>
      </c>
      <c r="J19" s="340" t="inlineStr">
        <is>
          <t>Transmisión de inmuebles de alto valor</t>
        </is>
      </c>
      <c r="K19" s="340" t="inlineStr">
        <is>
          <t>Transmisiones de inmuebles de valor intermedio</t>
        </is>
      </c>
      <c r="L19" s="340" t="inlineStr">
        <is>
          <t>Transmisiones de inmuebles de bajo valor o vivienda social</t>
        </is>
      </c>
      <c r="M19" s="340" t="inlineStr">
        <is>
          <t>Uso de escrituras para legitimar recursos ilícitos.</t>
        </is>
      </c>
      <c r="N19" s="340" t="inlineStr">
        <is>
          <t>Alto valor de operaciones notariales.</t>
        </is>
      </c>
      <c r="O19" s="340" t="inlineStr">
        <is>
          <t>Riesgo de nulidad de actos y sanciones.</t>
        </is>
      </c>
    </row>
    <row r="20" ht="42.75" customHeight="1" s="173">
      <c r="B20" s="340" t="n">
        <v>15</v>
      </c>
      <c r="C20" s="340" t="inlineStr">
        <is>
          <t>XII</t>
        </is>
      </c>
      <c r="D20" s="340" t="inlineStr">
        <is>
          <t>NOTARIOS: Poderes irrevocables</t>
        </is>
      </c>
      <c r="E20" s="340" t="inlineStr">
        <is>
          <t>XII - NOTARIOS: Poderes irrevocables</t>
        </is>
      </c>
      <c r="F20" s="341" t="inlineStr">
        <is>
          <t>Siempre</t>
        </is>
      </c>
      <c r="G20" s="341" t="inlineStr">
        <is>
          <t>Siempre</t>
        </is>
      </c>
      <c r="H20" s="342">
        <f>IF(ISNUMBER($F20),$F20*PARAMETROS!$C$22,$F20)</f>
        <v/>
      </c>
      <c r="I20" s="342">
        <f>IF(ISNUMBER($G20),$G20*PARAMETROS!$C$22,$G20)</f>
        <v/>
      </c>
      <c r="J20" s="340" t="inlineStr">
        <is>
          <t>Poderes generales con facultades amplias y sin limitación temporal</t>
        </is>
      </c>
      <c r="K20" s="340" t="inlineStr">
        <is>
          <t>Poderes especiales de gestión con vigencia determinada</t>
        </is>
      </c>
      <c r="L20" s="340" t="inlineStr">
        <is>
          <t>Poderes notariales limitados a actos concretos y de valor reducido</t>
        </is>
      </c>
      <c r="M20" s="340" t="inlineStr">
        <is>
          <t>Uso de poderes para ocultar beneficiario final.</t>
        </is>
      </c>
      <c r="N20" s="340" t="inlineStr">
        <is>
          <t>Amplio acceso a actos jurídicos sin límite económico.</t>
        </is>
      </c>
      <c r="O20" s="340" t="inlineStr">
        <is>
          <t>Riesgo de facilitar control ilícito de activos.</t>
        </is>
      </c>
    </row>
    <row r="21" ht="42.75" customHeight="1" s="173">
      <c r="B21" s="340" t="n">
        <v>16</v>
      </c>
      <c r="C21" s="340" t="inlineStr">
        <is>
          <t>XII</t>
        </is>
      </c>
      <c r="D21" s="340" t="inlineStr">
        <is>
          <t>NOTARIOS: Const. o modif. patrimonial</t>
        </is>
      </c>
      <c r="E21" s="340" t="inlineStr">
        <is>
          <t>XII - NOTARIOS: Const. o modif. patrimonial</t>
        </is>
      </c>
      <c r="F21" s="341" t="inlineStr">
        <is>
          <t>Siempre</t>
        </is>
      </c>
      <c r="G21" s="341" t="n">
        <v>8025</v>
      </c>
      <c r="H21" s="342">
        <f>IF(ISNUMBER($F21),$F21*PARAMETROS!$C$22,$F21)</f>
        <v/>
      </c>
      <c r="I21" s="342">
        <f>IF(ISNUMBER($G21),$G21*PARAMETROS!$C$22,$G21)</f>
        <v/>
      </c>
      <c r="J21" s="340" t="inlineStr">
        <is>
          <t>Constitución de sociedades patrimoniales con aportaciones significativas</t>
        </is>
      </c>
      <c r="K21" s="340" t="inlineStr">
        <is>
          <t>Modificación parcial de sociedades con capital intermedio</t>
        </is>
      </c>
      <c r="L21" s="340" t="inlineStr">
        <is>
          <t>Ajustes patrimoniales menores y documentados</t>
        </is>
      </c>
      <c r="M21" s="340" t="inlineStr">
        <is>
          <t>Uso de sociedades para canalizar fondos ilícitos.</t>
        </is>
      </c>
      <c r="N21" s="340" t="inlineStr">
        <is>
          <t>Flexibilidad de estructuras societarias.</t>
        </is>
      </c>
      <c r="O21" s="340" t="inlineStr">
        <is>
          <t>Riesgo de sobrevaluación y evasión.</t>
        </is>
      </c>
    </row>
    <row r="22" ht="42.75" customHeight="1" s="173">
      <c r="B22" s="340" t="n">
        <v>17</v>
      </c>
      <c r="C22" s="340" t="inlineStr">
        <is>
          <t>XII</t>
        </is>
      </c>
      <c r="D22" s="340" t="inlineStr">
        <is>
          <t>NOTARIOS: Const. o modif. fideicomisos</t>
        </is>
      </c>
      <c r="E22" s="340" t="inlineStr">
        <is>
          <t>XII - NOTARIOS: Const. o modif. fideicomisos</t>
        </is>
      </c>
      <c r="F22" s="341" t="inlineStr">
        <is>
          <t>Siempre</t>
        </is>
      </c>
      <c r="G22" s="341" t="n">
        <v>4000</v>
      </c>
      <c r="H22" s="342">
        <f>IF(ISNUMBER($F22),$F22*PARAMETROS!$C$22,$F22)</f>
        <v/>
      </c>
      <c r="I22" s="342">
        <f>IF(ISNUMBER($G22),$G22*PARAMETROS!$C$22,$G22)</f>
        <v/>
      </c>
      <c r="J22" s="340" t="inlineStr">
        <is>
          <t>Fideicomisos de inversión de gran valor</t>
        </is>
      </c>
      <c r="K22" s="340" t="inlineStr">
        <is>
          <t>Fideicomisos de inversión o administración con montos intermedios</t>
        </is>
      </c>
      <c r="L22" s="340" t="inlineStr">
        <is>
          <t>Fideicomisos patrimoniales familiares con montos bajos</t>
        </is>
      </c>
      <c r="M22" s="340" t="inlineStr">
        <is>
          <t>Uso de fideicomisos para ocultar recursos ilícitos.</t>
        </is>
      </c>
      <c r="N22" s="340" t="inlineStr">
        <is>
          <t>Complejidad de instrumentos fiduciarios.</t>
        </is>
      </c>
      <c r="O22" s="340" t="inlineStr">
        <is>
          <t>Riesgo de ocultar beneficiarios finales.</t>
        </is>
      </c>
    </row>
    <row r="23" ht="42.75" customHeight="1" s="173">
      <c r="B23" s="340" t="n">
        <v>18</v>
      </c>
      <c r="C23" s="340" t="inlineStr">
        <is>
          <t>XII</t>
        </is>
      </c>
      <c r="D23" s="340" t="inlineStr">
        <is>
          <t>NOTARIOS: Mutuo con no financiero</t>
        </is>
      </c>
      <c r="E23" s="340" t="inlineStr">
        <is>
          <t>XII - NOTARIOS: Mutuo con no financiero</t>
        </is>
      </c>
      <c r="F23" s="341" t="inlineStr">
        <is>
          <t>Siempre</t>
        </is>
      </c>
      <c r="G23" s="341" t="inlineStr">
        <is>
          <t>Siempre</t>
        </is>
      </c>
      <c r="H23" s="342">
        <f>IF(ISNUMBER($F23),$F23*PARAMETROS!$C$22,$F23)</f>
        <v/>
      </c>
      <c r="I23" s="342">
        <f>IF(ISNUMBER($G23),$G23*PARAMETROS!$C$22,$G23)</f>
        <v/>
      </c>
      <c r="J23" s="340" t="inlineStr">
        <is>
          <t>Mutuos de gran monto entre particulares</t>
        </is>
      </c>
      <c r="K23" s="340" t="inlineStr">
        <is>
          <t>Mutuos de valor intermedio</t>
        </is>
      </c>
      <c r="L23" s="340" t="inlineStr">
        <is>
          <t>Mutuos de bajo monto, formalizados y documentados</t>
        </is>
      </c>
      <c r="M23" s="340" t="inlineStr">
        <is>
          <t>Préstamos usados para circular recursos ilícitos.</t>
        </is>
      </c>
      <c r="N23" s="340" t="inlineStr">
        <is>
          <t>Flexibilidad del contrato civil.</t>
        </is>
      </c>
      <c r="O23" s="340" t="inlineStr">
        <is>
          <t>Riesgo de simulación de operaciones.</t>
        </is>
      </c>
    </row>
    <row r="24" ht="32.25" customHeight="1" s="173">
      <c r="B24" s="340" t="n">
        <v>19</v>
      </c>
      <c r="C24" s="340" t="inlineStr">
        <is>
          <t>XII</t>
        </is>
      </c>
      <c r="D24" s="340" t="inlineStr">
        <is>
          <t>CORREDORES: Avalúos</t>
        </is>
      </c>
      <c r="E24" s="340" t="inlineStr">
        <is>
          <t>XII - CORREDORES: Avalúos</t>
        </is>
      </c>
      <c r="F24" s="341" t="n">
        <v>8025</v>
      </c>
      <c r="G24" s="341" t="n">
        <v>8025</v>
      </c>
      <c r="H24" s="342">
        <f>IF(ISNUMBER($F24),$F24*PARAMETROS!$C$22,$F24)</f>
        <v/>
      </c>
      <c r="I24" s="342">
        <f>IF(ISNUMBER($G24),$G24*PARAMETROS!$C$22,$G24)</f>
        <v/>
      </c>
      <c r="J24" s="340" t="inlineStr">
        <is>
          <t>Avalúos de bienes de alto valor</t>
        </is>
      </c>
      <c r="K24" s="340" t="inlineStr">
        <is>
          <t>Avalúos de bienes de valor intermedio</t>
        </is>
      </c>
      <c r="L24" s="340" t="inlineStr">
        <is>
          <t>Avalúos de bienes de bajo valor o de vivienda social</t>
        </is>
      </c>
      <c r="M24" s="340" t="inlineStr">
        <is>
          <t>Uso de avalúos para inflar patrimonio.</t>
        </is>
      </c>
      <c r="N24" s="340" t="inlineStr">
        <is>
          <t>Valoración subjetiva de bienes.</t>
        </is>
      </c>
      <c r="O24" s="340" t="inlineStr">
        <is>
          <t>Riesgo de justificación ilícita de activos.</t>
        </is>
      </c>
    </row>
    <row r="25" ht="42.75" customHeight="1" s="173">
      <c r="B25" s="340" t="n">
        <v>20</v>
      </c>
      <c r="C25" s="340" t="inlineStr">
        <is>
          <t>XII</t>
        </is>
      </c>
      <c r="D25" s="340" t="inlineStr">
        <is>
          <t>CORREDORES: Const. o modif. patrimonial</t>
        </is>
      </c>
      <c r="E25" s="340" t="inlineStr">
        <is>
          <t>XII - CORREDORES: Const. o modif. patrimonial</t>
        </is>
      </c>
      <c r="F25" s="341" t="inlineStr">
        <is>
          <t>Siempre</t>
        </is>
      </c>
      <c r="G25" s="341" t="inlineStr">
        <is>
          <t>Siempre</t>
        </is>
      </c>
      <c r="H25" s="342">
        <f>IF(ISNUMBER($F25),$F25*PARAMETROS!$C$22,$F25)</f>
        <v/>
      </c>
      <c r="I25" s="342">
        <f>IF(ISNUMBER($G25),$G25*PARAMETROS!$C$22,$G25)</f>
        <v/>
      </c>
      <c r="J25" s="340" t="inlineStr">
        <is>
          <t>Constitución de sociedades patrimoniales de alto valor</t>
        </is>
      </c>
      <c r="K25" s="340" t="inlineStr">
        <is>
          <t>Modificaciones societarias de valor intermedio</t>
        </is>
      </c>
      <c r="L25" s="340" t="inlineStr">
        <is>
          <t>Ajustes menores en sociedades pequeñas</t>
        </is>
      </c>
      <c r="M25" s="340" t="inlineStr">
        <is>
          <t>Uso de sociedades mercantiles para blanquear recursos.</t>
        </is>
      </c>
      <c r="N25" s="340" t="inlineStr">
        <is>
          <t>Flexibilidad del marco mercantil.</t>
        </is>
      </c>
      <c r="O25" s="340" t="inlineStr">
        <is>
          <t>Riesgo de opacidad en beneficiarios.</t>
        </is>
      </c>
    </row>
    <row r="26" ht="42.75" customHeight="1" s="173">
      <c r="B26" s="340" t="n">
        <v>21</v>
      </c>
      <c r="C26" s="340" t="inlineStr">
        <is>
          <t>XII</t>
        </is>
      </c>
      <c r="D26" s="340" t="inlineStr">
        <is>
          <t>CORREDORES: Modif. o cesión fideicomiso</t>
        </is>
      </c>
      <c r="E26" s="340" t="inlineStr">
        <is>
          <t>XII - CORREDORES: Modif. o cesión fideicomiso</t>
        </is>
      </c>
      <c r="F26" s="341" t="inlineStr">
        <is>
          <t>Siempre</t>
        </is>
      </c>
      <c r="G26" s="341" t="inlineStr">
        <is>
          <t>Siempre</t>
        </is>
      </c>
      <c r="H26" s="342">
        <f>IF(ISNUMBER($F26),$F26*PARAMETROS!$C$22,$F26)</f>
        <v/>
      </c>
      <c r="I26" s="342">
        <f>IF(ISNUMBER($G26),$G26*PARAMETROS!$C$22,$G26)</f>
        <v/>
      </c>
      <c r="J26" s="340" t="inlineStr">
        <is>
          <t>Cesión de derechos fiduciarios de alto valor</t>
        </is>
      </c>
      <c r="K26" s="340" t="inlineStr">
        <is>
          <t>Cesiones parciales de derechos de valor intermedio</t>
        </is>
      </c>
      <c r="L26" s="340" t="inlineStr">
        <is>
          <t>Cesiones de bajo valor o entre familiares</t>
        </is>
      </c>
      <c r="M26" s="340" t="inlineStr">
        <is>
          <t>Cesión usada para ocultar transferencia ilícita.</t>
        </is>
      </c>
      <c r="N26" s="340" t="inlineStr">
        <is>
          <t>Complejidad fiduciaria.</t>
        </is>
      </c>
      <c r="O26" s="340" t="inlineStr">
        <is>
          <t>Riesgo de lavado mediante cesiones.</t>
        </is>
      </c>
    </row>
    <row r="27" ht="32.25" customHeight="1" s="173">
      <c r="B27" s="340" t="n">
        <v>22</v>
      </c>
      <c r="C27" s="340" t="inlineStr">
        <is>
          <t>XII</t>
        </is>
      </c>
      <c r="D27" s="340" t="inlineStr">
        <is>
          <t>CORREDORES: Mutuo mercantil</t>
        </is>
      </c>
      <c r="E27" s="340" t="inlineStr">
        <is>
          <t>XII - CORREDORES: Mutuo mercantil</t>
        </is>
      </c>
      <c r="F27" s="341" t="inlineStr">
        <is>
          <t>Siempre</t>
        </is>
      </c>
      <c r="G27" s="341" t="inlineStr">
        <is>
          <t>Siempre</t>
        </is>
      </c>
      <c r="H27" s="342">
        <f>IF(ISNUMBER($F27),$F27*PARAMETROS!$C$22,$F27)</f>
        <v/>
      </c>
      <c r="I27" s="342">
        <f>IF(ISNUMBER($G27),$G27*PARAMETROS!$C$22,$G27)</f>
        <v/>
      </c>
      <c r="J27" s="340" t="inlineStr">
        <is>
          <t>Mutuos mercantiles de alto valor</t>
        </is>
      </c>
      <c r="K27" s="340" t="inlineStr">
        <is>
          <t>Mutuos mercantiles de valor intermedio</t>
        </is>
      </c>
      <c r="L27" s="340" t="inlineStr">
        <is>
          <t>Mutuos mercantiles de bajo valor, documentados</t>
        </is>
      </c>
      <c r="M27" s="340" t="inlineStr">
        <is>
          <t>Simulación de préstamos para circular fondos ilícitos.</t>
        </is>
      </c>
      <c r="N27" s="340" t="inlineStr">
        <is>
          <t>Flexibilidad contractual.</t>
        </is>
      </c>
      <c r="O27" s="340" t="inlineStr">
        <is>
          <t>Riesgo de simulación patrimonial.</t>
        </is>
      </c>
    </row>
    <row r="28" ht="42.75" customHeight="1" s="173">
      <c r="B28" s="340" t="n">
        <v>23</v>
      </c>
      <c r="C28" s="340" t="inlineStr">
        <is>
          <t>XII</t>
        </is>
      </c>
      <c r="D28" s="340" t="inlineStr">
        <is>
          <t>FACILITADORES: Solución de controversias</t>
        </is>
      </c>
      <c r="E28" s="340" t="inlineStr">
        <is>
          <t>XII - FACILITADORES: Solución de controversias</t>
        </is>
      </c>
      <c r="F28" s="341" t="inlineStr">
        <is>
          <t>Siempre</t>
        </is>
      </c>
      <c r="G28" s="341" t="n">
        <v>8025</v>
      </c>
      <c r="H28" s="342">
        <f>IF(ISNUMBER($F28),$F28*PARAMETROS!$C$22,$F28)</f>
        <v/>
      </c>
      <c r="I28" s="342">
        <f>IF(ISNUMBER($G28),$G28*PARAMETROS!$C$22,$G28)</f>
        <v/>
      </c>
      <c r="J28" s="340" t="inlineStr">
        <is>
          <t>Soluciones de controversias internacionales de alto valor económico</t>
        </is>
      </c>
      <c r="K28" s="340" t="inlineStr">
        <is>
          <t>Controversias nacionales de valor intermedio</t>
        </is>
      </c>
      <c r="L28" s="340" t="inlineStr">
        <is>
          <t>Controversias de bajo valor económico</t>
        </is>
      </c>
      <c r="M28" s="340" t="inlineStr">
        <is>
          <t>Uso de servicios legales para legitimar flujos.</t>
        </is>
      </c>
      <c r="N28" s="340" t="inlineStr">
        <is>
          <t>Pago de honorarios difícil de trazar.</t>
        </is>
      </c>
      <c r="O28" s="340" t="inlineStr">
        <is>
          <t>Riesgo de corresponsabilidad.</t>
        </is>
      </c>
    </row>
    <row r="29" ht="21.75" customHeight="1" s="173">
      <c r="B29" s="340" t="n">
        <v>24</v>
      </c>
      <c r="C29" s="340" t="inlineStr">
        <is>
          <t>XIII</t>
        </is>
      </c>
      <c r="D29" s="340" t="inlineStr">
        <is>
          <t>Recepción de donativos</t>
        </is>
      </c>
      <c r="E29" s="340" t="inlineStr">
        <is>
          <t>XIII - Recepción de donativos</t>
        </is>
      </c>
      <c r="F29" s="341" t="n">
        <v>1605</v>
      </c>
      <c r="G29" s="341" t="n">
        <v>3210</v>
      </c>
      <c r="H29" s="342">
        <f>IF(ISNUMBER($F29),$F29*PARAMETROS!$C$22,$F29)</f>
        <v/>
      </c>
      <c r="I29" s="342">
        <f>IF(ISNUMBER($G29),$G29*PARAMETROS!$C$22,$G29)</f>
        <v/>
      </c>
      <c r="J29" s="340" t="inlineStr">
        <is>
          <t>Donativos de gran valor económico</t>
        </is>
      </c>
      <c r="K29" s="340" t="inlineStr">
        <is>
          <t>Donativos de valor intermedio</t>
        </is>
      </c>
      <c r="L29" s="340" t="inlineStr">
        <is>
          <t>Donativos de bajo valor, frecuentes en asociaciones pequeñas</t>
        </is>
      </c>
      <c r="M29" s="340" t="inlineStr">
        <is>
          <t>Uso de asociaciones para canalizar fondos ilícitos.</t>
        </is>
      </c>
      <c r="N29" s="340" t="inlineStr">
        <is>
          <t>Flexibilidad en recepción de recursos.</t>
        </is>
      </c>
      <c r="O29" s="340" t="inlineStr">
        <is>
          <t>Riesgo de infiltración criminal.</t>
        </is>
      </c>
    </row>
    <row r="30" ht="42.75" customHeight="1" s="173">
      <c r="B30" s="340" t="n">
        <v>25</v>
      </c>
      <c r="C30" s="340" t="inlineStr">
        <is>
          <t>XIV</t>
        </is>
      </c>
      <c r="D30" s="340" t="inlineStr">
        <is>
          <t>CEXT: Joyas, metales, piedras preciosas</t>
        </is>
      </c>
      <c r="E30" s="340" t="inlineStr">
        <is>
          <t>XIV - CEXT: Joyas, metales, piedras preciosas</t>
        </is>
      </c>
      <c r="F30" s="341" t="n">
        <v>485</v>
      </c>
      <c r="G30" s="341" t="n">
        <v>485</v>
      </c>
      <c r="H30" s="342">
        <f>IF(ISNUMBER($F30),$F30*PARAMETROS!$C$22,$F30)</f>
        <v/>
      </c>
      <c r="I30" s="342">
        <f>IF(ISNUMBER($G30),$G30*PARAMETROS!$C$22,$G30)</f>
        <v/>
      </c>
      <c r="J30" s="340" t="inlineStr">
        <is>
          <t>Transacciones internacionales de alto valor</t>
        </is>
      </c>
      <c r="K30" s="340" t="inlineStr">
        <is>
          <t>Operaciones nacionales de valor intermedio</t>
        </is>
      </c>
      <c r="L30" s="340" t="inlineStr">
        <is>
          <t>Operaciones nacionales de bajo valor con documentación</t>
        </is>
      </c>
      <c r="M30" s="340" t="inlineStr">
        <is>
          <t>Uso de comercio exterior para mover valor ilícito.</t>
        </is>
      </c>
      <c r="N30" s="340" t="inlineStr">
        <is>
          <t>Portabilidad y liquidez.</t>
        </is>
      </c>
      <c r="O30" s="340" t="inlineStr">
        <is>
          <t>Riesgo de contrabando y sanciones.</t>
        </is>
      </c>
    </row>
    <row r="31" ht="21.75" customHeight="1" s="173">
      <c r="B31" s="340" t="n">
        <v>26</v>
      </c>
      <c r="C31" s="340" t="inlineStr">
        <is>
          <t>XIV</t>
        </is>
      </c>
      <c r="D31" s="340" t="inlineStr">
        <is>
          <t>CEXT: Obras de arte</t>
        </is>
      </c>
      <c r="E31" s="340" t="inlineStr">
        <is>
          <t>XIV - CEXT: Obras de arte</t>
        </is>
      </c>
      <c r="F31" s="341" t="n">
        <v>4815</v>
      </c>
      <c r="G31" s="341" t="n">
        <v>4815</v>
      </c>
      <c r="H31" s="342">
        <f>IF(ISNUMBER($F31),$F31*PARAMETROS!$C$22,$F31)</f>
        <v/>
      </c>
      <c r="I31" s="342">
        <f>IF(ISNUMBER($G31),$G31*PARAMETROS!$C$22,$G31)</f>
        <v/>
      </c>
      <c r="J31" s="340" t="inlineStr">
        <is>
          <t>Subastas internacionales de alto valor</t>
        </is>
      </c>
      <c r="K31" s="340" t="inlineStr">
        <is>
          <t>Ventas nacionales de valor intermedio</t>
        </is>
      </c>
      <c r="L31" s="340" t="inlineStr">
        <is>
          <t>Obras de bajo valor con factura</t>
        </is>
      </c>
      <c r="M31" s="340" t="inlineStr">
        <is>
          <t>Uso de arte en comercio exterior para justificar flujos ilícitos.</t>
        </is>
      </c>
      <c r="N31" s="340" t="inlineStr">
        <is>
          <t>Valor subjetivo y mercado opaco.</t>
        </is>
      </c>
      <c r="O31" s="340" t="inlineStr">
        <is>
          <t>Riesgo de sobre/subvaluación.</t>
        </is>
      </c>
    </row>
    <row r="32" ht="42.75" customHeight="1" s="173">
      <c r="B32" s="340" t="n">
        <v>27</v>
      </c>
      <c r="C32" s="340" t="inlineStr">
        <is>
          <t>XIV</t>
        </is>
      </c>
      <c r="D32" s="340" t="inlineStr">
        <is>
          <t>CEXT: Vehículos, máquinas, blindaje, etc.</t>
        </is>
      </c>
      <c r="E32" s="340" t="inlineStr">
        <is>
          <t>XIV - CEXT: Vehículos, máquinas, blindaje, etc.</t>
        </is>
      </c>
      <c r="F32" s="341" t="inlineStr">
        <is>
          <t>Siempre</t>
        </is>
      </c>
      <c r="G32" s="341" t="inlineStr">
        <is>
          <t>Siempre</t>
        </is>
      </c>
      <c r="H32" s="342">
        <f>IF(ISNUMBER($F32),$F32*PARAMETROS!$C$22,$F32)</f>
        <v/>
      </c>
      <c r="I32" s="342">
        <f>IF(ISNUMBER($G32),$G32*PARAMETROS!$C$22,$G32)</f>
        <v/>
      </c>
      <c r="J32" s="340" t="inlineStr">
        <is>
          <t>Importación/exportación de bienes de lujo</t>
        </is>
      </c>
      <c r="K32" s="340" t="inlineStr">
        <is>
          <t>Comercialización de bienes de valor intermedio</t>
        </is>
      </c>
      <c r="L32" s="340" t="inlineStr">
        <is>
          <t>Bienes de uso común con documentación completa</t>
        </is>
      </c>
      <c r="M32" s="340" t="inlineStr">
        <is>
          <t>Comercio exterior usado para estratificación.</t>
        </is>
      </c>
      <c r="N32" s="340" t="inlineStr">
        <is>
          <t>Alto valor de mercancías.</t>
        </is>
      </c>
      <c r="O32" s="340" t="inlineStr">
        <is>
          <t>Riesgo de contrabando.</t>
        </is>
      </c>
    </row>
    <row r="33" ht="53.25" customHeight="1" s="173">
      <c r="B33" s="340" t="n">
        <v>28</v>
      </c>
      <c r="C33" s="340" t="inlineStr">
        <is>
          <t>XV</t>
        </is>
      </c>
      <c r="D33" s="340" t="inlineStr">
        <is>
          <t>Arrendamiento de bienes inmuebles (uso o goce)</t>
        </is>
      </c>
      <c r="E33" s="340" t="inlineStr">
        <is>
          <t>XV - Arrendamiento de bienes inmuebles (uso o goce)</t>
        </is>
      </c>
      <c r="F33" s="341" t="n">
        <v>1605</v>
      </c>
      <c r="G33" s="341" t="n">
        <v>3210</v>
      </c>
      <c r="H33" s="342">
        <f>IF(ISNUMBER($F33),$F33*PARAMETROS!$C$22,$F33)</f>
        <v/>
      </c>
      <c r="I33" s="342">
        <f>IF(ISNUMBER($G33),$G33*PARAMETROS!$C$22,$G33)</f>
        <v/>
      </c>
      <c r="J33" s="340" t="inlineStr">
        <is>
          <t>Arrendamiento de inmuebles de alto valor mensual, pagos en efectivo, arrendatarios de dificil identificacion o giro sensible.</t>
        </is>
      </c>
      <c r="K33" s="340" t="inlineStr">
        <is>
          <t>Arrendamiento de valor intermedio con pagos mixtos (efectivo y transferencia).</t>
        </is>
      </c>
      <c r="L33" s="340" t="inlineStr">
        <is>
          <t>Arrendamiento de bajo valor mensual, contrato formal y pagos trazables.</t>
        </is>
      </c>
      <c r="M33" s="340" t="inlineStr">
        <is>
          <t>Uso del arrendamiento como fachada o para introducir recursos ilicitos.</t>
        </is>
      </c>
      <c r="N33" s="340" t="inlineStr">
        <is>
          <t>Falta de verificacion del giro real del arrendatario y del origen de los pagos.</t>
        </is>
      </c>
      <c r="O33" s="340" t="inlineStr">
        <is>
          <t>Riesgo legal y reputacional; local usado para actividades ilicitas.</t>
        </is>
      </c>
    </row>
    <row r="34" ht="63.75" customHeight="1" s="173">
      <c r="B34" s="340" t="n">
        <v>29</v>
      </c>
      <c r="C34" s="340" t="inlineStr">
        <is>
          <t>XVI</t>
        </is>
      </c>
      <c r="D34" s="340" t="inlineStr">
        <is>
          <t>Activos virtuales (PSAV): operación de intercambio/transferencia</t>
        </is>
      </c>
      <c r="E34" s="340" t="inlineStr">
        <is>
          <t>XVI - Activos virtuales (PSAV): operación de intercambio/transferencia</t>
        </is>
      </c>
      <c r="F34" s="341" t="inlineStr">
        <is>
          <t>Siempre</t>
        </is>
      </c>
      <c r="G34" s="341" t="n">
        <v>210</v>
      </c>
      <c r="H34" s="342">
        <f>IF(ISNUMBER($F34),$F34*PARAMETROS!$C$22,$F34)</f>
        <v/>
      </c>
      <c r="I34" s="342">
        <f>IF(ISNUMBER($G34),$G34*PARAMETROS!$C$22,$G34)</f>
        <v/>
      </c>
      <c r="J34" s="340" t="inlineStr">
        <is>
          <t>Intercambio/transferencia de activos virtuales con clientes no identificados, operaciones transfronterizas, montos elevados o anonimato on-chain.</t>
        </is>
      </c>
      <c r="K34" s="340" t="inlineStr">
        <is>
          <t>Operaciones con identificacion parcial y montos moderados.</t>
        </is>
      </c>
      <c r="L34" s="340" t="inlineStr">
        <is>
          <t>Operaciones con KYC completo, trazabilidad on-chain y montos bajos en MXN.</t>
        </is>
      </c>
      <c r="M34" s="340" t="inlineStr">
        <is>
          <t>Uso de activos virtuales para estratificar u ocultar el origen de recursos.</t>
        </is>
      </c>
      <c r="N34" s="340" t="inlineStr">
        <is>
          <t>Anonimato y dificultad de trazabilidad; operacion transfronteriza.</t>
        </is>
      </c>
      <c r="O34" s="340" t="inlineStr">
        <is>
          <t>Riesgo de LD/FT, sanciones y bloqueo de cuentas; deteccion por UIF.</t>
        </is>
      </c>
    </row>
    <row r="35" ht="74.25" customHeight="1" s="173">
      <c r="B35" s="340" t="n">
        <v>30</v>
      </c>
      <c r="C35" s="340" t="inlineStr">
        <is>
          <t>XVI</t>
        </is>
      </c>
      <c r="D35" s="340" t="inlineStr">
        <is>
          <t>Activos virtuales (PSAV): cobro de contraprestación (comisión) por el servicio</t>
        </is>
      </c>
      <c r="E35" s="340" t="inlineStr">
        <is>
          <t>XVI - Activos virtuales (PSAV): cobro de contraprestación (comisión) por el servicio</t>
        </is>
      </c>
      <c r="F35" s="341" t="inlineStr">
        <is>
          <t>Siempre</t>
        </is>
      </c>
      <c r="G35" s="341" t="n">
        <v>4</v>
      </c>
      <c r="H35" s="342">
        <f>IF(ISNUMBER($F35),$F35*PARAMETROS!$C$22,$F35)</f>
        <v/>
      </c>
      <c r="I35" s="342">
        <f>IF(ISNUMBER($G35),$G35*PARAMETROS!$C$22,$G35)</f>
        <v/>
      </c>
      <c r="J35" s="340" t="inlineStr">
        <is>
          <t>Cobro de comisiones a clientes de alto riesgo o en efectivo, sin trazabilidad del pago.</t>
        </is>
      </c>
      <c r="K35" s="340" t="inlineStr">
        <is>
          <t>Comisiones con pagos mixtos e identificacion parcial.</t>
        </is>
      </c>
      <c r="L35" s="340" t="inlineStr">
        <is>
          <t>Comisiones cobradas por medios trazables con cliente identificado.</t>
        </is>
      </c>
      <c r="M35" s="340" t="inlineStr">
        <is>
          <t>Uso del cobro de comisiones para justificar flujos o fragmentar operaciones.</t>
        </is>
      </c>
      <c r="N35" s="340" t="inlineStr">
        <is>
          <t>Falta de trazabilidad en el cobro y bajo umbral de deteccion (4 UMA).</t>
        </is>
      </c>
      <c r="O35" s="340" t="inlineStr">
        <is>
          <t>Riesgo de simulacion y de omitir operaciones sujetas a aviso.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tabColor rgb="FF808080"/>
    <outlinePr summaryBelow="1" summaryRight="1"/>
    <pageSetUpPr fitToPage="0"/>
  </sheetPr>
  <dimension ref="A2:G75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hidden="1" width="30" customWidth="1" style="172" min="1" max="1"/>
    <col width="28" customWidth="1" style="172" min="2" max="2"/>
    <col width="6" customWidth="1" style="172" min="3" max="3"/>
    <col width="30" customWidth="1" style="172" min="4" max="4"/>
    <col width="42" customWidth="1" style="172" min="5" max="7"/>
  </cols>
  <sheetData>
    <row r="2" ht="21.75" customHeight="1" s="173">
      <c r="B2" s="201" t="inlineStr">
        <is>
          <t>BASE · 30 actividades × 25 indicadores = 750 perfiles</t>
        </is>
      </c>
    </row>
    <row r="3" ht="15" customHeight="1" s="173">
      <c r="B3" s="343" t="inlineStr">
        <is>
          <t>Referencia: 30 Actividades Vulnerables × 25 indicadores. No se edita.</t>
        </is>
      </c>
    </row>
    <row r="5" ht="15" customHeight="1" s="173">
      <c r="A5" s="178" t="inlineStr">
        <is>
          <t>Clave</t>
        </is>
      </c>
      <c r="B5" s="178" t="inlineStr">
        <is>
          <t>Actividad</t>
        </is>
      </c>
      <c r="C5" s="178" t="inlineStr">
        <is>
          <t>Núm.</t>
        </is>
      </c>
      <c r="D5" s="178" t="inlineStr">
        <is>
          <t>Indicador</t>
        </is>
      </c>
      <c r="E5" s="178" t="inlineStr">
        <is>
          <t>Perfil ALTO</t>
        </is>
      </c>
      <c r="F5" s="178" t="inlineStr">
        <is>
          <t>Perfil MEDIO</t>
        </is>
      </c>
      <c r="G5" s="178" t="inlineStr">
        <is>
          <t>Perfil BAJO</t>
        </is>
      </c>
    </row>
    <row r="6" ht="18.75" customHeight="1" s="173">
      <c r="A6" s="208">
        <f>B6&amp;"-"&amp;C6</f>
        <v/>
      </c>
      <c r="B6" s="344" t="inlineStr">
        <is>
          <t>I - Juegos con apuesta</t>
        </is>
      </c>
      <c r="C6" s="345" t="n">
        <v>1</v>
      </c>
      <c r="D6" s="208" t="inlineStr">
        <is>
          <t>Valor del producto o servicio</t>
        </is>
      </c>
      <c r="E6" s="208" t="inlineStr">
        <is>
          <t>Apuestas o compra de fichas de alto monto unitario, muy por encima del juego promedio.</t>
        </is>
      </c>
      <c r="F6" s="208" t="inlineStr">
        <is>
          <t>Apuestas de monto moderado, recurrentes dentro de rangos habituales del salón.</t>
        </is>
      </c>
      <c r="G6" s="208" t="inlineStr">
        <is>
          <t>Apuestas de bajo monto propias de juego recreativo.</t>
        </is>
      </c>
    </row>
    <row r="7" ht="18.75" customHeight="1" s="173">
      <c r="A7" s="208">
        <f>B7&amp;"-"&amp;C7</f>
        <v/>
      </c>
      <c r="B7" s="344" t="inlineStr">
        <is>
          <t>I - Juegos con apuesta</t>
        </is>
      </c>
      <c r="C7" s="345" t="n">
        <v>2</v>
      </c>
      <c r="D7" s="208" t="inlineStr">
        <is>
          <t>Liquidez / convertibilidad</t>
        </is>
      </c>
      <c r="E7" s="208" t="inlineStr">
        <is>
          <t>Fichas o saldos convertibles en efectivo casi sin jugar (cash-out inmediato).</t>
        </is>
      </c>
      <c r="F7" s="208" t="inlineStr">
        <is>
          <t>Conversión parcial de saldos con algo de juego previo.</t>
        </is>
      </c>
      <c r="G7" s="208" t="inlineStr">
        <is>
          <t>Premios pagados a cuenta bancaria, con juego efectivo comprobable.</t>
        </is>
      </c>
    </row>
    <row r="8" ht="18.75" customHeight="1" s="173">
      <c r="A8" s="208">
        <f>B8&amp;"-"&amp;C8</f>
        <v/>
      </c>
      <c r="B8" s="344" t="inlineStr">
        <is>
          <t>I - Juegos con apuesta</t>
        </is>
      </c>
      <c r="C8" s="345" t="n">
        <v>3</v>
      </c>
      <c r="D8" s="208" t="inlineStr">
        <is>
          <t>Anonimato / identificación del beneficiario</t>
        </is>
      </c>
      <c r="E8" s="208" t="inlineStr">
        <is>
          <t>Juego en efectivo o en línea sin identificar al beneficiario final del premio.</t>
        </is>
      </c>
      <c r="F8" s="208" t="inlineStr">
        <is>
          <t>Cliente identificado pero con premios cobrados por terceros ocasionales.</t>
        </is>
      </c>
      <c r="G8" s="208" t="inlineStr">
        <is>
          <t>Beneficiario identificado y premio cobrado por el mismo jugador.</t>
        </is>
      </c>
    </row>
    <row r="9" ht="18.75" customHeight="1" s="173">
      <c r="A9" s="208">
        <f>B9&amp;"-"&amp;C9</f>
        <v/>
      </c>
      <c r="B9" s="344" t="inlineStr">
        <is>
          <t>I - Juegos con apuesta</t>
        </is>
      </c>
      <c r="C9" s="345" t="n">
        <v>4</v>
      </c>
      <c r="D9" s="208" t="inlineStr">
        <is>
          <t>Transferencia u ocultamiento de valor</t>
        </is>
      </c>
      <c r="E9" s="208" t="inlineStr">
        <is>
          <t>Uso del casino para 'lavar' fichas o mover saldos entre plataformas sin trazabilidad.</t>
        </is>
      </c>
      <c r="F9" s="208" t="inlineStr">
        <is>
          <t>Movimientos de saldo entre productos con trazabilidad parcial.</t>
        </is>
      </c>
      <c r="G9" s="208" t="inlineStr">
        <is>
          <t>Flujo cerrado: depósito, juego y retiro a la misma cuenta identificada.</t>
        </is>
      </c>
    </row>
    <row r="10" ht="18.75" customHeight="1" s="173">
      <c r="A10" s="208">
        <f>B10&amp;"-"&amp;C10</f>
        <v/>
      </c>
      <c r="B10" s="344" t="inlineStr">
        <is>
          <t>I - Juegos con apuesta</t>
        </is>
      </c>
      <c r="C10" s="345" t="n">
        <v>5</v>
      </c>
      <c r="D10" s="208" t="inlineStr">
        <is>
          <t>Exposición del acto u operación al financiamiento al terrorismo</t>
        </is>
      </c>
      <c r="E10" s="208" t="inlineStr">
        <is>
          <t>Compra y cobro de fichas o saldos usados como vehículo para colocar y remitir fondos a personas u organizaciones señaladas en listas de sanciones, o cuentas de juego operadas desde jurisdicciones en conflicto.</t>
        </is>
      </c>
      <c r="F10" s="208" t="inlineStr">
        <is>
          <t>Cuentas de juego con actividad atípica hacia el extranjero, sin coincidencias en listas pero sin justificación clara del patrón.</t>
        </is>
      </c>
      <c r="G10" s="208" t="inlineStr">
        <is>
          <t>Juego recreativo con jugador identificado, sin flujos al extranjero ni coincidencias en listas.</t>
        </is>
      </c>
    </row>
    <row r="11" ht="18.75" customHeight="1" s="173">
      <c r="A11" s="208">
        <f>B11&amp;"-"&amp;C11</f>
        <v/>
      </c>
      <c r="B11" s="344" t="inlineStr">
        <is>
          <t>I - Juegos con apuesta</t>
        </is>
      </c>
      <c r="C11" s="345" t="n">
        <v>6</v>
      </c>
      <c r="D11" s="208" t="inlineStr">
        <is>
          <t>Tipo de persona y estructura</t>
        </is>
      </c>
      <c r="E11" s="208" t="inlineStr">
        <is>
          <t>Jugador vinculado a persona moral extranjera o estructura opaca que financia el juego.</t>
        </is>
      </c>
      <c r="F11" s="208" t="inlineStr">
        <is>
          <t>Persona física con actividad económica poco clara que sustenta el juego.</t>
        </is>
      </c>
      <c r="G11" s="208" t="inlineStr">
        <is>
          <t>Persona física identificada con perfil económico congruente con sus apuestas.</t>
        </is>
      </c>
    </row>
    <row r="12" ht="18.75" customHeight="1" s="173">
      <c r="A12" s="208">
        <f>B12&amp;"-"&amp;C12</f>
        <v/>
      </c>
      <c r="B12" s="344" t="inlineStr">
        <is>
          <t>I - Juegos con apuesta</t>
        </is>
      </c>
      <c r="C12" s="345" t="n">
        <v>7</v>
      </c>
      <c r="D12" s="208" t="inlineStr">
        <is>
          <t>Edad / fecha de constitución</t>
        </is>
      </c>
      <c r="E12" s="208" t="inlineStr">
        <is>
          <t>Jugador muy joven o recién mayor de edad con apuestas desproporcionadas a su perfil.</t>
        </is>
      </c>
      <c r="F12" s="208" t="inlineStr">
        <is>
          <t>Jugador con perfil de ingresos moderadamente incongruente con el monto apostado.</t>
        </is>
      </c>
      <c r="G12" s="208" t="inlineStr">
        <is>
          <t>Jugador de perfil y edad congruentes con el nivel de apuesta.</t>
        </is>
      </c>
    </row>
    <row r="13" ht="18.75" customHeight="1" s="173">
      <c r="A13" s="208">
        <f>B13&amp;"-"&amp;C13</f>
        <v/>
      </c>
      <c r="B13" s="344" t="inlineStr">
        <is>
          <t>I - Juegos con apuesta</t>
        </is>
      </c>
      <c r="C13" s="345" t="n">
        <v>8</v>
      </c>
      <c r="D13" s="208" t="inlineStr">
        <is>
          <t>Actividad económica o giro (y fuente de ingresos)</t>
        </is>
      </c>
      <c r="E13" s="208" t="inlineStr">
        <is>
          <t>Ingresos informales, de giro intensivo en efectivo o vinculados a otra actividad vulnerable.</t>
        </is>
      </c>
      <c r="F13" s="208" t="inlineStr">
        <is>
          <t>Actividad formal pero con componente relevante de efectivo.</t>
        </is>
      </c>
      <c r="G13" s="208" t="inlineStr">
        <is>
          <t>Ingresos formales y comprobables acordes al nivel de juego.</t>
        </is>
      </c>
    </row>
    <row r="14" ht="18.75" customHeight="1" s="173">
      <c r="A14" s="208">
        <f>B14&amp;"-"&amp;C14</f>
        <v/>
      </c>
      <c r="B14" s="344" t="inlineStr">
        <is>
          <t>I - Juegos con apuesta</t>
        </is>
      </c>
      <c r="C14" s="345" t="n">
        <v>9</v>
      </c>
      <c r="D14" s="208" t="inlineStr">
        <is>
          <t>Nacionalidad del cliente</t>
        </is>
      </c>
      <c r="E14" s="208" t="inlineStr">
        <is>
          <t>Cliente de país en listas GAFI, sancionado o con régimen fiscal preferente.</t>
        </is>
      </c>
      <c r="F14" s="208" t="inlineStr">
        <is>
          <t>Cliente extranjero de país sin deficiencias GAFI pero con controles limitados.</t>
        </is>
      </c>
      <c r="G14" s="208" t="inlineStr">
        <is>
          <t>Cliente mexicano o de país cooperante, plenamente identificado.</t>
        </is>
      </c>
    </row>
    <row r="15" ht="18.75" customHeight="1" s="173">
      <c r="A15" s="208">
        <f>B15&amp;"-"&amp;C15</f>
        <v/>
      </c>
      <c r="B15" s="344" t="inlineStr">
        <is>
          <t>I - Juegos con apuesta</t>
        </is>
      </c>
      <c r="C15" s="345" t="n">
        <v>10</v>
      </c>
      <c r="D15" s="208" t="inlineStr">
        <is>
          <t>País (y en su caso, estado) de residencia del cliente</t>
        </is>
      </c>
      <c r="E15" s="208" t="inlineStr">
        <is>
          <t>Residencia en jurisdicción de alto riesgo o domicilio no verificable.</t>
        </is>
      </c>
      <c r="F15" s="208" t="inlineStr">
        <is>
          <t>Residencia extranjera verificable o en entidad de riesgo moderado.</t>
        </is>
      </c>
      <c r="G15" s="208" t="inlineStr">
        <is>
          <t>Residencia nacional comprobable con documentación vigente.</t>
        </is>
      </c>
    </row>
    <row r="16" ht="18.75" customHeight="1" s="173">
      <c r="A16" s="208">
        <f>B16&amp;"-"&amp;C16</f>
        <v/>
      </c>
      <c r="B16" s="344" t="inlineStr">
        <is>
          <t>I - Juegos con apuesta</t>
        </is>
      </c>
      <c r="C16" s="345" t="n">
        <v>11</v>
      </c>
      <c r="D16" s="208" t="inlineStr">
        <is>
          <t>Condición PEP</t>
        </is>
      </c>
      <c r="E16" s="208" t="inlineStr">
        <is>
          <t>PEP nacional o extranjera, o allegado/familiar de un PEP.</t>
        </is>
      </c>
      <c r="F16" s="208" t="inlineStr">
        <is>
          <t>Vínculos indirectos con un PEP o ex-PEP fuera del periodo sensible.</t>
        </is>
      </c>
      <c r="G16" s="208" t="inlineStr">
        <is>
          <t>Sin condición PEP ni vínculos con personas políticamente expuestas.</t>
        </is>
      </c>
    </row>
    <row r="17" ht="18.75" customHeight="1" s="173">
      <c r="A17" s="208">
        <f>B17&amp;"-"&amp;C17</f>
        <v/>
      </c>
      <c r="B17" s="344" t="inlineStr">
        <is>
          <t>I - Juegos con apuesta</t>
        </is>
      </c>
      <c r="C17" s="345" t="n">
        <v>12</v>
      </c>
      <c r="D17" s="208" t="inlineStr">
        <is>
          <t>Coincidencia en listas de personas bloqueadas o de sanciones</t>
        </is>
      </c>
      <c r="E17" s="208" t="inlineStr">
        <is>
          <t>El jugador, su beneficiario controlador, apoderado o contraparte aparece en la Lista de Personas Bloqueadas, en listas de sanciones o en listas de organizaciones terroristas, o presenta una coincidencia fuerte que no ha sido descartada.</t>
        </is>
      </c>
      <c r="F17" s="208" t="inlineStr">
        <is>
          <t>Se detecta coincidencia parcial u homonimia respecto del jugador o de alguna persona relacionada, y el descarte se encuentra en proceso con constancia documental.</t>
        </is>
      </c>
      <c r="G17" s="208" t="inlineStr">
        <is>
          <t>Búsqueda realizada y documentada sobre el jugador y sus personas relacionadas, sin coincidencias.</t>
        </is>
      </c>
    </row>
    <row r="18" ht="18.75" customHeight="1" s="173">
      <c r="A18" s="208">
        <f>B18&amp;"-"&amp;C18</f>
        <v/>
      </c>
      <c r="B18" s="344" t="inlineStr">
        <is>
          <t>I - Juegos con apuesta</t>
        </is>
      </c>
      <c r="C18" s="345" t="n">
        <v>13</v>
      </c>
      <c r="D18" s="208" t="inlineStr">
        <is>
          <t>Identificación y complejidad del Beneficiario Controlador</t>
        </is>
      </c>
      <c r="E18" s="208" t="inlineStr">
        <is>
          <t>No se logra identificar al beneficiario controlador del jugador, o la estructura interpone dos o más niveles societarios, fiduciarios o vehículos constituidos en el extranjero para llegar al 25 por ciento.</t>
        </is>
      </c>
      <c r="F18" s="208" t="inlineStr">
        <is>
          <t>Beneficiario controlador identificado, pero a través de una estructura de más de un nivel o con participación indirecta que exigió reconstruir la cadena de control con documentos.</t>
        </is>
      </c>
      <c r="G18" s="208" t="inlineStr">
        <is>
          <t>Beneficiario controlador identificado de forma directa y documentada: persona física que posee al menos el 25 por ciento o que ejerce el control por otra vía acreditada.</t>
        </is>
      </c>
    </row>
    <row r="19" ht="18.75" customHeight="1" s="173">
      <c r="A19" s="208">
        <f>B19&amp;"-"&amp;C19</f>
        <v/>
      </c>
      <c r="B19" s="344" t="inlineStr">
        <is>
          <t>I - Juegos con apuesta</t>
        </is>
      </c>
      <c r="C19" s="345" t="n">
        <v>14</v>
      </c>
      <c r="D19" s="208" t="inlineStr">
        <is>
          <t>País / jurisdicción donde se realiza la operación</t>
        </is>
      </c>
      <c r="E19" s="208" t="inlineStr">
        <is>
          <t>Operación con o desde jurisdicción de alto riesgo o no cooperante.</t>
        </is>
      </c>
      <c r="F19" s="208" t="inlineStr">
        <is>
          <t>Operación con jurisdicción extranjera de riesgo moderado y trazabilidad parcial.</t>
        </is>
      </c>
      <c r="G19" s="208" t="inlineStr">
        <is>
          <t>Operación íntegramente nacional con contraparte identificada.</t>
        </is>
      </c>
    </row>
    <row r="20" ht="18.75" customHeight="1" s="173">
      <c r="A20" s="208">
        <f>B20&amp;"-"&amp;C20</f>
        <v/>
      </c>
      <c r="B20" s="344" t="inlineStr">
        <is>
          <t>I - Juegos con apuesta</t>
        </is>
      </c>
      <c r="C20" s="345" t="n">
        <v>15</v>
      </c>
      <c r="D20" s="208" t="inlineStr">
        <is>
          <t>Área geográfica nacional de la operación</t>
        </is>
      </c>
      <c r="E20" s="208" t="inlineStr">
        <is>
          <t>Operación en zona de alta incidencia delictiva, marginación o franja fronteriza.</t>
        </is>
      </c>
      <c r="F20" s="208" t="inlineStr">
        <is>
          <t>Operación en zona urbana con incidencia delictiva moderada.</t>
        </is>
      </c>
      <c r="G20" s="208" t="inlineStr">
        <is>
          <t>Operación en zona de bajo riesgo y presencia institucional consolidada.</t>
        </is>
      </c>
    </row>
    <row r="21" ht="18.75" customHeight="1" s="173">
      <c r="A21" s="208">
        <f>B21&amp;"-"&amp;C21</f>
        <v/>
      </c>
      <c r="B21" s="344" t="inlineStr">
        <is>
          <t>I - Juegos con apuesta</t>
        </is>
      </c>
      <c r="C21" s="345" t="n">
        <v>16</v>
      </c>
      <c r="D21" s="208" t="inlineStr">
        <is>
          <t>Vínculo con jurisdicciones sancionadas, en conflicto o de acción requerida por el GAFI</t>
        </is>
      </c>
      <c r="E21" s="208" t="inlineStr">
        <is>
          <t>Existe exposición a jurisdicciones sancionadas, en conflicto armado o de acción requerida del GAFI, por la vía de juego en línea desde el extranjero y cobro de premios fuera del país.</t>
        </is>
      </c>
      <c r="F21" s="208" t="inlineStr">
        <is>
          <t>Vínculo con jurisdicciones bajo monitoreo intensificado del GAFI o con deficiencias señaladas en la ENR, sin estar sancionadas ni en conflicto.</t>
        </is>
      </c>
      <c r="G21" s="208" t="inlineStr">
        <is>
          <t>Sin vínculo con jurisdicciones sancionadas, en conflicto o listadas por el GAFI; la operación y sus partes se ubican en plazas sin señalamientos.</t>
        </is>
      </c>
    </row>
    <row r="22" ht="18.75" customHeight="1" s="173">
      <c r="A22" s="208">
        <f>B22&amp;"-"&amp;C22</f>
        <v/>
      </c>
      <c r="B22" s="344" t="inlineStr">
        <is>
          <t>I - Juegos con apuesta</t>
        </is>
      </c>
      <c r="C22" s="345" t="n">
        <v>17</v>
      </c>
      <c r="D22" s="208" t="inlineStr">
        <is>
          <t>Congruencia entre el domicilio del Cliente y el lugar de la operación</t>
        </is>
      </c>
      <c r="E22" s="208" t="inlineStr">
        <is>
          <t>El domicilio del jugador no guarda relación económica ni logística con el lugar donde se realiza la apuesta o el pago del premio, y no existe explicación documentada del desplazamiento.</t>
        </is>
      </c>
      <c r="F22" s="208" t="inlineStr">
        <is>
          <t>Existe distancia relevante entre el domicilio del jugador y el lugar de la operación, con explicación plausible pero no soportada en el expediente.</t>
        </is>
      </c>
      <c r="G22" s="208" t="inlineStr">
        <is>
          <t>El domicilio del jugador corresponde a la plaza donde se realiza la apuesta o el pago del premio, o el desplazamiento está justificado y documentado.</t>
        </is>
      </c>
    </row>
    <row r="23" ht="18.75" customHeight="1" s="173">
      <c r="A23" s="208">
        <f>B23&amp;"-"&amp;C23</f>
        <v/>
      </c>
      <c r="B23" s="344" t="inlineStr">
        <is>
          <t>I - Juegos con apuesta</t>
        </is>
      </c>
      <c r="C23" s="345" t="n">
        <v>18</v>
      </c>
      <c r="D23" s="208" t="inlineStr">
        <is>
          <t>Instrumento monetario</t>
        </is>
      </c>
      <c r="E23" s="208" t="inlineStr">
        <is>
          <t>Apuestas y cobros en efectivo, fichas al portador o criptoactivos.</t>
        </is>
      </c>
      <c r="F23" s="208" t="inlineStr">
        <is>
          <t>Mezcla de efectivo y medios electrónicos en el juego.</t>
        </is>
      </c>
      <c r="G23" s="208" t="inlineStr">
        <is>
          <t>Apuestas con tarjeta bancaria o monedero electrónico trazable.</t>
        </is>
      </c>
    </row>
    <row r="24" ht="18.75" customHeight="1" s="173">
      <c r="A24" s="208">
        <f>B24&amp;"-"&amp;C24</f>
        <v/>
      </c>
      <c r="B24" s="344" t="inlineStr">
        <is>
          <t>I - Juegos con apuesta</t>
        </is>
      </c>
      <c r="C24" s="345" t="n">
        <v>19</v>
      </c>
      <c r="D24" s="208" t="inlineStr">
        <is>
          <t>Tipo de moneda</t>
        </is>
      </c>
      <c r="E24" s="208" t="inlineStr">
        <is>
          <t>Operación en moneda extranjera distinta al USD o en criptomonedas.</t>
        </is>
      </c>
      <c r="F24" s="208" t="inlineStr">
        <is>
          <t>Operación en dólares estadounidenses con soporte documental.</t>
        </is>
      </c>
      <c r="G24" s="208" t="inlineStr">
        <is>
          <t>Operación en pesos mexicanos plenamente trazable.</t>
        </is>
      </c>
    </row>
    <row r="25" ht="18.75" customHeight="1" s="173">
      <c r="A25" s="208">
        <f>B25&amp;"-"&amp;C25</f>
        <v/>
      </c>
      <c r="B25" s="344" t="inlineStr">
        <is>
          <t>I - Juegos con apuesta</t>
        </is>
      </c>
      <c r="C25" s="345" t="n">
        <v>20</v>
      </c>
      <c r="D25" s="208" t="inlineStr">
        <is>
          <t>Monto frente a umbrales LFPIORPI</t>
        </is>
      </c>
      <c r="E25" s="208" t="inlineStr">
        <is>
          <t>Acumulado de apuestas o cobros supera 645 UMA (umbral de aviso) en el periodo.</t>
        </is>
      </c>
      <c r="F25" s="208" t="inlineStr">
        <is>
          <t>Operación cercana al umbral de 645 UMA sin superarlo.</t>
        </is>
      </c>
      <c r="G25" s="208" t="inlineStr">
        <is>
          <t>Montos muy por debajo del umbral de 645 UMA.</t>
        </is>
      </c>
    </row>
    <row r="26" ht="18.75" customHeight="1" s="173">
      <c r="A26" s="208">
        <f>B26&amp;"-"&amp;C26</f>
        <v/>
      </c>
      <c r="B26" s="344" t="inlineStr">
        <is>
          <t>I - Juegos con apuesta</t>
        </is>
      </c>
      <c r="C26" s="345" t="n">
        <v>21</v>
      </c>
      <c r="D26" s="208" t="inlineStr">
        <is>
          <t>Frecuencia (fraccionamiento)</t>
        </is>
      </c>
      <c r="E26" s="208" t="inlineStr">
        <is>
          <t>Apuestas frecuentes o fraccionadas en varias sesiones o cajas para no superar el umbral.</t>
        </is>
      </c>
      <c r="F26" s="208" t="inlineStr">
        <is>
          <t>Frecuencia moderada con algún patrón de fraccionamiento.</t>
        </is>
      </c>
      <c r="G26" s="208" t="inlineStr">
        <is>
          <t>Juego esporádico sin señales de fraccionamiento.</t>
        </is>
      </c>
    </row>
    <row r="27" ht="18.75" customHeight="1" s="173">
      <c r="A27" s="208">
        <f>B27&amp;"-"&amp;C27</f>
        <v/>
      </c>
      <c r="B27" s="344" t="inlineStr">
        <is>
          <t>I - Juegos con apuesta</t>
        </is>
      </c>
      <c r="C27" s="345" t="n">
        <v>22</v>
      </c>
      <c r="D27" s="208" t="inlineStr">
        <is>
          <t>Canal (presencial / no presencial / terceros)</t>
        </is>
      </c>
      <c r="E27" s="208" t="inlineStr">
        <is>
          <t>Contratación no presencial o a través de terceros sin contacto directo.</t>
        </is>
      </c>
      <c r="F27" s="208" t="inlineStr">
        <is>
          <t>Operación mixta, presencial e intermediada, con verificación parcial.</t>
        </is>
      </c>
      <c r="G27" s="208" t="inlineStr">
        <is>
          <t>Operación presencial con identificación directa del cliente.</t>
        </is>
      </c>
    </row>
    <row r="28" ht="18.75" customHeight="1" s="173">
      <c r="A28" s="208">
        <f>B28&amp;"-"&amp;C28</f>
        <v/>
      </c>
      <c r="B28" s="344" t="inlineStr">
        <is>
          <t>I - Juegos con apuesta</t>
        </is>
      </c>
      <c r="C28" s="345" t="n">
        <v>23</v>
      </c>
      <c r="D28" s="208" t="inlineStr">
        <is>
          <t>Origen de los recursos</t>
        </is>
      </c>
      <c r="E28" s="208" t="inlineStr">
        <is>
          <t>Fondos de origen no acreditable, en efectivo o de procedencia informal.</t>
        </is>
      </c>
      <c r="F28" s="208" t="inlineStr">
        <is>
          <t>Origen parcialmente documentado con componente de efectivo.</t>
        </is>
      </c>
      <c r="G28" s="208" t="inlineStr">
        <is>
          <t>Origen de fondos acreditado desde cuenta bancaria propia.</t>
        </is>
      </c>
    </row>
    <row r="29" ht="18.75" customHeight="1" s="173">
      <c r="A29" s="208">
        <f>B29&amp;"-"&amp;C29</f>
        <v/>
      </c>
      <c r="B29" s="344" t="inlineStr">
        <is>
          <t>I - Juegos con apuesta</t>
        </is>
      </c>
      <c r="C29" s="345" t="n">
        <v>24</v>
      </c>
      <c r="D29" s="208" t="inlineStr">
        <is>
          <t>Destino de los recursos</t>
        </is>
      </c>
      <c r="E29" s="208" t="inlineStr">
        <is>
          <t>Premios dirigidos a terceros, al exterior o a cuentas sin justificación.</t>
        </is>
      </c>
      <c r="F29" s="208" t="inlineStr">
        <is>
          <t>Destino a cuentas propias con retiros parcialmente justificados.</t>
        </is>
      </c>
      <c r="G29" s="208" t="inlineStr">
        <is>
          <t>Premios abonados a la cuenta bancaria del propio jugador identificado.</t>
        </is>
      </c>
    </row>
    <row r="30" ht="18.75" customHeight="1" s="173">
      <c r="A30" s="208">
        <f>B30&amp;"-"&amp;C30</f>
        <v/>
      </c>
      <c r="B30" s="344" t="inlineStr">
        <is>
          <t>I - Juegos con apuesta</t>
        </is>
      </c>
      <c r="C30" s="345" t="n">
        <v>25</v>
      </c>
      <c r="D30" s="208" t="inlineStr">
        <is>
          <t>Canales e instrumentos idóneos para el financiamiento al terrorismo</t>
        </is>
      </c>
      <c r="E30" s="208" t="inlineStr">
        <is>
          <t>La operación se realiza mediante juego en línea sin verificación biométrica, efectivo en piso y pago de premios a terceros, es decir, medios que permiten mover valor en montos pequeños sin identificar al destinatario final.</t>
        </is>
      </c>
      <c r="F30" s="208" t="inlineStr">
        <is>
          <t>Canal mixto o con verificación parcial: hay registro de la operación pero la trazabilidad del destinatario final es incompleta.</t>
        </is>
      </c>
      <c r="G30" s="208" t="inlineStr">
        <is>
          <t>Juego con cuenta registrada y premio pagado a cuenta bancaria del propio jugador, con trazabilidad completa del origen y del destinatario.</t>
        </is>
      </c>
    </row>
    <row r="31" ht="18.75" customHeight="1" s="173">
      <c r="A31" s="208">
        <f>B31&amp;"-"&amp;C31</f>
        <v/>
      </c>
      <c r="B31" s="344" t="inlineStr">
        <is>
          <t>II - Tarjetas de crédito o servicios</t>
        </is>
      </c>
      <c r="C31" s="345" t="n">
        <v>1</v>
      </c>
      <c r="D31" s="208" t="inlineStr">
        <is>
          <t>Valor del producto o servicio</t>
        </is>
      </c>
      <c r="E31" s="208" t="inlineStr">
        <is>
          <t>Líneas de crédito o servicios de monto inusualmente alto para el perfil del titular.</t>
        </is>
      </c>
      <c r="F31" s="208" t="inlineStr">
        <is>
          <t>Líneas de crédito de monto moderado con uso algo atípico.</t>
        </is>
      </c>
      <c r="G31" s="208" t="inlineStr">
        <is>
          <t>Líneas y servicios de monto habitual acorde al perfil del cliente.</t>
        </is>
      </c>
    </row>
    <row r="32" ht="18.75" customHeight="1" s="173">
      <c r="A32" s="208">
        <f>B32&amp;"-"&amp;C32</f>
        <v/>
      </c>
      <c r="B32" s="344" t="inlineStr">
        <is>
          <t>II - Tarjetas de crédito o servicios</t>
        </is>
      </c>
      <c r="C32" s="345" t="n">
        <v>2</v>
      </c>
      <c r="D32" s="208" t="inlineStr">
        <is>
          <t>Liquidez / convertibilidad</t>
        </is>
      </c>
      <c r="E32" s="208" t="inlineStr">
        <is>
          <t>Disposiciones de efectivo o pagos que convierten el crédito en liquidez inmediata.</t>
        </is>
      </c>
      <c r="F32" s="208" t="inlineStr">
        <is>
          <t>Uso mixto con disposiciones de efectivo ocasionales.</t>
        </is>
      </c>
      <c r="G32" s="208" t="inlineStr">
        <is>
          <t>Uso en consumo trazable sin disposiciones de efectivo relevantes.</t>
        </is>
      </c>
    </row>
    <row r="33" ht="18.75" customHeight="1" s="173">
      <c r="A33" s="208">
        <f>B33&amp;"-"&amp;C33</f>
        <v/>
      </c>
      <c r="B33" s="344" t="inlineStr">
        <is>
          <t>II - Tarjetas de crédito o servicios</t>
        </is>
      </c>
      <c r="C33" s="345" t="n">
        <v>3</v>
      </c>
      <c r="D33" s="208" t="inlineStr">
        <is>
          <t>Anonimato / identificación del beneficiario</t>
        </is>
      </c>
      <c r="E33" s="208" t="inlineStr">
        <is>
          <t>Tarjetas emitidas en el extranjero o a nombre de terceros que ocultan al beneficiario.</t>
        </is>
      </c>
      <c r="F33" s="208" t="inlineStr">
        <is>
          <t>Titular identificado con uso frecuente por terceros autorizados.</t>
        </is>
      </c>
      <c r="G33" s="208" t="inlineStr">
        <is>
          <t>Titular y usuario plenamente identificados y coincidentes.</t>
        </is>
      </c>
    </row>
    <row r="34" ht="18.75" customHeight="1" s="173">
      <c r="A34" s="208">
        <f>B34&amp;"-"&amp;C34</f>
        <v/>
      </c>
      <c r="B34" s="344" t="inlineStr">
        <is>
          <t>II - Tarjetas de crédito o servicios</t>
        </is>
      </c>
      <c r="C34" s="345" t="n">
        <v>4</v>
      </c>
      <c r="D34" s="208" t="inlineStr">
        <is>
          <t>Transferencia u ocultamiento de valor</t>
        </is>
      </c>
      <c r="E34" s="208" t="inlineStr">
        <is>
          <t>Uso de tarjetas para triangular pagos o dispersar fondos ilícitos entre cuentas.</t>
        </is>
      </c>
      <c r="F34" s="208" t="inlineStr">
        <is>
          <t>Movimientos entre cuentas con trazabilidad parcial.</t>
        </is>
      </c>
      <c r="G34" s="208" t="inlineStr">
        <is>
          <t>Pagos a comercios identificados con trazabilidad completa.</t>
        </is>
      </c>
    </row>
    <row r="35" ht="18.75" customHeight="1" s="173">
      <c r="A35" s="208">
        <f>B35&amp;"-"&amp;C35</f>
        <v/>
      </c>
      <c r="B35" s="344" t="inlineStr">
        <is>
          <t>II - Tarjetas de crédito o servicios</t>
        </is>
      </c>
      <c r="C35" s="345" t="n">
        <v>5</v>
      </c>
      <c r="D35" s="208" t="inlineStr">
        <is>
          <t>Exposición del acto u operación al financiamiento al terrorismo</t>
        </is>
      </c>
      <c r="E35" s="208" t="inlineStr">
        <is>
          <t>Uso de la línea o del servicio para financiar viajes, logística o adquisiciones a favor de personas vinculadas con organizaciones terroristas o sujetas a sanciones.</t>
        </is>
      </c>
      <c r="F35" s="208" t="inlineStr">
        <is>
          <t>Disposiciones recurrentes en el extranjero o a favor de terceros, sin coincidencias en listas pero con destino poco claro.</t>
        </is>
      </c>
      <c r="G35" s="208" t="inlineStr">
        <is>
          <t>Uso congruente con el perfil declarado, en territorio nacional y a favor del propio tarjetahabiente.</t>
        </is>
      </c>
    </row>
    <row r="36" ht="18.75" customHeight="1" s="173">
      <c r="A36" s="208">
        <f>B36&amp;"-"&amp;C36</f>
        <v/>
      </c>
      <c r="B36" s="344" t="inlineStr">
        <is>
          <t>II - Tarjetas de crédito o servicios</t>
        </is>
      </c>
      <c r="C36" s="345" t="n">
        <v>6</v>
      </c>
      <c r="D36" s="208" t="inlineStr">
        <is>
          <t>Tipo de persona y estructura</t>
        </is>
      </c>
      <c r="E36" s="208" t="inlineStr">
        <is>
          <t>Titular persona moral extranjera, fideicomiso o estructura opaca.</t>
        </is>
      </c>
      <c r="F36" s="208" t="inlineStr">
        <is>
          <t>Persona moral nacional con estructura de socios poco transparente.</t>
        </is>
      </c>
      <c r="G36" s="208" t="inlineStr">
        <is>
          <t>Persona física o moral nacional con estructura clara y beneficiario conocido.</t>
        </is>
      </c>
    </row>
    <row r="37" ht="18.75" customHeight="1" s="173">
      <c r="A37" s="208">
        <f>B37&amp;"-"&amp;C37</f>
        <v/>
      </c>
      <c r="B37" s="344" t="inlineStr">
        <is>
          <t>II - Tarjetas de crédito o servicios</t>
        </is>
      </c>
      <c r="C37" s="345" t="n">
        <v>7</v>
      </c>
      <c r="D37" s="208" t="inlineStr">
        <is>
          <t>Edad / fecha de constitución</t>
        </is>
      </c>
      <c r="E37" s="208" t="inlineStr">
        <is>
          <t>Titular persona física muy joven o empresa de reciente creación con línea alta.</t>
        </is>
      </c>
      <c r="F37" s="208" t="inlineStr">
        <is>
          <t>Empresa con antigüedad limitada o perfil moderadamente atípico.</t>
        </is>
      </c>
      <c r="G37" s="208" t="inlineStr">
        <is>
          <t>Titular consolidado o empresa con antigüedad e historial claros.</t>
        </is>
      </c>
    </row>
    <row r="38" ht="18.75" customHeight="1" s="173">
      <c r="A38" s="208">
        <f>B38&amp;"-"&amp;C38</f>
        <v/>
      </c>
      <c r="B38" s="344" t="inlineStr">
        <is>
          <t>II - Tarjetas de crédito o servicios</t>
        </is>
      </c>
      <c r="C38" s="345" t="n">
        <v>8</v>
      </c>
      <c r="D38" s="208" t="inlineStr">
        <is>
          <t>Actividad económica o giro (y fuente de ingresos)</t>
        </is>
      </c>
      <c r="E38" s="208" t="inlineStr">
        <is>
          <t>Giro informal, intensivo en efectivo o vinculado a otra actividad vulnerable.</t>
        </is>
      </c>
      <c r="F38" s="208" t="inlineStr">
        <is>
          <t>Actividad formal con componente de efectivo relevante.</t>
        </is>
      </c>
      <c r="G38" s="208" t="inlineStr">
        <is>
          <t>Actividad formal y comprobable congruente con el uso de la tarjeta.</t>
        </is>
      </c>
    </row>
    <row r="39" ht="18.75" customHeight="1" s="173">
      <c r="A39" s="208">
        <f>B39&amp;"-"&amp;C39</f>
        <v/>
      </c>
      <c r="B39" s="344" t="inlineStr">
        <is>
          <t>II - Tarjetas de crédito o servicios</t>
        </is>
      </c>
      <c r="C39" s="345" t="n">
        <v>9</v>
      </c>
      <c r="D39" s="208" t="inlineStr">
        <is>
          <t>Nacionalidad del cliente</t>
        </is>
      </c>
      <c r="E39" s="208" t="inlineStr">
        <is>
          <t>Cliente de país en listas GAFI, sancionado o con régimen fiscal preferente.</t>
        </is>
      </c>
      <c r="F39" s="208" t="inlineStr">
        <is>
          <t>Cliente extranjero de país sin deficiencias GAFI pero con controles limitados.</t>
        </is>
      </c>
      <c r="G39" s="208" t="inlineStr">
        <is>
          <t>Cliente mexicano o de país cooperante, plenamente identificado.</t>
        </is>
      </c>
    </row>
    <row r="40" ht="18.75" customHeight="1" s="173">
      <c r="A40" s="208">
        <f>B40&amp;"-"&amp;C40</f>
        <v/>
      </c>
      <c r="B40" s="344" t="inlineStr">
        <is>
          <t>II - Tarjetas de crédito o servicios</t>
        </is>
      </c>
      <c r="C40" s="345" t="n">
        <v>10</v>
      </c>
      <c r="D40" s="208" t="inlineStr">
        <is>
          <t>País (y en su caso, estado) de residencia del cliente</t>
        </is>
      </c>
      <c r="E40" s="208" t="inlineStr">
        <is>
          <t>Residencia en jurisdicción de alto riesgo o domicilio no verificable.</t>
        </is>
      </c>
      <c r="F40" s="208" t="inlineStr">
        <is>
          <t>Residencia extranjera verificable o en entidad de riesgo moderado.</t>
        </is>
      </c>
      <c r="G40" s="208" t="inlineStr">
        <is>
          <t>Residencia nacional comprobable con documentación vigente.</t>
        </is>
      </c>
    </row>
    <row r="41" ht="18.75" customHeight="1" s="173">
      <c r="A41" s="208">
        <f>B41&amp;"-"&amp;C41</f>
        <v/>
      </c>
      <c r="B41" s="344" t="inlineStr">
        <is>
          <t>II - Tarjetas de crédito o servicios</t>
        </is>
      </c>
      <c r="C41" s="345" t="n">
        <v>11</v>
      </c>
      <c r="D41" s="208" t="inlineStr">
        <is>
          <t>Condición PEP</t>
        </is>
      </c>
      <c r="E41" s="208" t="inlineStr">
        <is>
          <t>PEP nacional o extranjera, o allegado/familiar de un PEP.</t>
        </is>
      </c>
      <c r="F41" s="208" t="inlineStr">
        <is>
          <t>Vínculos indirectos con un PEP o ex-PEP fuera del periodo sensible.</t>
        </is>
      </c>
      <c r="G41" s="208" t="inlineStr">
        <is>
          <t>Sin condición PEP ni vínculos con personas políticamente expuestas.</t>
        </is>
      </c>
    </row>
    <row r="42" ht="18.75" customHeight="1" s="173">
      <c r="A42" s="208">
        <f>B42&amp;"-"&amp;C42</f>
        <v/>
      </c>
      <c r="B42" s="344" t="inlineStr">
        <is>
          <t>II - Tarjetas de crédito o servicios</t>
        </is>
      </c>
      <c r="C42" s="345" t="n">
        <v>12</v>
      </c>
      <c r="D42" s="208" t="inlineStr">
        <is>
          <t>Coincidencia en listas de personas bloqueadas o de sanciones</t>
        </is>
      </c>
      <c r="E42" s="208" t="inlineStr">
        <is>
          <t>El tarjetahabiente, su beneficiario controlador, apoderado o contraparte aparece en la Lista de Personas Bloqueadas, en listas de sanciones o en listas de organizaciones terroristas, o presenta una coincidencia fuerte que no ha sido descartada.</t>
        </is>
      </c>
      <c r="F42" s="208" t="inlineStr">
        <is>
          <t>Se detecta coincidencia parcial u homonimia respecto del tarjetahabiente o de alguna persona relacionada, y el descarte se encuentra en proceso con constancia documental.</t>
        </is>
      </c>
      <c r="G42" s="208" t="inlineStr">
        <is>
          <t>Búsqueda realizada y documentada sobre el tarjetahabiente y sus personas relacionadas, sin coincidencias.</t>
        </is>
      </c>
    </row>
    <row r="43" ht="18.75" customHeight="1" s="173">
      <c r="A43" s="208">
        <f>B43&amp;"-"&amp;C43</f>
        <v/>
      </c>
      <c r="B43" s="344" t="inlineStr">
        <is>
          <t>II - Tarjetas de crédito o servicios</t>
        </is>
      </c>
      <c r="C43" s="345" t="n">
        <v>13</v>
      </c>
      <c r="D43" s="208" t="inlineStr">
        <is>
          <t>Identificación y complejidad del Beneficiario Controlador</t>
        </is>
      </c>
      <c r="E43" s="208" t="inlineStr">
        <is>
          <t>No se logra identificar al beneficiario controlador del tarjetahabiente, o la estructura interpone dos o más niveles societarios, fiduciarios o vehículos constituidos en el extranjero para llegar al 25 por ciento.</t>
        </is>
      </c>
      <c r="F43" s="208" t="inlineStr">
        <is>
          <t>Beneficiario controlador identificado, pero a través de una estructura de más de un nivel o con participación indirecta que exigió reconstruir la cadena de control con documentos.</t>
        </is>
      </c>
      <c r="G43" s="208" t="inlineStr">
        <is>
          <t>Beneficiario controlador identificado de forma directa y documentada: persona física que posee al menos el 25 por ciento o que ejerce el control por otra vía acreditada.</t>
        </is>
      </c>
    </row>
    <row r="44" ht="18.75" customHeight="1" s="173">
      <c r="A44" s="208">
        <f>B44&amp;"-"&amp;C44</f>
        <v/>
      </c>
      <c r="B44" s="344" t="inlineStr">
        <is>
          <t>II - Tarjetas de crédito o servicios</t>
        </is>
      </c>
      <c r="C44" s="345" t="n">
        <v>14</v>
      </c>
      <c r="D44" s="208" t="inlineStr">
        <is>
          <t>País / jurisdicción donde se realiza la operación</t>
        </is>
      </c>
      <c r="E44" s="208" t="inlineStr">
        <is>
          <t>Operación con o desde jurisdicción de alto riesgo o no cooperante.</t>
        </is>
      </c>
      <c r="F44" s="208" t="inlineStr">
        <is>
          <t>Operación con jurisdicción extranjera de riesgo moderado y trazabilidad parcial.</t>
        </is>
      </c>
      <c r="G44" s="208" t="inlineStr">
        <is>
          <t>Operación íntegramente nacional con contraparte identificada.</t>
        </is>
      </c>
    </row>
    <row r="45" ht="18.75" customHeight="1" s="173">
      <c r="A45" s="208">
        <f>B45&amp;"-"&amp;C45</f>
        <v/>
      </c>
      <c r="B45" s="344" t="inlineStr">
        <is>
          <t>II - Tarjetas de crédito o servicios</t>
        </is>
      </c>
      <c r="C45" s="345" t="n">
        <v>15</v>
      </c>
      <c r="D45" s="208" t="inlineStr">
        <is>
          <t>Área geográfica nacional de la operación</t>
        </is>
      </c>
      <c r="E45" s="208" t="inlineStr">
        <is>
          <t>Operación en zona de alta incidencia delictiva, marginación o franja fronteriza.</t>
        </is>
      </c>
      <c r="F45" s="208" t="inlineStr">
        <is>
          <t>Operación en zona urbana con incidencia delictiva moderada.</t>
        </is>
      </c>
      <c r="G45" s="208" t="inlineStr">
        <is>
          <t>Operación en zona de bajo riesgo y presencia institucional consolidada.</t>
        </is>
      </c>
    </row>
    <row r="46" ht="18.75" customHeight="1" s="173">
      <c r="A46" s="208">
        <f>B46&amp;"-"&amp;C46</f>
        <v/>
      </c>
      <c r="B46" s="344" t="inlineStr">
        <is>
          <t>II - Tarjetas de crédito o servicios</t>
        </is>
      </c>
      <c r="C46" s="345" t="n">
        <v>16</v>
      </c>
      <c r="D46" s="208" t="inlineStr">
        <is>
          <t>Vínculo con jurisdicciones sancionadas, en conflicto o de acción requerida por el GAFI</t>
        </is>
      </c>
      <c r="E46" s="208" t="inlineStr">
        <is>
          <t>Existe exposición a jurisdicciones sancionadas, en conflicto armado o de acción requerida del GAFI, por la vía de disposiciones o pagos originados en el extranjero.</t>
        </is>
      </c>
      <c r="F46" s="208" t="inlineStr">
        <is>
          <t>Vínculo con jurisdicciones bajo monitoreo intensificado del GAFI o con deficiencias señaladas en la ENR, sin estar sancionadas ni en conflicto.</t>
        </is>
      </c>
      <c r="G46" s="208" t="inlineStr">
        <is>
          <t>Sin vínculo con jurisdicciones sancionadas, en conflicto o listadas por el GAFI; la operación y sus partes se ubican en plazas sin señalamientos.</t>
        </is>
      </c>
    </row>
    <row r="47" ht="18.75" customHeight="1" s="173">
      <c r="A47" s="208">
        <f>B47&amp;"-"&amp;C47</f>
        <v/>
      </c>
      <c r="B47" s="344" t="inlineStr">
        <is>
          <t>II - Tarjetas de crédito o servicios</t>
        </is>
      </c>
      <c r="C47" s="345" t="n">
        <v>17</v>
      </c>
      <c r="D47" s="208" t="inlineStr">
        <is>
          <t>Congruencia entre el domicilio del Cliente y el lugar de la operación</t>
        </is>
      </c>
      <c r="E47" s="208" t="inlineStr">
        <is>
          <t>El domicilio del tarjetahabiente no guarda relación económica ni logística con el lugar donde se realiza la línea de crédito o el servicio contratado, y no existe explicación documentada del desplazamiento.</t>
        </is>
      </c>
      <c r="F47" s="208" t="inlineStr">
        <is>
          <t>Existe distancia relevante entre el domicilio del tarjetahabiente y el lugar de la operación, con explicación plausible pero no soportada en el expediente.</t>
        </is>
      </c>
      <c r="G47" s="208" t="inlineStr">
        <is>
          <t>El domicilio del tarjetahabiente corresponde a la plaza donde se realiza la línea de crédito o el servicio contratado, o el desplazamiento está justificado y documentado.</t>
        </is>
      </c>
    </row>
    <row r="48" ht="18.75" customHeight="1" s="173">
      <c r="A48" s="208">
        <f>B48&amp;"-"&amp;C48</f>
        <v/>
      </c>
      <c r="B48" s="344" t="inlineStr">
        <is>
          <t>II - Tarjetas de crédito o servicios</t>
        </is>
      </c>
      <c r="C48" s="345" t="n">
        <v>18</v>
      </c>
      <c r="D48" s="208" t="inlineStr">
        <is>
          <t>Instrumento monetario</t>
        </is>
      </c>
      <c r="E48" s="208" t="inlineStr">
        <is>
          <t>Pagos y disposiciones en efectivo, o fondeo con instrumentos al portador o cripto.</t>
        </is>
      </c>
      <c r="F48" s="208" t="inlineStr">
        <is>
          <t>Mezcla de efectivo y transferencias en pagos y disposiciones.</t>
        </is>
      </c>
      <c r="G48" s="208" t="inlineStr">
        <is>
          <t>Uso electrónico trazable sin efectivo relevante.</t>
        </is>
      </c>
    </row>
    <row r="49" ht="18.75" customHeight="1" s="173">
      <c r="A49" s="208">
        <f>B49&amp;"-"&amp;C49</f>
        <v/>
      </c>
      <c r="B49" s="344" t="inlineStr">
        <is>
          <t>II - Tarjetas de crédito o servicios</t>
        </is>
      </c>
      <c r="C49" s="345" t="n">
        <v>19</v>
      </c>
      <c r="D49" s="208" t="inlineStr">
        <is>
          <t>Tipo de moneda</t>
        </is>
      </c>
      <c r="E49" s="208" t="inlineStr">
        <is>
          <t>Operación en moneda extranjera distinta al USD o en criptomonedas.</t>
        </is>
      </c>
      <c r="F49" s="208" t="inlineStr">
        <is>
          <t>Operación en dólares estadounidenses con soporte documental.</t>
        </is>
      </c>
      <c r="G49" s="208" t="inlineStr">
        <is>
          <t>Operación en pesos mexicanos plenamente trazable.</t>
        </is>
      </c>
    </row>
    <row r="50" ht="18.75" customHeight="1" s="173">
      <c r="A50" s="208">
        <f>B50&amp;"-"&amp;C50</f>
        <v/>
      </c>
      <c r="B50" s="344" t="inlineStr">
        <is>
          <t>II - Tarjetas de crédito o servicios</t>
        </is>
      </c>
      <c r="C50" s="345" t="n">
        <v>20</v>
      </c>
      <c r="D50" s="208" t="inlineStr">
        <is>
          <t>Monto frente a umbrales LFPIORPI</t>
        </is>
      </c>
      <c r="E50" s="208" t="inlineStr">
        <is>
          <t>Operación o acumulado supera 1,285 UMA (umbral de aviso) del periodo.</t>
        </is>
      </c>
      <c r="F50" s="208" t="inlineStr">
        <is>
          <t>Operación cercana al umbral de 1,285 UMA sin superarlo.</t>
        </is>
      </c>
      <c r="G50" s="208" t="inlineStr">
        <is>
          <t>Montos muy por debajo del umbral de 1,285 UMA.</t>
        </is>
      </c>
    </row>
    <row r="51" ht="18.75" customHeight="1" s="173">
      <c r="A51" s="208">
        <f>B51&amp;"-"&amp;C51</f>
        <v/>
      </c>
      <c r="B51" s="344" t="inlineStr">
        <is>
          <t>II - Tarjetas de crédito o servicios</t>
        </is>
      </c>
      <c r="C51" s="345" t="n">
        <v>21</v>
      </c>
      <c r="D51" s="208" t="inlineStr">
        <is>
          <t>Frecuencia (fraccionamiento)</t>
        </is>
      </c>
      <c r="E51" s="208" t="inlineStr">
        <is>
          <t>Disposiciones o pagos fraccionados y frecuentes para eludir el umbral.</t>
        </is>
      </c>
      <c r="F51" s="208" t="inlineStr">
        <is>
          <t>Frecuencia moderada con algún indicio de fraccionamiento.</t>
        </is>
      </c>
      <c r="G51" s="208" t="inlineStr">
        <is>
          <t>Uso regular sin señales de fraccionamiento.</t>
        </is>
      </c>
    </row>
    <row r="52" ht="18.75" customHeight="1" s="173">
      <c r="A52" s="208">
        <f>B52&amp;"-"&amp;C52</f>
        <v/>
      </c>
      <c r="B52" s="344" t="inlineStr">
        <is>
          <t>II - Tarjetas de crédito o servicios</t>
        </is>
      </c>
      <c r="C52" s="345" t="n">
        <v>22</v>
      </c>
      <c r="D52" s="208" t="inlineStr">
        <is>
          <t>Canal (presencial / no presencial / terceros)</t>
        </is>
      </c>
      <c r="E52" s="208" t="inlineStr">
        <is>
          <t>Contratación no presencial o a través de terceros sin contacto directo.</t>
        </is>
      </c>
      <c r="F52" s="208" t="inlineStr">
        <is>
          <t>Operación mixta, presencial e intermediada, con verificación parcial.</t>
        </is>
      </c>
      <c r="G52" s="208" t="inlineStr">
        <is>
          <t>Operación presencial con identificación directa del cliente.</t>
        </is>
      </c>
    </row>
    <row r="53" ht="18.75" customHeight="1" s="173">
      <c r="A53" s="208">
        <f>B53&amp;"-"&amp;C53</f>
        <v/>
      </c>
      <c r="B53" s="344" t="inlineStr">
        <is>
          <t>II - Tarjetas de crédito o servicios</t>
        </is>
      </c>
      <c r="C53" s="345" t="n">
        <v>23</v>
      </c>
      <c r="D53" s="208" t="inlineStr">
        <is>
          <t>Origen de los recursos</t>
        </is>
      </c>
      <c r="E53" s="208" t="inlineStr">
        <is>
          <t>Pagos a la tarjeta de origen no acreditable, en efectivo o informal.</t>
        </is>
      </c>
      <c r="F53" s="208" t="inlineStr">
        <is>
          <t>Pagos con origen parcialmente documentado.</t>
        </is>
      </c>
      <c r="G53" s="208" t="inlineStr">
        <is>
          <t>Pagos desde cuenta bancaria propia con origen acreditado.</t>
        </is>
      </c>
    </row>
    <row r="54" ht="18.75" customHeight="1" s="173">
      <c r="A54" s="208">
        <f>B54&amp;"-"&amp;C54</f>
        <v/>
      </c>
      <c r="B54" s="344" t="inlineStr">
        <is>
          <t>II - Tarjetas de crédito o servicios</t>
        </is>
      </c>
      <c r="C54" s="345" t="n">
        <v>24</v>
      </c>
      <c r="D54" s="208" t="inlineStr">
        <is>
          <t>Destino de los recursos</t>
        </is>
      </c>
      <c r="E54" s="208" t="inlineStr">
        <is>
          <t>Disposiciones dirigidas a terceros, al exterior o a cuentas sin justificación.</t>
        </is>
      </c>
      <c r="F54" s="208" t="inlineStr">
        <is>
          <t>Disposiciones a cuentas propias con justificación parcial.</t>
        </is>
      </c>
      <c r="G54" s="208" t="inlineStr">
        <is>
          <t>Consumo o pagos a comercios identificados y justificados.</t>
        </is>
      </c>
    </row>
    <row r="55" ht="18.75" customHeight="1" s="173">
      <c r="A55" s="208">
        <f>B55&amp;"-"&amp;C55</f>
        <v/>
      </c>
      <c r="B55" s="344" t="inlineStr">
        <is>
          <t>II - Tarjetas de crédito o servicios</t>
        </is>
      </c>
      <c r="C55" s="345" t="n">
        <v>25</v>
      </c>
      <c r="D55" s="208" t="inlineStr">
        <is>
          <t>Canales e instrumentos idóneos para el financiamiento al terrorismo</t>
        </is>
      </c>
      <c r="E55" s="208" t="inlineStr">
        <is>
          <t>La operación se realiza mediante contratación no presencial sin verificación reforzada y disposiciones en cajeros del extranjero, es decir, medios que permiten mover valor en montos pequeños sin identificar al destinatario final.</t>
        </is>
      </c>
      <c r="F55" s="208" t="inlineStr">
        <is>
          <t>Canal mixto o con verificación parcial: hay registro de la operación pero la trazabilidad del destinatario final es incompleta.</t>
        </is>
      </c>
      <c r="G55" s="208" t="inlineStr">
        <is>
          <t>Contratación presencial con identificación verificada y disposiciones en territorio nacional, con trazabilidad completa del origen y del destinatario.</t>
        </is>
      </c>
    </row>
    <row r="56" ht="18.75" customHeight="1" s="173">
      <c r="A56" s="208">
        <f>B56&amp;"-"&amp;C56</f>
        <v/>
      </c>
      <c r="B56" s="344" t="inlineStr">
        <is>
          <t>II - Tarjetas prepagadas y monederos electrónicos</t>
        </is>
      </c>
      <c r="C56" s="345" t="n">
        <v>1</v>
      </c>
      <c r="D56" s="208" t="inlineStr">
        <is>
          <t>Valor del producto o servicio</t>
        </is>
      </c>
      <c r="E56" s="208" t="inlineStr">
        <is>
          <t>Tarjetas o monederos de alto saldo, adquiridos de forma masiva.</t>
        </is>
      </c>
      <c r="F56" s="208" t="inlineStr">
        <is>
          <t>Tarjetas de saldo moderado con uso en varios comercios.</t>
        </is>
      </c>
      <c r="G56" s="208" t="inlineStr">
        <is>
          <t>Tarjetas de saldo bajo y límites acotados.</t>
        </is>
      </c>
    </row>
    <row r="57" ht="18.75" customHeight="1" s="173">
      <c r="A57" s="208">
        <f>B57&amp;"-"&amp;C57</f>
        <v/>
      </c>
      <c r="B57" s="344" t="inlineStr">
        <is>
          <t>II - Tarjetas prepagadas y monederos electrónicos</t>
        </is>
      </c>
      <c r="C57" s="345" t="n">
        <v>2</v>
      </c>
      <c r="D57" s="208" t="inlineStr">
        <is>
          <t>Liquidez / convertibilidad</t>
        </is>
      </c>
      <c r="E57" s="208" t="inlineStr">
        <is>
          <t>Saldos fácilmente convertibles en efectivo o retirables en cajeros o comercios.</t>
        </is>
      </c>
      <c r="F57" s="208" t="inlineStr">
        <is>
          <t>Conversión parcial de saldo a efectivo.</t>
        </is>
      </c>
      <c r="G57" s="208" t="inlineStr">
        <is>
          <t>Uso en consumo trazable sin retiro de efectivo relevante.</t>
        </is>
      </c>
    </row>
    <row r="58" ht="18.75" customHeight="1" s="173">
      <c r="A58" s="208">
        <f>B58&amp;"-"&amp;C58</f>
        <v/>
      </c>
      <c r="B58" s="344" t="inlineStr">
        <is>
          <t>II - Tarjetas prepagadas y monederos electrónicos</t>
        </is>
      </c>
      <c r="C58" s="345" t="n">
        <v>3</v>
      </c>
      <c r="D58" s="208" t="inlineStr">
        <is>
          <t>Anonimato / identificación del beneficiario</t>
        </is>
      </c>
      <c r="E58" s="208" t="inlineStr">
        <is>
          <t>Producto adquirido sin identificación plena, permite operar de forma anónima.</t>
        </is>
      </c>
      <c r="F58" s="208" t="inlineStr">
        <is>
          <t>Cliente identificado pero con uso por terceros no registrados.</t>
        </is>
      </c>
      <c r="G58" s="208" t="inlineStr">
        <is>
          <t>Producto nominativo con cliente plenamente identificado.</t>
        </is>
      </c>
    </row>
    <row r="59" ht="18.75" customHeight="1" s="173">
      <c r="A59" s="208">
        <f>B59&amp;"-"&amp;C59</f>
        <v/>
      </c>
      <c r="B59" s="344" t="inlineStr">
        <is>
          <t>II - Tarjetas prepagadas y monederos electrónicos</t>
        </is>
      </c>
      <c r="C59" s="345" t="n">
        <v>4</v>
      </c>
      <c r="D59" s="208" t="inlineStr">
        <is>
          <t>Transferencia u ocultamiento de valor</t>
        </is>
      </c>
      <c r="E59" s="208" t="inlineStr">
        <is>
          <t>Uso de monederos para dispersar fondos y romper la trazabilidad entre operaciones.</t>
        </is>
      </c>
      <c r="F59" s="208" t="inlineStr">
        <is>
          <t>Transferencias de saldo con trazabilidad parcial.</t>
        </is>
      </c>
      <c r="G59" s="208" t="inlineStr">
        <is>
          <t>Flujo cerrado desde cuenta bancaria identificada al consumo.</t>
        </is>
      </c>
    </row>
    <row r="60" ht="18.75" customHeight="1" s="173">
      <c r="A60" s="208">
        <f>B60&amp;"-"&amp;C60</f>
        <v/>
      </c>
      <c r="B60" s="344" t="inlineStr">
        <is>
          <t>II - Tarjetas prepagadas y monederos electrónicos</t>
        </is>
      </c>
      <c r="C60" s="345" t="n">
        <v>5</v>
      </c>
      <c r="D60" s="208" t="inlineStr">
        <is>
          <t>Exposición del acto u operación al financiamiento al terrorismo</t>
        </is>
      </c>
      <c r="E60" s="208" t="inlineStr">
        <is>
          <t>Emisión o fondeo de instrumentos anónimos que permiten trasladar valor a favor de personas listadas o de células en el extranjero sin dejar rastro del beneficiario.</t>
        </is>
      </c>
      <c r="F60" s="208" t="inlineStr">
        <is>
          <t>Compra de varias tarjetas por un mismo adquirente con uso disperso, sin coincidencias en listas.</t>
        </is>
      </c>
      <c r="G60" s="208" t="inlineStr">
        <is>
          <t>Tarjeta nominativa, fondeada por el titular y usada dentro de su perfil declarado.</t>
        </is>
      </c>
    </row>
    <row r="61" ht="18.75" customHeight="1" s="173">
      <c r="A61" s="208">
        <f>B61&amp;"-"&amp;C61</f>
        <v/>
      </c>
      <c r="B61" s="344" t="inlineStr">
        <is>
          <t>II - Tarjetas prepagadas y monederos electrónicos</t>
        </is>
      </c>
      <c r="C61" s="345" t="n">
        <v>6</v>
      </c>
      <c r="D61" s="208" t="inlineStr">
        <is>
          <t>Tipo de persona y estructura</t>
        </is>
      </c>
      <c r="E61" s="208" t="inlineStr">
        <is>
          <t>Adquisición por persona moral extranjera o estructura opaca, o compra masiva por terceros.</t>
        </is>
      </c>
      <c r="F61" s="208" t="inlineStr">
        <is>
          <t>Persona moral nacional con estructura poco transparente.</t>
        </is>
      </c>
      <c r="G61" s="208" t="inlineStr">
        <is>
          <t>Persona física o moral con estructura clara y beneficiario conocido.</t>
        </is>
      </c>
    </row>
    <row r="62" ht="18.75" customHeight="1" s="173">
      <c r="A62" s="208">
        <f>B62&amp;"-"&amp;C62</f>
        <v/>
      </c>
      <c r="B62" s="344" t="inlineStr">
        <is>
          <t>II - Tarjetas prepagadas y monederos electrónicos</t>
        </is>
      </c>
      <c r="C62" s="345" t="n">
        <v>7</v>
      </c>
      <c r="D62" s="208" t="inlineStr">
        <is>
          <t>Edad / fecha de constitución</t>
        </is>
      </c>
      <c r="E62" s="208" t="inlineStr">
        <is>
          <t>Adquirente muy joven o empresa de reciente creación con compras masivas.</t>
        </is>
      </c>
      <c r="F62" s="208" t="inlineStr">
        <is>
          <t>Empresa de antigüedad limitada o perfil atípico moderado.</t>
        </is>
      </c>
      <c r="G62" s="208" t="inlineStr">
        <is>
          <t>Adquirente consolidado con perfil congruente.</t>
        </is>
      </c>
    </row>
    <row r="63" ht="18.75" customHeight="1" s="173">
      <c r="A63" s="208">
        <f>B63&amp;"-"&amp;C63</f>
        <v/>
      </c>
      <c r="B63" s="344" t="inlineStr">
        <is>
          <t>II - Tarjetas prepagadas y monederos electrónicos</t>
        </is>
      </c>
      <c r="C63" s="345" t="n">
        <v>8</v>
      </c>
      <c r="D63" s="208" t="inlineStr">
        <is>
          <t>Actividad económica o giro (y fuente de ingresos)</t>
        </is>
      </c>
      <c r="E63" s="208" t="inlineStr">
        <is>
          <t>Giro informal, intensivo en efectivo o vinculado a otra actividad vulnerable.</t>
        </is>
      </c>
      <c r="F63" s="208" t="inlineStr">
        <is>
          <t>Actividad formal con componente de efectivo relevante.</t>
        </is>
      </c>
      <c r="G63" s="208" t="inlineStr">
        <is>
          <t>Actividad formal y comprobable congruente con el uso.</t>
        </is>
      </c>
    </row>
    <row r="64" ht="18.75" customHeight="1" s="173">
      <c r="A64" s="208">
        <f>B64&amp;"-"&amp;C64</f>
        <v/>
      </c>
      <c r="B64" s="344" t="inlineStr">
        <is>
          <t>II - Tarjetas prepagadas y monederos electrónicos</t>
        </is>
      </c>
      <c r="C64" s="345" t="n">
        <v>9</v>
      </c>
      <c r="D64" s="208" t="inlineStr">
        <is>
          <t>Nacionalidad del cliente</t>
        </is>
      </c>
      <c r="E64" s="208" t="inlineStr">
        <is>
          <t>Cliente de país en listas GAFI, sancionado o con régimen fiscal preferente.</t>
        </is>
      </c>
      <c r="F64" s="208" t="inlineStr">
        <is>
          <t>Cliente extranjero de país sin deficiencias GAFI pero con controles limitados.</t>
        </is>
      </c>
      <c r="G64" s="208" t="inlineStr">
        <is>
          <t>Cliente mexicano o de país cooperante, plenamente identificado.</t>
        </is>
      </c>
    </row>
    <row r="65" ht="18.75" customHeight="1" s="173">
      <c r="A65" s="208">
        <f>B65&amp;"-"&amp;C65</f>
        <v/>
      </c>
      <c r="B65" s="344" t="inlineStr">
        <is>
          <t>II - Tarjetas prepagadas y monederos electrónicos</t>
        </is>
      </c>
      <c r="C65" s="345" t="n">
        <v>10</v>
      </c>
      <c r="D65" s="208" t="inlineStr">
        <is>
          <t>País (y en su caso, estado) de residencia del cliente</t>
        </is>
      </c>
      <c r="E65" s="208" t="inlineStr">
        <is>
          <t>Residencia en jurisdicción de alto riesgo o domicilio no verificable.</t>
        </is>
      </c>
      <c r="F65" s="208" t="inlineStr">
        <is>
          <t>Residencia extranjera verificable o en entidad de riesgo moderado.</t>
        </is>
      </c>
      <c r="G65" s="208" t="inlineStr">
        <is>
          <t>Residencia nacional comprobable con documentación vigente.</t>
        </is>
      </c>
    </row>
    <row r="66" ht="18.75" customHeight="1" s="173">
      <c r="A66" s="208">
        <f>B66&amp;"-"&amp;C66</f>
        <v/>
      </c>
      <c r="B66" s="344" t="inlineStr">
        <is>
          <t>II - Tarjetas prepagadas y monederos electrónicos</t>
        </is>
      </c>
      <c r="C66" s="345" t="n">
        <v>11</v>
      </c>
      <c r="D66" s="208" t="inlineStr">
        <is>
          <t>Condición PEP</t>
        </is>
      </c>
      <c r="E66" s="208" t="inlineStr">
        <is>
          <t>PEP nacional o extranjera, o allegado/familiar de un PEP.</t>
        </is>
      </c>
      <c r="F66" s="208" t="inlineStr">
        <is>
          <t>Vínculos indirectos con un PEP o ex-PEP fuera del periodo sensible.</t>
        </is>
      </c>
      <c r="G66" s="208" t="inlineStr">
        <is>
          <t>Sin condición PEP ni vínculos con personas políticamente expuestas.</t>
        </is>
      </c>
    </row>
    <row r="67" ht="18.75" customHeight="1" s="173">
      <c r="A67" s="208">
        <f>B67&amp;"-"&amp;C67</f>
        <v/>
      </c>
      <c r="B67" s="344" t="inlineStr">
        <is>
          <t>II - Tarjetas prepagadas y monederos electrónicos</t>
        </is>
      </c>
      <c r="C67" s="345" t="n">
        <v>12</v>
      </c>
      <c r="D67" s="208" t="inlineStr">
        <is>
          <t>Coincidencia en listas de personas bloqueadas o de sanciones</t>
        </is>
      </c>
      <c r="E67" s="208" t="inlineStr">
        <is>
          <t>El adquirente, su beneficiario controlador, apoderado o contraparte aparece en la Lista de Personas Bloqueadas, en listas de sanciones o en listas de organizaciones terroristas, o presenta una coincidencia fuerte que no ha sido descartada.</t>
        </is>
      </c>
      <c r="F67" s="208" t="inlineStr">
        <is>
          <t>Se detecta coincidencia parcial u homonimia respecto del adquirente o de alguna persona relacionada, y el descarte se encuentra en proceso con constancia documental.</t>
        </is>
      </c>
      <c r="G67" s="208" t="inlineStr">
        <is>
          <t>Búsqueda realizada y documentada sobre el adquirente y sus personas relacionadas, sin coincidencias.</t>
        </is>
      </c>
    </row>
    <row r="68" ht="18.75" customHeight="1" s="173">
      <c r="A68" s="208">
        <f>B68&amp;"-"&amp;C68</f>
        <v/>
      </c>
      <c r="B68" s="344" t="inlineStr">
        <is>
          <t>II - Tarjetas prepagadas y monederos electrónicos</t>
        </is>
      </c>
      <c r="C68" s="345" t="n">
        <v>13</v>
      </c>
      <c r="D68" s="208" t="inlineStr">
        <is>
          <t>Identificación y complejidad del Beneficiario Controlador</t>
        </is>
      </c>
      <c r="E68" s="208" t="inlineStr">
        <is>
          <t>No se logra identificar al beneficiario controlador del adquirente, o la estructura interpone dos o más niveles societarios, fiduciarios o vehículos constituidos en el extranjero para llegar al 25 por ciento.</t>
        </is>
      </c>
      <c r="F68" s="208" t="inlineStr">
        <is>
          <t>Beneficiario controlador identificado, pero a través de una estructura de más de un nivel o con participación indirecta que exigió reconstruir la cadena de control con documentos.</t>
        </is>
      </c>
      <c r="G68" s="208" t="inlineStr">
        <is>
          <t>Beneficiario controlador identificado de forma directa y documentada: persona física que posee al menos el 25 por ciento o que ejerce el control por otra vía acreditada.</t>
        </is>
      </c>
    </row>
    <row r="69" ht="18.75" customHeight="1" s="173">
      <c r="A69" s="208">
        <f>B69&amp;"-"&amp;C69</f>
        <v/>
      </c>
      <c r="B69" s="344" t="inlineStr">
        <is>
          <t>II - Tarjetas prepagadas y monederos electrónicos</t>
        </is>
      </c>
      <c r="C69" s="345" t="n">
        <v>14</v>
      </c>
      <c r="D69" s="208" t="inlineStr">
        <is>
          <t>País / jurisdicción donde se realiza la operación</t>
        </is>
      </c>
      <c r="E69" s="208" t="inlineStr">
        <is>
          <t>Operación con o desde jurisdicción de alto riesgo o no cooperante.</t>
        </is>
      </c>
      <c r="F69" s="208" t="inlineStr">
        <is>
          <t>Operación con jurisdicción extranjera de riesgo moderado y trazabilidad parcial.</t>
        </is>
      </c>
      <c r="G69" s="208" t="inlineStr">
        <is>
          <t>Operación íntegramente nacional con contraparte identificada.</t>
        </is>
      </c>
    </row>
    <row r="70" ht="18.75" customHeight="1" s="173">
      <c r="A70" s="208">
        <f>B70&amp;"-"&amp;C70</f>
        <v/>
      </c>
      <c r="B70" s="344" t="inlineStr">
        <is>
          <t>II - Tarjetas prepagadas y monederos electrónicos</t>
        </is>
      </c>
      <c r="C70" s="345" t="n">
        <v>15</v>
      </c>
      <c r="D70" s="208" t="inlineStr">
        <is>
          <t>Área geográfica nacional de la operación</t>
        </is>
      </c>
      <c r="E70" s="208" t="inlineStr">
        <is>
          <t>Operación en zona de alta incidencia delictiva, marginación o franja fronteriza.</t>
        </is>
      </c>
      <c r="F70" s="208" t="inlineStr">
        <is>
          <t>Operación en zona urbana con incidencia delictiva moderada.</t>
        </is>
      </c>
      <c r="G70" s="208" t="inlineStr">
        <is>
          <t>Operación en zona de bajo riesgo y presencia institucional consolidada.</t>
        </is>
      </c>
    </row>
    <row r="71" ht="18.75" customHeight="1" s="173">
      <c r="A71" s="208">
        <f>B71&amp;"-"&amp;C71</f>
        <v/>
      </c>
      <c r="B71" s="344" t="inlineStr">
        <is>
          <t>II - Tarjetas prepagadas y monederos electrónicos</t>
        </is>
      </c>
      <c r="C71" s="345" t="n">
        <v>16</v>
      </c>
      <c r="D71" s="208" t="inlineStr">
        <is>
          <t>Vínculo con jurisdicciones sancionadas, en conflicto o de acción requerida por el GAFI</t>
        </is>
      </c>
      <c r="E71" s="208" t="inlineStr">
        <is>
          <t>Existe exposición a jurisdicciones sancionadas, en conflicto armado o de acción requerida del GAFI, por la vía de tarjetas fondeadas o utilizadas fuera del país.</t>
        </is>
      </c>
      <c r="F71" s="208" t="inlineStr">
        <is>
          <t>Vínculo con jurisdicciones bajo monitoreo intensificado del GAFI o con deficiencias señaladas en la ENR, sin estar sancionadas ni en conflicto.</t>
        </is>
      </c>
      <c r="G71" s="208" t="inlineStr">
        <is>
          <t>Sin vínculo con jurisdicciones sancionadas, en conflicto o listadas por el GAFI; la operación y sus partes se ubican en plazas sin señalamientos.</t>
        </is>
      </c>
    </row>
    <row r="72" ht="18.75" customHeight="1" s="173">
      <c r="A72" s="208">
        <f>B72&amp;"-"&amp;C72</f>
        <v/>
      </c>
      <c r="B72" s="344" t="inlineStr">
        <is>
          <t>II - Tarjetas prepagadas y monederos electrónicos</t>
        </is>
      </c>
      <c r="C72" s="345" t="n">
        <v>17</v>
      </c>
      <c r="D72" s="208" t="inlineStr">
        <is>
          <t>Congruencia entre el domicilio del Cliente y el lugar de la operación</t>
        </is>
      </c>
      <c r="E72" s="208" t="inlineStr">
        <is>
          <t>El domicilio del adquirente no guarda relación económica ni logística con el lugar donde se realiza la emisión o el abono de la tarjeta prepagada, y no existe explicación documentada del desplazamiento.</t>
        </is>
      </c>
      <c r="F72" s="208" t="inlineStr">
        <is>
          <t>Existe distancia relevante entre el domicilio del adquirente y el lugar de la operación, con explicación plausible pero no soportada en el expediente.</t>
        </is>
      </c>
      <c r="G72" s="208" t="inlineStr">
        <is>
          <t>El domicilio del adquirente corresponde a la plaza donde se realiza la emisión o el abono de la tarjeta prepagada, o el desplazamiento está justificado y documentado.</t>
        </is>
      </c>
    </row>
    <row r="73" ht="18.75" customHeight="1" s="173">
      <c r="A73" s="208">
        <f>B73&amp;"-"&amp;C73</f>
        <v/>
      </c>
      <c r="B73" s="344" t="inlineStr">
        <is>
          <t>II - Tarjetas prepagadas y monederos electrónicos</t>
        </is>
      </c>
      <c r="C73" s="345" t="n">
        <v>18</v>
      </c>
      <c r="D73" s="208" t="inlineStr">
        <is>
          <t>Instrumento monetario</t>
        </is>
      </c>
      <c r="E73" s="208" t="inlineStr">
        <is>
          <t>Recargas y retiros en efectivo, o fondeo con instrumentos al portador o cripto.</t>
        </is>
      </c>
      <c r="F73" s="208" t="inlineStr">
        <is>
          <t>Recargas mixtas de efectivo y transferencia.</t>
        </is>
      </c>
      <c r="G73" s="208" t="inlineStr">
        <is>
          <t>Recarga desde cuenta bancaria trazable.</t>
        </is>
      </c>
    </row>
    <row r="74" ht="18.75" customHeight="1" s="173">
      <c r="A74" s="208">
        <f>B74&amp;"-"&amp;C74</f>
        <v/>
      </c>
      <c r="B74" s="344" t="inlineStr">
        <is>
          <t>II - Tarjetas prepagadas y monederos electrónicos</t>
        </is>
      </c>
      <c r="C74" s="345" t="n">
        <v>19</v>
      </c>
      <c r="D74" s="208" t="inlineStr">
        <is>
          <t>Tipo de moneda</t>
        </is>
      </c>
      <c r="E74" s="208" t="inlineStr">
        <is>
          <t>Operación en moneda extranjera distinta al USD o en criptomonedas.</t>
        </is>
      </c>
      <c r="F74" s="208" t="inlineStr">
        <is>
          <t>Operación en dólares estadounidenses con soporte documental.</t>
        </is>
      </c>
      <c r="G74" s="208" t="inlineStr">
        <is>
          <t>Operación en pesos mexicanos plenamente trazable.</t>
        </is>
      </c>
    </row>
    <row r="75" ht="18.75" customHeight="1" s="173">
      <c r="A75" s="208">
        <f>B75&amp;"-"&amp;C75</f>
        <v/>
      </c>
      <c r="B75" s="344" t="inlineStr">
        <is>
          <t>II - Tarjetas prepagadas y monederos electrónicos</t>
        </is>
      </c>
      <c r="C75" s="345" t="n">
        <v>20</v>
      </c>
      <c r="D75" s="208" t="inlineStr">
        <is>
          <t>Monto frente a umbrales LFPIORPI</t>
        </is>
      </c>
      <c r="E75" s="208" t="inlineStr">
        <is>
          <t>Recargas o acumulado supera 645 UMA (umbral de aviso) del periodo.</t>
        </is>
      </c>
      <c r="F75" s="208" t="inlineStr">
        <is>
          <t>Operación cercana al umbral de 645 UMA sin superarlo.</t>
        </is>
      </c>
      <c r="G75" s="208" t="inlineStr">
        <is>
          <t>Montos muy por debajo del umbral de 645 UMA.</t>
        </is>
      </c>
    </row>
    <row r="76" ht="18.75" customHeight="1" s="173">
      <c r="A76" s="208">
        <f>B76&amp;"-"&amp;C76</f>
        <v/>
      </c>
      <c r="B76" s="344" t="inlineStr">
        <is>
          <t>II - Tarjetas prepagadas y monederos electrónicos</t>
        </is>
      </c>
      <c r="C76" s="345" t="n">
        <v>21</v>
      </c>
      <c r="D76" s="208" t="inlineStr">
        <is>
          <t>Frecuencia (fraccionamiento)</t>
        </is>
      </c>
      <c r="E76" s="208" t="inlineStr">
        <is>
          <t>Recargas frecuentes o fraccionadas en múltiples tarjetas para eludir el umbral.</t>
        </is>
      </c>
      <c r="F76" s="208" t="inlineStr">
        <is>
          <t>Frecuencia moderada con algún indicio de fraccionamiento.</t>
        </is>
      </c>
      <c r="G76" s="208" t="inlineStr">
        <is>
          <t>Uso esporádico sin señales de fraccionamiento.</t>
        </is>
      </c>
    </row>
    <row r="77" ht="18.75" customHeight="1" s="173">
      <c r="A77" s="208">
        <f>B77&amp;"-"&amp;C77</f>
        <v/>
      </c>
      <c r="B77" s="344" t="inlineStr">
        <is>
          <t>II - Tarjetas prepagadas y monederos electrónicos</t>
        </is>
      </c>
      <c r="C77" s="345" t="n">
        <v>22</v>
      </c>
      <c r="D77" s="208" t="inlineStr">
        <is>
          <t>Canal (presencial / no presencial / terceros)</t>
        </is>
      </c>
      <c r="E77" s="208" t="inlineStr">
        <is>
          <t>Contratación no presencial o a través de terceros sin contacto directo.</t>
        </is>
      </c>
      <c r="F77" s="208" t="inlineStr">
        <is>
          <t>Operación mixta, presencial e intermediada, con verificación parcial.</t>
        </is>
      </c>
      <c r="G77" s="208" t="inlineStr">
        <is>
          <t>Operación presencial con identificación directa del cliente.</t>
        </is>
      </c>
    </row>
    <row r="78" ht="18.75" customHeight="1" s="173">
      <c r="A78" s="208">
        <f>B78&amp;"-"&amp;C78</f>
        <v/>
      </c>
      <c r="B78" s="344" t="inlineStr">
        <is>
          <t>II - Tarjetas prepagadas y monederos electrónicos</t>
        </is>
      </c>
      <c r="C78" s="345" t="n">
        <v>23</v>
      </c>
      <c r="D78" s="208" t="inlineStr">
        <is>
          <t>Origen de los recursos</t>
        </is>
      </c>
      <c r="E78" s="208" t="inlineStr">
        <is>
          <t>Recargas de origen no acreditable, en efectivo o informal.</t>
        </is>
      </c>
      <c r="F78" s="208" t="inlineStr">
        <is>
          <t>Recargas con origen parcialmente documentado.</t>
        </is>
      </c>
      <c r="G78" s="208" t="inlineStr">
        <is>
          <t>Recargas desde cuenta bancaria propia con origen acreditado.</t>
        </is>
      </c>
    </row>
    <row r="79" ht="18.75" customHeight="1" s="173">
      <c r="A79" s="208">
        <f>B79&amp;"-"&amp;C79</f>
        <v/>
      </c>
      <c r="B79" s="344" t="inlineStr">
        <is>
          <t>II - Tarjetas prepagadas y monederos electrónicos</t>
        </is>
      </c>
      <c r="C79" s="345" t="n">
        <v>24</v>
      </c>
      <c r="D79" s="208" t="inlineStr">
        <is>
          <t>Destino de los recursos</t>
        </is>
      </c>
      <c r="E79" s="208" t="inlineStr">
        <is>
          <t>Saldos dirigidos a terceros, al exterior o a retiros sin justificación.</t>
        </is>
      </c>
      <c r="F79" s="208" t="inlineStr">
        <is>
          <t>Saldos a cuentas propias con justificación parcial.</t>
        </is>
      </c>
      <c r="G79" s="208" t="inlineStr">
        <is>
          <t>Consumo en comercios identificados y justificados.</t>
        </is>
      </c>
    </row>
    <row r="80" ht="18.75" customHeight="1" s="173">
      <c r="A80" s="208">
        <f>B80&amp;"-"&amp;C80</f>
        <v/>
      </c>
      <c r="B80" s="344" t="inlineStr">
        <is>
          <t>II - Tarjetas prepagadas y monederos electrónicos</t>
        </is>
      </c>
      <c r="C80" s="345" t="n">
        <v>25</v>
      </c>
      <c r="D80" s="208" t="inlineStr">
        <is>
          <t>Canales e instrumentos idóneos para el financiamiento al terrorismo</t>
        </is>
      </c>
      <c r="E80" s="208" t="inlineStr">
        <is>
          <t>La operación se realiza mediante compra anónima en punto de venta, fondeo en efectivo y uso transfronterizo, es decir, medios que permiten mover valor en montos pequeños sin identificar al destinatario final.</t>
        </is>
      </c>
      <c r="F80" s="208" t="inlineStr">
        <is>
          <t>Canal mixto o con verificación parcial: hay registro de la operación pero la trazabilidad del destinatario final es incompleta.</t>
        </is>
      </c>
      <c r="G80" s="208" t="inlineStr">
        <is>
          <t>Emisión nominativa con identificación previa y fondeo desde cuenta bancaria del titular, con trazabilidad completa del origen y del destinatario.</t>
        </is>
      </c>
    </row>
    <row r="81" ht="18.75" customHeight="1" s="173">
      <c r="A81" s="208">
        <f>B81&amp;"-"&amp;C81</f>
        <v/>
      </c>
      <c r="B81" s="344" t="inlineStr">
        <is>
          <t>III - Cheques de viajero</t>
        </is>
      </c>
      <c r="C81" s="345" t="n">
        <v>1</v>
      </c>
      <c r="D81" s="208" t="inlineStr">
        <is>
          <t>Valor del producto o servicio</t>
        </is>
      </c>
      <c r="E81" s="208" t="inlineStr">
        <is>
          <t>Cheques de alto monto o gran volumen, muy por encima del uso turístico.</t>
        </is>
      </c>
      <c r="F81" s="208" t="inlineStr">
        <is>
          <t>Cheques de monto moderado de uso ocasional.</t>
        </is>
      </c>
      <c r="G81" s="208" t="inlineStr">
        <is>
          <t>Cheques de bajo monto acordes a un viaje típico.</t>
        </is>
      </c>
    </row>
    <row r="82" ht="18.75" customHeight="1" s="173">
      <c r="A82" s="208">
        <f>B82&amp;"-"&amp;C82</f>
        <v/>
      </c>
      <c r="B82" s="344" t="inlineStr">
        <is>
          <t>III - Cheques de viajero</t>
        </is>
      </c>
      <c r="C82" s="345" t="n">
        <v>2</v>
      </c>
      <c r="D82" s="208" t="inlineStr">
        <is>
          <t>Liquidez / convertibilidad</t>
        </is>
      </c>
      <c r="E82" s="208" t="inlineStr">
        <is>
          <t>Instrumentos fácilmente canjeables por efectivo en múltiples países.</t>
        </is>
      </c>
      <c r="F82" s="208" t="inlineStr">
        <is>
          <t>Canje parcial con cierta trazabilidad.</t>
        </is>
      </c>
      <c r="G82" s="208" t="inlineStr">
        <is>
          <t>Cheques canjeados a cuenta bancaria del cliente identificado.</t>
        </is>
      </c>
    </row>
    <row r="83" ht="18.75" customHeight="1" s="173">
      <c r="A83" s="208">
        <f>B83&amp;"-"&amp;C83</f>
        <v/>
      </c>
      <c r="B83" s="344" t="inlineStr">
        <is>
          <t>III - Cheques de viajero</t>
        </is>
      </c>
      <c r="C83" s="345" t="n">
        <v>3</v>
      </c>
      <c r="D83" s="208" t="inlineStr">
        <is>
          <t>Anonimato / identificación del beneficiario</t>
        </is>
      </c>
      <c r="E83" s="208" t="inlineStr">
        <is>
          <t>Instrumentos al portador que permiten operar sin identificar al beneficiario final.</t>
        </is>
      </c>
      <c r="F83" s="208" t="inlineStr">
        <is>
          <t>Cliente identificado pero con endoso a terceros ocasionales.</t>
        </is>
      </c>
      <c r="G83" s="208" t="inlineStr">
        <is>
          <t>Beneficiario identificado y coincidente con el adquirente.</t>
        </is>
      </c>
    </row>
    <row r="84" ht="18.75" customHeight="1" s="173">
      <c r="A84" s="208">
        <f>B84&amp;"-"&amp;C84</f>
        <v/>
      </c>
      <c r="B84" s="344" t="inlineStr">
        <is>
          <t>III - Cheques de viajero</t>
        </is>
      </c>
      <c r="C84" s="345" t="n">
        <v>4</v>
      </c>
      <c r="D84" s="208" t="inlineStr">
        <is>
          <t>Transferencia u ocultamiento de valor</t>
        </is>
      </c>
      <c r="E84" s="208" t="inlineStr">
        <is>
          <t>Uso de cheques para mover valor de forma transfronteriza sin trazabilidad.</t>
        </is>
      </c>
      <c r="F84" s="208" t="inlineStr">
        <is>
          <t>Movimiento internacional con trazabilidad parcial.</t>
        </is>
      </c>
      <c r="G84" s="208" t="inlineStr">
        <is>
          <t>Uso doméstico trazable con canje a cuenta propia.</t>
        </is>
      </c>
    </row>
    <row r="85" ht="18.75" customHeight="1" s="173">
      <c r="A85" s="208">
        <f>B85&amp;"-"&amp;C85</f>
        <v/>
      </c>
      <c r="B85" s="344" t="inlineStr">
        <is>
          <t>III - Cheques de viajero</t>
        </is>
      </c>
      <c r="C85" s="345" t="n">
        <v>5</v>
      </c>
      <c r="D85" s="208" t="inlineStr">
        <is>
          <t>Exposición del acto u operación al financiamiento al terrorismo</t>
        </is>
      </c>
      <c r="E85" s="208" t="inlineStr">
        <is>
          <t>Emisión de documentos que se cobran en jurisdicciones en conflicto o a favor de personas señaladas en listas de sanciones.</t>
        </is>
      </c>
      <c r="F85" s="208" t="inlineStr">
        <is>
          <t>Cobro en el extranjero por terceros con parentesco o relación declarada, sin coincidencias en listas.</t>
        </is>
      </c>
      <c r="G85" s="208" t="inlineStr">
        <is>
          <t>Emisión y cobro nominativos, dentro del país o en destinos turísticos sin señalamientos.</t>
        </is>
      </c>
    </row>
    <row r="86" ht="18.75" customHeight="1" s="173">
      <c r="A86" s="208">
        <f>B86&amp;"-"&amp;C86</f>
        <v/>
      </c>
      <c r="B86" s="344" t="inlineStr">
        <is>
          <t>III - Cheques de viajero</t>
        </is>
      </c>
      <c r="C86" s="345" t="n">
        <v>6</v>
      </c>
      <c r="D86" s="208" t="inlineStr">
        <is>
          <t>Tipo de persona y estructura</t>
        </is>
      </c>
      <c r="E86" s="208" t="inlineStr">
        <is>
          <t>Adquirente persona moral extranjera, fideicomiso o estructura opaca.</t>
        </is>
      </c>
      <c r="F86" s="208" t="inlineStr">
        <is>
          <t>Persona moral nacional con estructura poco transparente.</t>
        </is>
      </c>
      <c r="G86" s="208" t="inlineStr">
        <is>
          <t>Persona física identificada con propósito de viaje congruente.</t>
        </is>
      </c>
    </row>
    <row r="87" ht="18.75" customHeight="1" s="173">
      <c r="A87" s="208">
        <f>B87&amp;"-"&amp;C87</f>
        <v/>
      </c>
      <c r="B87" s="344" t="inlineStr">
        <is>
          <t>III - Cheques de viajero</t>
        </is>
      </c>
      <c r="C87" s="345" t="n">
        <v>7</v>
      </c>
      <c r="D87" s="208" t="inlineStr">
        <is>
          <t>Edad / fecha de constitución</t>
        </is>
      </c>
      <c r="E87" s="208" t="inlineStr">
        <is>
          <t>Adquirente muy joven o empresa de reciente creación con compras elevadas.</t>
        </is>
      </c>
      <c r="F87" s="208" t="inlineStr">
        <is>
          <t>Perfil moderadamente atípico respecto al monto adquirido.</t>
        </is>
      </c>
      <c r="G87" s="208" t="inlineStr">
        <is>
          <t>Perfil y edad congruentes con el uso turístico.</t>
        </is>
      </c>
    </row>
    <row r="88" ht="18.75" customHeight="1" s="173">
      <c r="A88" s="208">
        <f>B88&amp;"-"&amp;C88</f>
        <v/>
      </c>
      <c r="B88" s="344" t="inlineStr">
        <is>
          <t>III - Cheques de viajero</t>
        </is>
      </c>
      <c r="C88" s="345" t="n">
        <v>8</v>
      </c>
      <c r="D88" s="208" t="inlineStr">
        <is>
          <t>Actividad económica o giro (y fuente de ingresos)</t>
        </is>
      </c>
      <c r="E88" s="208" t="inlineStr">
        <is>
          <t>Giro informal, intensivo en efectivo o vinculado a otra actividad vulnerable.</t>
        </is>
      </c>
      <c r="F88" s="208" t="inlineStr">
        <is>
          <t>Actividad formal con componente de efectivo relevante.</t>
        </is>
      </c>
      <c r="G88" s="208" t="inlineStr">
        <is>
          <t>Actividad formal y comprobable congruente con el viaje.</t>
        </is>
      </c>
    </row>
    <row r="89" ht="18.75" customHeight="1" s="173">
      <c r="A89" s="208">
        <f>B89&amp;"-"&amp;C89</f>
        <v/>
      </c>
      <c r="B89" s="344" t="inlineStr">
        <is>
          <t>III - Cheques de viajero</t>
        </is>
      </c>
      <c r="C89" s="345" t="n">
        <v>9</v>
      </c>
      <c r="D89" s="208" t="inlineStr">
        <is>
          <t>Nacionalidad del cliente</t>
        </is>
      </c>
      <c r="E89" s="208" t="inlineStr">
        <is>
          <t>Cliente de país en listas GAFI, sancionado o con régimen fiscal preferente.</t>
        </is>
      </c>
      <c r="F89" s="208" t="inlineStr">
        <is>
          <t>Cliente extranjero de país sin deficiencias GAFI pero con controles limitados.</t>
        </is>
      </c>
      <c r="G89" s="208" t="inlineStr">
        <is>
          <t>Cliente mexicano o de país cooperante, plenamente identificado.</t>
        </is>
      </c>
    </row>
    <row r="90" ht="18.75" customHeight="1" s="173">
      <c r="A90" s="208">
        <f>B90&amp;"-"&amp;C90</f>
        <v/>
      </c>
      <c r="B90" s="344" t="inlineStr">
        <is>
          <t>III - Cheques de viajero</t>
        </is>
      </c>
      <c r="C90" s="345" t="n">
        <v>10</v>
      </c>
      <c r="D90" s="208" t="inlineStr">
        <is>
          <t>País (y en su caso, estado) de residencia del cliente</t>
        </is>
      </c>
      <c r="E90" s="208" t="inlineStr">
        <is>
          <t>Residencia en jurisdicción de alto riesgo o domicilio no verificable.</t>
        </is>
      </c>
      <c r="F90" s="208" t="inlineStr">
        <is>
          <t>Residencia extranjera verificable o en entidad de riesgo moderado.</t>
        </is>
      </c>
      <c r="G90" s="208" t="inlineStr">
        <is>
          <t>Residencia nacional comprobable con documentación vigente.</t>
        </is>
      </c>
    </row>
    <row r="91" ht="18.75" customHeight="1" s="173">
      <c r="A91" s="208">
        <f>B91&amp;"-"&amp;C91</f>
        <v/>
      </c>
      <c r="B91" s="344" t="inlineStr">
        <is>
          <t>III - Cheques de viajero</t>
        </is>
      </c>
      <c r="C91" s="345" t="n">
        <v>11</v>
      </c>
      <c r="D91" s="208" t="inlineStr">
        <is>
          <t>Condición PEP</t>
        </is>
      </c>
      <c r="E91" s="208" t="inlineStr">
        <is>
          <t>PEP nacional o extranjera, o allegado/familiar de un PEP.</t>
        </is>
      </c>
      <c r="F91" s="208" t="inlineStr">
        <is>
          <t>Vínculos indirectos con un PEP o ex-PEP fuera del periodo sensible.</t>
        </is>
      </c>
      <c r="G91" s="208" t="inlineStr">
        <is>
          <t>Sin condición PEP ni vínculos con personas políticamente expuestas.</t>
        </is>
      </c>
    </row>
    <row r="92" ht="18.75" customHeight="1" s="173">
      <c r="A92" s="208">
        <f>B92&amp;"-"&amp;C92</f>
        <v/>
      </c>
      <c r="B92" s="344" t="inlineStr">
        <is>
          <t>III - Cheques de viajero</t>
        </is>
      </c>
      <c r="C92" s="345" t="n">
        <v>12</v>
      </c>
      <c r="D92" s="208" t="inlineStr">
        <is>
          <t>Coincidencia en listas de personas bloqueadas o de sanciones</t>
        </is>
      </c>
      <c r="E92" s="208" t="inlineStr">
        <is>
          <t>El adquirente, su beneficiario controlador, apoderado o contraparte aparece en la Lista de Personas Bloqueadas, en listas de sanciones o en listas de organizaciones terroristas, o presenta una coincidencia fuerte que no ha sido descartada.</t>
        </is>
      </c>
      <c r="F92" s="208" t="inlineStr">
        <is>
          <t>Se detecta coincidencia parcial u homonimia respecto del adquirente o de alguna persona relacionada, y el descarte se encuentra en proceso con constancia documental.</t>
        </is>
      </c>
      <c r="G92" s="208" t="inlineStr">
        <is>
          <t>Búsqueda realizada y documentada sobre el adquirente y sus personas relacionadas, sin coincidencias.</t>
        </is>
      </c>
    </row>
    <row r="93" ht="18.75" customHeight="1" s="173">
      <c r="A93" s="208">
        <f>B93&amp;"-"&amp;C93</f>
        <v/>
      </c>
      <c r="B93" s="344" t="inlineStr">
        <is>
          <t>III - Cheques de viajero</t>
        </is>
      </c>
      <c r="C93" s="345" t="n">
        <v>13</v>
      </c>
      <c r="D93" s="208" t="inlineStr">
        <is>
          <t>Identificación y complejidad del Beneficiario Controlador</t>
        </is>
      </c>
      <c r="E93" s="208" t="inlineStr">
        <is>
          <t>No se logra identificar al beneficiario controlador del adquirente, o la estructura interpone dos o más niveles societarios, fiduciarios o vehículos constituidos en el extranjero para llegar al 25 por ciento.</t>
        </is>
      </c>
      <c r="F93" s="208" t="inlineStr">
        <is>
          <t>Beneficiario controlador identificado, pero a través de una estructura de más de un nivel o con participación indirecta que exigió reconstruir la cadena de control con documentos.</t>
        </is>
      </c>
      <c r="G93" s="208" t="inlineStr">
        <is>
          <t>Beneficiario controlador identificado de forma directa y documentada: persona física que posee al menos el 25 por ciento o que ejerce el control por otra vía acreditada.</t>
        </is>
      </c>
    </row>
    <row r="94" ht="18.75" customHeight="1" s="173">
      <c r="A94" s="208">
        <f>B94&amp;"-"&amp;C94</f>
        <v/>
      </c>
      <c r="B94" s="344" t="inlineStr">
        <is>
          <t>III - Cheques de viajero</t>
        </is>
      </c>
      <c r="C94" s="345" t="n">
        <v>14</v>
      </c>
      <c r="D94" s="208" t="inlineStr">
        <is>
          <t>País / jurisdicción donde se realiza la operación</t>
        </is>
      </c>
      <c r="E94" s="208" t="inlineStr">
        <is>
          <t>Operación con o desde jurisdicción de alto riesgo o no cooperante.</t>
        </is>
      </c>
      <c r="F94" s="208" t="inlineStr">
        <is>
          <t>Operación con jurisdicción extranjera de riesgo moderado y trazabilidad parcial.</t>
        </is>
      </c>
      <c r="G94" s="208" t="inlineStr">
        <is>
          <t>Operación íntegramente nacional con contraparte identificada.</t>
        </is>
      </c>
    </row>
    <row r="95" ht="18.75" customHeight="1" s="173">
      <c r="A95" s="208">
        <f>B95&amp;"-"&amp;C95</f>
        <v/>
      </c>
      <c r="B95" s="344" t="inlineStr">
        <is>
          <t>III - Cheques de viajero</t>
        </is>
      </c>
      <c r="C95" s="345" t="n">
        <v>15</v>
      </c>
      <c r="D95" s="208" t="inlineStr">
        <is>
          <t>Área geográfica nacional de la operación</t>
        </is>
      </c>
      <c r="E95" s="208" t="inlineStr">
        <is>
          <t>Operación en zona de alta incidencia delictiva, marginación o franja fronteriza.</t>
        </is>
      </c>
      <c r="F95" s="208" t="inlineStr">
        <is>
          <t>Operación en zona urbana con incidencia delictiva moderada.</t>
        </is>
      </c>
      <c r="G95" s="208" t="inlineStr">
        <is>
          <t>Operación en zona de bajo riesgo y presencia institucional consolidada.</t>
        </is>
      </c>
    </row>
    <row r="96" ht="18.75" customHeight="1" s="173">
      <c r="A96" s="208">
        <f>B96&amp;"-"&amp;C96</f>
        <v/>
      </c>
      <c r="B96" s="344" t="inlineStr">
        <is>
          <t>III - Cheques de viajero</t>
        </is>
      </c>
      <c r="C96" s="345" t="n">
        <v>16</v>
      </c>
      <c r="D96" s="208" t="inlineStr">
        <is>
          <t>Vínculo con jurisdicciones sancionadas, en conflicto o de acción requerida por el GAFI</t>
        </is>
      </c>
      <c r="E96" s="208" t="inlineStr">
        <is>
          <t>Existe exposición a jurisdicciones sancionadas, en conflicto armado o de acción requerida del GAFI, por la vía de cobro del documento en el extranjero.</t>
        </is>
      </c>
      <c r="F96" s="208" t="inlineStr">
        <is>
          <t>Vínculo con jurisdicciones bajo monitoreo intensificado del GAFI o con deficiencias señaladas en la ENR, sin estar sancionadas ni en conflicto.</t>
        </is>
      </c>
      <c r="G96" s="208" t="inlineStr">
        <is>
          <t>Sin vínculo con jurisdicciones sancionadas, en conflicto o listadas por el GAFI; la operación y sus partes se ubican en plazas sin señalamientos.</t>
        </is>
      </c>
    </row>
    <row r="97" ht="18.75" customHeight="1" s="173">
      <c r="A97" s="208">
        <f>B97&amp;"-"&amp;C97</f>
        <v/>
      </c>
      <c r="B97" s="344" t="inlineStr">
        <is>
          <t>III - Cheques de viajero</t>
        </is>
      </c>
      <c r="C97" s="345" t="n">
        <v>17</v>
      </c>
      <c r="D97" s="208" t="inlineStr">
        <is>
          <t>Congruencia entre el domicilio del Cliente y el lugar de la operación</t>
        </is>
      </c>
      <c r="E97" s="208" t="inlineStr">
        <is>
          <t>El domicilio del adquirente no guarda relación económica ni logística con el lugar donde se realiza la emisión o el pago del cheque de viajero, y no existe explicación documentada del desplazamiento.</t>
        </is>
      </c>
      <c r="F97" s="208" t="inlineStr">
        <is>
          <t>Existe distancia relevante entre el domicilio del adquirente y el lugar de la operación, con explicación plausible pero no soportada en el expediente.</t>
        </is>
      </c>
      <c r="G97" s="208" t="inlineStr">
        <is>
          <t>El domicilio del adquirente corresponde a la plaza donde se realiza la emisión o el pago del cheque de viajero, o el desplazamiento está justificado y documentado.</t>
        </is>
      </c>
    </row>
    <row r="98" ht="18.75" customHeight="1" s="173">
      <c r="A98" s="208">
        <f>B98&amp;"-"&amp;C98</f>
        <v/>
      </c>
      <c r="B98" s="344" t="inlineStr">
        <is>
          <t>III - Cheques de viajero</t>
        </is>
      </c>
      <c r="C98" s="345" t="n">
        <v>18</v>
      </c>
      <c r="D98" s="208" t="inlineStr">
        <is>
          <t>Instrumento monetario</t>
        </is>
      </c>
      <c r="E98" s="208" t="inlineStr">
        <is>
          <t>Adquisición y canje en efectivo o con instrumentos al portador.</t>
        </is>
      </c>
      <c r="F98" s="208" t="inlineStr">
        <is>
          <t>Mezcla de efectivo y transferencia en la adquisición.</t>
        </is>
      </c>
      <c r="G98" s="208" t="inlineStr">
        <is>
          <t>Adquisición mediante transferencia desde cuenta bancaria.</t>
        </is>
      </c>
    </row>
    <row r="99" ht="18.75" customHeight="1" s="173">
      <c r="A99" s="208">
        <f>B99&amp;"-"&amp;C99</f>
        <v/>
      </c>
      <c r="B99" s="344" t="inlineStr">
        <is>
          <t>III - Cheques de viajero</t>
        </is>
      </c>
      <c r="C99" s="345" t="n">
        <v>19</v>
      </c>
      <c r="D99" s="208" t="inlineStr">
        <is>
          <t>Tipo de moneda</t>
        </is>
      </c>
      <c r="E99" s="208" t="inlineStr">
        <is>
          <t>Operación en moneda extranjera distinta al USD o en criptomonedas.</t>
        </is>
      </c>
      <c r="F99" s="208" t="inlineStr">
        <is>
          <t>Operación en dólares estadounidenses con soporte documental.</t>
        </is>
      </c>
      <c r="G99" s="208" t="inlineStr">
        <is>
          <t>Operación en pesos mexicanos plenamente trazable.</t>
        </is>
      </c>
    </row>
    <row r="100" ht="18.75" customHeight="1" s="173">
      <c r="A100" s="208">
        <f>B100&amp;"-"&amp;C100</f>
        <v/>
      </c>
      <c r="B100" s="344" t="inlineStr">
        <is>
          <t>III - Cheques de viajero</t>
        </is>
      </c>
      <c r="C100" s="345" t="n">
        <v>20</v>
      </c>
      <c r="D100" s="208" t="inlineStr">
        <is>
          <t>Monto frente a umbrales LFPIORPI</t>
        </is>
      </c>
      <c r="E100" s="208" t="inlineStr">
        <is>
          <t>Adquisición o acumulado supera 645 UMA (umbral de aviso) del periodo.</t>
        </is>
      </c>
      <c r="F100" s="208" t="inlineStr">
        <is>
          <t>Operación cercana al umbral de 645 UMA sin superarlo.</t>
        </is>
      </c>
      <c r="G100" s="208" t="inlineStr">
        <is>
          <t>Montos muy por debajo del umbral de 645 UMA.</t>
        </is>
      </c>
    </row>
    <row r="101" ht="18.75" customHeight="1" s="173">
      <c r="A101" s="208">
        <f>B101&amp;"-"&amp;C101</f>
        <v/>
      </c>
      <c r="B101" s="344" t="inlineStr">
        <is>
          <t>III - Cheques de viajero</t>
        </is>
      </c>
      <c r="C101" s="345" t="n">
        <v>21</v>
      </c>
      <c r="D101" s="208" t="inlineStr">
        <is>
          <t>Frecuencia (fraccionamiento)</t>
        </is>
      </c>
      <c r="E101" s="208" t="inlineStr">
        <is>
          <t>Adquisiciones frecuentes o fraccionadas para eludir el umbral.</t>
        </is>
      </c>
      <c r="F101" s="208" t="inlineStr">
        <is>
          <t>Frecuencia moderada con algún indicio de fraccionamiento.</t>
        </is>
      </c>
      <c r="G101" s="208" t="inlineStr">
        <is>
          <t>Adquisición esporádica sin señales de fraccionamiento.</t>
        </is>
      </c>
    </row>
    <row r="102" ht="18.75" customHeight="1" s="173">
      <c r="A102" s="208">
        <f>B102&amp;"-"&amp;C102</f>
        <v/>
      </c>
      <c r="B102" s="344" t="inlineStr">
        <is>
          <t>III - Cheques de viajero</t>
        </is>
      </c>
      <c r="C102" s="345" t="n">
        <v>22</v>
      </c>
      <c r="D102" s="208" t="inlineStr">
        <is>
          <t>Canal (presencial / no presencial / terceros)</t>
        </is>
      </c>
      <c r="E102" s="208" t="inlineStr">
        <is>
          <t>Contratación no presencial o a través de terceros sin contacto directo.</t>
        </is>
      </c>
      <c r="F102" s="208" t="inlineStr">
        <is>
          <t>Operación mixta, presencial e intermediada, con verificación parcial.</t>
        </is>
      </c>
      <c r="G102" s="208" t="inlineStr">
        <is>
          <t>Operación presencial con identificación directa del cliente.</t>
        </is>
      </c>
    </row>
    <row r="103" ht="18.75" customHeight="1" s="173">
      <c r="A103" s="208">
        <f>B103&amp;"-"&amp;C103</f>
        <v/>
      </c>
      <c r="B103" s="344" t="inlineStr">
        <is>
          <t>III - Cheques de viajero</t>
        </is>
      </c>
      <c r="C103" s="345" t="n">
        <v>23</v>
      </c>
      <c r="D103" s="208" t="inlineStr">
        <is>
          <t>Origen de los recursos</t>
        </is>
      </c>
      <c r="E103" s="208" t="inlineStr">
        <is>
          <t>Fondos de origen no acreditable, en efectivo o informal.</t>
        </is>
      </c>
      <c r="F103" s="208" t="inlineStr">
        <is>
          <t>Origen parcialmente documentado con componente de efectivo.</t>
        </is>
      </c>
      <c r="G103" s="208" t="inlineStr">
        <is>
          <t>Origen acreditado desde cuenta bancaria propia.</t>
        </is>
      </c>
    </row>
    <row r="104" ht="18.75" customHeight="1" s="173">
      <c r="A104" s="208">
        <f>B104&amp;"-"&amp;C104</f>
        <v/>
      </c>
      <c r="B104" s="344" t="inlineStr">
        <is>
          <t>III - Cheques de viajero</t>
        </is>
      </c>
      <c r="C104" s="345" t="n">
        <v>24</v>
      </c>
      <c r="D104" s="208" t="inlineStr">
        <is>
          <t>Destino de los recursos</t>
        </is>
      </c>
      <c r="E104" s="208" t="inlineStr">
        <is>
          <t>Cheques dirigidos a terceros, al exterior o a canje sin justificación.</t>
        </is>
      </c>
      <c r="F104" s="208" t="inlineStr">
        <is>
          <t>Destino a cuentas propias con justificación parcial.</t>
        </is>
      </c>
      <c r="G104" s="208" t="inlineStr">
        <is>
          <t>Canje a cuenta bancaria del propio adquirente identificado.</t>
        </is>
      </c>
    </row>
    <row r="105" ht="18.75" customHeight="1" s="173">
      <c r="A105" s="208">
        <f>B105&amp;"-"&amp;C105</f>
        <v/>
      </c>
      <c r="B105" s="344" t="inlineStr">
        <is>
          <t>III - Cheques de viajero</t>
        </is>
      </c>
      <c r="C105" s="345" t="n">
        <v>25</v>
      </c>
      <c r="D105" s="208" t="inlineStr">
        <is>
          <t>Canales e instrumentos idóneos para el financiamiento al terrorismo</t>
        </is>
      </c>
      <c r="E105" s="208" t="inlineStr">
        <is>
          <t>La operación se realiza mediante emisión al portador y cobro por terceros en el extranjero, es decir, medios que permiten mover valor en montos pequeños sin identificar al destinatario final.</t>
        </is>
      </c>
      <c r="F105" s="208" t="inlineStr">
        <is>
          <t>Canal mixto o con verificación parcial: hay registro de la operación pero la trazabilidad del destinatario final es incompleta.</t>
        </is>
      </c>
      <c r="G105" s="208" t="inlineStr">
        <is>
          <t>Emisión nominativa con identificación y cobro por el propio adquirente, con trazabilidad completa del origen y del destinatario.</t>
        </is>
      </c>
    </row>
    <row r="106" ht="18.75" customHeight="1" s="173">
      <c r="A106" s="208">
        <f>B106&amp;"-"&amp;C106</f>
        <v/>
      </c>
      <c r="B106" s="344" t="inlineStr">
        <is>
          <t>IV - Préstamos o créditos</t>
        </is>
      </c>
      <c r="C106" s="345" t="n">
        <v>1</v>
      </c>
      <c r="D106" s="208" t="inlineStr">
        <is>
          <t>Valor del producto o servicio</t>
        </is>
      </c>
      <c r="E106" s="208" t="inlineStr">
        <is>
          <t>Crédito de monto elevado sin garantía real, desproporcionado al perfil del deudor.</t>
        </is>
      </c>
      <c r="F106" s="208" t="inlineStr">
        <is>
          <t>Crédito de monto moderado con garantía parcial.</t>
        </is>
      </c>
      <c r="G106" s="208" t="inlineStr">
        <is>
          <t>Crédito de monto acorde al perfil, con garantía real.</t>
        </is>
      </c>
    </row>
    <row r="107" ht="18.75" customHeight="1" s="173">
      <c r="A107" s="208">
        <f>B107&amp;"-"&amp;C107</f>
        <v/>
      </c>
      <c r="B107" s="344" t="inlineStr">
        <is>
          <t>IV - Préstamos o créditos</t>
        </is>
      </c>
      <c r="C107" s="345" t="n">
        <v>2</v>
      </c>
      <c r="D107" s="208" t="inlineStr">
        <is>
          <t>Liquidez / convertibilidad</t>
        </is>
      </c>
      <c r="E107" s="208" t="inlineStr">
        <is>
          <t>Crédito líquido susceptible de liquidación anticipada en efectivo.</t>
        </is>
      </c>
      <c r="F107" s="208" t="inlineStr">
        <is>
          <t>Crédito con amortización mixta y liquidación parcial anticipada.</t>
        </is>
      </c>
      <c r="G107" s="208" t="inlineStr">
        <is>
          <t>Crédito con pagos periódicos trazables sin liquidación anticipada atípica.</t>
        </is>
      </c>
    </row>
    <row r="108" ht="18.75" customHeight="1" s="173">
      <c r="A108" s="208">
        <f>B108&amp;"-"&amp;C108</f>
        <v/>
      </c>
      <c r="B108" s="344" t="inlineStr">
        <is>
          <t>IV - Préstamos o créditos</t>
        </is>
      </c>
      <c r="C108" s="345" t="n">
        <v>3</v>
      </c>
      <c r="D108" s="208" t="inlineStr">
        <is>
          <t>Anonimato / identificación del beneficiario</t>
        </is>
      </c>
      <c r="E108" s="208" t="inlineStr">
        <is>
          <t>Deudor o fuente de pago no identificados plenamente; pagos por terceros anónimos.</t>
        </is>
      </c>
      <c r="F108" s="208" t="inlineStr">
        <is>
          <t>Deudor identificado pero con pagos ocasionales de terceros.</t>
        </is>
      </c>
      <c r="G108" s="208" t="inlineStr">
        <is>
          <t>Deudor y fuente de pago plenamente identificados y coincidentes.</t>
        </is>
      </c>
    </row>
    <row r="109" ht="18.75" customHeight="1" s="173">
      <c r="A109" s="208">
        <f>B109&amp;"-"&amp;C109</f>
        <v/>
      </c>
      <c r="B109" s="344" t="inlineStr">
        <is>
          <t>IV - Préstamos o créditos</t>
        </is>
      </c>
      <c r="C109" s="345" t="n">
        <v>4</v>
      </c>
      <c r="D109" s="208" t="inlineStr">
        <is>
          <t>Transferencia u ocultamiento de valor</t>
        </is>
      </c>
      <c r="E109" s="208" t="inlineStr">
        <is>
          <t>Crédito usado para inyectar recursos ilícitos y justificar flujos financieros.</t>
        </is>
      </c>
      <c r="F109" s="208" t="inlineStr">
        <is>
          <t>Flujos de pago con trazabilidad parcial.</t>
        </is>
      </c>
      <c r="G109" s="208" t="inlineStr">
        <is>
          <t>Otorgamiento y pago trazables vía sistema financiero.</t>
        </is>
      </c>
    </row>
    <row r="110" ht="18.75" customHeight="1" s="173">
      <c r="A110" s="208">
        <f>B110&amp;"-"&amp;C110</f>
        <v/>
      </c>
      <c r="B110" s="344" t="inlineStr">
        <is>
          <t>IV - Préstamos o créditos</t>
        </is>
      </c>
      <c r="C110" s="345" t="n">
        <v>5</v>
      </c>
      <c r="D110" s="208" t="inlineStr">
        <is>
          <t>Exposición del acto u operación al financiamiento al terrorismo</t>
        </is>
      </c>
      <c r="E110" s="208" t="inlineStr">
        <is>
          <t>Créditos otorgados a personas o asociaciones vinculadas con organizaciones señaladas en listas, o pagados anticipadamente con recursos de origen no acreditable provenientes del extranjero.</t>
        </is>
      </c>
      <c r="F110" s="208" t="inlineStr">
        <is>
          <t>Créditos con pagos hechos por terceros no relacionados o con liquidación anticipada sin explicación, sin coincidencias en listas.</t>
        </is>
      </c>
      <c r="G110" s="208" t="inlineStr">
        <is>
          <t>Crédito con destino declarado y comprobable, y pagos hechos por el propio acreditado.</t>
        </is>
      </c>
    </row>
    <row r="111" ht="18.75" customHeight="1" s="173">
      <c r="A111" s="208">
        <f>B111&amp;"-"&amp;C111</f>
        <v/>
      </c>
      <c r="B111" s="344" t="inlineStr">
        <is>
          <t>IV - Préstamos o créditos</t>
        </is>
      </c>
      <c r="C111" s="345" t="n">
        <v>6</v>
      </c>
      <c r="D111" s="208" t="inlineStr">
        <is>
          <t>Tipo de persona y estructura</t>
        </is>
      </c>
      <c r="E111" s="208" t="inlineStr">
        <is>
          <t>Deudor persona moral extranjera, fideicomiso o estructura opaca.</t>
        </is>
      </c>
      <c r="F111" s="208" t="inlineStr">
        <is>
          <t>Persona moral nacional con estructura de socios poco transparente.</t>
        </is>
      </c>
      <c r="G111" s="208" t="inlineStr">
        <is>
          <t>Persona física o moral nacional con estructura clara y beneficiario conocido.</t>
        </is>
      </c>
    </row>
    <row r="112" ht="18.75" customHeight="1" s="173">
      <c r="A112" s="208">
        <f>B112&amp;"-"&amp;C112</f>
        <v/>
      </c>
      <c r="B112" s="344" t="inlineStr">
        <is>
          <t>IV - Préstamos o créditos</t>
        </is>
      </c>
      <c r="C112" s="345" t="n">
        <v>7</v>
      </c>
      <c r="D112" s="208" t="inlineStr">
        <is>
          <t>Edad / fecha de constitución</t>
        </is>
      </c>
      <c r="E112" s="208" t="inlineStr">
        <is>
          <t>Deudor muy joven o empresa de reciente creación con crédito elevado.</t>
        </is>
      </c>
      <c r="F112" s="208" t="inlineStr">
        <is>
          <t>Empresa de antigüedad limitada o perfil atípico moderado.</t>
        </is>
      </c>
      <c r="G112" s="208" t="inlineStr">
        <is>
          <t>Deudor consolidado o empresa con antigüedad e historial claros.</t>
        </is>
      </c>
    </row>
    <row r="113" ht="18.75" customHeight="1" s="173">
      <c r="A113" s="208">
        <f>B113&amp;"-"&amp;C113</f>
        <v/>
      </c>
      <c r="B113" s="344" t="inlineStr">
        <is>
          <t>IV - Préstamos o créditos</t>
        </is>
      </c>
      <c r="C113" s="345" t="n">
        <v>8</v>
      </c>
      <c r="D113" s="208" t="inlineStr">
        <is>
          <t>Actividad económica o giro (y fuente de ingresos)</t>
        </is>
      </c>
      <c r="E113" s="208" t="inlineStr">
        <is>
          <t>Giro informal, intensivo en efectivo o vinculado a otra actividad vulnerable.</t>
        </is>
      </c>
      <c r="F113" s="208" t="inlineStr">
        <is>
          <t>Actividad formal con componente de efectivo relevante.</t>
        </is>
      </c>
      <c r="G113" s="208" t="inlineStr">
        <is>
          <t>Actividad formal y comprobable congruente con la capacidad de pago.</t>
        </is>
      </c>
    </row>
    <row r="114" ht="18.75" customHeight="1" s="173">
      <c r="A114" s="208">
        <f>B114&amp;"-"&amp;C114</f>
        <v/>
      </c>
      <c r="B114" s="344" t="inlineStr">
        <is>
          <t>IV - Préstamos o créditos</t>
        </is>
      </c>
      <c r="C114" s="345" t="n">
        <v>9</v>
      </c>
      <c r="D114" s="208" t="inlineStr">
        <is>
          <t>Nacionalidad del cliente</t>
        </is>
      </c>
      <c r="E114" s="208" t="inlineStr">
        <is>
          <t>Cliente de país en listas GAFI, sancionado o con régimen fiscal preferente.</t>
        </is>
      </c>
      <c r="F114" s="208" t="inlineStr">
        <is>
          <t>Cliente extranjero de país sin deficiencias GAFI pero con controles limitados.</t>
        </is>
      </c>
      <c r="G114" s="208" t="inlineStr">
        <is>
          <t>Cliente mexicano o de país cooperante, plenamente identificado.</t>
        </is>
      </c>
    </row>
    <row r="115" ht="18.75" customHeight="1" s="173">
      <c r="A115" s="208">
        <f>B115&amp;"-"&amp;C115</f>
        <v/>
      </c>
      <c r="B115" s="344" t="inlineStr">
        <is>
          <t>IV - Préstamos o créditos</t>
        </is>
      </c>
      <c r="C115" s="345" t="n">
        <v>10</v>
      </c>
      <c r="D115" s="208" t="inlineStr">
        <is>
          <t>País (y en su caso, estado) de residencia del cliente</t>
        </is>
      </c>
      <c r="E115" s="208" t="inlineStr">
        <is>
          <t>Residencia en jurisdicción de alto riesgo o domicilio no verificable.</t>
        </is>
      </c>
      <c r="F115" s="208" t="inlineStr">
        <is>
          <t>Residencia extranjera verificable o en entidad de riesgo moderado.</t>
        </is>
      </c>
      <c r="G115" s="208" t="inlineStr">
        <is>
          <t>Residencia nacional comprobable con documentación vigente.</t>
        </is>
      </c>
    </row>
    <row r="116" ht="18.75" customHeight="1" s="173">
      <c r="A116" s="208">
        <f>B116&amp;"-"&amp;C116</f>
        <v/>
      </c>
      <c r="B116" s="344" t="inlineStr">
        <is>
          <t>IV - Préstamos o créditos</t>
        </is>
      </c>
      <c r="C116" s="345" t="n">
        <v>11</v>
      </c>
      <c r="D116" s="208" t="inlineStr">
        <is>
          <t>Condición PEP</t>
        </is>
      </c>
      <c r="E116" s="208" t="inlineStr">
        <is>
          <t>PEP nacional o extranjera, o allegado/familiar de un PEP.</t>
        </is>
      </c>
      <c r="F116" s="208" t="inlineStr">
        <is>
          <t>Vínculos indirectos con un PEP o ex-PEP fuera del periodo sensible.</t>
        </is>
      </c>
      <c r="G116" s="208" t="inlineStr">
        <is>
          <t>Sin condición PEP ni vínculos con personas políticamente expuestas.</t>
        </is>
      </c>
    </row>
    <row r="117" ht="18.75" customHeight="1" s="173">
      <c r="A117" s="208">
        <f>B117&amp;"-"&amp;C117</f>
        <v/>
      </c>
      <c r="B117" s="344" t="inlineStr">
        <is>
          <t>IV - Préstamos o créditos</t>
        </is>
      </c>
      <c r="C117" s="345" t="n">
        <v>12</v>
      </c>
      <c r="D117" s="208" t="inlineStr">
        <is>
          <t>Coincidencia en listas de personas bloqueadas o de sanciones</t>
        </is>
      </c>
      <c r="E117" s="208" t="inlineStr">
        <is>
          <t>El acreditado, su beneficiario controlador, apoderado o contraparte aparece en la Lista de Personas Bloqueadas, en listas de sanciones o en listas de organizaciones terroristas, o presenta una coincidencia fuerte que no ha sido descartada.</t>
        </is>
      </c>
      <c r="F117" s="208" t="inlineStr">
        <is>
          <t>Se detecta coincidencia parcial u homonimia respecto del acreditado o de alguna persona relacionada, y el descarte se encuentra en proceso con constancia documental.</t>
        </is>
      </c>
      <c r="G117" s="208" t="inlineStr">
        <is>
          <t>Búsqueda realizada y documentada sobre el acreditado y sus personas relacionadas, sin coincidencias.</t>
        </is>
      </c>
    </row>
    <row r="118" ht="18.75" customHeight="1" s="173">
      <c r="A118" s="208">
        <f>B118&amp;"-"&amp;C118</f>
        <v/>
      </c>
      <c r="B118" s="344" t="inlineStr">
        <is>
          <t>IV - Préstamos o créditos</t>
        </is>
      </c>
      <c r="C118" s="345" t="n">
        <v>13</v>
      </c>
      <c r="D118" s="208" t="inlineStr">
        <is>
          <t>Identificación y complejidad del Beneficiario Controlador</t>
        </is>
      </c>
      <c r="E118" s="208" t="inlineStr">
        <is>
          <t>No se logra identificar al beneficiario controlador del acreditado, o la estructura interpone dos o más niveles societarios, fiduciarios o vehículos constituidos en el extranjero para llegar al 25 por ciento.</t>
        </is>
      </c>
      <c r="F118" s="208" t="inlineStr">
        <is>
          <t>Beneficiario controlador identificado, pero a través de una estructura de más de un nivel o con participación indirecta que exigió reconstruir la cadena de control con documentos.</t>
        </is>
      </c>
      <c r="G118" s="208" t="inlineStr">
        <is>
          <t>Beneficiario controlador identificado de forma directa y documentada: persona física que posee al menos el 25 por ciento o que ejerce el control por otra vía acreditada.</t>
        </is>
      </c>
    </row>
    <row r="119" ht="18.75" customHeight="1" s="173">
      <c r="A119" s="208">
        <f>B119&amp;"-"&amp;C119</f>
        <v/>
      </c>
      <c r="B119" s="344" t="inlineStr">
        <is>
          <t>IV - Préstamos o créditos</t>
        </is>
      </c>
      <c r="C119" s="345" t="n">
        <v>14</v>
      </c>
      <c r="D119" s="208" t="inlineStr">
        <is>
          <t>País / jurisdicción donde se realiza la operación</t>
        </is>
      </c>
      <c r="E119" s="208" t="inlineStr">
        <is>
          <t>Operación con o desde jurisdicción de alto riesgo o no cooperante.</t>
        </is>
      </c>
      <c r="F119" s="208" t="inlineStr">
        <is>
          <t>Operación con jurisdicción extranjera de riesgo moderado y trazabilidad parcial.</t>
        </is>
      </c>
      <c r="G119" s="208" t="inlineStr">
        <is>
          <t>Operación íntegramente nacional con contraparte identificada.</t>
        </is>
      </c>
    </row>
    <row r="120" ht="18.75" customHeight="1" s="173">
      <c r="A120" s="208">
        <f>B120&amp;"-"&amp;C120</f>
        <v/>
      </c>
      <c r="B120" s="344" t="inlineStr">
        <is>
          <t>IV - Préstamos o créditos</t>
        </is>
      </c>
      <c r="C120" s="345" t="n">
        <v>15</v>
      </c>
      <c r="D120" s="208" t="inlineStr">
        <is>
          <t>Área geográfica nacional de la operación</t>
        </is>
      </c>
      <c r="E120" s="208" t="inlineStr">
        <is>
          <t>Operación en zona de alta incidencia delictiva, marginación o franja fronteriza.</t>
        </is>
      </c>
      <c r="F120" s="208" t="inlineStr">
        <is>
          <t>Operación en zona urbana con incidencia delictiva moderada.</t>
        </is>
      </c>
      <c r="G120" s="208" t="inlineStr">
        <is>
          <t>Operación en zona de bajo riesgo y presencia institucional consolidada.</t>
        </is>
      </c>
    </row>
    <row r="121" ht="18.75" customHeight="1" s="173">
      <c r="A121" s="208">
        <f>B121&amp;"-"&amp;C121</f>
        <v/>
      </c>
      <c r="B121" s="344" t="inlineStr">
        <is>
          <t>IV - Préstamos o créditos</t>
        </is>
      </c>
      <c r="C121" s="345" t="n">
        <v>16</v>
      </c>
      <c r="D121" s="208" t="inlineStr">
        <is>
          <t>Vínculo con jurisdicciones sancionadas, en conflicto o de acción requerida por el GAFI</t>
        </is>
      </c>
      <c r="E121" s="208" t="inlineStr">
        <is>
          <t>Existe exposición a jurisdicciones sancionadas, en conflicto armado o de acción requerida del GAFI, por la vía de recursos que entran o salen del país por la vía del crédito.</t>
        </is>
      </c>
      <c r="F121" s="208" t="inlineStr">
        <is>
          <t>Vínculo con jurisdicciones bajo monitoreo intensificado del GAFI o con deficiencias señaladas en la ENR, sin estar sancionadas ni en conflicto.</t>
        </is>
      </c>
      <c r="G121" s="208" t="inlineStr">
        <is>
          <t>Sin vínculo con jurisdicciones sancionadas, en conflicto o listadas por el GAFI; la operación y sus partes se ubican en plazas sin señalamientos.</t>
        </is>
      </c>
    </row>
    <row r="122" ht="18.75" customHeight="1" s="173">
      <c r="A122" s="208">
        <f>B122&amp;"-"&amp;C122</f>
        <v/>
      </c>
      <c r="B122" s="344" t="inlineStr">
        <is>
          <t>IV - Préstamos o créditos</t>
        </is>
      </c>
      <c r="C122" s="345" t="n">
        <v>17</v>
      </c>
      <c r="D122" s="208" t="inlineStr">
        <is>
          <t>Congruencia entre el domicilio del Cliente y el lugar de la operación</t>
        </is>
      </c>
      <c r="E122" s="208" t="inlineStr">
        <is>
          <t>El domicilio del acreditado no guarda relación económica ni logística con el lugar donde se realiza el otorgamiento o el pago del crédito, y no existe explicación documentada del desplazamiento.</t>
        </is>
      </c>
      <c r="F122" s="208" t="inlineStr">
        <is>
          <t>Existe distancia relevante entre el domicilio del acreditado y el lugar de la operación, con explicación plausible pero no soportada en el expediente.</t>
        </is>
      </c>
      <c r="G122" s="208" t="inlineStr">
        <is>
          <t>El domicilio del acreditado corresponde a la plaza donde se realiza el otorgamiento o el pago del crédito, o el desplazamiento está justificado y documentado.</t>
        </is>
      </c>
    </row>
    <row r="123" ht="18.75" customHeight="1" s="173">
      <c r="A123" s="208">
        <f>B123&amp;"-"&amp;C123</f>
        <v/>
      </c>
      <c r="B123" s="344" t="inlineStr">
        <is>
          <t>IV - Préstamos o créditos</t>
        </is>
      </c>
      <c r="C123" s="345" t="n">
        <v>18</v>
      </c>
      <c r="D123" s="208" t="inlineStr">
        <is>
          <t>Instrumento monetario</t>
        </is>
      </c>
      <c r="E123" s="208" t="inlineStr">
        <is>
          <t>Otorgamiento o pagos en efectivo o con instrumentos al portador o cripto.</t>
        </is>
      </c>
      <c r="F123" s="208" t="inlineStr">
        <is>
          <t>Pagos mixtos de efectivo y transferencia.</t>
        </is>
      </c>
      <c r="G123" s="208" t="inlineStr">
        <is>
          <t>Otorgamiento y pagos por transferencia bancaria trazable.</t>
        </is>
      </c>
    </row>
    <row r="124" ht="18.75" customHeight="1" s="173">
      <c r="A124" s="208">
        <f>B124&amp;"-"&amp;C124</f>
        <v/>
      </c>
      <c r="B124" s="344" t="inlineStr">
        <is>
          <t>IV - Préstamos o créditos</t>
        </is>
      </c>
      <c r="C124" s="345" t="n">
        <v>19</v>
      </c>
      <c r="D124" s="208" t="inlineStr">
        <is>
          <t>Tipo de moneda</t>
        </is>
      </c>
      <c r="E124" s="208" t="inlineStr">
        <is>
          <t>Operación en moneda extranjera distinta al USD o en criptomonedas.</t>
        </is>
      </c>
      <c r="F124" s="208" t="inlineStr">
        <is>
          <t>Operación en dólares estadounidenses con soporte documental.</t>
        </is>
      </c>
      <c r="G124" s="208" t="inlineStr">
        <is>
          <t>Operación en pesos mexicanos plenamente trazable.</t>
        </is>
      </c>
    </row>
    <row r="125" ht="18.75" customHeight="1" s="173">
      <c r="A125" s="208">
        <f>B125&amp;"-"&amp;C125</f>
        <v/>
      </c>
      <c r="B125" s="344" t="inlineStr">
        <is>
          <t>IV - Préstamos o créditos</t>
        </is>
      </c>
      <c r="C125" s="345" t="n">
        <v>20</v>
      </c>
      <c r="D125" s="208" t="inlineStr">
        <is>
          <t>Monto frente a umbrales LFPIORPI</t>
        </is>
      </c>
      <c r="E125" s="208" t="inlineStr">
        <is>
          <t>Crédito o acumulado supera 1,605 UMA (umbral de aviso) del periodo.</t>
        </is>
      </c>
      <c r="F125" s="208" t="inlineStr">
        <is>
          <t>Operación cercana al umbral de 1,605 UMA sin superarlo.</t>
        </is>
      </c>
      <c r="G125" s="208" t="inlineStr">
        <is>
          <t>Montos muy por debajo del umbral de 1,605 UMA.</t>
        </is>
      </c>
    </row>
    <row r="126" ht="18.75" customHeight="1" s="173">
      <c r="A126" s="208">
        <f>B126&amp;"-"&amp;C126</f>
        <v/>
      </c>
      <c r="B126" s="344" t="inlineStr">
        <is>
          <t>IV - Préstamos o créditos</t>
        </is>
      </c>
      <c r="C126" s="345" t="n">
        <v>21</v>
      </c>
      <c r="D126" s="208" t="inlineStr">
        <is>
          <t>Frecuencia (fraccionamiento)</t>
        </is>
      </c>
      <c r="E126" s="208" t="inlineStr">
        <is>
          <t>Créditos o pagos fraccionados y frecuentes para eludir el umbral.</t>
        </is>
      </c>
      <c r="F126" s="208" t="inlineStr">
        <is>
          <t>Frecuencia moderada con algún indicio de fraccionamiento.</t>
        </is>
      </c>
      <c r="G126" s="208" t="inlineStr">
        <is>
          <t>Operación única o pagos regulares sin fraccionamiento.</t>
        </is>
      </c>
    </row>
    <row r="127" ht="18.75" customHeight="1" s="173">
      <c r="A127" s="208">
        <f>B127&amp;"-"&amp;C127</f>
        <v/>
      </c>
      <c r="B127" s="344" t="inlineStr">
        <is>
          <t>IV - Préstamos o créditos</t>
        </is>
      </c>
      <c r="C127" s="345" t="n">
        <v>22</v>
      </c>
      <c r="D127" s="208" t="inlineStr">
        <is>
          <t>Canal (presencial / no presencial / terceros)</t>
        </is>
      </c>
      <c r="E127" s="208" t="inlineStr">
        <is>
          <t>Contratación no presencial o a través de terceros sin contacto directo.</t>
        </is>
      </c>
      <c r="F127" s="208" t="inlineStr">
        <is>
          <t>Operación mixta, presencial e intermediada, con verificación parcial.</t>
        </is>
      </c>
      <c r="G127" s="208" t="inlineStr">
        <is>
          <t>Operación presencial con identificación directa del cliente.</t>
        </is>
      </c>
    </row>
    <row r="128" ht="18.75" customHeight="1" s="173">
      <c r="A128" s="208">
        <f>B128&amp;"-"&amp;C128</f>
        <v/>
      </c>
      <c r="B128" s="344" t="inlineStr">
        <is>
          <t>IV - Préstamos o créditos</t>
        </is>
      </c>
      <c r="C128" s="345" t="n">
        <v>23</v>
      </c>
      <c r="D128" s="208" t="inlineStr">
        <is>
          <t>Origen de los recursos</t>
        </is>
      </c>
      <c r="E128" s="208" t="inlineStr">
        <is>
          <t>Recursos para pago de origen no acreditable, en efectivo o informal.</t>
        </is>
      </c>
      <c r="F128" s="208" t="inlineStr">
        <is>
          <t>Origen de pagos parcialmente documentado.</t>
        </is>
      </c>
      <c r="G128" s="208" t="inlineStr">
        <is>
          <t>Pagos desde cuenta bancaria propia con origen acreditado.</t>
        </is>
      </c>
    </row>
    <row r="129" ht="18.75" customHeight="1" s="173">
      <c r="A129" s="208">
        <f>B129&amp;"-"&amp;C129</f>
        <v/>
      </c>
      <c r="B129" s="344" t="inlineStr">
        <is>
          <t>IV - Préstamos o créditos</t>
        </is>
      </c>
      <c r="C129" s="345" t="n">
        <v>24</v>
      </c>
      <c r="D129" s="208" t="inlineStr">
        <is>
          <t>Destino de los recursos</t>
        </is>
      </c>
      <c r="E129" s="208" t="inlineStr">
        <is>
          <t>Fondos del crédito dirigidos a terceros, al exterior o a fines sin justificación.</t>
        </is>
      </c>
      <c r="F129" s="208" t="inlineStr">
        <is>
          <t>Destino a cuentas propias con justificación parcial.</t>
        </is>
      </c>
      <c r="G129" s="208" t="inlineStr">
        <is>
          <t>Destino del crédito documentado y congruente con el fin declarado.</t>
        </is>
      </c>
    </row>
    <row r="130" ht="18.75" customHeight="1" s="173">
      <c r="A130" s="208">
        <f>B130&amp;"-"&amp;C130</f>
        <v/>
      </c>
      <c r="B130" s="344" t="inlineStr">
        <is>
          <t>IV - Préstamos o créditos</t>
        </is>
      </c>
      <c r="C130" s="345" t="n">
        <v>25</v>
      </c>
      <c r="D130" s="208" t="inlineStr">
        <is>
          <t>Canales e instrumentos idóneos para el financiamiento al terrorismo</t>
        </is>
      </c>
      <c r="E130" s="208" t="inlineStr">
        <is>
          <t>La operación se realiza mediante contratación no presencial, entrega en efectivo y pagos hechos por terceros, es decir, medios que permiten mover valor en montos pequeños sin identificar al destinatario final.</t>
        </is>
      </c>
      <c r="F130" s="208" t="inlineStr">
        <is>
          <t>Canal mixto o con verificación parcial: hay registro de la operación pero la trazabilidad del destinatario final es incompleta.</t>
        </is>
      </c>
      <c r="G130" s="208" t="inlineStr">
        <is>
          <t>Contratación presencial, entrega y pago por transferencia entre cuentas del propio acreditado, con trazabilidad completa del origen y del destinatario.</t>
        </is>
      </c>
    </row>
    <row r="131" ht="18.75" customHeight="1" s="173">
      <c r="A131" s="208">
        <f>B131&amp;"-"&amp;C131</f>
        <v/>
      </c>
      <c r="B131" s="344" t="inlineStr">
        <is>
          <t>V - Construcción/comercialización inmuebles</t>
        </is>
      </c>
      <c r="C131" s="345" t="n">
        <v>1</v>
      </c>
      <c r="D131" s="208" t="inlineStr">
        <is>
          <t>Valor del producto o servicio</t>
        </is>
      </c>
      <c r="E131" s="208" t="inlineStr">
        <is>
          <t>Inmuebles de lujo o alto valor unitario, muy por encima del precio de mercado promedio.</t>
        </is>
      </c>
      <c r="F131" s="208" t="inlineStr">
        <is>
          <t>Inmuebles de valor medio, dentro de rangos de mercado verificables.</t>
        </is>
      </c>
      <c r="G131" s="208" t="inlineStr">
        <is>
          <t>Vivienda de interés social o regulada, bajo valor unitario.</t>
        </is>
      </c>
    </row>
    <row r="132" ht="18.75" customHeight="1" s="173">
      <c r="A132" s="208">
        <f>B132&amp;"-"&amp;C132</f>
        <v/>
      </c>
      <c r="B132" s="344" t="inlineStr">
        <is>
          <t>V - Construcción/comercialización inmuebles</t>
        </is>
      </c>
      <c r="C132" s="345" t="n">
        <v>2</v>
      </c>
      <c r="D132" s="208" t="inlineStr">
        <is>
          <t>Liquidez / convertibilidad</t>
        </is>
      </c>
      <c r="E132" s="208" t="inlineStr">
        <is>
          <t>Preventa fácilmente cedible o revendible antes de escriturar, alta convertibilidad a efectivo.</t>
        </is>
      </c>
      <c r="F132" s="208" t="inlineStr">
        <is>
          <t>Reventa posible pero sujeta a formalización y plazos.</t>
        </is>
      </c>
      <c r="G132" s="208" t="inlineStr">
        <is>
          <t>Vivienda con crédito hipotecario, baja liquidez y difícil reventa inmediata.</t>
        </is>
      </c>
    </row>
    <row r="133" ht="18.75" customHeight="1" s="173">
      <c r="A133" s="208">
        <f>B133&amp;"-"&amp;C133</f>
        <v/>
      </c>
      <c r="B133" s="344" t="inlineStr">
        <is>
          <t>V - Construcción/comercialización inmuebles</t>
        </is>
      </c>
      <c r="C133" s="345" t="n">
        <v>3</v>
      </c>
      <c r="D133" s="208" t="inlineStr">
        <is>
          <t>Anonimato / identificación del beneficiario</t>
        </is>
      </c>
      <c r="E133" s="208" t="inlineStr">
        <is>
          <t>Compra vía tercero o estructura que oculta al beneficiario final del inmueble.</t>
        </is>
      </c>
      <c r="F133" s="208" t="inlineStr">
        <is>
          <t>Comprador identificado pero con beneficiario final parcialmente documentado.</t>
        </is>
      </c>
      <c r="G133" s="208" t="inlineStr">
        <is>
          <t>Comprador y beneficiario final plenamente identificados y verificados.</t>
        </is>
      </c>
    </row>
    <row r="134" ht="18.75" customHeight="1" s="173">
      <c r="A134" s="208">
        <f>B134&amp;"-"&amp;C134</f>
        <v/>
      </c>
      <c r="B134" s="344" t="inlineStr">
        <is>
          <t>V - Construcción/comercialización inmuebles</t>
        </is>
      </c>
      <c r="C134" s="345" t="n">
        <v>4</v>
      </c>
      <c r="D134" s="208" t="inlineStr">
        <is>
          <t>Transferencia u ocultamiento de valor</t>
        </is>
      </c>
      <c r="E134" s="208" t="inlineStr">
        <is>
          <t>Operación permite estratificar o integrar fondos ilícitos mediante sobrevaluación inmobiliaria.</t>
        </is>
      </c>
      <c r="F134" s="208" t="inlineStr">
        <is>
          <t>Riesgo moderado de ocultamiento con pagos mixtos parcialmente trazables.</t>
        </is>
      </c>
      <c r="G134" s="208" t="inlineStr">
        <is>
          <t>Recursos bancarizados y trazables, sin margen para ocultar valor.</t>
        </is>
      </c>
    </row>
    <row r="135" ht="18.75" customHeight="1" s="173">
      <c r="A135" s="208">
        <f>B135&amp;"-"&amp;C135</f>
        <v/>
      </c>
      <c r="B135" s="344" t="inlineStr">
        <is>
          <t>V - Construcción/comercialización inmuebles</t>
        </is>
      </c>
      <c r="C135" s="345" t="n">
        <v>5</v>
      </c>
      <c r="D135" s="208" t="inlineStr">
        <is>
          <t>Exposición del acto u operación al financiamiento al terrorismo</t>
        </is>
      </c>
      <c r="E135" s="208" t="inlineStr">
        <is>
          <t>Adquisición de inmuebles por personas o asociaciones señaladas en listas de sanciones, o destinados a servir de base logística o de resguardo para grupos con esa vinculación.</t>
        </is>
      </c>
      <c r="F135" s="208" t="inlineStr">
        <is>
          <t>Compradores no residentes o con recursos remitidos del extranjero, sin coincidencias en listas pero con estructura poco transparente.</t>
        </is>
      </c>
      <c r="G135" s="208" t="inlineStr">
        <is>
          <t>Comprador identificado, residente, con recursos bancarizados y uso declarado del inmueble congruente.</t>
        </is>
      </c>
    </row>
    <row r="136" ht="18.75" customHeight="1" s="173">
      <c r="A136" s="208">
        <f>B136&amp;"-"&amp;C136</f>
        <v/>
      </c>
      <c r="B136" s="344" t="inlineStr">
        <is>
          <t>V - Construcción/comercialización inmuebles</t>
        </is>
      </c>
      <c r="C136" s="345" t="n">
        <v>6</v>
      </c>
      <c r="D136" s="208" t="inlineStr">
        <is>
          <t>Tipo de persona y estructura</t>
        </is>
      </c>
      <c r="E136" s="208" t="inlineStr">
        <is>
          <t>Persona moral extranjera, fideicomiso o estructura opaca como adquirente.</t>
        </is>
      </c>
      <c r="F136" s="208" t="inlineStr">
        <is>
          <t>Persona moral nacional con estructura de propiedad clara.</t>
        </is>
      </c>
      <c r="G136" s="208" t="inlineStr">
        <is>
          <t>Persona física residente plenamente identificada.</t>
        </is>
      </c>
    </row>
    <row r="137" ht="18.75" customHeight="1" s="173">
      <c r="A137" s="208">
        <f>B137&amp;"-"&amp;C137</f>
        <v/>
      </c>
      <c r="B137" s="344" t="inlineStr">
        <is>
          <t>V - Construcción/comercialización inmuebles</t>
        </is>
      </c>
      <c r="C137" s="345" t="n">
        <v>7</v>
      </c>
      <c r="D137" s="208" t="inlineStr">
        <is>
          <t>Edad / fecha de constitución</t>
        </is>
      </c>
      <c r="E137" s="208" t="inlineStr">
        <is>
          <t>Comprador persona física muy joven o empresa de reciente creación sin historial.</t>
        </is>
      </c>
      <c r="F137" s="208" t="inlineStr">
        <is>
          <t>Empresa con antigüedad moderada o comprador con perfil estándar.</t>
        </is>
      </c>
      <c r="G137" s="208" t="inlineStr">
        <is>
          <t>Persona o empresa con trayectoria y antigüedad acreditable.</t>
        </is>
      </c>
    </row>
    <row r="138" ht="18.75" customHeight="1" s="173">
      <c r="A138" s="208">
        <f>B138&amp;"-"&amp;C138</f>
        <v/>
      </c>
      <c r="B138" s="344" t="inlineStr">
        <is>
          <t>V - Construcción/comercialización inmuebles</t>
        </is>
      </c>
      <c r="C138" s="345" t="n">
        <v>8</v>
      </c>
      <c r="D138" s="208" t="inlineStr">
        <is>
          <t>Actividad económica o giro (y fuente de ingresos)</t>
        </is>
      </c>
      <c r="E138" s="208" t="inlineStr">
        <is>
          <t>Giro informal, uso intensivo de efectivo o vinculado a otras actividades vulnerables.</t>
        </is>
      </c>
      <c r="F138" s="208" t="inlineStr">
        <is>
          <t>Giro formal con manejo parcial de efectivo.</t>
        </is>
      </c>
      <c r="G138" s="208" t="inlineStr">
        <is>
          <t>Giro formal, ingresos documentados y bancarizados.</t>
        </is>
      </c>
    </row>
    <row r="139" ht="18.75" customHeight="1" s="173">
      <c r="A139" s="208">
        <f>B139&amp;"-"&amp;C139</f>
        <v/>
      </c>
      <c r="B139" s="344" t="inlineStr">
        <is>
          <t>V - Construcción/comercialización inmuebles</t>
        </is>
      </c>
      <c r="C139" s="345" t="n">
        <v>9</v>
      </c>
      <c r="D139" s="208" t="inlineStr">
        <is>
          <t>Nacionalidad del cliente</t>
        </is>
      </c>
      <c r="E139" s="208" t="inlineStr">
        <is>
          <t>Nacionalidad de país en listas GAFI, sancionado o régimen fiscal preferente.</t>
        </is>
      </c>
      <c r="F139" s="208" t="inlineStr">
        <is>
          <t>Nacionalidad de país sin deficiencias relevantes en PLD.</t>
        </is>
      </c>
      <c r="G139" s="208" t="inlineStr">
        <is>
          <t>Nacionalidad mexicana o de país con controles PLD robustos.</t>
        </is>
      </c>
    </row>
    <row r="140" ht="18.75" customHeight="1" s="173">
      <c r="A140" s="208">
        <f>B140&amp;"-"&amp;C140</f>
        <v/>
      </c>
      <c r="B140" s="344" t="inlineStr">
        <is>
          <t>V - Construcción/comercialización inmuebles</t>
        </is>
      </c>
      <c r="C140" s="345" t="n">
        <v>10</v>
      </c>
      <c r="D140" s="208" t="inlineStr">
        <is>
          <t>País (y en su caso, estado) de residencia del cliente</t>
        </is>
      </c>
      <c r="E140" s="208" t="inlineStr">
        <is>
          <t>Residencia en jurisdicción de alto riesgo o domicilio no verificable.</t>
        </is>
      </c>
      <c r="F140" s="208" t="inlineStr">
        <is>
          <t>Residencia verificable en jurisdicción de riesgo medio.</t>
        </is>
      </c>
      <c r="G140" s="208" t="inlineStr">
        <is>
          <t>Residencia nacional comprobable y estable.</t>
        </is>
      </c>
    </row>
    <row r="141" ht="18.75" customHeight="1" s="173">
      <c r="A141" s="208">
        <f>B141&amp;"-"&amp;C141</f>
        <v/>
      </c>
      <c r="B141" s="344" t="inlineStr">
        <is>
          <t>V - Construcción/comercialización inmuebles</t>
        </is>
      </c>
      <c r="C141" s="345" t="n">
        <v>11</v>
      </c>
      <c r="D141" s="208" t="inlineStr">
        <is>
          <t>Condición PEP</t>
        </is>
      </c>
      <c r="E141" s="208" t="inlineStr">
        <is>
          <t>Comprador PEP nacional o extranjera, o allegado a PEP.</t>
        </is>
      </c>
      <c r="F141" s="208" t="inlineStr">
        <is>
          <t>Vínculo indirecto o lejano con PEP.</t>
        </is>
      </c>
      <c r="G141" s="208" t="inlineStr">
        <is>
          <t>Sin condición ni vínculo PEP.</t>
        </is>
      </c>
    </row>
    <row r="142" ht="18.75" customHeight="1" s="173">
      <c r="A142" s="208">
        <f>B142&amp;"-"&amp;C142</f>
        <v/>
      </c>
      <c r="B142" s="344" t="inlineStr">
        <is>
          <t>V - Construcción/comercialización inmuebles</t>
        </is>
      </c>
      <c r="C142" s="345" t="n">
        <v>12</v>
      </c>
      <c r="D142" s="208" t="inlineStr">
        <is>
          <t>Coincidencia en listas de personas bloqueadas o de sanciones</t>
        </is>
      </c>
      <c r="E142" s="208" t="inlineStr">
        <is>
          <t>El comprador, su beneficiario controlador, apoderado o contraparte aparece en la Lista de Personas Bloqueadas, en listas de sanciones o en listas de organizaciones terroristas, o presenta una coincidencia fuerte que no ha sido descartada.</t>
        </is>
      </c>
      <c r="F142" s="208" t="inlineStr">
        <is>
          <t>Se detecta coincidencia parcial u homonimia respecto del comprador o de alguna persona relacionada, y el descarte se encuentra en proceso con constancia documental.</t>
        </is>
      </c>
      <c r="G142" s="208" t="inlineStr">
        <is>
          <t>Búsqueda realizada y documentada sobre el comprador y sus personas relacionadas, sin coincidencias.</t>
        </is>
      </c>
    </row>
    <row r="143" ht="18.75" customHeight="1" s="173">
      <c r="A143" s="208">
        <f>B143&amp;"-"&amp;C143</f>
        <v/>
      </c>
      <c r="B143" s="344" t="inlineStr">
        <is>
          <t>V - Construcción/comercialización inmuebles</t>
        </is>
      </c>
      <c r="C143" s="345" t="n">
        <v>13</v>
      </c>
      <c r="D143" s="208" t="inlineStr">
        <is>
          <t>Identificación y complejidad del Beneficiario Controlador</t>
        </is>
      </c>
      <c r="E143" s="208" t="inlineStr">
        <is>
          <t>No se logra identificar al beneficiario controlador del comprador, o la estructura interpone dos o más niveles societarios, fiduciarios o vehículos constituidos en el extranjero para llegar al 25 por ciento.</t>
        </is>
      </c>
      <c r="F143" s="208" t="inlineStr">
        <is>
          <t>Beneficiario controlador identificado, pero a través de una estructura de más de un nivel o con participación indirecta que exigió reconstruir la cadena de control con documentos.</t>
        </is>
      </c>
      <c r="G143" s="208" t="inlineStr">
        <is>
          <t>Beneficiario controlador identificado de forma directa y documentada: persona física que posee al menos el 25 por ciento o que ejerce el control por otra vía acreditada.</t>
        </is>
      </c>
    </row>
    <row r="144" ht="18.75" customHeight="1" s="173">
      <c r="A144" s="208">
        <f>B144&amp;"-"&amp;C144</f>
        <v/>
      </c>
      <c r="B144" s="344" t="inlineStr">
        <is>
          <t>V - Construcción/comercialización inmuebles</t>
        </is>
      </c>
      <c r="C144" s="345" t="n">
        <v>14</v>
      </c>
      <c r="D144" s="208" t="inlineStr">
        <is>
          <t>País / jurisdicción donde se realiza la operación</t>
        </is>
      </c>
      <c r="E144" s="208" t="inlineStr">
        <is>
          <t>Operación pactada con o desde jurisdicción de alto riesgo.</t>
        </is>
      </c>
      <c r="F144" s="208" t="inlineStr">
        <is>
          <t>Operación con componente internacional de riesgo medio.</t>
        </is>
      </c>
      <c r="G144" s="208" t="inlineStr">
        <is>
          <t>Operación íntegramente nacional.</t>
        </is>
      </c>
    </row>
    <row r="145" ht="18.75" customHeight="1" s="173">
      <c r="A145" s="208">
        <f>B145&amp;"-"&amp;C145</f>
        <v/>
      </c>
      <c r="B145" s="344" t="inlineStr">
        <is>
          <t>V - Construcción/comercialización inmuebles</t>
        </is>
      </c>
      <c r="C145" s="345" t="n">
        <v>15</v>
      </c>
      <c r="D145" s="208" t="inlineStr">
        <is>
          <t>Área geográfica nacional de la operación</t>
        </is>
      </c>
      <c r="E145" s="208" t="inlineStr">
        <is>
          <t>Inmueble o desarrollo en zona de alta incidencia delictiva, marginación o frontera.</t>
        </is>
      </c>
      <c r="F145" s="208" t="inlineStr">
        <is>
          <t>Zona urbana consolidada de riesgo intermedio.</t>
        </is>
      </c>
      <c r="G145" s="208" t="inlineStr">
        <is>
          <t>Zona de baja incidencia delictiva y buena trazabilidad.</t>
        </is>
      </c>
    </row>
    <row r="146" ht="18.75" customHeight="1" s="173">
      <c r="A146" s="208">
        <f>B146&amp;"-"&amp;C146</f>
        <v/>
      </c>
      <c r="B146" s="344" t="inlineStr">
        <is>
          <t>V - Construcción/comercialización inmuebles</t>
        </is>
      </c>
      <c r="C146" s="345" t="n">
        <v>16</v>
      </c>
      <c r="D146" s="208" t="inlineStr">
        <is>
          <t>Vínculo con jurisdicciones sancionadas, en conflicto o de acción requerida por el GAFI</t>
        </is>
      </c>
      <c r="E146" s="208" t="inlineStr">
        <is>
          <t>Existe exposición a jurisdicciones sancionadas, en conflicto armado o de acción requerida del GAFI, por la vía de compradores no residentes o recursos remitidos desde el extranjero.</t>
        </is>
      </c>
      <c r="F146" s="208" t="inlineStr">
        <is>
          <t>Vínculo con jurisdicciones bajo monitoreo intensificado del GAFI o con deficiencias señaladas en la ENR, sin estar sancionadas ni en conflicto.</t>
        </is>
      </c>
      <c r="G146" s="208" t="inlineStr">
        <is>
          <t>Sin vínculo con jurisdicciones sancionadas, en conflicto o listadas por el GAFI; la operación y sus partes se ubican en plazas sin señalamientos.</t>
        </is>
      </c>
    </row>
    <row r="147" ht="18.75" customHeight="1" s="173">
      <c r="A147" s="208">
        <f>B147&amp;"-"&amp;C147</f>
        <v/>
      </c>
      <c r="B147" s="344" t="inlineStr">
        <is>
          <t>V - Construcción/comercialización inmuebles</t>
        </is>
      </c>
      <c r="C147" s="345" t="n">
        <v>17</v>
      </c>
      <c r="D147" s="208" t="inlineStr">
        <is>
          <t>Congruencia entre el domicilio del Cliente y el lugar de la operación</t>
        </is>
      </c>
      <c r="E147" s="208" t="inlineStr">
        <is>
          <t>El domicilio del comprador no guarda relación económica ni logística con el lugar donde se realiza la compraventa del inmueble, y no existe explicación documentada del desplazamiento.</t>
        </is>
      </c>
      <c r="F147" s="208" t="inlineStr">
        <is>
          <t>Existe distancia relevante entre el domicilio del comprador y el lugar de la operación, con explicación plausible pero no soportada en el expediente.</t>
        </is>
      </c>
      <c r="G147" s="208" t="inlineStr">
        <is>
          <t>El domicilio del comprador corresponde a la plaza donde se realiza la compraventa del inmueble, o el desplazamiento está justificado y documentado.</t>
        </is>
      </c>
    </row>
    <row r="148" ht="18.75" customHeight="1" s="173">
      <c r="A148" s="208">
        <f>B148&amp;"-"&amp;C148</f>
        <v/>
      </c>
      <c r="B148" s="344" t="inlineStr">
        <is>
          <t>V - Construcción/comercialización inmuebles</t>
        </is>
      </c>
      <c r="C148" s="345" t="n">
        <v>18</v>
      </c>
      <c r="D148" s="208" t="inlineStr">
        <is>
          <t>Instrumento monetario</t>
        </is>
      </c>
      <c r="E148" s="208" t="inlineStr">
        <is>
          <t>Pago en efectivo, instrumentos al portador o criptoactivos.</t>
        </is>
      </c>
      <c r="F148" s="208" t="inlineStr">
        <is>
          <t>Pagos mixtos con efectivo parcial y transferencias.</t>
        </is>
      </c>
      <c r="G148" s="208" t="inlineStr">
        <is>
          <t>Pago íntegro por transferencia bancaria o crédito hipotecario.</t>
        </is>
      </c>
    </row>
    <row r="149" ht="18.75" customHeight="1" s="173">
      <c r="A149" s="208">
        <f>B149&amp;"-"&amp;C149</f>
        <v/>
      </c>
      <c r="B149" s="344" t="inlineStr">
        <is>
          <t>V - Construcción/comercialización inmuebles</t>
        </is>
      </c>
      <c r="C149" s="345" t="n">
        <v>19</v>
      </c>
      <c r="D149" s="208" t="inlineStr">
        <is>
          <t>Tipo de moneda</t>
        </is>
      </c>
      <c r="E149" s="208" t="inlineStr">
        <is>
          <t>Pago en moneda extranjera distinta al USD o en criptomonedas.</t>
        </is>
      </c>
      <c r="F149" s="208" t="inlineStr">
        <is>
          <t>Pago en USD con soporte documental.</t>
        </is>
      </c>
      <c r="G149" s="208" t="inlineStr">
        <is>
          <t>Pago en pesos mexicanos.</t>
        </is>
      </c>
    </row>
    <row r="150" ht="18.75" customHeight="1" s="173">
      <c r="A150" s="208">
        <f>B150&amp;"-"&amp;C150</f>
        <v/>
      </c>
      <c r="B150" s="344" t="inlineStr">
        <is>
          <t>V - Construcción/comercialización inmuebles</t>
        </is>
      </c>
      <c r="C150" s="345" t="n">
        <v>20</v>
      </c>
      <c r="D150" s="208" t="inlineStr">
        <is>
          <t>Monto frente a umbrales LFPIORPI</t>
        </is>
      </c>
      <c r="E150" s="208" t="inlineStr">
        <is>
          <t>Monto supera ampliamente el umbral de aviso (8,025 UMA).</t>
        </is>
      </c>
      <c r="F150" s="208" t="inlineStr">
        <is>
          <t>Monto cercano al umbral de aviso sin superarlo.</t>
        </is>
      </c>
      <c r="G150" s="208" t="inlineStr">
        <is>
          <t>Monto muy por debajo del umbral de aviso.</t>
        </is>
      </c>
    </row>
    <row r="151" ht="18.75" customHeight="1" s="173">
      <c r="A151" s="208">
        <f>B151&amp;"-"&amp;C151</f>
        <v/>
      </c>
      <c r="B151" s="344" t="inlineStr">
        <is>
          <t>V - Construcción/comercialización inmuebles</t>
        </is>
      </c>
      <c r="C151" s="345" t="n">
        <v>21</v>
      </c>
      <c r="D151" s="208" t="inlineStr">
        <is>
          <t>Frecuencia (fraccionamiento)</t>
        </is>
      </c>
      <c r="E151" s="208" t="inlineStr">
        <is>
          <t>Pagos frecuentes o fraccionados en preventa para eludir umbrales de aviso.</t>
        </is>
      </c>
      <c r="F151" s="208" t="inlineStr">
        <is>
          <t>Pagos parcializados según calendario contractual justificado.</t>
        </is>
      </c>
      <c r="G151" s="208" t="inlineStr">
        <is>
          <t>Pago único o esquema hipotecario formal sin fraccionamiento.</t>
        </is>
      </c>
    </row>
    <row r="152" ht="18.75" customHeight="1" s="173">
      <c r="A152" s="208">
        <f>B152&amp;"-"&amp;C152</f>
        <v/>
      </c>
      <c r="B152" s="344" t="inlineStr">
        <is>
          <t>V - Construcción/comercialización inmuebles</t>
        </is>
      </c>
      <c r="C152" s="345" t="n">
        <v>22</v>
      </c>
      <c r="D152" s="208" t="inlineStr">
        <is>
          <t>Canal (presencial / no presencial / terceros)</t>
        </is>
      </c>
      <c r="E152" s="208" t="inlineStr">
        <is>
          <t>Compra no presencial o mediante terceros sin contacto directo con el desarrollador.</t>
        </is>
      </c>
      <c r="F152" s="208" t="inlineStr">
        <is>
          <t>Contacto parcial o representación con poder documentado.</t>
        </is>
      </c>
      <c r="G152" s="208" t="inlineStr">
        <is>
          <t>Compra presencial con identificación directa del cliente.</t>
        </is>
      </c>
    </row>
    <row r="153" ht="18.75" customHeight="1" s="173">
      <c r="A153" s="208">
        <f>B153&amp;"-"&amp;C153</f>
        <v/>
      </c>
      <c r="B153" s="344" t="inlineStr">
        <is>
          <t>V - Construcción/comercialización inmuebles</t>
        </is>
      </c>
      <c r="C153" s="345" t="n">
        <v>23</v>
      </c>
      <c r="D153" s="208" t="inlineStr">
        <is>
          <t>Origen de los recursos</t>
        </is>
      </c>
      <c r="E153" s="208" t="inlineStr">
        <is>
          <t>Origen de recursos no acreditable, en efectivo o de fuente informal.</t>
        </is>
      </c>
      <c r="F153" s="208" t="inlineStr">
        <is>
          <t>Origen parcialmente documentado con soporte incompleto.</t>
        </is>
      </c>
      <c r="G153" s="208" t="inlineStr">
        <is>
          <t>Origen acreditado con documentación financiera y fiscal.</t>
        </is>
      </c>
    </row>
    <row r="154" ht="18.75" customHeight="1" s="173">
      <c r="A154" s="208">
        <f>B154&amp;"-"&amp;C154</f>
        <v/>
      </c>
      <c r="B154" s="344" t="inlineStr">
        <is>
          <t>V - Construcción/comercialización inmuebles</t>
        </is>
      </c>
      <c r="C154" s="345" t="n">
        <v>24</v>
      </c>
      <c r="D154" s="208" t="inlineStr">
        <is>
          <t>Destino de los recursos</t>
        </is>
      </c>
      <c r="E154" s="208" t="inlineStr">
        <is>
          <t>Destino opaco: reventa inmediata, cesión a terceros o salida al exterior sin justificar.</t>
        </is>
      </c>
      <c r="F154" s="208" t="inlineStr">
        <is>
          <t>Destino declarado con justificación parcial.</t>
        </is>
      </c>
      <c r="G154" s="208" t="inlineStr">
        <is>
          <t>Destino claro: uso propio o inversión documentada.</t>
        </is>
      </c>
    </row>
    <row r="155" ht="18.75" customHeight="1" s="173">
      <c r="A155" s="208">
        <f>B155&amp;"-"&amp;C155</f>
        <v/>
      </c>
      <c r="B155" s="344" t="inlineStr">
        <is>
          <t>V - Construcción/comercialización inmuebles</t>
        </is>
      </c>
      <c r="C155" s="345" t="n">
        <v>25</v>
      </c>
      <c r="D155" s="208" t="inlineStr">
        <is>
          <t>Canales e instrumentos idóneos para el financiamiento al terrorismo</t>
        </is>
      </c>
      <c r="E155" s="208" t="inlineStr">
        <is>
          <t>La operación se realiza mediante operaciones cerradas a distancia mediante apoderados y pagos parciales en efectivo, es decir, medios que permiten mover valor en montos pequeños sin identificar al destinatario final.</t>
        </is>
      </c>
      <c r="F155" s="208" t="inlineStr">
        <is>
          <t>Canal mixto o con verificación parcial: hay registro de la operación pero la trazabilidad del destinatario final es incompleta.</t>
        </is>
      </c>
      <c r="G155" s="208" t="inlineStr">
        <is>
          <t>Operación con comprador identificado de forma directa y pagos bancarizados a nombre propio, con trazabilidad completa del origen y del destinatario.</t>
        </is>
      </c>
    </row>
    <row r="156" ht="18.75" customHeight="1" s="173">
      <c r="A156" s="208">
        <f>B156&amp;"-"&amp;C156</f>
        <v/>
      </c>
      <c r="B156" s="344" t="inlineStr">
        <is>
          <t>V Bis - Recepción recursos desarrollo inmobiliario</t>
        </is>
      </c>
      <c r="C156" s="345" t="n">
        <v>1</v>
      </c>
      <c r="D156" s="208" t="inlineStr">
        <is>
          <t>Valor del producto o servicio</t>
        </is>
      </c>
      <c r="E156" s="208" t="inlineStr">
        <is>
          <t>Aportaciones de alto valor a proyectos de gran escala o segmento de lujo.</t>
        </is>
      </c>
      <c r="F156" s="208" t="inlineStr">
        <is>
          <t>Aportaciones de valor medio en proyectos medianos.</t>
        </is>
      </c>
      <c r="G156" s="208" t="inlineStr">
        <is>
          <t>Aportaciones de bajo valor en proyectos regulados y trazables.</t>
        </is>
      </c>
    </row>
    <row r="157" ht="18.75" customHeight="1" s="173">
      <c r="A157" s="208">
        <f>B157&amp;"-"&amp;C157</f>
        <v/>
      </c>
      <c r="B157" s="344" t="inlineStr">
        <is>
          <t>V Bis - Recepción recursos desarrollo inmobiliario</t>
        </is>
      </c>
      <c r="C157" s="345" t="n">
        <v>2</v>
      </c>
      <c r="D157" s="208" t="inlineStr">
        <is>
          <t>Liquidez / convertibilidad</t>
        </is>
      </c>
      <c r="E157" s="208" t="inlineStr">
        <is>
          <t>Aportaciones fácilmente reembolsables o cedibles, alta convertibilidad a efectivo.</t>
        </is>
      </c>
      <c r="F157" s="208" t="inlineStr">
        <is>
          <t>Aportaciones con reembolso sujeto a contrato y plazos.</t>
        </is>
      </c>
      <c r="G157" s="208" t="inlineStr">
        <is>
          <t>Recursos comprometidos vía institución financiera, baja liquidez.</t>
        </is>
      </c>
    </row>
    <row r="158" ht="18.75" customHeight="1" s="173">
      <c r="A158" s="208">
        <f>B158&amp;"-"&amp;C158</f>
        <v/>
      </c>
      <c r="B158" s="344" t="inlineStr">
        <is>
          <t>V Bis - Recepción recursos desarrollo inmobiliario</t>
        </is>
      </c>
      <c r="C158" s="345" t="n">
        <v>3</v>
      </c>
      <c r="D158" s="208" t="inlineStr">
        <is>
          <t>Anonimato / identificación del beneficiario</t>
        </is>
      </c>
      <c r="E158" s="208" t="inlineStr">
        <is>
          <t>Múltiples inversionistas no identificados o beneficiario final oculto tras el proyecto.</t>
        </is>
      </c>
      <c r="F158" s="208" t="inlineStr">
        <is>
          <t>Inversionistas identificados con beneficiario final parcialmente documentado.</t>
        </is>
      </c>
      <c r="G158" s="208" t="inlineStr">
        <is>
          <t>Inversionistas y beneficiarios finales plenamente identificados.</t>
        </is>
      </c>
    </row>
    <row r="159" ht="18.75" customHeight="1" s="173">
      <c r="A159" s="208">
        <f>B159&amp;"-"&amp;C159</f>
        <v/>
      </c>
      <c r="B159" s="344" t="inlineStr">
        <is>
          <t>V Bis - Recepción recursos desarrollo inmobiliario</t>
        </is>
      </c>
      <c r="C159" s="345" t="n">
        <v>4</v>
      </c>
      <c r="D159" s="208" t="inlineStr">
        <is>
          <t>Transferencia u ocultamiento de valor</t>
        </is>
      </c>
      <c r="E159" s="208" t="inlineStr">
        <is>
          <t>El proyecto permite canalizar y estratificar recursos ilícitos entre múltiples aportantes.</t>
        </is>
      </c>
      <c r="F159" s="208" t="inlineStr">
        <is>
          <t>Riesgo moderado de ocultamiento con recursos mixtos.</t>
        </is>
      </c>
      <c r="G159" s="208" t="inlineStr">
        <is>
          <t>Recursos bancarizados y trazables con contratos formalizados.</t>
        </is>
      </c>
    </row>
    <row r="160" ht="18.75" customHeight="1" s="173">
      <c r="A160" s="208">
        <f>B160&amp;"-"&amp;C160</f>
        <v/>
      </c>
      <c r="B160" s="344" t="inlineStr">
        <is>
          <t>V Bis - Recepción recursos desarrollo inmobiliario</t>
        </is>
      </c>
      <c r="C160" s="345" t="n">
        <v>5</v>
      </c>
      <c r="D160" s="208" t="inlineStr">
        <is>
          <t>Exposición del acto u operación al financiamiento al terrorismo</t>
        </is>
      </c>
      <c r="E160" s="208" t="inlineStr">
        <is>
          <t>Captación de aportaciones de personas o vehículos vinculados con organizaciones señaladas en listas, usando el desarrollo como destino aparente de recursos.</t>
        </is>
      </c>
      <c r="F160" s="208" t="inlineStr">
        <is>
          <t>Aportantes del extranjero o vehículos con estructura opaca, sin coincidencias en listas.</t>
        </is>
      </c>
      <c r="G160" s="208" t="inlineStr">
        <is>
          <t>Aportantes identificados, con recursos bancarizados y capacidad económica acreditada.</t>
        </is>
      </c>
    </row>
    <row r="161" ht="18.75" customHeight="1" s="173">
      <c r="A161" s="208">
        <f>B161&amp;"-"&amp;C161</f>
        <v/>
      </c>
      <c r="B161" s="344" t="inlineStr">
        <is>
          <t>V Bis - Recepción recursos desarrollo inmobiliario</t>
        </is>
      </c>
      <c r="C161" s="345" t="n">
        <v>6</v>
      </c>
      <c r="D161" s="208" t="inlineStr">
        <is>
          <t>Tipo de persona y estructura</t>
        </is>
      </c>
      <c r="E161" s="208" t="inlineStr">
        <is>
          <t>Aportante persona moral extranjera, fideicomiso o estructura opaca.</t>
        </is>
      </c>
      <c r="F161" s="208" t="inlineStr">
        <is>
          <t>Persona moral nacional con estructura clara.</t>
        </is>
      </c>
      <c r="G161" s="208" t="inlineStr">
        <is>
          <t>Inversionista persona física plenamente identificado.</t>
        </is>
      </c>
    </row>
    <row r="162" ht="18.75" customHeight="1" s="173">
      <c r="A162" s="208">
        <f>B162&amp;"-"&amp;C162</f>
        <v/>
      </c>
      <c r="B162" s="344" t="inlineStr">
        <is>
          <t>V Bis - Recepción recursos desarrollo inmobiliario</t>
        </is>
      </c>
      <c r="C162" s="345" t="n">
        <v>7</v>
      </c>
      <c r="D162" s="208" t="inlineStr">
        <is>
          <t>Edad / fecha de constitución</t>
        </is>
      </c>
      <c r="E162" s="208" t="inlineStr">
        <is>
          <t>Aportante empresa de reciente creación o persona física joven sin historial.</t>
        </is>
      </c>
      <c r="F162" s="208" t="inlineStr">
        <is>
          <t>Empresa con antigüedad moderada.</t>
        </is>
      </c>
      <c r="G162" s="208" t="inlineStr">
        <is>
          <t>Aportante con trayectoria acreditable.</t>
        </is>
      </c>
    </row>
    <row r="163" ht="18.75" customHeight="1" s="173">
      <c r="A163" s="208">
        <f>B163&amp;"-"&amp;C163</f>
        <v/>
      </c>
      <c r="B163" s="344" t="inlineStr">
        <is>
          <t>V Bis - Recepción recursos desarrollo inmobiliario</t>
        </is>
      </c>
      <c r="C163" s="345" t="n">
        <v>8</v>
      </c>
      <c r="D163" s="208" t="inlineStr">
        <is>
          <t>Actividad económica o giro (y fuente de ingresos)</t>
        </is>
      </c>
      <c r="E163" s="208" t="inlineStr">
        <is>
          <t>Giro informal del aportante, uso intensivo de efectivo o ligado a otras AV.</t>
        </is>
      </c>
      <c r="F163" s="208" t="inlineStr">
        <is>
          <t>Giro formal con manejo parcial de efectivo.</t>
        </is>
      </c>
      <c r="G163" s="208" t="inlineStr">
        <is>
          <t>Giro formal con ingresos documentados y bancarizados.</t>
        </is>
      </c>
    </row>
    <row r="164" ht="18.75" customHeight="1" s="173">
      <c r="A164" s="208">
        <f>B164&amp;"-"&amp;C164</f>
        <v/>
      </c>
      <c r="B164" s="344" t="inlineStr">
        <is>
          <t>V Bis - Recepción recursos desarrollo inmobiliario</t>
        </is>
      </c>
      <c r="C164" s="345" t="n">
        <v>9</v>
      </c>
      <c r="D164" s="208" t="inlineStr">
        <is>
          <t>Nacionalidad del cliente</t>
        </is>
      </c>
      <c r="E164" s="208" t="inlineStr">
        <is>
          <t>Nacionalidad de país en listas GAFI, sancionado o régimen fiscal preferente.</t>
        </is>
      </c>
      <c r="F164" s="208" t="inlineStr">
        <is>
          <t>Nacionalidad de país sin deficiencias relevantes en PLD.</t>
        </is>
      </c>
      <c r="G164" s="208" t="inlineStr">
        <is>
          <t>Nacionalidad mexicana o de país con controles PLD robustos.</t>
        </is>
      </c>
    </row>
    <row r="165" ht="18.75" customHeight="1" s="173">
      <c r="A165" s="208">
        <f>B165&amp;"-"&amp;C165</f>
        <v/>
      </c>
      <c r="B165" s="344" t="inlineStr">
        <is>
          <t>V Bis - Recepción recursos desarrollo inmobiliario</t>
        </is>
      </c>
      <c r="C165" s="345" t="n">
        <v>10</v>
      </c>
      <c r="D165" s="208" t="inlineStr">
        <is>
          <t>País (y en su caso, estado) de residencia del cliente</t>
        </is>
      </c>
      <c r="E165" s="208" t="inlineStr">
        <is>
          <t>Residencia del aportante en jurisdicción de alto riesgo o no verificable.</t>
        </is>
      </c>
      <c r="F165" s="208" t="inlineStr">
        <is>
          <t>Residencia verificable en jurisdicción de riesgo medio.</t>
        </is>
      </c>
      <c r="G165" s="208" t="inlineStr">
        <is>
          <t>Residencia nacional comprobable y estable.</t>
        </is>
      </c>
    </row>
    <row r="166" ht="18.75" customHeight="1" s="173">
      <c r="A166" s="208">
        <f>B166&amp;"-"&amp;C166</f>
        <v/>
      </c>
      <c r="B166" s="344" t="inlineStr">
        <is>
          <t>V Bis - Recepción recursos desarrollo inmobiliario</t>
        </is>
      </c>
      <c r="C166" s="345" t="n">
        <v>11</v>
      </c>
      <c r="D166" s="208" t="inlineStr">
        <is>
          <t>Condición PEP</t>
        </is>
      </c>
      <c r="E166" s="208" t="inlineStr">
        <is>
          <t>Aportante PEP nacional o extranjera, o allegado a PEP.</t>
        </is>
      </c>
      <c r="F166" s="208" t="inlineStr">
        <is>
          <t>Vínculo indirecto o lejano con PEP.</t>
        </is>
      </c>
      <c r="G166" s="208" t="inlineStr">
        <is>
          <t>Sin condición ni vínculo PEP.</t>
        </is>
      </c>
    </row>
    <row r="167" ht="18.75" customHeight="1" s="173">
      <c r="A167" s="208">
        <f>B167&amp;"-"&amp;C167</f>
        <v/>
      </c>
      <c r="B167" s="344" t="inlineStr">
        <is>
          <t>V Bis - Recepción recursos desarrollo inmobiliario</t>
        </is>
      </c>
      <c r="C167" s="345" t="n">
        <v>12</v>
      </c>
      <c r="D167" s="208" t="inlineStr">
        <is>
          <t>Coincidencia en listas de personas bloqueadas o de sanciones</t>
        </is>
      </c>
      <c r="E167" s="208" t="inlineStr">
        <is>
          <t>El aportante, su beneficiario controlador, apoderado o contraparte aparece en la Lista de Personas Bloqueadas, en listas de sanciones o en listas de organizaciones terroristas, o presenta una coincidencia fuerte que no ha sido descartada.</t>
        </is>
      </c>
      <c r="F167" s="208" t="inlineStr">
        <is>
          <t>Se detecta coincidencia parcial u homonimia respecto del aportante o de alguna persona relacionada, y el descarte se encuentra en proceso con constancia documental.</t>
        </is>
      </c>
      <c r="G167" s="208" t="inlineStr">
        <is>
          <t>Búsqueda realizada y documentada sobre el aportante y sus personas relacionadas, sin coincidencias.</t>
        </is>
      </c>
    </row>
    <row r="168" ht="18.75" customHeight="1" s="173">
      <c r="A168" s="208">
        <f>B168&amp;"-"&amp;C168</f>
        <v/>
      </c>
      <c r="B168" s="344" t="inlineStr">
        <is>
          <t>V Bis - Recepción recursos desarrollo inmobiliario</t>
        </is>
      </c>
      <c r="C168" s="345" t="n">
        <v>13</v>
      </c>
      <c r="D168" s="208" t="inlineStr">
        <is>
          <t>Identificación y complejidad del Beneficiario Controlador</t>
        </is>
      </c>
      <c r="E168" s="208" t="inlineStr">
        <is>
          <t>No se logra identificar al beneficiario controlador del aportante, o la estructura interpone dos o más niveles societarios, fiduciarios o vehículos constituidos en el extranjero para llegar al 25 por ciento.</t>
        </is>
      </c>
      <c r="F168" s="208" t="inlineStr">
        <is>
          <t>Beneficiario controlador identificado, pero a través de una estructura de más de un nivel o con participación indirecta que exigió reconstruir la cadena de control con documentos.</t>
        </is>
      </c>
      <c r="G168" s="208" t="inlineStr">
        <is>
          <t>Beneficiario controlador identificado de forma directa y documentada: persona física que posee al menos el 25 por ciento o que ejerce el control por otra vía acreditada.</t>
        </is>
      </c>
    </row>
    <row r="169" ht="18.75" customHeight="1" s="173">
      <c r="A169" s="208">
        <f>B169&amp;"-"&amp;C169</f>
        <v/>
      </c>
      <c r="B169" s="344" t="inlineStr">
        <is>
          <t>V Bis - Recepción recursos desarrollo inmobiliario</t>
        </is>
      </c>
      <c r="C169" s="345" t="n">
        <v>14</v>
      </c>
      <c r="D169" s="208" t="inlineStr">
        <is>
          <t>País / jurisdicción donde se realiza la operación</t>
        </is>
      </c>
      <c r="E169" s="208" t="inlineStr">
        <is>
          <t>Recursos provenientes de o canalizados hacia jurisdicción de alto riesgo.</t>
        </is>
      </c>
      <c r="F169" s="208" t="inlineStr">
        <is>
          <t>Componente internacional de riesgo medio.</t>
        </is>
      </c>
      <c r="G169" s="208" t="inlineStr">
        <is>
          <t>Aportaciones íntegramente nacionales.</t>
        </is>
      </c>
    </row>
    <row r="170" ht="18.75" customHeight="1" s="173">
      <c r="A170" s="208">
        <f>B170&amp;"-"&amp;C170</f>
        <v/>
      </c>
      <c r="B170" s="344" t="inlineStr">
        <is>
          <t>V Bis - Recepción recursos desarrollo inmobiliario</t>
        </is>
      </c>
      <c r="C170" s="345" t="n">
        <v>15</v>
      </c>
      <c r="D170" s="208" t="inlineStr">
        <is>
          <t>Área geográfica nacional de la operación</t>
        </is>
      </c>
      <c r="E170" s="208" t="inlineStr">
        <is>
          <t>Proyecto ubicado en zona de alta incidencia delictiva, marginación o frontera.</t>
        </is>
      </c>
      <c r="F170" s="208" t="inlineStr">
        <is>
          <t>Zona urbana consolidada de riesgo intermedio.</t>
        </is>
      </c>
      <c r="G170" s="208" t="inlineStr">
        <is>
          <t>Zona de baja incidencia delictiva y buena trazabilidad.</t>
        </is>
      </c>
    </row>
    <row r="171" ht="18.75" customHeight="1" s="173">
      <c r="A171" s="208">
        <f>B171&amp;"-"&amp;C171</f>
        <v/>
      </c>
      <c r="B171" s="344" t="inlineStr">
        <is>
          <t>V Bis - Recepción recursos desarrollo inmobiliario</t>
        </is>
      </c>
      <c r="C171" s="345" t="n">
        <v>16</v>
      </c>
      <c r="D171" s="208" t="inlineStr">
        <is>
          <t>Vínculo con jurisdicciones sancionadas, en conflicto o de acción requerida por el GAFI</t>
        </is>
      </c>
      <c r="E171" s="208" t="inlineStr">
        <is>
          <t>Existe exposición a jurisdicciones sancionadas, en conflicto armado o de acción requerida del GAFI, por la vía de aportaciones recibidas desde el extranjero.</t>
        </is>
      </c>
      <c r="F171" s="208" t="inlineStr">
        <is>
          <t>Vínculo con jurisdicciones bajo monitoreo intensificado del GAFI o con deficiencias señaladas en la ENR, sin estar sancionadas ni en conflicto.</t>
        </is>
      </c>
      <c r="G171" s="208" t="inlineStr">
        <is>
          <t>Sin vínculo con jurisdicciones sancionadas, en conflicto o listadas por el GAFI; la operación y sus partes se ubican en plazas sin señalamientos.</t>
        </is>
      </c>
    </row>
    <row r="172" ht="18.75" customHeight="1" s="173">
      <c r="A172" s="208">
        <f>B172&amp;"-"&amp;C172</f>
        <v/>
      </c>
      <c r="B172" s="344" t="inlineStr">
        <is>
          <t>V Bis - Recepción recursos desarrollo inmobiliario</t>
        </is>
      </c>
      <c r="C172" s="345" t="n">
        <v>17</v>
      </c>
      <c r="D172" s="208" t="inlineStr">
        <is>
          <t>Congruencia entre el domicilio del Cliente y el lugar de la operación</t>
        </is>
      </c>
      <c r="E172" s="208" t="inlineStr">
        <is>
          <t>El domicilio del aportante no guarda relación económica ni logística con el lugar donde se realiza la aportación de recursos al desarrollo, y no existe explicación documentada del desplazamiento.</t>
        </is>
      </c>
      <c r="F172" s="208" t="inlineStr">
        <is>
          <t>Existe distancia relevante entre el domicilio del aportante y el lugar de la operación, con explicación plausible pero no soportada en el expediente.</t>
        </is>
      </c>
      <c r="G172" s="208" t="inlineStr">
        <is>
          <t>El domicilio del aportante corresponde a la plaza donde se realiza la aportación de recursos al desarrollo, o el desplazamiento está justificado y documentado.</t>
        </is>
      </c>
    </row>
    <row r="173" ht="18.75" customHeight="1" s="173">
      <c r="A173" s="208">
        <f>B173&amp;"-"&amp;C173</f>
        <v/>
      </c>
      <c r="B173" s="344" t="inlineStr">
        <is>
          <t>V Bis - Recepción recursos desarrollo inmobiliario</t>
        </is>
      </c>
      <c r="C173" s="345" t="n">
        <v>18</v>
      </c>
      <c r="D173" s="208" t="inlineStr">
        <is>
          <t>Instrumento monetario</t>
        </is>
      </c>
      <c r="E173" s="208" t="inlineStr">
        <is>
          <t>Aportaciones en efectivo, instrumentos al portador o criptoactivos.</t>
        </is>
      </c>
      <c r="F173" s="208" t="inlineStr">
        <is>
          <t>Aportaciones mixtas con efectivo parcial y transferencias.</t>
        </is>
      </c>
      <c r="G173" s="208" t="inlineStr">
        <is>
          <t>Aportaciones íntegras por transferencia bancaria.</t>
        </is>
      </c>
    </row>
    <row r="174" ht="18.75" customHeight="1" s="173">
      <c r="A174" s="208">
        <f>B174&amp;"-"&amp;C174</f>
        <v/>
      </c>
      <c r="B174" s="344" t="inlineStr">
        <is>
          <t>V Bis - Recepción recursos desarrollo inmobiliario</t>
        </is>
      </c>
      <c r="C174" s="345" t="n">
        <v>19</v>
      </c>
      <c r="D174" s="208" t="inlineStr">
        <is>
          <t>Tipo de moneda</t>
        </is>
      </c>
      <c r="E174" s="208" t="inlineStr">
        <is>
          <t>Aportaciones en moneda extranjera distinta al USD o en criptomonedas.</t>
        </is>
      </c>
      <c r="F174" s="208" t="inlineStr">
        <is>
          <t>Aportaciones en USD con soporte documental.</t>
        </is>
      </c>
      <c r="G174" s="208" t="inlineStr">
        <is>
          <t>Aportaciones en pesos mexicanos.</t>
        </is>
      </c>
    </row>
    <row r="175" ht="18.75" customHeight="1" s="173">
      <c r="A175" s="208">
        <f>B175&amp;"-"&amp;C175</f>
        <v/>
      </c>
      <c r="B175" s="344" t="inlineStr">
        <is>
          <t>V Bis - Recepción recursos desarrollo inmobiliario</t>
        </is>
      </c>
      <c r="C175" s="345" t="n">
        <v>20</v>
      </c>
      <c r="D175" s="208" t="inlineStr">
        <is>
          <t>Monto frente a umbrales LFPIORPI</t>
        </is>
      </c>
      <c r="E175" s="208" t="inlineStr">
        <is>
          <t>Monto de aportación supera ampliamente el umbral de aviso (8,025 UMA).</t>
        </is>
      </c>
      <c r="F175" s="208" t="inlineStr">
        <is>
          <t>Monto cercano al umbral de aviso sin superarlo.</t>
        </is>
      </c>
      <c r="G175" s="208" t="inlineStr">
        <is>
          <t>Monto muy por debajo del umbral de aviso.</t>
        </is>
      </c>
    </row>
    <row r="176" ht="18.75" customHeight="1" s="173">
      <c r="A176" s="208">
        <f>B176&amp;"-"&amp;C176</f>
        <v/>
      </c>
      <c r="B176" s="344" t="inlineStr">
        <is>
          <t>V Bis - Recepción recursos desarrollo inmobiliario</t>
        </is>
      </c>
      <c r="C176" s="345" t="n">
        <v>21</v>
      </c>
      <c r="D176" s="208" t="inlineStr">
        <is>
          <t>Frecuencia (fraccionamiento)</t>
        </is>
      </c>
      <c r="E176" s="208" t="inlineStr">
        <is>
          <t>Aportaciones frecuentes o fraccionadas entre inversionistas para eludir umbrales.</t>
        </is>
      </c>
      <c r="F176" s="208" t="inlineStr">
        <is>
          <t>Aportaciones parcializadas según calendario contractual.</t>
        </is>
      </c>
      <c r="G176" s="208" t="inlineStr">
        <is>
          <t>Aportación única o programada sin fraccionamiento.</t>
        </is>
      </c>
    </row>
    <row r="177" ht="18.75" customHeight="1" s="173">
      <c r="A177" s="208">
        <f>B177&amp;"-"&amp;C177</f>
        <v/>
      </c>
      <c r="B177" s="344" t="inlineStr">
        <is>
          <t>V Bis - Recepción recursos desarrollo inmobiliario</t>
        </is>
      </c>
      <c r="C177" s="345" t="n">
        <v>22</v>
      </c>
      <c r="D177" s="208" t="inlineStr">
        <is>
          <t>Canal (presencial / no presencial / terceros)</t>
        </is>
      </c>
      <c r="E177" s="208" t="inlineStr">
        <is>
          <t>Recepción no presencial o vía terceros sin contacto directo con el inversionista.</t>
        </is>
      </c>
      <c r="F177" s="208" t="inlineStr">
        <is>
          <t>Contacto parcial o representación con poder documentado.</t>
        </is>
      </c>
      <c r="G177" s="208" t="inlineStr">
        <is>
          <t>Recepción presencial con identificación directa del aportante.</t>
        </is>
      </c>
    </row>
    <row r="178" ht="18.75" customHeight="1" s="173">
      <c r="A178" s="208">
        <f>B178&amp;"-"&amp;C178</f>
        <v/>
      </c>
      <c r="B178" s="344" t="inlineStr">
        <is>
          <t>V Bis - Recepción recursos desarrollo inmobiliario</t>
        </is>
      </c>
      <c r="C178" s="345" t="n">
        <v>23</v>
      </c>
      <c r="D178" s="208" t="inlineStr">
        <is>
          <t>Origen de los recursos</t>
        </is>
      </c>
      <c r="E178" s="208" t="inlineStr">
        <is>
          <t>Origen de las aportaciones no acreditable, en efectivo o de fuente informal.</t>
        </is>
      </c>
      <c r="F178" s="208" t="inlineStr">
        <is>
          <t>Origen parcialmente documentado con soporte incompleto.</t>
        </is>
      </c>
      <c r="G178" s="208" t="inlineStr">
        <is>
          <t>Origen acreditado con documentación financiera y fiscal.</t>
        </is>
      </c>
    </row>
    <row r="179" ht="18.75" customHeight="1" s="173">
      <c r="A179" s="208">
        <f>B179&amp;"-"&amp;C179</f>
        <v/>
      </c>
      <c r="B179" s="344" t="inlineStr">
        <is>
          <t>V Bis - Recepción recursos desarrollo inmobiliario</t>
        </is>
      </c>
      <c r="C179" s="345" t="n">
        <v>24</v>
      </c>
      <c r="D179" s="208" t="inlineStr">
        <is>
          <t>Destino de los recursos</t>
        </is>
      </c>
      <c r="E179" s="208" t="inlineStr">
        <is>
          <t>Destino de recursos opaco, desviado del proyecto o hacia terceros sin justificar.</t>
        </is>
      </c>
      <c r="F179" s="208" t="inlineStr">
        <is>
          <t>Destino declarado con justificación parcial.</t>
        </is>
      </c>
      <c r="G179" s="208" t="inlineStr">
        <is>
          <t>Destino aplicado al proyecto con trazabilidad plena.</t>
        </is>
      </c>
    </row>
    <row r="180" ht="18.75" customHeight="1" s="173">
      <c r="A180" s="208">
        <f>B180&amp;"-"&amp;C180</f>
        <v/>
      </c>
      <c r="B180" s="344" t="inlineStr">
        <is>
          <t>V Bis - Recepción recursos desarrollo inmobiliario</t>
        </is>
      </c>
      <c r="C180" s="345" t="n">
        <v>25</v>
      </c>
      <c r="D180" s="208" t="inlineStr">
        <is>
          <t>Canales e instrumentos idóneos para el financiamiento al terrorismo</t>
        </is>
      </c>
      <c r="E180" s="208" t="inlineStr">
        <is>
          <t>La operación se realiza mediante captación en línea de aportantes múltiples sin identificación reforzada, es decir, medios que permiten mover valor en montos pequeños sin identificar al destinatario final.</t>
        </is>
      </c>
      <c r="F180" s="208" t="inlineStr">
        <is>
          <t>Canal mixto o con verificación parcial: hay registro de la operación pero la trazabilidad del destinatario final es incompleta.</t>
        </is>
      </c>
      <c r="G180" s="208" t="inlineStr">
        <is>
          <t>Aportaciones recibidas por transferencia de cuentas a nombre del propio aportante identificado, con trazabilidad completa del origen y del destinatario.</t>
        </is>
      </c>
    </row>
    <row r="181" ht="18.75" customHeight="1" s="173">
      <c r="A181" s="208">
        <f>B181&amp;"-"&amp;C181</f>
        <v/>
      </c>
      <c r="B181" s="344" t="inlineStr">
        <is>
          <t>VI - Piedras y metales preciosos, joyas</t>
        </is>
      </c>
      <c r="C181" s="345" t="n">
        <v>1</v>
      </c>
      <c r="D181" s="208" t="inlineStr">
        <is>
          <t>Valor del producto o servicio</t>
        </is>
      </c>
      <c r="E181" s="208" t="inlineStr">
        <is>
          <t>Piezas de alto valor unitario: metales, gemas y joyería fina.</t>
        </is>
      </c>
      <c r="F181" s="208" t="inlineStr">
        <is>
          <t>Joyería de valor medio o piezas con gemas semipreciosas.</t>
        </is>
      </c>
      <c r="G181" s="208" t="inlineStr">
        <is>
          <t>Bisutería o piezas de bajo valor unitario.</t>
        </is>
      </c>
    </row>
    <row r="182" ht="18.75" customHeight="1" s="173">
      <c r="A182" s="208">
        <f>B182&amp;"-"&amp;C182</f>
        <v/>
      </c>
      <c r="B182" s="344" t="inlineStr">
        <is>
          <t>VI - Piedras y metales preciosos, joyas</t>
        </is>
      </c>
      <c r="C182" s="345" t="n">
        <v>2</v>
      </c>
      <c r="D182" s="208" t="inlineStr">
        <is>
          <t>Liquidez / convertibilidad</t>
        </is>
      </c>
      <c r="E182" s="208" t="inlineStr">
        <is>
          <t>Bien de altísima liquidez, fácil de revender o fundir a efectivo.</t>
        </is>
      </c>
      <c r="F182" s="208" t="inlineStr">
        <is>
          <t>Revendible con cierta pérdida de valor y trazabilidad parcial.</t>
        </is>
      </c>
      <c r="G182" s="208" t="inlineStr">
        <is>
          <t>Baja reventa y mercado limitado.</t>
        </is>
      </c>
    </row>
    <row r="183" ht="18.75" customHeight="1" s="173">
      <c r="A183" s="208">
        <f>B183&amp;"-"&amp;C183</f>
        <v/>
      </c>
      <c r="B183" s="344" t="inlineStr">
        <is>
          <t>VI - Piedras y metales preciosos, joyas</t>
        </is>
      </c>
      <c r="C183" s="345" t="n">
        <v>3</v>
      </c>
      <c r="D183" s="208" t="inlineStr">
        <is>
          <t>Anonimato / identificación del beneficiario</t>
        </is>
      </c>
      <c r="E183" s="208" t="inlineStr">
        <is>
          <t>Venta al portador sin identificar al beneficiario final.</t>
        </is>
      </c>
      <c r="F183" s="208" t="inlineStr">
        <is>
          <t>Identificación básica sin verificar al beneficiario final.</t>
        </is>
      </c>
      <c r="G183" s="208" t="inlineStr">
        <is>
          <t>Beneficiario final plenamente identificado y verificado.</t>
        </is>
      </c>
    </row>
    <row r="184" ht="18.75" customHeight="1" s="173">
      <c r="A184" s="208">
        <f>B184&amp;"-"&amp;C184</f>
        <v/>
      </c>
      <c r="B184" s="344" t="inlineStr">
        <is>
          <t>VI - Piedras y metales preciosos, joyas</t>
        </is>
      </c>
      <c r="C184" s="345" t="n">
        <v>4</v>
      </c>
      <c r="D184" s="208" t="inlineStr">
        <is>
          <t>Transferencia u ocultamiento de valor</t>
        </is>
      </c>
      <c r="E184" s="208" t="inlineStr">
        <is>
          <t>Portabilidad extrema que permite mover y ocultar valor con facilidad.</t>
        </is>
      </c>
      <c r="F184" s="208" t="inlineStr">
        <is>
          <t>Facilita ocultamiento parcial de valor con esfuerzo moderado.</t>
        </is>
      </c>
      <c r="G184" s="208" t="inlineStr">
        <is>
          <t>Trazabilidad documental que dificulta el ocultamiento de valor.</t>
        </is>
      </c>
    </row>
    <row r="185" ht="18.75" customHeight="1" s="173">
      <c r="A185" s="208">
        <f>B185&amp;"-"&amp;C185</f>
        <v/>
      </c>
      <c r="B185" s="344" t="inlineStr">
        <is>
          <t>VI - Piedras y metales preciosos, joyas</t>
        </is>
      </c>
      <c r="C185" s="345" t="n">
        <v>5</v>
      </c>
      <c r="D185" s="208" t="inlineStr">
        <is>
          <t>Exposición del acto u operación al financiamiento al terrorismo</t>
        </is>
      </c>
      <c r="E185" s="208" t="inlineStr">
        <is>
          <t>Compra de metales o piedras como reserva de valor fácilmente transportable a favor de personas o redes señaladas en listas de sanciones, o con destino a zonas en conflicto.</t>
        </is>
      </c>
      <c r="F185" s="208" t="inlineStr">
        <is>
          <t>Compras recurrentes de alto valor con traslado al extranjero, sin coincidencias en listas pero sin justificación comercial.</t>
        </is>
      </c>
      <c r="G185" s="208" t="inlineStr">
        <is>
          <t>Compra ocasional, de uso personal, con comprador identificado y pago bancarizado.</t>
        </is>
      </c>
    </row>
    <row r="186" ht="18.75" customHeight="1" s="173">
      <c r="A186" s="208">
        <f>B186&amp;"-"&amp;C186</f>
        <v/>
      </c>
      <c r="B186" s="344" t="inlineStr">
        <is>
          <t>VI - Piedras y metales preciosos, joyas</t>
        </is>
      </c>
      <c r="C186" s="345" t="n">
        <v>6</v>
      </c>
      <c r="D186" s="208" t="inlineStr">
        <is>
          <t>Tipo de persona y estructura</t>
        </is>
      </c>
      <c r="E186" s="208" t="inlineStr">
        <is>
          <t>Persona moral extranjera, fideicomiso o estructura opaca.</t>
        </is>
      </c>
      <c r="F186" s="208" t="inlineStr">
        <is>
          <t>Persona moral nacional con estructura de control simple.</t>
        </is>
      </c>
      <c r="G186" s="208" t="inlineStr">
        <is>
          <t>Persona física identificada o empresa con estructura transparente.</t>
        </is>
      </c>
    </row>
    <row r="187" ht="18.75" customHeight="1" s="173">
      <c r="A187" s="208">
        <f>B187&amp;"-"&amp;C187</f>
        <v/>
      </c>
      <c r="B187" s="344" t="inlineStr">
        <is>
          <t>VI - Piedras y metales preciosos, joyas</t>
        </is>
      </c>
      <c r="C187" s="345" t="n">
        <v>7</v>
      </c>
      <c r="D187" s="208" t="inlineStr">
        <is>
          <t>Edad / fecha de constitución</t>
        </is>
      </c>
      <c r="E187" s="208" t="inlineStr">
        <is>
          <t>Persona física muy joven atípica o empresa de reciente creación.</t>
        </is>
      </c>
      <c r="F187" s="208" t="inlineStr">
        <is>
          <t>Antigüedad intermedia sin historial consolidado.</t>
        </is>
      </c>
      <c r="G187" s="208" t="inlineStr">
        <is>
          <t>Persona o empresa con trayectoria y antigüedad acreditada.</t>
        </is>
      </c>
    </row>
    <row r="188" ht="18.75" customHeight="1" s="173">
      <c r="A188" s="208">
        <f>B188&amp;"-"&amp;C188</f>
        <v/>
      </c>
      <c r="B188" s="344" t="inlineStr">
        <is>
          <t>VI - Piedras y metales preciosos, joyas</t>
        </is>
      </c>
      <c r="C188" s="345" t="n">
        <v>8</v>
      </c>
      <c r="D188" s="208" t="inlineStr">
        <is>
          <t>Actividad económica o giro (y fuente de ingresos)</t>
        </is>
      </c>
      <c r="E188" s="208" t="inlineStr">
        <is>
          <t>Giro informal, uso intensivo de efectivo o mercados de segunda mano.</t>
        </is>
      </c>
      <c r="F188" s="208" t="inlineStr">
        <is>
          <t>Comercio formal con componente de efectivo relevante.</t>
        </is>
      </c>
      <c r="G188" s="208" t="inlineStr">
        <is>
          <t>Establecimiento formal con ingresos bancarizados y acreditados.</t>
        </is>
      </c>
    </row>
    <row r="189" ht="18.75" customHeight="1" s="173">
      <c r="A189" s="208">
        <f>B189&amp;"-"&amp;C189</f>
        <v/>
      </c>
      <c r="B189" s="344" t="inlineStr">
        <is>
          <t>VI - Piedras y metales preciosos, joyas</t>
        </is>
      </c>
      <c r="C189" s="345" t="n">
        <v>9</v>
      </c>
      <c r="D189" s="208" t="inlineStr">
        <is>
          <t>Nacionalidad del cliente</t>
        </is>
      </c>
      <c r="E189" s="208" t="inlineStr">
        <is>
          <t>Cliente de país en listas GAFI, sancionado o de régimen fiscal preferente.</t>
        </is>
      </c>
      <c r="F189" s="208" t="inlineStr">
        <is>
          <t>Cliente extranjero de país sin deficiencias estratégicas pero con controles PLD limitados.</t>
        </is>
      </c>
      <c r="G189" s="208" t="inlineStr">
        <is>
          <t>Cliente mexicano o de país cooperante con marco PLD/FT sólido.</t>
        </is>
      </c>
    </row>
    <row r="190" ht="18.75" customHeight="1" s="173">
      <c r="A190" s="208">
        <f>B190&amp;"-"&amp;C190</f>
        <v/>
      </c>
      <c r="B190" s="344" t="inlineStr">
        <is>
          <t>VI - Piedras y metales preciosos, joyas</t>
        </is>
      </c>
      <c r="C190" s="345" t="n">
        <v>10</v>
      </c>
      <c r="D190" s="208" t="inlineStr">
        <is>
          <t>País (y en su caso, estado) de residencia del cliente</t>
        </is>
      </c>
      <c r="E190" s="208" t="inlineStr">
        <is>
          <t>Residencia en jurisdicción de alto riesgo o domicilio no verificable.</t>
        </is>
      </c>
      <c r="F190" s="208" t="inlineStr">
        <is>
          <t>Residencia en entidad de riesgo intermedio o parcialmente verificable.</t>
        </is>
      </c>
      <c r="G190" s="208" t="inlineStr">
        <is>
          <t>Residencia nacional plenamente verificada y documentada.</t>
        </is>
      </c>
    </row>
    <row r="191" ht="18.75" customHeight="1" s="173">
      <c r="A191" s="208">
        <f>B191&amp;"-"&amp;C191</f>
        <v/>
      </c>
      <c r="B191" s="344" t="inlineStr">
        <is>
          <t>VI - Piedras y metales preciosos, joyas</t>
        </is>
      </c>
      <c r="C191" s="345" t="n">
        <v>11</v>
      </c>
      <c r="D191" s="208" t="inlineStr">
        <is>
          <t>Condición PEP</t>
        </is>
      </c>
      <c r="E191" s="208" t="inlineStr">
        <is>
          <t>PEP nacional o extranjera, o familiar/allegado de PEP.</t>
        </is>
      </c>
      <c r="F191" s="208" t="inlineStr">
        <is>
          <t>Vínculo indirecto o histórico con PEP, sin poder de decisión actual.</t>
        </is>
      </c>
      <c r="G191" s="208" t="inlineStr">
        <is>
          <t>Cliente sin condición PEP ni relación con personas expuestas.</t>
        </is>
      </c>
    </row>
    <row r="192" ht="18.75" customHeight="1" s="173">
      <c r="A192" s="208">
        <f>B192&amp;"-"&amp;C192</f>
        <v/>
      </c>
      <c r="B192" s="344" t="inlineStr">
        <is>
          <t>VI - Piedras y metales preciosos, joyas</t>
        </is>
      </c>
      <c r="C192" s="345" t="n">
        <v>12</v>
      </c>
      <c r="D192" s="208" t="inlineStr">
        <is>
          <t>Coincidencia en listas de personas bloqueadas o de sanciones</t>
        </is>
      </c>
      <c r="E192" s="208" t="inlineStr">
        <is>
          <t>El comprador, su beneficiario controlador, apoderado o contraparte aparece en la Lista de Personas Bloqueadas, en listas de sanciones o en listas de organizaciones terroristas, o presenta una coincidencia fuerte que no ha sido descartada.</t>
        </is>
      </c>
      <c r="F192" s="208" t="inlineStr">
        <is>
          <t>Se detecta coincidencia parcial u homonimia respecto del comprador o de alguna persona relacionada, y el descarte se encuentra en proceso con constancia documental.</t>
        </is>
      </c>
      <c r="G192" s="208" t="inlineStr">
        <is>
          <t>Búsqueda realizada y documentada sobre el comprador y sus personas relacionadas, sin coincidencias.</t>
        </is>
      </c>
    </row>
    <row r="193" ht="18.75" customHeight="1" s="173">
      <c r="A193" s="208">
        <f>B193&amp;"-"&amp;C193</f>
        <v/>
      </c>
      <c r="B193" s="344" t="inlineStr">
        <is>
          <t>VI - Piedras y metales preciosos, joyas</t>
        </is>
      </c>
      <c r="C193" s="345" t="n">
        <v>13</v>
      </c>
      <c r="D193" s="208" t="inlineStr">
        <is>
          <t>Identificación y complejidad del Beneficiario Controlador</t>
        </is>
      </c>
      <c r="E193" s="208" t="inlineStr">
        <is>
          <t>No se logra identificar al beneficiario controlador del comprador, o la estructura interpone dos o más niveles societarios, fiduciarios o vehículos constituidos en el extranjero para llegar al 25 por ciento.</t>
        </is>
      </c>
      <c r="F193" s="208" t="inlineStr">
        <is>
          <t>Beneficiario controlador identificado, pero a través de una estructura de más de un nivel o con participación indirecta que exigió reconstruir la cadena de control con documentos.</t>
        </is>
      </c>
      <c r="G193" s="208" t="inlineStr">
        <is>
          <t>Beneficiario controlador identificado de forma directa y documentada: persona física que posee al menos el 25 por ciento o que ejerce el control por otra vía acreditada.</t>
        </is>
      </c>
    </row>
    <row r="194" ht="18.75" customHeight="1" s="173">
      <c r="A194" s="208">
        <f>B194&amp;"-"&amp;C194</f>
        <v/>
      </c>
      <c r="B194" s="344" t="inlineStr">
        <is>
          <t>VI - Piedras y metales preciosos, joyas</t>
        </is>
      </c>
      <c r="C194" s="345" t="n">
        <v>14</v>
      </c>
      <c r="D194" s="208" t="inlineStr">
        <is>
          <t>País / jurisdicción donde se realiza la operación</t>
        </is>
      </c>
      <c r="E194" s="208" t="inlineStr">
        <is>
          <t>Operación realizada con o desde jurisdicción de alto riesgo.</t>
        </is>
      </c>
      <c r="F194" s="208" t="inlineStr">
        <is>
          <t>Operación con contraparte en jurisdicción de riesgo intermedio.</t>
        </is>
      </c>
      <c r="G194" s="208" t="inlineStr">
        <is>
          <t>Operación nacional o con jurisdicción cooperante y transparente.</t>
        </is>
      </c>
    </row>
    <row r="195" ht="18.75" customHeight="1" s="173">
      <c r="A195" s="208">
        <f>B195&amp;"-"&amp;C195</f>
        <v/>
      </c>
      <c r="B195" s="344" t="inlineStr">
        <is>
          <t>VI - Piedras y metales preciosos, joyas</t>
        </is>
      </c>
      <c r="C195" s="345" t="n">
        <v>15</v>
      </c>
      <c r="D195" s="208" t="inlineStr">
        <is>
          <t>Área geográfica nacional de la operación</t>
        </is>
      </c>
      <c r="E195" s="208" t="inlineStr">
        <is>
          <t>Zona de alta incidencia delictiva, marginación o franja fronteriza.</t>
        </is>
      </c>
      <c r="F195" s="208" t="inlineStr">
        <is>
          <t>Zona urbana de riesgo intermedio sin alertas relevantes.</t>
        </is>
      </c>
      <c r="G195" s="208" t="inlineStr">
        <is>
          <t>Zona de baja incidencia con presencia institucional.</t>
        </is>
      </c>
    </row>
    <row r="196" ht="18.75" customHeight="1" s="173">
      <c r="A196" s="208">
        <f>B196&amp;"-"&amp;C196</f>
        <v/>
      </c>
      <c r="B196" s="344" t="inlineStr">
        <is>
          <t>VI - Piedras y metales preciosos, joyas</t>
        </is>
      </c>
      <c r="C196" s="345" t="n">
        <v>16</v>
      </c>
      <c r="D196" s="208" t="inlineStr">
        <is>
          <t>Vínculo con jurisdicciones sancionadas, en conflicto o de acción requerida por el GAFI</t>
        </is>
      </c>
      <c r="E196" s="208" t="inlineStr">
        <is>
          <t>Existe exposición a jurisdicciones sancionadas, en conflicto armado o de acción requerida del GAFI, por la vía de traslado físico de la mercancía al extranjero.</t>
        </is>
      </c>
      <c r="F196" s="208" t="inlineStr">
        <is>
          <t>Vínculo con jurisdicciones bajo monitoreo intensificado del GAFI o con deficiencias señaladas en la ENR, sin estar sancionadas ni en conflicto.</t>
        </is>
      </c>
      <c r="G196" s="208" t="inlineStr">
        <is>
          <t>Sin vínculo con jurisdicciones sancionadas, en conflicto o listadas por el GAFI; la operación y sus partes se ubican en plazas sin señalamientos.</t>
        </is>
      </c>
    </row>
    <row r="197" ht="18.75" customHeight="1" s="173">
      <c r="A197" s="208">
        <f>B197&amp;"-"&amp;C197</f>
        <v/>
      </c>
      <c r="B197" s="344" t="inlineStr">
        <is>
          <t>VI - Piedras y metales preciosos, joyas</t>
        </is>
      </c>
      <c r="C197" s="345" t="n">
        <v>17</v>
      </c>
      <c r="D197" s="208" t="inlineStr">
        <is>
          <t>Congruencia entre el domicilio del Cliente y el lugar de la operación</t>
        </is>
      </c>
      <c r="E197" s="208" t="inlineStr">
        <is>
          <t>El domicilio del comprador no guarda relación económica ni logística con el lugar donde se realiza la compraventa de la joya o el metal precioso, y no existe explicación documentada del desplazamiento.</t>
        </is>
      </c>
      <c r="F197" s="208" t="inlineStr">
        <is>
          <t>Existe distancia relevante entre el domicilio del comprador y el lugar de la operación, con explicación plausible pero no soportada en el expediente.</t>
        </is>
      </c>
      <c r="G197" s="208" t="inlineStr">
        <is>
          <t>El domicilio del comprador corresponde a la plaza donde se realiza la compraventa de la joya o el metal precioso, o el desplazamiento está justificado y documentado.</t>
        </is>
      </c>
    </row>
    <row r="198" ht="18.75" customHeight="1" s="173">
      <c r="A198" s="208">
        <f>B198&amp;"-"&amp;C198</f>
        <v/>
      </c>
      <c r="B198" s="344" t="inlineStr">
        <is>
          <t>VI - Piedras y metales preciosos, joyas</t>
        </is>
      </c>
      <c r="C198" s="345" t="n">
        <v>18</v>
      </c>
      <c r="D198" s="208" t="inlineStr">
        <is>
          <t>Instrumento monetario</t>
        </is>
      </c>
      <c r="E198" s="208" t="inlineStr">
        <is>
          <t>Pago en efectivo o instrumentos al portador.</t>
        </is>
      </c>
      <c r="F198" s="208" t="inlineStr">
        <is>
          <t>Pago mixto: efectivo combinado con transferencia.</t>
        </is>
      </c>
      <c r="G198" s="208" t="inlineStr">
        <is>
          <t>Pago íntegro a través del sistema financiero.</t>
        </is>
      </c>
    </row>
    <row r="199" ht="18.75" customHeight="1" s="173">
      <c r="A199" s="208">
        <f>B199&amp;"-"&amp;C199</f>
        <v/>
      </c>
      <c r="B199" s="344" t="inlineStr">
        <is>
          <t>VI - Piedras y metales preciosos, joyas</t>
        </is>
      </c>
      <c r="C199" s="345" t="n">
        <v>19</v>
      </c>
      <c r="D199" s="208" t="inlineStr">
        <is>
          <t>Tipo de moneda</t>
        </is>
      </c>
      <c r="E199" s="208" t="inlineStr">
        <is>
          <t>Operación en moneda extranjera distinta al USD o en criptomonedas.</t>
        </is>
      </c>
      <c r="F199" s="208" t="inlineStr">
        <is>
          <t>Operación pactada en dólares estadounidenses (USD).</t>
        </is>
      </c>
      <c r="G199" s="208" t="inlineStr">
        <is>
          <t>Operación pactada y liquidada en pesos mexicanos.</t>
        </is>
      </c>
    </row>
    <row r="200" ht="18.75" customHeight="1" s="173">
      <c r="A200" s="208">
        <f>B200&amp;"-"&amp;C200</f>
        <v/>
      </c>
      <c r="B200" s="344" t="inlineStr">
        <is>
          <t>VI - Piedras y metales preciosos, joyas</t>
        </is>
      </c>
      <c r="C200" s="345" t="n">
        <v>20</v>
      </c>
      <c r="D200" s="208" t="inlineStr">
        <is>
          <t>Monto frente a umbrales LFPIORPI</t>
        </is>
      </c>
      <c r="E200" s="208" t="inlineStr">
        <is>
          <t>Monto que supera el umbral de aviso de 1,605 UMA.</t>
        </is>
      </c>
      <c r="F200" s="208" t="inlineStr">
        <is>
          <t>Monto cercano al umbral de 1,605 UMA sin superarlo.</t>
        </is>
      </c>
      <c r="G200" s="208" t="inlineStr">
        <is>
          <t>Monto muy por debajo del umbral de 1,605 UMA.</t>
        </is>
      </c>
    </row>
    <row r="201" ht="18.75" customHeight="1" s="173">
      <c r="A201" s="208">
        <f>B201&amp;"-"&amp;C201</f>
        <v/>
      </c>
      <c r="B201" s="344" t="inlineStr">
        <is>
          <t>VI - Piedras y metales preciosos, joyas</t>
        </is>
      </c>
      <c r="C201" s="345" t="n">
        <v>21</v>
      </c>
      <c r="D201" s="208" t="inlineStr">
        <is>
          <t>Frecuencia (fraccionamiento)</t>
        </is>
      </c>
      <c r="E201" s="208" t="inlineStr">
        <is>
          <t>Operaciones frecuentes o fraccionadas para eludir el umbral.</t>
        </is>
      </c>
      <c r="F201" s="208" t="inlineStr">
        <is>
          <t>Recurrencia moderada sin patrón claro de fraccionamiento.</t>
        </is>
      </c>
      <c r="G201" s="208" t="inlineStr">
        <is>
          <t>Operación aislada y consistente con el perfil del cliente.</t>
        </is>
      </c>
    </row>
    <row r="202" ht="18.75" customHeight="1" s="173">
      <c r="A202" s="208">
        <f>B202&amp;"-"&amp;C202</f>
        <v/>
      </c>
      <c r="B202" s="344" t="inlineStr">
        <is>
          <t>VI - Piedras y metales preciosos, joyas</t>
        </is>
      </c>
      <c r="C202" s="345" t="n">
        <v>22</v>
      </c>
      <c r="D202" s="208" t="inlineStr">
        <is>
          <t>Canal (presencial / no presencial / terceros)</t>
        </is>
      </c>
      <c r="E202" s="208" t="inlineStr">
        <is>
          <t>Operación no presencial o a través de terceros sin contacto directo.</t>
        </is>
      </c>
      <c r="F202" s="208" t="inlineStr">
        <is>
          <t>Operación presencial con intermediación parcial de un tercero.</t>
        </is>
      </c>
      <c r="G202" s="208" t="inlineStr">
        <is>
          <t>Operación presencial directa con el cliente plenamente identificado.</t>
        </is>
      </c>
    </row>
    <row r="203" ht="18.75" customHeight="1" s="173">
      <c r="A203" s="208">
        <f>B203&amp;"-"&amp;C203</f>
        <v/>
      </c>
      <c r="B203" s="344" t="inlineStr">
        <is>
          <t>VI - Piedras y metales preciosos, joyas</t>
        </is>
      </c>
      <c r="C203" s="345" t="n">
        <v>23</v>
      </c>
      <c r="D203" s="208" t="inlineStr">
        <is>
          <t>Origen de los recursos</t>
        </is>
      </c>
      <c r="E203" s="208" t="inlineStr">
        <is>
          <t>Recursos de origen no acreditable, en efectivo o informal.</t>
        </is>
      </c>
      <c r="F203" s="208" t="inlineStr">
        <is>
          <t>Origen de recursos parcialmente documentado.</t>
        </is>
      </c>
      <c r="G203" s="208" t="inlineStr">
        <is>
          <t>Origen lícito plenamente acreditado y bancarizado.</t>
        </is>
      </c>
    </row>
    <row r="204" ht="18.75" customHeight="1" s="173">
      <c r="A204" s="208">
        <f>B204&amp;"-"&amp;C204</f>
        <v/>
      </c>
      <c r="B204" s="344" t="inlineStr">
        <is>
          <t>VI - Piedras y metales preciosos, joyas</t>
        </is>
      </c>
      <c r="C204" s="345" t="n">
        <v>24</v>
      </c>
      <c r="D204" s="208" t="inlineStr">
        <is>
          <t>Destino de los recursos</t>
        </is>
      </c>
      <c r="E204" s="208" t="inlineStr">
        <is>
          <t>Destino opaco, a terceros o al exterior sin justificación.</t>
        </is>
      </c>
      <c r="F204" s="208" t="inlineStr">
        <is>
          <t>Destino de recursos parcialmente justificado.</t>
        </is>
      </c>
      <c r="G204" s="208" t="inlineStr">
        <is>
          <t>Destino claro, documentado y congruente con la operación.</t>
        </is>
      </c>
    </row>
    <row r="205" ht="18.75" customHeight="1" s="173">
      <c r="A205" s="208">
        <f>B205&amp;"-"&amp;C205</f>
        <v/>
      </c>
      <c r="B205" s="344" t="inlineStr">
        <is>
          <t>VI - Piedras y metales preciosos, joyas</t>
        </is>
      </c>
      <c r="C205" s="345" t="n">
        <v>25</v>
      </c>
      <c r="D205" s="208" t="inlineStr">
        <is>
          <t>Canales e instrumentos idóneos para el financiamiento al terrorismo</t>
        </is>
      </c>
      <c r="E205" s="208" t="inlineStr">
        <is>
          <t>La operación se realiza mediante venta en efectivo, entrega a terceros y traslado transfronterizo del bien, es decir, medios que permiten mover valor en montos pequeños sin identificar al destinatario final.</t>
        </is>
      </c>
      <c r="F205" s="208" t="inlineStr">
        <is>
          <t>Canal mixto o con verificación parcial: hay registro de la operación pero la trazabilidad del destinatario final es incompleta.</t>
        </is>
      </c>
      <c r="G205" s="208" t="inlineStr">
        <is>
          <t>Venta con comprador identificado, pago bancarizado y entrega documentada al propio comprador, con trazabilidad completa del origen y del destinatario.</t>
        </is>
      </c>
    </row>
    <row r="206" ht="18.75" customHeight="1" s="173">
      <c r="A206" s="208">
        <f>B206&amp;"-"&amp;C206</f>
        <v/>
      </c>
      <c r="B206" s="344" t="inlineStr">
        <is>
          <t>VII - Subasta/comercialización obras de arte</t>
        </is>
      </c>
      <c r="C206" s="345" t="n">
        <v>1</v>
      </c>
      <c r="D206" s="208" t="inlineStr">
        <is>
          <t>Valor del producto o servicio</t>
        </is>
      </c>
      <c r="E206" s="208" t="inlineStr">
        <is>
          <t>Obras de alto valor con tasación subjetiva y sin referencia de mercado.</t>
        </is>
      </c>
      <c r="F206" s="208" t="inlineStr">
        <is>
          <t>Obras de valor intermedio de artistas con mercado establecido.</t>
        </is>
      </c>
      <c r="G206" s="208" t="inlineStr">
        <is>
          <t>Arte contemporáneo o decorativo de bajo valor unitario.</t>
        </is>
      </c>
    </row>
    <row r="207" ht="18.75" customHeight="1" s="173">
      <c r="A207" s="208">
        <f>B207&amp;"-"&amp;C207</f>
        <v/>
      </c>
      <c r="B207" s="344" t="inlineStr">
        <is>
          <t>VII - Subasta/comercialización obras de arte</t>
        </is>
      </c>
      <c r="C207" s="345" t="n">
        <v>2</v>
      </c>
      <c r="D207" s="208" t="inlineStr">
        <is>
          <t>Liquidez / convertibilidad</t>
        </is>
      </c>
      <c r="E207" s="208" t="inlineStr">
        <is>
          <t>Pieza fácilmente revendible en mercado internacional opaco.</t>
        </is>
      </c>
      <c r="F207" s="208" t="inlineStr">
        <is>
          <t>Reventa posible pero con menor liquidez y trazabilidad.</t>
        </is>
      </c>
      <c r="G207" s="208" t="inlineStr">
        <is>
          <t>Baja reventa; obra de circulación local limitada.</t>
        </is>
      </c>
    </row>
    <row r="208" ht="18.75" customHeight="1" s="173">
      <c r="A208" s="208">
        <f>B208&amp;"-"&amp;C208</f>
        <v/>
      </c>
      <c r="B208" s="344" t="inlineStr">
        <is>
          <t>VII - Subasta/comercialización obras de arte</t>
        </is>
      </c>
      <c r="C208" s="345" t="n">
        <v>3</v>
      </c>
      <c r="D208" s="208" t="inlineStr">
        <is>
          <t>Anonimato / identificación del beneficiario</t>
        </is>
      </c>
      <c r="E208" s="208" t="inlineStr">
        <is>
          <t>Compra a través de intermediarios que ocultan al beneficiario final.</t>
        </is>
      </c>
      <c r="F208" s="208" t="inlineStr">
        <is>
          <t>Identificación básica sin verificar al beneficiario final.</t>
        </is>
      </c>
      <c r="G208" s="208" t="inlineStr">
        <is>
          <t>Comprador y beneficiario final plenamente identificados.</t>
        </is>
      </c>
    </row>
    <row r="209" ht="18.75" customHeight="1" s="173">
      <c r="A209" s="208">
        <f>B209&amp;"-"&amp;C209</f>
        <v/>
      </c>
      <c r="B209" s="344" t="inlineStr">
        <is>
          <t>VII - Subasta/comercialización obras de arte</t>
        </is>
      </c>
      <c r="C209" s="345" t="n">
        <v>4</v>
      </c>
      <c r="D209" s="208" t="inlineStr">
        <is>
          <t>Transferencia u ocultamiento de valor</t>
        </is>
      </c>
      <c r="E209" s="208" t="inlineStr">
        <is>
          <t>Sobre o subvaluación permite justificar o mover valor ilícito.</t>
        </is>
      </c>
      <c r="F209" s="208" t="inlineStr">
        <is>
          <t>Margen de valuación que facilita ajustes de valor moderados.</t>
        </is>
      </c>
      <c r="G209" s="208" t="inlineStr">
        <is>
          <t>Valuación soportada y trazable que dificulta el ocultamiento.</t>
        </is>
      </c>
    </row>
    <row r="210" ht="18.75" customHeight="1" s="173">
      <c r="A210" s="208">
        <f>B210&amp;"-"&amp;C210</f>
        <v/>
      </c>
      <c r="B210" s="344" t="inlineStr">
        <is>
          <t>VII - Subasta/comercialización obras de arte</t>
        </is>
      </c>
      <c r="C210" s="345" t="n">
        <v>5</v>
      </c>
      <c r="D210" s="208" t="inlineStr">
        <is>
          <t>Exposición del acto u operación al financiamiento al terrorismo</t>
        </is>
      </c>
      <c r="E210" s="208" t="inlineStr">
        <is>
          <t>Uso de la obra como instrumento de alto valor y fácil traslado para transferir recursos a favor de personas señaladas en listas o hacia zonas en conflicto.</t>
        </is>
      </c>
      <c r="F210" s="208" t="inlineStr">
        <is>
          <t>Compradores o consignantes del extranjero con estructura opaca, sin coincidencias en listas.</t>
        </is>
      </c>
      <c r="G210" s="208" t="inlineStr">
        <is>
          <t>Partes identificadas, procedencia documentada de la pieza y pago bancarizado.</t>
        </is>
      </c>
    </row>
    <row r="211" ht="18.75" customHeight="1" s="173">
      <c r="A211" s="208">
        <f>B211&amp;"-"&amp;C211</f>
        <v/>
      </c>
      <c r="B211" s="344" t="inlineStr">
        <is>
          <t>VII - Subasta/comercialización obras de arte</t>
        </is>
      </c>
      <c r="C211" s="345" t="n">
        <v>6</v>
      </c>
      <c r="D211" s="208" t="inlineStr">
        <is>
          <t>Tipo de persona y estructura</t>
        </is>
      </c>
      <c r="E211" s="208" t="inlineStr">
        <is>
          <t>Persona moral extranjera, fideicomiso o coleccionista anónimo.</t>
        </is>
      </c>
      <c r="F211" s="208" t="inlineStr">
        <is>
          <t>Persona moral nacional o galería con estructura simple.</t>
        </is>
      </c>
      <c r="G211" s="208" t="inlineStr">
        <is>
          <t>Persona física identificada o institución transparente.</t>
        </is>
      </c>
    </row>
    <row r="212" ht="18.75" customHeight="1" s="173">
      <c r="A212" s="208">
        <f>B212&amp;"-"&amp;C212</f>
        <v/>
      </c>
      <c r="B212" s="344" t="inlineStr">
        <is>
          <t>VII - Subasta/comercialización obras de arte</t>
        </is>
      </c>
      <c r="C212" s="345" t="n">
        <v>7</v>
      </c>
      <c r="D212" s="208" t="inlineStr">
        <is>
          <t>Edad / fecha de constitución</t>
        </is>
      </c>
      <c r="E212" s="208" t="inlineStr">
        <is>
          <t>Comprador muy joven atípico o entidad de reciente creación.</t>
        </is>
      </c>
      <c r="F212" s="208" t="inlineStr">
        <is>
          <t>Antigüedad intermedia sin historial de colección consolidado.</t>
        </is>
      </c>
      <c r="G212" s="208" t="inlineStr">
        <is>
          <t>Coleccionista o casa con trayectoria y antigüedad acreditada.</t>
        </is>
      </c>
    </row>
    <row r="213" ht="18.75" customHeight="1" s="173">
      <c r="A213" s="208">
        <f>B213&amp;"-"&amp;C213</f>
        <v/>
      </c>
      <c r="B213" s="344" t="inlineStr">
        <is>
          <t>VII - Subasta/comercialización obras de arte</t>
        </is>
      </c>
      <c r="C213" s="345" t="n">
        <v>8</v>
      </c>
      <c r="D213" s="208" t="inlineStr">
        <is>
          <t>Actividad económica o giro (y fuente de ingresos)</t>
        </is>
      </c>
      <c r="E213" s="208" t="inlineStr">
        <is>
          <t>Giro sin sustancia económica o uso del arte como reserva de valor.</t>
        </is>
      </c>
      <c r="F213" s="208" t="inlineStr">
        <is>
          <t>Actividad formal con ingresos parcialmente acreditados.</t>
        </is>
      </c>
      <c r="G213" s="208" t="inlineStr">
        <is>
          <t>Galería o casa de subastas formal con ingresos bancarizados.</t>
        </is>
      </c>
    </row>
    <row r="214" ht="18.75" customHeight="1" s="173">
      <c r="A214" s="208">
        <f>B214&amp;"-"&amp;C214</f>
        <v/>
      </c>
      <c r="B214" s="344" t="inlineStr">
        <is>
          <t>VII - Subasta/comercialización obras de arte</t>
        </is>
      </c>
      <c r="C214" s="345" t="n">
        <v>9</v>
      </c>
      <c r="D214" s="208" t="inlineStr">
        <is>
          <t>Nacionalidad del cliente</t>
        </is>
      </c>
      <c r="E214" s="208" t="inlineStr">
        <is>
          <t>Cliente de país en listas GAFI, sancionado o de régimen fiscal preferente.</t>
        </is>
      </c>
      <c r="F214" s="208" t="inlineStr">
        <is>
          <t>Cliente extranjero de país sin deficiencias estratégicas pero con controles PLD limitados.</t>
        </is>
      </c>
      <c r="G214" s="208" t="inlineStr">
        <is>
          <t>Cliente mexicano o de país cooperante con marco PLD/FT sólido.</t>
        </is>
      </c>
    </row>
    <row r="215" ht="18.75" customHeight="1" s="173">
      <c r="A215" s="208">
        <f>B215&amp;"-"&amp;C215</f>
        <v/>
      </c>
      <c r="B215" s="344" t="inlineStr">
        <is>
          <t>VII - Subasta/comercialización obras de arte</t>
        </is>
      </c>
      <c r="C215" s="345" t="n">
        <v>10</v>
      </c>
      <c r="D215" s="208" t="inlineStr">
        <is>
          <t>País (y en su caso, estado) de residencia del cliente</t>
        </is>
      </c>
      <c r="E215" s="208" t="inlineStr">
        <is>
          <t>Residencia en jurisdicción de alto riesgo o domicilio no verificable.</t>
        </is>
      </c>
      <c r="F215" s="208" t="inlineStr">
        <is>
          <t>Residencia en entidad de riesgo intermedio o parcialmente verificable.</t>
        </is>
      </c>
      <c r="G215" s="208" t="inlineStr">
        <is>
          <t>Residencia nacional plenamente verificada y documentada.</t>
        </is>
      </c>
    </row>
    <row r="216" ht="18.75" customHeight="1" s="173">
      <c r="A216" s="208">
        <f>B216&amp;"-"&amp;C216</f>
        <v/>
      </c>
      <c r="B216" s="344" t="inlineStr">
        <is>
          <t>VII - Subasta/comercialización obras de arte</t>
        </is>
      </c>
      <c r="C216" s="345" t="n">
        <v>11</v>
      </c>
      <c r="D216" s="208" t="inlineStr">
        <is>
          <t>Condición PEP</t>
        </is>
      </c>
      <c r="E216" s="208" t="inlineStr">
        <is>
          <t>PEP nacional o extranjera, o familiar/allegado de PEP.</t>
        </is>
      </c>
      <c r="F216" s="208" t="inlineStr">
        <is>
          <t>Vínculo indirecto o histórico con PEP, sin poder de decisión actual.</t>
        </is>
      </c>
      <c r="G216" s="208" t="inlineStr">
        <is>
          <t>Cliente sin condición PEP ni relación con personas expuestas.</t>
        </is>
      </c>
    </row>
    <row r="217" ht="18.75" customHeight="1" s="173">
      <c r="A217" s="208">
        <f>B217&amp;"-"&amp;C217</f>
        <v/>
      </c>
      <c r="B217" s="344" t="inlineStr">
        <is>
          <t>VII - Subasta/comercialización obras de arte</t>
        </is>
      </c>
      <c r="C217" s="345" t="n">
        <v>12</v>
      </c>
      <c r="D217" s="208" t="inlineStr">
        <is>
          <t>Coincidencia en listas de personas bloqueadas o de sanciones</t>
        </is>
      </c>
      <c r="E217" s="208" t="inlineStr">
        <is>
          <t>El comprador o consignante, su beneficiario controlador, apoderado o contraparte aparece en la Lista de Personas Bloqueadas, en listas de sanciones o en listas de organizaciones terroristas, o presenta una coincidencia fuerte que no ha sido descartada.</t>
        </is>
      </c>
      <c r="F217" s="208" t="inlineStr">
        <is>
          <t>Se detecta coincidencia parcial u homonimia respecto del comprador o consignante o de alguna persona relacionada, y el descarte se encuentra en proceso con constancia documental.</t>
        </is>
      </c>
      <c r="G217" s="208" t="inlineStr">
        <is>
          <t>Búsqueda realizada y documentada sobre el comprador o consignante y sus personas relacionadas, sin coincidencias.</t>
        </is>
      </c>
    </row>
    <row r="218" ht="18.75" customHeight="1" s="173">
      <c r="A218" s="208">
        <f>B218&amp;"-"&amp;C218</f>
        <v/>
      </c>
      <c r="B218" s="344" t="inlineStr">
        <is>
          <t>VII - Subasta/comercialización obras de arte</t>
        </is>
      </c>
      <c r="C218" s="345" t="n">
        <v>13</v>
      </c>
      <c r="D218" s="208" t="inlineStr">
        <is>
          <t>Identificación y complejidad del Beneficiario Controlador</t>
        </is>
      </c>
      <c r="E218" s="208" t="inlineStr">
        <is>
          <t>No se logra identificar al beneficiario controlador del comprador o consignante, o la estructura interpone dos o más niveles societarios, fiduciarios o vehículos constituidos en el extranjero para llegar al 25 por ciento.</t>
        </is>
      </c>
      <c r="F218" s="208" t="inlineStr">
        <is>
          <t>Beneficiario controlador identificado, pero a través de una estructura de más de un nivel o con participación indirecta que exigió reconstruir la cadena de control con documentos.</t>
        </is>
      </c>
      <c r="G218" s="208" t="inlineStr">
        <is>
          <t>Beneficiario controlador identificado de forma directa y documentada: persona física que posee al menos el 25 por ciento o que ejerce el control por otra vía acreditada.</t>
        </is>
      </c>
    </row>
    <row r="219" ht="18.75" customHeight="1" s="173">
      <c r="A219" s="208">
        <f>B219&amp;"-"&amp;C219</f>
        <v/>
      </c>
      <c r="B219" s="344" t="inlineStr">
        <is>
          <t>VII - Subasta/comercialización obras de arte</t>
        </is>
      </c>
      <c r="C219" s="345" t="n">
        <v>14</v>
      </c>
      <c r="D219" s="208" t="inlineStr">
        <is>
          <t>País / jurisdicción donde se realiza la operación</t>
        </is>
      </c>
      <c r="E219" s="208" t="inlineStr">
        <is>
          <t>Operación realizada con o desde jurisdicción de alto riesgo.</t>
        </is>
      </c>
      <c r="F219" s="208" t="inlineStr">
        <is>
          <t>Operación con contraparte en jurisdicción de riesgo intermedio.</t>
        </is>
      </c>
      <c r="G219" s="208" t="inlineStr">
        <is>
          <t>Operación nacional o con jurisdicción cooperante y transparente.</t>
        </is>
      </c>
    </row>
    <row r="220" ht="18.75" customHeight="1" s="173">
      <c r="A220" s="208">
        <f>B220&amp;"-"&amp;C220</f>
        <v/>
      </c>
      <c r="B220" s="344" t="inlineStr">
        <is>
          <t>VII - Subasta/comercialización obras de arte</t>
        </is>
      </c>
      <c r="C220" s="345" t="n">
        <v>15</v>
      </c>
      <c r="D220" s="208" t="inlineStr">
        <is>
          <t>Área geográfica nacional de la operación</t>
        </is>
      </c>
      <c r="E220" s="208" t="inlineStr">
        <is>
          <t>Zona de alta incidencia delictiva, marginación o franja fronteriza.</t>
        </is>
      </c>
      <c r="F220" s="208" t="inlineStr">
        <is>
          <t>Zona urbana de riesgo intermedio sin alertas relevantes.</t>
        </is>
      </c>
      <c r="G220" s="208" t="inlineStr">
        <is>
          <t>Zona de baja incidencia con presencia institucional.</t>
        </is>
      </c>
    </row>
    <row r="221" ht="18.75" customHeight="1" s="173">
      <c r="A221" s="208">
        <f>B221&amp;"-"&amp;C221</f>
        <v/>
      </c>
      <c r="B221" s="344" t="inlineStr">
        <is>
          <t>VII - Subasta/comercialización obras de arte</t>
        </is>
      </c>
      <c r="C221" s="345" t="n">
        <v>16</v>
      </c>
      <c r="D221" s="208" t="inlineStr">
        <is>
          <t>Vínculo con jurisdicciones sancionadas, en conflicto o de acción requerida por el GAFI</t>
        </is>
      </c>
      <c r="E221" s="208" t="inlineStr">
        <is>
          <t>Existe exposición a jurisdicciones sancionadas, en conflicto armado o de acción requerida del GAFI, por la vía de consignantes o compradores del extranjero y traslado internacional de la pieza.</t>
        </is>
      </c>
      <c r="F221" s="208" t="inlineStr">
        <is>
          <t>Vínculo con jurisdicciones bajo monitoreo intensificado del GAFI o con deficiencias señaladas en la ENR, sin estar sancionadas ni en conflicto.</t>
        </is>
      </c>
      <c r="G221" s="208" t="inlineStr">
        <is>
          <t>Sin vínculo con jurisdicciones sancionadas, en conflicto o listadas por el GAFI; la operación y sus partes se ubican en plazas sin señalamientos.</t>
        </is>
      </c>
    </row>
    <row r="222" ht="18.75" customHeight="1" s="173">
      <c r="A222" s="208">
        <f>B222&amp;"-"&amp;C222</f>
        <v/>
      </c>
      <c r="B222" s="344" t="inlineStr">
        <is>
          <t>VII - Subasta/comercialización obras de arte</t>
        </is>
      </c>
      <c r="C222" s="345" t="n">
        <v>17</v>
      </c>
      <c r="D222" s="208" t="inlineStr">
        <is>
          <t>Congruencia entre el domicilio del Cliente y el lugar de la operación</t>
        </is>
      </c>
      <c r="E222" s="208" t="inlineStr">
        <is>
          <t>El domicilio del comprador o consignante no guarda relación económica ni logística con el lugar donde se realiza la subasta o la compraventa de la obra, y no existe explicación documentada del desplazamiento.</t>
        </is>
      </c>
      <c r="F222" s="208" t="inlineStr">
        <is>
          <t>Existe distancia relevante entre el domicilio del comprador o consignante y el lugar de la operación, con explicación plausible pero no soportada en el expediente.</t>
        </is>
      </c>
      <c r="G222" s="208" t="inlineStr">
        <is>
          <t>El domicilio del comprador o consignante corresponde a la plaza donde se realiza la subasta o la compraventa de la obra, o el desplazamiento está justificado y documentado.</t>
        </is>
      </c>
    </row>
    <row r="223" ht="18.75" customHeight="1" s="173">
      <c r="A223" s="208">
        <f>B223&amp;"-"&amp;C223</f>
        <v/>
      </c>
      <c r="B223" s="344" t="inlineStr">
        <is>
          <t>VII - Subasta/comercialización obras de arte</t>
        </is>
      </c>
      <c r="C223" s="345" t="n">
        <v>18</v>
      </c>
      <c r="D223" s="208" t="inlineStr">
        <is>
          <t>Instrumento monetario</t>
        </is>
      </c>
      <c r="E223" s="208" t="inlineStr">
        <is>
          <t>Pago en efectivo o instrumentos al portador.</t>
        </is>
      </c>
      <c r="F223" s="208" t="inlineStr">
        <is>
          <t>Pago mixto: efectivo combinado con transferencia.</t>
        </is>
      </c>
      <c r="G223" s="208" t="inlineStr">
        <is>
          <t>Pago íntegro a través del sistema financiero.</t>
        </is>
      </c>
    </row>
    <row r="224" ht="18.75" customHeight="1" s="173">
      <c r="A224" s="208">
        <f>B224&amp;"-"&amp;C224</f>
        <v/>
      </c>
      <c r="B224" s="344" t="inlineStr">
        <is>
          <t>VII - Subasta/comercialización obras de arte</t>
        </is>
      </c>
      <c r="C224" s="345" t="n">
        <v>19</v>
      </c>
      <c r="D224" s="208" t="inlineStr">
        <is>
          <t>Tipo de moneda</t>
        </is>
      </c>
      <c r="E224" s="208" t="inlineStr">
        <is>
          <t>Operación en moneda extranjera distinta al USD o en criptomonedas.</t>
        </is>
      </c>
      <c r="F224" s="208" t="inlineStr">
        <is>
          <t>Operación pactada en dólares estadounidenses (USD).</t>
        </is>
      </c>
      <c r="G224" s="208" t="inlineStr">
        <is>
          <t>Operación pactada y liquidada en pesos mexicanos.</t>
        </is>
      </c>
    </row>
    <row r="225" ht="18.75" customHeight="1" s="173">
      <c r="A225" s="208">
        <f>B225&amp;"-"&amp;C225</f>
        <v/>
      </c>
      <c r="B225" s="344" t="inlineStr">
        <is>
          <t>VII - Subasta/comercialización obras de arte</t>
        </is>
      </c>
      <c r="C225" s="345" t="n">
        <v>20</v>
      </c>
      <c r="D225" s="208" t="inlineStr">
        <is>
          <t>Monto frente a umbrales LFPIORPI</t>
        </is>
      </c>
      <c r="E225" s="208" t="inlineStr">
        <is>
          <t>Monto que supera el umbral de aviso de 4,815 UMA.</t>
        </is>
      </c>
      <c r="F225" s="208" t="inlineStr">
        <is>
          <t>Monto cercano al umbral de 4,815 UMA sin superarlo.</t>
        </is>
      </c>
      <c r="G225" s="208" t="inlineStr">
        <is>
          <t>Monto muy por debajo del umbral de 4,815 UMA.</t>
        </is>
      </c>
    </row>
    <row r="226" ht="18.75" customHeight="1" s="173">
      <c r="A226" s="208">
        <f>B226&amp;"-"&amp;C226</f>
        <v/>
      </c>
      <c r="B226" s="344" t="inlineStr">
        <is>
          <t>VII - Subasta/comercialización obras de arte</t>
        </is>
      </c>
      <c r="C226" s="345" t="n">
        <v>21</v>
      </c>
      <c r="D226" s="208" t="inlineStr">
        <is>
          <t>Frecuencia (fraccionamiento)</t>
        </is>
      </c>
      <c r="E226" s="208" t="inlineStr">
        <is>
          <t>Adquisiciones frecuentes o fraccionadas para eludir el umbral.</t>
        </is>
      </c>
      <c r="F226" s="208" t="inlineStr">
        <is>
          <t>Recurrencia moderada sin patrón claro de fraccionamiento.</t>
        </is>
      </c>
      <c r="G226" s="208" t="inlineStr">
        <is>
          <t>Operación aislada y consistente con el perfil del comprador.</t>
        </is>
      </c>
    </row>
    <row r="227" ht="18.75" customHeight="1" s="173">
      <c r="A227" s="208">
        <f>B227&amp;"-"&amp;C227</f>
        <v/>
      </c>
      <c r="B227" s="344" t="inlineStr">
        <is>
          <t>VII - Subasta/comercialización obras de arte</t>
        </is>
      </c>
      <c r="C227" s="345" t="n">
        <v>22</v>
      </c>
      <c r="D227" s="208" t="inlineStr">
        <is>
          <t>Canal (presencial / no presencial / terceros)</t>
        </is>
      </c>
      <c r="E227" s="208" t="inlineStr">
        <is>
          <t>Operación no presencial o a través de terceros sin contacto directo.</t>
        </is>
      </c>
      <c r="F227" s="208" t="inlineStr">
        <is>
          <t>Operación presencial con intermediación parcial de un tercero.</t>
        </is>
      </c>
      <c r="G227" s="208" t="inlineStr">
        <is>
          <t>Operación presencial directa con el cliente plenamente identificado.</t>
        </is>
      </c>
    </row>
    <row r="228" ht="18.75" customHeight="1" s="173">
      <c r="A228" s="208">
        <f>B228&amp;"-"&amp;C228</f>
        <v/>
      </c>
      <c r="B228" s="344" t="inlineStr">
        <is>
          <t>VII - Subasta/comercialización obras de arte</t>
        </is>
      </c>
      <c r="C228" s="345" t="n">
        <v>23</v>
      </c>
      <c r="D228" s="208" t="inlineStr">
        <is>
          <t>Origen de los recursos</t>
        </is>
      </c>
      <c r="E228" s="208" t="inlineStr">
        <is>
          <t>Recursos de origen no acreditable, en efectivo o informal.</t>
        </is>
      </c>
      <c r="F228" s="208" t="inlineStr">
        <is>
          <t>Origen de recursos parcialmente documentado.</t>
        </is>
      </c>
      <c r="G228" s="208" t="inlineStr">
        <is>
          <t>Origen lícito plenamente acreditado y bancarizado.</t>
        </is>
      </c>
    </row>
    <row r="229" ht="18.75" customHeight="1" s="173">
      <c r="A229" s="208">
        <f>B229&amp;"-"&amp;C229</f>
        <v/>
      </c>
      <c r="B229" s="344" t="inlineStr">
        <is>
          <t>VII - Subasta/comercialización obras de arte</t>
        </is>
      </c>
      <c r="C229" s="345" t="n">
        <v>24</v>
      </c>
      <c r="D229" s="208" t="inlineStr">
        <is>
          <t>Destino de los recursos</t>
        </is>
      </c>
      <c r="E229" s="208" t="inlineStr">
        <is>
          <t>Obra o recursos destinados al exterior o a terceros sin justificación.</t>
        </is>
      </c>
      <c r="F229" s="208" t="inlineStr">
        <is>
          <t>Destino parcialmente justificado.</t>
        </is>
      </c>
      <c r="G229" s="208" t="inlineStr">
        <is>
          <t>Destino claro, documentado y congruente con la operación.</t>
        </is>
      </c>
    </row>
    <row r="230" ht="18.75" customHeight="1" s="173">
      <c r="A230" s="208">
        <f>B230&amp;"-"&amp;C230</f>
        <v/>
      </c>
      <c r="B230" s="344" t="inlineStr">
        <is>
          <t>VII - Subasta/comercialización obras de arte</t>
        </is>
      </c>
      <c r="C230" s="345" t="n">
        <v>25</v>
      </c>
      <c r="D230" s="208" t="inlineStr">
        <is>
          <t>Canales e instrumentos idóneos para el financiamiento al terrorismo</t>
        </is>
      </c>
      <c r="E230" s="208" t="inlineStr">
        <is>
          <t>La operación se realiza mediante postura no presencial mediante intermediarios y pagos desde cuentas de terceros, es decir, medios que permiten mover valor en montos pequeños sin identificar al destinatario final.</t>
        </is>
      </c>
      <c r="F230" s="208" t="inlineStr">
        <is>
          <t>Canal mixto o con verificación parcial: hay registro de la operación pero la trazabilidad del destinatario final es incompleta.</t>
        </is>
      </c>
      <c r="G230" s="208" t="inlineStr">
        <is>
          <t>Operación con partes identificadas de forma directa y pago desde cuenta propia, con trazabilidad completa del origen y del destinatario.</t>
        </is>
      </c>
    </row>
    <row r="231" ht="18.75" customHeight="1" s="173">
      <c r="A231" s="208">
        <f>B231&amp;"-"&amp;C231</f>
        <v/>
      </c>
      <c r="B231" s="344" t="inlineStr">
        <is>
          <t>VIII - Distribución/comercialización vehículos</t>
        </is>
      </c>
      <c r="C231" s="345" t="n">
        <v>1</v>
      </c>
      <c r="D231" s="208" t="inlineStr">
        <is>
          <t>Valor del producto o servicio</t>
        </is>
      </c>
      <c r="E231" s="208" t="inlineStr">
        <is>
          <t>Vehículos de lujo o coleccionables de alto valor unitario.</t>
        </is>
      </c>
      <c r="F231" s="208" t="inlineStr">
        <is>
          <t>Vehículos de gama media de valor intermedio.</t>
        </is>
      </c>
      <c r="G231" s="208" t="inlineStr">
        <is>
          <t>Vehículos económicos de bajo valor unitario.</t>
        </is>
      </c>
    </row>
    <row r="232" ht="18.75" customHeight="1" s="173">
      <c r="A232" s="208">
        <f>B232&amp;"-"&amp;C232</f>
        <v/>
      </c>
      <c r="B232" s="344" t="inlineStr">
        <is>
          <t>VIII - Distribución/comercialización vehículos</t>
        </is>
      </c>
      <c r="C232" s="345" t="n">
        <v>2</v>
      </c>
      <c r="D232" s="208" t="inlineStr">
        <is>
          <t>Liquidez / convertibilidad</t>
        </is>
      </c>
      <c r="E232" s="208" t="inlineStr">
        <is>
          <t>Bien de alta liquidez, revendible o liquidable en efectivo con rapidez.</t>
        </is>
      </c>
      <c r="F232" s="208" t="inlineStr">
        <is>
          <t>Reventa con depreciación y trazabilidad vehicular parcial.</t>
        </is>
      </c>
      <c r="G232" s="208" t="inlineStr">
        <is>
          <t>Reventa limitada con registro y trazabilidad completos.</t>
        </is>
      </c>
    </row>
    <row r="233" ht="18.75" customHeight="1" s="173">
      <c r="A233" s="208">
        <f>B233&amp;"-"&amp;C233</f>
        <v/>
      </c>
      <c r="B233" s="344" t="inlineStr">
        <is>
          <t>VIII - Distribución/comercialización vehículos</t>
        </is>
      </c>
      <c r="C233" s="345" t="n">
        <v>3</v>
      </c>
      <c r="D233" s="208" t="inlineStr">
        <is>
          <t>Anonimato / identificación del beneficiario</t>
        </is>
      </c>
      <c r="E233" s="208" t="inlineStr">
        <is>
          <t>Registro a nombre de prestanombres o terceros que ocultan al dueño real.</t>
        </is>
      </c>
      <c r="F233" s="208" t="inlineStr">
        <is>
          <t>Identificación básica sin verificar al beneficiario final.</t>
        </is>
      </c>
      <c r="G233" s="208" t="inlineStr">
        <is>
          <t>Titular y beneficiario final plenamente identificados.</t>
        </is>
      </c>
    </row>
    <row r="234" ht="18.75" customHeight="1" s="173">
      <c r="A234" s="208">
        <f>B234&amp;"-"&amp;C234</f>
        <v/>
      </c>
      <c r="B234" s="344" t="inlineStr">
        <is>
          <t>VIII - Distribución/comercialización vehículos</t>
        </is>
      </c>
      <c r="C234" s="345" t="n">
        <v>4</v>
      </c>
      <c r="D234" s="208" t="inlineStr">
        <is>
          <t>Transferencia u ocultamiento de valor</t>
        </is>
      </c>
      <c r="E234" s="208" t="inlineStr">
        <is>
          <t>Conversión de efectivo ilícito en activo con valor de reventa alto.</t>
        </is>
      </c>
      <c r="F234" s="208" t="inlineStr">
        <is>
          <t>Facilita ocultamiento parcial mediante financiamiento mixto.</t>
        </is>
      </c>
      <c r="G234" s="208" t="inlineStr">
        <is>
          <t>Operación trazable con registro público que dificulta ocultar valor.</t>
        </is>
      </c>
    </row>
    <row r="235" ht="18.75" customHeight="1" s="173">
      <c r="A235" s="208">
        <f>B235&amp;"-"&amp;C235</f>
        <v/>
      </c>
      <c r="B235" s="344" t="inlineStr">
        <is>
          <t>VIII - Distribución/comercialización vehículos</t>
        </is>
      </c>
      <c r="C235" s="345" t="n">
        <v>5</v>
      </c>
      <c r="D235" s="208" t="inlineStr">
        <is>
          <t>Exposición del acto u operación al financiamiento al terrorismo</t>
        </is>
      </c>
      <c r="E235" s="208" t="inlineStr">
        <is>
          <t>Adquisición de unidades, en particular de doble uso o adaptables, a favor de personas o grupos señalados en listas de sanciones, o con destino declarado a zonas en conflicto.</t>
        </is>
      </c>
      <c r="F235" s="208" t="inlineStr">
        <is>
          <t>Compras de flotilla o unidades con destino de exportación poco claro, sin coincidencias en listas.</t>
        </is>
      </c>
      <c r="G235" s="208" t="inlineStr">
        <is>
          <t>Compra de una unidad para uso propio, con comprador identificado y pago bancarizado.</t>
        </is>
      </c>
    </row>
    <row r="236" ht="18.75" customHeight="1" s="173">
      <c r="A236" s="208">
        <f>B236&amp;"-"&amp;C236</f>
        <v/>
      </c>
      <c r="B236" s="344" t="inlineStr">
        <is>
          <t>VIII - Distribución/comercialización vehículos</t>
        </is>
      </c>
      <c r="C236" s="345" t="n">
        <v>6</v>
      </c>
      <c r="D236" s="208" t="inlineStr">
        <is>
          <t>Tipo de persona y estructura</t>
        </is>
      </c>
      <c r="E236" s="208" t="inlineStr">
        <is>
          <t>Persona moral extranjera, fideicomiso o estructura opaca.</t>
        </is>
      </c>
      <c r="F236" s="208" t="inlineStr">
        <is>
          <t>Persona moral nacional con estructura de control simple.</t>
        </is>
      </c>
      <c r="G236" s="208" t="inlineStr">
        <is>
          <t>Persona física identificada o empresa transparente.</t>
        </is>
      </c>
    </row>
    <row r="237" ht="18.75" customHeight="1" s="173">
      <c r="A237" s="208">
        <f>B237&amp;"-"&amp;C237</f>
        <v/>
      </c>
      <c r="B237" s="344" t="inlineStr">
        <is>
          <t>VIII - Distribución/comercialización vehículos</t>
        </is>
      </c>
      <c r="C237" s="345" t="n">
        <v>7</v>
      </c>
      <c r="D237" s="208" t="inlineStr">
        <is>
          <t>Edad / fecha de constitución</t>
        </is>
      </c>
      <c r="E237" s="208" t="inlineStr">
        <is>
          <t>Comprador muy joven atípico o empresa de reciente creación.</t>
        </is>
      </c>
      <c r="F237" s="208" t="inlineStr">
        <is>
          <t>Antigüedad intermedia sin historial consolidado.</t>
        </is>
      </c>
      <c r="G237" s="208" t="inlineStr">
        <is>
          <t>Persona o empresa con trayectoria y antigüedad acreditada.</t>
        </is>
      </c>
    </row>
    <row r="238" ht="18.75" customHeight="1" s="173">
      <c r="A238" s="208">
        <f>B238&amp;"-"&amp;C238</f>
        <v/>
      </c>
      <c r="B238" s="344" t="inlineStr">
        <is>
          <t>VIII - Distribución/comercialización vehículos</t>
        </is>
      </c>
      <c r="C238" s="345" t="n">
        <v>8</v>
      </c>
      <c r="D238" s="208" t="inlineStr">
        <is>
          <t>Actividad económica o giro (y fuente de ingresos)</t>
        </is>
      </c>
      <c r="E238" s="208" t="inlineStr">
        <is>
          <t>Giro informal, uso intensivo de efectivo o compra-venta no regulada.</t>
        </is>
      </c>
      <c r="F238" s="208" t="inlineStr">
        <is>
          <t>Comercio formal con componente de efectivo relevante.</t>
        </is>
      </c>
      <c r="G238" s="208" t="inlineStr">
        <is>
          <t>Agencia formal con ingresos bancarizados y acreditados.</t>
        </is>
      </c>
    </row>
    <row r="239" ht="18.75" customHeight="1" s="173">
      <c r="A239" s="208">
        <f>B239&amp;"-"&amp;C239</f>
        <v/>
      </c>
      <c r="B239" s="344" t="inlineStr">
        <is>
          <t>VIII - Distribución/comercialización vehículos</t>
        </is>
      </c>
      <c r="C239" s="345" t="n">
        <v>9</v>
      </c>
      <c r="D239" s="208" t="inlineStr">
        <is>
          <t>Nacionalidad del cliente</t>
        </is>
      </c>
      <c r="E239" s="208" t="inlineStr">
        <is>
          <t>Cliente de país en listas GAFI, sancionado o de régimen fiscal preferente.</t>
        </is>
      </c>
      <c r="F239" s="208" t="inlineStr">
        <is>
          <t>Cliente extranjero de país sin deficiencias estratégicas pero con controles PLD limitados.</t>
        </is>
      </c>
      <c r="G239" s="208" t="inlineStr">
        <is>
          <t>Cliente mexicano o de país cooperante con marco PLD/FT sólido.</t>
        </is>
      </c>
    </row>
    <row r="240" ht="18.75" customHeight="1" s="173">
      <c r="A240" s="208">
        <f>B240&amp;"-"&amp;C240</f>
        <v/>
      </c>
      <c r="B240" s="344" t="inlineStr">
        <is>
          <t>VIII - Distribución/comercialización vehículos</t>
        </is>
      </c>
      <c r="C240" s="345" t="n">
        <v>10</v>
      </c>
      <c r="D240" s="208" t="inlineStr">
        <is>
          <t>País (y en su caso, estado) de residencia del cliente</t>
        </is>
      </c>
      <c r="E240" s="208" t="inlineStr">
        <is>
          <t>Residencia en jurisdicción de alto riesgo o domicilio no verificable.</t>
        </is>
      </c>
      <c r="F240" s="208" t="inlineStr">
        <is>
          <t>Residencia en entidad de riesgo intermedio o parcialmente verificable.</t>
        </is>
      </c>
      <c r="G240" s="208" t="inlineStr">
        <is>
          <t>Residencia nacional plenamente verificada y documentada.</t>
        </is>
      </c>
    </row>
    <row r="241" ht="18.75" customHeight="1" s="173">
      <c r="A241" s="208">
        <f>B241&amp;"-"&amp;C241</f>
        <v/>
      </c>
      <c r="B241" s="344" t="inlineStr">
        <is>
          <t>VIII - Distribución/comercialización vehículos</t>
        </is>
      </c>
      <c r="C241" s="345" t="n">
        <v>11</v>
      </c>
      <c r="D241" s="208" t="inlineStr">
        <is>
          <t>Condición PEP</t>
        </is>
      </c>
      <c r="E241" s="208" t="inlineStr">
        <is>
          <t>PEP nacional o extranjera, o familiar/allegado de PEP.</t>
        </is>
      </c>
      <c r="F241" s="208" t="inlineStr">
        <is>
          <t>Vínculo indirecto o histórico con PEP, sin poder de decisión actual.</t>
        </is>
      </c>
      <c r="G241" s="208" t="inlineStr">
        <is>
          <t>Cliente sin condición PEP ni relación con personas expuestas.</t>
        </is>
      </c>
    </row>
    <row r="242" ht="18.75" customHeight="1" s="173">
      <c r="A242" s="208">
        <f>B242&amp;"-"&amp;C242</f>
        <v/>
      </c>
      <c r="B242" s="344" t="inlineStr">
        <is>
          <t>VIII - Distribución/comercialización vehículos</t>
        </is>
      </c>
      <c r="C242" s="345" t="n">
        <v>12</v>
      </c>
      <c r="D242" s="208" t="inlineStr">
        <is>
          <t>Coincidencia en listas de personas bloqueadas o de sanciones</t>
        </is>
      </c>
      <c r="E242" s="208" t="inlineStr">
        <is>
          <t>El comprador, su beneficiario controlador, apoderado o contraparte aparece en la Lista de Personas Bloqueadas, en listas de sanciones o en listas de organizaciones terroristas, o presenta una coincidencia fuerte que no ha sido descartada.</t>
        </is>
      </c>
      <c r="F242" s="208" t="inlineStr">
        <is>
          <t>Se detecta coincidencia parcial u homonimia respecto del comprador o de alguna persona relacionada, y el descarte se encuentra en proceso con constancia documental.</t>
        </is>
      </c>
      <c r="G242" s="208" t="inlineStr">
        <is>
          <t>Búsqueda realizada y documentada sobre el comprador y sus personas relacionadas, sin coincidencias.</t>
        </is>
      </c>
    </row>
    <row r="243" ht="18.75" customHeight="1" s="173">
      <c r="A243" s="208">
        <f>B243&amp;"-"&amp;C243</f>
        <v/>
      </c>
      <c r="B243" s="344" t="inlineStr">
        <is>
          <t>VIII - Distribución/comercialización vehículos</t>
        </is>
      </c>
      <c r="C243" s="345" t="n">
        <v>13</v>
      </c>
      <c r="D243" s="208" t="inlineStr">
        <is>
          <t>Identificación y complejidad del Beneficiario Controlador</t>
        </is>
      </c>
      <c r="E243" s="208" t="inlineStr">
        <is>
          <t>No se logra identificar al beneficiario controlador del comprador, o la estructura interpone dos o más niveles societarios, fiduciarios o vehículos constituidos en el extranjero para llegar al 25 por ciento.</t>
        </is>
      </c>
      <c r="F243" s="208" t="inlineStr">
        <is>
          <t>Beneficiario controlador identificado, pero a través de una estructura de más de un nivel o con participación indirecta que exigió reconstruir la cadena de control con documentos.</t>
        </is>
      </c>
      <c r="G243" s="208" t="inlineStr">
        <is>
          <t>Beneficiario controlador identificado de forma directa y documentada: persona física que posee al menos el 25 por ciento o que ejerce el control por otra vía acreditada.</t>
        </is>
      </c>
    </row>
    <row r="244" ht="18.75" customHeight="1" s="173">
      <c r="A244" s="208">
        <f>B244&amp;"-"&amp;C244</f>
        <v/>
      </c>
      <c r="B244" s="344" t="inlineStr">
        <is>
          <t>VIII - Distribución/comercialización vehículos</t>
        </is>
      </c>
      <c r="C244" s="345" t="n">
        <v>14</v>
      </c>
      <c r="D244" s="208" t="inlineStr">
        <is>
          <t>País / jurisdicción donde se realiza la operación</t>
        </is>
      </c>
      <c r="E244" s="208" t="inlineStr">
        <is>
          <t>Operación realizada con o desde jurisdicción de alto riesgo.</t>
        </is>
      </c>
      <c r="F244" s="208" t="inlineStr">
        <is>
          <t>Operación con contraparte en jurisdicción de riesgo intermedio.</t>
        </is>
      </c>
      <c r="G244" s="208" t="inlineStr">
        <is>
          <t>Operación nacional o con jurisdicción cooperante y transparente.</t>
        </is>
      </c>
    </row>
    <row r="245" ht="18.75" customHeight="1" s="173">
      <c r="A245" s="208">
        <f>B245&amp;"-"&amp;C245</f>
        <v/>
      </c>
      <c r="B245" s="344" t="inlineStr">
        <is>
          <t>VIII - Distribución/comercialización vehículos</t>
        </is>
      </c>
      <c r="C245" s="345" t="n">
        <v>15</v>
      </c>
      <c r="D245" s="208" t="inlineStr">
        <is>
          <t>Área geográfica nacional de la operación</t>
        </is>
      </c>
      <c r="E245" s="208" t="inlineStr">
        <is>
          <t>Zona de alta incidencia delictiva, marginación o franja fronteriza.</t>
        </is>
      </c>
      <c r="F245" s="208" t="inlineStr">
        <is>
          <t>Zona urbana de riesgo intermedio sin alertas relevantes.</t>
        </is>
      </c>
      <c r="G245" s="208" t="inlineStr">
        <is>
          <t>Zona de baja incidencia con presencia institucional.</t>
        </is>
      </c>
    </row>
    <row r="246" ht="18.75" customHeight="1" s="173">
      <c r="A246" s="208">
        <f>B246&amp;"-"&amp;C246</f>
        <v/>
      </c>
      <c r="B246" s="344" t="inlineStr">
        <is>
          <t>VIII - Distribución/comercialización vehículos</t>
        </is>
      </c>
      <c r="C246" s="345" t="n">
        <v>16</v>
      </c>
      <c r="D246" s="208" t="inlineStr">
        <is>
          <t>Vínculo con jurisdicciones sancionadas, en conflicto o de acción requerida por el GAFI</t>
        </is>
      </c>
      <c r="E246" s="208" t="inlineStr">
        <is>
          <t>Existe exposición a jurisdicciones sancionadas, en conflicto armado o de acción requerida del GAFI, por la vía de vehículos con destino de exportación o zona fronteriza.</t>
        </is>
      </c>
      <c r="F246" s="208" t="inlineStr">
        <is>
          <t>Vínculo con jurisdicciones bajo monitoreo intensificado del GAFI o con deficiencias señaladas en la ENR, sin estar sancionadas ni en conflicto.</t>
        </is>
      </c>
      <c r="G246" s="208" t="inlineStr">
        <is>
          <t>Sin vínculo con jurisdicciones sancionadas, en conflicto o listadas por el GAFI; la operación y sus partes se ubican en plazas sin señalamientos.</t>
        </is>
      </c>
    </row>
    <row r="247" ht="18.75" customHeight="1" s="173">
      <c r="A247" s="208">
        <f>B247&amp;"-"&amp;C247</f>
        <v/>
      </c>
      <c r="B247" s="344" t="inlineStr">
        <is>
          <t>VIII - Distribución/comercialización vehículos</t>
        </is>
      </c>
      <c r="C247" s="345" t="n">
        <v>17</v>
      </c>
      <c r="D247" s="208" t="inlineStr">
        <is>
          <t>Congruencia entre el domicilio del Cliente y el lugar de la operación</t>
        </is>
      </c>
      <c r="E247" s="208" t="inlineStr">
        <is>
          <t>El domicilio del comprador no guarda relación económica ni logística con el lugar donde se realiza la compraventa del vehículo, y no existe explicación documentada del desplazamiento.</t>
        </is>
      </c>
      <c r="F247" s="208" t="inlineStr">
        <is>
          <t>Existe distancia relevante entre el domicilio del comprador y el lugar de la operación, con explicación plausible pero no soportada en el expediente.</t>
        </is>
      </c>
      <c r="G247" s="208" t="inlineStr">
        <is>
          <t>El domicilio del comprador corresponde a la plaza donde se realiza la compraventa del vehículo, o el desplazamiento está justificado y documentado.</t>
        </is>
      </c>
    </row>
    <row r="248" ht="18.75" customHeight="1" s="173">
      <c r="A248" s="208">
        <f>B248&amp;"-"&amp;C248</f>
        <v/>
      </c>
      <c r="B248" s="344" t="inlineStr">
        <is>
          <t>VIII - Distribución/comercialización vehículos</t>
        </is>
      </c>
      <c r="C248" s="345" t="n">
        <v>18</v>
      </c>
      <c r="D248" s="208" t="inlineStr">
        <is>
          <t>Instrumento monetario</t>
        </is>
      </c>
      <c r="E248" s="208" t="inlineStr">
        <is>
          <t>Pago en efectivo o instrumentos al portador.</t>
        </is>
      </c>
      <c r="F248" s="208" t="inlineStr">
        <is>
          <t>Pago mixto: enganche en efectivo y financiamiento parcial.</t>
        </is>
      </c>
      <c r="G248" s="208" t="inlineStr">
        <is>
          <t>Pago íntegro por sistema financiero o crédito formal.</t>
        </is>
      </c>
    </row>
    <row r="249" ht="18.75" customHeight="1" s="173">
      <c r="A249" s="208">
        <f>B249&amp;"-"&amp;C249</f>
        <v/>
      </c>
      <c r="B249" s="344" t="inlineStr">
        <is>
          <t>VIII - Distribución/comercialización vehículos</t>
        </is>
      </c>
      <c r="C249" s="345" t="n">
        <v>19</v>
      </c>
      <c r="D249" s="208" t="inlineStr">
        <is>
          <t>Tipo de moneda</t>
        </is>
      </c>
      <c r="E249" s="208" t="inlineStr">
        <is>
          <t>Operación en moneda extranjera distinta al USD o en criptomonedas.</t>
        </is>
      </c>
      <c r="F249" s="208" t="inlineStr">
        <is>
          <t>Operación pactada en dólares estadounidenses (USD).</t>
        </is>
      </c>
      <c r="G249" s="208" t="inlineStr">
        <is>
          <t>Operación pactada y liquidada en pesos mexicanos.</t>
        </is>
      </c>
    </row>
    <row r="250" ht="18.75" customHeight="1" s="173">
      <c r="A250" s="208">
        <f>B250&amp;"-"&amp;C250</f>
        <v/>
      </c>
      <c r="B250" s="344" t="inlineStr">
        <is>
          <t>VIII - Distribución/comercialización vehículos</t>
        </is>
      </c>
      <c r="C250" s="345" t="n">
        <v>20</v>
      </c>
      <c r="D250" s="208" t="inlineStr">
        <is>
          <t>Monto frente a umbrales LFPIORPI</t>
        </is>
      </c>
      <c r="E250" s="208" t="inlineStr">
        <is>
          <t>Monto que supera el umbral de aviso de 6,420 UMA.</t>
        </is>
      </c>
      <c r="F250" s="208" t="inlineStr">
        <is>
          <t>Monto cercano al umbral de 6,420 UMA sin superarlo.</t>
        </is>
      </c>
      <c r="G250" s="208" t="inlineStr">
        <is>
          <t>Monto muy por debajo del umbral de 6,420 UMA.</t>
        </is>
      </c>
    </row>
    <row r="251" ht="18.75" customHeight="1" s="173">
      <c r="A251" s="208">
        <f>B251&amp;"-"&amp;C251</f>
        <v/>
      </c>
      <c r="B251" s="344" t="inlineStr">
        <is>
          <t>VIII - Distribución/comercialización vehículos</t>
        </is>
      </c>
      <c r="C251" s="345" t="n">
        <v>21</v>
      </c>
      <c r="D251" s="208" t="inlineStr">
        <is>
          <t>Frecuencia (fraccionamiento)</t>
        </is>
      </c>
      <c r="E251" s="208" t="inlineStr">
        <is>
          <t>Compra de múltiples unidades en corto plazo o pagos fraccionados.</t>
        </is>
      </c>
      <c r="F251" s="208" t="inlineStr">
        <is>
          <t>Recurrencia moderada sin patrón claro de fraccionamiento.</t>
        </is>
      </c>
      <c r="G251" s="208" t="inlineStr">
        <is>
          <t>Operación aislada y consistente con el perfil del comprador.</t>
        </is>
      </c>
    </row>
    <row r="252" ht="18.75" customHeight="1" s="173">
      <c r="A252" s="208">
        <f>B252&amp;"-"&amp;C252</f>
        <v/>
      </c>
      <c r="B252" s="344" t="inlineStr">
        <is>
          <t>VIII - Distribución/comercialización vehículos</t>
        </is>
      </c>
      <c r="C252" s="345" t="n">
        <v>22</v>
      </c>
      <c r="D252" s="208" t="inlineStr">
        <is>
          <t>Canal (presencial / no presencial / terceros)</t>
        </is>
      </c>
      <c r="E252" s="208" t="inlineStr">
        <is>
          <t>Operación no presencial o a través de terceros sin contacto directo.</t>
        </is>
      </c>
      <c r="F252" s="208" t="inlineStr">
        <is>
          <t>Operación presencial con intermediación parcial de un tercero.</t>
        </is>
      </c>
      <c r="G252" s="208" t="inlineStr">
        <is>
          <t>Operación presencial directa con el cliente plenamente identificado.</t>
        </is>
      </c>
    </row>
    <row r="253" ht="18.75" customHeight="1" s="173">
      <c r="A253" s="208">
        <f>B253&amp;"-"&amp;C253</f>
        <v/>
      </c>
      <c r="B253" s="344" t="inlineStr">
        <is>
          <t>VIII - Distribución/comercialización vehículos</t>
        </is>
      </c>
      <c r="C253" s="345" t="n">
        <v>23</v>
      </c>
      <c r="D253" s="208" t="inlineStr">
        <is>
          <t>Origen de los recursos</t>
        </is>
      </c>
      <c r="E253" s="208" t="inlineStr">
        <is>
          <t>Recursos de origen no acreditable, en efectivo o informal.</t>
        </is>
      </c>
      <c r="F253" s="208" t="inlineStr">
        <is>
          <t>Origen de recursos parcialmente documentado.</t>
        </is>
      </c>
      <c r="G253" s="208" t="inlineStr">
        <is>
          <t>Origen lícito plenamente acreditado y bancarizado.</t>
        </is>
      </c>
    </row>
    <row r="254" ht="18.75" customHeight="1" s="173">
      <c r="A254" s="208">
        <f>B254&amp;"-"&amp;C254</f>
        <v/>
      </c>
      <c r="B254" s="344" t="inlineStr">
        <is>
          <t>VIII - Distribución/comercialización vehículos</t>
        </is>
      </c>
      <c r="C254" s="345" t="n">
        <v>24</v>
      </c>
      <c r="D254" s="208" t="inlineStr">
        <is>
          <t>Destino de los recursos</t>
        </is>
      </c>
      <c r="E254" s="208" t="inlineStr">
        <is>
          <t>Vehículo destinado a terceros o al exterior sin justificación.</t>
        </is>
      </c>
      <c r="F254" s="208" t="inlineStr">
        <is>
          <t>Destino parcialmente justificado.</t>
        </is>
      </c>
      <c r="G254" s="208" t="inlineStr">
        <is>
          <t>Destino claro, documentado y congruente con la operación.</t>
        </is>
      </c>
    </row>
    <row r="255" ht="18.75" customHeight="1" s="173">
      <c r="A255" s="208">
        <f>B255&amp;"-"&amp;C255</f>
        <v/>
      </c>
      <c r="B255" s="344" t="inlineStr">
        <is>
          <t>VIII - Distribución/comercialización vehículos</t>
        </is>
      </c>
      <c r="C255" s="345" t="n">
        <v>25</v>
      </c>
      <c r="D255" s="208" t="inlineStr">
        <is>
          <t>Canales e instrumentos idóneos para el financiamiento al terrorismo</t>
        </is>
      </c>
      <c r="E255" s="208" t="inlineStr">
        <is>
          <t>La operación se realiza mediante venta con pagos en efectivo, factura a nombre de terceros y entrega fuera de la agencia, es decir, medios que permiten mover valor en montos pequeños sin identificar al destinatario final.</t>
        </is>
      </c>
      <c r="F255" s="208" t="inlineStr">
        <is>
          <t>Canal mixto o con verificación parcial: hay registro de la operación pero la trazabilidad del destinatario final es incompleta.</t>
        </is>
      </c>
      <c r="G255" s="208" t="inlineStr">
        <is>
          <t>Venta con comprador identificado, factura a su nombre y pago bancarizado, con trazabilidad completa del origen y del destinatario.</t>
        </is>
      </c>
    </row>
    <row r="256" ht="18.75" customHeight="1" s="173">
      <c r="A256" s="208">
        <f>B256&amp;"-"&amp;C256</f>
        <v/>
      </c>
      <c r="B256" s="344" t="inlineStr">
        <is>
          <t>IX - Servicios de blindaje</t>
        </is>
      </c>
      <c r="C256" s="345" t="n">
        <v>1</v>
      </c>
      <c r="D256" s="208" t="inlineStr">
        <is>
          <t>Valor del producto o servicio</t>
        </is>
      </c>
      <c r="E256" s="208" t="inlineStr">
        <is>
          <t>Blindaje de vehículos de lujo o inmuebles, servicio de alto valor.</t>
        </is>
      </c>
      <c r="F256" s="208" t="inlineStr">
        <is>
          <t>Blindaje de vehículos medianos de valor intermedio.</t>
        </is>
      </c>
      <c r="G256" s="208" t="inlineStr">
        <is>
          <t>Blindaje básico o de bajo nivel de protección y valor.</t>
        </is>
      </c>
    </row>
    <row r="257" ht="18.75" customHeight="1" s="173">
      <c r="A257" s="208">
        <f>B257&amp;"-"&amp;C257</f>
        <v/>
      </c>
      <c r="B257" s="344" t="inlineStr">
        <is>
          <t>IX - Servicios de blindaje</t>
        </is>
      </c>
      <c r="C257" s="345" t="n">
        <v>2</v>
      </c>
      <c r="D257" s="208" t="inlineStr">
        <is>
          <t>Liquidez / convertibilidad</t>
        </is>
      </c>
      <c r="E257" s="208" t="inlineStr">
        <is>
          <t>Servicio ligado a bienes de lujo de fácil reventa o liquidación.</t>
        </is>
      </c>
      <c r="F257" s="208" t="inlineStr">
        <is>
          <t>Bien blindado de reventa moderada.</t>
        </is>
      </c>
      <c r="G257" s="208" t="inlineStr">
        <is>
          <t>Servicio sobre bienes de baja liquidez de reventa.</t>
        </is>
      </c>
    </row>
    <row r="258" ht="18.75" customHeight="1" s="173">
      <c r="A258" s="208">
        <f>B258&amp;"-"&amp;C258</f>
        <v/>
      </c>
      <c r="B258" s="344" t="inlineStr">
        <is>
          <t>IX - Servicios de blindaje</t>
        </is>
      </c>
      <c r="C258" s="345" t="n">
        <v>3</v>
      </c>
      <c r="D258" s="208" t="inlineStr">
        <is>
          <t>Anonimato / identificación del beneficiario</t>
        </is>
      </c>
      <c r="E258" s="208" t="inlineStr">
        <is>
          <t>Contratación mediante terceros que ocultan al usuario final del bien.</t>
        </is>
      </c>
      <c r="F258" s="208" t="inlineStr">
        <is>
          <t>Identificación básica sin verificar al beneficiario final.</t>
        </is>
      </c>
      <c r="G258" s="208" t="inlineStr">
        <is>
          <t>Contratante y beneficiario final plenamente identificados.</t>
        </is>
      </c>
    </row>
    <row r="259" ht="18.75" customHeight="1" s="173">
      <c r="A259" s="208">
        <f>B259&amp;"-"&amp;C259</f>
        <v/>
      </c>
      <c r="B259" s="344" t="inlineStr">
        <is>
          <t>IX - Servicios de blindaje</t>
        </is>
      </c>
      <c r="C259" s="345" t="n">
        <v>4</v>
      </c>
      <c r="D259" s="208" t="inlineStr">
        <is>
          <t>Transferencia u ocultamiento de valor</t>
        </is>
      </c>
      <c r="E259" s="208" t="inlineStr">
        <is>
          <t>Servicio vinculado a protección de activos de origen ilícito.</t>
        </is>
      </c>
      <c r="F259" s="208" t="inlineStr">
        <is>
          <t>Facilita ocultamiento parcial del beneficiario del bien.</t>
        </is>
      </c>
      <c r="G259" s="208" t="inlineStr">
        <is>
          <t>Contratación trazable y documentada que dificulta el ocultamiento.</t>
        </is>
      </c>
    </row>
    <row r="260" ht="18.75" customHeight="1" s="173">
      <c r="A260" s="208">
        <f>B260&amp;"-"&amp;C260</f>
        <v/>
      </c>
      <c r="B260" s="344" t="inlineStr">
        <is>
          <t>IX - Servicios de blindaje</t>
        </is>
      </c>
      <c r="C260" s="345" t="n">
        <v>5</v>
      </c>
      <c r="D260" s="208" t="inlineStr">
        <is>
          <t>Exposición del acto u operación al financiamiento al terrorismo</t>
        </is>
      </c>
      <c r="E260" s="208" t="inlineStr">
        <is>
          <t>Blindaje de unidades a favor de personas o grupos vinculados con organizaciones señaladas en listas, o con destino a zonas en conflicto.</t>
        </is>
      </c>
      <c r="F260" s="208" t="inlineStr">
        <is>
          <t>Contratación mediante intermediarios que no acreditan al propietario final, sin coincidencias en listas.</t>
        </is>
      </c>
      <c r="G260" s="208" t="inlineStr">
        <is>
          <t>Contratante identificado, propietario acreditado y unidad con uso declarado congruente.</t>
        </is>
      </c>
    </row>
    <row r="261" ht="18.75" customHeight="1" s="173">
      <c r="A261" s="208">
        <f>B261&amp;"-"&amp;C261</f>
        <v/>
      </c>
      <c r="B261" s="344" t="inlineStr">
        <is>
          <t>IX - Servicios de blindaje</t>
        </is>
      </c>
      <c r="C261" s="345" t="n">
        <v>6</v>
      </c>
      <c r="D261" s="208" t="inlineStr">
        <is>
          <t>Tipo de persona y estructura</t>
        </is>
      </c>
      <c r="E261" s="208" t="inlineStr">
        <is>
          <t>Persona moral extranjera, fideicomiso o estructura opaca.</t>
        </is>
      </c>
      <c r="F261" s="208" t="inlineStr">
        <is>
          <t>Persona moral nacional con estructura de control simple.</t>
        </is>
      </c>
      <c r="G261" s="208" t="inlineStr">
        <is>
          <t>Empresa regulada o persona física plenamente identificada.</t>
        </is>
      </c>
    </row>
    <row r="262" ht="18.75" customHeight="1" s="173">
      <c r="A262" s="208">
        <f>B262&amp;"-"&amp;C262</f>
        <v/>
      </c>
      <c r="B262" s="344" t="inlineStr">
        <is>
          <t>IX - Servicios de blindaje</t>
        </is>
      </c>
      <c r="C262" s="345" t="n">
        <v>7</v>
      </c>
      <c r="D262" s="208" t="inlineStr">
        <is>
          <t>Edad / fecha de constitución</t>
        </is>
      </c>
      <c r="E262" s="208" t="inlineStr">
        <is>
          <t>Contratante muy joven atípico o empresa de reciente creación.</t>
        </is>
      </c>
      <c r="F262" s="208" t="inlineStr">
        <is>
          <t>Antigüedad intermedia sin historial consolidado.</t>
        </is>
      </c>
      <c r="G262" s="208" t="inlineStr">
        <is>
          <t>Persona o empresa con trayectoria y antigüedad acreditada.</t>
        </is>
      </c>
    </row>
    <row r="263" ht="18.75" customHeight="1" s="173">
      <c r="A263" s="208">
        <f>B263&amp;"-"&amp;C263</f>
        <v/>
      </c>
      <c r="B263" s="344" t="inlineStr">
        <is>
          <t>IX - Servicios de blindaje</t>
        </is>
      </c>
      <c r="C263" s="345" t="n">
        <v>8</v>
      </c>
      <c r="D263" s="208" t="inlineStr">
        <is>
          <t>Actividad económica o giro (y fuente de ingresos)</t>
        </is>
      </c>
      <c r="E263" s="208" t="inlineStr">
        <is>
          <t>Giro informal, uso intensivo de efectivo o vínculo con seguridad privada opaca.</t>
        </is>
      </c>
      <c r="F263" s="208" t="inlineStr">
        <is>
          <t>Actividad formal con componente de efectivo relevante.</t>
        </is>
      </c>
      <c r="G263" s="208" t="inlineStr">
        <is>
          <t>Empresa regulada con ingresos bancarizados y acreditados.</t>
        </is>
      </c>
    </row>
    <row r="264" ht="18.75" customHeight="1" s="173">
      <c r="A264" s="208">
        <f>B264&amp;"-"&amp;C264</f>
        <v/>
      </c>
      <c r="B264" s="344" t="inlineStr">
        <is>
          <t>IX - Servicios de blindaje</t>
        </is>
      </c>
      <c r="C264" s="345" t="n">
        <v>9</v>
      </c>
      <c r="D264" s="208" t="inlineStr">
        <is>
          <t>Nacionalidad del cliente</t>
        </is>
      </c>
      <c r="E264" s="208" t="inlineStr">
        <is>
          <t>Cliente de país en listas GAFI, sancionado o de régimen fiscal preferente.</t>
        </is>
      </c>
      <c r="F264" s="208" t="inlineStr">
        <is>
          <t>Cliente extranjero de país sin deficiencias estratégicas pero con controles PLD limitados.</t>
        </is>
      </c>
      <c r="G264" s="208" t="inlineStr">
        <is>
          <t>Cliente mexicano o de país cooperante con marco PLD/FT sólido.</t>
        </is>
      </c>
    </row>
    <row r="265" ht="18.75" customHeight="1" s="173">
      <c r="A265" s="208">
        <f>B265&amp;"-"&amp;C265</f>
        <v/>
      </c>
      <c r="B265" s="344" t="inlineStr">
        <is>
          <t>IX - Servicios de blindaje</t>
        </is>
      </c>
      <c r="C265" s="345" t="n">
        <v>10</v>
      </c>
      <c r="D265" s="208" t="inlineStr">
        <is>
          <t>País (y en su caso, estado) de residencia del cliente</t>
        </is>
      </c>
      <c r="E265" s="208" t="inlineStr">
        <is>
          <t>Residencia en jurisdicción de alto riesgo o domicilio no verificable.</t>
        </is>
      </c>
      <c r="F265" s="208" t="inlineStr">
        <is>
          <t>Residencia en entidad de riesgo intermedio o parcialmente verificable.</t>
        </is>
      </c>
      <c r="G265" s="208" t="inlineStr">
        <is>
          <t>Residencia nacional plenamente verificada y documentada.</t>
        </is>
      </c>
    </row>
    <row r="266" ht="18.75" customHeight="1" s="173">
      <c r="A266" s="208">
        <f>B266&amp;"-"&amp;C266</f>
        <v/>
      </c>
      <c r="B266" s="344" t="inlineStr">
        <is>
          <t>IX - Servicios de blindaje</t>
        </is>
      </c>
      <c r="C266" s="345" t="n">
        <v>11</v>
      </c>
      <c r="D266" s="208" t="inlineStr">
        <is>
          <t>Condición PEP</t>
        </is>
      </c>
      <c r="E266" s="208" t="inlineStr">
        <is>
          <t>PEP nacional o extranjera, o familiar/allegado de PEP.</t>
        </is>
      </c>
      <c r="F266" s="208" t="inlineStr">
        <is>
          <t>Vínculo indirecto o histórico con PEP, sin poder de decisión actual.</t>
        </is>
      </c>
      <c r="G266" s="208" t="inlineStr">
        <is>
          <t>Cliente sin condición PEP ni relación con personas expuestas.</t>
        </is>
      </c>
    </row>
    <row r="267" ht="18.75" customHeight="1" s="173">
      <c r="A267" s="208">
        <f>B267&amp;"-"&amp;C267</f>
        <v/>
      </c>
      <c r="B267" s="344" t="inlineStr">
        <is>
          <t>IX - Servicios de blindaje</t>
        </is>
      </c>
      <c r="C267" s="345" t="n">
        <v>12</v>
      </c>
      <c r="D267" s="208" t="inlineStr">
        <is>
          <t>Coincidencia en listas de personas bloqueadas o de sanciones</t>
        </is>
      </c>
      <c r="E267" s="208" t="inlineStr">
        <is>
          <t>El contratante, su beneficiario controlador, apoderado o contraparte aparece en la Lista de Personas Bloqueadas, en listas de sanciones o en listas de organizaciones terroristas, o presenta una coincidencia fuerte que no ha sido descartada.</t>
        </is>
      </c>
      <c r="F267" s="208" t="inlineStr">
        <is>
          <t>Se detecta coincidencia parcial u homonimia respecto del contratante o de alguna persona relacionada, y el descarte se encuentra en proceso con constancia documental.</t>
        </is>
      </c>
      <c r="G267" s="208" t="inlineStr">
        <is>
          <t>Búsqueda realizada y documentada sobre el contratante y sus personas relacionadas, sin coincidencias.</t>
        </is>
      </c>
    </row>
    <row r="268" ht="18.75" customHeight="1" s="173">
      <c r="A268" s="208">
        <f>B268&amp;"-"&amp;C268</f>
        <v/>
      </c>
      <c r="B268" s="344" t="inlineStr">
        <is>
          <t>IX - Servicios de blindaje</t>
        </is>
      </c>
      <c r="C268" s="345" t="n">
        <v>13</v>
      </c>
      <c r="D268" s="208" t="inlineStr">
        <is>
          <t>Identificación y complejidad del Beneficiario Controlador</t>
        </is>
      </c>
      <c r="E268" s="208" t="inlineStr">
        <is>
          <t>No se logra identificar al beneficiario controlador del contratante, o la estructura interpone dos o más niveles societarios, fiduciarios o vehículos constituidos en el extranjero para llegar al 25 por ciento.</t>
        </is>
      </c>
      <c r="F268" s="208" t="inlineStr">
        <is>
          <t>Beneficiario controlador identificado, pero a través de una estructura de más de un nivel o con participación indirecta que exigió reconstruir la cadena de control con documentos.</t>
        </is>
      </c>
      <c r="G268" s="208" t="inlineStr">
        <is>
          <t>Beneficiario controlador identificado de forma directa y documentada: persona física que posee al menos el 25 por ciento o que ejerce el control por otra vía acreditada.</t>
        </is>
      </c>
    </row>
    <row r="269" ht="18.75" customHeight="1" s="173">
      <c r="A269" s="208">
        <f>B269&amp;"-"&amp;C269</f>
        <v/>
      </c>
      <c r="B269" s="344" t="inlineStr">
        <is>
          <t>IX - Servicios de blindaje</t>
        </is>
      </c>
      <c r="C269" s="345" t="n">
        <v>14</v>
      </c>
      <c r="D269" s="208" t="inlineStr">
        <is>
          <t>País / jurisdicción donde se realiza la operación</t>
        </is>
      </c>
      <c r="E269" s="208" t="inlineStr">
        <is>
          <t>Operación realizada con o desde jurisdicción de alto riesgo.</t>
        </is>
      </c>
      <c r="F269" s="208" t="inlineStr">
        <is>
          <t>Operación con contraparte en jurisdicción de riesgo intermedio.</t>
        </is>
      </c>
      <c r="G269" s="208" t="inlineStr">
        <is>
          <t>Operación nacional o con jurisdicción cooperante y transparente.</t>
        </is>
      </c>
    </row>
    <row r="270" ht="18.75" customHeight="1" s="173">
      <c r="A270" s="208">
        <f>B270&amp;"-"&amp;C270</f>
        <v/>
      </c>
      <c r="B270" s="344" t="inlineStr">
        <is>
          <t>IX - Servicios de blindaje</t>
        </is>
      </c>
      <c r="C270" s="345" t="n">
        <v>15</v>
      </c>
      <c r="D270" s="208" t="inlineStr">
        <is>
          <t>Área geográfica nacional de la operación</t>
        </is>
      </c>
      <c r="E270" s="208" t="inlineStr">
        <is>
          <t>Zona de alta incidencia delictiva, marginación o franja fronteriza.</t>
        </is>
      </c>
      <c r="F270" s="208" t="inlineStr">
        <is>
          <t>Zona urbana de riesgo intermedio sin alertas relevantes.</t>
        </is>
      </c>
      <c r="G270" s="208" t="inlineStr">
        <is>
          <t>Zona de baja incidencia con presencia institucional.</t>
        </is>
      </c>
    </row>
    <row r="271" ht="18.75" customHeight="1" s="173">
      <c r="A271" s="208">
        <f>B271&amp;"-"&amp;C271</f>
        <v/>
      </c>
      <c r="B271" s="344" t="inlineStr">
        <is>
          <t>IX - Servicios de blindaje</t>
        </is>
      </c>
      <c r="C271" s="345" t="n">
        <v>16</v>
      </c>
      <c r="D271" s="208" t="inlineStr">
        <is>
          <t>Vínculo con jurisdicciones sancionadas, en conflicto o de acción requerida por el GAFI</t>
        </is>
      </c>
      <c r="E271" s="208" t="inlineStr">
        <is>
          <t>Existe exposición a jurisdicciones sancionadas, en conflicto armado o de acción requerida del GAFI, por la vía de unidades blindadas con destino al extranjero.</t>
        </is>
      </c>
      <c r="F271" s="208" t="inlineStr">
        <is>
          <t>Vínculo con jurisdicciones bajo monitoreo intensificado del GAFI o con deficiencias señaladas en la ENR, sin estar sancionadas ni en conflicto.</t>
        </is>
      </c>
      <c r="G271" s="208" t="inlineStr">
        <is>
          <t>Sin vínculo con jurisdicciones sancionadas, en conflicto o listadas por el GAFI; la operación y sus partes se ubican en plazas sin señalamientos.</t>
        </is>
      </c>
    </row>
    <row r="272" ht="18.75" customHeight="1" s="173">
      <c r="A272" s="208">
        <f>B272&amp;"-"&amp;C272</f>
        <v/>
      </c>
      <c r="B272" s="344" t="inlineStr">
        <is>
          <t>IX - Servicios de blindaje</t>
        </is>
      </c>
      <c r="C272" s="345" t="n">
        <v>17</v>
      </c>
      <c r="D272" s="208" t="inlineStr">
        <is>
          <t>Congruencia entre el domicilio del Cliente y el lugar de la operación</t>
        </is>
      </c>
      <c r="E272" s="208" t="inlineStr">
        <is>
          <t>El domicilio del contratante no guarda relación económica ni logística con el lugar donde se realiza el servicio de blindaje, y no existe explicación documentada del desplazamiento.</t>
        </is>
      </c>
      <c r="F272" s="208" t="inlineStr">
        <is>
          <t>Existe distancia relevante entre el domicilio del contratante y el lugar de la operación, con explicación plausible pero no soportada en el expediente.</t>
        </is>
      </c>
      <c r="G272" s="208" t="inlineStr">
        <is>
          <t>El domicilio del contratante corresponde a la plaza donde se realiza el servicio de blindaje, o el desplazamiento está justificado y documentado.</t>
        </is>
      </c>
    </row>
    <row r="273" ht="18.75" customHeight="1" s="173">
      <c r="A273" s="208">
        <f>B273&amp;"-"&amp;C273</f>
        <v/>
      </c>
      <c r="B273" s="344" t="inlineStr">
        <is>
          <t>IX - Servicios de blindaje</t>
        </is>
      </c>
      <c r="C273" s="345" t="n">
        <v>18</v>
      </c>
      <c r="D273" s="208" t="inlineStr">
        <is>
          <t>Instrumento monetario</t>
        </is>
      </c>
      <c r="E273" s="208" t="inlineStr">
        <is>
          <t>Pago en efectivo o instrumentos al portador.</t>
        </is>
      </c>
      <c r="F273" s="208" t="inlineStr">
        <is>
          <t>Pago mixto: efectivo combinado con transferencia.</t>
        </is>
      </c>
      <c r="G273" s="208" t="inlineStr">
        <is>
          <t>Pago íntegro a través del sistema financiero.</t>
        </is>
      </c>
    </row>
    <row r="274" ht="18.75" customHeight="1" s="173">
      <c r="A274" s="208">
        <f>B274&amp;"-"&amp;C274</f>
        <v/>
      </c>
      <c r="B274" s="344" t="inlineStr">
        <is>
          <t>IX - Servicios de blindaje</t>
        </is>
      </c>
      <c r="C274" s="345" t="n">
        <v>19</v>
      </c>
      <c r="D274" s="208" t="inlineStr">
        <is>
          <t>Tipo de moneda</t>
        </is>
      </c>
      <c r="E274" s="208" t="inlineStr">
        <is>
          <t>Operación en moneda extranjera distinta al USD o en criptomonedas.</t>
        </is>
      </c>
      <c r="F274" s="208" t="inlineStr">
        <is>
          <t>Operación pactada en dólares estadounidenses (USD).</t>
        </is>
      </c>
      <c r="G274" s="208" t="inlineStr">
        <is>
          <t>Operación pactada y liquidada en pesos mexicanos.</t>
        </is>
      </c>
    </row>
    <row r="275" ht="18.75" customHeight="1" s="173">
      <c r="A275" s="208">
        <f>B275&amp;"-"&amp;C275</f>
        <v/>
      </c>
      <c r="B275" s="344" t="inlineStr">
        <is>
          <t>IX - Servicios de blindaje</t>
        </is>
      </c>
      <c r="C275" s="345" t="n">
        <v>20</v>
      </c>
      <c r="D275" s="208" t="inlineStr">
        <is>
          <t>Monto frente a umbrales LFPIORPI</t>
        </is>
      </c>
      <c r="E275" s="208" t="inlineStr">
        <is>
          <t>Monto que supera el umbral de aviso de 4,815 UMA.</t>
        </is>
      </c>
      <c r="F275" s="208" t="inlineStr">
        <is>
          <t>Monto cercano al umbral de 4,815 UMA sin superarlo.</t>
        </is>
      </c>
      <c r="G275" s="208" t="inlineStr">
        <is>
          <t>Monto muy por debajo del umbral de 4,815 UMA.</t>
        </is>
      </c>
    </row>
    <row r="276" ht="18.75" customHeight="1" s="173">
      <c r="A276" s="208">
        <f>B276&amp;"-"&amp;C276</f>
        <v/>
      </c>
      <c r="B276" s="344" t="inlineStr">
        <is>
          <t>IX - Servicios de blindaje</t>
        </is>
      </c>
      <c r="C276" s="345" t="n">
        <v>21</v>
      </c>
      <c r="D276" s="208" t="inlineStr">
        <is>
          <t>Frecuencia (fraccionamiento)</t>
        </is>
      </c>
      <c r="E276" s="208" t="inlineStr">
        <is>
          <t>Contrataciones frecuentes o fraccionadas para eludir el umbral.</t>
        </is>
      </c>
      <c r="F276" s="208" t="inlineStr">
        <is>
          <t>Recurrencia moderada sin patrón claro de fraccionamiento.</t>
        </is>
      </c>
      <c r="G276" s="208" t="inlineStr">
        <is>
          <t>Operación aislada y consistente con el perfil del cliente.</t>
        </is>
      </c>
    </row>
    <row r="277" ht="18.75" customHeight="1" s="173">
      <c r="A277" s="208">
        <f>B277&amp;"-"&amp;C277</f>
        <v/>
      </c>
      <c r="B277" s="344" t="inlineStr">
        <is>
          <t>IX - Servicios de blindaje</t>
        </is>
      </c>
      <c r="C277" s="345" t="n">
        <v>22</v>
      </c>
      <c r="D277" s="208" t="inlineStr">
        <is>
          <t>Canal (presencial / no presencial / terceros)</t>
        </is>
      </c>
      <c r="E277" s="208" t="inlineStr">
        <is>
          <t>Operación no presencial o a través de terceros sin contacto directo.</t>
        </is>
      </c>
      <c r="F277" s="208" t="inlineStr">
        <is>
          <t>Operación presencial con intermediación parcial de un tercero.</t>
        </is>
      </c>
      <c r="G277" s="208" t="inlineStr">
        <is>
          <t>Operación presencial directa con el cliente plenamente identificado.</t>
        </is>
      </c>
    </row>
    <row r="278" ht="18.75" customHeight="1" s="173">
      <c r="A278" s="208">
        <f>B278&amp;"-"&amp;C278</f>
        <v/>
      </c>
      <c r="B278" s="344" t="inlineStr">
        <is>
          <t>IX - Servicios de blindaje</t>
        </is>
      </c>
      <c r="C278" s="345" t="n">
        <v>23</v>
      </c>
      <c r="D278" s="208" t="inlineStr">
        <is>
          <t>Origen de los recursos</t>
        </is>
      </c>
      <c r="E278" s="208" t="inlineStr">
        <is>
          <t>Recursos de origen no acreditable, en efectivo o informal.</t>
        </is>
      </c>
      <c r="F278" s="208" t="inlineStr">
        <is>
          <t>Origen de recursos parcialmente documentado.</t>
        </is>
      </c>
      <c r="G278" s="208" t="inlineStr">
        <is>
          <t>Origen lícito plenamente acreditado y bancarizado.</t>
        </is>
      </c>
    </row>
    <row r="279" ht="18.75" customHeight="1" s="173">
      <c r="A279" s="208">
        <f>B279&amp;"-"&amp;C279</f>
        <v/>
      </c>
      <c r="B279" s="344" t="inlineStr">
        <is>
          <t>IX - Servicios de blindaje</t>
        </is>
      </c>
      <c r="C279" s="345" t="n">
        <v>24</v>
      </c>
      <c r="D279" s="208" t="inlineStr">
        <is>
          <t>Destino de los recursos</t>
        </is>
      </c>
      <c r="E279" s="208" t="inlineStr">
        <is>
          <t>Bien blindado destinado a terceros o al exterior sin justificación.</t>
        </is>
      </c>
      <c r="F279" s="208" t="inlineStr">
        <is>
          <t>Destino parcialmente justificado.</t>
        </is>
      </c>
      <c r="G279" s="208" t="inlineStr">
        <is>
          <t>Destino claro, documentado y congruente con la operación.</t>
        </is>
      </c>
    </row>
    <row r="280" ht="18.75" customHeight="1" s="173">
      <c r="A280" s="208">
        <f>B280&amp;"-"&amp;C280</f>
        <v/>
      </c>
      <c r="B280" s="344" t="inlineStr">
        <is>
          <t>IX - Servicios de blindaje</t>
        </is>
      </c>
      <c r="C280" s="345" t="n">
        <v>25</v>
      </c>
      <c r="D280" s="208" t="inlineStr">
        <is>
          <t>Canales e instrumentos idóneos para el financiamiento al terrorismo</t>
        </is>
      </c>
      <c r="E280" s="208" t="inlineStr">
        <is>
          <t>La operación se realiza mediante contratación por intermediarios sin acreditar al propietario y entrega fuera del taller, es decir, medios que permiten mover valor en montos pequeños sin identificar al destinatario final.</t>
        </is>
      </c>
      <c r="F280" s="208" t="inlineStr">
        <is>
          <t>Canal mixto o con verificación parcial: hay registro de la operación pero la trazabilidad del destinatario final es incompleta.</t>
        </is>
      </c>
      <c r="G280" s="208" t="inlineStr">
        <is>
          <t>Contratación con propietario identificado y entrega documentada de la unidad, con trazabilidad completa del origen y del destinatario.</t>
        </is>
      </c>
    </row>
    <row r="281" ht="18.75" customHeight="1" s="173">
      <c r="A281" s="208">
        <f>B281&amp;"-"&amp;C281</f>
        <v/>
      </c>
      <c r="B281" s="344" t="inlineStr">
        <is>
          <t>X - Transporte y custodia de valores</t>
        </is>
      </c>
      <c r="C281" s="345" t="n">
        <v>1</v>
      </c>
      <c r="D281" s="208" t="inlineStr">
        <is>
          <t>Valor del producto o servicio</t>
        </is>
      </c>
      <c r="E281" s="208" t="inlineStr">
        <is>
          <t>Traslado o custodia de efectivo de alto volumen o bienes de altísimo valor en una sola ruta.</t>
        </is>
      </c>
      <c r="F281" s="208" t="inlineStr">
        <is>
          <t>Custodia de valores mixtos (efectivo y documentos) de valor moderado.</t>
        </is>
      </c>
      <c r="G281" s="208" t="inlineStr">
        <is>
          <t>Custodia de valores financieros documentados (títulos, cheques) de bajo monto.</t>
        </is>
      </c>
    </row>
    <row r="282" ht="18.75" customHeight="1" s="173">
      <c r="A282" s="208">
        <f>B282&amp;"-"&amp;C282</f>
        <v/>
      </c>
      <c r="B282" s="344" t="inlineStr">
        <is>
          <t>X - Transporte y custodia de valores</t>
        </is>
      </c>
      <c r="C282" s="345" t="n">
        <v>2</v>
      </c>
      <c r="D282" s="208" t="inlineStr">
        <is>
          <t>Liquidez / convertibilidad</t>
        </is>
      </c>
      <c r="E282" s="208" t="inlineStr">
        <is>
          <t>Efectivo o metales al portador, de conversión inmediata y sin rastro.</t>
        </is>
      </c>
      <c r="F282" s="208" t="inlineStr">
        <is>
          <t>Mezcla de efectivo y documentos parcialmente negociables.</t>
        </is>
      </c>
      <c r="G282" s="208" t="inlineStr">
        <is>
          <t>Títulos nominativos o cheques no negociables, de baja liquidez.</t>
        </is>
      </c>
    </row>
    <row r="283" ht="18.75" customHeight="1" s="173">
      <c r="A283" s="208">
        <f>B283&amp;"-"&amp;C283</f>
        <v/>
      </c>
      <c r="B283" s="344" t="inlineStr">
        <is>
          <t>X - Transporte y custodia de valores</t>
        </is>
      </c>
      <c r="C283" s="345" t="n">
        <v>3</v>
      </c>
      <c r="D283" s="208" t="inlineStr">
        <is>
          <t>Anonimato / identificación del beneficiario</t>
        </is>
      </c>
      <c r="E283" s="208" t="inlineStr">
        <is>
          <t>Remitente o destinatario del valor no identificado o mediante interpósita persona.</t>
        </is>
      </c>
      <c r="F283" s="208" t="inlineStr">
        <is>
          <t>Identificación parcial del beneficiario del traslado.</t>
        </is>
      </c>
      <c r="G283" s="208" t="inlineStr">
        <is>
          <t>Remitente y destinatario plenamente identificados y documentados.</t>
        </is>
      </c>
    </row>
    <row r="284" ht="18.75" customHeight="1" s="173">
      <c r="A284" s="208">
        <f>B284&amp;"-"&amp;C284</f>
        <v/>
      </c>
      <c r="B284" s="344" t="inlineStr">
        <is>
          <t>X - Transporte y custodia de valores</t>
        </is>
      </c>
      <c r="C284" s="345" t="n">
        <v>4</v>
      </c>
      <c r="D284" s="208" t="inlineStr">
        <is>
          <t>Transferencia u ocultamiento de valor</t>
        </is>
      </c>
      <c r="E284" s="208" t="inlineStr">
        <is>
          <t>El traslado físico facilita movilizar efectivo ilícito eludiendo el sistema financiero.</t>
        </is>
      </c>
      <c r="F284" s="208" t="inlineStr">
        <is>
          <t>Traslados con justificación parcial del origen y destino.</t>
        </is>
      </c>
      <c r="G284" s="208" t="inlineStr">
        <is>
          <t>Traslado de valores bancarizados con trazabilidad completa.</t>
        </is>
      </c>
    </row>
    <row r="285" ht="18.75" customHeight="1" s="173">
      <c r="A285" s="208">
        <f>B285&amp;"-"&amp;C285</f>
        <v/>
      </c>
      <c r="B285" s="344" t="inlineStr">
        <is>
          <t>X - Transporte y custodia de valores</t>
        </is>
      </c>
      <c r="C285" s="345" t="n">
        <v>5</v>
      </c>
      <c r="D285" s="208" t="inlineStr">
        <is>
          <t>Exposición del acto u operación al financiamiento al terrorismo</t>
        </is>
      </c>
      <c r="E285" s="208" t="inlineStr">
        <is>
          <t>Traslado de efectivo, metales o valores a favor de personas o redes señaladas en listas, o hacia zonas de conflicto o frontera con destino no acreditado.</t>
        </is>
      </c>
      <c r="F285" s="208" t="inlineStr">
        <is>
          <t>Rutas o destinatarios que cambian con frecuencia sin explicación, sin coincidencias en listas.</t>
        </is>
      </c>
      <c r="G285" s="208" t="inlineStr">
        <is>
          <t>Remitente y destinatario identificados, ruta y valores documentados.</t>
        </is>
      </c>
    </row>
    <row r="286" ht="18.75" customHeight="1" s="173">
      <c r="A286" s="208">
        <f>B286&amp;"-"&amp;C286</f>
        <v/>
      </c>
      <c r="B286" s="344" t="inlineStr">
        <is>
          <t>X - Transporte y custodia de valores</t>
        </is>
      </c>
      <c r="C286" s="345" t="n">
        <v>6</v>
      </c>
      <c r="D286" s="208" t="inlineStr">
        <is>
          <t>Tipo de persona y estructura</t>
        </is>
      </c>
      <c r="E286" s="208" t="inlineStr">
        <is>
          <t>Persona moral extranjera, fideicomiso o estructura opaca como cliente.</t>
        </is>
      </c>
      <c r="F286" s="208" t="inlineStr">
        <is>
          <t>Persona moral nacional con estructura de propiedad poco clara.</t>
        </is>
      </c>
      <c r="G286" s="208" t="inlineStr">
        <is>
          <t>Persona física o moral nacional con beneficiario final identificado.</t>
        </is>
      </c>
    </row>
    <row r="287" ht="18.75" customHeight="1" s="173">
      <c r="A287" s="208">
        <f>B287&amp;"-"&amp;C287</f>
        <v/>
      </c>
      <c r="B287" s="344" t="inlineStr">
        <is>
          <t>X - Transporte y custodia de valores</t>
        </is>
      </c>
      <c r="C287" s="345" t="n">
        <v>7</v>
      </c>
      <c r="D287" s="208" t="inlineStr">
        <is>
          <t>Edad / fecha de constitución</t>
        </is>
      </c>
      <c r="E287" s="208" t="inlineStr">
        <is>
          <t>Empresa de reciente creación o cliente atípico sin historial operativo.</t>
        </is>
      </c>
      <c r="F287" s="208" t="inlineStr">
        <is>
          <t>Empresa con antigüedad intermedia o giro reciente.</t>
        </is>
      </c>
      <c r="G287" s="208" t="inlineStr">
        <is>
          <t>Empresa consolidada con años de operación demostrable.</t>
        </is>
      </c>
    </row>
    <row r="288" ht="18.75" customHeight="1" s="173">
      <c r="A288" s="208">
        <f>B288&amp;"-"&amp;C288</f>
        <v/>
      </c>
      <c r="B288" s="344" t="inlineStr">
        <is>
          <t>X - Transporte y custodia de valores</t>
        </is>
      </c>
      <c r="C288" s="345" t="n">
        <v>8</v>
      </c>
      <c r="D288" s="208" t="inlineStr">
        <is>
          <t>Actividad económica o giro (y fuente de ingresos)</t>
        </is>
      </c>
      <c r="E288" s="208" t="inlineStr">
        <is>
          <t>Giro intensivo en efectivo o informal sin sustento del volumen trasladado.</t>
        </is>
      </c>
      <c r="F288" s="208" t="inlineStr">
        <is>
          <t>Giro mixto con uso parcial de efectivo.</t>
        </is>
      </c>
      <c r="G288" s="208" t="inlineStr">
        <is>
          <t>Giro formal bancarizado congruente con los valores custodiados.</t>
        </is>
      </c>
    </row>
    <row r="289" ht="18.75" customHeight="1" s="173">
      <c r="A289" s="208">
        <f>B289&amp;"-"&amp;C289</f>
        <v/>
      </c>
      <c r="B289" s="344" t="inlineStr">
        <is>
          <t>X - Transporte y custodia de valores</t>
        </is>
      </c>
      <c r="C289" s="345" t="n">
        <v>9</v>
      </c>
      <c r="D289" s="208" t="inlineStr">
        <is>
          <t>Nacionalidad del cliente</t>
        </is>
      </c>
      <c r="E289" s="208" t="inlineStr">
        <is>
          <t>Nacional de país en listas GAFI, sancionado o régimen fiscal preferente.</t>
        </is>
      </c>
      <c r="F289" s="208" t="inlineStr">
        <is>
          <t>Nacional de país con deficiencias parciales en PLD.</t>
        </is>
      </c>
      <c r="G289" s="208" t="inlineStr">
        <is>
          <t>Nacional de país cooperante con marco PLD robusto.</t>
        </is>
      </c>
    </row>
    <row r="290" ht="18.75" customHeight="1" s="173">
      <c r="A290" s="208">
        <f>B290&amp;"-"&amp;C290</f>
        <v/>
      </c>
      <c r="B290" s="344" t="inlineStr">
        <is>
          <t>X - Transporte y custodia de valores</t>
        </is>
      </c>
      <c r="C290" s="345" t="n">
        <v>10</v>
      </c>
      <c r="D290" s="208" t="inlineStr">
        <is>
          <t>País (y en su caso, estado) de residencia del cliente</t>
        </is>
      </c>
      <c r="E290" s="208" t="inlineStr">
        <is>
          <t>Residencia en jurisdicción de alto riesgo o no verificable.</t>
        </is>
      </c>
      <c r="F290" s="208" t="inlineStr">
        <is>
          <t>Residencia verificable en zona de riesgo intermedio.</t>
        </is>
      </c>
      <c r="G290" s="208" t="inlineStr">
        <is>
          <t>Residencia nacional plenamente verificada.</t>
        </is>
      </c>
    </row>
    <row r="291" ht="18.75" customHeight="1" s="173">
      <c r="A291" s="208">
        <f>B291&amp;"-"&amp;C291</f>
        <v/>
      </c>
      <c r="B291" s="344" t="inlineStr">
        <is>
          <t>X - Transporte y custodia de valores</t>
        </is>
      </c>
      <c r="C291" s="345" t="n">
        <v>11</v>
      </c>
      <c r="D291" s="208" t="inlineStr">
        <is>
          <t>Condición PEP</t>
        </is>
      </c>
      <c r="E291" s="208" t="inlineStr">
        <is>
          <t>PEP nacional o extranjera, o allegado de PEP.</t>
        </is>
      </c>
      <c r="F291" s="208" t="inlineStr">
        <is>
          <t>Vínculo indirecto o lejano con una PEP.</t>
        </is>
      </c>
      <c r="G291" s="208" t="inlineStr">
        <is>
          <t>Sin condición PEP ni vínculos identificados.</t>
        </is>
      </c>
    </row>
    <row r="292" ht="18.75" customHeight="1" s="173">
      <c r="A292" s="208">
        <f>B292&amp;"-"&amp;C292</f>
        <v/>
      </c>
      <c r="B292" s="344" t="inlineStr">
        <is>
          <t>X - Transporte y custodia de valores</t>
        </is>
      </c>
      <c r="C292" s="345" t="n">
        <v>12</v>
      </c>
      <c r="D292" s="208" t="inlineStr">
        <is>
          <t>Coincidencia en listas de personas bloqueadas o de sanciones</t>
        </is>
      </c>
      <c r="E292" s="208" t="inlineStr">
        <is>
          <t>El contratante, su beneficiario controlador, apoderado o contraparte aparece en la Lista de Personas Bloqueadas, en listas de sanciones o en listas de organizaciones terroristas, o presenta una coincidencia fuerte que no ha sido descartada.</t>
        </is>
      </c>
      <c r="F292" s="208" t="inlineStr">
        <is>
          <t>Se detecta coincidencia parcial u homonimia respecto del contratante o de alguna persona relacionada, y el descarte se encuentra en proceso con constancia documental.</t>
        </is>
      </c>
      <c r="G292" s="208" t="inlineStr">
        <is>
          <t>Búsqueda realizada y documentada sobre el contratante y sus personas relacionadas, sin coincidencias.</t>
        </is>
      </c>
    </row>
    <row r="293" ht="18.75" customHeight="1" s="173">
      <c r="A293" s="208">
        <f>B293&amp;"-"&amp;C293</f>
        <v/>
      </c>
      <c r="B293" s="344" t="inlineStr">
        <is>
          <t>X - Transporte y custodia de valores</t>
        </is>
      </c>
      <c r="C293" s="345" t="n">
        <v>13</v>
      </c>
      <c r="D293" s="208" t="inlineStr">
        <is>
          <t>Identificación y complejidad del Beneficiario Controlador</t>
        </is>
      </c>
      <c r="E293" s="208" t="inlineStr">
        <is>
          <t>No se logra identificar al beneficiario controlador del contratante, o la estructura interpone dos o más niveles societarios, fiduciarios o vehículos constituidos en el extranjero para llegar al 25 por ciento.</t>
        </is>
      </c>
      <c r="F293" s="208" t="inlineStr">
        <is>
          <t>Beneficiario controlador identificado, pero a través de una estructura de más de un nivel o con participación indirecta que exigió reconstruir la cadena de control con documentos.</t>
        </is>
      </c>
      <c r="G293" s="208" t="inlineStr">
        <is>
          <t>Beneficiario controlador identificado de forma directa y documentada: persona física que posee al menos el 25 por ciento o que ejerce el control por otra vía acreditada.</t>
        </is>
      </c>
    </row>
    <row r="294" ht="18.75" customHeight="1" s="173">
      <c r="A294" s="208">
        <f>B294&amp;"-"&amp;C294</f>
        <v/>
      </c>
      <c r="B294" s="344" t="inlineStr">
        <is>
          <t>X - Transporte y custodia de valores</t>
        </is>
      </c>
      <c r="C294" s="345" t="n">
        <v>14</v>
      </c>
      <c r="D294" s="208" t="inlineStr">
        <is>
          <t>País / jurisdicción donde se realiza la operación</t>
        </is>
      </c>
      <c r="E294" s="208" t="inlineStr">
        <is>
          <t>Traslado con origen o destino en jurisdicción de alto riesgo.</t>
        </is>
      </c>
      <c r="F294" s="208" t="inlineStr">
        <is>
          <t>Operación con jurisdicción de riesgo intermedio.</t>
        </is>
      </c>
      <c r="G294" s="208" t="inlineStr">
        <is>
          <t>Operación íntegramente nacional en jurisdicción de bajo riesgo.</t>
        </is>
      </c>
    </row>
    <row r="295" ht="18.75" customHeight="1" s="173">
      <c r="A295" s="208">
        <f>B295&amp;"-"&amp;C295</f>
        <v/>
      </c>
      <c r="B295" s="344" t="inlineStr">
        <is>
          <t>X - Transporte y custodia de valores</t>
        </is>
      </c>
      <c r="C295" s="345" t="n">
        <v>15</v>
      </c>
      <c r="D295" s="208" t="inlineStr">
        <is>
          <t>Área geográfica nacional de la operación</t>
        </is>
      </c>
      <c r="E295" s="208" t="inlineStr">
        <is>
          <t>Ruta en zona de alta incidencia delictiva, marginación o frontera.</t>
        </is>
      </c>
      <c r="F295" s="208" t="inlineStr">
        <is>
          <t>Ruta en zona de riesgo intermedio.</t>
        </is>
      </c>
      <c r="G295" s="208" t="inlineStr">
        <is>
          <t>Ruta en zona de baja incidencia delictiva.</t>
        </is>
      </c>
    </row>
    <row r="296" ht="18.75" customHeight="1" s="173">
      <c r="A296" s="208">
        <f>B296&amp;"-"&amp;C296</f>
        <v/>
      </c>
      <c r="B296" s="344" t="inlineStr">
        <is>
          <t>X - Transporte y custodia de valores</t>
        </is>
      </c>
      <c r="C296" s="345" t="n">
        <v>16</v>
      </c>
      <c r="D296" s="208" t="inlineStr">
        <is>
          <t>Vínculo con jurisdicciones sancionadas, en conflicto o de acción requerida por el GAFI</t>
        </is>
      </c>
      <c r="E296" s="208" t="inlineStr">
        <is>
          <t>Existe exposición a jurisdicciones sancionadas, en conflicto armado o de acción requerida del GAFI, por la vía de rutas con origen o destino en el extranjero o en zona fronteriza.</t>
        </is>
      </c>
      <c r="F296" s="208" t="inlineStr">
        <is>
          <t>Vínculo con jurisdicciones bajo monitoreo intensificado del GAFI o con deficiencias señaladas en la ENR, sin estar sancionadas ni en conflicto.</t>
        </is>
      </c>
      <c r="G296" s="208" t="inlineStr">
        <is>
          <t>Sin vínculo con jurisdicciones sancionadas, en conflicto o listadas por el GAFI; la operación y sus partes se ubican en plazas sin señalamientos.</t>
        </is>
      </c>
    </row>
    <row r="297" ht="18.75" customHeight="1" s="173">
      <c r="A297" s="208">
        <f>B297&amp;"-"&amp;C297</f>
        <v/>
      </c>
      <c r="B297" s="344" t="inlineStr">
        <is>
          <t>X - Transporte y custodia de valores</t>
        </is>
      </c>
      <c r="C297" s="345" t="n">
        <v>17</v>
      </c>
      <c r="D297" s="208" t="inlineStr">
        <is>
          <t>Congruencia entre el domicilio del Cliente y el lugar de la operación</t>
        </is>
      </c>
      <c r="E297" s="208" t="inlineStr">
        <is>
          <t>El domicilio del contratante no guarda relación económica ni logística con el lugar donde se realiza el traslado o la custodia de valores, y no existe explicación documentada del desplazamiento.</t>
        </is>
      </c>
      <c r="F297" s="208" t="inlineStr">
        <is>
          <t>Existe distancia relevante entre el domicilio del contratante y el lugar de la operación, con explicación plausible pero no soportada en el expediente.</t>
        </is>
      </c>
      <c r="G297" s="208" t="inlineStr">
        <is>
          <t>El domicilio del contratante corresponde a la plaza donde se realiza el traslado o la custodia de valores, o el desplazamiento está justificado y documentado.</t>
        </is>
      </c>
    </row>
    <row r="298" ht="18.75" customHeight="1" s="173">
      <c r="A298" s="208">
        <f>B298&amp;"-"&amp;C298</f>
        <v/>
      </c>
      <c r="B298" s="344" t="inlineStr">
        <is>
          <t>X - Transporte y custodia de valores</t>
        </is>
      </c>
      <c r="C298" s="345" t="n">
        <v>18</v>
      </c>
      <c r="D298" s="208" t="inlineStr">
        <is>
          <t>Instrumento monetario</t>
        </is>
      </c>
      <c r="E298" s="208" t="inlineStr">
        <is>
          <t>Efectivo o instrumentos al portador como objeto del traslado.</t>
        </is>
      </c>
      <c r="F298" s="208" t="inlineStr">
        <is>
          <t>Mezcla de efectivo e instrumentos nominativos.</t>
        </is>
      </c>
      <c r="G298" s="208" t="inlineStr">
        <is>
          <t>Instrumentos nominativos o registros documentales no al portador.</t>
        </is>
      </c>
    </row>
    <row r="299" ht="18.75" customHeight="1" s="173">
      <c r="A299" s="208">
        <f>B299&amp;"-"&amp;C299</f>
        <v/>
      </c>
      <c r="B299" s="344" t="inlineStr">
        <is>
          <t>X - Transporte y custodia de valores</t>
        </is>
      </c>
      <c r="C299" s="345" t="n">
        <v>19</v>
      </c>
      <c r="D299" s="208" t="inlineStr">
        <is>
          <t>Tipo de moneda</t>
        </is>
      </c>
      <c r="E299" s="208" t="inlineStr">
        <is>
          <t>Moneda extranjera distinta al USD o divisas de difícil trazabilidad.</t>
        </is>
      </c>
      <c r="F299" s="208" t="inlineStr">
        <is>
          <t>Mezcla de moneda nacional y USD.</t>
        </is>
      </c>
      <c r="G299" s="208" t="inlineStr">
        <is>
          <t>Moneda nacional exclusivamente.</t>
        </is>
      </c>
    </row>
    <row r="300" ht="18.75" customHeight="1" s="173">
      <c r="A300" s="208">
        <f>B300&amp;"-"&amp;C300</f>
        <v/>
      </c>
      <c r="B300" s="344" t="inlineStr">
        <is>
          <t>X - Transporte y custodia de valores</t>
        </is>
      </c>
      <c r="C300" s="345" t="n">
        <v>20</v>
      </c>
      <c r="D300" s="208" t="inlineStr">
        <is>
          <t>Monto frente a umbrales LFPIORPI</t>
        </is>
      </c>
      <c r="E300" s="208" t="inlineStr">
        <is>
          <t>Valor trasladado supera ampliamente el umbral de aviso de 3,210 UMA.</t>
        </is>
      </c>
      <c r="F300" s="208" t="inlineStr">
        <is>
          <t>Valor cercano al umbral de aviso de 3,210 UMA.</t>
        </is>
      </c>
      <c r="G300" s="208" t="inlineStr">
        <is>
          <t>Valor muy por debajo del umbral de aviso de 3,210 UMA.</t>
        </is>
      </c>
    </row>
    <row r="301" ht="18.75" customHeight="1" s="173">
      <c r="A301" s="208">
        <f>B301&amp;"-"&amp;C301</f>
        <v/>
      </c>
      <c r="B301" s="344" t="inlineStr">
        <is>
          <t>X - Transporte y custodia de valores</t>
        </is>
      </c>
      <c r="C301" s="345" t="n">
        <v>21</v>
      </c>
      <c r="D301" s="208" t="inlineStr">
        <is>
          <t>Frecuencia (fraccionamiento)</t>
        </is>
      </c>
      <c r="E301" s="208" t="inlineStr">
        <is>
          <t>Traslados frecuentes o fraccionados para no superar el umbral de aviso.</t>
        </is>
      </c>
      <c r="F301" s="208" t="inlineStr">
        <is>
          <t>Traslados periódicos sin patrón claro de fraccionamiento.</t>
        </is>
      </c>
      <c r="G301" s="208" t="inlineStr">
        <is>
          <t>Traslados esporádicos y congruentes con la operación.</t>
        </is>
      </c>
    </row>
    <row r="302" ht="18.75" customHeight="1" s="173">
      <c r="A302" s="208">
        <f>B302&amp;"-"&amp;C302</f>
        <v/>
      </c>
      <c r="B302" s="344" t="inlineStr">
        <is>
          <t>X - Transporte y custodia de valores</t>
        </is>
      </c>
      <c r="C302" s="345" t="n">
        <v>22</v>
      </c>
      <c r="D302" s="208" t="inlineStr">
        <is>
          <t>Canal (presencial / no presencial / terceros)</t>
        </is>
      </c>
      <c r="E302" s="208" t="inlineStr">
        <is>
          <t>Contratación no presencial o mediante terceros sin contacto directo.</t>
        </is>
      </c>
      <c r="F302" s="208" t="inlineStr">
        <is>
          <t>Contratación semipresencial con verificación parcial.</t>
        </is>
      </c>
      <c r="G302" s="208" t="inlineStr">
        <is>
          <t>Contratación presencial con verificación directa del cliente.</t>
        </is>
      </c>
    </row>
    <row r="303" ht="18.75" customHeight="1" s="173">
      <c r="A303" s="208">
        <f>B303&amp;"-"&amp;C303</f>
        <v/>
      </c>
      <c r="B303" s="344" t="inlineStr">
        <is>
          <t>X - Transporte y custodia de valores</t>
        </is>
      </c>
      <c r="C303" s="345" t="n">
        <v>23</v>
      </c>
      <c r="D303" s="208" t="inlineStr">
        <is>
          <t>Origen de los recursos</t>
        </is>
      </c>
      <c r="E303" s="208" t="inlineStr">
        <is>
          <t>Origen del efectivo no acreditable o de fuente informal.</t>
        </is>
      </c>
      <c r="F303" s="208" t="inlineStr">
        <is>
          <t>Origen de los recursos parcialmente documentado.</t>
        </is>
      </c>
      <c r="G303" s="208" t="inlineStr">
        <is>
          <t>Origen bancarizado y plenamente acreditado.</t>
        </is>
      </c>
    </row>
    <row r="304" ht="18.75" customHeight="1" s="173">
      <c r="A304" s="208">
        <f>B304&amp;"-"&amp;C304</f>
        <v/>
      </c>
      <c r="B304" s="344" t="inlineStr">
        <is>
          <t>X - Transporte y custodia de valores</t>
        </is>
      </c>
      <c r="C304" s="345" t="n">
        <v>24</v>
      </c>
      <c r="D304" s="208" t="inlineStr">
        <is>
          <t>Destino de los recursos</t>
        </is>
      </c>
      <c r="E304" s="208" t="inlineStr">
        <is>
          <t>Destino opaco, a terceros o al exterior sin justificación.</t>
        </is>
      </c>
      <c r="F304" s="208" t="inlineStr">
        <is>
          <t>Destino de los recursos parcialmente documentado.</t>
        </is>
      </c>
      <c r="G304" s="208" t="inlineStr">
        <is>
          <t>Destino identificado y congruente con la operación.</t>
        </is>
      </c>
    </row>
    <row r="305" ht="18.75" customHeight="1" s="173">
      <c r="A305" s="208">
        <f>B305&amp;"-"&amp;C305</f>
        <v/>
      </c>
      <c r="B305" s="344" t="inlineStr">
        <is>
          <t>X - Transporte y custodia de valores</t>
        </is>
      </c>
      <c r="C305" s="345" t="n">
        <v>25</v>
      </c>
      <c r="D305" s="208" t="inlineStr">
        <is>
          <t>Canales e instrumentos idóneos para el financiamiento al terrorismo</t>
        </is>
      </c>
      <c r="E305" s="208" t="inlineStr">
        <is>
          <t>La operación se realiza mediante servicios contratados por intermediarios, con remitente o destinatario no acreditado, es decir, medios que permiten mover valor en montos pequeños sin identificar al destinatario final.</t>
        </is>
      </c>
      <c r="F305" s="208" t="inlineStr">
        <is>
          <t>Canal mixto o con verificación parcial: hay registro de la operación pero la trazabilidad del destinatario final es incompleta.</t>
        </is>
      </c>
      <c r="G305" s="208" t="inlineStr">
        <is>
          <t>Servicio con remitente y destinatario identificados y valores documentados, con trazabilidad completa del origen y del destinatario.</t>
        </is>
      </c>
    </row>
    <row r="306" ht="18.75" customHeight="1" s="173">
      <c r="A306" s="208">
        <f>B306&amp;"-"&amp;C306</f>
        <v/>
      </c>
      <c r="B306" s="344" t="inlineStr">
        <is>
          <t>XI - Servicios Profesionales</t>
        </is>
      </c>
      <c r="C306" s="345" t="n">
        <v>1</v>
      </c>
      <c r="D306" s="208" t="inlineStr">
        <is>
          <t>Valor del producto o servicio</t>
        </is>
      </c>
      <c r="E306" s="208" t="inlineStr">
        <is>
          <t>Servicio de estructuracion patrimonial o fiscal compleja de alto valor.</t>
        </is>
      </c>
      <c r="F306" s="208" t="inlineStr">
        <is>
          <t>Servicio especializado de valor intermedio (contratos, tramites).</t>
        </is>
      </c>
      <c r="G306" s="208" t="inlineStr">
        <is>
          <t>Servicio rutinario o administrativo de bajo valor.</t>
        </is>
      </c>
    </row>
    <row r="307" ht="18.75" customHeight="1" s="173">
      <c r="A307" s="208">
        <f>B307&amp;"-"&amp;C307</f>
        <v/>
      </c>
      <c r="B307" s="344" t="inlineStr">
        <is>
          <t>XI - Servicios Profesionales</t>
        </is>
      </c>
      <c r="C307" s="345" t="n">
        <v>2</v>
      </c>
      <c r="D307" s="208" t="inlineStr">
        <is>
          <t>Liquidez / convertibilidad</t>
        </is>
      </c>
      <c r="E307" s="208" t="inlineStr">
        <is>
          <t>Disena esquemas que permiten disponer o convertir activos con rapidez.</t>
        </is>
      </c>
      <c r="F307" s="208" t="inlineStr">
        <is>
          <t>Facilita disposición parcial de valor bajo ciertas condiciones.</t>
        </is>
      </c>
      <c r="G307" s="208" t="inlineStr">
        <is>
          <t>Servicio sin efecto sobre la disponibilidad de activos.</t>
        </is>
      </c>
    </row>
    <row r="308" ht="18.75" customHeight="1" s="173">
      <c r="A308" s="208">
        <f>B308&amp;"-"&amp;C308</f>
        <v/>
      </c>
      <c r="B308" s="344" t="inlineStr">
        <is>
          <t>XI - Servicios Profesionales</t>
        </is>
      </c>
      <c r="C308" s="345" t="n">
        <v>3</v>
      </c>
      <c r="D308" s="208" t="inlineStr">
        <is>
          <t>Anonimato / identificación del beneficiario</t>
        </is>
      </c>
      <c r="E308" s="208" t="inlineStr">
        <is>
          <t>Estructura interpuesta que oculta al beneficiario final.</t>
        </is>
      </c>
      <c r="F308" s="208" t="inlineStr">
        <is>
          <t>Beneficiario identificable con esfuerzo adicional.</t>
        </is>
      </c>
      <c r="G308" s="208" t="inlineStr">
        <is>
          <t>Beneficiario final plenamente identificado.</t>
        </is>
      </c>
    </row>
    <row r="309" ht="18.75" customHeight="1" s="173">
      <c r="A309" s="208">
        <f>B309&amp;"-"&amp;C309</f>
        <v/>
      </c>
      <c r="B309" s="344" t="inlineStr">
        <is>
          <t>XI - Servicios Profesionales</t>
        </is>
      </c>
      <c r="C309" s="345" t="n">
        <v>4</v>
      </c>
      <c r="D309" s="208" t="inlineStr">
        <is>
          <t>Transferencia u ocultamiento de valor</t>
        </is>
      </c>
      <c r="E309" s="208" t="inlineStr">
        <is>
          <t>Da apariencia de legalidad a movimientos u ocultamiento de valor.</t>
        </is>
      </c>
      <c r="F309" s="208" t="inlineStr">
        <is>
          <t>Interviene en operaciones con trazabilidad parcial.</t>
        </is>
      </c>
      <c r="G309" s="208" t="inlineStr">
        <is>
          <t>Servicio sin capacidad de mover ni ocultar valor.</t>
        </is>
      </c>
    </row>
    <row r="310" ht="18.75" customHeight="1" s="173">
      <c r="A310" s="208">
        <f>B310&amp;"-"&amp;C310</f>
        <v/>
      </c>
      <c r="B310" s="344" t="inlineStr">
        <is>
          <t>XI - Servicios Profesionales</t>
        </is>
      </c>
      <c r="C310" s="345" t="n">
        <v>5</v>
      </c>
      <c r="D310" s="208" t="inlineStr">
        <is>
          <t>Exposición del acto u operación al financiamiento al terrorismo</t>
        </is>
      </c>
      <c r="E310" s="208" t="inlineStr">
        <is>
          <t>Administración de recursos, constitución de vehículos o representación a favor de personas u organizaciones señaladas en listas de sanciones.</t>
        </is>
      </c>
      <c r="F310" s="208" t="inlineStr">
        <is>
          <t>Encargos que involucran vehículos del extranjero con beneficiario poco claro, sin coincidencias en listas.</t>
        </is>
      </c>
      <c r="G310" s="208" t="inlineStr">
        <is>
          <t>Encargo con objeto lícito documentado, cliente identificado y honorarios bancarizados.</t>
        </is>
      </c>
    </row>
    <row r="311" ht="18.75" customHeight="1" s="173">
      <c r="A311" s="208">
        <f>B311&amp;"-"&amp;C311</f>
        <v/>
      </c>
      <c r="B311" s="344" t="inlineStr">
        <is>
          <t>XI - Servicios Profesionales</t>
        </is>
      </c>
      <c r="C311" s="345" t="n">
        <v>6</v>
      </c>
      <c r="D311" s="208" t="inlineStr">
        <is>
          <t>Tipo de persona y estructura</t>
        </is>
      </c>
      <c r="E311" s="208" t="inlineStr">
        <is>
          <t>Persona moral extranjera, fideicomiso o estructura opaca.</t>
        </is>
      </c>
      <c r="F311" s="208" t="inlineStr">
        <is>
          <t>Persona moral nacional con estructura estándar.</t>
        </is>
      </c>
      <c r="G311" s="208" t="inlineStr">
        <is>
          <t>Persona física o moral pequeña con estructura transparente.</t>
        </is>
      </c>
    </row>
    <row r="312" ht="18.75" customHeight="1" s="173">
      <c r="A312" s="208">
        <f>B312&amp;"-"&amp;C312</f>
        <v/>
      </c>
      <c r="B312" s="344" t="inlineStr">
        <is>
          <t>XI - Servicios Profesionales</t>
        </is>
      </c>
      <c r="C312" s="345" t="n">
        <v>7</v>
      </c>
      <c r="D312" s="208" t="inlineStr">
        <is>
          <t>Edad / fecha de constitución</t>
        </is>
      </c>
      <c r="E312" s="208" t="inlineStr">
        <is>
          <t>Empresa de reciente creacion o persona física de perfil atípico.</t>
        </is>
      </c>
      <c r="F312" s="208" t="inlineStr">
        <is>
          <t>Entidad con antigüedad intermedia y operación regular.</t>
        </is>
      </c>
      <c r="G312" s="208" t="inlineStr">
        <is>
          <t>Persona o empresa consolidada con historial verificable.</t>
        </is>
      </c>
    </row>
    <row r="313" ht="18.75" customHeight="1" s="173">
      <c r="A313" s="208">
        <f>B313&amp;"-"&amp;C313</f>
        <v/>
      </c>
      <c r="B313" s="344" t="inlineStr">
        <is>
          <t>XI - Servicios Profesionales</t>
        </is>
      </c>
      <c r="C313" s="345" t="n">
        <v>8</v>
      </c>
      <c r="D313" s="208" t="inlineStr">
        <is>
          <t>Actividad económica o giro (y fuente de ingresos)</t>
        </is>
      </c>
      <c r="E313" s="208" t="inlineStr">
        <is>
          <t>Giro informal, intensivo en efectivo o ligado a otras AV.</t>
        </is>
      </c>
      <c r="F313" s="208" t="inlineStr">
        <is>
          <t>Giro formal de riesgo medio con ingresos documentables.</t>
        </is>
      </c>
      <c r="G313" s="208" t="inlineStr">
        <is>
          <t>Giro formal de bajo riesgo con fuente de ingresos clara.</t>
        </is>
      </c>
    </row>
    <row r="314" ht="18.75" customHeight="1" s="173">
      <c r="A314" s="208">
        <f>B314&amp;"-"&amp;C314</f>
        <v/>
      </c>
      <c r="B314" s="344" t="inlineStr">
        <is>
          <t>XI - Servicios Profesionales</t>
        </is>
      </c>
      <c r="C314" s="345" t="n">
        <v>9</v>
      </c>
      <c r="D314" s="208" t="inlineStr">
        <is>
          <t>Nacionalidad del cliente</t>
        </is>
      </c>
      <c r="E314" s="208" t="inlineStr">
        <is>
          <t>Cliente de país en listas GAFI, sancionado o de régimen fiscal preferente.</t>
        </is>
      </c>
      <c r="F314" s="208" t="inlineStr">
        <is>
          <t>Nacionalidad extranjera de país sin alertas relevantes.</t>
        </is>
      </c>
      <c r="G314" s="208" t="inlineStr">
        <is>
          <t>Cliente mexicano o de país cooperante sin observaciones.</t>
        </is>
      </c>
    </row>
    <row r="315" ht="18.75" customHeight="1" s="173">
      <c r="A315" s="208">
        <f>B315&amp;"-"&amp;C315</f>
        <v/>
      </c>
      <c r="B315" s="344" t="inlineStr">
        <is>
          <t>XI - Servicios Profesionales</t>
        </is>
      </c>
      <c r="C315" s="345" t="n">
        <v>10</v>
      </c>
      <c r="D315" s="208" t="inlineStr">
        <is>
          <t>País (y en su caso, estado) de residencia del cliente</t>
        </is>
      </c>
      <c r="E315" s="208" t="inlineStr">
        <is>
          <t>Reside en jurisdicción de alto riesgo o con domicilio no verificable.</t>
        </is>
      </c>
      <c r="F315" s="208" t="inlineStr">
        <is>
          <t>Reside en el extranjero en país cooperante, con domicilio comprobable.</t>
        </is>
      </c>
      <c r="G315" s="208" t="inlineStr">
        <is>
          <t>Residencia nacional verificada y estable.</t>
        </is>
      </c>
    </row>
    <row r="316" ht="18.75" customHeight="1" s="173">
      <c r="A316" s="208">
        <f>B316&amp;"-"&amp;C316</f>
        <v/>
      </c>
      <c r="B316" s="344" t="inlineStr">
        <is>
          <t>XI - Servicios Profesionales</t>
        </is>
      </c>
      <c r="C316" s="345" t="n">
        <v>11</v>
      </c>
      <c r="D316" s="208" t="inlineStr">
        <is>
          <t>Condición PEP</t>
        </is>
      </c>
      <c r="E316" s="208" t="inlineStr">
        <is>
          <t>PEP nacional o extranjera, o allegado que actua por su cuenta.</t>
        </is>
      </c>
      <c r="F316" s="208" t="inlineStr">
        <is>
          <t>Vinculo indirecto con PEP o PEP de perfil menor, monitoreado.</t>
        </is>
      </c>
      <c r="G316" s="208" t="inlineStr">
        <is>
          <t>Sin condición PEP ni vínculos con funcionarios.</t>
        </is>
      </c>
    </row>
    <row r="317" ht="18.75" customHeight="1" s="173">
      <c r="A317" s="208">
        <f>B317&amp;"-"&amp;C317</f>
        <v/>
      </c>
      <c r="B317" s="344" t="inlineStr">
        <is>
          <t>XI - Servicios Profesionales</t>
        </is>
      </c>
      <c r="C317" s="345" t="n">
        <v>12</v>
      </c>
      <c r="D317" s="208" t="inlineStr">
        <is>
          <t>Coincidencia en listas de personas bloqueadas o de sanciones</t>
        </is>
      </c>
      <c r="E317" s="208" t="inlineStr">
        <is>
          <t>El cliente, su beneficiario controlador, apoderado o contraparte aparece en la Lista de Personas Bloqueadas, en listas de sanciones o en listas de organizaciones terroristas, o presenta una coincidencia fuerte que no ha sido descartada.</t>
        </is>
      </c>
      <c r="F317" s="208" t="inlineStr">
        <is>
          <t>Se detecta coincidencia parcial u homonimia respecto del cliente o de alguna persona relacionada, y el descarte se encuentra en proceso con constancia documental.</t>
        </is>
      </c>
      <c r="G317" s="208" t="inlineStr">
        <is>
          <t>Búsqueda realizada y documentada sobre el cliente y sus personas relacionadas, sin coincidencias.</t>
        </is>
      </c>
    </row>
    <row r="318" ht="18.75" customHeight="1" s="173">
      <c r="A318" s="208">
        <f>B318&amp;"-"&amp;C318</f>
        <v/>
      </c>
      <c r="B318" s="344" t="inlineStr">
        <is>
          <t>XI - Servicios Profesionales</t>
        </is>
      </c>
      <c r="C318" s="345" t="n">
        <v>13</v>
      </c>
      <c r="D318" s="208" t="inlineStr">
        <is>
          <t>Identificación y complejidad del Beneficiario Controlador</t>
        </is>
      </c>
      <c r="E318" s="208" t="inlineStr">
        <is>
          <t>No se logra identificar al beneficiario controlador del cliente, o la estructura interpone dos o más niveles societarios, fiduciarios o vehículos constituidos en el extranjero para llegar al 25 por ciento.</t>
        </is>
      </c>
      <c r="F318" s="208" t="inlineStr">
        <is>
          <t>Beneficiario controlador identificado, pero a través de una estructura de más de un nivel o con participación indirecta que exigió reconstruir la cadena de control con documentos.</t>
        </is>
      </c>
      <c r="G318" s="208" t="inlineStr">
        <is>
          <t>Beneficiario controlador identificado de forma directa y documentada: persona física que posee al menos el 25 por ciento o que ejerce el control por otra vía acreditada.</t>
        </is>
      </c>
    </row>
    <row r="319" ht="18.75" customHeight="1" s="173">
      <c r="A319" s="208">
        <f>B319&amp;"-"&amp;C319</f>
        <v/>
      </c>
      <c r="B319" s="344" t="inlineStr">
        <is>
          <t>XI - Servicios Profesionales</t>
        </is>
      </c>
      <c r="C319" s="345" t="n">
        <v>14</v>
      </c>
      <c r="D319" s="208" t="inlineStr">
        <is>
          <t>País / jurisdicción donde se realiza la operación</t>
        </is>
      </c>
      <c r="E319" s="208" t="inlineStr">
        <is>
          <t>Operación con o desde jurisdicción de alto riesgo o no cooperante.</t>
        </is>
      </c>
      <c r="F319" s="208" t="inlineStr">
        <is>
          <t>Operación con componente internacional en país cooperante.</t>
        </is>
      </c>
      <c r="G319" s="208" t="inlineStr">
        <is>
          <t>Operación integramente nacional.</t>
        </is>
      </c>
    </row>
    <row r="320" ht="18.75" customHeight="1" s="173">
      <c r="A320" s="208">
        <f>B320&amp;"-"&amp;C320</f>
        <v/>
      </c>
      <c r="B320" s="344" t="inlineStr">
        <is>
          <t>XI - Servicios Profesionales</t>
        </is>
      </c>
      <c r="C320" s="345" t="n">
        <v>15</v>
      </c>
      <c r="D320" s="208" t="inlineStr">
        <is>
          <t>Área geográfica nacional de la operación</t>
        </is>
      </c>
      <c r="E320" s="208" t="inlineStr">
        <is>
          <t>Zona de alta incidencia delictiva, marginacion o frontera.</t>
        </is>
      </c>
      <c r="F320" s="208" t="inlineStr">
        <is>
          <t>Zona urbana ordinaria sin alertas particulares.</t>
        </is>
      </c>
      <c r="G320" s="208" t="inlineStr">
        <is>
          <t>Zona de bajo riesgo con actividad económica formal.</t>
        </is>
      </c>
    </row>
    <row r="321" ht="18.75" customHeight="1" s="173">
      <c r="A321" s="208">
        <f>B321&amp;"-"&amp;C321</f>
        <v/>
      </c>
      <c r="B321" s="344" t="inlineStr">
        <is>
          <t>XI - Servicios Profesionales</t>
        </is>
      </c>
      <c r="C321" s="345" t="n">
        <v>16</v>
      </c>
      <c r="D321" s="208" t="inlineStr">
        <is>
          <t>Vínculo con jurisdicciones sancionadas, en conflicto o de acción requerida por el GAFI</t>
        </is>
      </c>
      <c r="E321" s="208" t="inlineStr">
        <is>
          <t>Existe exposición a jurisdicciones sancionadas, en conflicto armado o de acción requerida del GAFI, por la vía de clientes o estructuras constituidas en el extranjero.</t>
        </is>
      </c>
      <c r="F321" s="208" t="inlineStr">
        <is>
          <t>Vínculo con jurisdicciones bajo monitoreo intensificado del GAFI o con deficiencias señaladas en la ENR, sin estar sancionadas ni en conflicto.</t>
        </is>
      </c>
      <c r="G321" s="208" t="inlineStr">
        <is>
          <t>Sin vínculo con jurisdicciones sancionadas, en conflicto o listadas por el GAFI; la operación y sus partes se ubican en plazas sin señalamientos.</t>
        </is>
      </c>
    </row>
    <row r="322" ht="18.75" customHeight="1" s="173">
      <c r="A322" s="208">
        <f>B322&amp;"-"&amp;C322</f>
        <v/>
      </c>
      <c r="B322" s="344" t="inlineStr">
        <is>
          <t>XI - Servicios Profesionales</t>
        </is>
      </c>
      <c r="C322" s="345" t="n">
        <v>17</v>
      </c>
      <c r="D322" s="208" t="inlineStr">
        <is>
          <t>Congruencia entre el domicilio del Cliente y el lugar de la operación</t>
        </is>
      </c>
      <c r="E322" s="208" t="inlineStr">
        <is>
          <t>El domicilio del cliente no guarda relación económica ni logística con el lugar donde se realiza el servicio profesional prestado, y no existe explicación documentada del desplazamiento.</t>
        </is>
      </c>
      <c r="F322" s="208" t="inlineStr">
        <is>
          <t>Existe distancia relevante entre el domicilio del cliente y el lugar de la operación, con explicación plausible pero no soportada en el expediente.</t>
        </is>
      </c>
      <c r="G322" s="208" t="inlineStr">
        <is>
          <t>El domicilio del cliente corresponde a la plaza donde se realiza el servicio profesional prestado, o el desplazamiento está justificado y documentado.</t>
        </is>
      </c>
    </row>
    <row r="323" ht="18.75" customHeight="1" s="173">
      <c r="A323" s="208">
        <f>B323&amp;"-"&amp;C323</f>
        <v/>
      </c>
      <c r="B323" s="344" t="inlineStr">
        <is>
          <t>XI - Servicios Profesionales</t>
        </is>
      </c>
      <c r="C323" s="345" t="n">
        <v>18</v>
      </c>
      <c r="D323" s="208" t="inlineStr">
        <is>
          <t>Instrumento monetario</t>
        </is>
      </c>
      <c r="E323" s="208" t="inlineStr">
        <is>
          <t>Honorarios u operación subyacente en efectivo o al portador.</t>
        </is>
      </c>
      <c r="F323" s="208" t="inlineStr">
        <is>
          <t>Pago mediante cheque o transferencia con trazabilidad parcial.</t>
        </is>
      </c>
      <c r="G323" s="208" t="inlineStr">
        <is>
          <t>Pago mediante transferencia bancaria nominativa trazable.</t>
        </is>
      </c>
    </row>
    <row r="324" ht="18.75" customHeight="1" s="173">
      <c r="A324" s="208">
        <f>B324&amp;"-"&amp;C324</f>
        <v/>
      </c>
      <c r="B324" s="344" t="inlineStr">
        <is>
          <t>XI - Servicios Profesionales</t>
        </is>
      </c>
      <c r="C324" s="345" t="n">
        <v>19</v>
      </c>
      <c r="D324" s="208" t="inlineStr">
        <is>
          <t>Tipo de moneda</t>
        </is>
      </c>
      <c r="E324" s="208" t="inlineStr">
        <is>
          <t>Moneda extranjera distinta al USD o criptomonedas.</t>
        </is>
      </c>
      <c r="F324" s="208" t="inlineStr">
        <is>
          <t>Operación en dolares estadounidenses (USD).</t>
        </is>
      </c>
      <c r="G324" s="208" t="inlineStr">
        <is>
          <t>Operación en pesos mexicanos.</t>
        </is>
      </c>
    </row>
    <row r="325" ht="18.75" customHeight="1" s="173">
      <c r="A325" s="208">
        <f>B325&amp;"-"&amp;C325</f>
        <v/>
      </c>
      <c r="B325" s="344" t="inlineStr">
        <is>
          <t>XI - Servicios Profesionales</t>
        </is>
      </c>
      <c r="C325" s="345" t="n">
        <v>20</v>
      </c>
      <c r="D325" s="208" t="inlineStr">
        <is>
          <t>Monto frente a umbrales LFPIORPI</t>
        </is>
      </c>
      <c r="E325" s="208" t="inlineStr">
        <is>
          <t>Aviso obligatorio siempre; servicio de alto valor o con senales de riesgo.</t>
        </is>
      </c>
      <c r="F325" s="208" t="inlineStr">
        <is>
          <t>Aviso obligatorio siempre; servicio de valor intermedio.</t>
        </is>
      </c>
      <c r="G325" s="208" t="inlineStr">
        <is>
          <t>Aviso obligatorio siempre; servicio de bajo valor y documentado.</t>
        </is>
      </c>
    </row>
    <row r="326" ht="18.75" customHeight="1" s="173">
      <c r="A326" s="208">
        <f>B326&amp;"-"&amp;C326</f>
        <v/>
      </c>
      <c r="B326" s="344" t="inlineStr">
        <is>
          <t>XI - Servicios Profesionales</t>
        </is>
      </c>
      <c r="C326" s="345" t="n">
        <v>21</v>
      </c>
      <c r="D326" s="208" t="inlineStr">
        <is>
          <t>Frecuencia (fraccionamiento)</t>
        </is>
      </c>
      <c r="E326" s="208" t="inlineStr">
        <is>
          <t>Servicios frecuentes o fraccionados para eludir umbrales o controles.</t>
        </is>
      </c>
      <c r="F326" s="208" t="inlineStr">
        <is>
          <t>Recurrencia moderada sin patron evidente de fraccionamiento.</t>
        </is>
      </c>
      <c r="G326" s="208" t="inlineStr">
        <is>
          <t>Servicio único u ocasional, congruente con el perfil.</t>
        </is>
      </c>
    </row>
    <row r="327" ht="18.75" customHeight="1" s="173">
      <c r="A327" s="208">
        <f>B327&amp;"-"&amp;C327</f>
        <v/>
      </c>
      <c r="B327" s="344" t="inlineStr">
        <is>
          <t>XI - Servicios Profesionales</t>
        </is>
      </c>
      <c r="C327" s="345" t="n">
        <v>22</v>
      </c>
      <c r="D327" s="208" t="inlineStr">
        <is>
          <t>Canal (presencial / no presencial / terceros)</t>
        </is>
      </c>
      <c r="E327" s="208" t="inlineStr">
        <is>
          <t>Operación no presencial o a traves de terceros sin contacto directo.</t>
        </is>
      </c>
      <c r="F327" s="208" t="inlineStr">
        <is>
          <t>Contacto mixto o mediante representante identificado.</t>
        </is>
      </c>
      <c r="G327" s="208" t="inlineStr">
        <is>
          <t>Cliente atendido de forma presencial y directa.</t>
        </is>
      </c>
    </row>
    <row r="328" ht="18.75" customHeight="1" s="173">
      <c r="A328" s="208">
        <f>B328&amp;"-"&amp;C328</f>
        <v/>
      </c>
      <c r="B328" s="344" t="inlineStr">
        <is>
          <t>XI - Servicios Profesionales</t>
        </is>
      </c>
      <c r="C328" s="345" t="n">
        <v>23</v>
      </c>
      <c r="D328" s="208" t="inlineStr">
        <is>
          <t>Origen de los recursos</t>
        </is>
      </c>
      <c r="E328" s="208" t="inlineStr">
        <is>
          <t>Recursos del cliente de origen no acreditable, en efectivo o informal.</t>
        </is>
      </c>
      <c r="F328" s="208" t="inlineStr">
        <is>
          <t>Origen de los recursos con soporte parcial.</t>
        </is>
      </c>
      <c r="G328" s="208" t="inlineStr">
        <is>
          <t>Recursos de origen lícito plenamente documentado.</t>
        </is>
      </c>
    </row>
    <row r="329" ht="18.75" customHeight="1" s="173">
      <c r="A329" s="208">
        <f>B329&amp;"-"&amp;C329</f>
        <v/>
      </c>
      <c r="B329" s="344" t="inlineStr">
        <is>
          <t>XI - Servicios Profesionales</t>
        </is>
      </c>
      <c r="C329" s="345" t="n">
        <v>24</v>
      </c>
      <c r="D329" s="208" t="inlineStr">
        <is>
          <t>Destino de los recursos</t>
        </is>
      </c>
      <c r="E329" s="208" t="inlineStr">
        <is>
          <t>Destino de los recursos opaco, a terceros o al exterior sin justificación.</t>
        </is>
      </c>
      <c r="F329" s="208" t="inlineStr">
        <is>
          <t>Destino de los recursos parcialmente justificado.</t>
        </is>
      </c>
      <c r="G329" s="208" t="inlineStr">
        <is>
          <t>Destino claro, documentado y congruente con el servicio.</t>
        </is>
      </c>
    </row>
    <row r="330" ht="18.75" customHeight="1" s="173">
      <c r="A330" s="208">
        <f>B330&amp;"-"&amp;C330</f>
        <v/>
      </c>
      <c r="B330" s="344" t="inlineStr">
        <is>
          <t>XI - Servicios Profesionales</t>
        </is>
      </c>
      <c r="C330" s="345" t="n">
        <v>25</v>
      </c>
      <c r="D330" s="208" t="inlineStr">
        <is>
          <t>Canales e instrumentos idóneos para el financiamiento al terrorismo</t>
        </is>
      </c>
      <c r="E330" s="208" t="inlineStr">
        <is>
          <t>La operación se realiza mediante instrucciones recibidas a distancia de personas que no acreditan representación, es decir, medios que permiten mover valor en montos pequeños sin identificar al destinatario final.</t>
        </is>
      </c>
      <c r="F330" s="208" t="inlineStr">
        <is>
          <t>Canal mixto o con verificación parcial: hay registro de la operación pero la trazabilidad del destinatario final es incompleta.</t>
        </is>
      </c>
      <c r="G330" s="208" t="inlineStr">
        <is>
          <t>Cliente identificado de forma directa, con mandato y alcance del servicio documentados, con trazabilidad completa del origen y del destinatario.</t>
        </is>
      </c>
    </row>
    <row r="331" ht="18.75" customHeight="1" s="173">
      <c r="A331" s="208">
        <f>B331&amp;"-"&amp;C331</f>
        <v/>
      </c>
      <c r="B331" s="344" t="inlineStr">
        <is>
          <t>XII - NOTARIOS: Transmisión de inmuebles</t>
        </is>
      </c>
      <c r="C331" s="345" t="n">
        <v>1</v>
      </c>
      <c r="D331" s="208" t="inlineStr">
        <is>
          <t>Valor del producto o servicio</t>
        </is>
      </c>
      <c r="E331" s="208" t="inlineStr">
        <is>
          <t>Transmisión de inmuebles de alto valor, muy superior al avalúo o mercado.</t>
        </is>
      </c>
      <c r="F331" s="208" t="inlineStr">
        <is>
          <t>Transmisión de inmuebles de valor intermedio conforme a mercado.</t>
        </is>
      </c>
      <c r="G331" s="208" t="inlineStr">
        <is>
          <t>Transmisión de inmuebles de bajo valor o vivienda social.</t>
        </is>
      </c>
    </row>
    <row r="332" ht="18.75" customHeight="1" s="173">
      <c r="A332" s="208">
        <f>B332&amp;"-"&amp;C332</f>
        <v/>
      </c>
      <c r="B332" s="344" t="inlineStr">
        <is>
          <t>XII - NOTARIOS: Transmisión de inmuebles</t>
        </is>
      </c>
      <c r="C332" s="345" t="n">
        <v>2</v>
      </c>
      <c r="D332" s="208" t="inlineStr">
        <is>
          <t>Liquidez / convertibilidad</t>
        </is>
      </c>
      <c r="E332" s="208" t="inlineStr">
        <is>
          <t>Inmueble de fácil reventa o cesión inmediata tras la escrituración.</t>
        </is>
      </c>
      <c r="F332" s="208" t="inlineStr">
        <is>
          <t>Reventa posible sujeta a formalización y plazos.</t>
        </is>
      </c>
      <c r="G332" s="208" t="inlineStr">
        <is>
          <t>Inmueble de baja liquidez con destino de uso propio.</t>
        </is>
      </c>
    </row>
    <row r="333" ht="18.75" customHeight="1" s="173">
      <c r="A333" s="208">
        <f>B333&amp;"-"&amp;C333</f>
        <v/>
      </c>
      <c r="B333" s="344" t="inlineStr">
        <is>
          <t>XII - NOTARIOS: Transmisión de inmuebles</t>
        </is>
      </c>
      <c r="C333" s="345" t="n">
        <v>3</v>
      </c>
      <c r="D333" s="208" t="inlineStr">
        <is>
          <t>Anonimato / identificación del beneficiario</t>
        </is>
      </c>
      <c r="E333" s="208" t="inlineStr">
        <is>
          <t>Adquirente vía prestanombres o estructura que oculta al beneficiario final.</t>
        </is>
      </c>
      <c r="F333" s="208" t="inlineStr">
        <is>
          <t>Parte identificada con beneficiario final parcialmente documentado.</t>
        </is>
      </c>
      <c r="G333" s="208" t="inlineStr">
        <is>
          <t>Otorgante y adquirente con beneficiario final plenamente identificado.</t>
        </is>
      </c>
    </row>
    <row r="334" ht="18.75" customHeight="1" s="173">
      <c r="A334" s="208">
        <f>B334&amp;"-"&amp;C334</f>
        <v/>
      </c>
      <c r="B334" s="344" t="inlineStr">
        <is>
          <t>XII - NOTARIOS: Transmisión de inmuebles</t>
        </is>
      </c>
      <c r="C334" s="345" t="n">
        <v>4</v>
      </c>
      <c r="D334" s="208" t="inlineStr">
        <is>
          <t>Transferencia u ocultamiento de valor</t>
        </is>
      </c>
      <c r="E334" s="208" t="inlineStr">
        <is>
          <t>La escritura legitima recursos ilícitos mediante sobrevaluación o simulación de compraventa.</t>
        </is>
      </c>
      <c r="F334" s="208" t="inlineStr">
        <is>
          <t>Riesgo moderado de ocultamiento con pagos parcialmente trazables.</t>
        </is>
      </c>
      <c r="G334" s="208" t="inlineStr">
        <is>
          <t>Contraprestación bancarizada y trazable, sin margen de simulación.</t>
        </is>
      </c>
    </row>
    <row r="335" ht="18.75" customHeight="1" s="173">
      <c r="A335" s="208">
        <f>B335&amp;"-"&amp;C335</f>
        <v/>
      </c>
      <c r="B335" s="344" t="inlineStr">
        <is>
          <t>XII - NOTARIOS: Transmisión de inmuebles</t>
        </is>
      </c>
      <c r="C335" s="345" t="n">
        <v>5</v>
      </c>
      <c r="D335" s="208" t="inlineStr">
        <is>
          <t>Exposición del acto u operación al financiamiento al terrorismo</t>
        </is>
      </c>
      <c r="E335" s="208" t="inlineStr">
        <is>
          <t>Transmisión de inmuebles a favor de personas o asociaciones señaladas en listas de sanciones, o con recursos remitidos desde jurisdicciones en conflicto.</t>
        </is>
      </c>
      <c r="F335" s="208" t="inlineStr">
        <is>
          <t>Otorgantes no residentes o representados por apoderados, sin coincidencias en listas.</t>
        </is>
      </c>
      <c r="G335" s="208" t="inlineStr">
        <is>
          <t>Partes identificadas y comparecientes, con recursos bancarizados y origen documentado.</t>
        </is>
      </c>
    </row>
    <row r="336" ht="18.75" customHeight="1" s="173">
      <c r="A336" s="208">
        <f>B336&amp;"-"&amp;C336</f>
        <v/>
      </c>
      <c r="B336" s="344" t="inlineStr">
        <is>
          <t>XII - NOTARIOS: Transmisión de inmuebles</t>
        </is>
      </c>
      <c r="C336" s="345" t="n">
        <v>6</v>
      </c>
      <c r="D336" s="208" t="inlineStr">
        <is>
          <t>Tipo de persona y estructura</t>
        </is>
      </c>
      <c r="E336" s="208" t="inlineStr">
        <is>
          <t>Parte persona moral extranjera, fideicomiso o estructura opaca.</t>
        </is>
      </c>
      <c r="F336" s="208" t="inlineStr">
        <is>
          <t>Persona moral nacional con estructura clara.</t>
        </is>
      </c>
      <c r="G336" s="208" t="inlineStr">
        <is>
          <t>Persona física residente plenamente identificada.</t>
        </is>
      </c>
    </row>
    <row r="337" ht="18.75" customHeight="1" s="173">
      <c r="A337" s="208">
        <f>B337&amp;"-"&amp;C337</f>
        <v/>
      </c>
      <c r="B337" s="344" t="inlineStr">
        <is>
          <t>XII - NOTARIOS: Transmisión de inmuebles</t>
        </is>
      </c>
      <c r="C337" s="345" t="n">
        <v>7</v>
      </c>
      <c r="D337" s="208" t="inlineStr">
        <is>
          <t>Edad / fecha de constitución</t>
        </is>
      </c>
      <c r="E337" s="208" t="inlineStr">
        <is>
          <t>Adquirente persona física muy joven o empresa de reciente creación sin historial.</t>
        </is>
      </c>
      <c r="F337" s="208" t="inlineStr">
        <is>
          <t>Empresa con antigüedad moderada o perfil estándar.</t>
        </is>
      </c>
      <c r="G337" s="208" t="inlineStr">
        <is>
          <t>Parte con trayectoria y antigüedad acreditable.</t>
        </is>
      </c>
    </row>
    <row r="338" ht="18.75" customHeight="1" s="173">
      <c r="A338" s="208">
        <f>B338&amp;"-"&amp;C338</f>
        <v/>
      </c>
      <c r="B338" s="344" t="inlineStr">
        <is>
          <t>XII - NOTARIOS: Transmisión de inmuebles</t>
        </is>
      </c>
      <c r="C338" s="345" t="n">
        <v>8</v>
      </c>
      <c r="D338" s="208" t="inlineStr">
        <is>
          <t>Actividad económica o giro (y fuente de ingresos)</t>
        </is>
      </c>
      <c r="E338" s="208" t="inlineStr">
        <is>
          <t>Giro informal de la parte, uso intensivo de efectivo o ligado a otras AV.</t>
        </is>
      </c>
      <c r="F338" s="208" t="inlineStr">
        <is>
          <t>Giro formal con manejo parcial de efectivo.</t>
        </is>
      </c>
      <c r="G338" s="208" t="inlineStr">
        <is>
          <t>Giro formal con ingresos documentados y bancarizados.</t>
        </is>
      </c>
    </row>
    <row r="339" ht="18.75" customHeight="1" s="173">
      <c r="A339" s="208">
        <f>B339&amp;"-"&amp;C339</f>
        <v/>
      </c>
      <c r="B339" s="344" t="inlineStr">
        <is>
          <t>XII - NOTARIOS: Transmisión de inmuebles</t>
        </is>
      </c>
      <c r="C339" s="345" t="n">
        <v>9</v>
      </c>
      <c r="D339" s="208" t="inlineStr">
        <is>
          <t>Nacionalidad del cliente</t>
        </is>
      </c>
      <c r="E339" s="208" t="inlineStr">
        <is>
          <t>Nacionalidad de país en listas GAFI, sancionado o régimen fiscal preferente.</t>
        </is>
      </c>
      <c r="F339" s="208" t="inlineStr">
        <is>
          <t>Nacionalidad de país sin deficiencias relevantes en PLD.</t>
        </is>
      </c>
      <c r="G339" s="208" t="inlineStr">
        <is>
          <t>Nacionalidad mexicana o de país con controles PLD robustos.</t>
        </is>
      </c>
    </row>
    <row r="340" ht="18.75" customHeight="1" s="173">
      <c r="A340" s="208">
        <f>B340&amp;"-"&amp;C340</f>
        <v/>
      </c>
      <c r="B340" s="344" t="inlineStr">
        <is>
          <t>XII - NOTARIOS: Transmisión de inmuebles</t>
        </is>
      </c>
      <c r="C340" s="345" t="n">
        <v>10</v>
      </c>
      <c r="D340" s="208" t="inlineStr">
        <is>
          <t>País (y en su caso, estado) de residencia del cliente</t>
        </is>
      </c>
      <c r="E340" s="208" t="inlineStr">
        <is>
          <t>Residencia de la parte en jurisdicción de alto riesgo o no verificable.</t>
        </is>
      </c>
      <c r="F340" s="208" t="inlineStr">
        <is>
          <t>Residencia verificable en jurisdicción de riesgo medio.</t>
        </is>
      </c>
      <c r="G340" s="208" t="inlineStr">
        <is>
          <t>Residencia nacional comprobable y estable.</t>
        </is>
      </c>
    </row>
    <row r="341" ht="18.75" customHeight="1" s="173">
      <c r="A341" s="208">
        <f>B341&amp;"-"&amp;C341</f>
        <v/>
      </c>
      <c r="B341" s="344" t="inlineStr">
        <is>
          <t>XII - NOTARIOS: Transmisión de inmuebles</t>
        </is>
      </c>
      <c r="C341" s="345" t="n">
        <v>11</v>
      </c>
      <c r="D341" s="208" t="inlineStr">
        <is>
          <t>Condición PEP</t>
        </is>
      </c>
      <c r="E341" s="208" t="inlineStr">
        <is>
          <t>Parte PEP nacional o extranjera, o allegado a PEP.</t>
        </is>
      </c>
      <c r="F341" s="208" t="inlineStr">
        <is>
          <t>Vínculo indirecto o lejano con PEP.</t>
        </is>
      </c>
      <c r="G341" s="208" t="inlineStr">
        <is>
          <t>Sin condición ni vínculo PEP.</t>
        </is>
      </c>
    </row>
    <row r="342" ht="18.75" customHeight="1" s="173">
      <c r="A342" s="208">
        <f>B342&amp;"-"&amp;C342</f>
        <v/>
      </c>
      <c r="B342" s="344" t="inlineStr">
        <is>
          <t>XII - NOTARIOS: Transmisión de inmuebles</t>
        </is>
      </c>
      <c r="C342" s="345" t="n">
        <v>12</v>
      </c>
      <c r="D342" s="208" t="inlineStr">
        <is>
          <t>Coincidencia en listas de personas bloqueadas o de sanciones</t>
        </is>
      </c>
      <c r="E342" s="208" t="inlineStr">
        <is>
          <t>El otorgante, su beneficiario controlador, apoderado o contraparte aparece en la Lista de Personas Bloqueadas, en listas de sanciones o en listas de organizaciones terroristas, o presenta una coincidencia fuerte que no ha sido descartada.</t>
        </is>
      </c>
      <c r="F342" s="208" t="inlineStr">
        <is>
          <t>Se detecta coincidencia parcial u homonimia respecto del otorgante o de alguna persona relacionada, y el descarte se encuentra en proceso con constancia documental.</t>
        </is>
      </c>
      <c r="G342" s="208" t="inlineStr">
        <is>
          <t>Búsqueda realizada y documentada sobre el otorgante y sus personas relacionadas, sin coincidencias.</t>
        </is>
      </c>
    </row>
    <row r="343" ht="18.75" customHeight="1" s="173">
      <c r="A343" s="208">
        <f>B343&amp;"-"&amp;C343</f>
        <v/>
      </c>
      <c r="B343" s="344" t="inlineStr">
        <is>
          <t>XII - NOTARIOS: Transmisión de inmuebles</t>
        </is>
      </c>
      <c r="C343" s="345" t="n">
        <v>13</v>
      </c>
      <c r="D343" s="208" t="inlineStr">
        <is>
          <t>Identificación y complejidad del Beneficiario Controlador</t>
        </is>
      </c>
      <c r="E343" s="208" t="inlineStr">
        <is>
          <t>No se logra identificar al beneficiario controlador del otorgante, o la estructura interpone dos o más niveles societarios, fiduciarios o vehículos constituidos en el extranjero para llegar al 25 por ciento.</t>
        </is>
      </c>
      <c r="F343" s="208" t="inlineStr">
        <is>
          <t>Beneficiario controlador identificado, pero a través de una estructura de más de un nivel o con participación indirecta que exigió reconstruir la cadena de control con documentos.</t>
        </is>
      </c>
      <c r="G343" s="208" t="inlineStr">
        <is>
          <t>Beneficiario controlador identificado de forma directa y documentada: persona física que posee al menos el 25 por ciento o que ejerce el control por otra vía acreditada.</t>
        </is>
      </c>
    </row>
    <row r="344" ht="18.75" customHeight="1" s="173">
      <c r="A344" s="208">
        <f>B344&amp;"-"&amp;C344</f>
        <v/>
      </c>
      <c r="B344" s="344" t="inlineStr">
        <is>
          <t>XII - NOTARIOS: Transmisión de inmuebles</t>
        </is>
      </c>
      <c r="C344" s="345" t="n">
        <v>14</v>
      </c>
      <c r="D344" s="208" t="inlineStr">
        <is>
          <t>País / jurisdicción donde se realiza la operación</t>
        </is>
      </c>
      <c r="E344" s="208" t="inlineStr">
        <is>
          <t>Operación con recursos provenientes de o hacia jurisdicción de alto riesgo.</t>
        </is>
      </c>
      <c r="F344" s="208" t="inlineStr">
        <is>
          <t>Componente internacional de riesgo medio.</t>
        </is>
      </c>
      <c r="G344" s="208" t="inlineStr">
        <is>
          <t>Operación íntegramente nacional.</t>
        </is>
      </c>
    </row>
    <row r="345" ht="18.75" customHeight="1" s="173">
      <c r="A345" s="208">
        <f>B345&amp;"-"&amp;C345</f>
        <v/>
      </c>
      <c r="B345" s="344" t="inlineStr">
        <is>
          <t>XII - NOTARIOS: Transmisión de inmuebles</t>
        </is>
      </c>
      <c r="C345" s="345" t="n">
        <v>15</v>
      </c>
      <c r="D345" s="208" t="inlineStr">
        <is>
          <t>Área geográfica nacional de la operación</t>
        </is>
      </c>
      <c r="E345" s="208" t="inlineStr">
        <is>
          <t>Inmueble ubicado en zona de alta incidencia delictiva, marginación o frontera.</t>
        </is>
      </c>
      <c r="F345" s="208" t="inlineStr">
        <is>
          <t>Zona urbana consolidada de riesgo intermedio.</t>
        </is>
      </c>
      <c r="G345" s="208" t="inlineStr">
        <is>
          <t>Zona de baja incidencia delictiva y buena trazabilidad.</t>
        </is>
      </c>
    </row>
    <row r="346" ht="18.75" customHeight="1" s="173">
      <c r="A346" s="208">
        <f>B346&amp;"-"&amp;C346</f>
        <v/>
      </c>
      <c r="B346" s="344" t="inlineStr">
        <is>
          <t>XII - NOTARIOS: Transmisión de inmuebles</t>
        </is>
      </c>
      <c r="C346" s="345" t="n">
        <v>16</v>
      </c>
      <c r="D346" s="208" t="inlineStr">
        <is>
          <t>Vínculo con jurisdicciones sancionadas, en conflicto o de acción requerida por el GAFI</t>
        </is>
      </c>
      <c r="E346" s="208" t="inlineStr">
        <is>
          <t>Existe exposición a jurisdicciones sancionadas, en conflicto armado o de acción requerida del GAFI, por la vía de otorgantes no residentes o pago de la contraprestación desde el extranjero.</t>
        </is>
      </c>
      <c r="F346" s="208" t="inlineStr">
        <is>
          <t>Vínculo con jurisdicciones bajo monitoreo intensificado del GAFI o con deficiencias señaladas en la ENR, sin estar sancionadas ni en conflicto.</t>
        </is>
      </c>
      <c r="G346" s="208" t="inlineStr">
        <is>
          <t>Sin vínculo con jurisdicciones sancionadas, en conflicto o listadas por el GAFI; la operación y sus partes se ubican en plazas sin señalamientos.</t>
        </is>
      </c>
    </row>
    <row r="347" ht="18.75" customHeight="1" s="173">
      <c r="A347" s="208">
        <f>B347&amp;"-"&amp;C347</f>
        <v/>
      </c>
      <c r="B347" s="344" t="inlineStr">
        <is>
          <t>XII - NOTARIOS: Transmisión de inmuebles</t>
        </is>
      </c>
      <c r="C347" s="345" t="n">
        <v>17</v>
      </c>
      <c r="D347" s="208" t="inlineStr">
        <is>
          <t>Congruencia entre el domicilio del Cliente y el lugar de la operación</t>
        </is>
      </c>
      <c r="E347" s="208" t="inlineStr">
        <is>
          <t>El domicilio del otorgante no guarda relación económica ni logística con el lugar donde se realiza la transmisión del inmueble, y no existe explicación documentada del desplazamiento.</t>
        </is>
      </c>
      <c r="F347" s="208" t="inlineStr">
        <is>
          <t>Existe distancia relevante entre el domicilio del otorgante y el lugar de la operación, con explicación plausible pero no soportada en el expediente.</t>
        </is>
      </c>
      <c r="G347" s="208" t="inlineStr">
        <is>
          <t>El domicilio del otorgante corresponde a la plaza donde se realiza la transmisión del inmueble, o el desplazamiento está justificado y documentado.</t>
        </is>
      </c>
    </row>
    <row r="348" ht="18.75" customHeight="1" s="173">
      <c r="A348" s="208">
        <f>B348&amp;"-"&amp;C348</f>
        <v/>
      </c>
      <c r="B348" s="344" t="inlineStr">
        <is>
          <t>XII - NOTARIOS: Transmisión de inmuebles</t>
        </is>
      </c>
      <c r="C348" s="345" t="n">
        <v>18</v>
      </c>
      <c r="D348" s="208" t="inlineStr">
        <is>
          <t>Instrumento monetario</t>
        </is>
      </c>
      <c r="E348" s="208" t="inlineStr">
        <is>
          <t>Contraprestación en efectivo, instrumentos al portador o criptoactivos.</t>
        </is>
      </c>
      <c r="F348" s="208" t="inlineStr">
        <is>
          <t>Pagos mixtos con efectivo parcial y transferencias.</t>
        </is>
      </c>
      <c r="G348" s="208" t="inlineStr">
        <is>
          <t>Contraprestación íntegra por transferencia o crédito hipotecario.</t>
        </is>
      </c>
    </row>
    <row r="349" ht="18.75" customHeight="1" s="173">
      <c r="A349" s="208">
        <f>B349&amp;"-"&amp;C349</f>
        <v/>
      </c>
      <c r="B349" s="344" t="inlineStr">
        <is>
          <t>XII - NOTARIOS: Transmisión de inmuebles</t>
        </is>
      </c>
      <c r="C349" s="345" t="n">
        <v>19</v>
      </c>
      <c r="D349" s="208" t="inlineStr">
        <is>
          <t>Tipo de moneda</t>
        </is>
      </c>
      <c r="E349" s="208" t="inlineStr">
        <is>
          <t>Pago en moneda extranjera distinta al USD o en criptomonedas.</t>
        </is>
      </c>
      <c r="F349" s="208" t="inlineStr">
        <is>
          <t>Pago en USD con soporte documental.</t>
        </is>
      </c>
      <c r="G349" s="208" t="inlineStr">
        <is>
          <t>Pago en pesos mexicanos.</t>
        </is>
      </c>
    </row>
    <row r="350" ht="18.75" customHeight="1" s="173">
      <c r="A350" s="208">
        <f>B350&amp;"-"&amp;C350</f>
        <v/>
      </c>
      <c r="B350" s="344" t="inlineStr">
        <is>
          <t>XII - NOTARIOS: Transmisión de inmuebles</t>
        </is>
      </c>
      <c r="C350" s="345" t="n">
        <v>20</v>
      </c>
      <c r="D350" s="208" t="inlineStr">
        <is>
          <t>Monto frente a umbrales LFPIORPI</t>
        </is>
      </c>
      <c r="E350" s="208" t="inlineStr">
        <is>
          <t>Valor de la operación supera ampliamente el umbral de aviso (8,000 UMA).</t>
        </is>
      </c>
      <c r="F350" s="208" t="inlineStr">
        <is>
          <t>Valor cercano al umbral de aviso sin superarlo.</t>
        </is>
      </c>
      <c r="G350" s="208" t="inlineStr">
        <is>
          <t>Valor muy por debajo del umbral de aviso.</t>
        </is>
      </c>
    </row>
    <row r="351" ht="18.75" customHeight="1" s="173">
      <c r="A351" s="208">
        <f>B351&amp;"-"&amp;C351</f>
        <v/>
      </c>
      <c r="B351" s="344" t="inlineStr">
        <is>
          <t>XII - NOTARIOS: Transmisión de inmuebles</t>
        </is>
      </c>
      <c r="C351" s="345" t="n">
        <v>21</v>
      </c>
      <c r="D351" s="208" t="inlineStr">
        <is>
          <t>Frecuencia (fraccionamiento)</t>
        </is>
      </c>
      <c r="E351" s="208" t="inlineStr">
        <is>
          <t>Operaciones sucesivas o fraccionadas de la misma parte para eludir umbrales.</t>
        </is>
      </c>
      <c r="F351" s="208" t="inlineStr">
        <is>
          <t>Operaciones espaciadas con justificación patrimonial.</t>
        </is>
      </c>
      <c r="G351" s="208" t="inlineStr">
        <is>
          <t>Operación única sin patrón de fraccionamiento.</t>
        </is>
      </c>
    </row>
    <row r="352" ht="18.75" customHeight="1" s="173">
      <c r="A352" s="208">
        <f>B352&amp;"-"&amp;C352</f>
        <v/>
      </c>
      <c r="B352" s="344" t="inlineStr">
        <is>
          <t>XII - NOTARIOS: Transmisión de inmuebles</t>
        </is>
      </c>
      <c r="C352" s="345" t="n">
        <v>22</v>
      </c>
      <c r="D352" s="208" t="inlineStr">
        <is>
          <t>Canal (presencial / no presencial / terceros)</t>
        </is>
      </c>
      <c r="E352" s="208" t="inlineStr">
        <is>
          <t>Escrituración mediante apoderado o terceros sin contacto directo con las partes.</t>
        </is>
      </c>
      <c r="F352" s="208" t="inlineStr">
        <is>
          <t>Representación con poder documentado y verificado.</t>
        </is>
      </c>
      <c r="G352" s="208" t="inlineStr">
        <is>
          <t>Comparecencia presencial de las partes ante el notario.</t>
        </is>
      </c>
    </row>
    <row r="353" ht="18.75" customHeight="1" s="173">
      <c r="A353" s="208">
        <f>B353&amp;"-"&amp;C353</f>
        <v/>
      </c>
      <c r="B353" s="344" t="inlineStr">
        <is>
          <t>XII - NOTARIOS: Transmisión de inmuebles</t>
        </is>
      </c>
      <c r="C353" s="345" t="n">
        <v>23</v>
      </c>
      <c r="D353" s="208" t="inlineStr">
        <is>
          <t>Origen de los recursos</t>
        </is>
      </c>
      <c r="E353" s="208" t="inlineStr">
        <is>
          <t>Origen de la contraprestación no acreditable, en efectivo o informal.</t>
        </is>
      </c>
      <c r="F353" s="208" t="inlineStr">
        <is>
          <t>Origen parcialmente documentado con soporte incompleto.</t>
        </is>
      </c>
      <c r="G353" s="208" t="inlineStr">
        <is>
          <t>Origen acreditado con documentación financiera y fiscal.</t>
        </is>
      </c>
    </row>
    <row r="354" ht="18.75" customHeight="1" s="173">
      <c r="A354" s="208">
        <f>B354&amp;"-"&amp;C354</f>
        <v/>
      </c>
      <c r="B354" s="344" t="inlineStr">
        <is>
          <t>XII - NOTARIOS: Transmisión de inmuebles</t>
        </is>
      </c>
      <c r="C354" s="345" t="n">
        <v>24</v>
      </c>
      <c r="D354" s="208" t="inlineStr">
        <is>
          <t>Destino de los recursos</t>
        </is>
      </c>
      <c r="E354" s="208" t="inlineStr">
        <is>
          <t>Destino opaco: reventa inmediata, cesión a terceros o salida al exterior sin justificar.</t>
        </is>
      </c>
      <c r="F354" s="208" t="inlineStr">
        <is>
          <t>Destino declarado con justificación parcial.</t>
        </is>
      </c>
      <c r="G354" s="208" t="inlineStr">
        <is>
          <t>Destino claro: uso propio o inversión documentada.</t>
        </is>
      </c>
    </row>
    <row r="355" ht="18.75" customHeight="1" s="173">
      <c r="A355" s="208">
        <f>B355&amp;"-"&amp;C355</f>
        <v/>
      </c>
      <c r="B355" s="344" t="inlineStr">
        <is>
          <t>XII - NOTARIOS: Transmisión de inmuebles</t>
        </is>
      </c>
      <c r="C355" s="345" t="n">
        <v>25</v>
      </c>
      <c r="D355" s="208" t="inlineStr">
        <is>
          <t>Canales e instrumentos idóneos para el financiamiento al terrorismo</t>
        </is>
      </c>
      <c r="E355" s="208" t="inlineStr">
        <is>
          <t>La operación se realiza mediante comparecencia por apoderado sin acreditar al beneficiario y pago parcial en efectivo, es decir, medios que permiten mover valor en montos pequeños sin identificar al destinatario final.</t>
        </is>
      </c>
      <c r="F355" s="208" t="inlineStr">
        <is>
          <t>Canal mixto o con verificación parcial: hay registro de la operación pero la trazabilidad del destinatario final es incompleta.</t>
        </is>
      </c>
      <c r="G355" s="208" t="inlineStr">
        <is>
          <t>Comparecencia directa de las partes identificadas y pago bancarizado documentado, con trazabilidad completa del origen y del destinatario.</t>
        </is>
      </c>
    </row>
    <row r="356" ht="18.75" customHeight="1" s="173">
      <c r="A356" s="208">
        <f>B356&amp;"-"&amp;C356</f>
        <v/>
      </c>
      <c r="B356" s="344" t="inlineStr">
        <is>
          <t>XII - NOTARIOS: Poderes irrevocables</t>
        </is>
      </c>
      <c r="C356" s="345" t="n">
        <v>1</v>
      </c>
      <c r="D356" s="208" t="inlineStr">
        <is>
          <t>Valor del producto o servicio</t>
        </is>
      </c>
      <c r="E356" s="208" t="inlineStr">
        <is>
          <t>Poder general con facultades amplias sobre patrimonio de alto valor.</t>
        </is>
      </c>
      <c r="F356" s="208" t="inlineStr">
        <is>
          <t>Poder especial de gestion sobre bienes de valor intermedio.</t>
        </is>
      </c>
      <c r="G356" s="208" t="inlineStr">
        <is>
          <t>Poder limitado a actos concretos de valor reducido.</t>
        </is>
      </c>
    </row>
    <row r="357" ht="18.75" customHeight="1" s="173">
      <c r="A357" s="208">
        <f>B357&amp;"-"&amp;C357</f>
        <v/>
      </c>
      <c r="B357" s="344" t="inlineStr">
        <is>
          <t>XII - NOTARIOS: Poderes irrevocables</t>
        </is>
      </c>
      <c r="C357" s="345" t="n">
        <v>2</v>
      </c>
      <c r="D357" s="208" t="inlineStr">
        <is>
          <t>Liquidez / convertibilidad</t>
        </is>
      </c>
      <c r="E357" s="208" t="inlineStr">
        <is>
          <t>Faculta disponer, enajenar o gravar activos de inmediato.</t>
        </is>
      </c>
      <c r="F357" s="208" t="inlineStr">
        <is>
          <t>Permite gestionar bienes con facultades acotadas.</t>
        </is>
      </c>
      <c r="G357" s="208" t="inlineStr">
        <is>
          <t>No confiere facultades de disposición patrimonial.</t>
        </is>
      </c>
    </row>
    <row r="358" ht="18.75" customHeight="1" s="173">
      <c r="A358" s="208">
        <f>B358&amp;"-"&amp;C358</f>
        <v/>
      </c>
      <c r="B358" s="344" t="inlineStr">
        <is>
          <t>XII - NOTARIOS: Poderes irrevocables</t>
        </is>
      </c>
      <c r="C358" s="345" t="n">
        <v>3</v>
      </c>
      <c r="D358" s="208" t="inlineStr">
        <is>
          <t>Anonimato / identificación del beneficiario</t>
        </is>
      </c>
      <c r="E358" s="208" t="inlineStr">
        <is>
          <t>Permite que un tercero controle activos ocultando al beneficiario final.</t>
        </is>
      </c>
      <c r="F358" s="208" t="inlineStr">
        <is>
          <t>Apoderado identificado con vínculo parcialmente claro.</t>
        </is>
      </c>
      <c r="G358" s="208" t="inlineStr">
        <is>
          <t>Apoderado y poderdante plenamente identificados y vinculados.</t>
        </is>
      </c>
    </row>
    <row r="359" ht="18.75" customHeight="1" s="173">
      <c r="A359" s="208">
        <f>B359&amp;"-"&amp;C359</f>
        <v/>
      </c>
      <c r="B359" s="344" t="inlineStr">
        <is>
          <t>XII - NOTARIOS: Poderes irrevocables</t>
        </is>
      </c>
      <c r="C359" s="345" t="n">
        <v>4</v>
      </c>
      <c r="D359" s="208" t="inlineStr">
        <is>
          <t>Transferencia u ocultamiento de valor</t>
        </is>
      </c>
      <c r="E359" s="208" t="inlineStr">
        <is>
          <t>Facilita el control y traslado de activos sin figurar el dueño real.</t>
        </is>
      </c>
      <c r="F359" s="208" t="inlineStr">
        <is>
          <t>Permite actos patrimoniales con trazabilidad parcial.</t>
        </is>
      </c>
      <c r="G359" s="208" t="inlineStr">
        <is>
          <t>Poder sin capacidad de trasladar u ocultar valor.</t>
        </is>
      </c>
    </row>
    <row r="360" ht="18.75" customHeight="1" s="173">
      <c r="A360" s="208">
        <f>B360&amp;"-"&amp;C360</f>
        <v/>
      </c>
      <c r="B360" s="344" t="inlineStr">
        <is>
          <t>XII - NOTARIOS: Poderes irrevocables</t>
        </is>
      </c>
      <c r="C360" s="345" t="n">
        <v>5</v>
      </c>
      <c r="D360" s="208" t="inlineStr">
        <is>
          <t>Exposición del acto u operación al financiamiento al terrorismo</t>
        </is>
      </c>
      <c r="E360" s="208" t="inlineStr">
        <is>
          <t>Poderes de dominio o administración otorgados a favor de personas vinculadas con organizaciones señaladas en listas, que permiten disponer de bienes sin exponer al titular.</t>
        </is>
      </c>
      <c r="F360" s="208" t="inlineStr">
        <is>
          <t>Poderes amplios a favor de terceros sin relación acreditada, sin coincidencias en listas.</t>
        </is>
      </c>
      <c r="G360" s="208" t="inlineStr">
        <is>
          <t>Poder con objeto acotado, entre personas con vínculo acreditado y ambas identificadas.</t>
        </is>
      </c>
    </row>
    <row r="361" ht="18.75" customHeight="1" s="173">
      <c r="A361" s="208">
        <f>B361&amp;"-"&amp;C361</f>
        <v/>
      </c>
      <c r="B361" s="344" t="inlineStr">
        <is>
          <t>XII - NOTARIOS: Poderes irrevocables</t>
        </is>
      </c>
      <c r="C361" s="345" t="n">
        <v>6</v>
      </c>
      <c r="D361" s="208" t="inlineStr">
        <is>
          <t>Tipo de persona y estructura</t>
        </is>
      </c>
      <c r="E361" s="208" t="inlineStr">
        <is>
          <t>Poderdante persona moral extranjera o estructura opaca.</t>
        </is>
      </c>
      <c r="F361" s="208" t="inlineStr">
        <is>
          <t>Poderdante persona moral nacional estándar.</t>
        </is>
      </c>
      <c r="G361" s="208" t="inlineStr">
        <is>
          <t>Poderdante persona física identificada.</t>
        </is>
      </c>
    </row>
    <row r="362" ht="18.75" customHeight="1" s="173">
      <c r="A362" s="208">
        <f>B362&amp;"-"&amp;C362</f>
        <v/>
      </c>
      <c r="B362" s="344" t="inlineStr">
        <is>
          <t>XII - NOTARIOS: Poderes irrevocables</t>
        </is>
      </c>
      <c r="C362" s="345" t="n">
        <v>7</v>
      </c>
      <c r="D362" s="208" t="inlineStr">
        <is>
          <t>Edad / fecha de constitución</t>
        </is>
      </c>
      <c r="E362" s="208" t="inlineStr">
        <is>
          <t>Poderdante o apoderado de perfil atípico o entidad recién creada.</t>
        </is>
      </c>
      <c r="F362" s="208" t="inlineStr">
        <is>
          <t>Partes con antigüedad e historial intermedios.</t>
        </is>
      </c>
      <c r="G362" s="208" t="inlineStr">
        <is>
          <t>Partes consolidadas con historial verificable.</t>
        </is>
      </c>
    </row>
    <row r="363" ht="18.75" customHeight="1" s="173">
      <c r="A363" s="208">
        <f>B363&amp;"-"&amp;C363</f>
        <v/>
      </c>
      <c r="B363" s="344" t="inlineStr">
        <is>
          <t>XII - NOTARIOS: Poderes irrevocables</t>
        </is>
      </c>
      <c r="C363" s="345" t="n">
        <v>8</v>
      </c>
      <c r="D363" s="208" t="inlineStr">
        <is>
          <t>Actividad económica o giro (y fuente de ingresos)</t>
        </is>
      </c>
      <c r="E363" s="208" t="inlineStr">
        <is>
          <t>Poderdante con giro informal, en efectivo o ligado a otras AV.</t>
        </is>
      </c>
      <c r="F363" s="208" t="inlineStr">
        <is>
          <t>Giro formal de riesgo medio con ingresos documentables.</t>
        </is>
      </c>
      <c r="G363" s="208" t="inlineStr">
        <is>
          <t>Giro formal de bajo riesgo e ingresos claros.</t>
        </is>
      </c>
    </row>
    <row r="364" ht="18.75" customHeight="1" s="173">
      <c r="A364" s="208">
        <f>B364&amp;"-"&amp;C364</f>
        <v/>
      </c>
      <c r="B364" s="344" t="inlineStr">
        <is>
          <t>XII - NOTARIOS: Poderes irrevocables</t>
        </is>
      </c>
      <c r="C364" s="345" t="n">
        <v>9</v>
      </c>
      <c r="D364" s="208" t="inlineStr">
        <is>
          <t>Nacionalidad del cliente</t>
        </is>
      </c>
      <c r="E364" s="208" t="inlineStr">
        <is>
          <t>Cliente de país en listas GAFI, sancionado o de régimen fiscal preferente.</t>
        </is>
      </c>
      <c r="F364" s="208" t="inlineStr">
        <is>
          <t>Nacionalidad extranjera de país sin alertas relevantes.</t>
        </is>
      </c>
      <c r="G364" s="208" t="inlineStr">
        <is>
          <t>Cliente mexicano o de país cooperante sin observaciones.</t>
        </is>
      </c>
    </row>
    <row r="365" ht="18.75" customHeight="1" s="173">
      <c r="A365" s="208">
        <f>B365&amp;"-"&amp;C365</f>
        <v/>
      </c>
      <c r="B365" s="344" t="inlineStr">
        <is>
          <t>XII - NOTARIOS: Poderes irrevocables</t>
        </is>
      </c>
      <c r="C365" s="345" t="n">
        <v>10</v>
      </c>
      <c r="D365" s="208" t="inlineStr">
        <is>
          <t>País (y en su caso, estado) de residencia del cliente</t>
        </is>
      </c>
      <c r="E365" s="208" t="inlineStr">
        <is>
          <t>Reside en jurisdicción de alto riesgo o con domicilio no verificable.</t>
        </is>
      </c>
      <c r="F365" s="208" t="inlineStr">
        <is>
          <t>Reside en el extranjero en país cooperante, con domicilio comprobable.</t>
        </is>
      </c>
      <c r="G365" s="208" t="inlineStr">
        <is>
          <t>Residencia nacional verificada y estable.</t>
        </is>
      </c>
    </row>
    <row r="366" ht="18.75" customHeight="1" s="173">
      <c r="A366" s="208">
        <f>B366&amp;"-"&amp;C366</f>
        <v/>
      </c>
      <c r="B366" s="344" t="inlineStr">
        <is>
          <t>XII - NOTARIOS: Poderes irrevocables</t>
        </is>
      </c>
      <c r="C366" s="345" t="n">
        <v>11</v>
      </c>
      <c r="D366" s="208" t="inlineStr">
        <is>
          <t>Condición PEP</t>
        </is>
      </c>
      <c r="E366" s="208" t="inlineStr">
        <is>
          <t>PEP nacional o extranjera, o allegado que actua por su cuenta.</t>
        </is>
      </c>
      <c r="F366" s="208" t="inlineStr">
        <is>
          <t>Vinculo indirecto con PEP o PEP de perfil menor, monitoreado.</t>
        </is>
      </c>
      <c r="G366" s="208" t="inlineStr">
        <is>
          <t>Sin condición PEP ni vínculos con funcionarios.</t>
        </is>
      </c>
    </row>
    <row r="367" ht="18.75" customHeight="1" s="173">
      <c r="A367" s="208">
        <f>B367&amp;"-"&amp;C367</f>
        <v/>
      </c>
      <c r="B367" s="344" t="inlineStr">
        <is>
          <t>XII - NOTARIOS: Poderes irrevocables</t>
        </is>
      </c>
      <c r="C367" s="345" t="n">
        <v>12</v>
      </c>
      <c r="D367" s="208" t="inlineStr">
        <is>
          <t>Coincidencia en listas de personas bloqueadas o de sanciones</t>
        </is>
      </c>
      <c r="E367" s="208" t="inlineStr">
        <is>
          <t>El poderdante, su beneficiario controlador, apoderado o contraparte aparece en la Lista de Personas Bloqueadas, en listas de sanciones o en listas de organizaciones terroristas, o presenta una coincidencia fuerte que no ha sido descartada.</t>
        </is>
      </c>
      <c r="F367" s="208" t="inlineStr">
        <is>
          <t>Se detecta coincidencia parcial u homonimia respecto del poderdante o de alguna persona relacionada, y el descarte se encuentra en proceso con constancia documental.</t>
        </is>
      </c>
      <c r="G367" s="208" t="inlineStr">
        <is>
          <t>Búsqueda realizada y documentada sobre el poderdante y sus personas relacionadas, sin coincidencias.</t>
        </is>
      </c>
    </row>
    <row r="368" ht="18.75" customHeight="1" s="173">
      <c r="A368" s="208">
        <f>B368&amp;"-"&amp;C368</f>
        <v/>
      </c>
      <c r="B368" s="344" t="inlineStr">
        <is>
          <t>XII - NOTARIOS: Poderes irrevocables</t>
        </is>
      </c>
      <c r="C368" s="345" t="n">
        <v>13</v>
      </c>
      <c r="D368" s="208" t="inlineStr">
        <is>
          <t>Identificación y complejidad del Beneficiario Controlador</t>
        </is>
      </c>
      <c r="E368" s="208" t="inlineStr">
        <is>
          <t>No se logra identificar al beneficiario controlador del poderdante, o la estructura interpone dos o más niveles societarios, fiduciarios o vehículos constituidos en el extranjero para llegar al 25 por ciento.</t>
        </is>
      </c>
      <c r="F368" s="208" t="inlineStr">
        <is>
          <t>Beneficiario controlador identificado, pero a través de una estructura de más de un nivel o con participación indirecta que exigió reconstruir la cadena de control con documentos.</t>
        </is>
      </c>
      <c r="G368" s="208" t="inlineStr">
        <is>
          <t>Beneficiario controlador identificado de forma directa y documentada: persona física que posee al menos el 25 por ciento o que ejerce el control por otra vía acreditada.</t>
        </is>
      </c>
    </row>
    <row r="369" ht="18.75" customHeight="1" s="173">
      <c r="A369" s="208">
        <f>B369&amp;"-"&amp;C369</f>
        <v/>
      </c>
      <c r="B369" s="344" t="inlineStr">
        <is>
          <t>XII - NOTARIOS: Poderes irrevocables</t>
        </is>
      </c>
      <c r="C369" s="345" t="n">
        <v>14</v>
      </c>
      <c r="D369" s="208" t="inlineStr">
        <is>
          <t>País / jurisdicción donde se realiza la operación</t>
        </is>
      </c>
      <c r="E369" s="208" t="inlineStr">
        <is>
          <t>Operación con o desde jurisdicción de alto riesgo o no cooperante.</t>
        </is>
      </c>
      <c r="F369" s="208" t="inlineStr">
        <is>
          <t>Operación con componente internacional en país cooperante.</t>
        </is>
      </c>
      <c r="G369" s="208" t="inlineStr">
        <is>
          <t>Operación integramente nacional.</t>
        </is>
      </c>
    </row>
    <row r="370" ht="18.75" customHeight="1" s="173">
      <c r="A370" s="208">
        <f>B370&amp;"-"&amp;C370</f>
        <v/>
      </c>
      <c r="B370" s="344" t="inlineStr">
        <is>
          <t>XII - NOTARIOS: Poderes irrevocables</t>
        </is>
      </c>
      <c r="C370" s="345" t="n">
        <v>15</v>
      </c>
      <c r="D370" s="208" t="inlineStr">
        <is>
          <t>Área geográfica nacional de la operación</t>
        </is>
      </c>
      <c r="E370" s="208" t="inlineStr">
        <is>
          <t>Zona de alta incidencia delictiva, marginacion o frontera.</t>
        </is>
      </c>
      <c r="F370" s="208" t="inlineStr">
        <is>
          <t>Zona urbana ordinaria sin alertas particulares.</t>
        </is>
      </c>
      <c r="G370" s="208" t="inlineStr">
        <is>
          <t>Zona de bajo riesgo con actividad económica formal.</t>
        </is>
      </c>
    </row>
    <row r="371" ht="18.75" customHeight="1" s="173">
      <c r="A371" s="208">
        <f>B371&amp;"-"&amp;C371</f>
        <v/>
      </c>
      <c r="B371" s="344" t="inlineStr">
        <is>
          <t>XII - NOTARIOS: Poderes irrevocables</t>
        </is>
      </c>
      <c r="C371" s="345" t="n">
        <v>16</v>
      </c>
      <c r="D371" s="208" t="inlineStr">
        <is>
          <t>Vínculo con jurisdicciones sancionadas, en conflicto o de acción requerida por el GAFI</t>
        </is>
      </c>
      <c r="E371" s="208" t="inlineStr">
        <is>
          <t>Existe exposición a jurisdicciones sancionadas, en conflicto armado o de acción requerida del GAFI, por la vía de poderdantes o apoderados domiciliados en el extranjero.</t>
        </is>
      </c>
      <c r="F371" s="208" t="inlineStr">
        <is>
          <t>Vínculo con jurisdicciones bajo monitoreo intensificado del GAFI o con deficiencias señaladas en la ENR, sin estar sancionadas ni en conflicto.</t>
        </is>
      </c>
      <c r="G371" s="208" t="inlineStr">
        <is>
          <t>Sin vínculo con jurisdicciones sancionadas, en conflicto o listadas por el GAFI; la operación y sus partes se ubican en plazas sin señalamientos.</t>
        </is>
      </c>
    </row>
    <row r="372" ht="18.75" customHeight="1" s="173">
      <c r="A372" s="208">
        <f>B372&amp;"-"&amp;C372</f>
        <v/>
      </c>
      <c r="B372" s="344" t="inlineStr">
        <is>
          <t>XII - NOTARIOS: Poderes irrevocables</t>
        </is>
      </c>
      <c r="C372" s="345" t="n">
        <v>17</v>
      </c>
      <c r="D372" s="208" t="inlineStr">
        <is>
          <t>Congruencia entre el domicilio del Cliente y el lugar de la operación</t>
        </is>
      </c>
      <c r="E372" s="208" t="inlineStr">
        <is>
          <t>El domicilio del poderdante no guarda relación económica ni logística con el lugar donde se realiza el otorgamiento del poder irrevocable, y no existe explicación documentada del desplazamiento.</t>
        </is>
      </c>
      <c r="F372" s="208" t="inlineStr">
        <is>
          <t>Existe distancia relevante entre el domicilio del poderdante y el lugar de la operación, con explicación plausible pero no soportada en el expediente.</t>
        </is>
      </c>
      <c r="G372" s="208" t="inlineStr">
        <is>
          <t>El domicilio del poderdante corresponde a la plaza donde se realiza el otorgamiento del poder irrevocable, o el desplazamiento está justificado y documentado.</t>
        </is>
      </c>
    </row>
    <row r="373" ht="18.75" customHeight="1" s="173">
      <c r="A373" s="208">
        <f>B373&amp;"-"&amp;C373</f>
        <v/>
      </c>
      <c r="B373" s="344" t="inlineStr">
        <is>
          <t>XII - NOTARIOS: Poderes irrevocables</t>
        </is>
      </c>
      <c r="C373" s="345" t="n">
        <v>18</v>
      </c>
      <c r="D373" s="208" t="inlineStr">
        <is>
          <t>Instrumento monetario</t>
        </is>
      </c>
      <c r="E373" s="208" t="inlineStr">
        <is>
          <t>Pago o aportacion en efectivo, instrumentos al portador o criptoactivos.</t>
        </is>
      </c>
      <c r="F373" s="208" t="inlineStr">
        <is>
          <t>Pago mediante cheque o transferencia con trazabilidad parcial.</t>
        </is>
      </c>
      <c r="G373" s="208" t="inlineStr">
        <is>
          <t>Pago mediante transferencia bancaria nominativa trazable.</t>
        </is>
      </c>
    </row>
    <row r="374" ht="18.75" customHeight="1" s="173">
      <c r="A374" s="208">
        <f>B374&amp;"-"&amp;C374</f>
        <v/>
      </c>
      <c r="B374" s="344" t="inlineStr">
        <is>
          <t>XII - NOTARIOS: Poderes irrevocables</t>
        </is>
      </c>
      <c r="C374" s="345" t="n">
        <v>19</v>
      </c>
      <c r="D374" s="208" t="inlineStr">
        <is>
          <t>Tipo de moneda</t>
        </is>
      </c>
      <c r="E374" s="208" t="inlineStr">
        <is>
          <t>Moneda extranjera distinta al USD o criptomonedas.</t>
        </is>
      </c>
      <c r="F374" s="208" t="inlineStr">
        <is>
          <t>Operación en dolares estadounidenses (USD).</t>
        </is>
      </c>
      <c r="G374" s="208" t="inlineStr">
        <is>
          <t>Operación en pesos mexicanos.</t>
        </is>
      </c>
    </row>
    <row r="375" ht="18.75" customHeight="1" s="173">
      <c r="A375" s="208">
        <f>B375&amp;"-"&amp;C375</f>
        <v/>
      </c>
      <c r="B375" s="344" t="inlineStr">
        <is>
          <t>XII - NOTARIOS: Poderes irrevocables</t>
        </is>
      </c>
      <c r="C375" s="345" t="n">
        <v>20</v>
      </c>
      <c r="D375" s="208" t="inlineStr">
        <is>
          <t>Monto frente a umbrales LFPIORPI</t>
        </is>
      </c>
      <c r="E375" s="208" t="inlineStr">
        <is>
          <t>Aviso obligatorio siempre; poder sobre patrimonio de alto valor.</t>
        </is>
      </c>
      <c r="F375" s="208" t="inlineStr">
        <is>
          <t>Aviso obligatorio siempre; facultades sobre valor intermedio.</t>
        </is>
      </c>
      <c r="G375" s="208" t="inlineStr">
        <is>
          <t>Aviso obligatorio siempre; poder de alcance y valor reducidos.</t>
        </is>
      </c>
    </row>
    <row r="376" ht="18.75" customHeight="1" s="173">
      <c r="A376" s="208">
        <f>B376&amp;"-"&amp;C376</f>
        <v/>
      </c>
      <c r="B376" s="344" t="inlineStr">
        <is>
          <t>XII - NOTARIOS: Poderes irrevocables</t>
        </is>
      </c>
      <c r="C376" s="345" t="n">
        <v>21</v>
      </c>
      <c r="D376" s="208" t="inlineStr">
        <is>
          <t>Frecuencia (fraccionamiento)</t>
        </is>
      </c>
      <c r="E376" s="208" t="inlineStr">
        <is>
          <t>Otorgamiento reiterado de poderes amplios a distintos apoderados.</t>
        </is>
      </c>
      <c r="F376" s="208" t="inlineStr">
        <is>
          <t>Otorgamiento ocasional de poderes especiales.</t>
        </is>
      </c>
      <c r="G376" s="208" t="inlineStr">
        <is>
          <t>Poder único y acotado, congruente con el perfil.</t>
        </is>
      </c>
    </row>
    <row r="377" ht="18.75" customHeight="1" s="173">
      <c r="A377" s="208">
        <f>B377&amp;"-"&amp;C377</f>
        <v/>
      </c>
      <c r="B377" s="344" t="inlineStr">
        <is>
          <t>XII - NOTARIOS: Poderes irrevocables</t>
        </is>
      </c>
      <c r="C377" s="345" t="n">
        <v>22</v>
      </c>
      <c r="D377" s="208" t="inlineStr">
        <is>
          <t>Canal (presencial / no presencial / terceros)</t>
        </is>
      </c>
      <c r="E377" s="208" t="inlineStr">
        <is>
          <t>Operación no presencial o a traves de terceros sin contacto directo.</t>
        </is>
      </c>
      <c r="F377" s="208" t="inlineStr">
        <is>
          <t>Contacto mixto o mediante representante identificado.</t>
        </is>
      </c>
      <c r="G377" s="208" t="inlineStr">
        <is>
          <t>Cliente atendido de forma presencial y directa.</t>
        </is>
      </c>
    </row>
    <row r="378" ht="18.75" customHeight="1" s="173">
      <c r="A378" s="208">
        <f>B378&amp;"-"&amp;C378</f>
        <v/>
      </c>
      <c r="B378" s="344" t="inlineStr">
        <is>
          <t>XII - NOTARIOS: Poderes irrevocables</t>
        </is>
      </c>
      <c r="C378" s="345" t="n">
        <v>23</v>
      </c>
      <c r="D378" s="208" t="inlineStr">
        <is>
          <t>Origen de los recursos</t>
        </is>
      </c>
      <c r="E378" s="208" t="inlineStr">
        <is>
          <t>Patrimonio bajo el poder de origen no acreditable o informal.</t>
        </is>
      </c>
      <c r="F378" s="208" t="inlineStr">
        <is>
          <t>Origen del patrimonio con soporte parcial.</t>
        </is>
      </c>
      <c r="G378" s="208" t="inlineStr">
        <is>
          <t>Patrimonio de origen lícito y documentado.</t>
        </is>
      </c>
    </row>
    <row r="379" ht="18.75" customHeight="1" s="173">
      <c r="A379" s="208">
        <f>B379&amp;"-"&amp;C379</f>
        <v/>
      </c>
      <c r="B379" s="344" t="inlineStr">
        <is>
          <t>XII - NOTARIOS: Poderes irrevocables</t>
        </is>
      </c>
      <c r="C379" s="345" t="n">
        <v>24</v>
      </c>
      <c r="D379" s="208" t="inlineStr">
        <is>
          <t>Destino de los recursos</t>
        </is>
      </c>
      <c r="E379" s="208" t="inlineStr">
        <is>
          <t>Facultades que permiten desviar activos a terceros o al exterior.</t>
        </is>
      </c>
      <c r="F379" s="208" t="inlineStr">
        <is>
          <t>Actos derivados con destino parcialmente justificado.</t>
        </is>
      </c>
      <c r="G379" s="208" t="inlineStr">
        <is>
          <t>Destino de los actos claro y documentado.</t>
        </is>
      </c>
    </row>
    <row r="380" ht="18.75" customHeight="1" s="173">
      <c r="A380" s="208">
        <f>B380&amp;"-"&amp;C380</f>
        <v/>
      </c>
      <c r="B380" s="344" t="inlineStr">
        <is>
          <t>XII - NOTARIOS: Poderes irrevocables</t>
        </is>
      </c>
      <c r="C380" s="345" t="n">
        <v>25</v>
      </c>
      <c r="D380" s="208" t="inlineStr">
        <is>
          <t>Canales e instrumentos idóneos para el financiamiento al terrorismo</t>
        </is>
      </c>
      <c r="E380" s="208" t="inlineStr">
        <is>
          <t>La operación se realiza mediante otorgamiento a distancia a favor de apoderados sin vínculo acreditado, es decir, medios que permiten mover valor en montos pequeños sin identificar al destinatario final.</t>
        </is>
      </c>
      <c r="F380" s="208" t="inlineStr">
        <is>
          <t>Canal mixto o con verificación parcial: hay registro de la operación pero la trazabilidad del destinatario final es incompleta.</t>
        </is>
      </c>
      <c r="G380" s="208" t="inlineStr">
        <is>
          <t>Otorgamiento con poderdante y apoderado identificados y vínculo acreditado, con trazabilidad completa del origen y del destinatario.</t>
        </is>
      </c>
    </row>
    <row r="381" ht="18.75" customHeight="1" s="173">
      <c r="A381" s="208">
        <f>B381&amp;"-"&amp;C381</f>
        <v/>
      </c>
      <c r="B381" s="344" t="inlineStr">
        <is>
          <t>XII - NOTARIOS: Const. o modif. patrimonial</t>
        </is>
      </c>
      <c r="C381" s="345" t="n">
        <v>1</v>
      </c>
      <c r="D381" s="208" t="inlineStr">
        <is>
          <t>Valor del producto o servicio</t>
        </is>
      </c>
      <c r="E381" s="208" t="inlineStr">
        <is>
          <t>Constitución de sociedad patrimonial con aportaciones significativas.</t>
        </is>
      </c>
      <c r="F381" s="208" t="inlineStr">
        <is>
          <t>Modificación societaria con capital intermedio.</t>
        </is>
      </c>
      <c r="G381" s="208" t="inlineStr">
        <is>
          <t>Ajuste patrimonial menor y documentado.</t>
        </is>
      </c>
    </row>
    <row r="382" ht="18.75" customHeight="1" s="173">
      <c r="A382" s="208">
        <f>B382&amp;"-"&amp;C382</f>
        <v/>
      </c>
      <c r="B382" s="344" t="inlineStr">
        <is>
          <t>XII - NOTARIOS: Const. o modif. patrimonial</t>
        </is>
      </c>
      <c r="C382" s="345" t="n">
        <v>2</v>
      </c>
      <c r="D382" s="208" t="inlineStr">
        <is>
          <t>Liquidez / convertibilidad</t>
        </is>
      </c>
      <c r="E382" s="208" t="inlineStr">
        <is>
          <t>Estructura societaria que facilita mover o convertir aportaciones.</t>
        </is>
      </c>
      <c r="F382" s="208" t="inlineStr">
        <is>
          <t>Cambios de capital con disposición acotada.</t>
        </is>
      </c>
      <c r="G382" s="208" t="inlineStr">
        <is>
          <t>Ajuste sin efecto sobre la disponibilidad de recursos.</t>
        </is>
      </c>
    </row>
    <row r="383" ht="18.75" customHeight="1" s="173">
      <c r="A383" s="208">
        <f>B383&amp;"-"&amp;C383</f>
        <v/>
      </c>
      <c r="B383" s="344" t="inlineStr">
        <is>
          <t>XII - NOTARIOS: Const. o modif. patrimonial</t>
        </is>
      </c>
      <c r="C383" s="345" t="n">
        <v>3</v>
      </c>
      <c r="D383" s="208" t="inlineStr">
        <is>
          <t>Anonimato / identificación del beneficiario</t>
        </is>
      </c>
      <c r="E383" s="208" t="inlineStr">
        <is>
          <t>Socios o aportantes interpuestos que ocultan al beneficiario final.</t>
        </is>
      </c>
      <c r="F383" s="208" t="inlineStr">
        <is>
          <t>Estructura societaria con beneficiario identificable con esfuerzo.</t>
        </is>
      </c>
      <c r="G383" s="208" t="inlineStr">
        <is>
          <t>Socios y beneficiario final plenamente identificados.</t>
        </is>
      </c>
    </row>
    <row r="384" ht="18.75" customHeight="1" s="173">
      <c r="A384" s="208">
        <f>B384&amp;"-"&amp;C384</f>
        <v/>
      </c>
      <c r="B384" s="344" t="inlineStr">
        <is>
          <t>XII - NOTARIOS: Const. o modif. patrimonial</t>
        </is>
      </c>
      <c r="C384" s="345" t="n">
        <v>4</v>
      </c>
      <c r="D384" s="208" t="inlineStr">
        <is>
          <t>Transferencia u ocultamiento de valor</t>
        </is>
      </c>
      <c r="E384" s="208" t="inlineStr">
        <is>
          <t>Sociedad usada para canalizar u ocultar fondos ilícitos.</t>
        </is>
      </c>
      <c r="F384" s="208" t="inlineStr">
        <is>
          <t>Aportaciones con trazabilidad parcial.</t>
        </is>
      </c>
      <c r="G384" s="208" t="inlineStr">
        <is>
          <t>Aportaciones plenamente trazables y documentadas.</t>
        </is>
      </c>
    </row>
    <row r="385" ht="18.75" customHeight="1" s="173">
      <c r="A385" s="208">
        <f>B385&amp;"-"&amp;C385</f>
        <v/>
      </c>
      <c r="B385" s="344" t="inlineStr">
        <is>
          <t>XII - NOTARIOS: Const. o modif. patrimonial</t>
        </is>
      </c>
      <c r="C385" s="345" t="n">
        <v>5</v>
      </c>
      <c r="D385" s="208" t="inlineStr">
        <is>
          <t>Exposición del acto u operación al financiamiento al terrorismo</t>
        </is>
      </c>
      <c r="E385" s="208" t="inlineStr">
        <is>
          <t>Constitución o capitalización de sociedades cuyos socios o aportantes están señalados en listas de sanciones, o que sirven de fachada a estructuras de financiamiento.</t>
        </is>
      </c>
      <c r="F385" s="208" t="inlineStr">
        <is>
          <t>Sociedades con socios del extranjero o con capital que no guarda relación con el objeto, sin coincidencias en listas.</t>
        </is>
      </c>
      <c r="G385" s="208" t="inlineStr">
        <is>
          <t>Sociedad con socios identificados, objeto congruente y aportaciones bancarizadas.</t>
        </is>
      </c>
    </row>
    <row r="386" ht="18.75" customHeight="1" s="173">
      <c r="A386" s="208">
        <f>B386&amp;"-"&amp;C386</f>
        <v/>
      </c>
      <c r="B386" s="344" t="inlineStr">
        <is>
          <t>XII - NOTARIOS: Const. o modif. patrimonial</t>
        </is>
      </c>
      <c r="C386" s="345" t="n">
        <v>6</v>
      </c>
      <c r="D386" s="208" t="inlineStr">
        <is>
          <t>Tipo de persona y estructura</t>
        </is>
      </c>
      <c r="E386" s="208" t="inlineStr">
        <is>
          <t>Sociedad con socios extranjeros o estructura opaca.</t>
        </is>
      </c>
      <c r="F386" s="208" t="inlineStr">
        <is>
          <t>Sociedad nacional con estructura estándar.</t>
        </is>
      </c>
      <c r="G386" s="208" t="inlineStr">
        <is>
          <t>Sociedad pequeña con socios identificados.</t>
        </is>
      </c>
    </row>
    <row r="387" ht="18.75" customHeight="1" s="173">
      <c r="A387" s="208">
        <f>B387&amp;"-"&amp;C387</f>
        <v/>
      </c>
      <c r="B387" s="344" t="inlineStr">
        <is>
          <t>XII - NOTARIOS: Const. o modif. patrimonial</t>
        </is>
      </c>
      <c r="C387" s="345" t="n">
        <v>7</v>
      </c>
      <c r="D387" s="208" t="inlineStr">
        <is>
          <t>Edad / fecha de constitución</t>
        </is>
      </c>
      <c r="E387" s="208" t="inlineStr">
        <is>
          <t>Sociedad de reciente creacion con capital elevado.</t>
        </is>
      </c>
      <c r="F387" s="208" t="inlineStr">
        <is>
          <t>Sociedad con antigüedad intermedia.</t>
        </is>
      </c>
      <c r="G387" s="208" t="inlineStr">
        <is>
          <t>Sociedad consolidada con historial verificable.</t>
        </is>
      </c>
    </row>
    <row r="388" ht="18.75" customHeight="1" s="173">
      <c r="A388" s="208">
        <f>B388&amp;"-"&amp;C388</f>
        <v/>
      </c>
      <c r="B388" s="344" t="inlineStr">
        <is>
          <t>XII - NOTARIOS: Const. o modif. patrimonial</t>
        </is>
      </c>
      <c r="C388" s="345" t="n">
        <v>8</v>
      </c>
      <c r="D388" s="208" t="inlineStr">
        <is>
          <t>Actividad económica o giro (y fuente de ingresos)</t>
        </is>
      </c>
      <c r="E388" s="208" t="inlineStr">
        <is>
          <t>Giro informal, intensivo en efectivo o vinculado a otras AV.</t>
        </is>
      </c>
      <c r="F388" s="208" t="inlineStr">
        <is>
          <t>Giro formal de riesgo medio.</t>
        </is>
      </c>
      <c r="G388" s="208" t="inlineStr">
        <is>
          <t>Giro formal de bajo riesgo con ingresos claros.</t>
        </is>
      </c>
    </row>
    <row r="389" ht="18.75" customHeight="1" s="173">
      <c r="A389" s="208">
        <f>B389&amp;"-"&amp;C389</f>
        <v/>
      </c>
      <c r="B389" s="344" t="inlineStr">
        <is>
          <t>XII - NOTARIOS: Const. o modif. patrimonial</t>
        </is>
      </c>
      <c r="C389" s="345" t="n">
        <v>9</v>
      </c>
      <c r="D389" s="208" t="inlineStr">
        <is>
          <t>Nacionalidad del cliente</t>
        </is>
      </c>
      <c r="E389" s="208" t="inlineStr">
        <is>
          <t>Cliente de país en listas GAFI, sancionado o de régimen fiscal preferente.</t>
        </is>
      </c>
      <c r="F389" s="208" t="inlineStr">
        <is>
          <t>Nacionalidad extranjera de país sin alertas relevantes.</t>
        </is>
      </c>
      <c r="G389" s="208" t="inlineStr">
        <is>
          <t>Cliente mexicano o de país cooperante sin observaciones.</t>
        </is>
      </c>
    </row>
    <row r="390" ht="18.75" customHeight="1" s="173">
      <c r="A390" s="208">
        <f>B390&amp;"-"&amp;C390</f>
        <v/>
      </c>
      <c r="B390" s="344" t="inlineStr">
        <is>
          <t>XII - NOTARIOS: Const. o modif. patrimonial</t>
        </is>
      </c>
      <c r="C390" s="345" t="n">
        <v>10</v>
      </c>
      <c r="D390" s="208" t="inlineStr">
        <is>
          <t>País (y en su caso, estado) de residencia del cliente</t>
        </is>
      </c>
      <c r="E390" s="208" t="inlineStr">
        <is>
          <t>Reside en jurisdicción de alto riesgo o con domicilio no verificable.</t>
        </is>
      </c>
      <c r="F390" s="208" t="inlineStr">
        <is>
          <t>Reside en el extranjero en país cooperante, con domicilio comprobable.</t>
        </is>
      </c>
      <c r="G390" s="208" t="inlineStr">
        <is>
          <t>Residencia nacional verificada y estable.</t>
        </is>
      </c>
    </row>
    <row r="391" ht="18.75" customHeight="1" s="173">
      <c r="A391" s="208">
        <f>B391&amp;"-"&amp;C391</f>
        <v/>
      </c>
      <c r="B391" s="344" t="inlineStr">
        <is>
          <t>XII - NOTARIOS: Const. o modif. patrimonial</t>
        </is>
      </c>
      <c r="C391" s="345" t="n">
        <v>11</v>
      </c>
      <c r="D391" s="208" t="inlineStr">
        <is>
          <t>Condición PEP</t>
        </is>
      </c>
      <c r="E391" s="208" t="inlineStr">
        <is>
          <t>PEP nacional o extranjera, o allegado que actua por su cuenta.</t>
        </is>
      </c>
      <c r="F391" s="208" t="inlineStr">
        <is>
          <t>Vinculo indirecto con PEP o PEP de perfil menor, monitoreado.</t>
        </is>
      </c>
      <c r="G391" s="208" t="inlineStr">
        <is>
          <t>Sin condición PEP ni vínculos con funcionarios.</t>
        </is>
      </c>
    </row>
    <row r="392" ht="18.75" customHeight="1" s="173">
      <c r="A392" s="208">
        <f>B392&amp;"-"&amp;C392</f>
        <v/>
      </c>
      <c r="B392" s="344" t="inlineStr">
        <is>
          <t>XII - NOTARIOS: Const. o modif. patrimonial</t>
        </is>
      </c>
      <c r="C392" s="345" t="n">
        <v>12</v>
      </c>
      <c r="D392" s="208" t="inlineStr">
        <is>
          <t>Coincidencia en listas de personas bloqueadas o de sanciones</t>
        </is>
      </c>
      <c r="E392" s="208" t="inlineStr">
        <is>
          <t>El socio o accionista, su beneficiario controlador, apoderado o contraparte aparece en la Lista de Personas Bloqueadas, en listas de sanciones o en listas de organizaciones terroristas, o presenta una coincidencia fuerte que no ha sido descartada.</t>
        </is>
      </c>
      <c r="F392" s="208" t="inlineStr">
        <is>
          <t>Se detecta coincidencia parcial u homonimia respecto del socio o accionista o de alguna persona relacionada, y el descarte se encuentra en proceso con constancia documental.</t>
        </is>
      </c>
      <c r="G392" s="208" t="inlineStr">
        <is>
          <t>Búsqueda realizada y documentada sobre el socio o accionista y sus personas relacionadas, sin coincidencias.</t>
        </is>
      </c>
    </row>
    <row r="393" ht="18.75" customHeight="1" s="173">
      <c r="A393" s="208">
        <f>B393&amp;"-"&amp;C393</f>
        <v/>
      </c>
      <c r="B393" s="344" t="inlineStr">
        <is>
          <t>XII - NOTARIOS: Const. o modif. patrimonial</t>
        </is>
      </c>
      <c r="C393" s="345" t="n">
        <v>13</v>
      </c>
      <c r="D393" s="208" t="inlineStr">
        <is>
          <t>Identificación y complejidad del Beneficiario Controlador</t>
        </is>
      </c>
      <c r="E393" s="208" t="inlineStr">
        <is>
          <t>No se logra identificar al beneficiario controlador del socio o accionista, o la estructura interpone dos o más niveles societarios, fiduciarios o vehículos constituidos en el extranjero para llegar al 25 por ciento.</t>
        </is>
      </c>
      <c r="F393" s="208" t="inlineStr">
        <is>
          <t>Beneficiario controlador identificado, pero a través de una estructura de más de un nivel o con participación indirecta que exigió reconstruir la cadena de control con documentos.</t>
        </is>
      </c>
      <c r="G393" s="208" t="inlineStr">
        <is>
          <t>Beneficiario controlador identificado de forma directa y documentada: persona física que posee al menos el 25 por ciento o que ejerce el control por otra vía acreditada.</t>
        </is>
      </c>
    </row>
    <row r="394" ht="18.75" customHeight="1" s="173">
      <c r="A394" s="208">
        <f>B394&amp;"-"&amp;C394</f>
        <v/>
      </c>
      <c r="B394" s="344" t="inlineStr">
        <is>
          <t>XII - NOTARIOS: Const. o modif. patrimonial</t>
        </is>
      </c>
      <c r="C394" s="345" t="n">
        <v>14</v>
      </c>
      <c r="D394" s="208" t="inlineStr">
        <is>
          <t>País / jurisdicción donde se realiza la operación</t>
        </is>
      </c>
      <c r="E394" s="208" t="inlineStr">
        <is>
          <t>Operación con o desde jurisdicción de alto riesgo o no cooperante.</t>
        </is>
      </c>
      <c r="F394" s="208" t="inlineStr">
        <is>
          <t>Operación con componente internacional en país cooperante.</t>
        </is>
      </c>
      <c r="G394" s="208" t="inlineStr">
        <is>
          <t>Operación integramente nacional.</t>
        </is>
      </c>
    </row>
    <row r="395" ht="18.75" customHeight="1" s="173">
      <c r="A395" s="208">
        <f>B395&amp;"-"&amp;C395</f>
        <v/>
      </c>
      <c r="B395" s="344" t="inlineStr">
        <is>
          <t>XII - NOTARIOS: Const. o modif. patrimonial</t>
        </is>
      </c>
      <c r="C395" s="345" t="n">
        <v>15</v>
      </c>
      <c r="D395" s="208" t="inlineStr">
        <is>
          <t>Área geográfica nacional de la operación</t>
        </is>
      </c>
      <c r="E395" s="208" t="inlineStr">
        <is>
          <t>Zona de alta incidencia delictiva, marginacion o frontera.</t>
        </is>
      </c>
      <c r="F395" s="208" t="inlineStr">
        <is>
          <t>Zona urbana ordinaria sin alertas particulares.</t>
        </is>
      </c>
      <c r="G395" s="208" t="inlineStr">
        <is>
          <t>Zona de bajo riesgo con actividad económica formal.</t>
        </is>
      </c>
    </row>
    <row r="396" ht="18.75" customHeight="1" s="173">
      <c r="A396" s="208">
        <f>B396&amp;"-"&amp;C396</f>
        <v/>
      </c>
      <c r="B396" s="344" t="inlineStr">
        <is>
          <t>XII - NOTARIOS: Const. o modif. patrimonial</t>
        </is>
      </c>
      <c r="C396" s="345" t="n">
        <v>16</v>
      </c>
      <c r="D396" s="208" t="inlineStr">
        <is>
          <t>Vínculo con jurisdicciones sancionadas, en conflicto o de acción requerida por el GAFI</t>
        </is>
      </c>
      <c r="E396" s="208" t="inlineStr">
        <is>
          <t>Existe exposición a jurisdicciones sancionadas, en conflicto armado o de acción requerida del GAFI, por la vía de socios o aportaciones provenientes del extranjero.</t>
        </is>
      </c>
      <c r="F396" s="208" t="inlineStr">
        <is>
          <t>Vínculo con jurisdicciones bajo monitoreo intensificado del GAFI o con deficiencias señaladas en la ENR, sin estar sancionadas ni en conflicto.</t>
        </is>
      </c>
      <c r="G396" s="208" t="inlineStr">
        <is>
          <t>Sin vínculo con jurisdicciones sancionadas, en conflicto o listadas por el GAFI; la operación y sus partes se ubican en plazas sin señalamientos.</t>
        </is>
      </c>
    </row>
    <row r="397" ht="18.75" customHeight="1" s="173">
      <c r="A397" s="208">
        <f>B397&amp;"-"&amp;C397</f>
        <v/>
      </c>
      <c r="B397" s="344" t="inlineStr">
        <is>
          <t>XII - NOTARIOS: Const. o modif. patrimonial</t>
        </is>
      </c>
      <c r="C397" s="345" t="n">
        <v>17</v>
      </c>
      <c r="D397" s="208" t="inlineStr">
        <is>
          <t>Congruencia entre el domicilio del Cliente y el lugar de la operación</t>
        </is>
      </c>
      <c r="E397" s="208" t="inlineStr">
        <is>
          <t>El domicilio del socio o accionista no guarda relación económica ni logística con el lugar donde se realiza la constitución o modificación patrimonial de la sociedad, y no existe explicación documentada del desplazamiento.</t>
        </is>
      </c>
      <c r="F397" s="208" t="inlineStr">
        <is>
          <t>Existe distancia relevante entre el domicilio del socio o accionista y el lugar de la operación, con explicación plausible pero no soportada en el expediente.</t>
        </is>
      </c>
      <c r="G397" s="208" t="inlineStr">
        <is>
          <t>El domicilio del socio o accionista corresponde a la plaza donde se realiza la constitución o modificación patrimonial de la sociedad, o el desplazamiento está justificado y documentado.</t>
        </is>
      </c>
    </row>
    <row r="398" ht="18.75" customHeight="1" s="173">
      <c r="A398" s="208">
        <f>B398&amp;"-"&amp;C398</f>
        <v/>
      </c>
      <c r="B398" s="344" t="inlineStr">
        <is>
          <t>XII - NOTARIOS: Const. o modif. patrimonial</t>
        </is>
      </c>
      <c r="C398" s="345" t="n">
        <v>18</v>
      </c>
      <c r="D398" s="208" t="inlineStr">
        <is>
          <t>Instrumento monetario</t>
        </is>
      </c>
      <c r="E398" s="208" t="inlineStr">
        <is>
          <t>Pago o aportacion en efectivo, instrumentos al portador o criptoactivos.</t>
        </is>
      </c>
      <c r="F398" s="208" t="inlineStr">
        <is>
          <t>Pago mediante cheque o transferencia con trazabilidad parcial.</t>
        </is>
      </c>
      <c r="G398" s="208" t="inlineStr">
        <is>
          <t>Pago mediante transferencia bancaria nominativa trazable.</t>
        </is>
      </c>
    </row>
    <row r="399" ht="18.75" customHeight="1" s="173">
      <c r="A399" s="208">
        <f>B399&amp;"-"&amp;C399</f>
        <v/>
      </c>
      <c r="B399" s="344" t="inlineStr">
        <is>
          <t>XII - NOTARIOS: Const. o modif. patrimonial</t>
        </is>
      </c>
      <c r="C399" s="345" t="n">
        <v>19</v>
      </c>
      <c r="D399" s="208" t="inlineStr">
        <is>
          <t>Tipo de moneda</t>
        </is>
      </c>
      <c r="E399" s="208" t="inlineStr">
        <is>
          <t>Moneda extranjera distinta al USD o criptomonedas.</t>
        </is>
      </c>
      <c r="F399" s="208" t="inlineStr">
        <is>
          <t>Operación en dolares estadounidenses (USD).</t>
        </is>
      </c>
      <c r="G399" s="208" t="inlineStr">
        <is>
          <t>Operación en pesos mexicanos.</t>
        </is>
      </c>
    </row>
    <row r="400" ht="18.75" customHeight="1" s="173">
      <c r="A400" s="208">
        <f>B400&amp;"-"&amp;C400</f>
        <v/>
      </c>
      <c r="B400" s="344" t="inlineStr">
        <is>
          <t>XII - NOTARIOS: Const. o modif. patrimonial</t>
        </is>
      </c>
      <c r="C400" s="345" t="n">
        <v>20</v>
      </c>
      <c r="D400" s="208" t="inlineStr">
        <is>
          <t>Monto frente a umbrales LFPIORPI</t>
        </is>
      </c>
      <c r="E400" s="208" t="inlineStr">
        <is>
          <t>Aportaciones que superan el umbral de aviso (8,025 UMA).</t>
        </is>
      </c>
      <c r="F400" s="208" t="inlineStr">
        <is>
          <t>Aportaciones cercanas al umbral de aviso (8,025 UMA).</t>
        </is>
      </c>
      <c r="G400" s="208" t="inlineStr">
        <is>
          <t>Aportaciones muy por debajo del umbral (8,025 UMA).</t>
        </is>
      </c>
    </row>
    <row r="401" ht="18.75" customHeight="1" s="173">
      <c r="A401" s="208">
        <f>B401&amp;"-"&amp;C401</f>
        <v/>
      </c>
      <c r="B401" s="344" t="inlineStr">
        <is>
          <t>XII - NOTARIOS: Const. o modif. patrimonial</t>
        </is>
      </c>
      <c r="C401" s="345" t="n">
        <v>21</v>
      </c>
      <c r="D401" s="208" t="inlineStr">
        <is>
          <t>Frecuencia (fraccionamiento)</t>
        </is>
      </c>
      <c r="E401" s="208" t="inlineStr">
        <is>
          <t>Constituciones o reformas frecuentes o fraccionadas para eludir umbrales.</t>
        </is>
      </c>
      <c r="F401" s="208" t="inlineStr">
        <is>
          <t>Modificaciones societarias ocasionales.</t>
        </is>
      </c>
      <c r="G401" s="208" t="inlineStr">
        <is>
          <t>Acto societario único, congruente con el perfil.</t>
        </is>
      </c>
    </row>
    <row r="402" ht="18.75" customHeight="1" s="173">
      <c r="A402" s="208">
        <f>B402&amp;"-"&amp;C402</f>
        <v/>
      </c>
      <c r="B402" s="344" t="inlineStr">
        <is>
          <t>XII - NOTARIOS: Const. o modif. patrimonial</t>
        </is>
      </c>
      <c r="C402" s="345" t="n">
        <v>22</v>
      </c>
      <c r="D402" s="208" t="inlineStr">
        <is>
          <t>Canal (presencial / no presencial / terceros)</t>
        </is>
      </c>
      <c r="E402" s="208" t="inlineStr">
        <is>
          <t>Operación no presencial o a traves de terceros sin contacto directo.</t>
        </is>
      </c>
      <c r="F402" s="208" t="inlineStr">
        <is>
          <t>Contacto mixto o mediante representante identificado.</t>
        </is>
      </c>
      <c r="G402" s="208" t="inlineStr">
        <is>
          <t>Cliente atendido de forma presencial y directa.</t>
        </is>
      </c>
    </row>
    <row r="403" ht="18.75" customHeight="1" s="173">
      <c r="A403" s="208">
        <f>B403&amp;"-"&amp;C403</f>
        <v/>
      </c>
      <c r="B403" s="344" t="inlineStr">
        <is>
          <t>XII - NOTARIOS: Const. o modif. patrimonial</t>
        </is>
      </c>
      <c r="C403" s="345" t="n">
        <v>23</v>
      </c>
      <c r="D403" s="208" t="inlineStr">
        <is>
          <t>Origen de los recursos</t>
        </is>
      </c>
      <c r="E403" s="208" t="inlineStr">
        <is>
          <t>Aportaciones de origen no acreditable, en efectivo o informal.</t>
        </is>
      </c>
      <c r="F403" s="208" t="inlineStr">
        <is>
          <t>Origen de las aportaciones con soporte parcial.</t>
        </is>
      </c>
      <c r="G403" s="208" t="inlineStr">
        <is>
          <t>Aportaciones de origen lícito documentado.</t>
        </is>
      </c>
    </row>
    <row r="404" ht="18.75" customHeight="1" s="173">
      <c r="A404" s="208">
        <f>B404&amp;"-"&amp;C404</f>
        <v/>
      </c>
      <c r="B404" s="344" t="inlineStr">
        <is>
          <t>XII - NOTARIOS: Const. o modif. patrimonial</t>
        </is>
      </c>
      <c r="C404" s="345" t="n">
        <v>24</v>
      </c>
      <c r="D404" s="208" t="inlineStr">
        <is>
          <t>Destino de los recursos</t>
        </is>
      </c>
      <c r="E404" s="208" t="inlineStr">
        <is>
          <t>Recursos societarios con destino opaco o a terceros sin justificación.</t>
        </is>
      </c>
      <c r="F404" s="208" t="inlineStr">
        <is>
          <t>Destino de los recursos parcialmente justificado.</t>
        </is>
      </c>
      <c r="G404" s="208" t="inlineStr">
        <is>
          <t>Destino de los recursos claro y documentado.</t>
        </is>
      </c>
    </row>
    <row r="405" ht="18.75" customHeight="1" s="173">
      <c r="A405" s="208">
        <f>B405&amp;"-"&amp;C405</f>
        <v/>
      </c>
      <c r="B405" s="344" t="inlineStr">
        <is>
          <t>XII - NOTARIOS: Const. o modif. patrimonial</t>
        </is>
      </c>
      <c r="C405" s="345" t="n">
        <v>25</v>
      </c>
      <c r="D405" s="208" t="inlineStr">
        <is>
          <t>Canales e instrumentos idóneos para el financiamiento al terrorismo</t>
        </is>
      </c>
      <c r="E405" s="208" t="inlineStr">
        <is>
          <t>La operación se realiza mediante constitución a distancia con socios que no comparecen y aportaciones en efectivo, es decir, medios que permiten mover valor en montos pequeños sin identificar al destinatario final.</t>
        </is>
      </c>
      <c r="F405" s="208" t="inlineStr">
        <is>
          <t>Canal mixto o con verificación parcial: hay registro de la operación pero la trazabilidad del destinatario final es incompleta.</t>
        </is>
      </c>
      <c r="G405" s="208" t="inlineStr">
        <is>
          <t>Constitución con socios identificados y comparecientes y aportaciones bancarizadas, con trazabilidad completa del origen y del destinatario.</t>
        </is>
      </c>
    </row>
    <row r="406" ht="18.75" customHeight="1" s="173">
      <c r="A406" s="208">
        <f>B406&amp;"-"&amp;C406</f>
        <v/>
      </c>
      <c r="B406" s="344" t="inlineStr">
        <is>
          <t>XII - NOTARIOS: Const. o modif. fideicomisos</t>
        </is>
      </c>
      <c r="C406" s="345" t="n">
        <v>1</v>
      </c>
      <c r="D406" s="208" t="inlineStr">
        <is>
          <t>Valor del producto o servicio</t>
        </is>
      </c>
      <c r="E406" s="208" t="inlineStr">
        <is>
          <t>Fideicomiso de inversion de gran valor.</t>
        </is>
      </c>
      <c r="F406" s="208" t="inlineStr">
        <is>
          <t>Fideicomiso de inversion o administracion de monto intermedio.</t>
        </is>
      </c>
      <c r="G406" s="208" t="inlineStr">
        <is>
          <t>Fideicomiso patrimonial familiar de monto bajo.</t>
        </is>
      </c>
    </row>
    <row r="407" ht="18.75" customHeight="1" s="173">
      <c r="A407" s="208">
        <f>B407&amp;"-"&amp;C407</f>
        <v/>
      </c>
      <c r="B407" s="344" t="inlineStr">
        <is>
          <t>XII - NOTARIOS: Const. o modif. fideicomisos</t>
        </is>
      </c>
      <c r="C407" s="345" t="n">
        <v>2</v>
      </c>
      <c r="D407" s="208" t="inlineStr">
        <is>
          <t>Liquidez / convertibilidad</t>
        </is>
      </c>
      <c r="E407" s="208" t="inlineStr">
        <is>
          <t>Estructura fiduciaria que permite disponer o convertir el patrimonio.</t>
        </is>
      </c>
      <c r="F407" s="208" t="inlineStr">
        <is>
          <t>Fideicomiso con facultades de disposición acotadas.</t>
        </is>
      </c>
      <c r="G407" s="208" t="inlineStr">
        <is>
          <t>Fideicomiso de conservacion sin disposición ágil.</t>
        </is>
      </c>
    </row>
    <row r="408" ht="18.75" customHeight="1" s="173">
      <c r="A408" s="208">
        <f>B408&amp;"-"&amp;C408</f>
        <v/>
      </c>
      <c r="B408" s="344" t="inlineStr">
        <is>
          <t>XII - NOTARIOS: Const. o modif. fideicomisos</t>
        </is>
      </c>
      <c r="C408" s="345" t="n">
        <v>3</v>
      </c>
      <c r="D408" s="208" t="inlineStr">
        <is>
          <t>Anonimato / identificación del beneficiario</t>
        </is>
      </c>
      <c r="E408" s="208" t="inlineStr">
        <is>
          <t>Fideicomiso que oculta a fideicomitentes o fideicomisarios reales.</t>
        </is>
      </c>
      <c r="F408" s="208" t="inlineStr">
        <is>
          <t>Partes fiduciarias identificables con esfuerzo adicional.</t>
        </is>
      </c>
      <c r="G408" s="208" t="inlineStr">
        <is>
          <t>Fideicomitente y fideicomisario plenamente identificados.</t>
        </is>
      </c>
    </row>
    <row r="409" ht="18.75" customHeight="1" s="173">
      <c r="A409" s="208">
        <f>B409&amp;"-"&amp;C409</f>
        <v/>
      </c>
      <c r="B409" s="344" t="inlineStr">
        <is>
          <t>XII - NOTARIOS: Const. o modif. fideicomisos</t>
        </is>
      </c>
      <c r="C409" s="345" t="n">
        <v>4</v>
      </c>
      <c r="D409" s="208" t="inlineStr">
        <is>
          <t>Transferencia u ocultamiento de valor</t>
        </is>
      </c>
      <c r="E409" s="208" t="inlineStr">
        <is>
          <t>Vehiculo idoneo para ocultar recursos ilícitos y beneficiarios.</t>
        </is>
      </c>
      <c r="F409" s="208" t="inlineStr">
        <is>
          <t>Aportaciones fiduciarias con trazabilidad parcial.</t>
        </is>
      </c>
      <c r="G409" s="208" t="inlineStr">
        <is>
          <t>Patrimonio fiduciario plenamente trazable.</t>
        </is>
      </c>
    </row>
    <row r="410" ht="18.75" customHeight="1" s="173">
      <c r="A410" s="208">
        <f>B410&amp;"-"&amp;C410</f>
        <v/>
      </c>
      <c r="B410" s="344" t="inlineStr">
        <is>
          <t>XII - NOTARIOS: Const. o modif. fideicomisos</t>
        </is>
      </c>
      <c r="C410" s="345" t="n">
        <v>5</v>
      </c>
      <c r="D410" s="208" t="inlineStr">
        <is>
          <t>Exposición del acto u operación al financiamiento al terrorismo</t>
        </is>
      </c>
      <c r="E410" s="208" t="inlineStr">
        <is>
          <t>Fideicomisos constituidos a favor de personas u organizaciones señaladas en listas, o que ocultan al beneficiario último del patrimonio afectado.</t>
        </is>
      </c>
      <c r="F410" s="208" t="inlineStr">
        <is>
          <t>Fideicomisos con fideicomisarios indeterminados o vehículos del extranjero, sin coincidencias en listas.</t>
        </is>
      </c>
      <c r="G410" s="208" t="inlineStr">
        <is>
          <t>Fideicomiso con partes identificadas, fines lícitos declarados y patrimonio de origen documentado.</t>
        </is>
      </c>
    </row>
    <row r="411" ht="18.75" customHeight="1" s="173">
      <c r="A411" s="208">
        <f>B411&amp;"-"&amp;C411</f>
        <v/>
      </c>
      <c r="B411" s="344" t="inlineStr">
        <is>
          <t>XII - NOTARIOS: Const. o modif. fideicomisos</t>
        </is>
      </c>
      <c r="C411" s="345" t="n">
        <v>6</v>
      </c>
      <c r="D411" s="208" t="inlineStr">
        <is>
          <t>Tipo de persona y estructura</t>
        </is>
      </c>
      <c r="E411" s="208" t="inlineStr">
        <is>
          <t>Fideicomitente persona moral extranjera o estructura opaca.</t>
        </is>
      </c>
      <c r="F411" s="208" t="inlineStr">
        <is>
          <t>Fideicomitente nacional con estructura estándar.</t>
        </is>
      </c>
      <c r="G411" s="208" t="inlineStr">
        <is>
          <t>Fideicomiso familiar con partes identificadas.</t>
        </is>
      </c>
    </row>
    <row r="412" ht="18.75" customHeight="1" s="173">
      <c r="A412" s="208">
        <f>B412&amp;"-"&amp;C412</f>
        <v/>
      </c>
      <c r="B412" s="344" t="inlineStr">
        <is>
          <t>XII - NOTARIOS: Const. o modif. fideicomisos</t>
        </is>
      </c>
      <c r="C412" s="345" t="n">
        <v>7</v>
      </c>
      <c r="D412" s="208" t="inlineStr">
        <is>
          <t>Edad / fecha de constitución</t>
        </is>
      </c>
      <c r="E412" s="208" t="inlineStr">
        <is>
          <t>Fideicomiso recién constituido con patrimonio elevado.</t>
        </is>
      </c>
      <c r="F412" s="208" t="inlineStr">
        <is>
          <t>Fideicomiso con antigüedad intermedia.</t>
        </is>
      </c>
      <c r="G412" s="208" t="inlineStr">
        <is>
          <t>Fideicomiso consolidado con historial verificable.</t>
        </is>
      </c>
    </row>
    <row r="413" ht="18.75" customHeight="1" s="173">
      <c r="A413" s="208">
        <f>B413&amp;"-"&amp;C413</f>
        <v/>
      </c>
      <c r="B413" s="344" t="inlineStr">
        <is>
          <t>XII - NOTARIOS: Const. o modif. fideicomisos</t>
        </is>
      </c>
      <c r="C413" s="345" t="n">
        <v>8</v>
      </c>
      <c r="D413" s="208" t="inlineStr">
        <is>
          <t>Actividad económica o giro (y fuente de ingresos)</t>
        </is>
      </c>
      <c r="E413" s="208" t="inlineStr">
        <is>
          <t>Fideicomitente con giro informal, en efectivo o ligado a otras AV.</t>
        </is>
      </c>
      <c r="F413" s="208" t="inlineStr">
        <is>
          <t>Giro formal de riesgo medio.</t>
        </is>
      </c>
      <c r="G413" s="208" t="inlineStr">
        <is>
          <t>Giro formal de bajo riesgo con ingresos claros.</t>
        </is>
      </c>
    </row>
    <row r="414" ht="18.75" customHeight="1" s="173">
      <c r="A414" s="208">
        <f>B414&amp;"-"&amp;C414</f>
        <v/>
      </c>
      <c r="B414" s="344" t="inlineStr">
        <is>
          <t>XII - NOTARIOS: Const. o modif. fideicomisos</t>
        </is>
      </c>
      <c r="C414" s="345" t="n">
        <v>9</v>
      </c>
      <c r="D414" s="208" t="inlineStr">
        <is>
          <t>Nacionalidad del cliente</t>
        </is>
      </c>
      <c r="E414" s="208" t="inlineStr">
        <is>
          <t>Cliente de país en listas GAFI, sancionado o de régimen fiscal preferente.</t>
        </is>
      </c>
      <c r="F414" s="208" t="inlineStr">
        <is>
          <t>Nacionalidad extranjera de país sin alertas relevantes.</t>
        </is>
      </c>
      <c r="G414" s="208" t="inlineStr">
        <is>
          <t>Cliente mexicano o de país cooperante sin observaciones.</t>
        </is>
      </c>
    </row>
    <row r="415" ht="18.75" customHeight="1" s="173">
      <c r="A415" s="208">
        <f>B415&amp;"-"&amp;C415</f>
        <v/>
      </c>
      <c r="B415" s="344" t="inlineStr">
        <is>
          <t>XII - NOTARIOS: Const. o modif. fideicomisos</t>
        </is>
      </c>
      <c r="C415" s="345" t="n">
        <v>10</v>
      </c>
      <c r="D415" s="208" t="inlineStr">
        <is>
          <t>País (y en su caso, estado) de residencia del cliente</t>
        </is>
      </c>
      <c r="E415" s="208" t="inlineStr">
        <is>
          <t>Reside en jurisdicción de alto riesgo o con domicilio no verificable.</t>
        </is>
      </c>
      <c r="F415" s="208" t="inlineStr">
        <is>
          <t>Reside en el extranjero en país cooperante, con domicilio comprobable.</t>
        </is>
      </c>
      <c r="G415" s="208" t="inlineStr">
        <is>
          <t>Residencia nacional verificada y estable.</t>
        </is>
      </c>
    </row>
    <row r="416" ht="18.75" customHeight="1" s="173">
      <c r="A416" s="208">
        <f>B416&amp;"-"&amp;C416</f>
        <v/>
      </c>
      <c r="B416" s="344" t="inlineStr">
        <is>
          <t>XII - NOTARIOS: Const. o modif. fideicomisos</t>
        </is>
      </c>
      <c r="C416" s="345" t="n">
        <v>11</v>
      </c>
      <c r="D416" s="208" t="inlineStr">
        <is>
          <t>Condición PEP</t>
        </is>
      </c>
      <c r="E416" s="208" t="inlineStr">
        <is>
          <t>PEP nacional o extranjera, o allegado que actua por su cuenta.</t>
        </is>
      </c>
      <c r="F416" s="208" t="inlineStr">
        <is>
          <t>Vinculo indirecto con PEP o PEP de perfil menor, monitoreado.</t>
        </is>
      </c>
      <c r="G416" s="208" t="inlineStr">
        <is>
          <t>Sin condición PEP ni vínculos con funcionarios.</t>
        </is>
      </c>
    </row>
    <row r="417" ht="18.75" customHeight="1" s="173">
      <c r="A417" s="208">
        <f>B417&amp;"-"&amp;C417</f>
        <v/>
      </c>
      <c r="B417" s="344" t="inlineStr">
        <is>
          <t>XII - NOTARIOS: Const. o modif. fideicomisos</t>
        </is>
      </c>
      <c r="C417" s="345" t="n">
        <v>12</v>
      </c>
      <c r="D417" s="208" t="inlineStr">
        <is>
          <t>Coincidencia en listas de personas bloqueadas o de sanciones</t>
        </is>
      </c>
      <c r="E417" s="208" t="inlineStr">
        <is>
          <t>El fideicomitente, su beneficiario controlador, apoderado o contraparte aparece en la Lista de Personas Bloqueadas, en listas de sanciones o en listas de organizaciones terroristas, o presenta una coincidencia fuerte que no ha sido descartada.</t>
        </is>
      </c>
      <c r="F417" s="208" t="inlineStr">
        <is>
          <t>Se detecta coincidencia parcial u homonimia respecto del fideicomitente o de alguna persona relacionada, y el descarte se encuentra en proceso con constancia documental.</t>
        </is>
      </c>
      <c r="G417" s="208" t="inlineStr">
        <is>
          <t>Búsqueda realizada y documentada sobre el fideicomitente y sus personas relacionadas, sin coincidencias.</t>
        </is>
      </c>
    </row>
    <row r="418" ht="18.75" customHeight="1" s="173">
      <c r="A418" s="208">
        <f>B418&amp;"-"&amp;C418</f>
        <v/>
      </c>
      <c r="B418" s="344" t="inlineStr">
        <is>
          <t>XII - NOTARIOS: Const. o modif. fideicomisos</t>
        </is>
      </c>
      <c r="C418" s="345" t="n">
        <v>13</v>
      </c>
      <c r="D418" s="208" t="inlineStr">
        <is>
          <t>Identificación y complejidad del Beneficiario Controlador</t>
        </is>
      </c>
      <c r="E418" s="208" t="inlineStr">
        <is>
          <t>No se logra identificar al beneficiario controlador del fideicomitente, o la estructura interpone dos o más niveles societarios, fiduciarios o vehículos constituidos en el extranjero para llegar al 25 por ciento.</t>
        </is>
      </c>
      <c r="F418" s="208" t="inlineStr">
        <is>
          <t>Beneficiario controlador identificado, pero a través de una estructura de más de un nivel o con participación indirecta que exigió reconstruir la cadena de control con documentos.</t>
        </is>
      </c>
      <c r="G418" s="208" t="inlineStr">
        <is>
          <t>Beneficiario controlador identificado de forma directa y documentada: persona física que posee al menos el 25 por ciento o que ejerce el control por otra vía acreditada.</t>
        </is>
      </c>
    </row>
    <row r="419" ht="18.75" customHeight="1" s="173">
      <c r="A419" s="208">
        <f>B419&amp;"-"&amp;C419</f>
        <v/>
      </c>
      <c r="B419" s="344" t="inlineStr">
        <is>
          <t>XII - NOTARIOS: Const. o modif. fideicomisos</t>
        </is>
      </c>
      <c r="C419" s="345" t="n">
        <v>14</v>
      </c>
      <c r="D419" s="208" t="inlineStr">
        <is>
          <t>País / jurisdicción donde se realiza la operación</t>
        </is>
      </c>
      <c r="E419" s="208" t="inlineStr">
        <is>
          <t>Operación con o desde jurisdicción de alto riesgo o no cooperante.</t>
        </is>
      </c>
      <c r="F419" s="208" t="inlineStr">
        <is>
          <t>Operación con componente internacional en país cooperante.</t>
        </is>
      </c>
      <c r="G419" s="208" t="inlineStr">
        <is>
          <t>Operación integramente nacional.</t>
        </is>
      </c>
    </row>
    <row r="420" ht="18.75" customHeight="1" s="173">
      <c r="A420" s="208">
        <f>B420&amp;"-"&amp;C420</f>
        <v/>
      </c>
      <c r="B420" s="344" t="inlineStr">
        <is>
          <t>XII - NOTARIOS: Const. o modif. fideicomisos</t>
        </is>
      </c>
      <c r="C420" s="345" t="n">
        <v>15</v>
      </c>
      <c r="D420" s="208" t="inlineStr">
        <is>
          <t>Área geográfica nacional de la operación</t>
        </is>
      </c>
      <c r="E420" s="208" t="inlineStr">
        <is>
          <t>Zona de alta incidencia delictiva, marginacion o frontera.</t>
        </is>
      </c>
      <c r="F420" s="208" t="inlineStr">
        <is>
          <t>Zona urbana ordinaria sin alertas particulares.</t>
        </is>
      </c>
      <c r="G420" s="208" t="inlineStr">
        <is>
          <t>Zona de bajo riesgo con actividad económica formal.</t>
        </is>
      </c>
    </row>
    <row r="421" ht="18.75" customHeight="1" s="173">
      <c r="A421" s="208">
        <f>B421&amp;"-"&amp;C421</f>
        <v/>
      </c>
      <c r="B421" s="344" t="inlineStr">
        <is>
          <t>XII - NOTARIOS: Const. o modif. fideicomisos</t>
        </is>
      </c>
      <c r="C421" s="345" t="n">
        <v>16</v>
      </c>
      <c r="D421" s="208" t="inlineStr">
        <is>
          <t>Vínculo con jurisdicciones sancionadas, en conflicto o de acción requerida por el GAFI</t>
        </is>
      </c>
      <c r="E421" s="208" t="inlineStr">
        <is>
          <t>Existe exposición a jurisdicciones sancionadas, en conflicto armado o de acción requerida del GAFI, por la vía de fideicomitentes, fiduciarias o fideicomisarios del extranjero.</t>
        </is>
      </c>
      <c r="F421" s="208" t="inlineStr">
        <is>
          <t>Vínculo con jurisdicciones bajo monitoreo intensificado del GAFI o con deficiencias señaladas en la ENR, sin estar sancionadas ni en conflicto.</t>
        </is>
      </c>
      <c r="G421" s="208" t="inlineStr">
        <is>
          <t>Sin vínculo con jurisdicciones sancionadas, en conflicto o listadas por el GAFI; la operación y sus partes se ubican en plazas sin señalamientos.</t>
        </is>
      </c>
    </row>
    <row r="422" ht="18.75" customHeight="1" s="173">
      <c r="A422" s="208">
        <f>B422&amp;"-"&amp;C422</f>
        <v/>
      </c>
      <c r="B422" s="344" t="inlineStr">
        <is>
          <t>XII - NOTARIOS: Const. o modif. fideicomisos</t>
        </is>
      </c>
      <c r="C422" s="345" t="n">
        <v>17</v>
      </c>
      <c r="D422" s="208" t="inlineStr">
        <is>
          <t>Congruencia entre el domicilio del Cliente y el lugar de la operación</t>
        </is>
      </c>
      <c r="E422" s="208" t="inlineStr">
        <is>
          <t>El domicilio del fideicomitente no guarda relación económica ni logística con el lugar donde se realiza la constitución o modificación del fideicomiso, y no existe explicación documentada del desplazamiento.</t>
        </is>
      </c>
      <c r="F422" s="208" t="inlineStr">
        <is>
          <t>Existe distancia relevante entre el domicilio del fideicomitente y el lugar de la operación, con explicación plausible pero no soportada en el expediente.</t>
        </is>
      </c>
      <c r="G422" s="208" t="inlineStr">
        <is>
          <t>El domicilio del fideicomitente corresponde a la plaza donde se realiza la constitución o modificación del fideicomiso, o el desplazamiento está justificado y documentado.</t>
        </is>
      </c>
    </row>
    <row r="423" ht="18.75" customHeight="1" s="173">
      <c r="A423" s="208">
        <f>B423&amp;"-"&amp;C423</f>
        <v/>
      </c>
      <c r="B423" s="344" t="inlineStr">
        <is>
          <t>XII - NOTARIOS: Const. o modif. fideicomisos</t>
        </is>
      </c>
      <c r="C423" s="345" t="n">
        <v>18</v>
      </c>
      <c r="D423" s="208" t="inlineStr">
        <is>
          <t>Instrumento monetario</t>
        </is>
      </c>
      <c r="E423" s="208" t="inlineStr">
        <is>
          <t>Pago o aportacion en efectivo, instrumentos al portador o criptoactivos.</t>
        </is>
      </c>
      <c r="F423" s="208" t="inlineStr">
        <is>
          <t>Pago mediante cheque o transferencia con trazabilidad parcial.</t>
        </is>
      </c>
      <c r="G423" s="208" t="inlineStr">
        <is>
          <t>Pago mediante transferencia bancaria nominativa trazable.</t>
        </is>
      </c>
    </row>
    <row r="424" ht="18.75" customHeight="1" s="173">
      <c r="A424" s="208">
        <f>B424&amp;"-"&amp;C424</f>
        <v/>
      </c>
      <c r="B424" s="344" t="inlineStr">
        <is>
          <t>XII - NOTARIOS: Const. o modif. fideicomisos</t>
        </is>
      </c>
      <c r="C424" s="345" t="n">
        <v>19</v>
      </c>
      <c r="D424" s="208" t="inlineStr">
        <is>
          <t>Tipo de moneda</t>
        </is>
      </c>
      <c r="E424" s="208" t="inlineStr">
        <is>
          <t>Moneda extranjera distinta al USD o criptomonedas.</t>
        </is>
      </c>
      <c r="F424" s="208" t="inlineStr">
        <is>
          <t>Operación en dolares estadounidenses (USD).</t>
        </is>
      </c>
      <c r="G424" s="208" t="inlineStr">
        <is>
          <t>Operación en pesos mexicanos.</t>
        </is>
      </c>
    </row>
    <row r="425" ht="18.75" customHeight="1" s="173">
      <c r="A425" s="208">
        <f>B425&amp;"-"&amp;C425</f>
        <v/>
      </c>
      <c r="B425" s="344" t="inlineStr">
        <is>
          <t>XII - NOTARIOS: Const. o modif. fideicomisos</t>
        </is>
      </c>
      <c r="C425" s="345" t="n">
        <v>20</v>
      </c>
      <c r="D425" s="208" t="inlineStr">
        <is>
          <t>Monto frente a umbrales LFPIORPI</t>
        </is>
      </c>
      <c r="E425" s="208" t="inlineStr">
        <is>
          <t>Patrimonio que supera el umbral de aviso (4,000 UMA).</t>
        </is>
      </c>
      <c r="F425" s="208" t="inlineStr">
        <is>
          <t>Patrimonio cercano al umbral de aviso (4,000 UMA).</t>
        </is>
      </c>
      <c r="G425" s="208" t="inlineStr">
        <is>
          <t>Patrimonio muy por debajo del umbral (4,000 UMA).</t>
        </is>
      </c>
    </row>
    <row r="426" ht="18.75" customHeight="1" s="173">
      <c r="A426" s="208">
        <f>B426&amp;"-"&amp;C426</f>
        <v/>
      </c>
      <c r="B426" s="344" t="inlineStr">
        <is>
          <t>XII - NOTARIOS: Const. o modif. fideicomisos</t>
        </is>
      </c>
      <c r="C426" s="345" t="n">
        <v>21</v>
      </c>
      <c r="D426" s="208" t="inlineStr">
        <is>
          <t>Frecuencia (fraccionamiento)</t>
        </is>
      </c>
      <c r="E426" s="208" t="inlineStr">
        <is>
          <t>Constitución o modificación reiterada de fideicomisos para fragmentar.</t>
        </is>
      </c>
      <c r="F426" s="208" t="inlineStr">
        <is>
          <t>Modificaciones fiduciarias ocasionales.</t>
        </is>
      </c>
      <c r="G426" s="208" t="inlineStr">
        <is>
          <t>Acto fiduciario único, congruente con el perfil.</t>
        </is>
      </c>
    </row>
    <row r="427" ht="18.75" customHeight="1" s="173">
      <c r="A427" s="208">
        <f>B427&amp;"-"&amp;C427</f>
        <v/>
      </c>
      <c r="B427" s="344" t="inlineStr">
        <is>
          <t>XII - NOTARIOS: Const. o modif. fideicomisos</t>
        </is>
      </c>
      <c r="C427" s="345" t="n">
        <v>22</v>
      </c>
      <c r="D427" s="208" t="inlineStr">
        <is>
          <t>Canal (presencial / no presencial / terceros)</t>
        </is>
      </c>
      <c r="E427" s="208" t="inlineStr">
        <is>
          <t>Operación no presencial o a traves de terceros sin contacto directo.</t>
        </is>
      </c>
      <c r="F427" s="208" t="inlineStr">
        <is>
          <t>Contacto mixto o mediante representante identificado.</t>
        </is>
      </c>
      <c r="G427" s="208" t="inlineStr">
        <is>
          <t>Cliente atendido de forma presencial y directa.</t>
        </is>
      </c>
    </row>
    <row r="428" ht="18.75" customHeight="1" s="173">
      <c r="A428" s="208">
        <f>B428&amp;"-"&amp;C428</f>
        <v/>
      </c>
      <c r="B428" s="344" t="inlineStr">
        <is>
          <t>XII - NOTARIOS: Const. o modif. fideicomisos</t>
        </is>
      </c>
      <c r="C428" s="345" t="n">
        <v>23</v>
      </c>
      <c r="D428" s="208" t="inlineStr">
        <is>
          <t>Origen de los recursos</t>
        </is>
      </c>
      <c r="E428" s="208" t="inlineStr">
        <is>
          <t>Patrimonio fideicomitido de origen no acreditable o en efectivo.</t>
        </is>
      </c>
      <c r="F428" s="208" t="inlineStr">
        <is>
          <t>Origen del patrimonio con soporte parcial.</t>
        </is>
      </c>
      <c r="G428" s="208" t="inlineStr">
        <is>
          <t>Patrimonio de origen lícito documentado.</t>
        </is>
      </c>
    </row>
    <row r="429" ht="18.75" customHeight="1" s="173">
      <c r="A429" s="208">
        <f>B429&amp;"-"&amp;C429</f>
        <v/>
      </c>
      <c r="B429" s="344" t="inlineStr">
        <is>
          <t>XII - NOTARIOS: Const. o modif. fideicomisos</t>
        </is>
      </c>
      <c r="C429" s="345" t="n">
        <v>24</v>
      </c>
      <c r="D429" s="208" t="inlineStr">
        <is>
          <t>Destino de los recursos</t>
        </is>
      </c>
      <c r="E429" s="208" t="inlineStr">
        <is>
          <t>Fines del fideicomiso opacos, a terceros o al exterior sin justificación.</t>
        </is>
      </c>
      <c r="F429" s="208" t="inlineStr">
        <is>
          <t>Fines fiduciarios parcialmente justificados.</t>
        </is>
      </c>
      <c r="G429" s="208" t="inlineStr">
        <is>
          <t>Fines del fideicomiso claros y documentados.</t>
        </is>
      </c>
    </row>
    <row r="430" ht="18.75" customHeight="1" s="173">
      <c r="A430" s="208">
        <f>B430&amp;"-"&amp;C430</f>
        <v/>
      </c>
      <c r="B430" s="344" t="inlineStr">
        <is>
          <t>XII - NOTARIOS: Const. o modif. fideicomisos</t>
        </is>
      </c>
      <c r="C430" s="345" t="n">
        <v>25</v>
      </c>
      <c r="D430" s="208" t="inlineStr">
        <is>
          <t>Canales e instrumentos idóneos para el financiamiento al terrorismo</t>
        </is>
      </c>
      <c r="E430" s="208" t="inlineStr">
        <is>
          <t>La operación se realiza mediante constitución a distancia con fideicomisarios no identificados, es decir, medios que permiten mover valor en montos pequeños sin identificar al destinatario final.</t>
        </is>
      </c>
      <c r="F430" s="208" t="inlineStr">
        <is>
          <t>Canal mixto o con verificación parcial: hay registro de la operación pero la trazabilidad del destinatario final es incompleta.</t>
        </is>
      </c>
      <c r="G430" s="208" t="inlineStr">
        <is>
          <t>Constitución con fideicomitente y fideicomisarios identificados y patrimonio documentado, con trazabilidad completa del origen y del destinatario.</t>
        </is>
      </c>
    </row>
    <row r="431" ht="18.75" customHeight="1" s="173">
      <c r="A431" s="208">
        <f>B431&amp;"-"&amp;C431</f>
        <v/>
      </c>
      <c r="B431" s="344" t="inlineStr">
        <is>
          <t>XII - NOTARIOS: Mutuo con no financiero</t>
        </is>
      </c>
      <c r="C431" s="345" t="n">
        <v>1</v>
      </c>
      <c r="D431" s="208" t="inlineStr">
        <is>
          <t>Valor del producto o servicio</t>
        </is>
      </c>
      <c r="E431" s="208" t="inlineStr">
        <is>
          <t>Mutuo de gran monto entre particulares.</t>
        </is>
      </c>
      <c r="F431" s="208" t="inlineStr">
        <is>
          <t>Mutuo de valor intermedio.</t>
        </is>
      </c>
      <c r="G431" s="208" t="inlineStr">
        <is>
          <t>Mutuo de bajo monto, formalizado y documentado.</t>
        </is>
      </c>
    </row>
    <row r="432" ht="18.75" customHeight="1" s="173">
      <c r="A432" s="208">
        <f>B432&amp;"-"&amp;C432</f>
        <v/>
      </c>
      <c r="B432" s="344" t="inlineStr">
        <is>
          <t>XII - NOTARIOS: Mutuo con no financiero</t>
        </is>
      </c>
      <c r="C432" s="345" t="n">
        <v>2</v>
      </c>
      <c r="D432" s="208" t="inlineStr">
        <is>
          <t>Liquidez / convertibilidad</t>
        </is>
      </c>
      <c r="E432" s="208" t="inlineStr">
        <is>
          <t>Préstamo que permite mover o disponer de recursos con rapidez.</t>
        </is>
      </c>
      <c r="F432" s="208" t="inlineStr">
        <is>
          <t>Mutuo con disposición condicionada.</t>
        </is>
      </c>
      <c r="G432" s="208" t="inlineStr">
        <is>
          <t>Mutuo de bajo monto con calendario definido.</t>
        </is>
      </c>
    </row>
    <row r="433" ht="18.75" customHeight="1" s="173">
      <c r="A433" s="208">
        <f>B433&amp;"-"&amp;C433</f>
        <v/>
      </c>
      <c r="B433" s="344" t="inlineStr">
        <is>
          <t>XII - NOTARIOS: Mutuo con no financiero</t>
        </is>
      </c>
      <c r="C433" s="345" t="n">
        <v>3</v>
      </c>
      <c r="D433" s="208" t="inlineStr">
        <is>
          <t>Anonimato / identificación del beneficiario</t>
        </is>
      </c>
      <c r="E433" s="208" t="inlineStr">
        <is>
          <t>Mutuo que encubre al verdadero aportante o beneficiario de fondos.</t>
        </is>
      </c>
      <c r="F433" s="208" t="inlineStr">
        <is>
          <t>Partes identificables con vínculo poco claro.</t>
        </is>
      </c>
      <c r="G433" s="208" t="inlineStr">
        <is>
          <t>Mutuante y mutuatario plenamente identificados.</t>
        </is>
      </c>
    </row>
    <row r="434" ht="18.75" customHeight="1" s="173">
      <c r="A434" s="208">
        <f>B434&amp;"-"&amp;C434</f>
        <v/>
      </c>
      <c r="B434" s="344" t="inlineStr">
        <is>
          <t>XII - NOTARIOS: Mutuo con no financiero</t>
        </is>
      </c>
      <c r="C434" s="345" t="n">
        <v>4</v>
      </c>
      <c r="D434" s="208" t="inlineStr">
        <is>
          <t>Transferencia u ocultamiento de valor</t>
        </is>
      </c>
      <c r="E434" s="208" t="inlineStr">
        <is>
          <t>Contrato usado para simular y circular recursos ilícitos.</t>
        </is>
      </c>
      <c r="F434" s="208" t="inlineStr">
        <is>
          <t>Flujo del mutuo con trazabilidad parcial.</t>
        </is>
      </c>
      <c r="G434" s="208" t="inlineStr">
        <is>
          <t>Flujo del mutuo plenamente trazable.</t>
        </is>
      </c>
    </row>
    <row r="435" ht="18.75" customHeight="1" s="173">
      <c r="A435" s="208">
        <f>B435&amp;"-"&amp;C435</f>
        <v/>
      </c>
      <c r="B435" s="344" t="inlineStr">
        <is>
          <t>XII - NOTARIOS: Mutuo con no financiero</t>
        </is>
      </c>
      <c r="C435" s="345" t="n">
        <v>5</v>
      </c>
      <c r="D435" s="208" t="inlineStr">
        <is>
          <t>Exposición del acto u operación al financiamiento al terrorismo</t>
        </is>
      </c>
      <c r="E435" s="208" t="inlineStr">
        <is>
          <t>Mutuos con mutuante o mutuatario vinculado con personas u organizaciones señaladas en listas de sanciones.</t>
        </is>
      </c>
      <c r="F435" s="208" t="inlineStr">
        <is>
          <t>Mutuos entre partes sin relación acreditada o con recursos del extranjero, sin coincidencias en listas.</t>
        </is>
      </c>
      <c r="G435" s="208" t="inlineStr">
        <is>
          <t>Mutuo entre partes identificadas, con capacidad económica acreditada y entrega bancarizada.</t>
        </is>
      </c>
    </row>
    <row r="436" ht="18.75" customHeight="1" s="173">
      <c r="A436" s="208">
        <f>B436&amp;"-"&amp;C436</f>
        <v/>
      </c>
      <c r="B436" s="344" t="inlineStr">
        <is>
          <t>XII - NOTARIOS: Mutuo con no financiero</t>
        </is>
      </c>
      <c r="C436" s="345" t="n">
        <v>6</v>
      </c>
      <c r="D436" s="208" t="inlineStr">
        <is>
          <t>Tipo de persona y estructura</t>
        </is>
      </c>
      <c r="E436" s="208" t="inlineStr">
        <is>
          <t>Mutuante persona moral extranjera o estructura opaca.</t>
        </is>
      </c>
      <c r="F436" s="208" t="inlineStr">
        <is>
          <t>Parte persona moral nacional estándar.</t>
        </is>
      </c>
      <c r="G436" s="208" t="inlineStr">
        <is>
          <t>Partes persona física identificadas.</t>
        </is>
      </c>
    </row>
    <row r="437" ht="18.75" customHeight="1" s="173">
      <c r="A437" s="208">
        <f>B437&amp;"-"&amp;C437</f>
        <v/>
      </c>
      <c r="B437" s="344" t="inlineStr">
        <is>
          <t>XII - NOTARIOS: Mutuo con no financiero</t>
        </is>
      </c>
      <c r="C437" s="345" t="n">
        <v>7</v>
      </c>
      <c r="D437" s="208" t="inlineStr">
        <is>
          <t>Edad / fecha de constitución</t>
        </is>
      </c>
      <c r="E437" s="208" t="inlineStr">
        <is>
          <t>Mutuante o mutuatario de perfil atípico o entidad recién creada.</t>
        </is>
      </c>
      <c r="F437" s="208" t="inlineStr">
        <is>
          <t>Partes con antigüedad intermedia.</t>
        </is>
      </c>
      <c r="G437" s="208" t="inlineStr">
        <is>
          <t>Partes consolidadas con historial verificable.</t>
        </is>
      </c>
    </row>
    <row r="438" ht="18.75" customHeight="1" s="173">
      <c r="A438" s="208">
        <f>B438&amp;"-"&amp;C438</f>
        <v/>
      </c>
      <c r="B438" s="344" t="inlineStr">
        <is>
          <t>XII - NOTARIOS: Mutuo con no financiero</t>
        </is>
      </c>
      <c r="C438" s="345" t="n">
        <v>8</v>
      </c>
      <c r="D438" s="208" t="inlineStr">
        <is>
          <t>Actividad económica o giro (y fuente de ingresos)</t>
        </is>
      </c>
      <c r="E438" s="208" t="inlineStr">
        <is>
          <t>Prestamista con giro informal, en efectivo o sin capacidad congruente.</t>
        </is>
      </c>
      <c r="F438" s="208" t="inlineStr">
        <is>
          <t>Giro formal de riesgo medio con ingresos documentables.</t>
        </is>
      </c>
      <c r="G438" s="208" t="inlineStr">
        <is>
          <t>Giro formal de bajo riesgo, capacidad económica congruente.</t>
        </is>
      </c>
    </row>
    <row r="439" ht="18.75" customHeight="1" s="173">
      <c r="A439" s="208">
        <f>B439&amp;"-"&amp;C439</f>
        <v/>
      </c>
      <c r="B439" s="344" t="inlineStr">
        <is>
          <t>XII - NOTARIOS: Mutuo con no financiero</t>
        </is>
      </c>
      <c r="C439" s="345" t="n">
        <v>9</v>
      </c>
      <c r="D439" s="208" t="inlineStr">
        <is>
          <t>Nacionalidad del cliente</t>
        </is>
      </c>
      <c r="E439" s="208" t="inlineStr">
        <is>
          <t>Cliente de país en listas GAFI, sancionado o de régimen fiscal preferente.</t>
        </is>
      </c>
      <c r="F439" s="208" t="inlineStr">
        <is>
          <t>Nacionalidad extranjera de país sin alertas relevantes.</t>
        </is>
      </c>
      <c r="G439" s="208" t="inlineStr">
        <is>
          <t>Cliente mexicano o de país cooperante sin observaciones.</t>
        </is>
      </c>
    </row>
    <row r="440" ht="18.75" customHeight="1" s="173">
      <c r="A440" s="208">
        <f>B440&amp;"-"&amp;C440</f>
        <v/>
      </c>
      <c r="B440" s="344" t="inlineStr">
        <is>
          <t>XII - NOTARIOS: Mutuo con no financiero</t>
        </is>
      </c>
      <c r="C440" s="345" t="n">
        <v>10</v>
      </c>
      <c r="D440" s="208" t="inlineStr">
        <is>
          <t>País (y en su caso, estado) de residencia del cliente</t>
        </is>
      </c>
      <c r="E440" s="208" t="inlineStr">
        <is>
          <t>Reside en jurisdicción de alto riesgo o con domicilio no verificable.</t>
        </is>
      </c>
      <c r="F440" s="208" t="inlineStr">
        <is>
          <t>Reside en el extranjero en país cooperante, con domicilio comprobable.</t>
        </is>
      </c>
      <c r="G440" s="208" t="inlineStr">
        <is>
          <t>Residencia nacional verificada y estable.</t>
        </is>
      </c>
    </row>
    <row r="441" ht="18.75" customHeight="1" s="173">
      <c r="A441" s="208">
        <f>B441&amp;"-"&amp;C441</f>
        <v/>
      </c>
      <c r="B441" s="344" t="inlineStr">
        <is>
          <t>XII - NOTARIOS: Mutuo con no financiero</t>
        </is>
      </c>
      <c r="C441" s="345" t="n">
        <v>11</v>
      </c>
      <c r="D441" s="208" t="inlineStr">
        <is>
          <t>Condición PEP</t>
        </is>
      </c>
      <c r="E441" s="208" t="inlineStr">
        <is>
          <t>PEP nacional o extranjera, o allegado que actua por su cuenta.</t>
        </is>
      </c>
      <c r="F441" s="208" t="inlineStr">
        <is>
          <t>Vinculo indirecto con PEP o PEP de perfil menor, monitoreado.</t>
        </is>
      </c>
      <c r="G441" s="208" t="inlineStr">
        <is>
          <t>Sin condición PEP ni vínculos con funcionarios.</t>
        </is>
      </c>
    </row>
    <row r="442" ht="18.75" customHeight="1" s="173">
      <c r="A442" s="208">
        <f>B442&amp;"-"&amp;C442</f>
        <v/>
      </c>
      <c r="B442" s="344" t="inlineStr">
        <is>
          <t>XII - NOTARIOS: Mutuo con no financiero</t>
        </is>
      </c>
      <c r="C442" s="345" t="n">
        <v>12</v>
      </c>
      <c r="D442" s="208" t="inlineStr">
        <is>
          <t>Coincidencia en listas de personas bloqueadas o de sanciones</t>
        </is>
      </c>
      <c r="E442" s="208" t="inlineStr">
        <is>
          <t>El mutuante o mutuatario, su beneficiario controlador, apoderado o contraparte aparece en la Lista de Personas Bloqueadas, en listas de sanciones o en listas de organizaciones terroristas, o presenta una coincidencia fuerte que no ha sido descartada.</t>
        </is>
      </c>
      <c r="F442" s="208" t="inlineStr">
        <is>
          <t>Se detecta coincidencia parcial u homonimia respecto del mutuante o mutuatario o de alguna persona relacionada, y el descarte se encuentra en proceso con constancia documental.</t>
        </is>
      </c>
      <c r="G442" s="208" t="inlineStr">
        <is>
          <t>Búsqueda realizada y documentada sobre el mutuante o mutuatario y sus personas relacionadas, sin coincidencias.</t>
        </is>
      </c>
    </row>
    <row r="443" ht="18.75" customHeight="1" s="173">
      <c r="A443" s="208">
        <f>B443&amp;"-"&amp;C443</f>
        <v/>
      </c>
      <c r="B443" s="344" t="inlineStr">
        <is>
          <t>XII - NOTARIOS: Mutuo con no financiero</t>
        </is>
      </c>
      <c r="C443" s="345" t="n">
        <v>13</v>
      </c>
      <c r="D443" s="208" t="inlineStr">
        <is>
          <t>Identificación y complejidad del Beneficiario Controlador</t>
        </is>
      </c>
      <c r="E443" s="208" t="inlineStr">
        <is>
          <t>No se logra identificar al beneficiario controlador del mutuante o mutuatario, o la estructura interpone dos o más niveles societarios, fiduciarios o vehículos constituidos en el extranjero para llegar al 25 por ciento.</t>
        </is>
      </c>
      <c r="F443" s="208" t="inlineStr">
        <is>
          <t>Beneficiario controlador identificado, pero a través de una estructura de más de un nivel o con participación indirecta que exigió reconstruir la cadena de control con documentos.</t>
        </is>
      </c>
      <c r="G443" s="208" t="inlineStr">
        <is>
          <t>Beneficiario controlador identificado de forma directa y documentada: persona física que posee al menos el 25 por ciento o que ejerce el control por otra vía acreditada.</t>
        </is>
      </c>
    </row>
    <row r="444" ht="18.75" customHeight="1" s="173">
      <c r="A444" s="208">
        <f>B444&amp;"-"&amp;C444</f>
        <v/>
      </c>
      <c r="B444" s="344" t="inlineStr">
        <is>
          <t>XII - NOTARIOS: Mutuo con no financiero</t>
        </is>
      </c>
      <c r="C444" s="345" t="n">
        <v>14</v>
      </c>
      <c r="D444" s="208" t="inlineStr">
        <is>
          <t>País / jurisdicción donde se realiza la operación</t>
        </is>
      </c>
      <c r="E444" s="208" t="inlineStr">
        <is>
          <t>Operación con o desde jurisdicción de alto riesgo o no cooperante.</t>
        </is>
      </c>
      <c r="F444" s="208" t="inlineStr">
        <is>
          <t>Operación con componente internacional en país cooperante.</t>
        </is>
      </c>
      <c r="G444" s="208" t="inlineStr">
        <is>
          <t>Operación integramente nacional.</t>
        </is>
      </c>
    </row>
    <row r="445" ht="18.75" customHeight="1" s="173">
      <c r="A445" s="208">
        <f>B445&amp;"-"&amp;C445</f>
        <v/>
      </c>
      <c r="B445" s="344" t="inlineStr">
        <is>
          <t>XII - NOTARIOS: Mutuo con no financiero</t>
        </is>
      </c>
      <c r="C445" s="345" t="n">
        <v>15</v>
      </c>
      <c r="D445" s="208" t="inlineStr">
        <is>
          <t>Área geográfica nacional de la operación</t>
        </is>
      </c>
      <c r="E445" s="208" t="inlineStr">
        <is>
          <t>Zona de alta incidencia delictiva, marginacion o frontera.</t>
        </is>
      </c>
      <c r="F445" s="208" t="inlineStr">
        <is>
          <t>Zona urbana ordinaria sin alertas particulares.</t>
        </is>
      </c>
      <c r="G445" s="208" t="inlineStr">
        <is>
          <t>Zona de bajo riesgo con actividad económica formal.</t>
        </is>
      </c>
    </row>
    <row r="446" ht="18.75" customHeight="1" s="173">
      <c r="A446" s="208">
        <f>B446&amp;"-"&amp;C446</f>
        <v/>
      </c>
      <c r="B446" s="344" t="inlineStr">
        <is>
          <t>XII - NOTARIOS: Mutuo con no financiero</t>
        </is>
      </c>
      <c r="C446" s="345" t="n">
        <v>16</v>
      </c>
      <c r="D446" s="208" t="inlineStr">
        <is>
          <t>Vínculo con jurisdicciones sancionadas, en conflicto o de acción requerida por el GAFI</t>
        </is>
      </c>
      <c r="E446" s="208" t="inlineStr">
        <is>
          <t>Existe exposición a jurisdicciones sancionadas, en conflicto armado o de acción requerida del GAFI, por la vía de mutuante o recursos provenientes del extranjero.</t>
        </is>
      </c>
      <c r="F446" s="208" t="inlineStr">
        <is>
          <t>Vínculo con jurisdicciones bajo monitoreo intensificado del GAFI o con deficiencias señaladas en la ENR, sin estar sancionadas ni en conflicto.</t>
        </is>
      </c>
      <c r="G446" s="208" t="inlineStr">
        <is>
          <t>Sin vínculo con jurisdicciones sancionadas, en conflicto o listadas por el GAFI; la operación y sus partes se ubican en plazas sin señalamientos.</t>
        </is>
      </c>
    </row>
    <row r="447" ht="18.75" customHeight="1" s="173">
      <c r="A447" s="208">
        <f>B447&amp;"-"&amp;C447</f>
        <v/>
      </c>
      <c r="B447" s="344" t="inlineStr">
        <is>
          <t>XII - NOTARIOS: Mutuo con no financiero</t>
        </is>
      </c>
      <c r="C447" s="345" t="n">
        <v>17</v>
      </c>
      <c r="D447" s="208" t="inlineStr">
        <is>
          <t>Congruencia entre el domicilio del Cliente y el lugar de la operación</t>
        </is>
      </c>
      <c r="E447" s="208" t="inlineStr">
        <is>
          <t>El domicilio del mutuante o mutuatario no guarda relación económica ni logística con el lugar donde se realiza el otorgamiento del mutuo, y no existe explicación documentada del desplazamiento.</t>
        </is>
      </c>
      <c r="F447" s="208" t="inlineStr">
        <is>
          <t>Existe distancia relevante entre el domicilio del mutuante o mutuatario y el lugar de la operación, con explicación plausible pero no soportada en el expediente.</t>
        </is>
      </c>
      <c r="G447" s="208" t="inlineStr">
        <is>
          <t>El domicilio del mutuante o mutuatario corresponde a la plaza donde se realiza el otorgamiento del mutuo, o el desplazamiento está justificado y documentado.</t>
        </is>
      </c>
    </row>
    <row r="448" ht="18.75" customHeight="1" s="173">
      <c r="A448" s="208">
        <f>B448&amp;"-"&amp;C448</f>
        <v/>
      </c>
      <c r="B448" s="344" t="inlineStr">
        <is>
          <t>XII - NOTARIOS: Mutuo con no financiero</t>
        </is>
      </c>
      <c r="C448" s="345" t="n">
        <v>18</v>
      </c>
      <c r="D448" s="208" t="inlineStr">
        <is>
          <t>Instrumento monetario</t>
        </is>
      </c>
      <c r="E448" s="208" t="inlineStr">
        <is>
          <t>Entrega del préstamo en efectivo o instrumentos al portador.</t>
        </is>
      </c>
      <c r="F448" s="208" t="inlineStr">
        <is>
          <t>Entrega mediante cheque o transferencia con trazabilidad parcial.</t>
        </is>
      </c>
      <c r="G448" s="208" t="inlineStr">
        <is>
          <t>Entrega mediante transferencia bancaria nominativa trazable.</t>
        </is>
      </c>
    </row>
    <row r="449" ht="18.75" customHeight="1" s="173">
      <c r="A449" s="208">
        <f>B449&amp;"-"&amp;C449</f>
        <v/>
      </c>
      <c r="B449" s="344" t="inlineStr">
        <is>
          <t>XII - NOTARIOS: Mutuo con no financiero</t>
        </is>
      </c>
      <c r="C449" s="345" t="n">
        <v>19</v>
      </c>
      <c r="D449" s="208" t="inlineStr">
        <is>
          <t>Tipo de moneda</t>
        </is>
      </c>
      <c r="E449" s="208" t="inlineStr">
        <is>
          <t>Moneda extranjera distinta al USD o criptomonedas.</t>
        </is>
      </c>
      <c r="F449" s="208" t="inlineStr">
        <is>
          <t>Operación en dolares estadounidenses (USD).</t>
        </is>
      </c>
      <c r="G449" s="208" t="inlineStr">
        <is>
          <t>Operación en pesos mexicanos.</t>
        </is>
      </c>
    </row>
    <row r="450" ht="18.75" customHeight="1" s="173">
      <c r="A450" s="208">
        <f>B450&amp;"-"&amp;C450</f>
        <v/>
      </c>
      <c r="B450" s="344" t="inlineStr">
        <is>
          <t>XII - NOTARIOS: Mutuo con no financiero</t>
        </is>
      </c>
      <c r="C450" s="345" t="n">
        <v>20</v>
      </c>
      <c r="D450" s="208" t="inlineStr">
        <is>
          <t>Monto frente a umbrales LFPIORPI</t>
        </is>
      </c>
      <c r="E450" s="208" t="inlineStr">
        <is>
          <t>Aviso obligatorio siempre; mutuo de monto elevado.</t>
        </is>
      </c>
      <c r="F450" s="208" t="inlineStr">
        <is>
          <t>Aviso obligatorio siempre; mutuo de monto intermedio.</t>
        </is>
      </c>
      <c r="G450" s="208" t="inlineStr">
        <is>
          <t>Aviso obligatorio siempre; mutuo de monto reducido.</t>
        </is>
      </c>
    </row>
    <row r="451" ht="18.75" customHeight="1" s="173">
      <c r="A451" s="208">
        <f>B451&amp;"-"&amp;C451</f>
        <v/>
      </c>
      <c r="B451" s="344" t="inlineStr">
        <is>
          <t>XII - NOTARIOS: Mutuo con no financiero</t>
        </is>
      </c>
      <c r="C451" s="345" t="n">
        <v>21</v>
      </c>
      <c r="D451" s="208" t="inlineStr">
        <is>
          <t>Frecuencia (fraccionamiento)</t>
        </is>
      </c>
      <c r="E451" s="208" t="inlineStr">
        <is>
          <t>Mutuos frecuentes o fraccionados entre las mismas partes.</t>
        </is>
      </c>
      <c r="F451" s="208" t="inlineStr">
        <is>
          <t>Mutuos ocasionales sin patron evidente.</t>
        </is>
      </c>
      <c r="G451" s="208" t="inlineStr">
        <is>
          <t>Mutuo único, congruente con el perfil.</t>
        </is>
      </c>
    </row>
    <row r="452" ht="18.75" customHeight="1" s="173">
      <c r="A452" s="208">
        <f>B452&amp;"-"&amp;C452</f>
        <v/>
      </c>
      <c r="B452" s="344" t="inlineStr">
        <is>
          <t>XII - NOTARIOS: Mutuo con no financiero</t>
        </is>
      </c>
      <c r="C452" s="345" t="n">
        <v>22</v>
      </c>
      <c r="D452" s="208" t="inlineStr">
        <is>
          <t>Canal (presencial / no presencial / terceros)</t>
        </is>
      </c>
      <c r="E452" s="208" t="inlineStr">
        <is>
          <t>Operación no presencial o a traves de terceros sin contacto directo.</t>
        </is>
      </c>
      <c r="F452" s="208" t="inlineStr">
        <is>
          <t>Contacto mixto o mediante representante identificado.</t>
        </is>
      </c>
      <c r="G452" s="208" t="inlineStr">
        <is>
          <t>Cliente atendido de forma presencial y directa.</t>
        </is>
      </c>
    </row>
    <row r="453" ht="18.75" customHeight="1" s="173">
      <c r="A453" s="208">
        <f>B453&amp;"-"&amp;C453</f>
        <v/>
      </c>
      <c r="B453" s="344" t="inlineStr">
        <is>
          <t>XII - NOTARIOS: Mutuo con no financiero</t>
        </is>
      </c>
      <c r="C453" s="345" t="n">
        <v>23</v>
      </c>
      <c r="D453" s="208" t="inlineStr">
        <is>
          <t>Origen de los recursos</t>
        </is>
      </c>
      <c r="E453" s="208" t="inlineStr">
        <is>
          <t>Recursos prestados de origen no acreditable, en efectivo o informal.</t>
        </is>
      </c>
      <c r="F453" s="208" t="inlineStr">
        <is>
          <t>Origen de los fondos con soporte parcial.</t>
        </is>
      </c>
      <c r="G453" s="208" t="inlineStr">
        <is>
          <t>Fondos de origen lícito documentado.</t>
        </is>
      </c>
    </row>
    <row r="454" ht="18.75" customHeight="1" s="173">
      <c r="A454" s="208">
        <f>B454&amp;"-"&amp;C454</f>
        <v/>
      </c>
      <c r="B454" s="344" t="inlineStr">
        <is>
          <t>XII - NOTARIOS: Mutuo con no financiero</t>
        </is>
      </c>
      <c r="C454" s="345" t="n">
        <v>24</v>
      </c>
      <c r="D454" s="208" t="inlineStr">
        <is>
          <t>Destino de los recursos</t>
        </is>
      </c>
      <c r="E454" s="208" t="inlineStr">
        <is>
          <t>Destino del préstamo opaco, a terceros o al exterior sin justificación.</t>
        </is>
      </c>
      <c r="F454" s="208" t="inlineStr">
        <is>
          <t>Destino del préstamo parcialmente justificado.</t>
        </is>
      </c>
      <c r="G454" s="208" t="inlineStr">
        <is>
          <t>Destino del préstamo claro y documentado.</t>
        </is>
      </c>
    </row>
    <row r="455" ht="18.75" customHeight="1" s="173">
      <c r="A455" s="208">
        <f>B455&amp;"-"&amp;C455</f>
        <v/>
      </c>
      <c r="B455" s="344" t="inlineStr">
        <is>
          <t>XII - NOTARIOS: Mutuo con no financiero</t>
        </is>
      </c>
      <c r="C455" s="345" t="n">
        <v>25</v>
      </c>
      <c r="D455" s="208" t="inlineStr">
        <is>
          <t>Canales e instrumentos idóneos para el financiamiento al terrorismo</t>
        </is>
      </c>
      <c r="E455" s="208" t="inlineStr">
        <is>
          <t>La operación se realiza mediante formalización a distancia con entrega en efectivo, es decir, medios que permiten mover valor en montos pequeños sin identificar al destinatario final.</t>
        </is>
      </c>
      <c r="F455" s="208" t="inlineStr">
        <is>
          <t>Canal mixto o con verificación parcial: hay registro de la operación pero la trazabilidad del destinatario final es incompleta.</t>
        </is>
      </c>
      <c r="G455" s="208" t="inlineStr">
        <is>
          <t>Formalización con ambas partes identificadas y entrega bancarizada, con trazabilidad completa del origen y del destinatario.</t>
        </is>
      </c>
    </row>
    <row r="456" ht="18.75" customHeight="1" s="173">
      <c r="A456" s="208">
        <f>B456&amp;"-"&amp;C456</f>
        <v/>
      </c>
      <c r="B456" s="344" t="inlineStr">
        <is>
          <t>XII - CORREDORES: Avalúos</t>
        </is>
      </c>
      <c r="C456" s="345" t="n">
        <v>1</v>
      </c>
      <c r="D456" s="208" t="inlineStr">
        <is>
          <t>Valor del producto o servicio</t>
        </is>
      </c>
      <c r="E456" s="208" t="inlineStr">
        <is>
          <t>Avalúo de bienes de alto valor.</t>
        </is>
      </c>
      <c r="F456" s="208" t="inlineStr">
        <is>
          <t>Avalúo de bienes de valor intermedio.</t>
        </is>
      </c>
      <c r="G456" s="208" t="inlineStr">
        <is>
          <t>Avalúo de bienes de bajo valor o vivienda social.</t>
        </is>
      </c>
    </row>
    <row r="457" ht="18.75" customHeight="1" s="173">
      <c r="A457" s="208">
        <f>B457&amp;"-"&amp;C457</f>
        <v/>
      </c>
      <c r="B457" s="344" t="inlineStr">
        <is>
          <t>XII - CORREDORES: Avalúos</t>
        </is>
      </c>
      <c r="C457" s="345" t="n">
        <v>2</v>
      </c>
      <c r="D457" s="208" t="inlineStr">
        <is>
          <t>Liquidez / convertibilidad</t>
        </is>
      </c>
      <c r="E457" s="208" t="inlineStr">
        <is>
          <t>Avalúo que respalda operaciones de rapida conversión del bien.</t>
        </is>
      </c>
      <c r="F457" s="208" t="inlineStr">
        <is>
          <t>Avalúo asociado a bienes de convertibilidad media.</t>
        </is>
      </c>
      <c r="G457" s="208" t="inlineStr">
        <is>
          <t>Avalúo de bien de baja convertibilidad.</t>
        </is>
      </c>
    </row>
    <row r="458" ht="18.75" customHeight="1" s="173">
      <c r="A458" s="208">
        <f>B458&amp;"-"&amp;C458</f>
        <v/>
      </c>
      <c r="B458" s="344" t="inlineStr">
        <is>
          <t>XII - CORREDORES: Avalúos</t>
        </is>
      </c>
      <c r="C458" s="345" t="n">
        <v>3</v>
      </c>
      <c r="D458" s="208" t="inlineStr">
        <is>
          <t>Anonimato / identificación del beneficiario</t>
        </is>
      </c>
      <c r="E458" s="208" t="inlineStr">
        <is>
          <t>Avalúo solicitado por interpósita persona que oculta al beneficiario.</t>
        </is>
      </c>
      <c r="F458" s="208" t="inlineStr">
        <is>
          <t>Solicitante identificable con vínculo poco claro con el bien.</t>
        </is>
      </c>
      <c r="G458" s="208" t="inlineStr">
        <is>
          <t>Solicitante y titular del bien plenamente identificados.</t>
        </is>
      </c>
    </row>
    <row r="459" ht="18.75" customHeight="1" s="173">
      <c r="A459" s="208">
        <f>B459&amp;"-"&amp;C459</f>
        <v/>
      </c>
      <c r="B459" s="344" t="inlineStr">
        <is>
          <t>XII - CORREDORES: Avalúos</t>
        </is>
      </c>
      <c r="C459" s="345" t="n">
        <v>4</v>
      </c>
      <c r="D459" s="208" t="inlineStr">
        <is>
          <t>Transferencia u ocultamiento de valor</t>
        </is>
      </c>
      <c r="E459" s="208" t="inlineStr">
        <is>
          <t>Valuación usada para inflar o justificar patrimonio de origen ilícito.</t>
        </is>
      </c>
      <c r="F459" s="208" t="inlineStr">
        <is>
          <t>Valuación con parámetros parcialmente sustentados.</t>
        </is>
      </c>
      <c r="G459" s="208" t="inlineStr">
        <is>
          <t>Valuación objetiva y plenamente sustentada.</t>
        </is>
      </c>
    </row>
    <row r="460" ht="18.75" customHeight="1" s="173">
      <c r="A460" s="208">
        <f>B460&amp;"-"&amp;C460</f>
        <v/>
      </c>
      <c r="B460" s="344" t="inlineStr">
        <is>
          <t>XII - CORREDORES: Avalúos</t>
        </is>
      </c>
      <c r="C460" s="345" t="n">
        <v>5</v>
      </c>
      <c r="D460" s="208" t="inlineStr">
        <is>
          <t>Exposición del acto u operación al financiamiento al terrorismo</t>
        </is>
      </c>
      <c r="E460" s="208" t="inlineStr">
        <is>
          <t>Avalúos solicitados por personas señaladas en listas de sanciones o respecto de bienes vinculados con ellas.</t>
        </is>
      </c>
      <c r="F460" s="208" t="inlineStr">
        <is>
          <t>Solicitantes que no acreditan su interés sobre el bien, sin coincidencias en listas.</t>
        </is>
      </c>
      <c r="G460" s="208" t="inlineStr">
        <is>
          <t>Solicitante identificado, con interés jurídico acreditado y finalidad declarada del avalúo.</t>
        </is>
      </c>
    </row>
    <row r="461" ht="18.75" customHeight="1" s="173">
      <c r="A461" s="208">
        <f>B461&amp;"-"&amp;C461</f>
        <v/>
      </c>
      <c r="B461" s="344" t="inlineStr">
        <is>
          <t>XII - CORREDORES: Avalúos</t>
        </is>
      </c>
      <c r="C461" s="345" t="n">
        <v>6</v>
      </c>
      <c r="D461" s="208" t="inlineStr">
        <is>
          <t>Tipo de persona y estructura</t>
        </is>
      </c>
      <c r="E461" s="208" t="inlineStr">
        <is>
          <t>Solicitante persona moral extranjera o estructura opaca.</t>
        </is>
      </c>
      <c r="F461" s="208" t="inlineStr">
        <is>
          <t>Solicitante persona moral nacional estándar.</t>
        </is>
      </c>
      <c r="G461" s="208" t="inlineStr">
        <is>
          <t>Solicitante persona física identificada.</t>
        </is>
      </c>
    </row>
    <row r="462" ht="18.75" customHeight="1" s="173">
      <c r="A462" s="208">
        <f>B462&amp;"-"&amp;C462</f>
        <v/>
      </c>
      <c r="B462" s="344" t="inlineStr">
        <is>
          <t>XII - CORREDORES: Avalúos</t>
        </is>
      </c>
      <c r="C462" s="345" t="n">
        <v>7</v>
      </c>
      <c r="D462" s="208" t="inlineStr">
        <is>
          <t>Edad / fecha de constitución</t>
        </is>
      </c>
      <c r="E462" s="208" t="inlineStr">
        <is>
          <t>Bien recién adquirido o solicitante de perfil atípico.</t>
        </is>
      </c>
      <c r="F462" s="208" t="inlineStr">
        <is>
          <t>Antiguedad intermedia de la tenencia o del solicitante.</t>
        </is>
      </c>
      <c r="G462" s="208" t="inlineStr">
        <is>
          <t>Tenencia consolidada y solicitante con historial verificable.</t>
        </is>
      </c>
    </row>
    <row r="463" ht="18.75" customHeight="1" s="173">
      <c r="A463" s="208">
        <f>B463&amp;"-"&amp;C463</f>
        <v/>
      </c>
      <c r="B463" s="344" t="inlineStr">
        <is>
          <t>XII - CORREDORES: Avalúos</t>
        </is>
      </c>
      <c r="C463" s="345" t="n">
        <v>8</v>
      </c>
      <c r="D463" s="208" t="inlineStr">
        <is>
          <t>Actividad económica o giro (y fuente de ingresos)</t>
        </is>
      </c>
      <c r="E463" s="208" t="inlineStr">
        <is>
          <t>Solicitante con giro informal, en efectivo o ligado a otras AV.</t>
        </is>
      </c>
      <c r="F463" s="208" t="inlineStr">
        <is>
          <t>Giro formal de riesgo medio.</t>
        </is>
      </c>
      <c r="G463" s="208" t="inlineStr">
        <is>
          <t>Giro formal de bajo riesgo con ingresos claros.</t>
        </is>
      </c>
    </row>
    <row r="464" ht="18.75" customHeight="1" s="173">
      <c r="A464" s="208">
        <f>B464&amp;"-"&amp;C464</f>
        <v/>
      </c>
      <c r="B464" s="344" t="inlineStr">
        <is>
          <t>XII - CORREDORES: Avalúos</t>
        </is>
      </c>
      <c r="C464" s="345" t="n">
        <v>9</v>
      </c>
      <c r="D464" s="208" t="inlineStr">
        <is>
          <t>Nacionalidad del cliente</t>
        </is>
      </c>
      <c r="E464" s="208" t="inlineStr">
        <is>
          <t>Cliente de país en listas GAFI, sancionado o de régimen fiscal preferente.</t>
        </is>
      </c>
      <c r="F464" s="208" t="inlineStr">
        <is>
          <t>Nacionalidad extranjera de país sin alertas relevantes.</t>
        </is>
      </c>
      <c r="G464" s="208" t="inlineStr">
        <is>
          <t>Cliente mexicano o de país cooperante sin observaciones.</t>
        </is>
      </c>
    </row>
    <row r="465" ht="18.75" customHeight="1" s="173">
      <c r="A465" s="208">
        <f>B465&amp;"-"&amp;C465</f>
        <v/>
      </c>
      <c r="B465" s="344" t="inlineStr">
        <is>
          <t>XII - CORREDORES: Avalúos</t>
        </is>
      </c>
      <c r="C465" s="345" t="n">
        <v>10</v>
      </c>
      <c r="D465" s="208" t="inlineStr">
        <is>
          <t>País (y en su caso, estado) de residencia del cliente</t>
        </is>
      </c>
      <c r="E465" s="208" t="inlineStr">
        <is>
          <t>Reside en jurisdicción de alto riesgo o con domicilio no verificable.</t>
        </is>
      </c>
      <c r="F465" s="208" t="inlineStr">
        <is>
          <t>Reside en el extranjero en país cooperante, con domicilio comprobable.</t>
        </is>
      </c>
      <c r="G465" s="208" t="inlineStr">
        <is>
          <t>Residencia nacional verificada y estable.</t>
        </is>
      </c>
    </row>
    <row r="466" ht="18.75" customHeight="1" s="173">
      <c r="A466" s="208">
        <f>B466&amp;"-"&amp;C466</f>
        <v/>
      </c>
      <c r="B466" s="344" t="inlineStr">
        <is>
          <t>XII - CORREDORES: Avalúos</t>
        </is>
      </c>
      <c r="C466" s="345" t="n">
        <v>11</v>
      </c>
      <c r="D466" s="208" t="inlineStr">
        <is>
          <t>Condición PEP</t>
        </is>
      </c>
      <c r="E466" s="208" t="inlineStr">
        <is>
          <t>PEP nacional o extranjera, o allegado que actua por su cuenta.</t>
        </is>
      </c>
      <c r="F466" s="208" t="inlineStr">
        <is>
          <t>Vinculo indirecto con PEP o PEP de perfil menor, monitoreado.</t>
        </is>
      </c>
      <c r="G466" s="208" t="inlineStr">
        <is>
          <t>Sin condición PEP ni vínculos con funcionarios.</t>
        </is>
      </c>
    </row>
    <row r="467" ht="18.75" customHeight="1" s="173">
      <c r="A467" s="208">
        <f>B467&amp;"-"&amp;C467</f>
        <v/>
      </c>
      <c r="B467" s="344" t="inlineStr">
        <is>
          <t>XII - CORREDORES: Avalúos</t>
        </is>
      </c>
      <c r="C467" s="345" t="n">
        <v>12</v>
      </c>
      <c r="D467" s="208" t="inlineStr">
        <is>
          <t>Coincidencia en listas de personas bloqueadas o de sanciones</t>
        </is>
      </c>
      <c r="E467" s="208" t="inlineStr">
        <is>
          <t>El solicitante, su beneficiario controlador, apoderado o contraparte aparece en la Lista de Personas Bloqueadas, en listas de sanciones o en listas de organizaciones terroristas, o presenta una coincidencia fuerte que no ha sido descartada.</t>
        </is>
      </c>
      <c r="F467" s="208" t="inlineStr">
        <is>
          <t>Se detecta coincidencia parcial u homonimia respecto del solicitante o de alguna persona relacionada, y el descarte se encuentra en proceso con constancia documental.</t>
        </is>
      </c>
      <c r="G467" s="208" t="inlineStr">
        <is>
          <t>Búsqueda realizada y documentada sobre el solicitante y sus personas relacionadas, sin coincidencias.</t>
        </is>
      </c>
    </row>
    <row r="468" ht="18.75" customHeight="1" s="173">
      <c r="A468" s="208">
        <f>B468&amp;"-"&amp;C468</f>
        <v/>
      </c>
      <c r="B468" s="344" t="inlineStr">
        <is>
          <t>XII - CORREDORES: Avalúos</t>
        </is>
      </c>
      <c r="C468" s="345" t="n">
        <v>13</v>
      </c>
      <c r="D468" s="208" t="inlineStr">
        <is>
          <t>Identificación y complejidad del Beneficiario Controlador</t>
        </is>
      </c>
      <c r="E468" s="208" t="inlineStr">
        <is>
          <t>No se logra identificar al beneficiario controlador del solicitante, o la estructura interpone dos o más niveles societarios, fiduciarios o vehículos constituidos en el extranjero para llegar al 25 por ciento.</t>
        </is>
      </c>
      <c r="F468" s="208" t="inlineStr">
        <is>
          <t>Beneficiario controlador identificado, pero a través de una estructura de más de un nivel o con participación indirecta que exigió reconstruir la cadena de control con documentos.</t>
        </is>
      </c>
      <c r="G468" s="208" t="inlineStr">
        <is>
          <t>Beneficiario controlador identificado de forma directa y documentada: persona física que posee al menos el 25 por ciento o que ejerce el control por otra vía acreditada.</t>
        </is>
      </c>
    </row>
    <row r="469" ht="18.75" customHeight="1" s="173">
      <c r="A469" s="208">
        <f>B469&amp;"-"&amp;C469</f>
        <v/>
      </c>
      <c r="B469" s="344" t="inlineStr">
        <is>
          <t>XII - CORREDORES: Avalúos</t>
        </is>
      </c>
      <c r="C469" s="345" t="n">
        <v>14</v>
      </c>
      <c r="D469" s="208" t="inlineStr">
        <is>
          <t>País / jurisdicción donde se realiza la operación</t>
        </is>
      </c>
      <c r="E469" s="208" t="inlineStr">
        <is>
          <t>Operación con o desde jurisdicción de alto riesgo o no cooperante.</t>
        </is>
      </c>
      <c r="F469" s="208" t="inlineStr">
        <is>
          <t>Operación con componente internacional en país cooperante.</t>
        </is>
      </c>
      <c r="G469" s="208" t="inlineStr">
        <is>
          <t>Operación integramente nacional.</t>
        </is>
      </c>
    </row>
    <row r="470" ht="18.75" customHeight="1" s="173">
      <c r="A470" s="208">
        <f>B470&amp;"-"&amp;C470</f>
        <v/>
      </c>
      <c r="B470" s="344" t="inlineStr">
        <is>
          <t>XII - CORREDORES: Avalúos</t>
        </is>
      </c>
      <c r="C470" s="345" t="n">
        <v>15</v>
      </c>
      <c r="D470" s="208" t="inlineStr">
        <is>
          <t>Área geográfica nacional de la operación</t>
        </is>
      </c>
      <c r="E470" s="208" t="inlineStr">
        <is>
          <t>Zona de alta incidencia delictiva, marginacion o frontera.</t>
        </is>
      </c>
      <c r="F470" s="208" t="inlineStr">
        <is>
          <t>Zona urbana ordinaria sin alertas particulares.</t>
        </is>
      </c>
      <c r="G470" s="208" t="inlineStr">
        <is>
          <t>Zona de bajo riesgo con actividad económica formal.</t>
        </is>
      </c>
    </row>
    <row r="471" ht="18.75" customHeight="1" s="173">
      <c r="A471" s="208">
        <f>B471&amp;"-"&amp;C471</f>
        <v/>
      </c>
      <c r="B471" s="344" t="inlineStr">
        <is>
          <t>XII - CORREDORES: Avalúos</t>
        </is>
      </c>
      <c r="C471" s="345" t="n">
        <v>16</v>
      </c>
      <c r="D471" s="208" t="inlineStr">
        <is>
          <t>Vínculo con jurisdicciones sancionadas, en conflicto o de acción requerida por el GAFI</t>
        </is>
      </c>
      <c r="E471" s="208" t="inlineStr">
        <is>
          <t>Existe exposición a jurisdicciones sancionadas, en conflicto armado o de acción requerida del GAFI, por la vía de bienes o solicitantes localizados fuera del país.</t>
        </is>
      </c>
      <c r="F471" s="208" t="inlineStr">
        <is>
          <t>Vínculo con jurisdicciones bajo monitoreo intensificado del GAFI o con deficiencias señaladas en la ENR, sin estar sancionadas ni en conflicto.</t>
        </is>
      </c>
      <c r="G471" s="208" t="inlineStr">
        <is>
          <t>Sin vínculo con jurisdicciones sancionadas, en conflicto o listadas por el GAFI; la operación y sus partes se ubican en plazas sin señalamientos.</t>
        </is>
      </c>
    </row>
    <row r="472" ht="18.75" customHeight="1" s="173">
      <c r="A472" s="208">
        <f>B472&amp;"-"&amp;C472</f>
        <v/>
      </c>
      <c r="B472" s="344" t="inlineStr">
        <is>
          <t>XII - CORREDORES: Avalúos</t>
        </is>
      </c>
      <c r="C472" s="345" t="n">
        <v>17</v>
      </c>
      <c r="D472" s="208" t="inlineStr">
        <is>
          <t>Congruencia entre el domicilio del Cliente y el lugar de la operación</t>
        </is>
      </c>
      <c r="E472" s="208" t="inlineStr">
        <is>
          <t>El domicilio del solicitante no guarda relación económica ni logística con el lugar donde se realiza la práctica del avalúo, y no existe explicación documentada del desplazamiento.</t>
        </is>
      </c>
      <c r="F472" s="208" t="inlineStr">
        <is>
          <t>Existe distancia relevante entre el domicilio del solicitante y el lugar de la operación, con explicación plausible pero no soportada en el expediente.</t>
        </is>
      </c>
      <c r="G472" s="208" t="inlineStr">
        <is>
          <t>El domicilio del solicitante corresponde a la plaza donde se realiza la práctica del avalúo, o el desplazamiento está justificado y documentado.</t>
        </is>
      </c>
    </row>
    <row r="473" ht="18.75" customHeight="1" s="173">
      <c r="A473" s="208">
        <f>B473&amp;"-"&amp;C473</f>
        <v/>
      </c>
      <c r="B473" s="344" t="inlineStr">
        <is>
          <t>XII - CORREDORES: Avalúos</t>
        </is>
      </c>
      <c r="C473" s="345" t="n">
        <v>18</v>
      </c>
      <c r="D473" s="208" t="inlineStr">
        <is>
          <t>Instrumento monetario</t>
        </is>
      </c>
      <c r="E473" s="208" t="inlineStr">
        <is>
          <t>Operación subyacente u honorarios liquidados en efectivo o al portador.</t>
        </is>
      </c>
      <c r="F473" s="208" t="inlineStr">
        <is>
          <t>Pago mediante cheque o transferencia con trazabilidad parcial.</t>
        </is>
      </c>
      <c r="G473" s="208" t="inlineStr">
        <is>
          <t>Pago mediante transferencia bancaria nominativa trazable.</t>
        </is>
      </c>
    </row>
    <row r="474" ht="18.75" customHeight="1" s="173">
      <c r="A474" s="208">
        <f>B474&amp;"-"&amp;C474</f>
        <v/>
      </c>
      <c r="B474" s="344" t="inlineStr">
        <is>
          <t>XII - CORREDORES: Avalúos</t>
        </is>
      </c>
      <c r="C474" s="345" t="n">
        <v>19</v>
      </c>
      <c r="D474" s="208" t="inlineStr">
        <is>
          <t>Tipo de moneda</t>
        </is>
      </c>
      <c r="E474" s="208" t="inlineStr">
        <is>
          <t>Moneda extranjera distinta al USD o criptomonedas.</t>
        </is>
      </c>
      <c r="F474" s="208" t="inlineStr">
        <is>
          <t>Operación en dolares estadounidenses (USD).</t>
        </is>
      </c>
      <c r="G474" s="208" t="inlineStr">
        <is>
          <t>Operación en pesos mexicanos.</t>
        </is>
      </c>
    </row>
    <row r="475" ht="18.75" customHeight="1" s="173">
      <c r="A475" s="208">
        <f>B475&amp;"-"&amp;C475</f>
        <v/>
      </c>
      <c r="B475" s="344" t="inlineStr">
        <is>
          <t>XII - CORREDORES: Avalúos</t>
        </is>
      </c>
      <c r="C475" s="345" t="n">
        <v>20</v>
      </c>
      <c r="D475" s="208" t="inlineStr">
        <is>
          <t>Monto frente a umbrales LFPIORPI</t>
        </is>
      </c>
      <c r="E475" s="208" t="inlineStr">
        <is>
          <t>Valor del bien supera el umbral de aviso (8,025 UMA).</t>
        </is>
      </c>
      <c r="F475" s="208" t="inlineStr">
        <is>
          <t>Valor del bien cercano al umbral de aviso (8,025 UMA).</t>
        </is>
      </c>
      <c r="G475" s="208" t="inlineStr">
        <is>
          <t>Valor del bien muy por debajo del umbral (8,025 UMA).</t>
        </is>
      </c>
    </row>
    <row r="476" ht="18.75" customHeight="1" s="173">
      <c r="A476" s="208">
        <f>B476&amp;"-"&amp;C476</f>
        <v/>
      </c>
      <c r="B476" s="344" t="inlineStr">
        <is>
          <t>XII - CORREDORES: Avalúos</t>
        </is>
      </c>
      <c r="C476" s="345" t="n">
        <v>21</v>
      </c>
      <c r="D476" s="208" t="inlineStr">
        <is>
          <t>Frecuencia (fraccionamiento)</t>
        </is>
      </c>
      <c r="E476" s="208" t="inlineStr">
        <is>
          <t>Avalúos frecuentes o fraccionados sobre bienes relacionados.</t>
        </is>
      </c>
      <c r="F476" s="208" t="inlineStr">
        <is>
          <t>Avalúos ocasionales sin patron evidente.</t>
        </is>
      </c>
      <c r="G476" s="208" t="inlineStr">
        <is>
          <t>Avalúo único, congruente con el perfil.</t>
        </is>
      </c>
    </row>
    <row r="477" ht="18.75" customHeight="1" s="173">
      <c r="A477" s="208">
        <f>B477&amp;"-"&amp;C477</f>
        <v/>
      </c>
      <c r="B477" s="344" t="inlineStr">
        <is>
          <t>XII - CORREDORES: Avalúos</t>
        </is>
      </c>
      <c r="C477" s="345" t="n">
        <v>22</v>
      </c>
      <c r="D477" s="208" t="inlineStr">
        <is>
          <t>Canal (presencial / no presencial / terceros)</t>
        </is>
      </c>
      <c r="E477" s="208" t="inlineStr">
        <is>
          <t>Operación no presencial o a traves de terceros sin contacto directo.</t>
        </is>
      </c>
      <c r="F477" s="208" t="inlineStr">
        <is>
          <t>Contacto mixto o mediante representante identificado.</t>
        </is>
      </c>
      <c r="G477" s="208" t="inlineStr">
        <is>
          <t>Cliente atendido de forma presencial y directa.</t>
        </is>
      </c>
    </row>
    <row r="478" ht="18.75" customHeight="1" s="173">
      <c r="A478" s="208">
        <f>B478&amp;"-"&amp;C478</f>
        <v/>
      </c>
      <c r="B478" s="344" t="inlineStr">
        <is>
          <t>XII - CORREDORES: Avalúos</t>
        </is>
      </c>
      <c r="C478" s="345" t="n">
        <v>23</v>
      </c>
      <c r="D478" s="208" t="inlineStr">
        <is>
          <t>Origen de los recursos</t>
        </is>
      </c>
      <c r="E478" s="208" t="inlineStr">
        <is>
          <t>Bien valuado de origen o adquisicion no acreditable.</t>
        </is>
      </c>
      <c r="F478" s="208" t="inlineStr">
        <is>
          <t>Origen del bien con soporte parcial.</t>
        </is>
      </c>
      <c r="G478" s="208" t="inlineStr">
        <is>
          <t>Bien de origen lícito y documentado.</t>
        </is>
      </c>
    </row>
    <row r="479" ht="18.75" customHeight="1" s="173">
      <c r="A479" s="208">
        <f>B479&amp;"-"&amp;C479</f>
        <v/>
      </c>
      <c r="B479" s="344" t="inlineStr">
        <is>
          <t>XII - CORREDORES: Avalúos</t>
        </is>
      </c>
      <c r="C479" s="345" t="n">
        <v>24</v>
      </c>
      <c r="D479" s="208" t="inlineStr">
        <is>
          <t>Destino de los recursos</t>
        </is>
      </c>
      <c r="E479" s="208" t="inlineStr">
        <is>
          <t>Avalúo destinado a respaldar operaciones opacas o hacia terceros.</t>
        </is>
      </c>
      <c r="F479" s="208" t="inlineStr">
        <is>
          <t>Destino de la valuación parcialmente justificado.</t>
        </is>
      </c>
      <c r="G479" s="208" t="inlineStr">
        <is>
          <t>Avalúo con finalidad clara y documentada.</t>
        </is>
      </c>
    </row>
    <row r="480" ht="18.75" customHeight="1" s="173">
      <c r="A480" s="208">
        <f>B480&amp;"-"&amp;C480</f>
        <v/>
      </c>
      <c r="B480" s="344" t="inlineStr">
        <is>
          <t>XII - CORREDORES: Avalúos</t>
        </is>
      </c>
      <c r="C480" s="345" t="n">
        <v>25</v>
      </c>
      <c r="D480" s="208" t="inlineStr">
        <is>
          <t>Canales e instrumentos idóneos para el financiamiento al terrorismo</t>
        </is>
      </c>
      <c r="E480" s="208" t="inlineStr">
        <is>
          <t>La operación se realiza mediante solicitud a distancia sin acreditar el interés jurídico sobre el bien, es decir, medios que permiten mover valor en montos pequeños sin identificar al destinatario final.</t>
        </is>
      </c>
      <c r="F480" s="208" t="inlineStr">
        <is>
          <t>Canal mixto o con verificación parcial: hay registro de la operación pero la trazabilidad del destinatario final es incompleta.</t>
        </is>
      </c>
      <c r="G480" s="208" t="inlineStr">
        <is>
          <t>Solicitud con persona identificada y con interés jurídico acreditado sobre el bien, con trazabilidad completa del origen y del destinatario.</t>
        </is>
      </c>
    </row>
    <row r="481" ht="18.75" customHeight="1" s="173">
      <c r="A481" s="208">
        <f>B481&amp;"-"&amp;C481</f>
        <v/>
      </c>
      <c r="B481" s="344" t="inlineStr">
        <is>
          <t>XII - CORREDORES: Const. o modif. patrimonial</t>
        </is>
      </c>
      <c r="C481" s="345" t="n">
        <v>1</v>
      </c>
      <c r="D481" s="208" t="inlineStr">
        <is>
          <t>Valor del producto o servicio</t>
        </is>
      </c>
      <c r="E481" s="208" t="inlineStr">
        <is>
          <t>Constitución de sociedad patrimonial de alto valor.</t>
        </is>
      </c>
      <c r="F481" s="208" t="inlineStr">
        <is>
          <t>Modificación societaria de valor intermedio.</t>
        </is>
      </c>
      <c r="G481" s="208" t="inlineStr">
        <is>
          <t>Ajuste menor en sociedad pequeña.</t>
        </is>
      </c>
    </row>
    <row r="482" ht="18.75" customHeight="1" s="173">
      <c r="A482" s="208">
        <f>B482&amp;"-"&amp;C482</f>
        <v/>
      </c>
      <c r="B482" s="344" t="inlineStr">
        <is>
          <t>XII - CORREDORES: Const. o modif. patrimonial</t>
        </is>
      </c>
      <c r="C482" s="345" t="n">
        <v>2</v>
      </c>
      <c r="D482" s="208" t="inlineStr">
        <is>
          <t>Liquidez / convertibilidad</t>
        </is>
      </c>
      <c r="E482" s="208" t="inlineStr">
        <is>
          <t>Estructura mercantil que facilita mover o convertir aportaciones.</t>
        </is>
      </c>
      <c r="F482" s="208" t="inlineStr">
        <is>
          <t>Cambios societarios con disposición acotada.</t>
        </is>
      </c>
      <c r="G482" s="208" t="inlineStr">
        <is>
          <t>Ajuste sin efecto sobre la disponibilidad de recursos.</t>
        </is>
      </c>
    </row>
    <row r="483" ht="18.75" customHeight="1" s="173">
      <c r="A483" s="208">
        <f>B483&amp;"-"&amp;C483</f>
        <v/>
      </c>
      <c r="B483" s="344" t="inlineStr">
        <is>
          <t>XII - CORREDORES: Const. o modif. patrimonial</t>
        </is>
      </c>
      <c r="C483" s="345" t="n">
        <v>3</v>
      </c>
      <c r="D483" s="208" t="inlineStr">
        <is>
          <t>Anonimato / identificación del beneficiario</t>
        </is>
      </c>
      <c r="E483" s="208" t="inlineStr">
        <is>
          <t>Socios interpuestos que ocultan al beneficiario final.</t>
        </is>
      </c>
      <c r="F483" s="208" t="inlineStr">
        <is>
          <t>Beneficiario identificable con esfuerzo adicional.</t>
        </is>
      </c>
      <c r="G483" s="208" t="inlineStr">
        <is>
          <t>Socios y beneficiario final plenamente identificados.</t>
        </is>
      </c>
    </row>
    <row r="484" ht="18.75" customHeight="1" s="173">
      <c r="A484" s="208">
        <f>B484&amp;"-"&amp;C484</f>
        <v/>
      </c>
      <c r="B484" s="344" t="inlineStr">
        <is>
          <t>XII - CORREDORES: Const. o modif. patrimonial</t>
        </is>
      </c>
      <c r="C484" s="345" t="n">
        <v>4</v>
      </c>
      <c r="D484" s="208" t="inlineStr">
        <is>
          <t>Transferencia u ocultamiento de valor</t>
        </is>
      </c>
      <c r="E484" s="208" t="inlineStr">
        <is>
          <t>Sociedad mercantil usada para blanquear u ocultar recursos.</t>
        </is>
      </c>
      <c r="F484" s="208" t="inlineStr">
        <is>
          <t>Aportaciones con trazabilidad parcial.</t>
        </is>
      </c>
      <c r="G484" s="208" t="inlineStr">
        <is>
          <t>Aportaciones plenamente trazables.</t>
        </is>
      </c>
    </row>
    <row r="485" ht="18.75" customHeight="1" s="173">
      <c r="A485" s="208">
        <f>B485&amp;"-"&amp;C485</f>
        <v/>
      </c>
      <c r="B485" s="344" t="inlineStr">
        <is>
          <t>XII - CORREDORES: Const. o modif. patrimonial</t>
        </is>
      </c>
      <c r="C485" s="345" t="n">
        <v>5</v>
      </c>
      <c r="D485" s="208" t="inlineStr">
        <is>
          <t>Exposición del acto u operación al financiamiento al terrorismo</t>
        </is>
      </c>
      <c r="E485" s="208" t="inlineStr">
        <is>
          <t>Constitución o capitalización de sociedades cuyos socios o aportantes están señalados en listas de sanciones, o que sirven de fachada a estructuras de financiamiento.</t>
        </is>
      </c>
      <c r="F485" s="208" t="inlineStr">
        <is>
          <t>Sociedades con socios del extranjero o con capital que no guarda relación con el objeto, sin coincidencias en listas.</t>
        </is>
      </c>
      <c r="G485" s="208" t="inlineStr">
        <is>
          <t>Sociedad con socios identificados, objeto congruente y aportaciones bancarizadas.</t>
        </is>
      </c>
    </row>
    <row r="486" ht="18.75" customHeight="1" s="173">
      <c r="A486" s="208">
        <f>B486&amp;"-"&amp;C486</f>
        <v/>
      </c>
      <c r="B486" s="344" t="inlineStr">
        <is>
          <t>XII - CORREDORES: Const. o modif. patrimonial</t>
        </is>
      </c>
      <c r="C486" s="345" t="n">
        <v>6</v>
      </c>
      <c r="D486" s="208" t="inlineStr">
        <is>
          <t>Tipo de persona y estructura</t>
        </is>
      </c>
      <c r="E486" s="208" t="inlineStr">
        <is>
          <t>Sociedad con socios extranjeros o estructura opaca.</t>
        </is>
      </c>
      <c r="F486" s="208" t="inlineStr">
        <is>
          <t>Sociedad nacional con estructura estándar.</t>
        </is>
      </c>
      <c r="G486" s="208" t="inlineStr">
        <is>
          <t>Sociedad pequeña con socios identificados.</t>
        </is>
      </c>
    </row>
    <row r="487" ht="18.75" customHeight="1" s="173">
      <c r="A487" s="208">
        <f>B487&amp;"-"&amp;C487</f>
        <v/>
      </c>
      <c r="B487" s="344" t="inlineStr">
        <is>
          <t>XII - CORREDORES: Const. o modif. patrimonial</t>
        </is>
      </c>
      <c r="C487" s="345" t="n">
        <v>7</v>
      </c>
      <c r="D487" s="208" t="inlineStr">
        <is>
          <t>Edad / fecha de constitución</t>
        </is>
      </c>
      <c r="E487" s="208" t="inlineStr">
        <is>
          <t>Sociedad de reciente creacion con capital elevado.</t>
        </is>
      </c>
      <c r="F487" s="208" t="inlineStr">
        <is>
          <t>Sociedad con antigüedad intermedia.</t>
        </is>
      </c>
      <c r="G487" s="208" t="inlineStr">
        <is>
          <t>Sociedad consolidada con historial verificable.</t>
        </is>
      </c>
    </row>
    <row r="488" ht="18.75" customHeight="1" s="173">
      <c r="A488" s="208">
        <f>B488&amp;"-"&amp;C488</f>
        <v/>
      </c>
      <c r="B488" s="344" t="inlineStr">
        <is>
          <t>XII - CORREDORES: Const. o modif. patrimonial</t>
        </is>
      </c>
      <c r="C488" s="345" t="n">
        <v>8</v>
      </c>
      <c r="D488" s="208" t="inlineStr">
        <is>
          <t>Actividad económica o giro (y fuente de ingresos)</t>
        </is>
      </c>
      <c r="E488" s="208" t="inlineStr">
        <is>
          <t>Giro informal, intensivo en efectivo o vinculado a otras AV.</t>
        </is>
      </c>
      <c r="F488" s="208" t="inlineStr">
        <is>
          <t>Giro formal de riesgo medio.</t>
        </is>
      </c>
      <c r="G488" s="208" t="inlineStr">
        <is>
          <t>Giro formal de bajo riesgo con ingresos claros.</t>
        </is>
      </c>
    </row>
    <row r="489" ht="18.75" customHeight="1" s="173">
      <c r="A489" s="208">
        <f>B489&amp;"-"&amp;C489</f>
        <v/>
      </c>
      <c r="B489" s="344" t="inlineStr">
        <is>
          <t>XII - CORREDORES: Const. o modif. patrimonial</t>
        </is>
      </c>
      <c r="C489" s="345" t="n">
        <v>9</v>
      </c>
      <c r="D489" s="208" t="inlineStr">
        <is>
          <t>Nacionalidad del cliente</t>
        </is>
      </c>
      <c r="E489" s="208" t="inlineStr">
        <is>
          <t>Cliente de país en listas GAFI, sancionado o de régimen fiscal preferente.</t>
        </is>
      </c>
      <c r="F489" s="208" t="inlineStr">
        <is>
          <t>Nacionalidad extranjera de país sin alertas relevantes.</t>
        </is>
      </c>
      <c r="G489" s="208" t="inlineStr">
        <is>
          <t>Cliente mexicano o de país cooperante sin observaciones.</t>
        </is>
      </c>
    </row>
    <row r="490" ht="18.75" customHeight="1" s="173">
      <c r="A490" s="208">
        <f>B490&amp;"-"&amp;C490</f>
        <v/>
      </c>
      <c r="B490" s="344" t="inlineStr">
        <is>
          <t>XII - CORREDORES: Const. o modif. patrimonial</t>
        </is>
      </c>
      <c r="C490" s="345" t="n">
        <v>10</v>
      </c>
      <c r="D490" s="208" t="inlineStr">
        <is>
          <t>País (y en su caso, estado) de residencia del cliente</t>
        </is>
      </c>
      <c r="E490" s="208" t="inlineStr">
        <is>
          <t>Reside en jurisdicción de alto riesgo o con domicilio no verificable.</t>
        </is>
      </c>
      <c r="F490" s="208" t="inlineStr">
        <is>
          <t>Reside en el extranjero en país cooperante, con domicilio comprobable.</t>
        </is>
      </c>
      <c r="G490" s="208" t="inlineStr">
        <is>
          <t>Residencia nacional verificada y estable.</t>
        </is>
      </c>
    </row>
    <row r="491" ht="18.75" customHeight="1" s="173">
      <c r="A491" s="208">
        <f>B491&amp;"-"&amp;C491</f>
        <v/>
      </c>
      <c r="B491" s="344" t="inlineStr">
        <is>
          <t>XII - CORREDORES: Const. o modif. patrimonial</t>
        </is>
      </c>
      <c r="C491" s="345" t="n">
        <v>11</v>
      </c>
      <c r="D491" s="208" t="inlineStr">
        <is>
          <t>Condición PEP</t>
        </is>
      </c>
      <c r="E491" s="208" t="inlineStr">
        <is>
          <t>PEP nacional o extranjera, o allegado que actua por su cuenta.</t>
        </is>
      </c>
      <c r="F491" s="208" t="inlineStr">
        <is>
          <t>Vinculo indirecto con PEP o PEP de perfil menor, monitoreado.</t>
        </is>
      </c>
      <c r="G491" s="208" t="inlineStr">
        <is>
          <t>Sin condición PEP ni vínculos con funcionarios.</t>
        </is>
      </c>
    </row>
    <row r="492" ht="18.75" customHeight="1" s="173">
      <c r="A492" s="208">
        <f>B492&amp;"-"&amp;C492</f>
        <v/>
      </c>
      <c r="B492" s="344" t="inlineStr">
        <is>
          <t>XII - CORREDORES: Const. o modif. patrimonial</t>
        </is>
      </c>
      <c r="C492" s="345" t="n">
        <v>12</v>
      </c>
      <c r="D492" s="208" t="inlineStr">
        <is>
          <t>Coincidencia en listas de personas bloqueadas o de sanciones</t>
        </is>
      </c>
      <c r="E492" s="208" t="inlineStr">
        <is>
          <t>El socio o accionista, su beneficiario controlador, apoderado o contraparte aparece en la Lista de Personas Bloqueadas, en listas de sanciones o en listas de organizaciones terroristas, o presenta una coincidencia fuerte que no ha sido descartada.</t>
        </is>
      </c>
      <c r="F492" s="208" t="inlineStr">
        <is>
          <t>Se detecta coincidencia parcial u homonimia respecto del socio o accionista o de alguna persona relacionada, y el descarte se encuentra en proceso con constancia documental.</t>
        </is>
      </c>
      <c r="G492" s="208" t="inlineStr">
        <is>
          <t>Búsqueda realizada y documentada sobre el socio o accionista y sus personas relacionadas, sin coincidencias.</t>
        </is>
      </c>
    </row>
    <row r="493" ht="18.75" customHeight="1" s="173">
      <c r="A493" s="208">
        <f>B493&amp;"-"&amp;C493</f>
        <v/>
      </c>
      <c r="B493" s="344" t="inlineStr">
        <is>
          <t>XII - CORREDORES: Const. o modif. patrimonial</t>
        </is>
      </c>
      <c r="C493" s="345" t="n">
        <v>13</v>
      </c>
      <c r="D493" s="208" t="inlineStr">
        <is>
          <t>Identificación y complejidad del Beneficiario Controlador</t>
        </is>
      </c>
      <c r="E493" s="208" t="inlineStr">
        <is>
          <t>No se logra identificar al beneficiario controlador del socio o accionista, o la estructura interpone dos o más niveles societarios, fiduciarios o vehículos constituidos en el extranjero para llegar al 25 por ciento.</t>
        </is>
      </c>
      <c r="F493" s="208" t="inlineStr">
        <is>
          <t>Beneficiario controlador identificado, pero a través de una estructura de más de un nivel o con participación indirecta que exigió reconstruir la cadena de control con documentos.</t>
        </is>
      </c>
      <c r="G493" s="208" t="inlineStr">
        <is>
          <t>Beneficiario controlador identificado de forma directa y documentada: persona física que posee al menos el 25 por ciento o que ejerce el control por otra vía acreditada.</t>
        </is>
      </c>
    </row>
    <row r="494" ht="18.75" customHeight="1" s="173">
      <c r="A494" s="208">
        <f>B494&amp;"-"&amp;C494</f>
        <v/>
      </c>
      <c r="B494" s="344" t="inlineStr">
        <is>
          <t>XII - CORREDORES: Const. o modif. patrimonial</t>
        </is>
      </c>
      <c r="C494" s="345" t="n">
        <v>14</v>
      </c>
      <c r="D494" s="208" t="inlineStr">
        <is>
          <t>País / jurisdicción donde se realiza la operación</t>
        </is>
      </c>
      <c r="E494" s="208" t="inlineStr">
        <is>
          <t>Operación con o desde jurisdicción de alto riesgo o no cooperante.</t>
        </is>
      </c>
      <c r="F494" s="208" t="inlineStr">
        <is>
          <t>Operación con componente internacional en país cooperante.</t>
        </is>
      </c>
      <c r="G494" s="208" t="inlineStr">
        <is>
          <t>Operación integramente nacional.</t>
        </is>
      </c>
    </row>
    <row r="495" ht="18.75" customHeight="1" s="173">
      <c r="A495" s="208">
        <f>B495&amp;"-"&amp;C495</f>
        <v/>
      </c>
      <c r="B495" s="344" t="inlineStr">
        <is>
          <t>XII - CORREDORES: Const. o modif. patrimonial</t>
        </is>
      </c>
      <c r="C495" s="345" t="n">
        <v>15</v>
      </c>
      <c r="D495" s="208" t="inlineStr">
        <is>
          <t>Área geográfica nacional de la operación</t>
        </is>
      </c>
      <c r="E495" s="208" t="inlineStr">
        <is>
          <t>Zona de alta incidencia delictiva, marginacion o frontera.</t>
        </is>
      </c>
      <c r="F495" s="208" t="inlineStr">
        <is>
          <t>Zona urbana ordinaria sin alertas particulares.</t>
        </is>
      </c>
      <c r="G495" s="208" t="inlineStr">
        <is>
          <t>Zona de bajo riesgo con actividad económica formal.</t>
        </is>
      </c>
    </row>
    <row r="496" ht="18.75" customHeight="1" s="173">
      <c r="A496" s="208">
        <f>B496&amp;"-"&amp;C496</f>
        <v/>
      </c>
      <c r="B496" s="344" t="inlineStr">
        <is>
          <t>XII - CORREDORES: Const. o modif. patrimonial</t>
        </is>
      </c>
      <c r="C496" s="345" t="n">
        <v>16</v>
      </c>
      <c r="D496" s="208" t="inlineStr">
        <is>
          <t>Vínculo con jurisdicciones sancionadas, en conflicto o de acción requerida por el GAFI</t>
        </is>
      </c>
      <c r="E496" s="208" t="inlineStr">
        <is>
          <t>Existe exposición a jurisdicciones sancionadas, en conflicto armado o de acción requerida del GAFI, por la vía de socios o aportaciones provenientes del extranjero.</t>
        </is>
      </c>
      <c r="F496" s="208" t="inlineStr">
        <is>
          <t>Vínculo con jurisdicciones bajo monitoreo intensificado del GAFI o con deficiencias señaladas en la ENR, sin estar sancionadas ni en conflicto.</t>
        </is>
      </c>
      <c r="G496" s="208" t="inlineStr">
        <is>
          <t>Sin vínculo con jurisdicciones sancionadas, en conflicto o listadas por el GAFI; la operación y sus partes se ubican en plazas sin señalamientos.</t>
        </is>
      </c>
    </row>
    <row r="497" ht="18.75" customHeight="1" s="173">
      <c r="A497" s="208">
        <f>B497&amp;"-"&amp;C497</f>
        <v/>
      </c>
      <c r="B497" s="344" t="inlineStr">
        <is>
          <t>XII - CORREDORES: Const. o modif. patrimonial</t>
        </is>
      </c>
      <c r="C497" s="345" t="n">
        <v>17</v>
      </c>
      <c r="D497" s="208" t="inlineStr">
        <is>
          <t>Congruencia entre el domicilio del Cliente y el lugar de la operación</t>
        </is>
      </c>
      <c r="E497" s="208" t="inlineStr">
        <is>
          <t>El domicilio del socio o accionista no guarda relación económica ni logística con el lugar donde se realiza la constitución o modificación patrimonial de la sociedad, y no existe explicación documentada del desplazamiento.</t>
        </is>
      </c>
      <c r="F497" s="208" t="inlineStr">
        <is>
          <t>Existe distancia relevante entre el domicilio del socio o accionista y el lugar de la operación, con explicación plausible pero no soportada en el expediente.</t>
        </is>
      </c>
      <c r="G497" s="208" t="inlineStr">
        <is>
          <t>El domicilio del socio o accionista corresponde a la plaza donde se realiza la constitución o modificación patrimonial de la sociedad, o el desplazamiento está justificado y documentado.</t>
        </is>
      </c>
    </row>
    <row r="498" ht="18.75" customHeight="1" s="173">
      <c r="A498" s="208">
        <f>B498&amp;"-"&amp;C498</f>
        <v/>
      </c>
      <c r="B498" s="344" t="inlineStr">
        <is>
          <t>XII - CORREDORES: Const. o modif. patrimonial</t>
        </is>
      </c>
      <c r="C498" s="345" t="n">
        <v>18</v>
      </c>
      <c r="D498" s="208" t="inlineStr">
        <is>
          <t>Instrumento monetario</t>
        </is>
      </c>
      <c r="E498" s="208" t="inlineStr">
        <is>
          <t>Pago o aportacion en efectivo, instrumentos al portador o criptoactivos.</t>
        </is>
      </c>
      <c r="F498" s="208" t="inlineStr">
        <is>
          <t>Pago mediante cheque o transferencia con trazabilidad parcial.</t>
        </is>
      </c>
      <c r="G498" s="208" t="inlineStr">
        <is>
          <t>Pago mediante transferencia bancaria nominativa trazable.</t>
        </is>
      </c>
    </row>
    <row r="499" ht="18.75" customHeight="1" s="173">
      <c r="A499" s="208">
        <f>B499&amp;"-"&amp;C499</f>
        <v/>
      </c>
      <c r="B499" s="344" t="inlineStr">
        <is>
          <t>XII - CORREDORES: Const. o modif. patrimonial</t>
        </is>
      </c>
      <c r="C499" s="345" t="n">
        <v>19</v>
      </c>
      <c r="D499" s="208" t="inlineStr">
        <is>
          <t>Tipo de moneda</t>
        </is>
      </c>
      <c r="E499" s="208" t="inlineStr">
        <is>
          <t>Moneda extranjera distinta al USD o criptomonedas.</t>
        </is>
      </c>
      <c r="F499" s="208" t="inlineStr">
        <is>
          <t>Operación en dolares estadounidenses (USD).</t>
        </is>
      </c>
      <c r="G499" s="208" t="inlineStr">
        <is>
          <t>Operación en pesos mexicanos.</t>
        </is>
      </c>
    </row>
    <row r="500" ht="18.75" customHeight="1" s="173">
      <c r="A500" s="208">
        <f>B500&amp;"-"&amp;C500</f>
        <v/>
      </c>
      <c r="B500" s="344" t="inlineStr">
        <is>
          <t>XII - CORREDORES: Const. o modif. patrimonial</t>
        </is>
      </c>
      <c r="C500" s="345" t="n">
        <v>20</v>
      </c>
      <c r="D500" s="208" t="inlineStr">
        <is>
          <t>Monto frente a umbrales LFPIORPI</t>
        </is>
      </c>
      <c r="E500" s="208" t="inlineStr">
        <is>
          <t>Aviso obligatorio siempre; aportaciones de alto valor.</t>
        </is>
      </c>
      <c r="F500" s="208" t="inlineStr">
        <is>
          <t>Aviso obligatorio siempre; aportaciones de valor intermedio.</t>
        </is>
      </c>
      <c r="G500" s="208" t="inlineStr">
        <is>
          <t>Aviso obligatorio siempre; aportaciones de valor reducido.</t>
        </is>
      </c>
    </row>
    <row r="501" ht="18.75" customHeight="1" s="173">
      <c r="A501" s="208">
        <f>B501&amp;"-"&amp;C501</f>
        <v/>
      </c>
      <c r="B501" s="344" t="inlineStr">
        <is>
          <t>XII - CORREDORES: Const. o modif. patrimonial</t>
        </is>
      </c>
      <c r="C501" s="345" t="n">
        <v>21</v>
      </c>
      <c r="D501" s="208" t="inlineStr">
        <is>
          <t>Frecuencia (fraccionamiento)</t>
        </is>
      </c>
      <c r="E501" s="208" t="inlineStr">
        <is>
          <t>Constituciones o reformas frecuentes o fraccionadas para eludir controles.</t>
        </is>
      </c>
      <c r="F501" s="208" t="inlineStr">
        <is>
          <t>Modificaciones societarias ocasionales.</t>
        </is>
      </c>
      <c r="G501" s="208" t="inlineStr">
        <is>
          <t>Acto societario único, congruente con el perfil.</t>
        </is>
      </c>
    </row>
    <row r="502" ht="18.75" customHeight="1" s="173">
      <c r="A502" s="208">
        <f>B502&amp;"-"&amp;C502</f>
        <v/>
      </c>
      <c r="B502" s="344" t="inlineStr">
        <is>
          <t>XII - CORREDORES: Const. o modif. patrimonial</t>
        </is>
      </c>
      <c r="C502" s="345" t="n">
        <v>22</v>
      </c>
      <c r="D502" s="208" t="inlineStr">
        <is>
          <t>Canal (presencial / no presencial / terceros)</t>
        </is>
      </c>
      <c r="E502" s="208" t="inlineStr">
        <is>
          <t>Operación no presencial o a traves de terceros sin contacto directo.</t>
        </is>
      </c>
      <c r="F502" s="208" t="inlineStr">
        <is>
          <t>Contacto mixto o mediante representante identificado.</t>
        </is>
      </c>
      <c r="G502" s="208" t="inlineStr">
        <is>
          <t>Cliente atendido de forma presencial y directa.</t>
        </is>
      </c>
    </row>
    <row r="503" ht="18.75" customHeight="1" s="173">
      <c r="A503" s="208">
        <f>B503&amp;"-"&amp;C503</f>
        <v/>
      </c>
      <c r="B503" s="344" t="inlineStr">
        <is>
          <t>XII - CORREDORES: Const. o modif. patrimonial</t>
        </is>
      </c>
      <c r="C503" s="345" t="n">
        <v>23</v>
      </c>
      <c r="D503" s="208" t="inlineStr">
        <is>
          <t>Origen de los recursos</t>
        </is>
      </c>
      <c r="E503" s="208" t="inlineStr">
        <is>
          <t>Aportaciones de origen no acreditable, en efectivo o informal.</t>
        </is>
      </c>
      <c r="F503" s="208" t="inlineStr">
        <is>
          <t>Origen de las aportaciones con soporte parcial.</t>
        </is>
      </c>
      <c r="G503" s="208" t="inlineStr">
        <is>
          <t>Aportaciones de origen lícito documentado.</t>
        </is>
      </c>
    </row>
    <row r="504" ht="18.75" customHeight="1" s="173">
      <c r="A504" s="208">
        <f>B504&amp;"-"&amp;C504</f>
        <v/>
      </c>
      <c r="B504" s="344" t="inlineStr">
        <is>
          <t>XII - CORREDORES: Const. o modif. patrimonial</t>
        </is>
      </c>
      <c r="C504" s="345" t="n">
        <v>24</v>
      </c>
      <c r="D504" s="208" t="inlineStr">
        <is>
          <t>Destino de los recursos</t>
        </is>
      </c>
      <c r="E504" s="208" t="inlineStr">
        <is>
          <t>Recursos societarios con destino opaco o a terceros sin justificación.</t>
        </is>
      </c>
      <c r="F504" s="208" t="inlineStr">
        <is>
          <t>Destino de los recursos parcialmente justificado.</t>
        </is>
      </c>
      <c r="G504" s="208" t="inlineStr">
        <is>
          <t>Destino de los recursos claro y documentado.</t>
        </is>
      </c>
    </row>
    <row r="505" ht="18.75" customHeight="1" s="173">
      <c r="A505" s="208">
        <f>B505&amp;"-"&amp;C505</f>
        <v/>
      </c>
      <c r="B505" s="344" t="inlineStr">
        <is>
          <t>XII - CORREDORES: Const. o modif. patrimonial</t>
        </is>
      </c>
      <c r="C505" s="345" t="n">
        <v>25</v>
      </c>
      <c r="D505" s="208" t="inlineStr">
        <is>
          <t>Canales e instrumentos idóneos para el financiamiento al terrorismo</t>
        </is>
      </c>
      <c r="E505" s="208" t="inlineStr">
        <is>
          <t>La operación se realiza mediante constitución a distancia con socios que no comparecen y aportaciones en efectivo, es decir, medios que permiten mover valor en montos pequeños sin identificar al destinatario final.</t>
        </is>
      </c>
      <c r="F505" s="208" t="inlineStr">
        <is>
          <t>Canal mixto o con verificación parcial: hay registro de la operación pero la trazabilidad del destinatario final es incompleta.</t>
        </is>
      </c>
      <c r="G505" s="208" t="inlineStr">
        <is>
          <t>Constitución con socios identificados y comparecientes y aportaciones bancarizadas, con trazabilidad completa del origen y del destinatario.</t>
        </is>
      </c>
    </row>
    <row r="506" ht="18.75" customHeight="1" s="173">
      <c r="A506" s="208">
        <f>B506&amp;"-"&amp;C506</f>
        <v/>
      </c>
      <c r="B506" s="344" t="inlineStr">
        <is>
          <t>XII - CORREDORES: Modif. o cesión fideicomiso</t>
        </is>
      </c>
      <c r="C506" s="345" t="n">
        <v>1</v>
      </c>
      <c r="D506" s="208" t="inlineStr">
        <is>
          <t>Valor del producto o servicio</t>
        </is>
      </c>
      <c r="E506" s="208" t="inlineStr">
        <is>
          <t>Cesión de derechos fiduciarios de alto valor.</t>
        </is>
      </c>
      <c r="F506" s="208" t="inlineStr">
        <is>
          <t>Cesión parcial de derechos de valor intermedio.</t>
        </is>
      </c>
      <c r="G506" s="208" t="inlineStr">
        <is>
          <t>Cesión de bajo valor o entre familiares.</t>
        </is>
      </c>
    </row>
    <row r="507" ht="18.75" customHeight="1" s="173">
      <c r="A507" s="208">
        <f>B507&amp;"-"&amp;C507</f>
        <v/>
      </c>
      <c r="B507" s="344" t="inlineStr">
        <is>
          <t>XII - CORREDORES: Modif. o cesión fideicomiso</t>
        </is>
      </c>
      <c r="C507" s="345" t="n">
        <v>2</v>
      </c>
      <c r="D507" s="208" t="inlineStr">
        <is>
          <t>Liquidez / convertibilidad</t>
        </is>
      </c>
      <c r="E507" s="208" t="inlineStr">
        <is>
          <t>Cesión que permite transferir y disponer del valor con rapidez.</t>
        </is>
      </c>
      <c r="F507" s="208" t="inlineStr">
        <is>
          <t>Cesión de derechos con disposición condicionada.</t>
        </is>
      </c>
      <c r="G507" s="208" t="inlineStr">
        <is>
          <t>Cesión de derechos de baja convertibilidad.</t>
        </is>
      </c>
    </row>
    <row r="508" ht="18.75" customHeight="1" s="173">
      <c r="A508" s="208">
        <f>B508&amp;"-"&amp;C508</f>
        <v/>
      </c>
      <c r="B508" s="344" t="inlineStr">
        <is>
          <t>XII - CORREDORES: Modif. o cesión fideicomiso</t>
        </is>
      </c>
      <c r="C508" s="345" t="n">
        <v>3</v>
      </c>
      <c r="D508" s="208" t="inlineStr">
        <is>
          <t>Anonimato / identificación del beneficiario</t>
        </is>
      </c>
      <c r="E508" s="208" t="inlineStr">
        <is>
          <t>Cesión que oculta al cedente o cesionario real de los derechos.</t>
        </is>
      </c>
      <c r="F508" s="208" t="inlineStr">
        <is>
          <t>Partes identificables con vínculo poco claro.</t>
        </is>
      </c>
      <c r="G508" s="208" t="inlineStr">
        <is>
          <t>Cedente y cesionario plenamente identificados.</t>
        </is>
      </c>
    </row>
    <row r="509" ht="18.75" customHeight="1" s="173">
      <c r="A509" s="208">
        <f>B509&amp;"-"&amp;C509</f>
        <v/>
      </c>
      <c r="B509" s="344" t="inlineStr">
        <is>
          <t>XII - CORREDORES: Modif. o cesión fideicomiso</t>
        </is>
      </c>
      <c r="C509" s="345" t="n">
        <v>4</v>
      </c>
      <c r="D509" s="208" t="inlineStr">
        <is>
          <t>Transferencia u ocultamiento de valor</t>
        </is>
      </c>
      <c r="E509" s="208" t="inlineStr">
        <is>
          <t>Cesión usada para ocultar la transferencia ilicita de activos.</t>
        </is>
      </c>
      <c r="F509" s="208" t="inlineStr">
        <is>
          <t>Transferencia de derechos con trazabilidad parcial.</t>
        </is>
      </c>
      <c r="G509" s="208" t="inlineStr">
        <is>
          <t>Cesión plenamente trazable y documentada.</t>
        </is>
      </c>
    </row>
    <row r="510" ht="18.75" customHeight="1" s="173">
      <c r="A510" s="208">
        <f>B510&amp;"-"&amp;C510</f>
        <v/>
      </c>
      <c r="B510" s="344" t="inlineStr">
        <is>
          <t>XII - CORREDORES: Modif. o cesión fideicomiso</t>
        </is>
      </c>
      <c r="C510" s="345" t="n">
        <v>5</v>
      </c>
      <c r="D510" s="208" t="inlineStr">
        <is>
          <t>Exposición del acto u operación al financiamiento al terrorismo</t>
        </is>
      </c>
      <c r="E510" s="208" t="inlineStr">
        <is>
          <t>Cesiones de derechos fideicomisarios a favor de personas u organizaciones señaladas en listas de sanciones.</t>
        </is>
      </c>
      <c r="F510" s="208" t="inlineStr">
        <is>
          <t>Cesiones a favor de vehículos del extranjero con beneficiario poco claro, sin coincidencias en listas.</t>
        </is>
      </c>
      <c r="G510" s="208" t="inlineStr">
        <is>
          <t>Cesión entre partes identificadas, con causa y contraprestación documentadas.</t>
        </is>
      </c>
    </row>
    <row r="511" ht="18.75" customHeight="1" s="173">
      <c r="A511" s="208">
        <f>B511&amp;"-"&amp;C511</f>
        <v/>
      </c>
      <c r="B511" s="344" t="inlineStr">
        <is>
          <t>XII - CORREDORES: Modif. o cesión fideicomiso</t>
        </is>
      </c>
      <c r="C511" s="345" t="n">
        <v>6</v>
      </c>
      <c r="D511" s="208" t="inlineStr">
        <is>
          <t>Tipo de persona y estructura</t>
        </is>
      </c>
      <c r="E511" s="208" t="inlineStr">
        <is>
          <t>Cedente o cesionario persona moral extranjera o estructura opaca.</t>
        </is>
      </c>
      <c r="F511" s="208" t="inlineStr">
        <is>
          <t>Parte persona moral nacional estándar.</t>
        </is>
      </c>
      <c r="G511" s="208" t="inlineStr">
        <is>
          <t>Partes persona física identificadas.</t>
        </is>
      </c>
    </row>
    <row r="512" ht="18.75" customHeight="1" s="173">
      <c r="A512" s="208">
        <f>B512&amp;"-"&amp;C512</f>
        <v/>
      </c>
      <c r="B512" s="344" t="inlineStr">
        <is>
          <t>XII - CORREDORES: Modif. o cesión fideicomiso</t>
        </is>
      </c>
      <c r="C512" s="345" t="n">
        <v>7</v>
      </c>
      <c r="D512" s="208" t="inlineStr">
        <is>
          <t>Edad / fecha de constitución</t>
        </is>
      </c>
      <c r="E512" s="208" t="inlineStr">
        <is>
          <t>Derechos cedidos poco después de constituidos, o parte recién creada.</t>
        </is>
      </c>
      <c r="F512" s="208" t="inlineStr">
        <is>
          <t>Antiguedad intermedia de los derechos o de las partes.</t>
        </is>
      </c>
      <c r="G512" s="208" t="inlineStr">
        <is>
          <t>Derechos y partes con historial consolidado y verificable.</t>
        </is>
      </c>
    </row>
    <row r="513" ht="18.75" customHeight="1" s="173">
      <c r="A513" s="208">
        <f>B513&amp;"-"&amp;C513</f>
        <v/>
      </c>
      <c r="B513" s="344" t="inlineStr">
        <is>
          <t>XII - CORREDORES: Modif. o cesión fideicomiso</t>
        </is>
      </c>
      <c r="C513" s="345" t="n">
        <v>8</v>
      </c>
      <c r="D513" s="208" t="inlineStr">
        <is>
          <t>Actividad económica o giro (y fuente de ingresos)</t>
        </is>
      </c>
      <c r="E513" s="208" t="inlineStr">
        <is>
          <t>Parte con giro informal, en efectivo o ligado a otras AV.</t>
        </is>
      </c>
      <c r="F513" s="208" t="inlineStr">
        <is>
          <t>Giro formal de riesgo medio.</t>
        </is>
      </c>
      <c r="G513" s="208" t="inlineStr">
        <is>
          <t>Giro formal de bajo riesgo con ingresos claros.</t>
        </is>
      </c>
    </row>
    <row r="514" ht="18.75" customHeight="1" s="173">
      <c r="A514" s="208">
        <f>B514&amp;"-"&amp;C514</f>
        <v/>
      </c>
      <c r="B514" s="344" t="inlineStr">
        <is>
          <t>XII - CORREDORES: Modif. o cesión fideicomiso</t>
        </is>
      </c>
      <c r="C514" s="345" t="n">
        <v>9</v>
      </c>
      <c r="D514" s="208" t="inlineStr">
        <is>
          <t>Nacionalidad del cliente</t>
        </is>
      </c>
      <c r="E514" s="208" t="inlineStr">
        <is>
          <t>Cliente de país en listas GAFI, sancionado o de régimen fiscal preferente.</t>
        </is>
      </c>
      <c r="F514" s="208" t="inlineStr">
        <is>
          <t>Nacionalidad extranjera de país sin alertas relevantes.</t>
        </is>
      </c>
      <c r="G514" s="208" t="inlineStr">
        <is>
          <t>Cliente mexicano o de país cooperante sin observaciones.</t>
        </is>
      </c>
    </row>
    <row r="515" ht="18.75" customHeight="1" s="173">
      <c r="A515" s="208">
        <f>B515&amp;"-"&amp;C515</f>
        <v/>
      </c>
      <c r="B515" s="344" t="inlineStr">
        <is>
          <t>XII - CORREDORES: Modif. o cesión fideicomiso</t>
        </is>
      </c>
      <c r="C515" s="345" t="n">
        <v>10</v>
      </c>
      <c r="D515" s="208" t="inlineStr">
        <is>
          <t>País (y en su caso, estado) de residencia del cliente</t>
        </is>
      </c>
      <c r="E515" s="208" t="inlineStr">
        <is>
          <t>Reside en jurisdicción de alto riesgo o con domicilio no verificable.</t>
        </is>
      </c>
      <c r="F515" s="208" t="inlineStr">
        <is>
          <t>Reside en el extranjero en país cooperante, con domicilio comprobable.</t>
        </is>
      </c>
      <c r="G515" s="208" t="inlineStr">
        <is>
          <t>Residencia nacional verificada y estable.</t>
        </is>
      </c>
    </row>
    <row r="516" ht="18.75" customHeight="1" s="173">
      <c r="A516" s="208">
        <f>B516&amp;"-"&amp;C516</f>
        <v/>
      </c>
      <c r="B516" s="344" t="inlineStr">
        <is>
          <t>XII - CORREDORES: Modif. o cesión fideicomiso</t>
        </is>
      </c>
      <c r="C516" s="345" t="n">
        <v>11</v>
      </c>
      <c r="D516" s="208" t="inlineStr">
        <is>
          <t>Condición PEP</t>
        </is>
      </c>
      <c r="E516" s="208" t="inlineStr">
        <is>
          <t>PEP nacional o extranjera, o allegado que actua por su cuenta.</t>
        </is>
      </c>
      <c r="F516" s="208" t="inlineStr">
        <is>
          <t>Vinculo indirecto con PEP o PEP de perfil menor, monitoreado.</t>
        </is>
      </c>
      <c r="G516" s="208" t="inlineStr">
        <is>
          <t>Sin condición PEP ni vínculos con funcionarios.</t>
        </is>
      </c>
    </row>
    <row r="517" ht="18.75" customHeight="1" s="173">
      <c r="A517" s="208">
        <f>B517&amp;"-"&amp;C517</f>
        <v/>
      </c>
      <c r="B517" s="344" t="inlineStr">
        <is>
          <t>XII - CORREDORES: Modif. o cesión fideicomiso</t>
        </is>
      </c>
      <c r="C517" s="345" t="n">
        <v>12</v>
      </c>
      <c r="D517" s="208" t="inlineStr">
        <is>
          <t>Coincidencia en listas de personas bloqueadas o de sanciones</t>
        </is>
      </c>
      <c r="E517" s="208" t="inlineStr">
        <is>
          <t>El fideicomitente o cesionario, su beneficiario controlador, apoderado o contraparte aparece en la Lista de Personas Bloqueadas, en listas de sanciones o en listas de organizaciones terroristas, o presenta una coincidencia fuerte que no ha sido descartada.</t>
        </is>
      </c>
      <c r="F517" s="208" t="inlineStr">
        <is>
          <t>Se detecta coincidencia parcial u homonimia respecto del fideicomitente o cesionario o de alguna persona relacionada, y el descarte se encuentra en proceso con constancia documental.</t>
        </is>
      </c>
      <c r="G517" s="208" t="inlineStr">
        <is>
          <t>Búsqueda realizada y documentada sobre el fideicomitente o cesionario y sus personas relacionadas, sin coincidencias.</t>
        </is>
      </c>
    </row>
    <row r="518" ht="18.75" customHeight="1" s="173">
      <c r="A518" s="208">
        <f>B518&amp;"-"&amp;C518</f>
        <v/>
      </c>
      <c r="B518" s="344" t="inlineStr">
        <is>
          <t>XII - CORREDORES: Modif. o cesión fideicomiso</t>
        </is>
      </c>
      <c r="C518" s="345" t="n">
        <v>13</v>
      </c>
      <c r="D518" s="208" t="inlineStr">
        <is>
          <t>Identificación y complejidad del Beneficiario Controlador</t>
        </is>
      </c>
      <c r="E518" s="208" t="inlineStr">
        <is>
          <t>No se logra identificar al beneficiario controlador del fideicomitente o cesionario, o la estructura interpone dos o más niveles societarios, fiduciarios o vehículos constituidos en el extranjero para llegar al 25 por ciento.</t>
        </is>
      </c>
      <c r="F518" s="208" t="inlineStr">
        <is>
          <t>Beneficiario controlador identificado, pero a través de una estructura de más de un nivel o con participación indirecta que exigió reconstruir la cadena de control con documentos.</t>
        </is>
      </c>
      <c r="G518" s="208" t="inlineStr">
        <is>
          <t>Beneficiario controlador identificado de forma directa y documentada: persona física que posee al menos el 25 por ciento o que ejerce el control por otra vía acreditada.</t>
        </is>
      </c>
    </row>
    <row r="519" ht="18.75" customHeight="1" s="173">
      <c r="A519" s="208">
        <f>B519&amp;"-"&amp;C519</f>
        <v/>
      </c>
      <c r="B519" s="344" t="inlineStr">
        <is>
          <t>XII - CORREDORES: Modif. o cesión fideicomiso</t>
        </is>
      </c>
      <c r="C519" s="345" t="n">
        <v>14</v>
      </c>
      <c r="D519" s="208" t="inlineStr">
        <is>
          <t>País / jurisdicción donde se realiza la operación</t>
        </is>
      </c>
      <c r="E519" s="208" t="inlineStr">
        <is>
          <t>Operación con o desde jurisdicción de alto riesgo o no cooperante.</t>
        </is>
      </c>
      <c r="F519" s="208" t="inlineStr">
        <is>
          <t>Operación con componente internacional en país cooperante.</t>
        </is>
      </c>
      <c r="G519" s="208" t="inlineStr">
        <is>
          <t>Operación integramente nacional.</t>
        </is>
      </c>
    </row>
    <row r="520" ht="18.75" customHeight="1" s="173">
      <c r="A520" s="208">
        <f>B520&amp;"-"&amp;C520</f>
        <v/>
      </c>
      <c r="B520" s="344" t="inlineStr">
        <is>
          <t>XII - CORREDORES: Modif. o cesión fideicomiso</t>
        </is>
      </c>
      <c r="C520" s="345" t="n">
        <v>15</v>
      </c>
      <c r="D520" s="208" t="inlineStr">
        <is>
          <t>Área geográfica nacional de la operación</t>
        </is>
      </c>
      <c r="E520" s="208" t="inlineStr">
        <is>
          <t>Zona de alta incidencia delictiva, marginacion o frontera.</t>
        </is>
      </c>
      <c r="F520" s="208" t="inlineStr">
        <is>
          <t>Zona urbana ordinaria sin alertas particulares.</t>
        </is>
      </c>
      <c r="G520" s="208" t="inlineStr">
        <is>
          <t>Zona de bajo riesgo con actividad económica formal.</t>
        </is>
      </c>
    </row>
    <row r="521" ht="18.75" customHeight="1" s="173">
      <c r="A521" s="208">
        <f>B521&amp;"-"&amp;C521</f>
        <v/>
      </c>
      <c r="B521" s="344" t="inlineStr">
        <is>
          <t>XII - CORREDORES: Modif. o cesión fideicomiso</t>
        </is>
      </c>
      <c r="C521" s="345" t="n">
        <v>16</v>
      </c>
      <c r="D521" s="208" t="inlineStr">
        <is>
          <t>Vínculo con jurisdicciones sancionadas, en conflicto o de acción requerida por el GAFI</t>
        </is>
      </c>
      <c r="E521" s="208" t="inlineStr">
        <is>
          <t>Existe exposición a jurisdicciones sancionadas, en conflicto armado o de acción requerida del GAFI, por la vía de cesionarios o fiduciarias del extranjero.</t>
        </is>
      </c>
      <c r="F521" s="208" t="inlineStr">
        <is>
          <t>Vínculo con jurisdicciones bajo monitoreo intensificado del GAFI o con deficiencias señaladas en la ENR, sin estar sancionadas ni en conflicto.</t>
        </is>
      </c>
      <c r="G521" s="208" t="inlineStr">
        <is>
          <t>Sin vínculo con jurisdicciones sancionadas, en conflicto o listadas por el GAFI; la operación y sus partes se ubican en plazas sin señalamientos.</t>
        </is>
      </c>
    </row>
    <row r="522" ht="18.75" customHeight="1" s="173">
      <c r="A522" s="208">
        <f>B522&amp;"-"&amp;C522</f>
        <v/>
      </c>
      <c r="B522" s="344" t="inlineStr">
        <is>
          <t>XII - CORREDORES: Modif. o cesión fideicomiso</t>
        </is>
      </c>
      <c r="C522" s="345" t="n">
        <v>17</v>
      </c>
      <c r="D522" s="208" t="inlineStr">
        <is>
          <t>Congruencia entre el domicilio del Cliente y el lugar de la operación</t>
        </is>
      </c>
      <c r="E522" s="208" t="inlineStr">
        <is>
          <t>El domicilio del fideicomitente o cesionario no guarda relación económica ni logística con el lugar donde se realiza la modificación o cesión de derechos del fideicomiso, y no existe explicación documentada del desplazamiento.</t>
        </is>
      </c>
      <c r="F522" s="208" t="inlineStr">
        <is>
          <t>Existe distancia relevante entre el domicilio del fideicomitente o cesionario y el lugar de la operación, con explicación plausible pero no soportada en el expediente.</t>
        </is>
      </c>
      <c r="G522" s="208" t="inlineStr">
        <is>
          <t>El domicilio del fideicomitente o cesionario corresponde a la plaza donde se realiza la modificación o cesión de derechos del fideicomiso, o el desplazamiento está justificado y documentado.</t>
        </is>
      </c>
    </row>
    <row r="523" ht="18.75" customHeight="1" s="173">
      <c r="A523" s="208">
        <f>B523&amp;"-"&amp;C523</f>
        <v/>
      </c>
      <c r="B523" s="344" t="inlineStr">
        <is>
          <t>XII - CORREDORES: Modif. o cesión fideicomiso</t>
        </is>
      </c>
      <c r="C523" s="345" t="n">
        <v>18</v>
      </c>
      <c r="D523" s="208" t="inlineStr">
        <is>
          <t>Instrumento monetario</t>
        </is>
      </c>
      <c r="E523" s="208" t="inlineStr">
        <is>
          <t>Pago o aportacion en efectivo, instrumentos al portador o criptoactivos.</t>
        </is>
      </c>
      <c r="F523" s="208" t="inlineStr">
        <is>
          <t>Pago mediante cheque o transferencia con trazabilidad parcial.</t>
        </is>
      </c>
      <c r="G523" s="208" t="inlineStr">
        <is>
          <t>Pago mediante transferencia bancaria nominativa trazable.</t>
        </is>
      </c>
    </row>
    <row r="524" ht="18.75" customHeight="1" s="173">
      <c r="A524" s="208">
        <f>B524&amp;"-"&amp;C524</f>
        <v/>
      </c>
      <c r="B524" s="344" t="inlineStr">
        <is>
          <t>XII - CORREDORES: Modif. o cesión fideicomiso</t>
        </is>
      </c>
      <c r="C524" s="345" t="n">
        <v>19</v>
      </c>
      <c r="D524" s="208" t="inlineStr">
        <is>
          <t>Tipo de moneda</t>
        </is>
      </c>
      <c r="E524" s="208" t="inlineStr">
        <is>
          <t>Moneda extranjera distinta al USD o criptomonedas.</t>
        </is>
      </c>
      <c r="F524" s="208" t="inlineStr">
        <is>
          <t>Operación en dolares estadounidenses (USD).</t>
        </is>
      </c>
      <c r="G524" s="208" t="inlineStr">
        <is>
          <t>Operación en pesos mexicanos.</t>
        </is>
      </c>
    </row>
    <row r="525" ht="18.75" customHeight="1" s="173">
      <c r="A525" s="208">
        <f>B525&amp;"-"&amp;C525</f>
        <v/>
      </c>
      <c r="B525" s="344" t="inlineStr">
        <is>
          <t>XII - CORREDORES: Modif. o cesión fideicomiso</t>
        </is>
      </c>
      <c r="C525" s="345" t="n">
        <v>20</v>
      </c>
      <c r="D525" s="208" t="inlineStr">
        <is>
          <t>Monto frente a umbrales LFPIORPI</t>
        </is>
      </c>
      <c r="E525" s="208" t="inlineStr">
        <is>
          <t>Aviso obligatorio siempre; cesión de alto valor.</t>
        </is>
      </c>
      <c r="F525" s="208" t="inlineStr">
        <is>
          <t>Aviso obligatorio siempre; cesión de valor intermedio.</t>
        </is>
      </c>
      <c r="G525" s="208" t="inlineStr">
        <is>
          <t>Aviso obligatorio siempre; cesión de valor reducido.</t>
        </is>
      </c>
    </row>
    <row r="526" ht="18.75" customHeight="1" s="173">
      <c r="A526" s="208">
        <f>B526&amp;"-"&amp;C526</f>
        <v/>
      </c>
      <c r="B526" s="344" t="inlineStr">
        <is>
          <t>XII - CORREDORES: Modif. o cesión fideicomiso</t>
        </is>
      </c>
      <c r="C526" s="345" t="n">
        <v>21</v>
      </c>
      <c r="D526" s="208" t="inlineStr">
        <is>
          <t>Frecuencia (fraccionamiento)</t>
        </is>
      </c>
      <c r="E526" s="208" t="inlineStr">
        <is>
          <t>Cesiones frecuentes o fraccionadas de derechos fiduciarios.</t>
        </is>
      </c>
      <c r="F526" s="208" t="inlineStr">
        <is>
          <t>Cesiones ocasionales sin patron evidente.</t>
        </is>
      </c>
      <c r="G526" s="208" t="inlineStr">
        <is>
          <t>Cesión única, congruente con el perfil.</t>
        </is>
      </c>
    </row>
    <row r="527" ht="18.75" customHeight="1" s="173">
      <c r="A527" s="208">
        <f>B527&amp;"-"&amp;C527</f>
        <v/>
      </c>
      <c r="B527" s="344" t="inlineStr">
        <is>
          <t>XII - CORREDORES: Modif. o cesión fideicomiso</t>
        </is>
      </c>
      <c r="C527" s="345" t="n">
        <v>22</v>
      </c>
      <c r="D527" s="208" t="inlineStr">
        <is>
          <t>Canal (presencial / no presencial / terceros)</t>
        </is>
      </c>
      <c r="E527" s="208" t="inlineStr">
        <is>
          <t>Operación no presencial o a traves de terceros sin contacto directo.</t>
        </is>
      </c>
      <c r="F527" s="208" t="inlineStr">
        <is>
          <t>Contacto mixto o mediante representante identificado.</t>
        </is>
      </c>
      <c r="G527" s="208" t="inlineStr">
        <is>
          <t>Cliente atendido de forma presencial y directa.</t>
        </is>
      </c>
    </row>
    <row r="528" ht="18.75" customHeight="1" s="173">
      <c r="A528" s="208">
        <f>B528&amp;"-"&amp;C528</f>
        <v/>
      </c>
      <c r="B528" s="344" t="inlineStr">
        <is>
          <t>XII - CORREDORES: Modif. o cesión fideicomiso</t>
        </is>
      </c>
      <c r="C528" s="345" t="n">
        <v>23</v>
      </c>
      <c r="D528" s="208" t="inlineStr">
        <is>
          <t>Origen de los recursos</t>
        </is>
      </c>
      <c r="E528" s="208" t="inlineStr">
        <is>
          <t>Derechos fiduciarios de origen no acreditable o adquisicion dudosa.</t>
        </is>
      </c>
      <c r="F528" s="208" t="inlineStr">
        <is>
          <t>Origen de los derechos con soporte parcial.</t>
        </is>
      </c>
      <c r="G528" s="208" t="inlineStr">
        <is>
          <t>Derechos de origen lícito documentado.</t>
        </is>
      </c>
    </row>
    <row r="529" ht="18.75" customHeight="1" s="173">
      <c r="A529" s="208">
        <f>B529&amp;"-"&amp;C529</f>
        <v/>
      </c>
      <c r="B529" s="344" t="inlineStr">
        <is>
          <t>XII - CORREDORES: Modif. o cesión fideicomiso</t>
        </is>
      </c>
      <c r="C529" s="345" t="n">
        <v>24</v>
      </c>
      <c r="D529" s="208" t="inlineStr">
        <is>
          <t>Destino de los recursos</t>
        </is>
      </c>
      <c r="E529" s="208" t="inlineStr">
        <is>
          <t>Producto de la cesión con destino opaco, a terceros o al exterior.</t>
        </is>
      </c>
      <c r="F529" s="208" t="inlineStr">
        <is>
          <t>Destino de la contraprestacion parcialmente justificado.</t>
        </is>
      </c>
      <c r="G529" s="208" t="inlineStr">
        <is>
          <t>Destino de la contraprestacion claro y documentado.</t>
        </is>
      </c>
    </row>
    <row r="530" ht="18.75" customHeight="1" s="173">
      <c r="A530" s="208">
        <f>B530&amp;"-"&amp;C530</f>
        <v/>
      </c>
      <c r="B530" s="344" t="inlineStr">
        <is>
          <t>XII - CORREDORES: Modif. o cesión fideicomiso</t>
        </is>
      </c>
      <c r="C530" s="345" t="n">
        <v>25</v>
      </c>
      <c r="D530" s="208" t="inlineStr">
        <is>
          <t>Canales e instrumentos idóneos para el financiamiento al terrorismo</t>
        </is>
      </c>
      <c r="E530" s="208" t="inlineStr">
        <is>
          <t>La operación se realiza mediante cesión a distancia a favor de cesionarios no identificados, es decir, medios que permiten mover valor en montos pequeños sin identificar al destinatario final.</t>
        </is>
      </c>
      <c r="F530" s="208" t="inlineStr">
        <is>
          <t>Canal mixto o con verificación parcial: hay registro de la operación pero la trazabilidad del destinatario final es incompleta.</t>
        </is>
      </c>
      <c r="G530" s="208" t="inlineStr">
        <is>
          <t>Cesión con partes identificadas y contraprestación bancarizada, con trazabilidad completa del origen y del destinatario.</t>
        </is>
      </c>
    </row>
    <row r="531" ht="18.75" customHeight="1" s="173">
      <c r="A531" s="208">
        <f>B531&amp;"-"&amp;C531</f>
        <v/>
      </c>
      <c r="B531" s="344" t="inlineStr">
        <is>
          <t>XII - CORREDORES: Mutuo mercantil</t>
        </is>
      </c>
      <c r="C531" s="345" t="n">
        <v>1</v>
      </c>
      <c r="D531" s="208" t="inlineStr">
        <is>
          <t>Valor del producto o servicio</t>
        </is>
      </c>
      <c r="E531" s="208" t="inlineStr">
        <is>
          <t>Mutuo mercantil de alto valor.</t>
        </is>
      </c>
      <c r="F531" s="208" t="inlineStr">
        <is>
          <t>Mutuo mercantil de valor intermedio.</t>
        </is>
      </c>
      <c r="G531" s="208" t="inlineStr">
        <is>
          <t>Mutuo mercantil de bajo valor, documentado.</t>
        </is>
      </c>
    </row>
    <row r="532" ht="18.75" customHeight="1" s="173">
      <c r="A532" s="208">
        <f>B532&amp;"-"&amp;C532</f>
        <v/>
      </c>
      <c r="B532" s="344" t="inlineStr">
        <is>
          <t>XII - CORREDORES: Mutuo mercantil</t>
        </is>
      </c>
      <c r="C532" s="345" t="n">
        <v>2</v>
      </c>
      <c r="D532" s="208" t="inlineStr">
        <is>
          <t>Liquidez / convertibilidad</t>
        </is>
      </c>
      <c r="E532" s="208" t="inlineStr">
        <is>
          <t>Préstamo mercantil que permite mover recursos con rapidez.</t>
        </is>
      </c>
      <c r="F532" s="208" t="inlineStr">
        <is>
          <t>Mutuo con disposición condicionada.</t>
        </is>
      </c>
      <c r="G532" s="208" t="inlineStr">
        <is>
          <t>Mutuo de bajo monto con calendario definido.</t>
        </is>
      </c>
    </row>
    <row r="533" ht="18.75" customHeight="1" s="173">
      <c r="A533" s="208">
        <f>B533&amp;"-"&amp;C533</f>
        <v/>
      </c>
      <c r="B533" s="344" t="inlineStr">
        <is>
          <t>XII - CORREDORES: Mutuo mercantil</t>
        </is>
      </c>
      <c r="C533" s="345" t="n">
        <v>3</v>
      </c>
      <c r="D533" s="208" t="inlineStr">
        <is>
          <t>Anonimato / identificación del beneficiario</t>
        </is>
      </c>
      <c r="E533" s="208" t="inlineStr">
        <is>
          <t>Mutuo que encubre al verdadero aportante o beneficiario de fondos.</t>
        </is>
      </c>
      <c r="F533" s="208" t="inlineStr">
        <is>
          <t>Partes identificables con vínculo poco claro.</t>
        </is>
      </c>
      <c r="G533" s="208" t="inlineStr">
        <is>
          <t>Mutuante y mutuatario plenamente identificados.</t>
        </is>
      </c>
    </row>
    <row r="534" ht="18.75" customHeight="1" s="173">
      <c r="A534" s="208">
        <f>B534&amp;"-"&amp;C534</f>
        <v/>
      </c>
      <c r="B534" s="344" t="inlineStr">
        <is>
          <t>XII - CORREDORES: Mutuo mercantil</t>
        </is>
      </c>
      <c r="C534" s="345" t="n">
        <v>4</v>
      </c>
      <c r="D534" s="208" t="inlineStr">
        <is>
          <t>Transferencia u ocultamiento de valor</t>
        </is>
      </c>
      <c r="E534" s="208" t="inlineStr">
        <is>
          <t>Contrato usado para simular y circular fondos ilícitos.</t>
        </is>
      </c>
      <c r="F534" s="208" t="inlineStr">
        <is>
          <t>Flujo del mutuo con trazabilidad parcial.</t>
        </is>
      </c>
      <c r="G534" s="208" t="inlineStr">
        <is>
          <t>Flujo del mutuo plenamente trazable.</t>
        </is>
      </c>
    </row>
    <row r="535" ht="18.75" customHeight="1" s="173">
      <c r="A535" s="208">
        <f>B535&amp;"-"&amp;C535</f>
        <v/>
      </c>
      <c r="B535" s="344" t="inlineStr">
        <is>
          <t>XII - CORREDORES: Mutuo mercantil</t>
        </is>
      </c>
      <c r="C535" s="345" t="n">
        <v>5</v>
      </c>
      <c r="D535" s="208" t="inlineStr">
        <is>
          <t>Exposición del acto u operación al financiamiento al terrorismo</t>
        </is>
      </c>
      <c r="E535" s="208" t="inlineStr">
        <is>
          <t>Mutuos mercantiles con partes vinculadas con personas u organizaciones señaladas en listas de sanciones.</t>
        </is>
      </c>
      <c r="F535" s="208" t="inlineStr">
        <is>
          <t>Mutuos entre partes sin relación comercial acreditada o con recursos del extranjero, sin coincidencias en listas.</t>
        </is>
      </c>
      <c r="G535" s="208" t="inlineStr">
        <is>
          <t>Mutuo entre partes identificadas, con relación comercial acreditada y entrega bancarizada.</t>
        </is>
      </c>
    </row>
    <row r="536" ht="18.75" customHeight="1" s="173">
      <c r="A536" s="208">
        <f>B536&amp;"-"&amp;C536</f>
        <v/>
      </c>
      <c r="B536" s="344" t="inlineStr">
        <is>
          <t>XII - CORREDORES: Mutuo mercantil</t>
        </is>
      </c>
      <c r="C536" s="345" t="n">
        <v>6</v>
      </c>
      <c r="D536" s="208" t="inlineStr">
        <is>
          <t>Tipo de persona y estructura</t>
        </is>
      </c>
      <c r="E536" s="208" t="inlineStr">
        <is>
          <t>Parte persona moral extranjera o estructura opaca.</t>
        </is>
      </c>
      <c r="F536" s="208" t="inlineStr">
        <is>
          <t>Parte persona moral nacional estándar.</t>
        </is>
      </c>
      <c r="G536" s="208" t="inlineStr">
        <is>
          <t>Partes con estructura transparente identificada.</t>
        </is>
      </c>
    </row>
    <row r="537" ht="18.75" customHeight="1" s="173">
      <c r="A537" s="208">
        <f>B537&amp;"-"&amp;C537</f>
        <v/>
      </c>
      <c r="B537" s="344" t="inlineStr">
        <is>
          <t>XII - CORREDORES: Mutuo mercantil</t>
        </is>
      </c>
      <c r="C537" s="345" t="n">
        <v>7</v>
      </c>
      <c r="D537" s="208" t="inlineStr">
        <is>
          <t>Edad / fecha de constitución</t>
        </is>
      </c>
      <c r="E537" s="208" t="inlineStr">
        <is>
          <t>Parte de reciente creacion o perfil atípico.</t>
        </is>
      </c>
      <c r="F537" s="208" t="inlineStr">
        <is>
          <t>Partes con antigüedad intermedia.</t>
        </is>
      </c>
      <c r="G537" s="208" t="inlineStr">
        <is>
          <t>Partes consolidadas con historial verificable.</t>
        </is>
      </c>
    </row>
    <row r="538" ht="18.75" customHeight="1" s="173">
      <c r="A538" s="208">
        <f>B538&amp;"-"&amp;C538</f>
        <v/>
      </c>
      <c r="B538" s="344" t="inlineStr">
        <is>
          <t>XII - CORREDORES: Mutuo mercantil</t>
        </is>
      </c>
      <c r="C538" s="345" t="n">
        <v>8</v>
      </c>
      <c r="D538" s="208" t="inlineStr">
        <is>
          <t>Actividad económica o giro (y fuente de ingresos)</t>
        </is>
      </c>
      <c r="E538" s="208" t="inlineStr">
        <is>
          <t>Prestamista con giro informal, en efectivo o sin capacidad congruente.</t>
        </is>
      </c>
      <c r="F538" s="208" t="inlineStr">
        <is>
          <t>Giro formal de riesgo medio con ingresos documentables.</t>
        </is>
      </c>
      <c r="G538" s="208" t="inlineStr">
        <is>
          <t>Giro formal de bajo riesgo, capacidad económica congruente.</t>
        </is>
      </c>
    </row>
    <row r="539" ht="18.75" customHeight="1" s="173">
      <c r="A539" s="208">
        <f>B539&amp;"-"&amp;C539</f>
        <v/>
      </c>
      <c r="B539" s="344" t="inlineStr">
        <is>
          <t>XII - CORREDORES: Mutuo mercantil</t>
        </is>
      </c>
      <c r="C539" s="345" t="n">
        <v>9</v>
      </c>
      <c r="D539" s="208" t="inlineStr">
        <is>
          <t>Nacionalidad del cliente</t>
        </is>
      </c>
      <c r="E539" s="208" t="inlineStr">
        <is>
          <t>Cliente de país en listas GAFI, sancionado o de régimen fiscal preferente.</t>
        </is>
      </c>
      <c r="F539" s="208" t="inlineStr">
        <is>
          <t>Nacionalidad extranjera de país sin alertas relevantes.</t>
        </is>
      </c>
      <c r="G539" s="208" t="inlineStr">
        <is>
          <t>Cliente mexicano o de país cooperante sin observaciones.</t>
        </is>
      </c>
    </row>
    <row r="540" ht="18.75" customHeight="1" s="173">
      <c r="A540" s="208">
        <f>B540&amp;"-"&amp;C540</f>
        <v/>
      </c>
      <c r="B540" s="344" t="inlineStr">
        <is>
          <t>XII - CORREDORES: Mutuo mercantil</t>
        </is>
      </c>
      <c r="C540" s="345" t="n">
        <v>10</v>
      </c>
      <c r="D540" s="208" t="inlineStr">
        <is>
          <t>País (y en su caso, estado) de residencia del cliente</t>
        </is>
      </c>
      <c r="E540" s="208" t="inlineStr">
        <is>
          <t>Reside en jurisdicción de alto riesgo o con domicilio no verificable.</t>
        </is>
      </c>
      <c r="F540" s="208" t="inlineStr">
        <is>
          <t>Reside en el extranjero en país cooperante, con domicilio comprobable.</t>
        </is>
      </c>
      <c r="G540" s="208" t="inlineStr">
        <is>
          <t>Residencia nacional verificada y estable.</t>
        </is>
      </c>
    </row>
    <row r="541" ht="18.75" customHeight="1" s="173">
      <c r="A541" s="208">
        <f>B541&amp;"-"&amp;C541</f>
        <v/>
      </c>
      <c r="B541" s="344" t="inlineStr">
        <is>
          <t>XII - CORREDORES: Mutuo mercantil</t>
        </is>
      </c>
      <c r="C541" s="345" t="n">
        <v>11</v>
      </c>
      <c r="D541" s="208" t="inlineStr">
        <is>
          <t>Condición PEP</t>
        </is>
      </c>
      <c r="E541" s="208" t="inlineStr">
        <is>
          <t>PEP nacional o extranjera, o allegado que actua por su cuenta.</t>
        </is>
      </c>
      <c r="F541" s="208" t="inlineStr">
        <is>
          <t>Vinculo indirecto con PEP o PEP de perfil menor, monitoreado.</t>
        </is>
      </c>
      <c r="G541" s="208" t="inlineStr">
        <is>
          <t>Sin condición PEP ni vínculos con funcionarios.</t>
        </is>
      </c>
    </row>
    <row r="542" ht="18.75" customHeight="1" s="173">
      <c r="A542" s="208">
        <f>B542&amp;"-"&amp;C542</f>
        <v/>
      </c>
      <c r="B542" s="344" t="inlineStr">
        <is>
          <t>XII - CORREDORES: Mutuo mercantil</t>
        </is>
      </c>
      <c r="C542" s="345" t="n">
        <v>12</v>
      </c>
      <c r="D542" s="208" t="inlineStr">
        <is>
          <t>Coincidencia en listas de personas bloqueadas o de sanciones</t>
        </is>
      </c>
      <c r="E542" s="208" t="inlineStr">
        <is>
          <t>El mutuante o mutuatario, su beneficiario controlador, apoderado o contraparte aparece en la Lista de Personas Bloqueadas, en listas de sanciones o en listas de organizaciones terroristas, o presenta una coincidencia fuerte que no ha sido descartada.</t>
        </is>
      </c>
      <c r="F542" s="208" t="inlineStr">
        <is>
          <t>Se detecta coincidencia parcial u homonimia respecto del mutuante o mutuatario o de alguna persona relacionada, y el descarte se encuentra en proceso con constancia documental.</t>
        </is>
      </c>
      <c r="G542" s="208" t="inlineStr">
        <is>
          <t>Búsqueda realizada y documentada sobre el mutuante o mutuatario y sus personas relacionadas, sin coincidencias.</t>
        </is>
      </c>
    </row>
    <row r="543" ht="18.75" customHeight="1" s="173">
      <c r="A543" s="208">
        <f>B543&amp;"-"&amp;C543</f>
        <v/>
      </c>
      <c r="B543" s="344" t="inlineStr">
        <is>
          <t>XII - CORREDORES: Mutuo mercantil</t>
        </is>
      </c>
      <c r="C543" s="345" t="n">
        <v>13</v>
      </c>
      <c r="D543" s="208" t="inlineStr">
        <is>
          <t>Identificación y complejidad del Beneficiario Controlador</t>
        </is>
      </c>
      <c r="E543" s="208" t="inlineStr">
        <is>
          <t>No se logra identificar al beneficiario controlador del mutuante o mutuatario, o la estructura interpone dos o más niveles societarios, fiduciarios o vehículos constituidos en el extranjero para llegar al 25 por ciento.</t>
        </is>
      </c>
      <c r="F543" s="208" t="inlineStr">
        <is>
          <t>Beneficiario controlador identificado, pero a través de una estructura de más de un nivel o con participación indirecta que exigió reconstruir la cadena de control con documentos.</t>
        </is>
      </c>
      <c r="G543" s="208" t="inlineStr">
        <is>
          <t>Beneficiario controlador identificado de forma directa y documentada: persona física que posee al menos el 25 por ciento o que ejerce el control por otra vía acreditada.</t>
        </is>
      </c>
    </row>
    <row r="544" ht="18.75" customHeight="1" s="173">
      <c r="A544" s="208">
        <f>B544&amp;"-"&amp;C544</f>
        <v/>
      </c>
      <c r="B544" s="344" t="inlineStr">
        <is>
          <t>XII - CORREDORES: Mutuo mercantil</t>
        </is>
      </c>
      <c r="C544" s="345" t="n">
        <v>14</v>
      </c>
      <c r="D544" s="208" t="inlineStr">
        <is>
          <t>País / jurisdicción donde se realiza la operación</t>
        </is>
      </c>
      <c r="E544" s="208" t="inlineStr">
        <is>
          <t>Operación con o desde jurisdicción de alto riesgo o no cooperante.</t>
        </is>
      </c>
      <c r="F544" s="208" t="inlineStr">
        <is>
          <t>Operación con componente internacional en país cooperante.</t>
        </is>
      </c>
      <c r="G544" s="208" t="inlineStr">
        <is>
          <t>Operación integramente nacional.</t>
        </is>
      </c>
    </row>
    <row r="545" ht="18.75" customHeight="1" s="173">
      <c r="A545" s="208">
        <f>B545&amp;"-"&amp;C545</f>
        <v/>
      </c>
      <c r="B545" s="344" t="inlineStr">
        <is>
          <t>XII - CORREDORES: Mutuo mercantil</t>
        </is>
      </c>
      <c r="C545" s="345" t="n">
        <v>15</v>
      </c>
      <c r="D545" s="208" t="inlineStr">
        <is>
          <t>Área geográfica nacional de la operación</t>
        </is>
      </c>
      <c r="E545" s="208" t="inlineStr">
        <is>
          <t>Zona de alta incidencia delictiva, marginacion o frontera.</t>
        </is>
      </c>
      <c r="F545" s="208" t="inlineStr">
        <is>
          <t>Zona urbana ordinaria sin alertas particulares.</t>
        </is>
      </c>
      <c r="G545" s="208" t="inlineStr">
        <is>
          <t>Zona de bajo riesgo con actividad económica formal.</t>
        </is>
      </c>
    </row>
    <row r="546" ht="18.75" customHeight="1" s="173">
      <c r="A546" s="208">
        <f>B546&amp;"-"&amp;C546</f>
        <v/>
      </c>
      <c r="B546" s="344" t="inlineStr">
        <is>
          <t>XII - CORREDORES: Mutuo mercantil</t>
        </is>
      </c>
      <c r="C546" s="345" t="n">
        <v>16</v>
      </c>
      <c r="D546" s="208" t="inlineStr">
        <is>
          <t>Vínculo con jurisdicciones sancionadas, en conflicto o de acción requerida por el GAFI</t>
        </is>
      </c>
      <c r="E546" s="208" t="inlineStr">
        <is>
          <t>Existe exposición a jurisdicciones sancionadas, en conflicto armado o de acción requerida del GAFI, por la vía de mutuante o recursos provenientes del extranjero.</t>
        </is>
      </c>
      <c r="F546" s="208" t="inlineStr">
        <is>
          <t>Vínculo con jurisdicciones bajo monitoreo intensificado del GAFI o con deficiencias señaladas en la ENR, sin estar sancionadas ni en conflicto.</t>
        </is>
      </c>
      <c r="G546" s="208" t="inlineStr">
        <is>
          <t>Sin vínculo con jurisdicciones sancionadas, en conflicto o listadas por el GAFI; la operación y sus partes se ubican en plazas sin señalamientos.</t>
        </is>
      </c>
    </row>
    <row r="547" ht="18.75" customHeight="1" s="173">
      <c r="A547" s="208">
        <f>B547&amp;"-"&amp;C547</f>
        <v/>
      </c>
      <c r="B547" s="344" t="inlineStr">
        <is>
          <t>XII - CORREDORES: Mutuo mercantil</t>
        </is>
      </c>
      <c r="C547" s="345" t="n">
        <v>17</v>
      </c>
      <c r="D547" s="208" t="inlineStr">
        <is>
          <t>Congruencia entre el domicilio del Cliente y el lugar de la operación</t>
        </is>
      </c>
      <c r="E547" s="208" t="inlineStr">
        <is>
          <t>El domicilio del mutuante o mutuatario no guarda relación económica ni logística con el lugar donde se realiza el otorgamiento del mutuo mercantil, y no existe explicación documentada del desplazamiento.</t>
        </is>
      </c>
      <c r="F547" s="208" t="inlineStr">
        <is>
          <t>Existe distancia relevante entre el domicilio del mutuante o mutuatario y el lugar de la operación, con explicación plausible pero no soportada en el expediente.</t>
        </is>
      </c>
      <c r="G547" s="208" t="inlineStr">
        <is>
          <t>El domicilio del mutuante o mutuatario corresponde a la plaza donde se realiza el otorgamiento del mutuo mercantil, o el desplazamiento está justificado y documentado.</t>
        </is>
      </c>
    </row>
    <row r="548" ht="18.75" customHeight="1" s="173">
      <c r="A548" s="208">
        <f>B548&amp;"-"&amp;C548</f>
        <v/>
      </c>
      <c r="B548" s="344" t="inlineStr">
        <is>
          <t>XII - CORREDORES: Mutuo mercantil</t>
        </is>
      </c>
      <c r="C548" s="345" t="n">
        <v>18</v>
      </c>
      <c r="D548" s="208" t="inlineStr">
        <is>
          <t>Instrumento monetario</t>
        </is>
      </c>
      <c r="E548" s="208" t="inlineStr">
        <is>
          <t>Entrega del préstamo en efectivo o instrumentos al portador.</t>
        </is>
      </c>
      <c r="F548" s="208" t="inlineStr">
        <is>
          <t>Entrega mediante cheque o transferencia con trazabilidad parcial.</t>
        </is>
      </c>
      <c r="G548" s="208" t="inlineStr">
        <is>
          <t>Entrega mediante transferencia bancaria nominativa trazable.</t>
        </is>
      </c>
    </row>
    <row r="549" ht="18.75" customHeight="1" s="173">
      <c r="A549" s="208">
        <f>B549&amp;"-"&amp;C549</f>
        <v/>
      </c>
      <c r="B549" s="344" t="inlineStr">
        <is>
          <t>XII - CORREDORES: Mutuo mercantil</t>
        </is>
      </c>
      <c r="C549" s="345" t="n">
        <v>19</v>
      </c>
      <c r="D549" s="208" t="inlineStr">
        <is>
          <t>Tipo de moneda</t>
        </is>
      </c>
      <c r="E549" s="208" t="inlineStr">
        <is>
          <t>Moneda extranjera distinta al USD o criptomonedas.</t>
        </is>
      </c>
      <c r="F549" s="208" t="inlineStr">
        <is>
          <t>Operación en dolares estadounidenses (USD).</t>
        </is>
      </c>
      <c r="G549" s="208" t="inlineStr">
        <is>
          <t>Operación en pesos mexicanos.</t>
        </is>
      </c>
    </row>
    <row r="550" ht="18.75" customHeight="1" s="173">
      <c r="A550" s="208">
        <f>B550&amp;"-"&amp;C550</f>
        <v/>
      </c>
      <c r="B550" s="344" t="inlineStr">
        <is>
          <t>XII - CORREDORES: Mutuo mercantil</t>
        </is>
      </c>
      <c r="C550" s="345" t="n">
        <v>20</v>
      </c>
      <c r="D550" s="208" t="inlineStr">
        <is>
          <t>Monto frente a umbrales LFPIORPI</t>
        </is>
      </c>
      <c r="E550" s="208" t="inlineStr">
        <is>
          <t>Aviso obligatorio siempre; mutuo de monto elevado.</t>
        </is>
      </c>
      <c r="F550" s="208" t="inlineStr">
        <is>
          <t>Aviso obligatorio siempre; mutuo de monto intermedio.</t>
        </is>
      </c>
      <c r="G550" s="208" t="inlineStr">
        <is>
          <t>Aviso obligatorio siempre; mutuo de monto reducido.</t>
        </is>
      </c>
    </row>
    <row r="551" ht="18.75" customHeight="1" s="173">
      <c r="A551" s="208">
        <f>B551&amp;"-"&amp;C551</f>
        <v/>
      </c>
      <c r="B551" s="344" t="inlineStr">
        <is>
          <t>XII - CORREDORES: Mutuo mercantil</t>
        </is>
      </c>
      <c r="C551" s="345" t="n">
        <v>21</v>
      </c>
      <c r="D551" s="208" t="inlineStr">
        <is>
          <t>Frecuencia (fraccionamiento)</t>
        </is>
      </c>
      <c r="E551" s="208" t="inlineStr">
        <is>
          <t>Mutuos frecuentes o fraccionados entre las mismas partes.</t>
        </is>
      </c>
      <c r="F551" s="208" t="inlineStr">
        <is>
          <t>Mutuos ocasionales sin patron evidente.</t>
        </is>
      </c>
      <c r="G551" s="208" t="inlineStr">
        <is>
          <t>Mutuo único, congruente con el perfil.</t>
        </is>
      </c>
    </row>
    <row r="552" ht="18.75" customHeight="1" s="173">
      <c r="A552" s="208">
        <f>B552&amp;"-"&amp;C552</f>
        <v/>
      </c>
      <c r="B552" s="344" t="inlineStr">
        <is>
          <t>XII - CORREDORES: Mutuo mercantil</t>
        </is>
      </c>
      <c r="C552" s="345" t="n">
        <v>22</v>
      </c>
      <c r="D552" s="208" t="inlineStr">
        <is>
          <t>Canal (presencial / no presencial / terceros)</t>
        </is>
      </c>
      <c r="E552" s="208" t="inlineStr">
        <is>
          <t>Operación no presencial o a traves de terceros sin contacto directo.</t>
        </is>
      </c>
      <c r="F552" s="208" t="inlineStr">
        <is>
          <t>Contacto mixto o mediante representante identificado.</t>
        </is>
      </c>
      <c r="G552" s="208" t="inlineStr">
        <is>
          <t>Cliente atendido de forma presencial y directa.</t>
        </is>
      </c>
    </row>
    <row r="553" ht="18.75" customHeight="1" s="173">
      <c r="A553" s="208">
        <f>B553&amp;"-"&amp;C553</f>
        <v/>
      </c>
      <c r="B553" s="344" t="inlineStr">
        <is>
          <t>XII - CORREDORES: Mutuo mercantil</t>
        </is>
      </c>
      <c r="C553" s="345" t="n">
        <v>23</v>
      </c>
      <c r="D553" s="208" t="inlineStr">
        <is>
          <t>Origen de los recursos</t>
        </is>
      </c>
      <c r="E553" s="208" t="inlineStr">
        <is>
          <t>Recursos prestados de origen no acreditable, en efectivo o informal.</t>
        </is>
      </c>
      <c r="F553" s="208" t="inlineStr">
        <is>
          <t>Origen de los fondos con soporte parcial.</t>
        </is>
      </c>
      <c r="G553" s="208" t="inlineStr">
        <is>
          <t>Fondos de origen lícito documentado.</t>
        </is>
      </c>
    </row>
    <row r="554" ht="18.75" customHeight="1" s="173">
      <c r="A554" s="208">
        <f>B554&amp;"-"&amp;C554</f>
        <v/>
      </c>
      <c r="B554" s="344" t="inlineStr">
        <is>
          <t>XII - CORREDORES: Mutuo mercantil</t>
        </is>
      </c>
      <c r="C554" s="345" t="n">
        <v>24</v>
      </c>
      <c r="D554" s="208" t="inlineStr">
        <is>
          <t>Destino de los recursos</t>
        </is>
      </c>
      <c r="E554" s="208" t="inlineStr">
        <is>
          <t>Destino del préstamo opaco, a terceros o al exterior sin justificación.</t>
        </is>
      </c>
      <c r="F554" s="208" t="inlineStr">
        <is>
          <t>Destino del préstamo parcialmente justificado.</t>
        </is>
      </c>
      <c r="G554" s="208" t="inlineStr">
        <is>
          <t>Destino del préstamo claro y documentado.</t>
        </is>
      </c>
    </row>
    <row r="555" ht="18.75" customHeight="1" s="173">
      <c r="A555" s="208">
        <f>B555&amp;"-"&amp;C555</f>
        <v/>
      </c>
      <c r="B555" s="344" t="inlineStr">
        <is>
          <t>XII - CORREDORES: Mutuo mercantil</t>
        </is>
      </c>
      <c r="C555" s="345" t="n">
        <v>25</v>
      </c>
      <c r="D555" s="208" t="inlineStr">
        <is>
          <t>Canales e instrumentos idóneos para el financiamiento al terrorismo</t>
        </is>
      </c>
      <c r="E555" s="208" t="inlineStr">
        <is>
          <t>La operación se realiza mediante formalización a distancia con entrega en efectivo, es decir, medios que permiten mover valor en montos pequeños sin identificar al destinatario final.</t>
        </is>
      </c>
      <c r="F555" s="208" t="inlineStr">
        <is>
          <t>Canal mixto o con verificación parcial: hay registro de la operación pero la trazabilidad del destinatario final es incompleta.</t>
        </is>
      </c>
      <c r="G555" s="208" t="inlineStr">
        <is>
          <t>Formalización con ambas partes identificadas y entrega bancarizada, con trazabilidad completa del origen y del destinatario.</t>
        </is>
      </c>
    </row>
    <row r="556" ht="18.75" customHeight="1" s="173">
      <c r="A556" s="208">
        <f>B556&amp;"-"&amp;C556</f>
        <v/>
      </c>
      <c r="B556" s="344" t="inlineStr">
        <is>
          <t>XII - FACILITADORES: Solución de controversias</t>
        </is>
      </c>
      <c r="C556" s="345" t="n">
        <v>1</v>
      </c>
      <c r="D556" s="208" t="inlineStr">
        <is>
          <t>Valor del producto o servicio</t>
        </is>
      </c>
      <c r="E556" s="208" t="inlineStr">
        <is>
          <t>Solución de controversia internacional de alto valor económico.</t>
        </is>
      </c>
      <c r="F556" s="208" t="inlineStr">
        <is>
          <t>Controversia nacional de valor intermedio.</t>
        </is>
      </c>
      <c r="G556" s="208" t="inlineStr">
        <is>
          <t>Controversia de bajo valor económico.</t>
        </is>
      </c>
    </row>
    <row r="557" ht="18.75" customHeight="1" s="173">
      <c r="A557" s="208">
        <f>B557&amp;"-"&amp;C557</f>
        <v/>
      </c>
      <c r="B557" s="344" t="inlineStr">
        <is>
          <t>XII - FACILITADORES: Solución de controversias</t>
        </is>
      </c>
      <c r="C557" s="345" t="n">
        <v>2</v>
      </c>
      <c r="D557" s="208" t="inlineStr">
        <is>
          <t>Liquidez / convertibilidad</t>
        </is>
      </c>
      <c r="E557" s="208" t="inlineStr">
        <is>
          <t>Acuerdo que canaliza y libera valor con rapidez entre las partes.</t>
        </is>
      </c>
      <c r="F557" s="208" t="inlineStr">
        <is>
          <t>Acuerdo con liberacion de valor condicionada.</t>
        </is>
      </c>
      <c r="G557" s="208" t="inlineStr">
        <is>
          <t>Acuerdo de baja cuantía sin conversión relevante.</t>
        </is>
      </c>
    </row>
    <row r="558" ht="18.75" customHeight="1" s="173">
      <c r="A558" s="208">
        <f>B558&amp;"-"&amp;C558</f>
        <v/>
      </c>
      <c r="B558" s="344" t="inlineStr">
        <is>
          <t>XII - FACILITADORES: Solución de controversias</t>
        </is>
      </c>
      <c r="C558" s="345" t="n">
        <v>3</v>
      </c>
      <c r="D558" s="208" t="inlineStr">
        <is>
          <t>Anonimato / identificación del beneficiario</t>
        </is>
      </c>
      <c r="E558" s="208" t="inlineStr">
        <is>
          <t>Estructura del acuerdo que oculta al beneficiario real de los fondos.</t>
        </is>
      </c>
      <c r="F558" s="208" t="inlineStr">
        <is>
          <t>Partes identificables con vínculo poco claro.</t>
        </is>
      </c>
      <c r="G558" s="208" t="inlineStr">
        <is>
          <t>Partes en controversia plenamente identificadas.</t>
        </is>
      </c>
    </row>
    <row r="559" ht="18.75" customHeight="1" s="173">
      <c r="A559" s="208">
        <f>B559&amp;"-"&amp;C559</f>
        <v/>
      </c>
      <c r="B559" s="344" t="inlineStr">
        <is>
          <t>XII - FACILITADORES: Solución de controversias</t>
        </is>
      </c>
      <c r="C559" s="345" t="n">
        <v>4</v>
      </c>
      <c r="D559" s="208" t="inlineStr">
        <is>
          <t>Transferencia u ocultamiento de valor</t>
        </is>
      </c>
      <c r="E559" s="208" t="inlineStr">
        <is>
          <t>Servicio usado para dar apariencia legal y legitimar flujos ilícitos.</t>
        </is>
      </c>
      <c r="F559" s="208" t="inlineStr">
        <is>
          <t>Flujos del acuerdo con trazabilidad parcial.</t>
        </is>
      </c>
      <c r="G559" s="208" t="inlineStr">
        <is>
          <t>Flujos del acuerdo plenamente trazables.</t>
        </is>
      </c>
    </row>
    <row r="560" ht="18.75" customHeight="1" s="173">
      <c r="A560" s="208">
        <f>B560&amp;"-"&amp;C560</f>
        <v/>
      </c>
      <c r="B560" s="344" t="inlineStr">
        <is>
          <t>XII - FACILITADORES: Solución de controversias</t>
        </is>
      </c>
      <c r="C560" s="345" t="n">
        <v>5</v>
      </c>
      <c r="D560" s="208" t="inlineStr">
        <is>
          <t>Exposición del acto u operación al financiamiento al terrorismo</t>
        </is>
      </c>
      <c r="E560" s="208" t="inlineStr">
        <is>
          <t>Convenios usados para dar apariencia de licitud a transferencias a favor de personas u organizaciones señaladas en listas de sanciones.</t>
        </is>
      </c>
      <c r="F560" s="208" t="inlineStr">
        <is>
          <t>Controversias sin sustancia real entre partes relacionadas, sin coincidencias en listas.</t>
        </is>
      </c>
      <c r="G560" s="208" t="inlineStr">
        <is>
          <t>Controversia real y documentada entre partes identificadas, con pago bancarizado.</t>
        </is>
      </c>
    </row>
    <row r="561" ht="18.75" customHeight="1" s="173">
      <c r="A561" s="208">
        <f>B561&amp;"-"&amp;C561</f>
        <v/>
      </c>
      <c r="B561" s="344" t="inlineStr">
        <is>
          <t>XII - FACILITADORES: Solución de controversias</t>
        </is>
      </c>
      <c r="C561" s="345" t="n">
        <v>6</v>
      </c>
      <c r="D561" s="208" t="inlineStr">
        <is>
          <t>Tipo de persona y estructura</t>
        </is>
      </c>
      <c r="E561" s="208" t="inlineStr">
        <is>
          <t>Parte persona moral extranjera o estructura opaca.</t>
        </is>
      </c>
      <c r="F561" s="208" t="inlineStr">
        <is>
          <t>Parte persona moral nacional estándar.</t>
        </is>
      </c>
      <c r="G561" s="208" t="inlineStr">
        <is>
          <t>Partes persona física identificadas.</t>
        </is>
      </c>
    </row>
    <row r="562" ht="18.75" customHeight="1" s="173">
      <c r="A562" s="208">
        <f>B562&amp;"-"&amp;C562</f>
        <v/>
      </c>
      <c r="B562" s="344" t="inlineStr">
        <is>
          <t>XII - FACILITADORES: Solución de controversias</t>
        </is>
      </c>
      <c r="C562" s="345" t="n">
        <v>7</v>
      </c>
      <c r="D562" s="208" t="inlineStr">
        <is>
          <t>Edad / fecha de constitución</t>
        </is>
      </c>
      <c r="E562" s="208" t="inlineStr">
        <is>
          <t>Parte recién constituida o de perfil atípico frente a la controversia.</t>
        </is>
      </c>
      <c r="F562" s="208" t="inlineStr">
        <is>
          <t>Partes con antigüedad intermedia.</t>
        </is>
      </c>
      <c r="G562" s="208" t="inlineStr">
        <is>
          <t>Partes consolidadas con historial verificable.</t>
        </is>
      </c>
    </row>
    <row r="563" ht="18.75" customHeight="1" s="173">
      <c r="A563" s="208">
        <f>B563&amp;"-"&amp;C563</f>
        <v/>
      </c>
      <c r="B563" s="344" t="inlineStr">
        <is>
          <t>XII - FACILITADORES: Solución de controversias</t>
        </is>
      </c>
      <c r="C563" s="345" t="n">
        <v>8</v>
      </c>
      <c r="D563" s="208" t="inlineStr">
        <is>
          <t>Actividad económica o giro (y fuente de ingresos)</t>
        </is>
      </c>
      <c r="E563" s="208" t="inlineStr">
        <is>
          <t>Parte con giro informal, en efectivo o ligado a otras AV.</t>
        </is>
      </c>
      <c r="F563" s="208" t="inlineStr">
        <is>
          <t>Giro formal de riesgo medio.</t>
        </is>
      </c>
      <c r="G563" s="208" t="inlineStr">
        <is>
          <t>Giro formal de bajo riesgo con ingresos claros.</t>
        </is>
      </c>
    </row>
    <row r="564" ht="18.75" customHeight="1" s="173">
      <c r="A564" s="208">
        <f>B564&amp;"-"&amp;C564</f>
        <v/>
      </c>
      <c r="B564" s="344" t="inlineStr">
        <is>
          <t>XII - FACILITADORES: Solución de controversias</t>
        </is>
      </c>
      <c r="C564" s="345" t="n">
        <v>9</v>
      </c>
      <c r="D564" s="208" t="inlineStr">
        <is>
          <t>Nacionalidad del cliente</t>
        </is>
      </c>
      <c r="E564" s="208" t="inlineStr">
        <is>
          <t>Cliente de país en listas GAFI, sancionado o de régimen fiscal preferente.</t>
        </is>
      </c>
      <c r="F564" s="208" t="inlineStr">
        <is>
          <t>Nacionalidad extranjera de país sin alertas relevantes.</t>
        </is>
      </c>
      <c r="G564" s="208" t="inlineStr">
        <is>
          <t>Cliente mexicano o de país cooperante sin observaciones.</t>
        </is>
      </c>
    </row>
    <row r="565" ht="18.75" customHeight="1" s="173">
      <c r="A565" s="208">
        <f>B565&amp;"-"&amp;C565</f>
        <v/>
      </c>
      <c r="B565" s="344" t="inlineStr">
        <is>
          <t>XII - FACILITADORES: Solución de controversias</t>
        </is>
      </c>
      <c r="C565" s="345" t="n">
        <v>10</v>
      </c>
      <c r="D565" s="208" t="inlineStr">
        <is>
          <t>País (y en su caso, estado) de residencia del cliente</t>
        </is>
      </c>
      <c r="E565" s="208" t="inlineStr">
        <is>
          <t>Reside en jurisdicción de alto riesgo o con domicilio no verificable.</t>
        </is>
      </c>
      <c r="F565" s="208" t="inlineStr">
        <is>
          <t>Reside en el extranjero en país cooperante, con domicilio comprobable.</t>
        </is>
      </c>
      <c r="G565" s="208" t="inlineStr">
        <is>
          <t>Residencia nacional verificada y estable.</t>
        </is>
      </c>
    </row>
    <row r="566" ht="18.75" customHeight="1" s="173">
      <c r="A566" s="208">
        <f>B566&amp;"-"&amp;C566</f>
        <v/>
      </c>
      <c r="B566" s="344" t="inlineStr">
        <is>
          <t>XII - FACILITADORES: Solución de controversias</t>
        </is>
      </c>
      <c r="C566" s="345" t="n">
        <v>11</v>
      </c>
      <c r="D566" s="208" t="inlineStr">
        <is>
          <t>Condición PEP</t>
        </is>
      </c>
      <c r="E566" s="208" t="inlineStr">
        <is>
          <t>PEP nacional o extranjera, o allegado que actua por su cuenta.</t>
        </is>
      </c>
      <c r="F566" s="208" t="inlineStr">
        <is>
          <t>Vinculo indirecto con PEP o PEP de perfil menor, monitoreado.</t>
        </is>
      </c>
      <c r="G566" s="208" t="inlineStr">
        <is>
          <t>Sin condición PEP ni vínculos con funcionarios.</t>
        </is>
      </c>
    </row>
    <row r="567" ht="18.75" customHeight="1" s="173">
      <c r="A567" s="208">
        <f>B567&amp;"-"&amp;C567</f>
        <v/>
      </c>
      <c r="B567" s="344" t="inlineStr">
        <is>
          <t>XII - FACILITADORES: Solución de controversias</t>
        </is>
      </c>
      <c r="C567" s="345" t="n">
        <v>12</v>
      </c>
      <c r="D567" s="208" t="inlineStr">
        <is>
          <t>Coincidencia en listas de personas bloqueadas o de sanciones</t>
        </is>
      </c>
      <c r="E567" s="208" t="inlineStr">
        <is>
          <t>La parte, su beneficiario controlador, apoderado o contraparte aparece en la Lista de Personas Bloqueadas, en listas de sanciones o en listas de organizaciones terroristas, o presenta una coincidencia fuerte que no ha sido descartada.</t>
        </is>
      </c>
      <c r="F567" s="208" t="inlineStr">
        <is>
          <t>Se detecta coincidencia parcial u homonimia respecto de la parte o de alguna persona relacionada, y el descarte se encuentra en proceso con constancia documental.</t>
        </is>
      </c>
      <c r="G567" s="208" t="inlineStr">
        <is>
          <t>Búsqueda realizada y documentada sobre la parte y sus personas relacionadas, sin coincidencias.</t>
        </is>
      </c>
    </row>
    <row r="568" ht="18.75" customHeight="1" s="173">
      <c r="A568" s="208">
        <f>B568&amp;"-"&amp;C568</f>
        <v/>
      </c>
      <c r="B568" s="344" t="inlineStr">
        <is>
          <t>XII - FACILITADORES: Solución de controversias</t>
        </is>
      </c>
      <c r="C568" s="345" t="n">
        <v>13</v>
      </c>
      <c r="D568" s="208" t="inlineStr">
        <is>
          <t>Identificación y complejidad del Beneficiario Controlador</t>
        </is>
      </c>
      <c r="E568" s="208" t="inlineStr">
        <is>
          <t>No se logra identificar al beneficiario controlador de la parte, o la estructura interpone dos o más niveles societarios, fiduciarios o vehículos constituidos en el extranjero para llegar al 25 por ciento.</t>
        </is>
      </c>
      <c r="F568" s="208" t="inlineStr">
        <is>
          <t>Beneficiario controlador identificado, pero a través de una estructura de más de un nivel o con participación indirecta que exigió reconstruir la cadena de control con documentos.</t>
        </is>
      </c>
      <c r="G568" s="208" t="inlineStr">
        <is>
          <t>Beneficiario controlador identificado de forma directa y documentada: persona física que posee al menos el 25 por ciento o que ejerce el control por otra vía acreditada.</t>
        </is>
      </c>
    </row>
    <row r="569" ht="18.75" customHeight="1" s="173">
      <c r="A569" s="208">
        <f>B569&amp;"-"&amp;C569</f>
        <v/>
      </c>
      <c r="B569" s="344" t="inlineStr">
        <is>
          <t>XII - FACILITADORES: Solución de controversias</t>
        </is>
      </c>
      <c r="C569" s="345" t="n">
        <v>14</v>
      </c>
      <c r="D569" s="208" t="inlineStr">
        <is>
          <t>País / jurisdicción donde se realiza la operación</t>
        </is>
      </c>
      <c r="E569" s="208" t="inlineStr">
        <is>
          <t>Operación con o desde jurisdicción de alto riesgo o no cooperante.</t>
        </is>
      </c>
      <c r="F569" s="208" t="inlineStr">
        <is>
          <t>Operación con componente internacional en país cooperante.</t>
        </is>
      </c>
      <c r="G569" s="208" t="inlineStr">
        <is>
          <t>Operación integramente nacional.</t>
        </is>
      </c>
    </row>
    <row r="570" ht="18.75" customHeight="1" s="173">
      <c r="A570" s="208">
        <f>B570&amp;"-"&amp;C570</f>
        <v/>
      </c>
      <c r="B570" s="344" t="inlineStr">
        <is>
          <t>XII - FACILITADORES: Solución de controversias</t>
        </is>
      </c>
      <c r="C570" s="345" t="n">
        <v>15</v>
      </c>
      <c r="D570" s="208" t="inlineStr">
        <is>
          <t>Área geográfica nacional de la operación</t>
        </is>
      </c>
      <c r="E570" s="208" t="inlineStr">
        <is>
          <t>Zona de alta incidencia delictiva, marginacion o frontera.</t>
        </is>
      </c>
      <c r="F570" s="208" t="inlineStr">
        <is>
          <t>Zona urbana ordinaria sin alertas particulares.</t>
        </is>
      </c>
      <c r="G570" s="208" t="inlineStr">
        <is>
          <t>Zona de bajo riesgo con actividad económica formal.</t>
        </is>
      </c>
    </row>
    <row r="571" ht="18.75" customHeight="1" s="173">
      <c r="A571" s="208">
        <f>B571&amp;"-"&amp;C571</f>
        <v/>
      </c>
      <c r="B571" s="344" t="inlineStr">
        <is>
          <t>XII - FACILITADORES: Solución de controversias</t>
        </is>
      </c>
      <c r="C571" s="345" t="n">
        <v>16</v>
      </c>
      <c r="D571" s="208" t="inlineStr">
        <is>
          <t>Vínculo con jurisdicciones sancionadas, en conflicto o de acción requerida por el GAFI</t>
        </is>
      </c>
      <c r="E571" s="208" t="inlineStr">
        <is>
          <t>Existe exposición a jurisdicciones sancionadas, en conflicto armado o de acción requerida del GAFI, por la vía de partes domiciliadas en el extranjero o pagos remitidos desde fuera del país.</t>
        </is>
      </c>
      <c r="F571" s="208" t="inlineStr">
        <is>
          <t>Vínculo con jurisdicciones bajo monitoreo intensificado del GAFI o con deficiencias señaladas en la ENR, sin estar sancionadas ni en conflicto.</t>
        </is>
      </c>
      <c r="G571" s="208" t="inlineStr">
        <is>
          <t>Sin vínculo con jurisdicciones sancionadas, en conflicto o listadas por el GAFI; la operación y sus partes se ubican en plazas sin señalamientos.</t>
        </is>
      </c>
    </row>
    <row r="572" ht="18.75" customHeight="1" s="173">
      <c r="A572" s="208">
        <f>B572&amp;"-"&amp;C572</f>
        <v/>
      </c>
      <c r="B572" s="344" t="inlineStr">
        <is>
          <t>XII - FACILITADORES: Solución de controversias</t>
        </is>
      </c>
      <c r="C572" s="345" t="n">
        <v>17</v>
      </c>
      <c r="D572" s="208" t="inlineStr">
        <is>
          <t>Congruencia entre el domicilio del Cliente y el lugar de la operación</t>
        </is>
      </c>
      <c r="E572" s="208" t="inlineStr">
        <is>
          <t>El domicilio de la parte no guarda relación económica ni logística con el lugar donde se realiza el convenio o acuerdo alcanzado, y no existe explicación documentada del desplazamiento.</t>
        </is>
      </c>
      <c r="F572" s="208" t="inlineStr">
        <is>
          <t>Existe distancia relevante entre el domicilio de la parte y el lugar de la operación, con explicación plausible pero no soportada en el expediente.</t>
        </is>
      </c>
      <c r="G572" s="208" t="inlineStr">
        <is>
          <t>El domicilio de la parte corresponde a la plaza donde se realiza el convenio o acuerdo alcanzado, o el desplazamiento está justificado y documentado.</t>
        </is>
      </c>
    </row>
    <row r="573" ht="18.75" customHeight="1" s="173">
      <c r="A573" s="208">
        <f>B573&amp;"-"&amp;C573</f>
        <v/>
      </c>
      <c r="B573" s="344" t="inlineStr">
        <is>
          <t>XII - FACILITADORES: Solución de controversias</t>
        </is>
      </c>
      <c r="C573" s="345" t="n">
        <v>18</v>
      </c>
      <c r="D573" s="208" t="inlineStr">
        <is>
          <t>Instrumento monetario</t>
        </is>
      </c>
      <c r="E573" s="208" t="inlineStr">
        <is>
          <t>Pago del acuerdo u honorarios en efectivo o instrumentos al portador.</t>
        </is>
      </c>
      <c r="F573" s="208" t="inlineStr">
        <is>
          <t>Pago mediante cheque o transferencia con trazabilidad parcial.</t>
        </is>
      </c>
      <c r="G573" s="208" t="inlineStr">
        <is>
          <t>Pago mediante transferencia bancaria nominativa trazable.</t>
        </is>
      </c>
    </row>
    <row r="574" ht="18.75" customHeight="1" s="173">
      <c r="A574" s="208">
        <f>B574&amp;"-"&amp;C574</f>
        <v/>
      </c>
      <c r="B574" s="344" t="inlineStr">
        <is>
          <t>XII - FACILITADORES: Solución de controversias</t>
        </is>
      </c>
      <c r="C574" s="345" t="n">
        <v>19</v>
      </c>
      <c r="D574" s="208" t="inlineStr">
        <is>
          <t>Tipo de moneda</t>
        </is>
      </c>
      <c r="E574" s="208" t="inlineStr">
        <is>
          <t>Moneda extranjera distinta al USD o criptomonedas.</t>
        </is>
      </c>
      <c r="F574" s="208" t="inlineStr">
        <is>
          <t>Operación en dolares estadounidenses (USD).</t>
        </is>
      </c>
      <c r="G574" s="208" t="inlineStr">
        <is>
          <t>Operación en pesos mexicanos.</t>
        </is>
      </c>
    </row>
    <row r="575" ht="18.75" customHeight="1" s="173">
      <c r="A575" s="208">
        <f>B575&amp;"-"&amp;C575</f>
        <v/>
      </c>
      <c r="B575" s="344" t="inlineStr">
        <is>
          <t>XII - FACILITADORES: Solución de controversias</t>
        </is>
      </c>
      <c r="C575" s="345" t="n">
        <v>20</v>
      </c>
      <c r="D575" s="208" t="inlineStr">
        <is>
          <t>Monto frente a umbrales LFPIORPI</t>
        </is>
      </c>
      <c r="E575" s="208" t="inlineStr">
        <is>
          <t>Cuantía de la controversia supera el umbral de aviso (8,025 UMA).</t>
        </is>
      </c>
      <c r="F575" s="208" t="inlineStr">
        <is>
          <t>Cuantía cercana al umbral de aviso (8,025 UMA).</t>
        </is>
      </c>
      <c r="G575" s="208" t="inlineStr">
        <is>
          <t>Cuantía muy por debajo del umbral (8,025 UMA).</t>
        </is>
      </c>
    </row>
    <row r="576" ht="18.75" customHeight="1" s="173">
      <c r="A576" s="208">
        <f>B576&amp;"-"&amp;C576</f>
        <v/>
      </c>
      <c r="B576" s="344" t="inlineStr">
        <is>
          <t>XII - FACILITADORES: Solución de controversias</t>
        </is>
      </c>
      <c r="C576" s="345" t="n">
        <v>21</v>
      </c>
      <c r="D576" s="208" t="inlineStr">
        <is>
          <t>Frecuencia (fraccionamiento)</t>
        </is>
      </c>
      <c r="E576" s="208" t="inlineStr">
        <is>
          <t>Acuerdos frecuentes o fraccionados entre las mismas partes.</t>
        </is>
      </c>
      <c r="F576" s="208" t="inlineStr">
        <is>
          <t>Intervenciones ocasionales sin patron evidente.</t>
        </is>
      </c>
      <c r="G576" s="208" t="inlineStr">
        <is>
          <t>Intervención única, congruente con el perfil.</t>
        </is>
      </c>
    </row>
    <row r="577" ht="18.75" customHeight="1" s="173">
      <c r="A577" s="208">
        <f>B577&amp;"-"&amp;C577</f>
        <v/>
      </c>
      <c r="B577" s="344" t="inlineStr">
        <is>
          <t>XII - FACILITADORES: Solución de controversias</t>
        </is>
      </c>
      <c r="C577" s="345" t="n">
        <v>22</v>
      </c>
      <c r="D577" s="208" t="inlineStr">
        <is>
          <t>Canal (presencial / no presencial / terceros)</t>
        </is>
      </c>
      <c r="E577" s="208" t="inlineStr">
        <is>
          <t>Operación no presencial o a traves de terceros sin contacto directo.</t>
        </is>
      </c>
      <c r="F577" s="208" t="inlineStr">
        <is>
          <t>Contacto mixto o mediante representante identificado.</t>
        </is>
      </c>
      <c r="G577" s="208" t="inlineStr">
        <is>
          <t>Cliente atendido de forma presencial y directa.</t>
        </is>
      </c>
    </row>
    <row r="578" ht="18.75" customHeight="1" s="173">
      <c r="A578" s="208">
        <f>B578&amp;"-"&amp;C578</f>
        <v/>
      </c>
      <c r="B578" s="344" t="inlineStr">
        <is>
          <t>XII - FACILITADORES: Solución de controversias</t>
        </is>
      </c>
      <c r="C578" s="345" t="n">
        <v>23</v>
      </c>
      <c r="D578" s="208" t="inlineStr">
        <is>
          <t>Origen de los recursos</t>
        </is>
      </c>
      <c r="E578" s="208" t="inlineStr">
        <is>
          <t>Recursos del acuerdo de origen no acreditable o en efectivo.</t>
        </is>
      </c>
      <c r="F578" s="208" t="inlineStr">
        <is>
          <t>Origen de los fondos con soporte parcial.</t>
        </is>
      </c>
      <c r="G578" s="208" t="inlineStr">
        <is>
          <t>Fondos de origen lícito documentado.</t>
        </is>
      </c>
    </row>
    <row r="579" ht="18.75" customHeight="1" s="173">
      <c r="A579" s="208">
        <f>B579&amp;"-"&amp;C579</f>
        <v/>
      </c>
      <c r="B579" s="344" t="inlineStr">
        <is>
          <t>XII - FACILITADORES: Solución de controversias</t>
        </is>
      </c>
      <c r="C579" s="345" t="n">
        <v>24</v>
      </c>
      <c r="D579" s="208" t="inlineStr">
        <is>
          <t>Destino de los recursos</t>
        </is>
      </c>
      <c r="E579" s="208" t="inlineStr">
        <is>
          <t>Pagos dirigidos a terceros o al exterior sin justificación clara.</t>
        </is>
      </c>
      <c r="F579" s="208" t="inlineStr">
        <is>
          <t>Destino de los pagos parcialmente justificado.</t>
        </is>
      </c>
      <c r="G579" s="208" t="inlineStr">
        <is>
          <t>Destino de los pagos claro y documentado.</t>
        </is>
      </c>
    </row>
    <row r="580" ht="18.75" customHeight="1" s="173">
      <c r="A580" s="208">
        <f>B580&amp;"-"&amp;C580</f>
        <v/>
      </c>
      <c r="B580" s="344" t="inlineStr">
        <is>
          <t>XII - FACILITADORES: Solución de controversias</t>
        </is>
      </c>
      <c r="C580" s="345" t="n">
        <v>25</v>
      </c>
      <c r="D580" s="208" t="inlineStr">
        <is>
          <t>Canales e instrumentos idóneos para el financiamiento al terrorismo</t>
        </is>
      </c>
      <c r="E580" s="208" t="inlineStr">
        <is>
          <t>La operación se realiza mediante sesiones a distancia sin verificación de identidad y pagos en efectivo, es decir, medios que permiten mover valor en montos pequeños sin identificar al destinatario final.</t>
        </is>
      </c>
      <c r="F580" s="208" t="inlineStr">
        <is>
          <t>Canal mixto o con verificación parcial: hay registro de la operación pero la trazabilidad del destinatario final es incompleta.</t>
        </is>
      </c>
      <c r="G580" s="208" t="inlineStr">
        <is>
          <t>Sesiones con partes identificadas y cumplimiento del convenio por transferencia, con trazabilidad completa del origen y del destinatario.</t>
        </is>
      </c>
    </row>
    <row r="581" ht="18.75" customHeight="1" s="173">
      <c r="A581" s="208">
        <f>B581&amp;"-"&amp;C581</f>
        <v/>
      </c>
      <c r="B581" s="344" t="inlineStr">
        <is>
          <t>XIII - Recepción de donativos</t>
        </is>
      </c>
      <c r="C581" s="345" t="n">
        <v>1</v>
      </c>
      <c r="D581" s="208" t="inlineStr">
        <is>
          <t>Valor del producto o servicio</t>
        </is>
      </c>
      <c r="E581" s="208" t="inlineStr">
        <is>
          <t>Donativos de gran valor económico, desproporcionados respecto al donante o a la asociación.</t>
        </is>
      </c>
      <c r="F581" s="208" t="inlineStr">
        <is>
          <t>Donativos de valor intermedio acordes al perfil.</t>
        </is>
      </c>
      <c r="G581" s="208" t="inlineStr">
        <is>
          <t>Donativos de bajo valor, frecuentes en asociaciones pequeñas.</t>
        </is>
      </c>
    </row>
    <row r="582" ht="18.75" customHeight="1" s="173">
      <c r="A582" s="208">
        <f>B582&amp;"-"&amp;C582</f>
        <v/>
      </c>
      <c r="B582" s="344" t="inlineStr">
        <is>
          <t>XIII - Recepción de donativos</t>
        </is>
      </c>
      <c r="C582" s="345" t="n">
        <v>2</v>
      </c>
      <c r="D582" s="208" t="inlineStr">
        <is>
          <t>Liquidez / convertibilidad</t>
        </is>
      </c>
      <c r="E582" s="208" t="inlineStr">
        <is>
          <t>Donativos en efectivo o especie de fácil conversión a liquidez.</t>
        </is>
      </c>
      <c r="F582" s="208" t="inlineStr">
        <is>
          <t>Donativos con conversión parcial o sujeta a destino.</t>
        </is>
      </c>
      <c r="G582" s="208" t="inlineStr">
        <is>
          <t>Donativos etiquetados a un fin, con baja convertibilidad.</t>
        </is>
      </c>
    </row>
    <row r="583" ht="18.75" customHeight="1" s="173">
      <c r="A583" s="208">
        <f>B583&amp;"-"&amp;C583</f>
        <v/>
      </c>
      <c r="B583" s="344" t="inlineStr">
        <is>
          <t>XIII - Recepción de donativos</t>
        </is>
      </c>
      <c r="C583" s="345" t="n">
        <v>3</v>
      </c>
      <c r="D583" s="208" t="inlineStr">
        <is>
          <t>Anonimato / identificación del beneficiario</t>
        </is>
      </c>
      <c r="E583" s="208" t="inlineStr">
        <is>
          <t>Donante anónimo o mediante tercero que oculta al aportante real.</t>
        </is>
      </c>
      <c r="F583" s="208" t="inlineStr">
        <is>
          <t>Donante identificado con soporte parcial de su identidad.</t>
        </is>
      </c>
      <c r="G583" s="208" t="inlineStr">
        <is>
          <t>Donante plenamente identificado y verificado.</t>
        </is>
      </c>
    </row>
    <row r="584" ht="18.75" customHeight="1" s="173">
      <c r="A584" s="208">
        <f>B584&amp;"-"&amp;C584</f>
        <v/>
      </c>
      <c r="B584" s="344" t="inlineStr">
        <is>
          <t>XIII - Recepción de donativos</t>
        </is>
      </c>
      <c r="C584" s="345" t="n">
        <v>4</v>
      </c>
      <c r="D584" s="208" t="inlineStr">
        <is>
          <t>Transferencia u ocultamiento de valor</t>
        </is>
      </c>
      <c r="E584" s="208" t="inlineStr">
        <is>
          <t>La asociación permite canalizar y estratificar fondos ilícitos o financiar terrorismo.</t>
        </is>
      </c>
      <c r="F584" s="208" t="inlineStr">
        <is>
          <t>Riesgo moderado de ocultamiento con donativos parcialmente trazables.</t>
        </is>
      </c>
      <c r="G584" s="208" t="inlineStr">
        <is>
          <t>Donativos bancarizados y trazables con destino documentado.</t>
        </is>
      </c>
    </row>
    <row r="585" ht="18.75" customHeight="1" s="173">
      <c r="A585" s="208">
        <f>B585&amp;"-"&amp;C585</f>
        <v/>
      </c>
      <c r="B585" s="344" t="inlineStr">
        <is>
          <t>XIII - Recepción de donativos</t>
        </is>
      </c>
      <c r="C585" s="345" t="n">
        <v>5</v>
      </c>
      <c r="D585" s="208" t="inlineStr">
        <is>
          <t>Exposición del acto u operación al financiamiento al terrorismo</t>
        </is>
      </c>
      <c r="E585" s="208" t="inlineStr">
        <is>
          <t>Donativos recibidos de o canalizados hacia personas, asociaciones o programas vinculados con organizaciones señaladas en listas, o ejecutados en zonas con presencia de grupos terroristas. Es el sector señalado como de mayor exposición al financiamiento al terrorismo.</t>
        </is>
      </c>
      <c r="F585" s="208" t="inlineStr">
        <is>
          <t>Donativos del extranjero o programas ejecutados en zonas de riesgo, con destino parcialmente documentado y sin coincidencias en listas.</t>
        </is>
      </c>
      <c r="G585" s="208" t="inlineStr">
        <is>
          <t>Donante identificado, donativo bancarizado y destino de los recursos documentado y ejecutado en territorio nacional.</t>
        </is>
      </c>
    </row>
    <row r="586" ht="18.75" customHeight="1" s="173">
      <c r="A586" s="208">
        <f>B586&amp;"-"&amp;C586</f>
        <v/>
      </c>
      <c r="B586" s="344" t="inlineStr">
        <is>
          <t>XIII - Recepción de donativos</t>
        </is>
      </c>
      <c r="C586" s="345" t="n">
        <v>6</v>
      </c>
      <c r="D586" s="208" t="inlineStr">
        <is>
          <t>Tipo de persona y estructura</t>
        </is>
      </c>
      <c r="E586" s="208" t="inlineStr">
        <is>
          <t>Donante persona moral extranjera, fundación offshore o estructura opaca.</t>
        </is>
      </c>
      <c r="F586" s="208" t="inlineStr">
        <is>
          <t>Donante persona moral nacional con estructura clara.</t>
        </is>
      </c>
      <c r="G586" s="208" t="inlineStr">
        <is>
          <t>Donante persona física plenamente identificado.</t>
        </is>
      </c>
    </row>
    <row r="587" ht="18.75" customHeight="1" s="173">
      <c r="A587" s="208">
        <f>B587&amp;"-"&amp;C587</f>
        <v/>
      </c>
      <c r="B587" s="344" t="inlineStr">
        <is>
          <t>XIII - Recepción de donativos</t>
        </is>
      </c>
      <c r="C587" s="345" t="n">
        <v>7</v>
      </c>
      <c r="D587" s="208" t="inlineStr">
        <is>
          <t>Edad / fecha de constitución</t>
        </is>
      </c>
      <c r="E587" s="208" t="inlineStr">
        <is>
          <t>Donante empresa de reciente creación o asociación receptora sin historial operativo.</t>
        </is>
      </c>
      <c r="F587" s="208" t="inlineStr">
        <is>
          <t>Entidad con antigüedad moderada.</t>
        </is>
      </c>
      <c r="G587" s="208" t="inlineStr">
        <is>
          <t>Donante o asociación con trayectoria acreditable.</t>
        </is>
      </c>
    </row>
    <row r="588" ht="18.75" customHeight="1" s="173">
      <c r="A588" s="208">
        <f>B588&amp;"-"&amp;C588</f>
        <v/>
      </c>
      <c r="B588" s="344" t="inlineStr">
        <is>
          <t>XIII - Recepción de donativos</t>
        </is>
      </c>
      <c r="C588" s="345" t="n">
        <v>8</v>
      </c>
      <c r="D588" s="208" t="inlineStr">
        <is>
          <t>Actividad económica o giro (y fuente de ingresos)</t>
        </is>
      </c>
      <c r="E588" s="208" t="inlineStr">
        <is>
          <t>Donante con giro informal, uso intensivo de efectivo o ligado a otras AV.</t>
        </is>
      </c>
      <c r="F588" s="208" t="inlineStr">
        <is>
          <t>Donante con giro formal y manejo parcial de efectivo.</t>
        </is>
      </c>
      <c r="G588" s="208" t="inlineStr">
        <is>
          <t>Donante con giro formal e ingresos documentados.</t>
        </is>
      </c>
    </row>
    <row r="589" ht="18.75" customHeight="1" s="173">
      <c r="A589" s="208">
        <f>B589&amp;"-"&amp;C589</f>
        <v/>
      </c>
      <c r="B589" s="344" t="inlineStr">
        <is>
          <t>XIII - Recepción de donativos</t>
        </is>
      </c>
      <c r="C589" s="345" t="n">
        <v>9</v>
      </c>
      <c r="D589" s="208" t="inlineStr">
        <is>
          <t>Nacionalidad del cliente</t>
        </is>
      </c>
      <c r="E589" s="208" t="inlineStr">
        <is>
          <t>Nacionalidad del donante en listas GAFI, sancionado o régimen fiscal preferente.</t>
        </is>
      </c>
      <c r="F589" s="208" t="inlineStr">
        <is>
          <t>Nacionalidad de país sin deficiencias relevantes en PLD.</t>
        </is>
      </c>
      <c r="G589" s="208" t="inlineStr">
        <is>
          <t>Nacionalidad mexicana o de país con controles PLD robustos.</t>
        </is>
      </c>
    </row>
    <row r="590" ht="18.75" customHeight="1" s="173">
      <c r="A590" s="208">
        <f>B590&amp;"-"&amp;C590</f>
        <v/>
      </c>
      <c r="B590" s="344" t="inlineStr">
        <is>
          <t>XIII - Recepción de donativos</t>
        </is>
      </c>
      <c r="C590" s="345" t="n">
        <v>10</v>
      </c>
      <c r="D590" s="208" t="inlineStr">
        <is>
          <t>País (y en su caso, estado) de residencia del cliente</t>
        </is>
      </c>
      <c r="E590" s="208" t="inlineStr">
        <is>
          <t>Residencia del donante en jurisdicción de alto riesgo o no verificable.</t>
        </is>
      </c>
      <c r="F590" s="208" t="inlineStr">
        <is>
          <t>Residencia verificable en jurisdicción de riesgo medio.</t>
        </is>
      </c>
      <c r="G590" s="208" t="inlineStr">
        <is>
          <t>Residencia nacional comprobable y estable.</t>
        </is>
      </c>
    </row>
    <row r="591" ht="18.75" customHeight="1" s="173">
      <c r="A591" s="208">
        <f>B591&amp;"-"&amp;C591</f>
        <v/>
      </c>
      <c r="B591" s="344" t="inlineStr">
        <is>
          <t>XIII - Recepción de donativos</t>
        </is>
      </c>
      <c r="C591" s="345" t="n">
        <v>11</v>
      </c>
      <c r="D591" s="208" t="inlineStr">
        <is>
          <t>Condición PEP</t>
        </is>
      </c>
      <c r="E591" s="208" t="inlineStr">
        <is>
          <t>Donante PEP nacional o extranjera, o allegado a PEP.</t>
        </is>
      </c>
      <c r="F591" s="208" t="inlineStr">
        <is>
          <t>Vínculo indirecto o lejano con PEP.</t>
        </is>
      </c>
      <c r="G591" s="208" t="inlineStr">
        <is>
          <t>Sin condición ni vínculo PEP.</t>
        </is>
      </c>
    </row>
    <row r="592" ht="18.75" customHeight="1" s="173">
      <c r="A592" s="208">
        <f>B592&amp;"-"&amp;C592</f>
        <v/>
      </c>
      <c r="B592" s="344" t="inlineStr">
        <is>
          <t>XIII - Recepción de donativos</t>
        </is>
      </c>
      <c r="C592" s="345" t="n">
        <v>12</v>
      </c>
      <c r="D592" s="208" t="inlineStr">
        <is>
          <t>Coincidencia en listas de personas bloqueadas o de sanciones</t>
        </is>
      </c>
      <c r="E592" s="208" t="inlineStr">
        <is>
          <t>El donante, su beneficiario controlador, apoderado o contraparte aparece en la Lista de Personas Bloqueadas, en listas de sanciones o en listas de organizaciones terroristas, o presenta una coincidencia fuerte que no ha sido descartada.</t>
        </is>
      </c>
      <c r="F592" s="208" t="inlineStr">
        <is>
          <t>Se detecta coincidencia parcial u homonimia respecto del donante o de alguna persona relacionada, y el descarte se encuentra en proceso con constancia documental.</t>
        </is>
      </c>
      <c r="G592" s="208" t="inlineStr">
        <is>
          <t>Búsqueda realizada y documentada sobre el donante y sus personas relacionadas, sin coincidencias.</t>
        </is>
      </c>
    </row>
    <row r="593" ht="18.75" customHeight="1" s="173">
      <c r="A593" s="208">
        <f>B593&amp;"-"&amp;C593</f>
        <v/>
      </c>
      <c r="B593" s="344" t="inlineStr">
        <is>
          <t>XIII - Recepción de donativos</t>
        </is>
      </c>
      <c r="C593" s="345" t="n">
        <v>13</v>
      </c>
      <c r="D593" s="208" t="inlineStr">
        <is>
          <t>Identificación y complejidad del Beneficiario Controlador</t>
        </is>
      </c>
      <c r="E593" s="208" t="inlineStr">
        <is>
          <t>No se logra identificar al beneficiario controlador del donante, o la estructura interpone dos o más niveles societarios, fiduciarios o vehículos constituidos en el extranjero para llegar al 25 por ciento.</t>
        </is>
      </c>
      <c r="F593" s="208" t="inlineStr">
        <is>
          <t>Beneficiario controlador identificado, pero a través de una estructura de más de un nivel o con participación indirecta que exigió reconstruir la cadena de control con documentos.</t>
        </is>
      </c>
      <c r="G593" s="208" t="inlineStr">
        <is>
          <t>Beneficiario controlador identificado de forma directa y documentada: persona física que posee al menos el 25 por ciento o que ejerce el control por otra vía acreditada.</t>
        </is>
      </c>
    </row>
    <row r="594" ht="18.75" customHeight="1" s="173">
      <c r="A594" s="208">
        <f>B594&amp;"-"&amp;C594</f>
        <v/>
      </c>
      <c r="B594" s="344" t="inlineStr">
        <is>
          <t>XIII - Recepción de donativos</t>
        </is>
      </c>
      <c r="C594" s="345" t="n">
        <v>14</v>
      </c>
      <c r="D594" s="208" t="inlineStr">
        <is>
          <t>País / jurisdicción donde se realiza la operación</t>
        </is>
      </c>
      <c r="E594" s="208" t="inlineStr">
        <is>
          <t>Donativo transfronterizo desde o hacia jurisdicción de alto riesgo o zona de conflicto.</t>
        </is>
      </c>
      <c r="F594" s="208" t="inlineStr">
        <is>
          <t>Donativo internacional de riesgo medio.</t>
        </is>
      </c>
      <c r="G594" s="208" t="inlineStr">
        <is>
          <t>Donativo de origen y destino nacional.</t>
        </is>
      </c>
    </row>
    <row r="595" ht="18.75" customHeight="1" s="173">
      <c r="A595" s="208">
        <f>B595&amp;"-"&amp;C595</f>
        <v/>
      </c>
      <c r="B595" s="344" t="inlineStr">
        <is>
          <t>XIII - Recepción de donativos</t>
        </is>
      </c>
      <c r="C595" s="345" t="n">
        <v>15</v>
      </c>
      <c r="D595" s="208" t="inlineStr">
        <is>
          <t>Área geográfica nacional de la operación</t>
        </is>
      </c>
      <c r="E595" s="208" t="inlineStr">
        <is>
          <t>Asociación opera o distribuye en zona de alta incidencia delictiva, marginación o frontera.</t>
        </is>
      </c>
      <c r="F595" s="208" t="inlineStr">
        <is>
          <t>Zona de operación de riesgo intermedio.</t>
        </is>
      </c>
      <c r="G595" s="208" t="inlineStr">
        <is>
          <t>Zona de baja incidencia delictiva y buena trazabilidad.</t>
        </is>
      </c>
    </row>
    <row r="596" ht="18.75" customHeight="1" s="173">
      <c r="A596" s="208">
        <f>B596&amp;"-"&amp;C596</f>
        <v/>
      </c>
      <c r="B596" s="344" t="inlineStr">
        <is>
          <t>XIII - Recepción de donativos</t>
        </is>
      </c>
      <c r="C596" s="345" t="n">
        <v>16</v>
      </c>
      <c r="D596" s="208" t="inlineStr">
        <is>
          <t>Vínculo con jurisdicciones sancionadas, en conflicto o de acción requerida por el GAFI</t>
        </is>
      </c>
      <c r="E596" s="208" t="inlineStr">
        <is>
          <t>Existe exposición a jurisdicciones sancionadas, en conflicto armado o de acción requerida del GAFI, por la vía de donativos recibidos del extranjero o programas ejecutados fuera del país.</t>
        </is>
      </c>
      <c r="F596" s="208" t="inlineStr">
        <is>
          <t>Vínculo con jurisdicciones bajo monitoreo intensificado del GAFI o con deficiencias señaladas en la ENR, sin estar sancionadas ni en conflicto.</t>
        </is>
      </c>
      <c r="G596" s="208" t="inlineStr">
        <is>
          <t>Sin vínculo con jurisdicciones sancionadas, en conflicto o listadas por el GAFI; la operación y sus partes se ubican en plazas sin señalamientos.</t>
        </is>
      </c>
    </row>
    <row r="597" ht="18.75" customHeight="1" s="173">
      <c r="A597" s="208">
        <f>B597&amp;"-"&amp;C597</f>
        <v/>
      </c>
      <c r="B597" s="344" t="inlineStr">
        <is>
          <t>XIII - Recepción de donativos</t>
        </is>
      </c>
      <c r="C597" s="345" t="n">
        <v>17</v>
      </c>
      <c r="D597" s="208" t="inlineStr">
        <is>
          <t>Congruencia entre el domicilio del Cliente y el lugar de la operación</t>
        </is>
      </c>
      <c r="E597" s="208" t="inlineStr">
        <is>
          <t>El domicilio del donante no guarda relación económica ni logística con el lugar donde se realiza la recepción del donativo, y no existe explicación documentada del desplazamiento.</t>
        </is>
      </c>
      <c r="F597" s="208" t="inlineStr">
        <is>
          <t>Existe distancia relevante entre el domicilio del donante y el lugar de la operación, con explicación plausible pero no soportada en el expediente.</t>
        </is>
      </c>
      <c r="G597" s="208" t="inlineStr">
        <is>
          <t>El domicilio del donante corresponde a la plaza donde se realiza la recepción del donativo, o el desplazamiento está justificado y documentado.</t>
        </is>
      </c>
    </row>
    <row r="598" ht="18.75" customHeight="1" s="173">
      <c r="A598" s="208">
        <f>B598&amp;"-"&amp;C598</f>
        <v/>
      </c>
      <c r="B598" s="344" t="inlineStr">
        <is>
          <t>XIII - Recepción de donativos</t>
        </is>
      </c>
      <c r="C598" s="345" t="n">
        <v>18</v>
      </c>
      <c r="D598" s="208" t="inlineStr">
        <is>
          <t>Instrumento monetario</t>
        </is>
      </c>
      <c r="E598" s="208" t="inlineStr">
        <is>
          <t>Donativo en efectivo, instrumentos al portador o criptoactivos.</t>
        </is>
      </c>
      <c r="F598" s="208" t="inlineStr">
        <is>
          <t>Donativos mixtos con efectivo parcial y transferencias.</t>
        </is>
      </c>
      <c r="G598" s="208" t="inlineStr">
        <is>
          <t>Donativo íntegro por transferencia bancaria.</t>
        </is>
      </c>
    </row>
    <row r="599" ht="18.75" customHeight="1" s="173">
      <c r="A599" s="208">
        <f>B599&amp;"-"&amp;C599</f>
        <v/>
      </c>
      <c r="B599" s="344" t="inlineStr">
        <is>
          <t>XIII - Recepción de donativos</t>
        </is>
      </c>
      <c r="C599" s="345" t="n">
        <v>19</v>
      </c>
      <c r="D599" s="208" t="inlineStr">
        <is>
          <t>Tipo de moneda</t>
        </is>
      </c>
      <c r="E599" s="208" t="inlineStr">
        <is>
          <t>Donativo en moneda extranjera distinta al USD o en criptomonedas.</t>
        </is>
      </c>
      <c r="F599" s="208" t="inlineStr">
        <is>
          <t>Donativo en USD con soporte documental.</t>
        </is>
      </c>
      <c r="G599" s="208" t="inlineStr">
        <is>
          <t>Donativo en pesos mexicanos.</t>
        </is>
      </c>
    </row>
    <row r="600" ht="18.75" customHeight="1" s="173">
      <c r="A600" s="208">
        <f>B600&amp;"-"&amp;C600</f>
        <v/>
      </c>
      <c r="B600" s="344" t="inlineStr">
        <is>
          <t>XIII - Recepción de donativos</t>
        </is>
      </c>
      <c r="C600" s="345" t="n">
        <v>20</v>
      </c>
      <c r="D600" s="208" t="inlineStr">
        <is>
          <t>Monto frente a umbrales LFPIORPI</t>
        </is>
      </c>
      <c r="E600" s="208" t="inlineStr">
        <is>
          <t>Monto del donativo supera ampliamente el umbral de aviso (3,210 UMA).</t>
        </is>
      </c>
      <c r="F600" s="208" t="inlineStr">
        <is>
          <t>Monto cercano al umbral de aviso sin superarlo.</t>
        </is>
      </c>
      <c r="G600" s="208" t="inlineStr">
        <is>
          <t>Monto muy por debajo del umbral de aviso.</t>
        </is>
      </c>
    </row>
    <row r="601" ht="18.75" customHeight="1" s="173">
      <c r="A601" s="208">
        <f>B601&amp;"-"&amp;C601</f>
        <v/>
      </c>
      <c r="B601" s="344" t="inlineStr">
        <is>
          <t>XIII - Recepción de donativos</t>
        </is>
      </c>
      <c r="C601" s="345" t="n">
        <v>21</v>
      </c>
      <c r="D601" s="208" t="inlineStr">
        <is>
          <t>Frecuencia (fraccionamiento)</t>
        </is>
      </c>
      <c r="E601" s="208" t="inlineStr">
        <is>
          <t>Donativos frecuentes o fraccionados del mismo donante para eludir umbrales.</t>
        </is>
      </c>
      <c r="F601" s="208" t="inlineStr">
        <is>
          <t>Donativos periódicos con justificación del donante.</t>
        </is>
      </c>
      <c r="G601" s="208" t="inlineStr">
        <is>
          <t>Donativo único o esporádico sin fraccionamiento.</t>
        </is>
      </c>
    </row>
    <row r="602" ht="18.75" customHeight="1" s="173">
      <c r="A602" s="208">
        <f>B602&amp;"-"&amp;C602</f>
        <v/>
      </c>
      <c r="B602" s="344" t="inlineStr">
        <is>
          <t>XIII - Recepción de donativos</t>
        </is>
      </c>
      <c r="C602" s="345" t="n">
        <v>22</v>
      </c>
      <c r="D602" s="208" t="inlineStr">
        <is>
          <t>Canal (presencial / no presencial / terceros)</t>
        </is>
      </c>
      <c r="E602" s="208" t="inlineStr">
        <is>
          <t>Donativo no presencial o vía terceros sin contacto directo con el donante.</t>
        </is>
      </c>
      <c r="F602" s="208" t="inlineStr">
        <is>
          <t>Contacto parcial o intermediación documentada.</t>
        </is>
      </c>
      <c r="G602" s="208" t="inlineStr">
        <is>
          <t>Donativo con identificación directa del donante.</t>
        </is>
      </c>
    </row>
    <row r="603" ht="18.75" customHeight="1" s="173">
      <c r="A603" s="208">
        <f>B603&amp;"-"&amp;C603</f>
        <v/>
      </c>
      <c r="B603" s="344" t="inlineStr">
        <is>
          <t>XIII - Recepción de donativos</t>
        </is>
      </c>
      <c r="C603" s="345" t="n">
        <v>23</v>
      </c>
      <c r="D603" s="208" t="inlineStr">
        <is>
          <t>Origen de los recursos</t>
        </is>
      </c>
      <c r="E603" s="208" t="inlineStr">
        <is>
          <t>Origen de los recursos donados no acreditable, en efectivo o informal.</t>
        </is>
      </c>
      <c r="F603" s="208" t="inlineStr">
        <is>
          <t>Origen parcialmente documentado con soporte incompleto.</t>
        </is>
      </c>
      <c r="G603" s="208" t="inlineStr">
        <is>
          <t>Origen del donativo acreditado documentalmente.</t>
        </is>
      </c>
    </row>
    <row r="604" ht="18.75" customHeight="1" s="173">
      <c r="A604" s="208">
        <f>B604&amp;"-"&amp;C604</f>
        <v/>
      </c>
      <c r="B604" s="344" t="inlineStr">
        <is>
          <t>XIII - Recepción de donativos</t>
        </is>
      </c>
      <c r="C604" s="345" t="n">
        <v>24</v>
      </c>
      <c r="D604" s="208" t="inlineStr">
        <is>
          <t>Destino de los recursos</t>
        </is>
      </c>
      <c r="E604" s="208" t="inlineStr">
        <is>
          <t>Destino de los donativos opaco, hacia terceros o al exterior sin relación con el objeto social.</t>
        </is>
      </c>
      <c r="F604" s="208" t="inlineStr">
        <is>
          <t>Destino declarado con justificación parcial.</t>
        </is>
      </c>
      <c r="G604" s="208" t="inlineStr">
        <is>
          <t>Destino aplicado al objeto social con trazabilidad plena.</t>
        </is>
      </c>
    </row>
    <row r="605" ht="18.75" customHeight="1" s="173">
      <c r="A605" s="208">
        <f>B605&amp;"-"&amp;C605</f>
        <v/>
      </c>
      <c r="B605" s="344" t="inlineStr">
        <is>
          <t>XIII - Recepción de donativos</t>
        </is>
      </c>
      <c r="C605" s="345" t="n">
        <v>25</v>
      </c>
      <c r="D605" s="208" t="inlineStr">
        <is>
          <t>Canales e instrumentos idóneos para el financiamiento al terrorismo</t>
        </is>
      </c>
      <c r="E605" s="208" t="inlineStr">
        <is>
          <t>La operación se realiza mediante colecta en línea o en efectivo sin identificación del donante y entrega a beneficiarios no acreditados, es decir, medios que permiten mover valor en montos pequeños sin identificar al destinatario final.</t>
        </is>
      </c>
      <c r="F605" s="208" t="inlineStr">
        <is>
          <t>Canal mixto o con verificación parcial: hay registro de la operación pero la trazabilidad del destinatario final es incompleta.</t>
        </is>
      </c>
      <c r="G605" s="208" t="inlineStr">
        <is>
          <t>Donativo recibido por transferencia de donante identificado, con destino documentado, con trazabilidad completa del origen y del destinatario.</t>
        </is>
      </c>
    </row>
    <row r="606" ht="18.75" customHeight="1" s="173">
      <c r="A606" s="208">
        <f>B606&amp;"-"&amp;C606</f>
        <v/>
      </c>
      <c r="B606" s="344" t="inlineStr">
        <is>
          <t>XIV - CEXT: Joyas, metales, piedras preciosas</t>
        </is>
      </c>
      <c r="C606" s="345" t="n">
        <v>1</v>
      </c>
      <c r="D606" s="208" t="inlineStr">
        <is>
          <t>Valor del producto o servicio</t>
        </is>
      </c>
      <c r="E606" s="208" t="inlineStr">
        <is>
          <t>Piezas de alto valor en operación de comercio exterior.</t>
        </is>
      </c>
      <c r="F606" s="208" t="inlineStr">
        <is>
          <t>Joyería o metales de valor intermedio.</t>
        </is>
      </c>
      <c r="G606" s="208" t="inlineStr">
        <is>
          <t>Bienes de bajo valor con documentación aduanera completa.</t>
        </is>
      </c>
    </row>
    <row r="607" ht="18.75" customHeight="1" s="173">
      <c r="A607" s="208">
        <f>B607&amp;"-"&amp;C607</f>
        <v/>
      </c>
      <c r="B607" s="344" t="inlineStr">
        <is>
          <t>XIV - CEXT: Joyas, metales, piedras preciosas</t>
        </is>
      </c>
      <c r="C607" s="345" t="n">
        <v>2</v>
      </c>
      <c r="D607" s="208" t="inlineStr">
        <is>
          <t>Liquidez / convertibilidad</t>
        </is>
      </c>
      <c r="E607" s="208" t="inlineStr">
        <is>
          <t>Bien de altísima liquidez transfronteriza, fácil de convertir a efectivo.</t>
        </is>
      </c>
      <c r="F607" s="208" t="inlineStr">
        <is>
          <t>Revendible con menor liquidez y trazabilidad parcial.</t>
        </is>
      </c>
      <c r="G607" s="208" t="inlineStr">
        <is>
          <t>Baja reventa y mercado internacional limitado.</t>
        </is>
      </c>
    </row>
    <row r="608" ht="18.75" customHeight="1" s="173">
      <c r="A608" s="208">
        <f>B608&amp;"-"&amp;C608</f>
        <v/>
      </c>
      <c r="B608" s="344" t="inlineStr">
        <is>
          <t>XIV - CEXT: Joyas, metales, piedras preciosas</t>
        </is>
      </c>
      <c r="C608" s="345" t="n">
        <v>3</v>
      </c>
      <c r="D608" s="208" t="inlineStr">
        <is>
          <t>Anonimato / identificación del beneficiario</t>
        </is>
      </c>
      <c r="E608" s="208" t="inlineStr">
        <is>
          <t>Importador/exportador que oculta al beneficiario final tras intermediarios.</t>
        </is>
      </c>
      <c r="F608" s="208" t="inlineStr">
        <is>
          <t>Identificación básica sin verificar al beneficiario final.</t>
        </is>
      </c>
      <c r="G608" s="208" t="inlineStr">
        <is>
          <t>Beneficiario final plenamente identificado y verificado.</t>
        </is>
      </c>
    </row>
    <row r="609" ht="18.75" customHeight="1" s="173">
      <c r="A609" s="208">
        <f>B609&amp;"-"&amp;C609</f>
        <v/>
      </c>
      <c r="B609" s="344" t="inlineStr">
        <is>
          <t>XIV - CEXT: Joyas, metales, piedras preciosas</t>
        </is>
      </c>
      <c r="C609" s="345" t="n">
        <v>4</v>
      </c>
      <c r="D609" s="208" t="inlineStr">
        <is>
          <t>Transferencia u ocultamiento de valor</t>
        </is>
      </c>
      <c r="E609" s="208" t="inlineStr">
        <is>
          <t>Comercio exterior usado para mover y ocultar valor entre fronteras.</t>
        </is>
      </c>
      <c r="F609" s="208" t="inlineStr">
        <is>
          <t>Facilita ocultamiento parcial de valor en la cadena aduanera.</t>
        </is>
      </c>
      <c r="G609" s="208" t="inlineStr">
        <is>
          <t>Operación trazable y documentada que dificulta el ocultamiento.</t>
        </is>
      </c>
    </row>
    <row r="610" ht="18.75" customHeight="1" s="173">
      <c r="A610" s="208">
        <f>B610&amp;"-"&amp;C610</f>
        <v/>
      </c>
      <c r="B610" s="344" t="inlineStr">
        <is>
          <t>XIV - CEXT: Joyas, metales, piedras preciosas</t>
        </is>
      </c>
      <c r="C610" s="345" t="n">
        <v>5</v>
      </c>
      <c r="D610" s="208" t="inlineStr">
        <is>
          <t>Exposición del acto u operación al financiamiento al terrorismo</t>
        </is>
      </c>
      <c r="E610" s="208" t="inlineStr">
        <is>
          <t>Comercio exterior de bienes de alto valor y fácil ocultamiento con origen o destino en jurisdicciones sancionadas, en conflicto o con presencia de organizaciones terroristas.</t>
        </is>
      </c>
      <c r="F610" s="208" t="inlineStr">
        <is>
          <t>Contrapartes en jurisdicciones de monitoreo intensificado o triangulación poco clara, sin coincidencias en listas.</t>
        </is>
      </c>
      <c r="G610" s="208" t="inlineStr">
        <is>
          <t>Contrapartes identificadas en jurisdicciones sin señalamientos, con documentación aduanera completa.</t>
        </is>
      </c>
    </row>
    <row r="611" ht="18.75" customHeight="1" s="173">
      <c r="A611" s="208">
        <f>B611&amp;"-"&amp;C611</f>
        <v/>
      </c>
      <c r="B611" s="344" t="inlineStr">
        <is>
          <t>XIV - CEXT: Joyas, metales, piedras preciosas</t>
        </is>
      </c>
      <c r="C611" s="345" t="n">
        <v>6</v>
      </c>
      <c r="D611" s="208" t="inlineStr">
        <is>
          <t>Tipo de persona y estructura</t>
        </is>
      </c>
      <c r="E611" s="208" t="inlineStr">
        <is>
          <t>Persona moral extranjera, fideicomiso o estructura opaca.</t>
        </is>
      </c>
      <c r="F611" s="208" t="inlineStr">
        <is>
          <t>Persona moral nacional con estructura de control simple.</t>
        </is>
      </c>
      <c r="G611" s="208" t="inlineStr">
        <is>
          <t>Persona física identificada o empresa transparente.</t>
        </is>
      </c>
    </row>
    <row r="612" ht="18.75" customHeight="1" s="173">
      <c r="A612" s="208">
        <f>B612&amp;"-"&amp;C612</f>
        <v/>
      </c>
      <c r="B612" s="344" t="inlineStr">
        <is>
          <t>XIV - CEXT: Joyas, metales, piedras preciosas</t>
        </is>
      </c>
      <c r="C612" s="345" t="n">
        <v>7</v>
      </c>
      <c r="D612" s="208" t="inlineStr">
        <is>
          <t>Edad / fecha de constitución</t>
        </is>
      </c>
      <c r="E612" s="208" t="inlineStr">
        <is>
          <t>Contraparte muy joven atípica o empresa de reciente creación.</t>
        </is>
      </c>
      <c r="F612" s="208" t="inlineStr">
        <is>
          <t>Antigüedad intermedia sin historial de comercio exterior consolidado.</t>
        </is>
      </c>
      <c r="G612" s="208" t="inlineStr">
        <is>
          <t>Empresa con trayectoria e historial aduanero acreditado.</t>
        </is>
      </c>
    </row>
    <row r="613" ht="18.75" customHeight="1" s="173">
      <c r="A613" s="208">
        <f>B613&amp;"-"&amp;C613</f>
        <v/>
      </c>
      <c r="B613" s="344" t="inlineStr">
        <is>
          <t>XIV - CEXT: Joyas, metales, piedras preciosas</t>
        </is>
      </c>
      <c r="C613" s="345" t="n">
        <v>8</v>
      </c>
      <c r="D613" s="208" t="inlineStr">
        <is>
          <t>Actividad económica o giro (y fuente de ingresos)</t>
        </is>
      </c>
      <c r="E613" s="208" t="inlineStr">
        <is>
          <t>Giro informal, uso intensivo de efectivo o triangulación comercial.</t>
        </is>
      </c>
      <c r="F613" s="208" t="inlineStr">
        <is>
          <t>Comercio formal con componente de efectivo relevante.</t>
        </is>
      </c>
      <c r="G613" s="208" t="inlineStr">
        <is>
          <t>Empresa formal con operaciones bancarizadas y acreditadas.</t>
        </is>
      </c>
    </row>
    <row r="614" ht="18.75" customHeight="1" s="173">
      <c r="A614" s="208">
        <f>B614&amp;"-"&amp;C614</f>
        <v/>
      </c>
      <c r="B614" s="344" t="inlineStr">
        <is>
          <t>XIV - CEXT: Joyas, metales, piedras preciosas</t>
        </is>
      </c>
      <c r="C614" s="345" t="n">
        <v>9</v>
      </c>
      <c r="D614" s="208" t="inlineStr">
        <is>
          <t>Nacionalidad del cliente</t>
        </is>
      </c>
      <c r="E614" s="208" t="inlineStr">
        <is>
          <t>Cliente de país en listas GAFI, sancionado o de régimen fiscal preferente.</t>
        </is>
      </c>
      <c r="F614" s="208" t="inlineStr">
        <is>
          <t>Cliente extranjero de país sin deficiencias estratégicas pero con controles PLD limitados.</t>
        </is>
      </c>
      <c r="G614" s="208" t="inlineStr">
        <is>
          <t>Cliente mexicano o de país cooperante con marco PLD/FT sólido.</t>
        </is>
      </c>
    </row>
    <row r="615" ht="18.75" customHeight="1" s="173">
      <c r="A615" s="208">
        <f>B615&amp;"-"&amp;C615</f>
        <v/>
      </c>
      <c r="B615" s="344" t="inlineStr">
        <is>
          <t>XIV - CEXT: Joyas, metales, piedras preciosas</t>
        </is>
      </c>
      <c r="C615" s="345" t="n">
        <v>10</v>
      </c>
      <c r="D615" s="208" t="inlineStr">
        <is>
          <t>País (y en su caso, estado) de residencia del cliente</t>
        </is>
      </c>
      <c r="E615" s="208" t="inlineStr">
        <is>
          <t>Residencia en jurisdicción de alto riesgo o domicilio no verificable.</t>
        </is>
      </c>
      <c r="F615" s="208" t="inlineStr">
        <is>
          <t>Residencia en entidad de riesgo intermedio o parcialmente verificable.</t>
        </is>
      </c>
      <c r="G615" s="208" t="inlineStr">
        <is>
          <t>Residencia nacional plenamente verificada y documentada.</t>
        </is>
      </c>
    </row>
    <row r="616" ht="18.75" customHeight="1" s="173">
      <c r="A616" s="208">
        <f>B616&amp;"-"&amp;C616</f>
        <v/>
      </c>
      <c r="B616" s="344" t="inlineStr">
        <is>
          <t>XIV - CEXT: Joyas, metales, piedras preciosas</t>
        </is>
      </c>
      <c r="C616" s="345" t="n">
        <v>11</v>
      </c>
      <c r="D616" s="208" t="inlineStr">
        <is>
          <t>Condición PEP</t>
        </is>
      </c>
      <c r="E616" s="208" t="inlineStr">
        <is>
          <t>PEP nacional o extranjera, o familiar/allegado de PEP.</t>
        </is>
      </c>
      <c r="F616" s="208" t="inlineStr">
        <is>
          <t>Vínculo indirecto o histórico con PEP, sin poder de decisión actual.</t>
        </is>
      </c>
      <c r="G616" s="208" t="inlineStr">
        <is>
          <t>Cliente sin condición PEP ni relación con personas expuestas.</t>
        </is>
      </c>
    </row>
    <row r="617" ht="18.75" customHeight="1" s="173">
      <c r="A617" s="208">
        <f>B617&amp;"-"&amp;C617</f>
        <v/>
      </c>
      <c r="B617" s="344" t="inlineStr">
        <is>
          <t>XIV - CEXT: Joyas, metales, piedras preciosas</t>
        </is>
      </c>
      <c r="C617" s="345" t="n">
        <v>12</v>
      </c>
      <c r="D617" s="208" t="inlineStr">
        <is>
          <t>Coincidencia en listas de personas bloqueadas o de sanciones</t>
        </is>
      </c>
      <c r="E617" s="208" t="inlineStr">
        <is>
          <t>El importador o exportador, su beneficiario controlador, apoderado o contraparte aparece en la Lista de Personas Bloqueadas, en listas de sanciones o en listas de organizaciones terroristas, o presenta una coincidencia fuerte que no ha sido descartada.</t>
        </is>
      </c>
      <c r="F617" s="208" t="inlineStr">
        <is>
          <t>Se detecta coincidencia parcial u homonimia respecto del importador o exportador o de alguna persona relacionada, y el descarte se encuentra en proceso con constancia documental.</t>
        </is>
      </c>
      <c r="G617" s="208" t="inlineStr">
        <is>
          <t>Búsqueda realizada y documentada sobre el importador o exportador y sus personas relacionadas, sin coincidencias.</t>
        </is>
      </c>
    </row>
    <row r="618" ht="18.75" customHeight="1" s="173">
      <c r="A618" s="208">
        <f>B618&amp;"-"&amp;C618</f>
        <v/>
      </c>
      <c r="B618" s="344" t="inlineStr">
        <is>
          <t>XIV - CEXT: Joyas, metales, piedras preciosas</t>
        </is>
      </c>
      <c r="C618" s="345" t="n">
        <v>13</v>
      </c>
      <c r="D618" s="208" t="inlineStr">
        <is>
          <t>Identificación y complejidad del Beneficiario Controlador</t>
        </is>
      </c>
      <c r="E618" s="208" t="inlineStr">
        <is>
          <t>No se logra identificar al beneficiario controlador del importador o exportador, o la estructura interpone dos o más niveles societarios, fiduciarios o vehículos constituidos en el extranjero para llegar al 25 por ciento.</t>
        </is>
      </c>
      <c r="F618" s="208" t="inlineStr">
        <is>
          <t>Beneficiario controlador identificado, pero a través de una estructura de más de un nivel o con participación indirecta que exigió reconstruir la cadena de control con documentos.</t>
        </is>
      </c>
      <c r="G618" s="208" t="inlineStr">
        <is>
          <t>Beneficiario controlador identificado de forma directa y documentada: persona física que posee al menos el 25 por ciento o que ejerce el control por otra vía acreditada.</t>
        </is>
      </c>
    </row>
    <row r="619" ht="18.75" customHeight="1" s="173">
      <c r="A619" s="208">
        <f>B619&amp;"-"&amp;C619</f>
        <v/>
      </c>
      <c r="B619" s="344" t="inlineStr">
        <is>
          <t>XIV - CEXT: Joyas, metales, piedras preciosas</t>
        </is>
      </c>
      <c r="C619" s="345" t="n">
        <v>14</v>
      </c>
      <c r="D619" s="208" t="inlineStr">
        <is>
          <t>País / jurisdicción donde se realiza la operación</t>
        </is>
      </c>
      <c r="E619" s="208" t="inlineStr">
        <is>
          <t>Operación realizada con o desde jurisdicción de alto riesgo.</t>
        </is>
      </c>
      <c r="F619" s="208" t="inlineStr">
        <is>
          <t>Operación con contraparte en jurisdicción de riesgo intermedio.</t>
        </is>
      </c>
      <c r="G619" s="208" t="inlineStr">
        <is>
          <t>Operación nacional o con jurisdicción cooperante y transparente.</t>
        </is>
      </c>
    </row>
    <row r="620" ht="18.75" customHeight="1" s="173">
      <c r="A620" s="208">
        <f>B620&amp;"-"&amp;C620</f>
        <v/>
      </c>
      <c r="B620" s="344" t="inlineStr">
        <is>
          <t>XIV - CEXT: Joyas, metales, piedras preciosas</t>
        </is>
      </c>
      <c r="C620" s="345" t="n">
        <v>15</v>
      </c>
      <c r="D620" s="208" t="inlineStr">
        <is>
          <t>Área geográfica nacional de la operación</t>
        </is>
      </c>
      <c r="E620" s="208" t="inlineStr">
        <is>
          <t>Zona de alta incidencia delictiva, marginación o franja fronteriza.</t>
        </is>
      </c>
      <c r="F620" s="208" t="inlineStr">
        <is>
          <t>Zona urbana de riesgo intermedio sin alertas relevantes.</t>
        </is>
      </c>
      <c r="G620" s="208" t="inlineStr">
        <is>
          <t>Zona de baja incidencia con presencia institucional.</t>
        </is>
      </c>
    </row>
    <row r="621" ht="18.75" customHeight="1" s="173">
      <c r="A621" s="208">
        <f>B621&amp;"-"&amp;C621</f>
        <v/>
      </c>
      <c r="B621" s="344" t="inlineStr">
        <is>
          <t>XIV - CEXT: Joyas, metales, piedras preciosas</t>
        </is>
      </c>
      <c r="C621" s="345" t="n">
        <v>16</v>
      </c>
      <c r="D621" s="208" t="inlineStr">
        <is>
          <t>Vínculo con jurisdicciones sancionadas, en conflicto o de acción requerida por el GAFI</t>
        </is>
      </c>
      <c r="E621" s="208" t="inlineStr">
        <is>
          <t>Existe exposición a jurisdicciones sancionadas, en conflicto armado o de acción requerida del GAFI, por la vía de origen o destino de la mercancía en el extranjero, por definición de la operación.</t>
        </is>
      </c>
      <c r="F621" s="208" t="inlineStr">
        <is>
          <t>Vínculo con jurisdicciones bajo monitoreo intensificado del GAFI o con deficiencias señaladas en la ENR, sin estar sancionadas ni en conflicto.</t>
        </is>
      </c>
      <c r="G621" s="208" t="inlineStr">
        <is>
          <t>Sin vínculo con jurisdicciones sancionadas, en conflicto o listadas por el GAFI; la operación y sus partes se ubican en plazas sin señalamientos.</t>
        </is>
      </c>
    </row>
    <row r="622" ht="18.75" customHeight="1" s="173">
      <c r="A622" s="208">
        <f>B622&amp;"-"&amp;C622</f>
        <v/>
      </c>
      <c r="B622" s="344" t="inlineStr">
        <is>
          <t>XIV - CEXT: Joyas, metales, piedras preciosas</t>
        </is>
      </c>
      <c r="C622" s="345" t="n">
        <v>17</v>
      </c>
      <c r="D622" s="208" t="inlineStr">
        <is>
          <t>Congruencia entre el domicilio del Cliente y el lugar de la operación</t>
        </is>
      </c>
      <c r="E622" s="208" t="inlineStr">
        <is>
          <t>El domicilio del importador o exportador no guarda relación económica ni logística con el lugar donde se realiza la importación o exportación de la mercancía, y no existe explicación documentada del desplazamiento.</t>
        </is>
      </c>
      <c r="F622" s="208" t="inlineStr">
        <is>
          <t>Existe distancia relevante entre el domicilio del importador o exportador y el lugar de la operación, con explicación plausible pero no soportada en el expediente.</t>
        </is>
      </c>
      <c r="G622" s="208" t="inlineStr">
        <is>
          <t>El domicilio del importador o exportador corresponde a la plaza donde se realiza la importación o exportación de la mercancía, o el desplazamiento está justificado y documentado.</t>
        </is>
      </c>
    </row>
    <row r="623" ht="18.75" customHeight="1" s="173">
      <c r="A623" s="208">
        <f>B623&amp;"-"&amp;C623</f>
        <v/>
      </c>
      <c r="B623" s="344" t="inlineStr">
        <is>
          <t>XIV - CEXT: Joyas, metales, piedras preciosas</t>
        </is>
      </c>
      <c r="C623" s="345" t="n">
        <v>18</v>
      </c>
      <c r="D623" s="208" t="inlineStr">
        <is>
          <t>Instrumento monetario</t>
        </is>
      </c>
      <c r="E623" s="208" t="inlineStr">
        <is>
          <t>Pago en efectivo o instrumentos al portador.</t>
        </is>
      </c>
      <c r="F623" s="208" t="inlineStr">
        <is>
          <t>Pago mixto: efectivo combinado con transferencia.</t>
        </is>
      </c>
      <c r="G623" s="208" t="inlineStr">
        <is>
          <t>Pago íntegro a través del sistema financiero.</t>
        </is>
      </c>
    </row>
    <row r="624" ht="18.75" customHeight="1" s="173">
      <c r="A624" s="208">
        <f>B624&amp;"-"&amp;C624</f>
        <v/>
      </c>
      <c r="B624" s="344" t="inlineStr">
        <is>
          <t>XIV - CEXT: Joyas, metales, piedras preciosas</t>
        </is>
      </c>
      <c r="C624" s="345" t="n">
        <v>19</v>
      </c>
      <c r="D624" s="208" t="inlineStr">
        <is>
          <t>Tipo de moneda</t>
        </is>
      </c>
      <c r="E624" s="208" t="inlineStr">
        <is>
          <t>Operación en moneda extranjera distinta al USD o en criptomonedas.</t>
        </is>
      </c>
      <c r="F624" s="208" t="inlineStr">
        <is>
          <t>Operación pactada en dólares estadounidenses (USD).</t>
        </is>
      </c>
      <c r="G624" s="208" t="inlineStr">
        <is>
          <t>Operación pactada y liquidada en pesos mexicanos.</t>
        </is>
      </c>
    </row>
    <row r="625" ht="18.75" customHeight="1" s="173">
      <c r="A625" s="208">
        <f>B625&amp;"-"&amp;C625</f>
        <v/>
      </c>
      <c r="B625" s="344" t="inlineStr">
        <is>
          <t>XIV - CEXT: Joyas, metales, piedras preciosas</t>
        </is>
      </c>
      <c r="C625" s="345" t="n">
        <v>20</v>
      </c>
      <c r="D625" s="208" t="inlineStr">
        <is>
          <t>Monto frente a umbrales LFPIORPI</t>
        </is>
      </c>
      <c r="E625" s="208" t="inlineStr">
        <is>
          <t>Monto que supera el umbral de aviso de 485 UMA.</t>
        </is>
      </c>
      <c r="F625" s="208" t="inlineStr">
        <is>
          <t>Monto cercano al umbral de 485 UMA sin superarlo.</t>
        </is>
      </c>
      <c r="G625" s="208" t="inlineStr">
        <is>
          <t>Monto muy por debajo del umbral de 485 UMA.</t>
        </is>
      </c>
    </row>
    <row r="626" ht="18.75" customHeight="1" s="173">
      <c r="A626" s="208">
        <f>B626&amp;"-"&amp;C626</f>
        <v/>
      </c>
      <c r="B626" s="344" t="inlineStr">
        <is>
          <t>XIV - CEXT: Joyas, metales, piedras preciosas</t>
        </is>
      </c>
      <c r="C626" s="345" t="n">
        <v>21</v>
      </c>
      <c r="D626" s="208" t="inlineStr">
        <is>
          <t>Frecuencia (fraccionamiento)</t>
        </is>
      </c>
      <c r="E626" s="208" t="inlineStr">
        <is>
          <t>Operaciones frecuentes o fraccionadas para eludir el umbral.</t>
        </is>
      </c>
      <c r="F626" s="208" t="inlineStr">
        <is>
          <t>Recurrencia moderada sin patrón claro de fraccionamiento.</t>
        </is>
      </c>
      <c r="G626" s="208" t="inlineStr">
        <is>
          <t>Operación aislada y consistente con el perfil de la empresa.</t>
        </is>
      </c>
    </row>
    <row r="627" ht="18.75" customHeight="1" s="173">
      <c r="A627" s="208">
        <f>B627&amp;"-"&amp;C627</f>
        <v/>
      </c>
      <c r="B627" s="344" t="inlineStr">
        <is>
          <t>XIV - CEXT: Joyas, metales, piedras preciosas</t>
        </is>
      </c>
      <c r="C627" s="345" t="n">
        <v>22</v>
      </c>
      <c r="D627" s="208" t="inlineStr">
        <is>
          <t>Canal (presencial / no presencial / terceros)</t>
        </is>
      </c>
      <c r="E627" s="208" t="inlineStr">
        <is>
          <t>Operación no presencial o a través de terceros sin contacto directo.</t>
        </is>
      </c>
      <c r="F627" s="208" t="inlineStr">
        <is>
          <t>Operación presencial con intermediación parcial de un tercero.</t>
        </is>
      </c>
      <c r="G627" s="208" t="inlineStr">
        <is>
          <t>Operación presencial directa con el cliente plenamente identificado.</t>
        </is>
      </c>
    </row>
    <row r="628" ht="18.75" customHeight="1" s="173">
      <c r="A628" s="208">
        <f>B628&amp;"-"&amp;C628</f>
        <v/>
      </c>
      <c r="B628" s="344" t="inlineStr">
        <is>
          <t>XIV - CEXT: Joyas, metales, piedras preciosas</t>
        </is>
      </c>
      <c r="C628" s="345" t="n">
        <v>23</v>
      </c>
      <c r="D628" s="208" t="inlineStr">
        <is>
          <t>Origen de los recursos</t>
        </is>
      </c>
      <c r="E628" s="208" t="inlineStr">
        <is>
          <t>Recursos de origen no acreditable, en efectivo o informal.</t>
        </is>
      </c>
      <c r="F628" s="208" t="inlineStr">
        <is>
          <t>Origen de recursos parcialmente documentado.</t>
        </is>
      </c>
      <c r="G628" s="208" t="inlineStr">
        <is>
          <t>Origen lícito plenamente acreditado y bancarizado.</t>
        </is>
      </c>
    </row>
    <row r="629" ht="18.75" customHeight="1" s="173">
      <c r="A629" s="208">
        <f>B629&amp;"-"&amp;C629</f>
        <v/>
      </c>
      <c r="B629" s="344" t="inlineStr">
        <is>
          <t>XIV - CEXT: Joyas, metales, piedras preciosas</t>
        </is>
      </c>
      <c r="C629" s="345" t="n">
        <v>24</v>
      </c>
      <c r="D629" s="208" t="inlineStr">
        <is>
          <t>Destino de los recursos</t>
        </is>
      </c>
      <c r="E629" s="208" t="inlineStr">
        <is>
          <t>Recursos o bienes al exterior o a terceros sin justificación comercial.</t>
        </is>
      </c>
      <c r="F629" s="208" t="inlineStr">
        <is>
          <t>Destino parcialmente justificado.</t>
        </is>
      </c>
      <c r="G629" s="208" t="inlineStr">
        <is>
          <t>Destino claro, documentado y congruente con la operación.</t>
        </is>
      </c>
    </row>
    <row r="630" ht="18.75" customHeight="1" s="173">
      <c r="A630" s="208">
        <f>B630&amp;"-"&amp;C630</f>
        <v/>
      </c>
      <c r="B630" s="344" t="inlineStr">
        <is>
          <t>XIV - CEXT: Joyas, metales, piedras preciosas</t>
        </is>
      </c>
      <c r="C630" s="345" t="n">
        <v>25</v>
      </c>
      <c r="D630" s="208" t="inlineStr">
        <is>
          <t>Canales e instrumentos idóneos para el financiamiento al terrorismo</t>
        </is>
      </c>
      <c r="E630" s="208" t="inlineStr">
        <is>
          <t>La operación se realiza mediante operaciones a través de agentes sin acreditar al propietario final y pagos a terceros, es decir, medios que permiten mover valor en montos pequeños sin identificar al destinatario final.</t>
        </is>
      </c>
      <c r="F630" s="208" t="inlineStr">
        <is>
          <t>Canal mixto o con verificación parcial: hay registro de la operación pero la trazabilidad del destinatario final es incompleta.</t>
        </is>
      </c>
      <c r="G630" s="208" t="inlineStr">
        <is>
          <t>Operación con propietario identificado, pedimento y pago bancarizado congruentes, con trazabilidad completa del origen y del destinatario.</t>
        </is>
      </c>
    </row>
    <row r="631" ht="18.75" customHeight="1" s="173">
      <c r="A631" s="208">
        <f>B631&amp;"-"&amp;C631</f>
        <v/>
      </c>
      <c r="B631" s="344" t="inlineStr">
        <is>
          <t>XIV - CEXT: Obras de arte</t>
        </is>
      </c>
      <c r="C631" s="345" t="n">
        <v>1</v>
      </c>
      <c r="D631" s="208" t="inlineStr">
        <is>
          <t>Valor del producto o servicio</t>
        </is>
      </c>
      <c r="E631" s="208" t="inlineStr">
        <is>
          <t>Obras de alto valor en subasta o traslado internacional.</t>
        </is>
      </c>
      <c r="F631" s="208" t="inlineStr">
        <is>
          <t>Obras de valor intermedio con mercado establecido.</t>
        </is>
      </c>
      <c r="G631" s="208" t="inlineStr">
        <is>
          <t>Obras de bajo valor con factura y documentación aduanera.</t>
        </is>
      </c>
    </row>
    <row r="632" ht="18.75" customHeight="1" s="173">
      <c r="A632" s="208">
        <f>B632&amp;"-"&amp;C632</f>
        <v/>
      </c>
      <c r="B632" s="344" t="inlineStr">
        <is>
          <t>XIV - CEXT: Obras de arte</t>
        </is>
      </c>
      <c r="C632" s="345" t="n">
        <v>2</v>
      </c>
      <c r="D632" s="208" t="inlineStr">
        <is>
          <t>Liquidez / convertibilidad</t>
        </is>
      </c>
      <c r="E632" s="208" t="inlineStr">
        <is>
          <t>Pieza revendible en mercado internacional opaco de alta liquidez.</t>
        </is>
      </c>
      <c r="F632" s="208" t="inlineStr">
        <is>
          <t>Reventa posible con menor liquidez y trazabilidad.</t>
        </is>
      </c>
      <c r="G632" s="208" t="inlineStr">
        <is>
          <t>Baja reventa; circulación internacional limitada.</t>
        </is>
      </c>
    </row>
    <row r="633" ht="18.75" customHeight="1" s="173">
      <c r="A633" s="208">
        <f>B633&amp;"-"&amp;C633</f>
        <v/>
      </c>
      <c r="B633" s="344" t="inlineStr">
        <is>
          <t>XIV - CEXT: Obras de arte</t>
        </is>
      </c>
      <c r="C633" s="345" t="n">
        <v>3</v>
      </c>
      <c r="D633" s="208" t="inlineStr">
        <is>
          <t>Anonimato / identificación del beneficiario</t>
        </is>
      </c>
      <c r="E633" s="208" t="inlineStr">
        <is>
          <t>Traslado a través de intermediarios que ocultan al beneficiario final.</t>
        </is>
      </c>
      <c r="F633" s="208" t="inlineStr">
        <is>
          <t>Identificación básica sin verificar al beneficiario final.</t>
        </is>
      </c>
      <c r="G633" s="208" t="inlineStr">
        <is>
          <t>Comprador y beneficiario final plenamente identificados.</t>
        </is>
      </c>
    </row>
    <row r="634" ht="18.75" customHeight="1" s="173">
      <c r="A634" s="208">
        <f>B634&amp;"-"&amp;C634</f>
        <v/>
      </c>
      <c r="B634" s="344" t="inlineStr">
        <is>
          <t>XIV - CEXT: Obras de arte</t>
        </is>
      </c>
      <c r="C634" s="345" t="n">
        <v>4</v>
      </c>
      <c r="D634" s="208" t="inlineStr">
        <is>
          <t>Transferencia u ocultamiento de valor</t>
        </is>
      </c>
      <c r="E634" s="208" t="inlineStr">
        <is>
          <t>Sobre o subvaluación transfronteriza para justificar o mover flujos ilícitos.</t>
        </is>
      </c>
      <c r="F634" s="208" t="inlineStr">
        <is>
          <t>Margen de valuación que facilita ajustes de valor moderados.</t>
        </is>
      </c>
      <c r="G634" s="208" t="inlineStr">
        <is>
          <t>Valuación soportada y trazable que dificulta el ocultamiento.</t>
        </is>
      </c>
    </row>
    <row r="635" ht="18.75" customHeight="1" s="173">
      <c r="A635" s="208">
        <f>B635&amp;"-"&amp;C635</f>
        <v/>
      </c>
      <c r="B635" s="344" t="inlineStr">
        <is>
          <t>XIV - CEXT: Obras de arte</t>
        </is>
      </c>
      <c r="C635" s="345" t="n">
        <v>5</v>
      </c>
      <c r="D635" s="208" t="inlineStr">
        <is>
          <t>Exposición del acto u operación al financiamiento al terrorismo</t>
        </is>
      </c>
      <c r="E635" s="208" t="inlineStr">
        <is>
          <t>Traslado internacional de piezas de alto valor con origen o destino en jurisdicciones sancionadas o en conflicto, incluido el saqueo de bienes culturales en zonas de guerra.</t>
        </is>
      </c>
      <c r="F635" s="208" t="inlineStr">
        <is>
          <t>Contrapartes en jurisdicciones de monitoreo intensificado o procedencia de la pieza poco clara, sin coincidencias en listas.</t>
        </is>
      </c>
      <c r="G635" s="208" t="inlineStr">
        <is>
          <t>Contrapartes identificadas, procedencia de la pieza documentada y jurisdicciones sin señalamientos.</t>
        </is>
      </c>
    </row>
    <row r="636" ht="18.75" customHeight="1" s="173">
      <c r="A636" s="208">
        <f>B636&amp;"-"&amp;C636</f>
        <v/>
      </c>
      <c r="B636" s="344" t="inlineStr">
        <is>
          <t>XIV - CEXT: Obras de arte</t>
        </is>
      </c>
      <c r="C636" s="345" t="n">
        <v>6</v>
      </c>
      <c r="D636" s="208" t="inlineStr">
        <is>
          <t>Tipo de persona y estructura</t>
        </is>
      </c>
      <c r="E636" s="208" t="inlineStr">
        <is>
          <t>Persona moral extranjera, fideicomiso o coleccionista anónimo.</t>
        </is>
      </c>
      <c r="F636" s="208" t="inlineStr">
        <is>
          <t>Persona moral nacional o galería con estructura simple.</t>
        </is>
      </c>
      <c r="G636" s="208" t="inlineStr">
        <is>
          <t>Persona física identificada o institución transparente.</t>
        </is>
      </c>
    </row>
    <row r="637" ht="18.75" customHeight="1" s="173">
      <c r="A637" s="208">
        <f>B637&amp;"-"&amp;C637</f>
        <v/>
      </c>
      <c r="B637" s="344" t="inlineStr">
        <is>
          <t>XIV - CEXT: Obras de arte</t>
        </is>
      </c>
      <c r="C637" s="345" t="n">
        <v>7</v>
      </c>
      <c r="D637" s="208" t="inlineStr">
        <is>
          <t>Edad / fecha de constitución</t>
        </is>
      </c>
      <c r="E637" s="208" t="inlineStr">
        <is>
          <t>Contraparte muy joven atípica o entidad de reciente creación.</t>
        </is>
      </c>
      <c r="F637" s="208" t="inlineStr">
        <is>
          <t>Antigüedad intermedia sin historial consolidado.</t>
        </is>
      </c>
      <c r="G637" s="208" t="inlineStr">
        <is>
          <t>Coleccionista o casa con trayectoria y antigüedad acreditada.</t>
        </is>
      </c>
    </row>
    <row r="638" ht="18.75" customHeight="1" s="173">
      <c r="A638" s="208">
        <f>B638&amp;"-"&amp;C638</f>
        <v/>
      </c>
      <c r="B638" s="344" t="inlineStr">
        <is>
          <t>XIV - CEXT: Obras de arte</t>
        </is>
      </c>
      <c r="C638" s="345" t="n">
        <v>8</v>
      </c>
      <c r="D638" s="208" t="inlineStr">
        <is>
          <t>Actividad económica o giro (y fuente de ingresos)</t>
        </is>
      </c>
      <c r="E638" s="208" t="inlineStr">
        <is>
          <t>Giro sin sustancia económica o uso del arte como vehículo de valor.</t>
        </is>
      </c>
      <c r="F638" s="208" t="inlineStr">
        <is>
          <t>Actividad formal con ingresos parcialmente acreditados.</t>
        </is>
      </c>
      <c r="G638" s="208" t="inlineStr">
        <is>
          <t>Galería o casa formal con operaciones bancarizadas.</t>
        </is>
      </c>
    </row>
    <row r="639" ht="18.75" customHeight="1" s="173">
      <c r="A639" s="208">
        <f>B639&amp;"-"&amp;C639</f>
        <v/>
      </c>
      <c r="B639" s="344" t="inlineStr">
        <is>
          <t>XIV - CEXT: Obras de arte</t>
        </is>
      </c>
      <c r="C639" s="345" t="n">
        <v>9</v>
      </c>
      <c r="D639" s="208" t="inlineStr">
        <is>
          <t>Nacionalidad del cliente</t>
        </is>
      </c>
      <c r="E639" s="208" t="inlineStr">
        <is>
          <t>Cliente de país en listas GAFI, sancionado o de régimen fiscal preferente.</t>
        </is>
      </c>
      <c r="F639" s="208" t="inlineStr">
        <is>
          <t>Cliente extranjero de país sin deficiencias estratégicas pero con controles PLD limitados.</t>
        </is>
      </c>
      <c r="G639" s="208" t="inlineStr">
        <is>
          <t>Cliente mexicano o de país cooperante con marco PLD/FT sólido.</t>
        </is>
      </c>
    </row>
    <row r="640" ht="18.75" customHeight="1" s="173">
      <c r="A640" s="208">
        <f>B640&amp;"-"&amp;C640</f>
        <v/>
      </c>
      <c r="B640" s="344" t="inlineStr">
        <is>
          <t>XIV - CEXT: Obras de arte</t>
        </is>
      </c>
      <c r="C640" s="345" t="n">
        <v>10</v>
      </c>
      <c r="D640" s="208" t="inlineStr">
        <is>
          <t>País (y en su caso, estado) de residencia del cliente</t>
        </is>
      </c>
      <c r="E640" s="208" t="inlineStr">
        <is>
          <t>Residencia en jurisdicción de alto riesgo o domicilio no verificable.</t>
        </is>
      </c>
      <c r="F640" s="208" t="inlineStr">
        <is>
          <t>Residencia en entidad de riesgo intermedio o parcialmente verificable.</t>
        </is>
      </c>
      <c r="G640" s="208" t="inlineStr">
        <is>
          <t>Residencia nacional plenamente verificada y documentada.</t>
        </is>
      </c>
    </row>
    <row r="641" ht="18.75" customHeight="1" s="173">
      <c r="A641" s="208">
        <f>B641&amp;"-"&amp;C641</f>
        <v/>
      </c>
      <c r="B641" s="344" t="inlineStr">
        <is>
          <t>XIV - CEXT: Obras de arte</t>
        </is>
      </c>
      <c r="C641" s="345" t="n">
        <v>11</v>
      </c>
      <c r="D641" s="208" t="inlineStr">
        <is>
          <t>Condición PEP</t>
        </is>
      </c>
      <c r="E641" s="208" t="inlineStr">
        <is>
          <t>PEP nacional o extranjera, o familiar/allegado de PEP.</t>
        </is>
      </c>
      <c r="F641" s="208" t="inlineStr">
        <is>
          <t>Vínculo indirecto o histórico con PEP, sin poder de decisión actual.</t>
        </is>
      </c>
      <c r="G641" s="208" t="inlineStr">
        <is>
          <t>Cliente sin condición PEP ni relación con personas expuestas.</t>
        </is>
      </c>
    </row>
    <row r="642" ht="18.75" customHeight="1" s="173">
      <c r="A642" s="208">
        <f>B642&amp;"-"&amp;C642</f>
        <v/>
      </c>
      <c r="B642" s="344" t="inlineStr">
        <is>
          <t>XIV - CEXT: Obras de arte</t>
        </is>
      </c>
      <c r="C642" s="345" t="n">
        <v>12</v>
      </c>
      <c r="D642" s="208" t="inlineStr">
        <is>
          <t>Coincidencia en listas de personas bloqueadas o de sanciones</t>
        </is>
      </c>
      <c r="E642" s="208" t="inlineStr">
        <is>
          <t>El importador o exportador, su beneficiario controlador, apoderado o contraparte aparece en la Lista de Personas Bloqueadas, en listas de sanciones o en listas de organizaciones terroristas, o presenta una coincidencia fuerte que no ha sido descartada.</t>
        </is>
      </c>
      <c r="F642" s="208" t="inlineStr">
        <is>
          <t>Se detecta coincidencia parcial u homonimia respecto del importador o exportador o de alguna persona relacionada, y el descarte se encuentra en proceso con constancia documental.</t>
        </is>
      </c>
      <c r="G642" s="208" t="inlineStr">
        <is>
          <t>Búsqueda realizada y documentada sobre el importador o exportador y sus personas relacionadas, sin coincidencias.</t>
        </is>
      </c>
    </row>
    <row r="643" ht="18.75" customHeight="1" s="173">
      <c r="A643" s="208">
        <f>B643&amp;"-"&amp;C643</f>
        <v/>
      </c>
      <c r="B643" s="344" t="inlineStr">
        <is>
          <t>XIV - CEXT: Obras de arte</t>
        </is>
      </c>
      <c r="C643" s="345" t="n">
        <v>13</v>
      </c>
      <c r="D643" s="208" t="inlineStr">
        <is>
          <t>Identificación y complejidad del Beneficiario Controlador</t>
        </is>
      </c>
      <c r="E643" s="208" t="inlineStr">
        <is>
          <t>No se logra identificar al beneficiario controlador del importador o exportador, o la estructura interpone dos o más niveles societarios, fiduciarios o vehículos constituidos en el extranjero para llegar al 25 por ciento.</t>
        </is>
      </c>
      <c r="F643" s="208" t="inlineStr">
        <is>
          <t>Beneficiario controlador identificado, pero a través de una estructura de más de un nivel o con participación indirecta que exigió reconstruir la cadena de control con documentos.</t>
        </is>
      </c>
      <c r="G643" s="208" t="inlineStr">
        <is>
          <t>Beneficiario controlador identificado de forma directa y documentada: persona física que posee al menos el 25 por ciento o que ejerce el control por otra vía acreditada.</t>
        </is>
      </c>
    </row>
    <row r="644" ht="18.75" customHeight="1" s="173">
      <c r="A644" s="208">
        <f>B644&amp;"-"&amp;C644</f>
        <v/>
      </c>
      <c r="B644" s="344" t="inlineStr">
        <is>
          <t>XIV - CEXT: Obras de arte</t>
        </is>
      </c>
      <c r="C644" s="345" t="n">
        <v>14</v>
      </c>
      <c r="D644" s="208" t="inlineStr">
        <is>
          <t>País / jurisdicción donde se realiza la operación</t>
        </is>
      </c>
      <c r="E644" s="208" t="inlineStr">
        <is>
          <t>Operación realizada con o desde jurisdicción de alto riesgo.</t>
        </is>
      </c>
      <c r="F644" s="208" t="inlineStr">
        <is>
          <t>Operación con contraparte en jurisdicción de riesgo intermedio.</t>
        </is>
      </c>
      <c r="G644" s="208" t="inlineStr">
        <is>
          <t>Operación nacional o con jurisdicción cooperante y transparente.</t>
        </is>
      </c>
    </row>
    <row r="645" ht="18.75" customHeight="1" s="173">
      <c r="A645" s="208">
        <f>B645&amp;"-"&amp;C645</f>
        <v/>
      </c>
      <c r="B645" s="344" t="inlineStr">
        <is>
          <t>XIV - CEXT: Obras de arte</t>
        </is>
      </c>
      <c r="C645" s="345" t="n">
        <v>15</v>
      </c>
      <c r="D645" s="208" t="inlineStr">
        <is>
          <t>Área geográfica nacional de la operación</t>
        </is>
      </c>
      <c r="E645" s="208" t="inlineStr">
        <is>
          <t>Zona de alta incidencia delictiva, marginación o franja fronteriza.</t>
        </is>
      </c>
      <c r="F645" s="208" t="inlineStr">
        <is>
          <t>Zona urbana de riesgo intermedio sin alertas relevantes.</t>
        </is>
      </c>
      <c r="G645" s="208" t="inlineStr">
        <is>
          <t>Zona de baja incidencia con presencia institucional.</t>
        </is>
      </c>
    </row>
    <row r="646" ht="18.75" customHeight="1" s="173">
      <c r="A646" s="208">
        <f>B646&amp;"-"&amp;C646</f>
        <v/>
      </c>
      <c r="B646" s="344" t="inlineStr">
        <is>
          <t>XIV - CEXT: Obras de arte</t>
        </is>
      </c>
      <c r="C646" s="345" t="n">
        <v>16</v>
      </c>
      <c r="D646" s="208" t="inlineStr">
        <is>
          <t>Vínculo con jurisdicciones sancionadas, en conflicto o de acción requerida por el GAFI</t>
        </is>
      </c>
      <c r="E646" s="208" t="inlineStr">
        <is>
          <t>Existe exposición a jurisdicciones sancionadas, en conflicto armado o de acción requerida del GAFI, por la vía de origen o destino de la obra en el extranjero, por definición de la operación.</t>
        </is>
      </c>
      <c r="F646" s="208" t="inlineStr">
        <is>
          <t>Vínculo con jurisdicciones bajo monitoreo intensificado del GAFI o con deficiencias señaladas en la ENR, sin estar sancionadas ni en conflicto.</t>
        </is>
      </c>
      <c r="G646" s="208" t="inlineStr">
        <is>
          <t>Sin vínculo con jurisdicciones sancionadas, en conflicto o listadas por el GAFI; la operación y sus partes se ubican en plazas sin señalamientos.</t>
        </is>
      </c>
    </row>
    <row r="647" ht="18.75" customHeight="1" s="173">
      <c r="A647" s="208">
        <f>B647&amp;"-"&amp;C647</f>
        <v/>
      </c>
      <c r="B647" s="344" t="inlineStr">
        <is>
          <t>XIV - CEXT: Obras de arte</t>
        </is>
      </c>
      <c r="C647" s="345" t="n">
        <v>17</v>
      </c>
      <c r="D647" s="208" t="inlineStr">
        <is>
          <t>Congruencia entre el domicilio del Cliente y el lugar de la operación</t>
        </is>
      </c>
      <c r="E647" s="208" t="inlineStr">
        <is>
          <t>El domicilio del importador o exportador no guarda relación económica ni logística con el lugar donde se realiza la importación o exportación de la obra, y no existe explicación documentada del desplazamiento.</t>
        </is>
      </c>
      <c r="F647" s="208" t="inlineStr">
        <is>
          <t>Existe distancia relevante entre el domicilio del importador o exportador y el lugar de la operación, con explicación plausible pero no soportada en el expediente.</t>
        </is>
      </c>
      <c r="G647" s="208" t="inlineStr">
        <is>
          <t>El domicilio del importador o exportador corresponde a la plaza donde se realiza la importación o exportación de la obra, o el desplazamiento está justificado y documentado.</t>
        </is>
      </c>
    </row>
    <row r="648" ht="18.75" customHeight="1" s="173">
      <c r="A648" s="208">
        <f>B648&amp;"-"&amp;C648</f>
        <v/>
      </c>
      <c r="B648" s="344" t="inlineStr">
        <is>
          <t>XIV - CEXT: Obras de arte</t>
        </is>
      </c>
      <c r="C648" s="345" t="n">
        <v>18</v>
      </c>
      <c r="D648" s="208" t="inlineStr">
        <is>
          <t>Instrumento monetario</t>
        </is>
      </c>
      <c r="E648" s="208" t="inlineStr">
        <is>
          <t>Pago en efectivo o instrumentos al portador.</t>
        </is>
      </c>
      <c r="F648" s="208" t="inlineStr">
        <is>
          <t>Pago mixto: efectivo combinado con transferencia.</t>
        </is>
      </c>
      <c r="G648" s="208" t="inlineStr">
        <is>
          <t>Pago íntegro a través del sistema financiero.</t>
        </is>
      </c>
    </row>
    <row r="649" ht="18.75" customHeight="1" s="173">
      <c r="A649" s="208">
        <f>B649&amp;"-"&amp;C649</f>
        <v/>
      </c>
      <c r="B649" s="344" t="inlineStr">
        <is>
          <t>XIV - CEXT: Obras de arte</t>
        </is>
      </c>
      <c r="C649" s="345" t="n">
        <v>19</v>
      </c>
      <c r="D649" s="208" t="inlineStr">
        <is>
          <t>Tipo de moneda</t>
        </is>
      </c>
      <c r="E649" s="208" t="inlineStr">
        <is>
          <t>Operación en moneda extranjera distinta al USD o en criptomonedas.</t>
        </is>
      </c>
      <c r="F649" s="208" t="inlineStr">
        <is>
          <t>Operación pactada en dólares estadounidenses (USD).</t>
        </is>
      </c>
      <c r="G649" s="208" t="inlineStr">
        <is>
          <t>Operación pactada y liquidada en pesos mexicanos.</t>
        </is>
      </c>
    </row>
    <row r="650" ht="18.75" customHeight="1" s="173">
      <c r="A650" s="208">
        <f>B650&amp;"-"&amp;C650</f>
        <v/>
      </c>
      <c r="B650" s="344" t="inlineStr">
        <is>
          <t>XIV - CEXT: Obras de arte</t>
        </is>
      </c>
      <c r="C650" s="345" t="n">
        <v>20</v>
      </c>
      <c r="D650" s="208" t="inlineStr">
        <is>
          <t>Monto frente a umbrales LFPIORPI</t>
        </is>
      </c>
      <c r="E650" s="208" t="inlineStr">
        <is>
          <t>Monto que supera el umbral de aviso de 4,815 UMA.</t>
        </is>
      </c>
      <c r="F650" s="208" t="inlineStr">
        <is>
          <t>Monto cercano al umbral de 4,815 UMA sin superarlo.</t>
        </is>
      </c>
      <c r="G650" s="208" t="inlineStr">
        <is>
          <t>Monto muy por debajo del umbral de 4,815 UMA.</t>
        </is>
      </c>
    </row>
    <row r="651" ht="18.75" customHeight="1" s="173">
      <c r="A651" s="208">
        <f>B651&amp;"-"&amp;C651</f>
        <v/>
      </c>
      <c r="B651" s="344" t="inlineStr">
        <is>
          <t>XIV - CEXT: Obras de arte</t>
        </is>
      </c>
      <c r="C651" s="345" t="n">
        <v>21</v>
      </c>
      <c r="D651" s="208" t="inlineStr">
        <is>
          <t>Frecuencia (fraccionamiento)</t>
        </is>
      </c>
      <c r="E651" s="208" t="inlineStr">
        <is>
          <t>Operaciones frecuentes o fraccionadas para eludir el umbral.</t>
        </is>
      </c>
      <c r="F651" s="208" t="inlineStr">
        <is>
          <t>Recurrencia moderada sin patrón claro de fraccionamiento.</t>
        </is>
      </c>
      <c r="G651" s="208" t="inlineStr">
        <is>
          <t>Operación aislada y consistente con el perfil del comprador.</t>
        </is>
      </c>
    </row>
    <row r="652" ht="18.75" customHeight="1" s="173">
      <c r="A652" s="208">
        <f>B652&amp;"-"&amp;C652</f>
        <v/>
      </c>
      <c r="B652" s="344" t="inlineStr">
        <is>
          <t>XIV - CEXT: Obras de arte</t>
        </is>
      </c>
      <c r="C652" s="345" t="n">
        <v>22</v>
      </c>
      <c r="D652" s="208" t="inlineStr">
        <is>
          <t>Canal (presencial / no presencial / terceros)</t>
        </is>
      </c>
      <c r="E652" s="208" t="inlineStr">
        <is>
          <t>Operación no presencial o a través de terceros sin contacto directo.</t>
        </is>
      </c>
      <c r="F652" s="208" t="inlineStr">
        <is>
          <t>Operación presencial con intermediación parcial de un tercero.</t>
        </is>
      </c>
      <c r="G652" s="208" t="inlineStr">
        <is>
          <t>Operación presencial directa con el cliente plenamente identificado.</t>
        </is>
      </c>
    </row>
    <row r="653" ht="18.75" customHeight="1" s="173">
      <c r="A653" s="208">
        <f>B653&amp;"-"&amp;C653</f>
        <v/>
      </c>
      <c r="B653" s="344" t="inlineStr">
        <is>
          <t>XIV - CEXT: Obras de arte</t>
        </is>
      </c>
      <c r="C653" s="345" t="n">
        <v>23</v>
      </c>
      <c r="D653" s="208" t="inlineStr">
        <is>
          <t>Origen de los recursos</t>
        </is>
      </c>
      <c r="E653" s="208" t="inlineStr">
        <is>
          <t>Recursos de origen no acreditable, en efectivo o informal.</t>
        </is>
      </c>
      <c r="F653" s="208" t="inlineStr">
        <is>
          <t>Origen de recursos parcialmente documentado.</t>
        </is>
      </c>
      <c r="G653" s="208" t="inlineStr">
        <is>
          <t>Origen lícito plenamente acreditado y bancarizado.</t>
        </is>
      </c>
    </row>
    <row r="654" ht="18.75" customHeight="1" s="173">
      <c r="A654" s="208">
        <f>B654&amp;"-"&amp;C654</f>
        <v/>
      </c>
      <c r="B654" s="344" t="inlineStr">
        <is>
          <t>XIV - CEXT: Obras de arte</t>
        </is>
      </c>
      <c r="C654" s="345" t="n">
        <v>24</v>
      </c>
      <c r="D654" s="208" t="inlineStr">
        <is>
          <t>Destino de los recursos</t>
        </is>
      </c>
      <c r="E654" s="208" t="inlineStr">
        <is>
          <t>Obra o recursos al exterior o a terceros sin justificación.</t>
        </is>
      </c>
      <c r="F654" s="208" t="inlineStr">
        <is>
          <t>Destino parcialmente justificado.</t>
        </is>
      </c>
      <c r="G654" s="208" t="inlineStr">
        <is>
          <t>Destino claro, documentado y congruente con la operación.</t>
        </is>
      </c>
    </row>
    <row r="655" ht="18.75" customHeight="1" s="173">
      <c r="A655" s="208">
        <f>B655&amp;"-"&amp;C655</f>
        <v/>
      </c>
      <c r="B655" s="344" t="inlineStr">
        <is>
          <t>XIV - CEXT: Obras de arte</t>
        </is>
      </c>
      <c r="C655" s="345" t="n">
        <v>25</v>
      </c>
      <c r="D655" s="208" t="inlineStr">
        <is>
          <t>Canales e instrumentos idóneos para el financiamiento al terrorismo</t>
        </is>
      </c>
      <c r="E655" s="208" t="inlineStr">
        <is>
          <t>La operación se realiza mediante operaciones a través de agentes sin acreditar al propietario final y pagos a terceros, es decir, medios que permiten mover valor en montos pequeños sin identificar al destinatario final.</t>
        </is>
      </c>
      <c r="F655" s="208" t="inlineStr">
        <is>
          <t>Canal mixto o con verificación parcial: hay registro de la operación pero la trazabilidad del destinatario final es incompleta.</t>
        </is>
      </c>
      <c r="G655" s="208" t="inlineStr">
        <is>
          <t>Operación con propietario identificado, pedimento y pago bancarizado congruentes, con trazabilidad completa del origen y del destinatario.</t>
        </is>
      </c>
    </row>
    <row r="656" ht="18.75" customHeight="1" s="173">
      <c r="A656" s="208">
        <f>B656&amp;"-"&amp;C656</f>
        <v/>
      </c>
      <c r="B656" s="344" t="inlineStr">
        <is>
          <t>XIV - CEXT: Vehículos, máquinas, blindaje, etc.</t>
        </is>
      </c>
      <c r="C656" s="345" t="n">
        <v>1</v>
      </c>
      <c r="D656" s="208" t="inlineStr">
        <is>
          <t>Valor del producto o servicio</t>
        </is>
      </c>
      <c r="E656" s="208" t="inlineStr">
        <is>
          <t>Importación/exportación de bienes de lujo de alto valor unitario.</t>
        </is>
      </c>
      <c r="F656" s="208" t="inlineStr">
        <is>
          <t>Comercialización de bienes de valor intermedio.</t>
        </is>
      </c>
      <c r="G656" s="208" t="inlineStr">
        <is>
          <t>Bienes de uso común de bajo valor con documentación completa.</t>
        </is>
      </c>
    </row>
    <row r="657" ht="18.75" customHeight="1" s="173">
      <c r="A657" s="208">
        <f>B657&amp;"-"&amp;C657</f>
        <v/>
      </c>
      <c r="B657" s="344" t="inlineStr">
        <is>
          <t>XIV - CEXT: Vehículos, máquinas, blindaje, etc.</t>
        </is>
      </c>
      <c r="C657" s="345" t="n">
        <v>2</v>
      </c>
      <c r="D657" s="208" t="inlineStr">
        <is>
          <t>Liquidez / convertibilidad</t>
        </is>
      </c>
      <c r="E657" s="208" t="inlineStr">
        <is>
          <t>Bien de alta liquidez transfronteriza, revendible o liquidable en efectivo.</t>
        </is>
      </c>
      <c r="F657" s="208" t="inlineStr">
        <is>
          <t>Reventa con depreciación y trazabilidad parcial.</t>
        </is>
      </c>
      <c r="G657" s="208" t="inlineStr">
        <is>
          <t>Reventa limitada con registro y trazabilidad completos.</t>
        </is>
      </c>
    </row>
    <row r="658" ht="18.75" customHeight="1" s="173">
      <c r="A658" s="208">
        <f>B658&amp;"-"&amp;C658</f>
        <v/>
      </c>
      <c r="B658" s="344" t="inlineStr">
        <is>
          <t>XIV - CEXT: Vehículos, máquinas, blindaje, etc.</t>
        </is>
      </c>
      <c r="C658" s="345" t="n">
        <v>3</v>
      </c>
      <c r="D658" s="208" t="inlineStr">
        <is>
          <t>Anonimato / identificación del beneficiario</t>
        </is>
      </c>
      <c r="E658" s="208" t="inlineStr">
        <is>
          <t>Importador/exportador que oculta al beneficiario final tras terceros.</t>
        </is>
      </c>
      <c r="F658" s="208" t="inlineStr">
        <is>
          <t>Identificación básica sin verificar al beneficiario final.</t>
        </is>
      </c>
      <c r="G658" s="208" t="inlineStr">
        <is>
          <t>Titular y beneficiario final plenamente identificados.</t>
        </is>
      </c>
    </row>
    <row r="659" ht="18.75" customHeight="1" s="173">
      <c r="A659" s="208">
        <f>B659&amp;"-"&amp;C659</f>
        <v/>
      </c>
      <c r="B659" s="344" t="inlineStr">
        <is>
          <t>XIV - CEXT: Vehículos, máquinas, blindaje, etc.</t>
        </is>
      </c>
      <c r="C659" s="345" t="n">
        <v>4</v>
      </c>
      <c r="D659" s="208" t="inlineStr">
        <is>
          <t>Transferencia u ocultamiento de valor</t>
        </is>
      </c>
      <c r="E659" s="208" t="inlineStr">
        <is>
          <t>Comercio exterior usado para estratificar y ocultar el origen de fondos.</t>
        </is>
      </c>
      <c r="F659" s="208" t="inlineStr">
        <is>
          <t>Facilita ocultamiento parcial de valor en la cadena aduanera.</t>
        </is>
      </c>
      <c r="G659" s="208" t="inlineStr">
        <is>
          <t>Operación trazable y documentada que dificulta el ocultamiento.</t>
        </is>
      </c>
    </row>
    <row r="660" ht="18.75" customHeight="1" s="173">
      <c r="A660" s="208">
        <f>B660&amp;"-"&amp;C660</f>
        <v/>
      </c>
      <c r="B660" s="344" t="inlineStr">
        <is>
          <t>XIV - CEXT: Vehículos, máquinas, blindaje, etc.</t>
        </is>
      </c>
      <c r="C660" s="345" t="n">
        <v>5</v>
      </c>
      <c r="D660" s="208" t="inlineStr">
        <is>
          <t>Exposición del acto u operación al financiamiento al terrorismo</t>
        </is>
      </c>
      <c r="E660" s="208" t="inlineStr">
        <is>
          <t>Exportación o importación de bienes de doble uso, unidades adaptables o equipo susceptible de aprovechamiento logístico con destino a jurisdicciones sancionadas o en conflicto.</t>
        </is>
      </c>
      <c r="F660" s="208" t="inlineStr">
        <is>
          <t>Contrapartes en jurisdicciones de monitoreo intensificado o destino final poco claro, sin coincidencias en listas.</t>
        </is>
      </c>
      <c r="G660" s="208" t="inlineStr">
        <is>
          <t>Contrapartes identificadas, uso declarado congruente y jurisdicciones sin señalamientos.</t>
        </is>
      </c>
    </row>
    <row r="661" ht="18.75" customHeight="1" s="173">
      <c r="A661" s="208">
        <f>B661&amp;"-"&amp;C661</f>
        <v/>
      </c>
      <c r="B661" s="344" t="inlineStr">
        <is>
          <t>XIV - CEXT: Vehículos, máquinas, blindaje, etc.</t>
        </is>
      </c>
      <c r="C661" s="345" t="n">
        <v>6</v>
      </c>
      <c r="D661" s="208" t="inlineStr">
        <is>
          <t>Tipo de persona y estructura</t>
        </is>
      </c>
      <c r="E661" s="208" t="inlineStr">
        <is>
          <t>Persona moral extranjera, fideicomiso o estructura opaca.</t>
        </is>
      </c>
      <c r="F661" s="208" t="inlineStr">
        <is>
          <t>Persona moral nacional con estructura de control simple.</t>
        </is>
      </c>
      <c r="G661" s="208" t="inlineStr">
        <is>
          <t>Persona física identificada o empresa transparente.</t>
        </is>
      </c>
    </row>
    <row r="662" ht="18.75" customHeight="1" s="173">
      <c r="A662" s="208">
        <f>B662&amp;"-"&amp;C662</f>
        <v/>
      </c>
      <c r="B662" s="344" t="inlineStr">
        <is>
          <t>XIV - CEXT: Vehículos, máquinas, blindaje, etc.</t>
        </is>
      </c>
      <c r="C662" s="345" t="n">
        <v>7</v>
      </c>
      <c r="D662" s="208" t="inlineStr">
        <is>
          <t>Edad / fecha de constitución</t>
        </is>
      </c>
      <c r="E662" s="208" t="inlineStr">
        <is>
          <t>Contraparte muy joven atípica o empresa de reciente creación.</t>
        </is>
      </c>
      <c r="F662" s="208" t="inlineStr">
        <is>
          <t>Antigüedad intermedia sin historial de comercio exterior consolidado.</t>
        </is>
      </c>
      <c r="G662" s="208" t="inlineStr">
        <is>
          <t>Empresa con trayectoria e historial aduanero acreditado.</t>
        </is>
      </c>
    </row>
    <row r="663" ht="18.75" customHeight="1" s="173">
      <c r="A663" s="208">
        <f>B663&amp;"-"&amp;C663</f>
        <v/>
      </c>
      <c r="B663" s="344" t="inlineStr">
        <is>
          <t>XIV - CEXT: Vehículos, máquinas, blindaje, etc.</t>
        </is>
      </c>
      <c r="C663" s="345" t="n">
        <v>8</v>
      </c>
      <c r="D663" s="208" t="inlineStr">
        <is>
          <t>Actividad económica o giro (y fuente de ingresos)</t>
        </is>
      </c>
      <c r="E663" s="208" t="inlineStr">
        <is>
          <t>Giro informal, uso intensivo de efectivo o triangulación comercial.</t>
        </is>
      </c>
      <c r="F663" s="208" t="inlineStr">
        <is>
          <t>Comercio formal con componente de efectivo relevante.</t>
        </is>
      </c>
      <c r="G663" s="208" t="inlineStr">
        <is>
          <t>Empresa formal con operaciones bancarizadas y acreditadas.</t>
        </is>
      </c>
    </row>
    <row r="664" ht="18.75" customHeight="1" s="173">
      <c r="A664" s="208">
        <f>B664&amp;"-"&amp;C664</f>
        <v/>
      </c>
      <c r="B664" s="344" t="inlineStr">
        <is>
          <t>XIV - CEXT: Vehículos, máquinas, blindaje, etc.</t>
        </is>
      </c>
      <c r="C664" s="345" t="n">
        <v>9</v>
      </c>
      <c r="D664" s="208" t="inlineStr">
        <is>
          <t>Nacionalidad del cliente</t>
        </is>
      </c>
      <c r="E664" s="208" t="inlineStr">
        <is>
          <t>Cliente de país en listas GAFI, sancionado o de régimen fiscal preferente.</t>
        </is>
      </c>
      <c r="F664" s="208" t="inlineStr">
        <is>
          <t>Cliente extranjero de país sin deficiencias estratégicas pero con controles PLD limitados.</t>
        </is>
      </c>
      <c r="G664" s="208" t="inlineStr">
        <is>
          <t>Cliente mexicano o de país cooperante con marco PLD/FT sólido.</t>
        </is>
      </c>
    </row>
    <row r="665" ht="18.75" customHeight="1" s="173">
      <c r="A665" s="208">
        <f>B665&amp;"-"&amp;C665</f>
        <v/>
      </c>
      <c r="B665" s="344" t="inlineStr">
        <is>
          <t>XIV - CEXT: Vehículos, máquinas, blindaje, etc.</t>
        </is>
      </c>
      <c r="C665" s="345" t="n">
        <v>10</v>
      </c>
      <c r="D665" s="208" t="inlineStr">
        <is>
          <t>País (y en su caso, estado) de residencia del cliente</t>
        </is>
      </c>
      <c r="E665" s="208" t="inlineStr">
        <is>
          <t>Residencia en jurisdicción de alto riesgo o domicilio no verificable.</t>
        </is>
      </c>
      <c r="F665" s="208" t="inlineStr">
        <is>
          <t>Residencia en entidad de riesgo intermedio o parcialmente verificable.</t>
        </is>
      </c>
      <c r="G665" s="208" t="inlineStr">
        <is>
          <t>Residencia nacional plenamente verificada y documentada.</t>
        </is>
      </c>
    </row>
    <row r="666" ht="18.75" customHeight="1" s="173">
      <c r="A666" s="208">
        <f>B666&amp;"-"&amp;C666</f>
        <v/>
      </c>
      <c r="B666" s="344" t="inlineStr">
        <is>
          <t>XIV - CEXT: Vehículos, máquinas, blindaje, etc.</t>
        </is>
      </c>
      <c r="C666" s="345" t="n">
        <v>11</v>
      </c>
      <c r="D666" s="208" t="inlineStr">
        <is>
          <t>Condición PEP</t>
        </is>
      </c>
      <c r="E666" s="208" t="inlineStr">
        <is>
          <t>PEP nacional o extranjera, o familiar/allegado de PEP.</t>
        </is>
      </c>
      <c r="F666" s="208" t="inlineStr">
        <is>
          <t>Vínculo indirecto o histórico con PEP, sin poder de decisión actual.</t>
        </is>
      </c>
      <c r="G666" s="208" t="inlineStr">
        <is>
          <t>Cliente sin condición PEP ni relación con personas expuestas.</t>
        </is>
      </c>
    </row>
    <row r="667" ht="18.75" customHeight="1" s="173">
      <c r="A667" s="208">
        <f>B667&amp;"-"&amp;C667</f>
        <v/>
      </c>
      <c r="B667" s="344" t="inlineStr">
        <is>
          <t>XIV - CEXT: Vehículos, máquinas, blindaje, etc.</t>
        </is>
      </c>
      <c r="C667" s="345" t="n">
        <v>12</v>
      </c>
      <c r="D667" s="208" t="inlineStr">
        <is>
          <t>Coincidencia en listas de personas bloqueadas o de sanciones</t>
        </is>
      </c>
      <c r="E667" s="208" t="inlineStr">
        <is>
          <t>El importador o exportador, su beneficiario controlador, apoderado o contraparte aparece en la Lista de Personas Bloqueadas, en listas de sanciones o en listas de organizaciones terroristas, o presenta una coincidencia fuerte que no ha sido descartada.</t>
        </is>
      </c>
      <c r="F667" s="208" t="inlineStr">
        <is>
          <t>Se detecta coincidencia parcial u homonimia respecto del importador o exportador o de alguna persona relacionada, y el descarte se encuentra en proceso con constancia documental.</t>
        </is>
      </c>
      <c r="G667" s="208" t="inlineStr">
        <is>
          <t>Búsqueda realizada y documentada sobre el importador o exportador y sus personas relacionadas, sin coincidencias.</t>
        </is>
      </c>
    </row>
    <row r="668" ht="18.75" customHeight="1" s="173">
      <c r="A668" s="208">
        <f>B668&amp;"-"&amp;C668</f>
        <v/>
      </c>
      <c r="B668" s="344" t="inlineStr">
        <is>
          <t>XIV - CEXT: Vehículos, máquinas, blindaje, etc.</t>
        </is>
      </c>
      <c r="C668" s="345" t="n">
        <v>13</v>
      </c>
      <c r="D668" s="208" t="inlineStr">
        <is>
          <t>Identificación y complejidad del Beneficiario Controlador</t>
        </is>
      </c>
      <c r="E668" s="208" t="inlineStr">
        <is>
          <t>No se logra identificar al beneficiario controlador del importador o exportador, o la estructura interpone dos o más niveles societarios, fiduciarios o vehículos constituidos en el extranjero para llegar al 25 por ciento.</t>
        </is>
      </c>
      <c r="F668" s="208" t="inlineStr">
        <is>
          <t>Beneficiario controlador identificado, pero a través de una estructura de más de un nivel o con participación indirecta que exigió reconstruir la cadena de control con documentos.</t>
        </is>
      </c>
      <c r="G668" s="208" t="inlineStr">
        <is>
          <t>Beneficiario controlador identificado de forma directa y documentada: persona física que posee al menos el 25 por ciento o que ejerce el control por otra vía acreditada.</t>
        </is>
      </c>
    </row>
    <row r="669" ht="18.75" customHeight="1" s="173">
      <c r="A669" s="208">
        <f>B669&amp;"-"&amp;C669</f>
        <v/>
      </c>
      <c r="B669" s="344" t="inlineStr">
        <is>
          <t>XIV - CEXT: Vehículos, máquinas, blindaje, etc.</t>
        </is>
      </c>
      <c r="C669" s="345" t="n">
        <v>14</v>
      </c>
      <c r="D669" s="208" t="inlineStr">
        <is>
          <t>País / jurisdicción donde se realiza la operación</t>
        </is>
      </c>
      <c r="E669" s="208" t="inlineStr">
        <is>
          <t>Operación realizada con o desde jurisdicción de alto riesgo.</t>
        </is>
      </c>
      <c r="F669" s="208" t="inlineStr">
        <is>
          <t>Operación con contraparte en jurisdicción de riesgo intermedio.</t>
        </is>
      </c>
      <c r="G669" s="208" t="inlineStr">
        <is>
          <t>Operación nacional o con jurisdicción cooperante y transparente.</t>
        </is>
      </c>
    </row>
    <row r="670" ht="18.75" customHeight="1" s="173">
      <c r="A670" s="208">
        <f>B670&amp;"-"&amp;C670</f>
        <v/>
      </c>
      <c r="B670" s="344" t="inlineStr">
        <is>
          <t>XIV - CEXT: Vehículos, máquinas, blindaje, etc.</t>
        </is>
      </c>
      <c r="C670" s="345" t="n">
        <v>15</v>
      </c>
      <c r="D670" s="208" t="inlineStr">
        <is>
          <t>Área geográfica nacional de la operación</t>
        </is>
      </c>
      <c r="E670" s="208" t="inlineStr">
        <is>
          <t>Zona de alta incidencia delictiva, marginación o franja fronteriza.</t>
        </is>
      </c>
      <c r="F670" s="208" t="inlineStr">
        <is>
          <t>Zona urbana de riesgo intermedio sin alertas relevantes.</t>
        </is>
      </c>
      <c r="G670" s="208" t="inlineStr">
        <is>
          <t>Zona de baja incidencia con presencia institucional.</t>
        </is>
      </c>
    </row>
    <row r="671" ht="18.75" customHeight="1" s="173">
      <c r="A671" s="208">
        <f>B671&amp;"-"&amp;C671</f>
        <v/>
      </c>
      <c r="B671" s="344" t="inlineStr">
        <is>
          <t>XIV - CEXT: Vehículos, máquinas, blindaje, etc.</t>
        </is>
      </c>
      <c r="C671" s="345" t="n">
        <v>16</v>
      </c>
      <c r="D671" s="208" t="inlineStr">
        <is>
          <t>Vínculo con jurisdicciones sancionadas, en conflicto o de acción requerida por el GAFI</t>
        </is>
      </c>
      <c r="E671" s="208" t="inlineStr">
        <is>
          <t>Existe exposición a jurisdicciones sancionadas, en conflicto armado o de acción requerida del GAFI, por la vía de origen o destino de la mercancía en el extranjero, por definición de la operación.</t>
        </is>
      </c>
      <c r="F671" s="208" t="inlineStr">
        <is>
          <t>Vínculo con jurisdicciones bajo monitoreo intensificado del GAFI o con deficiencias señaladas en la ENR, sin estar sancionadas ni en conflicto.</t>
        </is>
      </c>
      <c r="G671" s="208" t="inlineStr">
        <is>
          <t>Sin vínculo con jurisdicciones sancionadas, en conflicto o listadas por el GAFI; la operación y sus partes se ubican en plazas sin señalamientos.</t>
        </is>
      </c>
    </row>
    <row r="672" ht="18.75" customHeight="1" s="173">
      <c r="A672" s="208">
        <f>B672&amp;"-"&amp;C672</f>
        <v/>
      </c>
      <c r="B672" s="344" t="inlineStr">
        <is>
          <t>XIV - CEXT: Vehículos, máquinas, blindaje, etc.</t>
        </is>
      </c>
      <c r="C672" s="345" t="n">
        <v>17</v>
      </c>
      <c r="D672" s="208" t="inlineStr">
        <is>
          <t>Congruencia entre el domicilio del Cliente y el lugar de la operación</t>
        </is>
      </c>
      <c r="E672" s="208" t="inlineStr">
        <is>
          <t>El domicilio del importador o exportador no guarda relación económica ni logística con el lugar donde se realiza la importación o exportación de la mercancía, y no existe explicación documentada del desplazamiento.</t>
        </is>
      </c>
      <c r="F672" s="208" t="inlineStr">
        <is>
          <t>Existe distancia relevante entre el domicilio del importador o exportador y el lugar de la operación, con explicación plausible pero no soportada en el expediente.</t>
        </is>
      </c>
      <c r="G672" s="208" t="inlineStr">
        <is>
          <t>El domicilio del importador o exportador corresponde a la plaza donde se realiza la importación o exportación de la mercancía, o el desplazamiento está justificado y documentado.</t>
        </is>
      </c>
    </row>
    <row r="673" ht="18.75" customHeight="1" s="173">
      <c r="A673" s="208">
        <f>B673&amp;"-"&amp;C673</f>
        <v/>
      </c>
      <c r="B673" s="344" t="inlineStr">
        <is>
          <t>XIV - CEXT: Vehículos, máquinas, blindaje, etc.</t>
        </is>
      </c>
      <c r="C673" s="345" t="n">
        <v>18</v>
      </c>
      <c r="D673" s="208" t="inlineStr">
        <is>
          <t>Instrumento monetario</t>
        </is>
      </c>
      <c r="E673" s="208" t="inlineStr">
        <is>
          <t>Pago en efectivo o instrumentos al portador.</t>
        </is>
      </c>
      <c r="F673" s="208" t="inlineStr">
        <is>
          <t>Pago mixto: efectivo combinado con transferencia.</t>
        </is>
      </c>
      <c r="G673" s="208" t="inlineStr">
        <is>
          <t>Pago íntegro a través del sistema financiero.</t>
        </is>
      </c>
    </row>
    <row r="674" ht="18.75" customHeight="1" s="173">
      <c r="A674" s="208">
        <f>B674&amp;"-"&amp;C674</f>
        <v/>
      </c>
      <c r="B674" s="344" t="inlineStr">
        <is>
          <t>XIV - CEXT: Vehículos, máquinas, blindaje, etc.</t>
        </is>
      </c>
      <c r="C674" s="345" t="n">
        <v>19</v>
      </c>
      <c r="D674" s="208" t="inlineStr">
        <is>
          <t>Tipo de moneda</t>
        </is>
      </c>
      <c r="E674" s="208" t="inlineStr">
        <is>
          <t>Operación en moneda extranjera distinta al USD o en criptomonedas.</t>
        </is>
      </c>
      <c r="F674" s="208" t="inlineStr">
        <is>
          <t>Operación pactada en dólares estadounidenses (USD).</t>
        </is>
      </c>
      <c r="G674" s="208" t="inlineStr">
        <is>
          <t>Operación pactada y liquidada en pesos mexicanos.</t>
        </is>
      </c>
    </row>
    <row r="675" ht="18.75" customHeight="1" s="173">
      <c r="A675" s="208">
        <f>B675&amp;"-"&amp;C675</f>
        <v/>
      </c>
      <c r="B675" s="344" t="inlineStr">
        <is>
          <t>XIV - CEXT: Vehículos, máquinas, blindaje, etc.</t>
        </is>
      </c>
      <c r="C675" s="345" t="n">
        <v>20</v>
      </c>
      <c r="D675" s="208" t="inlineStr">
        <is>
          <t>Monto frente a umbrales LFPIORPI</t>
        </is>
      </c>
      <c r="E675" s="208" t="inlineStr">
        <is>
          <t>Operación de alto valor; la actividad genera aviso siempre, sin umbral.</t>
        </is>
      </c>
      <c r="F675" s="208" t="inlineStr">
        <is>
          <t>Operación de valor intermedio; aviso obligatorio en toda operación.</t>
        </is>
      </c>
      <c r="G675" s="208" t="inlineStr">
        <is>
          <t>Operación de bajo valor, aun así sujeta a aviso por regla de 'siempre'.</t>
        </is>
      </c>
    </row>
    <row r="676" ht="18.75" customHeight="1" s="173">
      <c r="A676" s="208">
        <f>B676&amp;"-"&amp;C676</f>
        <v/>
      </c>
      <c r="B676" s="344" t="inlineStr">
        <is>
          <t>XIV - CEXT: Vehículos, máquinas, blindaje, etc.</t>
        </is>
      </c>
      <c r="C676" s="345" t="n">
        <v>21</v>
      </c>
      <c r="D676" s="208" t="inlineStr">
        <is>
          <t>Frecuencia (fraccionamiento)</t>
        </is>
      </c>
      <c r="E676" s="208" t="inlineStr">
        <is>
          <t>Operaciones frecuentes o fraccionadas para dispersar y ocultar el patrón.</t>
        </is>
      </c>
      <c r="F676" s="208" t="inlineStr">
        <is>
          <t>Recurrencia moderada sin patrón claro de fraccionamiento.</t>
        </is>
      </c>
      <c r="G676" s="208" t="inlineStr">
        <is>
          <t>Operación aislada y consistente con el perfil de la empresa.</t>
        </is>
      </c>
    </row>
    <row r="677" ht="18.75" customHeight="1" s="173">
      <c r="A677" s="208">
        <f>B677&amp;"-"&amp;C677</f>
        <v/>
      </c>
      <c r="B677" s="344" t="inlineStr">
        <is>
          <t>XIV - CEXT: Vehículos, máquinas, blindaje, etc.</t>
        </is>
      </c>
      <c r="C677" s="345" t="n">
        <v>22</v>
      </c>
      <c r="D677" s="208" t="inlineStr">
        <is>
          <t>Canal (presencial / no presencial / terceros)</t>
        </is>
      </c>
      <c r="E677" s="208" t="inlineStr">
        <is>
          <t>Operación no presencial o a través de terceros sin contacto directo.</t>
        </is>
      </c>
      <c r="F677" s="208" t="inlineStr">
        <is>
          <t>Operación presencial con intermediación parcial de un tercero.</t>
        </is>
      </c>
      <c r="G677" s="208" t="inlineStr">
        <is>
          <t>Operación presencial directa con el cliente plenamente identificado.</t>
        </is>
      </c>
    </row>
    <row r="678" ht="18.75" customHeight="1" s="173">
      <c r="A678" s="208">
        <f>B678&amp;"-"&amp;C678</f>
        <v/>
      </c>
      <c r="B678" s="344" t="inlineStr">
        <is>
          <t>XIV - CEXT: Vehículos, máquinas, blindaje, etc.</t>
        </is>
      </c>
      <c r="C678" s="345" t="n">
        <v>23</v>
      </c>
      <c r="D678" s="208" t="inlineStr">
        <is>
          <t>Origen de los recursos</t>
        </is>
      </c>
      <c r="E678" s="208" t="inlineStr">
        <is>
          <t>Recursos de origen no acreditable, en efectivo o informal.</t>
        </is>
      </c>
      <c r="F678" s="208" t="inlineStr">
        <is>
          <t>Origen de recursos parcialmente documentado.</t>
        </is>
      </c>
      <c r="G678" s="208" t="inlineStr">
        <is>
          <t>Origen lícito plenamente acreditado y bancarizado.</t>
        </is>
      </c>
    </row>
    <row r="679" ht="18.75" customHeight="1" s="173">
      <c r="A679" s="208">
        <f>B679&amp;"-"&amp;C679</f>
        <v/>
      </c>
      <c r="B679" s="344" t="inlineStr">
        <is>
          <t>XIV - CEXT: Vehículos, máquinas, blindaje, etc.</t>
        </is>
      </c>
      <c r="C679" s="345" t="n">
        <v>24</v>
      </c>
      <c r="D679" s="208" t="inlineStr">
        <is>
          <t>Destino de los recursos</t>
        </is>
      </c>
      <c r="E679" s="208" t="inlineStr">
        <is>
          <t>Bienes o recursos al exterior o a terceros sin justificación comercial.</t>
        </is>
      </c>
      <c r="F679" s="208" t="inlineStr">
        <is>
          <t>Destino parcialmente justificado.</t>
        </is>
      </c>
      <c r="G679" s="208" t="inlineStr">
        <is>
          <t>Destino claro, documentado y congruente con la operación.</t>
        </is>
      </c>
    </row>
    <row r="680" ht="18.75" customHeight="1" s="173">
      <c r="A680" s="208">
        <f>B680&amp;"-"&amp;C680</f>
        <v/>
      </c>
      <c r="B680" s="344" t="inlineStr">
        <is>
          <t>XIV - CEXT: Vehículos, máquinas, blindaje, etc.</t>
        </is>
      </c>
      <c r="C680" s="345" t="n">
        <v>25</v>
      </c>
      <c r="D680" s="208" t="inlineStr">
        <is>
          <t>Canales e instrumentos idóneos para el financiamiento al terrorismo</t>
        </is>
      </c>
      <c r="E680" s="208" t="inlineStr">
        <is>
          <t>La operación se realiza mediante operaciones a través de agentes sin acreditar al propietario final y pagos a terceros, es decir, medios que permiten mover valor en montos pequeños sin identificar al destinatario final.</t>
        </is>
      </c>
      <c r="F680" s="208" t="inlineStr">
        <is>
          <t>Canal mixto o con verificación parcial: hay registro de la operación pero la trazabilidad del destinatario final es incompleta.</t>
        </is>
      </c>
      <c r="G680" s="208" t="inlineStr">
        <is>
          <t>Operación con propietario identificado, pedimento y pago bancarizado congruentes, con trazabilidad completa del origen y del destinatario.</t>
        </is>
      </c>
    </row>
    <row r="681" ht="18.75" customHeight="1" s="173">
      <c r="A681" s="208">
        <f>B681&amp;"-"&amp;C681</f>
        <v/>
      </c>
      <c r="B681" s="344" t="inlineStr">
        <is>
          <t>XV - Arrendamiento de bienes inmuebles (uso o goce)</t>
        </is>
      </c>
      <c r="C681" s="345" t="n">
        <v>1</v>
      </c>
      <c r="D681" s="208" t="inlineStr">
        <is>
          <t>Valor del producto o servicio</t>
        </is>
      </c>
      <c r="E681" s="208" t="inlineStr">
        <is>
          <t>Arrendamiento de inmueble de alto valor mensual, muy superior al mercado de la zona.</t>
        </is>
      </c>
      <c r="F681" s="208" t="inlineStr">
        <is>
          <t>Arrendamiento de valor mensual intermedio acorde al mercado.</t>
        </is>
      </c>
      <c r="G681" s="208" t="inlineStr">
        <is>
          <t>Arrendamiento de bajo valor mensual dentro de rangos regulados.</t>
        </is>
      </c>
    </row>
    <row r="682" ht="18.75" customHeight="1" s="173">
      <c r="A682" s="208">
        <f>B682&amp;"-"&amp;C682</f>
        <v/>
      </c>
      <c r="B682" s="344" t="inlineStr">
        <is>
          <t>XV - Arrendamiento de bienes inmuebles (uso o goce)</t>
        </is>
      </c>
      <c r="C682" s="345" t="n">
        <v>2</v>
      </c>
      <c r="D682" s="208" t="inlineStr">
        <is>
          <t>Liquidez / convertibilidad</t>
        </is>
      </c>
      <c r="E682" s="208" t="inlineStr">
        <is>
          <t>Rentas cobradas en efectivo, fácilmente convertibles y sin trazabilidad.</t>
        </is>
      </c>
      <c r="F682" s="208" t="inlineStr">
        <is>
          <t>Rentas con cobro parcial en efectivo y parte en transferencia.</t>
        </is>
      </c>
      <c r="G682" s="208" t="inlineStr">
        <is>
          <t>Rentas trazables por transferencia bancaria, baja convertibilidad.</t>
        </is>
      </c>
    </row>
    <row r="683" ht="18.75" customHeight="1" s="173">
      <c r="A683" s="208">
        <f>B683&amp;"-"&amp;C683</f>
        <v/>
      </c>
      <c r="B683" s="344" t="inlineStr">
        <is>
          <t>XV - Arrendamiento de bienes inmuebles (uso o goce)</t>
        </is>
      </c>
      <c r="C683" s="345" t="n">
        <v>3</v>
      </c>
      <c r="D683" s="208" t="inlineStr">
        <is>
          <t>Anonimato / identificación del beneficiario</t>
        </is>
      </c>
      <c r="E683" s="208" t="inlineStr">
        <is>
          <t>Arrendatario de difícil identificación o que opera vía tercero que oculta al usuario real.</t>
        </is>
      </c>
      <c r="F683" s="208" t="inlineStr">
        <is>
          <t>Arrendatario identificado con soporte parcial de su identidad.</t>
        </is>
      </c>
      <c r="G683" s="208" t="inlineStr">
        <is>
          <t>Arrendatario plenamente identificado y verificado.</t>
        </is>
      </c>
    </row>
    <row r="684" ht="18.75" customHeight="1" s="173">
      <c r="A684" s="208">
        <f>B684&amp;"-"&amp;C684</f>
        <v/>
      </c>
      <c r="B684" s="344" t="inlineStr">
        <is>
          <t>XV - Arrendamiento de bienes inmuebles (uso o goce)</t>
        </is>
      </c>
      <c r="C684" s="345" t="n">
        <v>4</v>
      </c>
      <c r="D684" s="208" t="inlineStr">
        <is>
          <t>Transferencia u ocultamiento de valor</t>
        </is>
      </c>
      <c r="E684" s="208" t="inlineStr">
        <is>
          <t>El arrendamiento sirve de fachada para introducir o estratificar recursos ilícitos.</t>
        </is>
      </c>
      <c r="F684" s="208" t="inlineStr">
        <is>
          <t>Riesgo moderado de ocultamiento con pagos parcialmente trazables.</t>
        </is>
      </c>
      <c r="G684" s="208" t="inlineStr">
        <is>
          <t>Rentas bancarizadas y trazables con contrato formal.</t>
        </is>
      </c>
    </row>
    <row r="685" ht="18.75" customHeight="1" s="173">
      <c r="A685" s="208">
        <f>B685&amp;"-"&amp;C685</f>
        <v/>
      </c>
      <c r="B685" s="344" t="inlineStr">
        <is>
          <t>XV - Arrendamiento de bienes inmuebles (uso o goce)</t>
        </is>
      </c>
      <c r="C685" s="345" t="n">
        <v>5</v>
      </c>
      <c r="D685" s="208" t="inlineStr">
        <is>
          <t>Exposición del acto u operación al financiamiento al terrorismo</t>
        </is>
      </c>
      <c r="E685" s="208" t="inlineStr">
        <is>
          <t>Arrendamiento de inmuebles a favor de personas o asociaciones señaladas en listas, o de espacios utilizados como base logística, de resguardo o de reunión por grupos con esa vinculación.</t>
        </is>
      </c>
      <c r="F685" s="208" t="inlineStr">
        <is>
          <t>Arrendatarios que no acreditan su actividad o rentas pagadas por terceros, sin coincidencias en listas.</t>
        </is>
      </c>
      <c r="G685" s="208" t="inlineStr">
        <is>
          <t>Arrendatario identificado, uso declarado del inmueble congruente y renta bancarizada.</t>
        </is>
      </c>
    </row>
    <row r="686" ht="18.75" customHeight="1" s="173">
      <c r="A686" s="208">
        <f>B686&amp;"-"&amp;C686</f>
        <v/>
      </c>
      <c r="B686" s="344" t="inlineStr">
        <is>
          <t>XV - Arrendamiento de bienes inmuebles (uso o goce)</t>
        </is>
      </c>
      <c r="C686" s="345" t="n">
        <v>6</v>
      </c>
      <c r="D686" s="208" t="inlineStr">
        <is>
          <t>Tipo de persona y estructura</t>
        </is>
      </c>
      <c r="E686" s="208" t="inlineStr">
        <is>
          <t>Arrendatario persona moral extranjera, fideicomiso o estructura opaca.</t>
        </is>
      </c>
      <c r="F686" s="208" t="inlineStr">
        <is>
          <t>Arrendatario persona moral nacional con estructura clara.</t>
        </is>
      </c>
      <c r="G686" s="208" t="inlineStr">
        <is>
          <t>Arrendatario persona física plenamente identificado.</t>
        </is>
      </c>
    </row>
    <row r="687" ht="18.75" customHeight="1" s="173">
      <c r="A687" s="208">
        <f>B687&amp;"-"&amp;C687</f>
        <v/>
      </c>
      <c r="B687" s="344" t="inlineStr">
        <is>
          <t>XV - Arrendamiento de bienes inmuebles (uso o goce)</t>
        </is>
      </c>
      <c r="C687" s="345" t="n">
        <v>7</v>
      </c>
      <c r="D687" s="208" t="inlineStr">
        <is>
          <t>Edad / fecha de constitución</t>
        </is>
      </c>
      <c r="E687" s="208" t="inlineStr">
        <is>
          <t>Arrendatario persona física muy joven o empresa de reciente creación sin historial.</t>
        </is>
      </c>
      <c r="F687" s="208" t="inlineStr">
        <is>
          <t>Empresa con antigüedad moderada.</t>
        </is>
      </c>
      <c r="G687" s="208" t="inlineStr">
        <is>
          <t>Arrendatario con trayectoria acreditable.</t>
        </is>
      </c>
    </row>
    <row r="688" ht="18.75" customHeight="1" s="173">
      <c r="A688" s="208">
        <f>B688&amp;"-"&amp;C688</f>
        <v/>
      </c>
      <c r="B688" s="344" t="inlineStr">
        <is>
          <t>XV - Arrendamiento de bienes inmuebles (uso o goce)</t>
        </is>
      </c>
      <c r="C688" s="345" t="n">
        <v>8</v>
      </c>
      <c r="D688" s="208" t="inlineStr">
        <is>
          <t>Actividad económica o giro (y fuente de ingresos)</t>
        </is>
      </c>
      <c r="E688" s="208" t="inlineStr">
        <is>
          <t>Giro informal o sensible del arrendatario, uso intensivo de efectivo o ligado a otras AV.</t>
        </is>
      </c>
      <c r="F688" s="208" t="inlineStr">
        <is>
          <t>Giro formal con manejo parcial de efectivo.</t>
        </is>
      </c>
      <c r="G688" s="208" t="inlineStr">
        <is>
          <t>Giro formal con ingresos documentados y bancarizados.</t>
        </is>
      </c>
    </row>
    <row r="689" ht="18.75" customHeight="1" s="173">
      <c r="A689" s="208">
        <f>B689&amp;"-"&amp;C689</f>
        <v/>
      </c>
      <c r="B689" s="344" t="inlineStr">
        <is>
          <t>XV - Arrendamiento de bienes inmuebles (uso o goce)</t>
        </is>
      </c>
      <c r="C689" s="345" t="n">
        <v>9</v>
      </c>
      <c r="D689" s="208" t="inlineStr">
        <is>
          <t>Nacionalidad del cliente</t>
        </is>
      </c>
      <c r="E689" s="208" t="inlineStr">
        <is>
          <t>Nacionalidad del arrendatario en listas GAFI, sancionado o régimen fiscal preferente.</t>
        </is>
      </c>
      <c r="F689" s="208" t="inlineStr">
        <is>
          <t>Nacionalidad de país sin deficiencias relevantes en PLD.</t>
        </is>
      </c>
      <c r="G689" s="208" t="inlineStr">
        <is>
          <t>Nacionalidad mexicana o de país con controles PLD robustos.</t>
        </is>
      </c>
    </row>
    <row r="690" ht="18.75" customHeight="1" s="173">
      <c r="A690" s="208">
        <f>B690&amp;"-"&amp;C690</f>
        <v/>
      </c>
      <c r="B690" s="344" t="inlineStr">
        <is>
          <t>XV - Arrendamiento de bienes inmuebles (uso o goce)</t>
        </is>
      </c>
      <c r="C690" s="345" t="n">
        <v>10</v>
      </c>
      <c r="D690" s="208" t="inlineStr">
        <is>
          <t>País (y en su caso, estado) de residencia del cliente</t>
        </is>
      </c>
      <c r="E690" s="208" t="inlineStr">
        <is>
          <t>Residencia del arrendatario en jurisdicción de alto riesgo o no verificable.</t>
        </is>
      </c>
      <c r="F690" s="208" t="inlineStr">
        <is>
          <t>Residencia verificable en jurisdicción de riesgo medio.</t>
        </is>
      </c>
      <c r="G690" s="208" t="inlineStr">
        <is>
          <t>Residencia nacional comprobable y estable.</t>
        </is>
      </c>
    </row>
    <row r="691" ht="18.75" customHeight="1" s="173">
      <c r="A691" s="208">
        <f>B691&amp;"-"&amp;C691</f>
        <v/>
      </c>
      <c r="B691" s="344" t="inlineStr">
        <is>
          <t>XV - Arrendamiento de bienes inmuebles (uso o goce)</t>
        </is>
      </c>
      <c r="C691" s="345" t="n">
        <v>11</v>
      </c>
      <c r="D691" s="208" t="inlineStr">
        <is>
          <t>Condición PEP</t>
        </is>
      </c>
      <c r="E691" s="208" t="inlineStr">
        <is>
          <t>Arrendatario PEP nacional o extranjera, o allegado a PEP.</t>
        </is>
      </c>
      <c r="F691" s="208" t="inlineStr">
        <is>
          <t>Vínculo indirecto o lejano con PEP.</t>
        </is>
      </c>
      <c r="G691" s="208" t="inlineStr">
        <is>
          <t>Sin condición ni vínculo PEP.</t>
        </is>
      </c>
    </row>
    <row r="692" ht="18.75" customHeight="1" s="173">
      <c r="A692" s="208">
        <f>B692&amp;"-"&amp;C692</f>
        <v/>
      </c>
      <c r="B692" s="344" t="inlineStr">
        <is>
          <t>XV - Arrendamiento de bienes inmuebles (uso o goce)</t>
        </is>
      </c>
      <c r="C692" s="345" t="n">
        <v>12</v>
      </c>
      <c r="D692" s="208" t="inlineStr">
        <is>
          <t>Coincidencia en listas de personas bloqueadas o de sanciones</t>
        </is>
      </c>
      <c r="E692" s="208" t="inlineStr">
        <is>
          <t>El arrendatario, su beneficiario controlador, apoderado o contraparte aparece en la Lista de Personas Bloqueadas, en listas de sanciones o en listas de organizaciones terroristas, o presenta una coincidencia fuerte que no ha sido descartada.</t>
        </is>
      </c>
      <c r="F692" s="208" t="inlineStr">
        <is>
          <t>Se detecta coincidencia parcial u homonimia respecto del arrendatario o de alguna persona relacionada, y el descarte se encuentra en proceso con constancia documental.</t>
        </is>
      </c>
      <c r="G692" s="208" t="inlineStr">
        <is>
          <t>Búsqueda realizada y documentada sobre el arrendatario y sus personas relacionadas, sin coincidencias.</t>
        </is>
      </c>
    </row>
    <row r="693" ht="18.75" customHeight="1" s="173">
      <c r="A693" s="208">
        <f>B693&amp;"-"&amp;C693</f>
        <v/>
      </c>
      <c r="B693" s="344" t="inlineStr">
        <is>
          <t>XV - Arrendamiento de bienes inmuebles (uso o goce)</t>
        </is>
      </c>
      <c r="C693" s="345" t="n">
        <v>13</v>
      </c>
      <c r="D693" s="208" t="inlineStr">
        <is>
          <t>Identificación y complejidad del Beneficiario Controlador</t>
        </is>
      </c>
      <c r="E693" s="208" t="inlineStr">
        <is>
          <t>No se logra identificar al beneficiario controlador del arrendatario, o la estructura interpone dos o más niveles societarios, fiduciarios o vehículos constituidos en el extranjero para llegar al 25 por ciento.</t>
        </is>
      </c>
      <c r="F693" s="208" t="inlineStr">
        <is>
          <t>Beneficiario controlador identificado, pero a través de una estructura de más de un nivel o con participación indirecta que exigió reconstruir la cadena de control con documentos.</t>
        </is>
      </c>
      <c r="G693" s="208" t="inlineStr">
        <is>
          <t>Beneficiario controlador identificado de forma directa y documentada: persona física que posee al menos el 25 por ciento o que ejerce el control por otra vía acreditada.</t>
        </is>
      </c>
    </row>
    <row r="694" ht="18.75" customHeight="1" s="173">
      <c r="A694" s="208">
        <f>B694&amp;"-"&amp;C694</f>
        <v/>
      </c>
      <c r="B694" s="344" t="inlineStr">
        <is>
          <t>XV - Arrendamiento de bienes inmuebles (uso o goce)</t>
        </is>
      </c>
      <c r="C694" s="345" t="n">
        <v>14</v>
      </c>
      <c r="D694" s="208" t="inlineStr">
        <is>
          <t>País / jurisdicción donde se realiza la operación</t>
        </is>
      </c>
      <c r="E694" s="208" t="inlineStr">
        <is>
          <t>Pagos de renta provenientes de o canalizados hacia jurisdicción de alto riesgo.</t>
        </is>
      </c>
      <c r="F694" s="208" t="inlineStr">
        <is>
          <t>Componente internacional de riesgo medio.</t>
        </is>
      </c>
      <c r="G694" s="208" t="inlineStr">
        <is>
          <t>Operación de arrendamiento íntegramente nacional.</t>
        </is>
      </c>
    </row>
    <row r="695" ht="18.75" customHeight="1" s="173">
      <c r="A695" s="208">
        <f>B695&amp;"-"&amp;C695</f>
        <v/>
      </c>
      <c r="B695" s="344" t="inlineStr">
        <is>
          <t>XV - Arrendamiento de bienes inmuebles (uso o goce)</t>
        </is>
      </c>
      <c r="C695" s="345" t="n">
        <v>15</v>
      </c>
      <c r="D695" s="208" t="inlineStr">
        <is>
          <t>Área geográfica nacional de la operación</t>
        </is>
      </c>
      <c r="E695" s="208" t="inlineStr">
        <is>
          <t>Inmueble ubicado en zona de alta incidencia delictiva, marginación o frontera.</t>
        </is>
      </c>
      <c r="F695" s="208" t="inlineStr">
        <is>
          <t>Zona urbana consolidada de riesgo intermedio.</t>
        </is>
      </c>
      <c r="G695" s="208" t="inlineStr">
        <is>
          <t>Zona de baja incidencia delictiva y buena trazabilidad.</t>
        </is>
      </c>
    </row>
    <row r="696" ht="18.75" customHeight="1" s="173">
      <c r="A696" s="208">
        <f>B696&amp;"-"&amp;C696</f>
        <v/>
      </c>
      <c r="B696" s="344" t="inlineStr">
        <is>
          <t>XV - Arrendamiento de bienes inmuebles (uso o goce)</t>
        </is>
      </c>
      <c r="C696" s="345" t="n">
        <v>16</v>
      </c>
      <c r="D696" s="208" t="inlineStr">
        <is>
          <t>Vínculo con jurisdicciones sancionadas, en conflicto o de acción requerida por el GAFI</t>
        </is>
      </c>
      <c r="E696" s="208" t="inlineStr">
        <is>
          <t>Existe exposición a jurisdicciones sancionadas, en conflicto armado o de acción requerida del GAFI, por la vía de arrendatarios no residentes o renta pagada desde el extranjero.</t>
        </is>
      </c>
      <c r="F696" s="208" t="inlineStr">
        <is>
          <t>Vínculo con jurisdicciones bajo monitoreo intensificado del GAFI o con deficiencias señaladas en la ENR, sin estar sancionadas ni en conflicto.</t>
        </is>
      </c>
      <c r="G696" s="208" t="inlineStr">
        <is>
          <t>Sin vínculo con jurisdicciones sancionadas, en conflicto o listadas por el GAFI; la operación y sus partes se ubican en plazas sin señalamientos.</t>
        </is>
      </c>
    </row>
    <row r="697" ht="18.75" customHeight="1" s="173">
      <c r="A697" s="208">
        <f>B697&amp;"-"&amp;C697</f>
        <v/>
      </c>
      <c r="B697" s="344" t="inlineStr">
        <is>
          <t>XV - Arrendamiento de bienes inmuebles (uso o goce)</t>
        </is>
      </c>
      <c r="C697" s="345" t="n">
        <v>17</v>
      </c>
      <c r="D697" s="208" t="inlineStr">
        <is>
          <t>Congruencia entre el domicilio del Cliente y el lugar de la operación</t>
        </is>
      </c>
      <c r="E697" s="208" t="inlineStr">
        <is>
          <t>El domicilio del arrendatario no guarda relación económica ni logística con el lugar donde se realiza el arrendamiento del inmueble, y no existe explicación documentada del desplazamiento.</t>
        </is>
      </c>
      <c r="F697" s="208" t="inlineStr">
        <is>
          <t>Existe distancia relevante entre el domicilio del arrendatario y el lugar de la operación, con explicación plausible pero no soportada en el expediente.</t>
        </is>
      </c>
      <c r="G697" s="208" t="inlineStr">
        <is>
          <t>El domicilio del arrendatario corresponde a la plaza donde se realiza el arrendamiento del inmueble, o el desplazamiento está justificado y documentado.</t>
        </is>
      </c>
    </row>
    <row r="698" ht="18.75" customHeight="1" s="173">
      <c r="A698" s="208">
        <f>B698&amp;"-"&amp;C698</f>
        <v/>
      </c>
      <c r="B698" s="344" t="inlineStr">
        <is>
          <t>XV - Arrendamiento de bienes inmuebles (uso o goce)</t>
        </is>
      </c>
      <c r="C698" s="345" t="n">
        <v>18</v>
      </c>
      <c r="D698" s="208" t="inlineStr">
        <is>
          <t>Instrumento monetario</t>
        </is>
      </c>
      <c r="E698" s="208" t="inlineStr">
        <is>
          <t>Renta pagada en efectivo, instrumentos al portador o criptoactivos.</t>
        </is>
      </c>
      <c r="F698" s="208" t="inlineStr">
        <is>
          <t>Pagos mixtos con efectivo parcial y transferencias.</t>
        </is>
      </c>
      <c r="G698" s="208" t="inlineStr">
        <is>
          <t>Renta pagada íntegramente por transferencia bancaria.</t>
        </is>
      </c>
    </row>
    <row r="699" ht="18.75" customHeight="1" s="173">
      <c r="A699" s="208">
        <f>B699&amp;"-"&amp;C699</f>
        <v/>
      </c>
      <c r="B699" s="344" t="inlineStr">
        <is>
          <t>XV - Arrendamiento de bienes inmuebles (uso o goce)</t>
        </is>
      </c>
      <c r="C699" s="345" t="n">
        <v>19</v>
      </c>
      <c r="D699" s="208" t="inlineStr">
        <is>
          <t>Tipo de moneda</t>
        </is>
      </c>
      <c r="E699" s="208" t="inlineStr">
        <is>
          <t>Renta pagada en moneda extranjera distinta al USD o en criptomonedas.</t>
        </is>
      </c>
      <c r="F699" s="208" t="inlineStr">
        <is>
          <t>Renta pagada en USD con soporte documental.</t>
        </is>
      </c>
      <c r="G699" s="208" t="inlineStr">
        <is>
          <t>Renta pagada en pesos mexicanos.</t>
        </is>
      </c>
    </row>
    <row r="700" ht="18.75" customHeight="1" s="173">
      <c r="A700" s="208">
        <f>B700&amp;"-"&amp;C700</f>
        <v/>
      </c>
      <c r="B700" s="344" t="inlineStr">
        <is>
          <t>XV - Arrendamiento de bienes inmuebles (uso o goce)</t>
        </is>
      </c>
      <c r="C700" s="345" t="n">
        <v>20</v>
      </c>
      <c r="D700" s="208" t="inlineStr">
        <is>
          <t>Monto frente a umbrales LFPIORPI</t>
        </is>
      </c>
      <c r="E700" s="208" t="inlineStr">
        <is>
          <t>Renta mensual supera ampliamente el umbral de aviso (3,210 UMA).</t>
        </is>
      </c>
      <c r="F700" s="208" t="inlineStr">
        <is>
          <t>Renta cercana al umbral de aviso sin superarlo.</t>
        </is>
      </c>
      <c r="G700" s="208" t="inlineStr">
        <is>
          <t>Renta muy por debajo del umbral de aviso.</t>
        </is>
      </c>
    </row>
    <row r="701" ht="18.75" customHeight="1" s="173">
      <c r="A701" s="208">
        <f>B701&amp;"-"&amp;C701</f>
        <v/>
      </c>
      <c r="B701" s="344" t="inlineStr">
        <is>
          <t>XV - Arrendamiento de bienes inmuebles (uso o goce)</t>
        </is>
      </c>
      <c r="C701" s="345" t="n">
        <v>21</v>
      </c>
      <c r="D701" s="208" t="inlineStr">
        <is>
          <t>Frecuencia (fraccionamiento)</t>
        </is>
      </c>
      <c r="E701" s="208" t="inlineStr">
        <is>
          <t>Pagos de renta adelantados, frecuentes o fraccionados para eludir umbrales.</t>
        </is>
      </c>
      <c r="F701" s="208" t="inlineStr">
        <is>
          <t>Pagos periódicos conforme a contrato con leve variabilidad.</t>
        </is>
      </c>
      <c r="G701" s="208" t="inlineStr">
        <is>
          <t>Pago mensual regular y trazable sin fraccionamiento.</t>
        </is>
      </c>
    </row>
    <row r="702" ht="18.75" customHeight="1" s="173">
      <c r="A702" s="208">
        <f>B702&amp;"-"&amp;C702</f>
        <v/>
      </c>
      <c r="B702" s="344" t="inlineStr">
        <is>
          <t>XV - Arrendamiento de bienes inmuebles (uso o goce)</t>
        </is>
      </c>
      <c r="C702" s="345" t="n">
        <v>22</v>
      </c>
      <c r="D702" s="208" t="inlineStr">
        <is>
          <t>Canal (presencial / no presencial / terceros)</t>
        </is>
      </c>
      <c r="E702" s="208" t="inlineStr">
        <is>
          <t>Contratación no presencial o vía terceros sin contacto directo con el arrendatario.</t>
        </is>
      </c>
      <c r="F702" s="208" t="inlineStr">
        <is>
          <t>Contacto parcial o representación con poder documentado.</t>
        </is>
      </c>
      <c r="G702" s="208" t="inlineStr">
        <is>
          <t>Contratación presencial con identificación directa del arrendatario.</t>
        </is>
      </c>
    </row>
    <row r="703" ht="18.75" customHeight="1" s="173">
      <c r="A703" s="208">
        <f>B703&amp;"-"&amp;C703</f>
        <v/>
      </c>
      <c r="B703" s="344" t="inlineStr">
        <is>
          <t>XV - Arrendamiento de bienes inmuebles (uso o goce)</t>
        </is>
      </c>
      <c r="C703" s="345" t="n">
        <v>23</v>
      </c>
      <c r="D703" s="208" t="inlineStr">
        <is>
          <t>Origen de los recursos</t>
        </is>
      </c>
      <c r="E703" s="208" t="inlineStr">
        <is>
          <t>Origen de los pagos de renta no acreditable, en efectivo o informal.</t>
        </is>
      </c>
      <c r="F703" s="208" t="inlineStr">
        <is>
          <t>Origen parcialmente documentado con soporte incompleto.</t>
        </is>
      </c>
      <c r="G703" s="208" t="inlineStr">
        <is>
          <t>Origen de los pagos acreditado documentalmente.</t>
        </is>
      </c>
    </row>
    <row r="704" ht="18.75" customHeight="1" s="173">
      <c r="A704" s="208">
        <f>B704&amp;"-"&amp;C704</f>
        <v/>
      </c>
      <c r="B704" s="344" t="inlineStr">
        <is>
          <t>XV - Arrendamiento de bienes inmuebles (uso o goce)</t>
        </is>
      </c>
      <c r="C704" s="345" t="n">
        <v>24</v>
      </c>
      <c r="D704" s="208" t="inlineStr">
        <is>
          <t>Destino de los recursos</t>
        </is>
      </c>
      <c r="E704" s="208" t="inlineStr">
        <is>
          <t>Destino del inmueble o de los recursos opaco, hacia terceros o sin justificación.</t>
        </is>
      </c>
      <c r="F704" s="208" t="inlineStr">
        <is>
          <t>Destino declarado con justificación parcial.</t>
        </is>
      </c>
      <c r="G704" s="208" t="inlineStr">
        <is>
          <t>Destino claro y lícito, uso conforme al contrato.</t>
        </is>
      </c>
    </row>
    <row r="705" ht="18.75" customHeight="1" s="173">
      <c r="A705" s="208">
        <f>B705&amp;"-"&amp;C705</f>
        <v/>
      </c>
      <c r="B705" s="344" t="inlineStr">
        <is>
          <t>XV - Arrendamiento de bienes inmuebles (uso o goce)</t>
        </is>
      </c>
      <c r="C705" s="345" t="n">
        <v>25</v>
      </c>
      <c r="D705" s="208" t="inlineStr">
        <is>
          <t>Canales e instrumentos idóneos para el financiamiento al terrorismo</t>
        </is>
      </c>
      <c r="E705" s="208" t="inlineStr">
        <is>
          <t>La operación se realiza mediante contratación a distancia sin verificación de identidad y renta pagada en efectivo por terceros, es decir, medios que permiten mover valor en montos pequeños sin identificar al destinatario final.</t>
        </is>
      </c>
      <c r="F705" s="208" t="inlineStr">
        <is>
          <t>Canal mixto o con verificación parcial: hay registro de la operación pero la trazabilidad del destinatario final es incompleta.</t>
        </is>
      </c>
      <c r="G705" s="208" t="inlineStr">
        <is>
          <t>Contratación con arrendatario identificado y renta pagada por transferencia desde cuenta propia, con trazabilidad completa del origen y del destinatario.</t>
        </is>
      </c>
    </row>
    <row r="706" ht="18.75" customHeight="1" s="173">
      <c r="A706" s="208">
        <f>B706&amp;"-"&amp;C706</f>
        <v/>
      </c>
      <c r="B706" s="344" t="inlineStr">
        <is>
          <t>XVI - Activos virtuales (PSAV): operación de intercambio/transferencia</t>
        </is>
      </c>
      <c r="C706" s="345" t="n">
        <v>1</v>
      </c>
      <c r="D706" s="208" t="inlineStr">
        <is>
          <t>Valor del producto o servicio</t>
        </is>
      </c>
      <c r="E706" s="208" t="inlineStr">
        <is>
          <t>Intercambio o transferencia de activos virtuales por montos elevados en una sola operación.</t>
        </is>
      </c>
      <c r="F706" s="208" t="inlineStr">
        <is>
          <t>Operaciones de intercambio o transferencia con montos moderados.</t>
        </is>
      </c>
      <c r="G706" s="208" t="inlineStr">
        <is>
          <t>Operaciones de bajo monto en MXN con activos de amplia trazabilidad.</t>
        </is>
      </c>
    </row>
    <row r="707" ht="18.75" customHeight="1" s="173">
      <c r="A707" s="208">
        <f>B707&amp;"-"&amp;C707</f>
        <v/>
      </c>
      <c r="B707" s="344" t="inlineStr">
        <is>
          <t>XVI - Activos virtuales (PSAV): operación de intercambio/transferencia</t>
        </is>
      </c>
      <c r="C707" s="345" t="n">
        <v>2</v>
      </c>
      <c r="D707" s="208" t="inlineStr">
        <is>
          <t>Liquidez / convertibilidad</t>
        </is>
      </c>
      <c r="E707" s="208" t="inlineStr">
        <is>
          <t>Activos de conversión inmediata a fiat o efectivo vía wallets no custodiadas.</t>
        </is>
      </c>
      <c r="F707" s="208" t="inlineStr">
        <is>
          <t>Activos convertibles con pasos intermedios en exchange.</t>
        </is>
      </c>
      <c r="G707" s="208" t="inlineStr">
        <is>
          <t>Operación con liquidación bancarizada y conversión trazable.</t>
        </is>
      </c>
    </row>
    <row r="708" ht="18.75" customHeight="1" s="173">
      <c r="A708" s="208">
        <f>B708&amp;"-"&amp;C708</f>
        <v/>
      </c>
      <c r="B708" s="344" t="inlineStr">
        <is>
          <t>XVI - Activos virtuales (PSAV): operación de intercambio/transferencia</t>
        </is>
      </c>
      <c r="C708" s="345" t="n">
        <v>3</v>
      </c>
      <c r="D708" s="208" t="inlineStr">
        <is>
          <t>Anonimato / identificación del beneficiario</t>
        </is>
      </c>
      <c r="E708" s="208" t="inlineStr">
        <is>
          <t>Uso de wallets no custodiadas o mixers que ocultan al beneficiario final.</t>
        </is>
      </c>
      <c r="F708" s="208" t="inlineStr">
        <is>
          <t>Identificación parcial del titular de la wallet destino.</t>
        </is>
      </c>
      <c r="G708" s="208" t="inlineStr">
        <is>
          <t>KYC completo y beneficiario final con wallet atribuible.</t>
        </is>
      </c>
    </row>
    <row r="709" ht="18.75" customHeight="1" s="173">
      <c r="A709" s="208">
        <f>B709&amp;"-"&amp;C709</f>
        <v/>
      </c>
      <c r="B709" s="344" t="inlineStr">
        <is>
          <t>XVI - Activos virtuales (PSAV): operación de intercambio/transferencia</t>
        </is>
      </c>
      <c r="C709" s="345" t="n">
        <v>4</v>
      </c>
      <c r="D709" s="208" t="inlineStr">
        <is>
          <t>Transferencia u ocultamiento de valor</t>
        </is>
      </c>
      <c r="E709" s="208" t="inlineStr">
        <is>
          <t>Estratificación on-chain vía mixers y saltos entre wallets para ocultar el origen.</t>
        </is>
      </c>
      <c r="F709" s="208" t="inlineStr">
        <is>
          <t>Transferencias con trazabilidad on-chain parcial.</t>
        </is>
      </c>
      <c r="G709" s="208" t="inlineStr">
        <is>
          <t>Transferencias con trazabilidad on-chain completa y contraparte conocida.</t>
        </is>
      </c>
    </row>
    <row r="710" ht="18.75" customHeight="1" s="173">
      <c r="A710" s="208">
        <f>B710&amp;"-"&amp;C710</f>
        <v/>
      </c>
      <c r="B710" s="344" t="inlineStr">
        <is>
          <t>XVI - Activos virtuales (PSAV): operación de intercambio/transferencia</t>
        </is>
      </c>
      <c r="C710" s="345" t="n">
        <v>5</v>
      </c>
      <c r="D710" s="208" t="inlineStr">
        <is>
          <t>Exposición del acto u operación al financiamiento al terrorismo</t>
        </is>
      </c>
      <c r="E710" s="208" t="inlineStr">
        <is>
          <t>Transferencias hacia o desde direcciones señaladas en listas de sanciones o asociadas a campañas de recaudación de organizaciones terroristas; uso de mezcladores para romper la trazabilidad.</t>
        </is>
      </c>
      <c r="F710" s="208" t="inlineStr">
        <is>
          <t>Operaciones con contrapartes en jurisdicciones de monitoreo intensificado o wallets sin atribución, sin coincidencias en listas.</t>
        </is>
      </c>
      <c r="G710" s="208" t="inlineStr">
        <is>
          <t>Operación entre cuentas verificadas, con contraparte identificada y trazabilidad completa de la dirección.</t>
        </is>
      </c>
    </row>
    <row r="711" ht="18.75" customHeight="1" s="173">
      <c r="A711" s="208">
        <f>B711&amp;"-"&amp;C711</f>
        <v/>
      </c>
      <c r="B711" s="344" t="inlineStr">
        <is>
          <t>XVI - Activos virtuales (PSAV): operación de intercambio/transferencia</t>
        </is>
      </c>
      <c r="C711" s="345" t="n">
        <v>6</v>
      </c>
      <c r="D711" s="208" t="inlineStr">
        <is>
          <t>Tipo de persona y estructura</t>
        </is>
      </c>
      <c r="E711" s="208" t="inlineStr">
        <is>
          <t>Persona moral extranjera o estructura opaca operando activos virtuales.</t>
        </is>
      </c>
      <c r="F711" s="208" t="inlineStr">
        <is>
          <t>Persona moral nacional con estructura de propiedad poco clara.</t>
        </is>
      </c>
      <c r="G711" s="208" t="inlineStr">
        <is>
          <t>Persona física o moral nacional con beneficiario final identificado.</t>
        </is>
      </c>
    </row>
    <row r="712" ht="18.75" customHeight="1" s="173">
      <c r="A712" s="208">
        <f>B712&amp;"-"&amp;C712</f>
        <v/>
      </c>
      <c r="B712" s="344" t="inlineStr">
        <is>
          <t>XVI - Activos virtuales (PSAV): operación de intercambio/transferencia</t>
        </is>
      </c>
      <c r="C712" s="345" t="n">
        <v>7</v>
      </c>
      <c r="D712" s="208" t="inlineStr">
        <is>
          <t>Edad / fecha de constitución</t>
        </is>
      </c>
      <c r="E712" s="208" t="inlineStr">
        <is>
          <t>Cliente muy joven atípico o empresa de reciente creación en el sector cripto.</t>
        </is>
      </c>
      <c r="F712" s="208" t="inlineStr">
        <is>
          <t>Antigüedad intermedia o incorporación reciente al sector.</t>
        </is>
      </c>
      <c r="G712" s="208" t="inlineStr">
        <is>
          <t>Cliente o empresa con historial operativo demostrable.</t>
        </is>
      </c>
    </row>
    <row r="713" ht="18.75" customHeight="1" s="173">
      <c r="A713" s="208">
        <f>B713&amp;"-"&amp;C713</f>
        <v/>
      </c>
      <c r="B713" s="344" t="inlineStr">
        <is>
          <t>XVI - Activos virtuales (PSAV): operación de intercambio/transferencia</t>
        </is>
      </c>
      <c r="C713" s="345" t="n">
        <v>8</v>
      </c>
      <c r="D713" s="208" t="inlineStr">
        <is>
          <t>Actividad económica o giro (y fuente de ingresos)</t>
        </is>
      </c>
      <c r="E713" s="208" t="inlineStr">
        <is>
          <t>Giro informal, intensivo en efectivo o ligado a otras AV, sin sustento de fondos.</t>
        </is>
      </c>
      <c r="F713" s="208" t="inlineStr">
        <is>
          <t>Giro mixto con sustento parcial de la fuente de fondos.</t>
        </is>
      </c>
      <c r="G713" s="208" t="inlineStr">
        <is>
          <t>Giro formal bancarizado congruente con el volumen operado.</t>
        </is>
      </c>
    </row>
    <row r="714" ht="18.75" customHeight="1" s="173">
      <c r="A714" s="208">
        <f>B714&amp;"-"&amp;C714</f>
        <v/>
      </c>
      <c r="B714" s="344" t="inlineStr">
        <is>
          <t>XVI - Activos virtuales (PSAV): operación de intercambio/transferencia</t>
        </is>
      </c>
      <c r="C714" s="345" t="n">
        <v>9</v>
      </c>
      <c r="D714" s="208" t="inlineStr">
        <is>
          <t>Nacionalidad del cliente</t>
        </is>
      </c>
      <c r="E714" s="208" t="inlineStr">
        <is>
          <t>Nacional de país en listas GAFI, sancionado o régimen fiscal preferente.</t>
        </is>
      </c>
      <c r="F714" s="208" t="inlineStr">
        <is>
          <t>Nacional de país con deficiencias parciales en PLD.</t>
        </is>
      </c>
      <c r="G714" s="208" t="inlineStr">
        <is>
          <t>Nacional de país cooperante con marco PLD robusto.</t>
        </is>
      </c>
    </row>
    <row r="715" ht="18.75" customHeight="1" s="173">
      <c r="A715" s="208">
        <f>B715&amp;"-"&amp;C715</f>
        <v/>
      </c>
      <c r="B715" s="344" t="inlineStr">
        <is>
          <t>XVI - Activos virtuales (PSAV): operación de intercambio/transferencia</t>
        </is>
      </c>
      <c r="C715" s="345" t="n">
        <v>10</v>
      </c>
      <c r="D715" s="208" t="inlineStr">
        <is>
          <t>País (y en su caso, estado) de residencia del cliente</t>
        </is>
      </c>
      <c r="E715" s="208" t="inlineStr">
        <is>
          <t>Residencia en jurisdicción de alto riesgo, sin regulación VASP o no verificable.</t>
        </is>
      </c>
      <c r="F715" s="208" t="inlineStr">
        <is>
          <t>Residencia verificable en zona de riesgo intermedio.</t>
        </is>
      </c>
      <c r="G715" s="208" t="inlineStr">
        <is>
          <t>Residencia nacional plenamente verificada.</t>
        </is>
      </c>
    </row>
    <row r="716" ht="18.75" customHeight="1" s="173">
      <c r="A716" s="208">
        <f>B716&amp;"-"&amp;C716</f>
        <v/>
      </c>
      <c r="B716" s="344" t="inlineStr">
        <is>
          <t>XVI - Activos virtuales (PSAV): operación de intercambio/transferencia</t>
        </is>
      </c>
      <c r="C716" s="345" t="n">
        <v>11</v>
      </c>
      <c r="D716" s="208" t="inlineStr">
        <is>
          <t>Condición PEP</t>
        </is>
      </c>
      <c r="E716" s="208" t="inlineStr">
        <is>
          <t>PEP nacional o extranjera, o allegado de PEP.</t>
        </is>
      </c>
      <c r="F716" s="208" t="inlineStr">
        <is>
          <t>Vínculo indirecto o lejano con una PEP.</t>
        </is>
      </c>
      <c r="G716" s="208" t="inlineStr">
        <is>
          <t>Sin condición PEP ni vínculos identificados.</t>
        </is>
      </c>
    </row>
    <row r="717" ht="18.75" customHeight="1" s="173">
      <c r="A717" s="208">
        <f>B717&amp;"-"&amp;C717</f>
        <v/>
      </c>
      <c r="B717" s="344" t="inlineStr">
        <is>
          <t>XVI - Activos virtuales (PSAV): operación de intercambio/transferencia</t>
        </is>
      </c>
      <c r="C717" s="345" t="n">
        <v>12</v>
      </c>
      <c r="D717" s="208" t="inlineStr">
        <is>
          <t>Coincidencia en listas de personas bloqueadas o de sanciones</t>
        </is>
      </c>
      <c r="E717" s="208" t="inlineStr">
        <is>
          <t>El usuario, su beneficiario controlador, apoderado o contraparte aparece en la Lista de Personas Bloqueadas, en listas de sanciones o en listas de organizaciones terroristas, o presenta una coincidencia fuerte que no ha sido descartada.</t>
        </is>
      </c>
      <c r="F717" s="208" t="inlineStr">
        <is>
          <t>Se detecta coincidencia parcial u homonimia respecto del usuario o de alguna persona relacionada, y el descarte se encuentra en proceso con constancia documental.</t>
        </is>
      </c>
      <c r="G717" s="208" t="inlineStr">
        <is>
          <t>Búsqueda realizada y documentada sobre el usuario y sus personas relacionadas, sin coincidencias.</t>
        </is>
      </c>
    </row>
    <row r="718" ht="18.75" customHeight="1" s="173">
      <c r="A718" s="208">
        <f>B718&amp;"-"&amp;C718</f>
        <v/>
      </c>
      <c r="B718" s="344" t="inlineStr">
        <is>
          <t>XVI - Activos virtuales (PSAV): operación de intercambio/transferencia</t>
        </is>
      </c>
      <c r="C718" s="345" t="n">
        <v>13</v>
      </c>
      <c r="D718" s="208" t="inlineStr">
        <is>
          <t>Identificación y complejidad del Beneficiario Controlador</t>
        </is>
      </c>
      <c r="E718" s="208" t="inlineStr">
        <is>
          <t>No se logra identificar al beneficiario controlador del usuario, o la estructura interpone dos o más niveles societarios, fiduciarios o vehículos constituidos en el extranjero para llegar al 25 por ciento.</t>
        </is>
      </c>
      <c r="F718" s="208" t="inlineStr">
        <is>
          <t>Beneficiario controlador identificado, pero a través de una estructura de más de un nivel o con participación indirecta que exigió reconstruir la cadena de control con documentos.</t>
        </is>
      </c>
      <c r="G718" s="208" t="inlineStr">
        <is>
          <t>Beneficiario controlador identificado de forma directa y documentada: persona física que posee al menos el 25 por ciento o que ejerce el control por otra vía acreditada.</t>
        </is>
      </c>
    </row>
    <row r="719" ht="18.75" customHeight="1" s="173">
      <c r="A719" s="208">
        <f>B719&amp;"-"&amp;C719</f>
        <v/>
      </c>
      <c r="B719" s="344" t="inlineStr">
        <is>
          <t>XVI - Activos virtuales (PSAV): operación de intercambio/transferencia</t>
        </is>
      </c>
      <c r="C719" s="345" t="n">
        <v>14</v>
      </c>
      <c r="D719" s="208" t="inlineStr">
        <is>
          <t>País / jurisdicción donde se realiza la operación</t>
        </is>
      </c>
      <c r="E719" s="208" t="inlineStr">
        <is>
          <t>Operación transfronteriza con o desde jurisdicción de alto riesgo o sin regulación VASP.</t>
        </is>
      </c>
      <c r="F719" s="208" t="inlineStr">
        <is>
          <t>Operación con jurisdicción de riesgo intermedio.</t>
        </is>
      </c>
      <c r="G719" s="208" t="inlineStr">
        <is>
          <t>Operación nacional con contraparte en jurisdicción cooperante.</t>
        </is>
      </c>
    </row>
    <row r="720" ht="18.75" customHeight="1" s="173">
      <c r="A720" s="208">
        <f>B720&amp;"-"&amp;C720</f>
        <v/>
      </c>
      <c r="B720" s="344" t="inlineStr">
        <is>
          <t>XVI - Activos virtuales (PSAV): operación de intercambio/transferencia</t>
        </is>
      </c>
      <c r="C720" s="345" t="n">
        <v>15</v>
      </c>
      <c r="D720" s="208" t="inlineStr">
        <is>
          <t>Área geográfica nacional de la operación</t>
        </is>
      </c>
      <c r="E720" s="208" t="inlineStr">
        <is>
          <t>Cliente ubicado en zona de alta incidencia delictiva, marginación o frontera.</t>
        </is>
      </c>
      <c r="F720" s="208" t="inlineStr">
        <is>
          <t>Cliente en zona de riesgo intermedio.</t>
        </is>
      </c>
      <c r="G720" s="208" t="inlineStr">
        <is>
          <t>Cliente en zona de baja incidencia delictiva.</t>
        </is>
      </c>
    </row>
    <row r="721" ht="18.75" customHeight="1" s="173">
      <c r="A721" s="208">
        <f>B721&amp;"-"&amp;C721</f>
        <v/>
      </c>
      <c r="B721" s="344" t="inlineStr">
        <is>
          <t>XVI - Activos virtuales (PSAV): operación de intercambio/transferencia</t>
        </is>
      </c>
      <c r="C721" s="345" t="n">
        <v>16</v>
      </c>
      <c r="D721" s="208" t="inlineStr">
        <is>
          <t>Vínculo con jurisdicciones sancionadas, en conflicto o de acción requerida por el GAFI</t>
        </is>
      </c>
      <c r="E721" s="208" t="inlineStr">
        <is>
          <t>Existe exposición a jurisdicciones sancionadas, en conflicto armado o de acción requerida del GAFI, por la vía de contrapartes y direcciones asociadas a jurisdicciones sancionadas.</t>
        </is>
      </c>
      <c r="F721" s="208" t="inlineStr">
        <is>
          <t>Vínculo con jurisdicciones bajo monitoreo intensificado del GAFI o con deficiencias señaladas en la ENR, sin estar sancionadas ni en conflicto.</t>
        </is>
      </c>
      <c r="G721" s="208" t="inlineStr">
        <is>
          <t>Sin vínculo con jurisdicciones sancionadas, en conflicto o listadas por el GAFI; la operación y sus partes se ubican en plazas sin señalamientos.</t>
        </is>
      </c>
    </row>
    <row r="722" ht="18.75" customHeight="1" s="173">
      <c r="A722" s="208">
        <f>B722&amp;"-"&amp;C722</f>
        <v/>
      </c>
      <c r="B722" s="344" t="inlineStr">
        <is>
          <t>XVI - Activos virtuales (PSAV): operación de intercambio/transferencia</t>
        </is>
      </c>
      <c r="C722" s="345" t="n">
        <v>17</v>
      </c>
      <c r="D722" s="208" t="inlineStr">
        <is>
          <t>Congruencia entre el domicilio del Cliente y el lugar de la operación</t>
        </is>
      </c>
      <c r="E722" s="208" t="inlineStr">
        <is>
          <t>El domicilio del usuario no guarda relación económica ni logística con el lugar donde se realiza la operación de intercambio o transferencia de activos virtuales, y no existe explicación documentada del desplazamiento.</t>
        </is>
      </c>
      <c r="F722" s="208" t="inlineStr">
        <is>
          <t>Existe distancia relevante entre el domicilio del usuario y el lugar de la operación, con explicación plausible pero no soportada en el expediente.</t>
        </is>
      </c>
      <c r="G722" s="208" t="inlineStr">
        <is>
          <t>El domicilio del usuario corresponde a la plaza donde se realiza la operación de intercambio o transferencia de activos virtuales, o el desplazamiento está justificado y documentado.</t>
        </is>
      </c>
    </row>
    <row r="723" ht="18.75" customHeight="1" s="173">
      <c r="A723" s="208">
        <f>B723&amp;"-"&amp;C723</f>
        <v/>
      </c>
      <c r="B723" s="344" t="inlineStr">
        <is>
          <t>XVI - Activos virtuales (PSAV): operación de intercambio/transferencia</t>
        </is>
      </c>
      <c r="C723" s="345" t="n">
        <v>18</v>
      </c>
      <c r="D723" s="208" t="inlineStr">
        <is>
          <t>Instrumento monetario</t>
        </is>
      </c>
      <c r="E723" s="208" t="inlineStr">
        <is>
          <t>Criptoactivos liquidados en efectivo o instrumentos al portador.</t>
        </is>
      </c>
      <c r="F723" s="208" t="inlineStr">
        <is>
          <t>Liquidación mixta cripto-fiat.</t>
        </is>
      </c>
      <c r="G723" s="208" t="inlineStr">
        <is>
          <t>Liquidación por transferencia bancaria trazable.</t>
        </is>
      </c>
    </row>
    <row r="724" ht="18.75" customHeight="1" s="173">
      <c r="A724" s="208">
        <f>B724&amp;"-"&amp;C724</f>
        <v/>
      </c>
      <c r="B724" s="344" t="inlineStr">
        <is>
          <t>XVI - Activos virtuales (PSAV): operación de intercambio/transferencia</t>
        </is>
      </c>
      <c r="C724" s="345" t="n">
        <v>19</v>
      </c>
      <c r="D724" s="208" t="inlineStr">
        <is>
          <t>Tipo de moneda</t>
        </is>
      </c>
      <c r="E724" s="208" t="inlineStr">
        <is>
          <t>Criptos de privacidad (Monero, Zcash) o stablecoins de emisor opaco.</t>
        </is>
      </c>
      <c r="F724" s="208" t="inlineStr">
        <is>
          <t>Criptoactivos volátiles de amplia circulación con trazabilidad on-chain.</t>
        </is>
      </c>
      <c r="G724" s="208" t="inlineStr">
        <is>
          <t>Stablecoins reguladas o liquidación en MXN trazable.</t>
        </is>
      </c>
    </row>
    <row r="725" ht="18.75" customHeight="1" s="173">
      <c r="A725" s="208">
        <f>B725&amp;"-"&amp;C725</f>
        <v/>
      </c>
      <c r="B725" s="344" t="inlineStr">
        <is>
          <t>XVI - Activos virtuales (PSAV): operación de intercambio/transferencia</t>
        </is>
      </c>
      <c r="C725" s="345" t="n">
        <v>20</v>
      </c>
      <c r="D725" s="208" t="inlineStr">
        <is>
          <t>Monto frente a umbrales LFPIORPI</t>
        </is>
      </c>
      <c r="E725" s="208" t="inlineStr">
        <is>
          <t>Supera el umbral de aviso de 210 UMA o el umbral de DDC de USD 1,000.</t>
        </is>
      </c>
      <c r="F725" s="208" t="inlineStr">
        <is>
          <t>Monto cercano al umbral de 210 UMA o de USD 1,000.</t>
        </is>
      </c>
      <c r="G725" s="208" t="inlineStr">
        <is>
          <t>Monto muy por debajo de los umbrales de aviso y de DDC.</t>
        </is>
      </c>
    </row>
    <row r="726" ht="18.75" customHeight="1" s="173">
      <c r="A726" s="208">
        <f>B726&amp;"-"&amp;C726</f>
        <v/>
      </c>
      <c r="B726" s="344" t="inlineStr">
        <is>
          <t>XVI - Activos virtuales (PSAV): operación de intercambio/transferencia</t>
        </is>
      </c>
      <c r="C726" s="345" t="n">
        <v>21</v>
      </c>
      <c r="D726" s="208" t="inlineStr">
        <is>
          <t>Frecuencia (fraccionamiento)</t>
        </is>
      </c>
      <c r="E726" s="208" t="inlineStr">
        <is>
          <t>Operaciones frecuentes o fraccionadas bajo USD 1,000 para eludir umbrales.</t>
        </is>
      </c>
      <c r="F726" s="208" t="inlineStr">
        <is>
          <t>Operaciones periódicas sin patrón claro de fraccionamiento.</t>
        </is>
      </c>
      <c r="G726" s="208" t="inlineStr">
        <is>
          <t>Operaciones esporádicas congruentes con el perfil.</t>
        </is>
      </c>
    </row>
    <row r="727" ht="18.75" customHeight="1" s="173">
      <c r="A727" s="208">
        <f>B727&amp;"-"&amp;C727</f>
        <v/>
      </c>
      <c r="B727" s="344" t="inlineStr">
        <is>
          <t>XVI - Activos virtuales (PSAV): operación de intercambio/transferencia</t>
        </is>
      </c>
      <c r="C727" s="345" t="n">
        <v>22</v>
      </c>
      <c r="D727" s="208" t="inlineStr">
        <is>
          <t>Canal (presencial / no presencial / terceros)</t>
        </is>
      </c>
      <c r="E727" s="208" t="inlineStr">
        <is>
          <t>Onboarding no presencial sin video-verificación ni prueba de vida.</t>
        </is>
      </c>
      <c r="F727" s="208" t="inlineStr">
        <is>
          <t>Onboarding no presencial con verificación parcial.</t>
        </is>
      </c>
      <c r="G727" s="208" t="inlineStr">
        <is>
          <t>Onboarding no presencial con biometría y prueba de vida robustas.</t>
        </is>
      </c>
    </row>
    <row r="728" ht="18.75" customHeight="1" s="173">
      <c r="A728" s="208">
        <f>B728&amp;"-"&amp;C728</f>
        <v/>
      </c>
      <c r="B728" s="344" t="inlineStr">
        <is>
          <t>XVI - Activos virtuales (PSAV): operación de intercambio/transferencia</t>
        </is>
      </c>
      <c r="C728" s="345" t="n">
        <v>23</v>
      </c>
      <c r="D728" s="208" t="inlineStr">
        <is>
          <t>Origen de los recursos</t>
        </is>
      </c>
      <c r="E728" s="208" t="inlineStr">
        <is>
          <t>Fondos desde wallets no atribuibles, mixers o exchanges sin KYC.</t>
        </is>
      </c>
      <c r="F728" s="208" t="inlineStr">
        <is>
          <t>Origen on-chain parcialmente rastreable.</t>
        </is>
      </c>
      <c r="G728" s="208" t="inlineStr">
        <is>
          <t>Origen desde wallet identificada o cuenta bancaria acreditada.</t>
        </is>
      </c>
    </row>
    <row r="729" ht="18.75" customHeight="1" s="173">
      <c r="A729" s="208">
        <f>B729&amp;"-"&amp;C729</f>
        <v/>
      </c>
      <c r="B729" s="344" t="inlineStr">
        <is>
          <t>XVI - Activos virtuales (PSAV): operación de intercambio/transferencia</t>
        </is>
      </c>
      <c r="C729" s="345" t="n">
        <v>24</v>
      </c>
      <c r="D729" s="208" t="inlineStr">
        <is>
          <t>Destino de los recursos</t>
        </is>
      </c>
      <c r="E729" s="208" t="inlineStr">
        <is>
          <t>Destino a wallets no custodiadas, mixers o exchanges extranjeros sin regulación.</t>
        </is>
      </c>
      <c r="F729" s="208" t="inlineStr">
        <is>
          <t>Destino parcialmente rastreable on-chain.</t>
        </is>
      </c>
      <c r="G729" s="208" t="inlineStr">
        <is>
          <t>Destino a wallet identificada o cuenta bancaria trazable.</t>
        </is>
      </c>
    </row>
    <row r="730" ht="18.75" customHeight="1" s="173">
      <c r="A730" s="208">
        <f>B730&amp;"-"&amp;C730</f>
        <v/>
      </c>
      <c r="B730" s="344" t="inlineStr">
        <is>
          <t>XVI - Activos virtuales (PSAV): operación de intercambio/transferencia</t>
        </is>
      </c>
      <c r="C730" s="345" t="n">
        <v>25</v>
      </c>
      <c r="D730" s="208" t="inlineStr">
        <is>
          <t>Canales e instrumentos idóneos para el financiamiento al terrorismo</t>
        </is>
      </c>
      <c r="E730" s="208" t="inlineStr">
        <is>
          <t>La operación se realiza mediante wallets no custodiadas, mezcladores, criptomonedas de privacidad y operación entre pares, es decir, medios que permiten mover valor en montos pequeños sin identificar al destinatario final.</t>
        </is>
      </c>
      <c r="F730" s="208" t="inlineStr">
        <is>
          <t>Canal mixto o con verificación parcial: hay registro de la operación pero la trazabilidad del destinatario final es incompleta.</t>
        </is>
      </c>
      <c r="G730" s="208" t="inlineStr">
        <is>
          <t>Operación entre cuentas verificadas del propio usuario en plataformas reguladas y trazables, con trazabilidad completa del origen y del destinatario.</t>
        </is>
      </c>
    </row>
    <row r="731" ht="18.75" customHeight="1" s="173">
      <c r="A731" s="208">
        <f>B731&amp;"-"&amp;C731</f>
        <v/>
      </c>
      <c r="B731" s="344" t="inlineStr">
        <is>
          <t>XVI - Activos virtuales (PSAV): cobro de contraprestación (comisión) por el servicio</t>
        </is>
      </c>
      <c r="C731" s="345" t="n">
        <v>1</v>
      </c>
      <c r="D731" s="208" t="inlineStr">
        <is>
          <t>Valor del producto o servicio</t>
        </is>
      </c>
      <c r="E731" s="208" t="inlineStr">
        <is>
          <t>Comisiones de alto valor o desproporcionadas frente al servicio prestado.</t>
        </is>
      </c>
      <c r="F731" s="208" t="inlineStr">
        <is>
          <t>Comisiones de valor moderado acordes al servicio.</t>
        </is>
      </c>
      <c r="G731" s="208" t="inlineStr">
        <is>
          <t>Comisiones de bajo monto congruentes con el servicio.</t>
        </is>
      </c>
    </row>
    <row r="732" ht="18.75" customHeight="1" s="173">
      <c r="A732" s="208">
        <f>B732&amp;"-"&amp;C732</f>
        <v/>
      </c>
      <c r="B732" s="344" t="inlineStr">
        <is>
          <t>XVI - Activos virtuales (PSAV): cobro de contraprestación (comisión) por el servicio</t>
        </is>
      </c>
      <c r="C732" s="345" t="n">
        <v>2</v>
      </c>
      <c r="D732" s="208" t="inlineStr">
        <is>
          <t>Liquidez / convertibilidad</t>
        </is>
      </c>
      <c r="E732" s="208" t="inlineStr">
        <is>
          <t>Comisión cobrada en efectivo o cripto de conversión inmediata.</t>
        </is>
      </c>
      <c r="F732" s="208" t="inlineStr">
        <is>
          <t>Comisión cobrada por medios mixtos.</t>
        </is>
      </c>
      <c r="G732" s="208" t="inlineStr">
        <is>
          <t>Comisión cobrada por medios bancarizados trazables.</t>
        </is>
      </c>
    </row>
    <row r="733" ht="18.75" customHeight="1" s="173">
      <c r="A733" s="208">
        <f>B733&amp;"-"&amp;C733</f>
        <v/>
      </c>
      <c r="B733" s="344" t="inlineStr">
        <is>
          <t>XVI - Activos virtuales (PSAV): cobro de contraprestación (comisión) por el servicio</t>
        </is>
      </c>
      <c r="C733" s="345" t="n">
        <v>3</v>
      </c>
      <c r="D733" s="208" t="inlineStr">
        <is>
          <t>Anonimato / identificación del beneficiario</t>
        </is>
      </c>
      <c r="E733" s="208" t="inlineStr">
        <is>
          <t>Cobro de comisión sin identificar al cliente que paga ni al beneficiario.</t>
        </is>
      </c>
      <c r="F733" s="208" t="inlineStr">
        <is>
          <t>Identificación parcial del pagador de la comisión.</t>
        </is>
      </c>
      <c r="G733" s="208" t="inlineStr">
        <is>
          <t>Cliente pagador de la comisión plenamente identificado.</t>
        </is>
      </c>
    </row>
    <row r="734" ht="18.75" customHeight="1" s="173">
      <c r="A734" s="208">
        <f>B734&amp;"-"&amp;C734</f>
        <v/>
      </c>
      <c r="B734" s="344" t="inlineStr">
        <is>
          <t>XVI - Activos virtuales (PSAV): cobro de contraprestación (comisión) por el servicio</t>
        </is>
      </c>
      <c r="C734" s="345" t="n">
        <v>4</v>
      </c>
      <c r="D734" s="208" t="inlineStr">
        <is>
          <t>Transferencia u ocultamiento de valor</t>
        </is>
      </c>
      <c r="E734" s="208" t="inlineStr">
        <is>
          <t>Uso del cobro de comisiones para justificar flujos o simular operaciones.</t>
        </is>
      </c>
      <c r="F734" s="208" t="inlineStr">
        <is>
          <t>Comisiones con justificación parcial del flujo.</t>
        </is>
      </c>
      <c r="G734" s="208" t="inlineStr">
        <is>
          <t>Comisiones documentadas y congruentes con el servicio.</t>
        </is>
      </c>
    </row>
    <row r="735" ht="18.75" customHeight="1" s="173">
      <c r="A735" s="208">
        <f>B735&amp;"-"&amp;C735</f>
        <v/>
      </c>
      <c r="B735" s="344" t="inlineStr">
        <is>
          <t>XVI - Activos virtuales (PSAV): cobro de contraprestación (comisión) por el servicio</t>
        </is>
      </c>
      <c r="C735" s="345" t="n">
        <v>5</v>
      </c>
      <c r="D735" s="208" t="inlineStr">
        <is>
          <t>Exposición del acto u operación al financiamiento al terrorismo</t>
        </is>
      </c>
      <c r="E735" s="208" t="inlineStr">
        <is>
          <t>Cobro de comisiones a usuarios señalados en listas de sanciones o cuyas operaciones subyacentes se dirigen a organizaciones terroristas.</t>
        </is>
      </c>
      <c r="F735" s="208" t="inlineStr">
        <is>
          <t>Comisiones cobradas a usuarios de jurisdicciones de monitoreo intensificado, sin coincidencias en listas.</t>
        </is>
      </c>
      <c r="G735" s="208" t="inlineStr">
        <is>
          <t>Comisión cobrada a usuario verificado, con la operación subyacente plenamente trazable.</t>
        </is>
      </c>
    </row>
    <row r="736" ht="18.75" customHeight="1" s="173">
      <c r="A736" s="208">
        <f>B736&amp;"-"&amp;C736</f>
        <v/>
      </c>
      <c r="B736" s="344" t="inlineStr">
        <is>
          <t>XVI - Activos virtuales (PSAV): cobro de contraprestación (comisión) por el servicio</t>
        </is>
      </c>
      <c r="C736" s="345" t="n">
        <v>6</v>
      </c>
      <c r="D736" s="208" t="inlineStr">
        <is>
          <t>Tipo de persona y estructura</t>
        </is>
      </c>
      <c r="E736" s="208" t="inlineStr">
        <is>
          <t>Persona moral extranjera o estructura opaca como pagador de la comisión.</t>
        </is>
      </c>
      <c r="F736" s="208" t="inlineStr">
        <is>
          <t>Persona moral nacional con estructura poco clara.</t>
        </is>
      </c>
      <c r="G736" s="208" t="inlineStr">
        <is>
          <t>Persona física o moral nacional con beneficiario final identificado.</t>
        </is>
      </c>
    </row>
    <row r="737" ht="18.75" customHeight="1" s="173">
      <c r="A737" s="208">
        <f>B737&amp;"-"&amp;C737</f>
        <v/>
      </c>
      <c r="B737" s="344" t="inlineStr">
        <is>
          <t>XVI - Activos virtuales (PSAV): cobro de contraprestación (comisión) por el servicio</t>
        </is>
      </c>
      <c r="C737" s="345" t="n">
        <v>7</v>
      </c>
      <c r="D737" s="208" t="inlineStr">
        <is>
          <t>Edad / fecha de constitución</t>
        </is>
      </c>
      <c r="E737" s="208" t="inlineStr">
        <is>
          <t>Pagador muy joven atípico o empresa de reciente creación.</t>
        </is>
      </c>
      <c r="F737" s="208" t="inlineStr">
        <is>
          <t>Antigüedad intermedia o incorporación reciente al sector.</t>
        </is>
      </c>
      <c r="G737" s="208" t="inlineStr">
        <is>
          <t>Pagador con historial operativo demostrable.</t>
        </is>
      </c>
    </row>
    <row r="738" ht="18.75" customHeight="1" s="173">
      <c r="A738" s="208">
        <f>B738&amp;"-"&amp;C738</f>
        <v/>
      </c>
      <c r="B738" s="344" t="inlineStr">
        <is>
          <t>XVI - Activos virtuales (PSAV): cobro de contraprestación (comisión) por el servicio</t>
        </is>
      </c>
      <c r="C738" s="345" t="n">
        <v>8</v>
      </c>
      <c r="D738" s="208" t="inlineStr">
        <is>
          <t>Actividad económica o giro (y fuente de ingresos)</t>
        </is>
      </c>
      <c r="E738" s="208" t="inlineStr">
        <is>
          <t>Pagador con giro informal o intensivo en efectivo sin sustento del pago.</t>
        </is>
      </c>
      <c r="F738" s="208" t="inlineStr">
        <is>
          <t>Giro mixto con sustento parcial de la fuente de fondos.</t>
        </is>
      </c>
      <c r="G738" s="208" t="inlineStr">
        <is>
          <t>Giro formal bancarizado congruente con la comisión.</t>
        </is>
      </c>
    </row>
    <row r="739" ht="18.75" customHeight="1" s="173">
      <c r="A739" s="208">
        <f>B739&amp;"-"&amp;C739</f>
        <v/>
      </c>
      <c r="B739" s="344" t="inlineStr">
        <is>
          <t>XVI - Activos virtuales (PSAV): cobro de contraprestación (comisión) por el servicio</t>
        </is>
      </c>
      <c r="C739" s="345" t="n">
        <v>9</v>
      </c>
      <c r="D739" s="208" t="inlineStr">
        <is>
          <t>Nacionalidad del cliente</t>
        </is>
      </c>
      <c r="E739" s="208" t="inlineStr">
        <is>
          <t>Nacional de país en listas GAFI, sancionado o régimen fiscal preferente.</t>
        </is>
      </c>
      <c r="F739" s="208" t="inlineStr">
        <is>
          <t>Nacional de país con deficiencias parciales en PLD.</t>
        </is>
      </c>
      <c r="G739" s="208" t="inlineStr">
        <is>
          <t>Nacional de país cooperante con marco PLD robusto.</t>
        </is>
      </c>
    </row>
    <row r="740" ht="18.75" customHeight="1" s="173">
      <c r="A740" s="208">
        <f>B740&amp;"-"&amp;C740</f>
        <v/>
      </c>
      <c r="B740" s="344" t="inlineStr">
        <is>
          <t>XVI - Activos virtuales (PSAV): cobro de contraprestación (comisión) por el servicio</t>
        </is>
      </c>
      <c r="C740" s="345" t="n">
        <v>10</v>
      </c>
      <c r="D740" s="208" t="inlineStr">
        <is>
          <t>País (y en su caso, estado) de residencia del cliente</t>
        </is>
      </c>
      <c r="E740" s="208" t="inlineStr">
        <is>
          <t>Residencia en jurisdicción de alto riesgo o no verificable.</t>
        </is>
      </c>
      <c r="F740" s="208" t="inlineStr">
        <is>
          <t>Residencia verificable en zona de riesgo intermedio.</t>
        </is>
      </c>
      <c r="G740" s="208" t="inlineStr">
        <is>
          <t>Residencia nacional plenamente verificada.</t>
        </is>
      </c>
    </row>
    <row r="741" ht="18.75" customHeight="1" s="173">
      <c r="A741" s="208">
        <f>B741&amp;"-"&amp;C741</f>
        <v/>
      </c>
      <c r="B741" s="344" t="inlineStr">
        <is>
          <t>XVI - Activos virtuales (PSAV): cobro de contraprestación (comisión) por el servicio</t>
        </is>
      </c>
      <c r="C741" s="345" t="n">
        <v>11</v>
      </c>
      <c r="D741" s="208" t="inlineStr">
        <is>
          <t>Condición PEP</t>
        </is>
      </c>
      <c r="E741" s="208" t="inlineStr">
        <is>
          <t>PEP nacional o extranjera, o allegado de PEP.</t>
        </is>
      </c>
      <c r="F741" s="208" t="inlineStr">
        <is>
          <t>Vínculo indirecto o lejano con una PEP.</t>
        </is>
      </c>
      <c r="G741" s="208" t="inlineStr">
        <is>
          <t>Sin condición PEP ni vínculos identificados.</t>
        </is>
      </c>
    </row>
    <row r="742" ht="18.75" customHeight="1" s="173">
      <c r="A742" s="208">
        <f>B742&amp;"-"&amp;C742</f>
        <v/>
      </c>
      <c r="B742" s="344" t="inlineStr">
        <is>
          <t>XVI - Activos virtuales (PSAV): cobro de contraprestación (comisión) por el servicio</t>
        </is>
      </c>
      <c r="C742" s="345" t="n">
        <v>12</v>
      </c>
      <c r="D742" s="208" t="inlineStr">
        <is>
          <t>Coincidencia en listas de personas bloqueadas o de sanciones</t>
        </is>
      </c>
      <c r="E742" s="208" t="inlineStr">
        <is>
          <t>El usuario, su beneficiario controlador, apoderado o contraparte aparece en la Lista de Personas Bloqueadas, en listas de sanciones o en listas de organizaciones terroristas, o presenta una coincidencia fuerte que no ha sido descartada.</t>
        </is>
      </c>
      <c r="F742" s="208" t="inlineStr">
        <is>
          <t>Se detecta coincidencia parcial u homonimia respecto del usuario o de alguna persona relacionada, y el descarte se encuentra en proceso con constancia documental.</t>
        </is>
      </c>
      <c r="G742" s="208" t="inlineStr">
        <is>
          <t>Búsqueda realizada y documentada sobre el usuario y sus personas relacionadas, sin coincidencias.</t>
        </is>
      </c>
    </row>
    <row r="743" ht="18.75" customHeight="1" s="173">
      <c r="A743" s="208">
        <f>B743&amp;"-"&amp;C743</f>
        <v/>
      </c>
      <c r="B743" s="344" t="inlineStr">
        <is>
          <t>XVI - Activos virtuales (PSAV): cobro de contraprestación (comisión) por el servicio</t>
        </is>
      </c>
      <c r="C743" s="345" t="n">
        <v>13</v>
      </c>
      <c r="D743" s="208" t="inlineStr">
        <is>
          <t>Identificación y complejidad del Beneficiario Controlador</t>
        </is>
      </c>
      <c r="E743" s="208" t="inlineStr">
        <is>
          <t>No se logra identificar al beneficiario controlador del usuario, o la estructura interpone dos o más niveles societarios, fiduciarios o vehículos constituidos en el extranjero para llegar al 25 por ciento.</t>
        </is>
      </c>
      <c r="F743" s="208" t="inlineStr">
        <is>
          <t>Beneficiario controlador identificado, pero a través de una estructura de más de un nivel o con participación indirecta que exigió reconstruir la cadena de control con documentos.</t>
        </is>
      </c>
      <c r="G743" s="208" t="inlineStr">
        <is>
          <t>Beneficiario controlador identificado de forma directa y documentada: persona física que posee al menos el 25 por ciento o que ejerce el control por otra vía acreditada.</t>
        </is>
      </c>
    </row>
    <row r="744" ht="18.75" customHeight="1" s="173">
      <c r="A744" s="208">
        <f>B744&amp;"-"&amp;C744</f>
        <v/>
      </c>
      <c r="B744" s="344" t="inlineStr">
        <is>
          <t>XVI - Activos virtuales (PSAV): cobro de contraprestación (comisión) por el servicio</t>
        </is>
      </c>
      <c r="C744" s="345" t="n">
        <v>14</v>
      </c>
      <c r="D744" s="208" t="inlineStr">
        <is>
          <t>País / jurisdicción donde se realiza la operación</t>
        </is>
      </c>
      <c r="E744" s="208" t="inlineStr">
        <is>
          <t>Comisión asociada a operación con o desde jurisdicción de alto riesgo.</t>
        </is>
      </c>
      <c r="F744" s="208" t="inlineStr">
        <is>
          <t>Operación con jurisdicción de riesgo intermedio.</t>
        </is>
      </c>
      <c r="G744" s="208" t="inlineStr">
        <is>
          <t>Operación nacional con contraparte en jurisdicción cooperante.</t>
        </is>
      </c>
    </row>
    <row r="745" ht="18.75" customHeight="1" s="173">
      <c r="A745" s="208">
        <f>B745&amp;"-"&amp;C745</f>
        <v/>
      </c>
      <c r="B745" s="344" t="inlineStr">
        <is>
          <t>XVI - Activos virtuales (PSAV): cobro de contraprestación (comisión) por el servicio</t>
        </is>
      </c>
      <c r="C745" s="345" t="n">
        <v>15</v>
      </c>
      <c r="D745" s="208" t="inlineStr">
        <is>
          <t>Área geográfica nacional de la operación</t>
        </is>
      </c>
      <c r="E745" s="208" t="inlineStr">
        <is>
          <t>Pagador ubicado en zona de alta incidencia delictiva, marginación o frontera.</t>
        </is>
      </c>
      <c r="F745" s="208" t="inlineStr">
        <is>
          <t>Pagador en zona de riesgo intermedio.</t>
        </is>
      </c>
      <c r="G745" s="208" t="inlineStr">
        <is>
          <t>Pagador en zona de baja incidencia delictiva.</t>
        </is>
      </c>
    </row>
    <row r="746" ht="18.75" customHeight="1" s="173">
      <c r="A746" s="208">
        <f>B746&amp;"-"&amp;C746</f>
        <v/>
      </c>
      <c r="B746" s="344" t="inlineStr">
        <is>
          <t>XVI - Activos virtuales (PSAV): cobro de contraprestación (comisión) por el servicio</t>
        </is>
      </c>
      <c r="C746" s="345" t="n">
        <v>16</v>
      </c>
      <c r="D746" s="208" t="inlineStr">
        <is>
          <t>Vínculo con jurisdicciones sancionadas, en conflicto o de acción requerida por el GAFI</t>
        </is>
      </c>
      <c r="E746" s="208" t="inlineStr">
        <is>
          <t>Existe exposición a jurisdicciones sancionadas, en conflicto armado o de acción requerida del GAFI, por la vía de usuarios o pagos originados en jurisdicciones sancionadas.</t>
        </is>
      </c>
      <c r="F746" s="208" t="inlineStr">
        <is>
          <t>Vínculo con jurisdicciones bajo monitoreo intensificado del GAFI o con deficiencias señaladas en la ENR, sin estar sancionadas ni en conflicto.</t>
        </is>
      </c>
      <c r="G746" s="208" t="inlineStr">
        <is>
          <t>Sin vínculo con jurisdicciones sancionadas, en conflicto o listadas por el GAFI; la operación y sus partes se ubican en plazas sin señalamientos.</t>
        </is>
      </c>
    </row>
    <row r="747" ht="18.75" customHeight="1" s="173">
      <c r="A747" s="208">
        <f>B747&amp;"-"&amp;C747</f>
        <v/>
      </c>
      <c r="B747" s="344" t="inlineStr">
        <is>
          <t>XVI - Activos virtuales (PSAV): cobro de contraprestación (comisión) por el servicio</t>
        </is>
      </c>
      <c r="C747" s="345" t="n">
        <v>17</v>
      </c>
      <c r="D747" s="208" t="inlineStr">
        <is>
          <t>Congruencia entre el domicilio del Cliente y el lugar de la operación</t>
        </is>
      </c>
      <c r="E747" s="208" t="inlineStr">
        <is>
          <t>El domicilio del usuario no guarda relación económica ni logística con el lugar donde se realiza el cobro de la comisión por el servicio, y no existe explicación documentada del desplazamiento.</t>
        </is>
      </c>
      <c r="F747" s="208" t="inlineStr">
        <is>
          <t>Existe distancia relevante entre el domicilio del usuario y el lugar de la operación, con explicación plausible pero no soportada en el expediente.</t>
        </is>
      </c>
      <c r="G747" s="208" t="inlineStr">
        <is>
          <t>El domicilio del usuario corresponde a la plaza donde se realiza el cobro de la comisión por el servicio, o el desplazamiento está justificado y documentado.</t>
        </is>
      </c>
    </row>
    <row r="748" ht="18.75" customHeight="1" s="173">
      <c r="A748" s="208">
        <f>B748&amp;"-"&amp;C748</f>
        <v/>
      </c>
      <c r="B748" s="344" t="inlineStr">
        <is>
          <t>XVI - Activos virtuales (PSAV): cobro de contraprestación (comisión) por el servicio</t>
        </is>
      </c>
      <c r="C748" s="345" t="n">
        <v>18</v>
      </c>
      <c r="D748" s="208" t="inlineStr">
        <is>
          <t>Instrumento monetario</t>
        </is>
      </c>
      <c r="E748" s="208" t="inlineStr">
        <is>
          <t>Comisión pagada en efectivo, cripto o instrumentos al portador.</t>
        </is>
      </c>
      <c r="F748" s="208" t="inlineStr">
        <is>
          <t>Pago de comisión mixto efectivo-transferencia.</t>
        </is>
      </c>
      <c r="G748" s="208" t="inlineStr">
        <is>
          <t>Comisión pagada por transferencia bancaria trazable.</t>
        </is>
      </c>
    </row>
    <row r="749" ht="18.75" customHeight="1" s="173">
      <c r="A749" s="208">
        <f>B749&amp;"-"&amp;C749</f>
        <v/>
      </c>
      <c r="B749" s="344" t="inlineStr">
        <is>
          <t>XVI - Activos virtuales (PSAV): cobro de contraprestación (comisión) por el servicio</t>
        </is>
      </c>
      <c r="C749" s="345" t="n">
        <v>19</v>
      </c>
      <c r="D749" s="208" t="inlineStr">
        <is>
          <t>Tipo de moneda</t>
        </is>
      </c>
      <c r="E749" s="208" t="inlineStr">
        <is>
          <t>Comisión en criptos de privacidad o moneda extranjera de difícil trazabilidad.</t>
        </is>
      </c>
      <c r="F749" s="208" t="inlineStr">
        <is>
          <t>Comisión en cripto volátil de amplia circulación o en USD.</t>
        </is>
      </c>
      <c r="G749" s="208" t="inlineStr">
        <is>
          <t>Comisión en MXN o stablecoin regulada, trazable.</t>
        </is>
      </c>
    </row>
    <row r="750" ht="18.75" customHeight="1" s="173">
      <c r="A750" s="208">
        <f>B750&amp;"-"&amp;C750</f>
        <v/>
      </c>
      <c r="B750" s="344" t="inlineStr">
        <is>
          <t>XVI - Activos virtuales (PSAV): cobro de contraprestación (comisión) por el servicio</t>
        </is>
      </c>
      <c r="C750" s="345" t="n">
        <v>20</v>
      </c>
      <c r="D750" s="208" t="inlineStr">
        <is>
          <t>Monto frente a umbrales LFPIORPI</t>
        </is>
      </c>
      <c r="E750" s="208" t="inlineStr">
        <is>
          <t>La comisión cobrada supera el umbral de aviso de 4 UMA.</t>
        </is>
      </c>
      <c r="F750" s="208" t="inlineStr">
        <is>
          <t>Comisión cercana al umbral de aviso de 4 UMA.</t>
        </is>
      </c>
      <c r="G750" s="208" t="inlineStr">
        <is>
          <t>Comisión por debajo del umbral de aviso de 4 UMA.</t>
        </is>
      </c>
    </row>
    <row r="751" ht="18.75" customHeight="1" s="173">
      <c r="A751" s="208">
        <f>B751&amp;"-"&amp;C751</f>
        <v/>
      </c>
      <c r="B751" s="344" t="inlineStr">
        <is>
          <t>XVI - Activos virtuales (PSAV): cobro de contraprestación (comisión) por el servicio</t>
        </is>
      </c>
      <c r="C751" s="345" t="n">
        <v>21</v>
      </c>
      <c r="D751" s="208" t="inlineStr">
        <is>
          <t>Frecuencia (fraccionamiento)</t>
        </is>
      </c>
      <c r="E751" s="208" t="inlineStr">
        <is>
          <t>Comisiones frecuentes o fraccionadas bajo 4 UMA para omitir avisos.</t>
        </is>
      </c>
      <c r="F751" s="208" t="inlineStr">
        <is>
          <t>Comisiones periódicas sin patrón claro de fraccionamiento.</t>
        </is>
      </c>
      <c r="G751" s="208" t="inlineStr">
        <is>
          <t>Comisiones esporádicas y congruentes con el servicio.</t>
        </is>
      </c>
    </row>
    <row r="752" ht="18.75" customHeight="1" s="173">
      <c r="A752" s="208">
        <f>B752&amp;"-"&amp;C752</f>
        <v/>
      </c>
      <c r="B752" s="344" t="inlineStr">
        <is>
          <t>XVI - Activos virtuales (PSAV): cobro de contraprestación (comisión) por el servicio</t>
        </is>
      </c>
      <c r="C752" s="345" t="n">
        <v>22</v>
      </c>
      <c r="D752" s="208" t="inlineStr">
        <is>
          <t>Canal (presencial / no presencial / terceros)</t>
        </is>
      </c>
      <c r="E752" s="208" t="inlineStr">
        <is>
          <t>Cobro no presencial o a través de terceros sin contacto directo.</t>
        </is>
      </c>
      <c r="F752" s="208" t="inlineStr">
        <is>
          <t>Cobro no presencial con verificación parcial.</t>
        </is>
      </c>
      <c r="G752" s="208" t="inlineStr">
        <is>
          <t>Cobro con cliente verificado de forma directa.</t>
        </is>
      </c>
    </row>
    <row r="753" ht="18.75" customHeight="1" s="173">
      <c r="A753" s="208">
        <f>B753&amp;"-"&amp;C753</f>
        <v/>
      </c>
      <c r="B753" s="344" t="inlineStr">
        <is>
          <t>XVI - Activos virtuales (PSAV): cobro de contraprestación (comisión) por el servicio</t>
        </is>
      </c>
      <c r="C753" s="345" t="n">
        <v>23</v>
      </c>
      <c r="D753" s="208" t="inlineStr">
        <is>
          <t>Origen de los recursos</t>
        </is>
      </c>
      <c r="E753" s="208" t="inlineStr">
        <is>
          <t>Origen del pago no acreditable, en efectivo o desde wallet no atribuible.</t>
        </is>
      </c>
      <c r="F753" s="208" t="inlineStr">
        <is>
          <t>Origen del pago parcialmente documentado.</t>
        </is>
      </c>
      <c r="G753" s="208" t="inlineStr">
        <is>
          <t>Origen del pago bancarizado y acreditado.</t>
        </is>
      </c>
    </row>
    <row r="754" ht="18.75" customHeight="1" s="173">
      <c r="A754" s="208">
        <f>B754&amp;"-"&amp;C754</f>
        <v/>
      </c>
      <c r="B754" s="344" t="inlineStr">
        <is>
          <t>XVI - Activos virtuales (PSAV): cobro de contraprestación (comisión) por el servicio</t>
        </is>
      </c>
      <c r="C754" s="345" t="n">
        <v>24</v>
      </c>
      <c r="D754" s="208" t="inlineStr">
        <is>
          <t>Destino de los recursos</t>
        </is>
      </c>
      <c r="E754" s="208" t="inlineStr">
        <is>
          <t>Comisión canalizada a terceros o al exterior sin justificación.</t>
        </is>
      </c>
      <c r="F754" s="208" t="inlineStr">
        <is>
          <t>Destino de la comisión parcialmente documentado.</t>
        </is>
      </c>
      <c r="G754" s="208" t="inlineStr">
        <is>
          <t>Destino de la comisión identificado y congruente.</t>
        </is>
      </c>
    </row>
    <row r="755" ht="18.75" customHeight="1" s="173">
      <c r="A755" s="208">
        <f>B755&amp;"-"&amp;C755</f>
        <v/>
      </c>
      <c r="B755" s="344" t="inlineStr">
        <is>
          <t>XVI - Activos virtuales (PSAV): cobro de contraprestación (comisión) por el servicio</t>
        </is>
      </c>
      <c r="C755" s="345" t="n">
        <v>25</v>
      </c>
      <c r="D755" s="208" t="inlineStr">
        <is>
          <t>Canales e instrumentos idóneos para el financiamiento al terrorismo</t>
        </is>
      </c>
      <c r="E755" s="208" t="inlineStr">
        <is>
          <t>La operación se realiza mediante cobro en criptomonedas de privacidad desde wallets no atribuibles, es decir, medios que permiten mover valor en montos pequeños sin identificar al destinatario final.</t>
        </is>
      </c>
      <c r="F755" s="208" t="inlineStr">
        <is>
          <t>Canal mixto o con verificación parcial: hay registro de la operación pero la trazabilidad del destinatario final es incompleta.</t>
        </is>
      </c>
      <c r="G755" s="208" t="inlineStr">
        <is>
          <t>Cobro desde cuenta o wallet verificada a nombre del propio usuario, con trazabilidad completa del origen y del destinatario.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2026-07-24T05:45:57Z</dcterms:created>
  <dcterms:modified xmlns:dcterms="http://purl.org/dc/terms/" xmlns:xsi="http://www.w3.org/2001/XMLSchema-instance" xsi:type="dcterms:W3CDTF">2026-08-25T00:52:10Z</dcterms:modified>
  <cp:revision>0</cp:revision>
</cp:coreProperties>
</file>